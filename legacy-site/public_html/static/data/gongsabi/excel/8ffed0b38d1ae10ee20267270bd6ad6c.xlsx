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 닷컴 최종 (공통가설, 간접비 입력 필요)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2" i="4" l="1"/>
  <c r="D53" i="4"/>
  <c r="D49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1" i="4"/>
  <c r="D146" i="4"/>
  <c r="D147" i="4"/>
  <c r="D144" i="4"/>
  <c r="D145" i="4"/>
  <c r="D57" i="4"/>
  <c r="D153" i="4"/>
  <c r="D154" i="4"/>
  <c r="D69" i="4"/>
  <c r="D84" i="4"/>
  <c r="D88" i="4"/>
  <c r="D66" i="4"/>
  <c r="D83" i="4"/>
  <c r="D67" i="4"/>
  <c r="D72" i="4"/>
  <c r="D65" i="4"/>
  <c r="D64" i="4"/>
  <c r="D86" i="4"/>
  <c r="D63" i="4"/>
  <c r="D130" i="4"/>
  <c r="D87" i="4"/>
  <c r="D111" i="4"/>
  <c r="D112" i="4"/>
  <c r="D99" i="4"/>
  <c r="D95" i="4"/>
  <c r="D94" i="4"/>
  <c r="D96" i="4"/>
  <c r="D93" i="4"/>
  <c r="D92" i="4"/>
  <c r="D109" i="4"/>
  <c r="D131" i="4"/>
  <c r="D125" i="4"/>
  <c r="D126" i="4"/>
  <c r="D122" i="4"/>
  <c r="D119" i="4"/>
  <c r="D116" i="4"/>
  <c r="E154" i="4" l="1"/>
  <c r="E153" i="4"/>
  <c r="E152" i="4"/>
  <c r="E151" i="4"/>
  <c r="E147" i="4"/>
  <c r="E146" i="4"/>
  <c r="E145" i="4"/>
  <c r="E144" i="4"/>
  <c r="E143" i="4"/>
  <c r="E139" i="4"/>
  <c r="E138" i="4"/>
  <c r="E137" i="4"/>
  <c r="E136" i="4"/>
  <c r="E135" i="4"/>
  <c r="E134" i="4"/>
  <c r="E133" i="4"/>
  <c r="E132" i="4"/>
  <c r="E131" i="4"/>
  <c r="E130" i="4"/>
  <c r="E140" i="4" s="1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60" i="4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1" i="4"/>
  <c r="E54" i="4" l="1"/>
  <c r="E148" i="4"/>
  <c r="E155" i="4"/>
  <c r="E89" i="4"/>
  <c r="E113" i="4"/>
  <c r="E127" i="4"/>
  <c r="GP150" i="4"/>
  <c r="GQ150" i="4"/>
  <c r="GR150" i="4"/>
  <c r="GS150" i="4"/>
  <c r="GT150" i="4"/>
  <c r="GU150" i="4"/>
  <c r="GV150" i="4"/>
  <c r="GW150" i="4"/>
  <c r="GX150" i="4"/>
  <c r="GY150" i="4"/>
  <c r="GZ150" i="4"/>
  <c r="HA150" i="4"/>
  <c r="HB150" i="4"/>
  <c r="HC150" i="4"/>
  <c r="HD150" i="4"/>
  <c r="HE150" i="4"/>
  <c r="HF150" i="4"/>
  <c r="HG150" i="4"/>
  <c r="BY150" i="4"/>
  <c r="EQ150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EL150" i="4"/>
  <c r="EM150" i="4"/>
  <c r="EN150" i="4"/>
  <c r="EO150" i="4"/>
  <c r="GP149" i="4"/>
  <c r="GQ149" i="4"/>
  <c r="GR149" i="4"/>
  <c r="GS149" i="4"/>
  <c r="GT149" i="4"/>
  <c r="GU149" i="4"/>
  <c r="GV149" i="4"/>
  <c r="GW149" i="4"/>
  <c r="GX149" i="4"/>
  <c r="GY149" i="4"/>
  <c r="GZ149" i="4"/>
  <c r="HA149" i="4"/>
  <c r="HB149" i="4"/>
  <c r="HC149" i="4"/>
  <c r="HD149" i="4"/>
  <c r="HE149" i="4"/>
  <c r="HF149" i="4"/>
  <c r="HG149" i="4"/>
  <c r="BY149" i="4"/>
  <c r="EQ149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EL149" i="4"/>
  <c r="EM149" i="4"/>
  <c r="EN149" i="4"/>
  <c r="EO149" i="4"/>
  <c r="GP142" i="4"/>
  <c r="GQ142" i="4"/>
  <c r="GR142" i="4"/>
  <c r="GS142" i="4"/>
  <c r="GT142" i="4"/>
  <c r="GU142" i="4"/>
  <c r="GV142" i="4"/>
  <c r="GW142" i="4"/>
  <c r="GX142" i="4"/>
  <c r="GY142" i="4"/>
  <c r="GZ142" i="4"/>
  <c r="HA142" i="4"/>
  <c r="HB142" i="4"/>
  <c r="HC142" i="4"/>
  <c r="HD142" i="4"/>
  <c r="HE142" i="4"/>
  <c r="HF142" i="4"/>
  <c r="HG142" i="4"/>
  <c r="BY142" i="4"/>
  <c r="EQ142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EL142" i="4"/>
  <c r="EM142" i="4"/>
  <c r="EN142" i="4"/>
  <c r="EO142" i="4"/>
  <c r="GP141" i="4"/>
  <c r="GQ141" i="4"/>
  <c r="GR141" i="4"/>
  <c r="GS141" i="4"/>
  <c r="GT141" i="4"/>
  <c r="GU141" i="4"/>
  <c r="GV141" i="4"/>
  <c r="GW141" i="4"/>
  <c r="GX141" i="4"/>
  <c r="GY141" i="4"/>
  <c r="GZ141" i="4"/>
  <c r="HA141" i="4"/>
  <c r="HB141" i="4"/>
  <c r="HC141" i="4"/>
  <c r="HD141" i="4"/>
  <c r="HE141" i="4"/>
  <c r="HF141" i="4"/>
  <c r="HG141" i="4"/>
  <c r="BY141" i="4"/>
  <c r="EQ141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EL141" i="4"/>
  <c r="EM141" i="4"/>
  <c r="EN141" i="4"/>
  <c r="EO141" i="4"/>
  <c r="GP129" i="4"/>
  <c r="GQ129" i="4"/>
  <c r="GR129" i="4"/>
  <c r="GS129" i="4"/>
  <c r="GT129" i="4"/>
  <c r="GU129" i="4"/>
  <c r="GV129" i="4"/>
  <c r="GW129" i="4"/>
  <c r="GX129" i="4"/>
  <c r="GY129" i="4"/>
  <c r="GZ129" i="4"/>
  <c r="HA129" i="4"/>
  <c r="HB129" i="4"/>
  <c r="HC129" i="4"/>
  <c r="HD129" i="4"/>
  <c r="HE129" i="4"/>
  <c r="HF129" i="4"/>
  <c r="HG129" i="4"/>
  <c r="BY129" i="4"/>
  <c r="EQ129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EL129" i="4"/>
  <c r="EM129" i="4"/>
  <c r="EN129" i="4"/>
  <c r="EO129" i="4"/>
  <c r="GP128" i="4"/>
  <c r="GQ128" i="4"/>
  <c r="GR128" i="4"/>
  <c r="GS128" i="4"/>
  <c r="GT128" i="4"/>
  <c r="GU128" i="4"/>
  <c r="GV128" i="4"/>
  <c r="GW128" i="4"/>
  <c r="GX128" i="4"/>
  <c r="GY128" i="4"/>
  <c r="GZ128" i="4"/>
  <c r="HA128" i="4"/>
  <c r="HB128" i="4"/>
  <c r="HC128" i="4"/>
  <c r="HD128" i="4"/>
  <c r="HE128" i="4"/>
  <c r="HF128" i="4"/>
  <c r="HG128" i="4"/>
  <c r="BY128" i="4"/>
  <c r="EQ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EM128" i="4"/>
  <c r="EN128" i="4"/>
  <c r="EO128" i="4"/>
  <c r="GP115" i="4"/>
  <c r="GQ115" i="4"/>
  <c r="GR115" i="4"/>
  <c r="GS115" i="4"/>
  <c r="GT115" i="4"/>
  <c r="GU115" i="4"/>
  <c r="GV115" i="4"/>
  <c r="GW115" i="4"/>
  <c r="GX115" i="4"/>
  <c r="GY115" i="4"/>
  <c r="GZ115" i="4"/>
  <c r="HA115" i="4"/>
  <c r="HB115" i="4"/>
  <c r="HC115" i="4"/>
  <c r="HD115" i="4"/>
  <c r="HE115" i="4"/>
  <c r="HF115" i="4"/>
  <c r="HG115" i="4"/>
  <c r="BY115" i="4"/>
  <c r="EQ115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EL115" i="4"/>
  <c r="EM115" i="4"/>
  <c r="EN115" i="4"/>
  <c r="EO115" i="4"/>
  <c r="GP114" i="4"/>
  <c r="GQ114" i="4"/>
  <c r="GR114" i="4"/>
  <c r="GS114" i="4"/>
  <c r="GT114" i="4"/>
  <c r="GU114" i="4"/>
  <c r="GV114" i="4"/>
  <c r="GW114" i="4"/>
  <c r="GX114" i="4"/>
  <c r="GY114" i="4"/>
  <c r="GZ114" i="4"/>
  <c r="HA114" i="4"/>
  <c r="HB114" i="4"/>
  <c r="HC114" i="4"/>
  <c r="HD114" i="4"/>
  <c r="HE114" i="4"/>
  <c r="HF114" i="4"/>
  <c r="HG114" i="4"/>
  <c r="BY114" i="4"/>
  <c r="EQ114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EL114" i="4"/>
  <c r="EM114" i="4"/>
  <c r="EN114" i="4"/>
  <c r="EO114" i="4"/>
  <c r="GP91" i="4"/>
  <c r="GQ91" i="4"/>
  <c r="GR91" i="4"/>
  <c r="GS91" i="4"/>
  <c r="GT91" i="4"/>
  <c r="GU91" i="4"/>
  <c r="GV91" i="4"/>
  <c r="GW91" i="4"/>
  <c r="GX91" i="4"/>
  <c r="GY91" i="4"/>
  <c r="GZ91" i="4"/>
  <c r="HA91" i="4"/>
  <c r="HB91" i="4"/>
  <c r="HC91" i="4"/>
  <c r="HD91" i="4"/>
  <c r="HE91" i="4"/>
  <c r="HF91" i="4"/>
  <c r="HG91" i="4"/>
  <c r="BY91" i="4"/>
  <c r="EQ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EN91" i="4"/>
  <c r="EO91" i="4"/>
  <c r="GP90" i="4"/>
  <c r="GQ90" i="4"/>
  <c r="GR90" i="4"/>
  <c r="GS90" i="4"/>
  <c r="GT90" i="4"/>
  <c r="GU90" i="4"/>
  <c r="GV90" i="4"/>
  <c r="GW90" i="4"/>
  <c r="GX90" i="4"/>
  <c r="GY90" i="4"/>
  <c r="GZ90" i="4"/>
  <c r="HA90" i="4"/>
  <c r="HB90" i="4"/>
  <c r="HC90" i="4"/>
  <c r="HD90" i="4"/>
  <c r="HE90" i="4"/>
  <c r="HF90" i="4"/>
  <c r="HG90" i="4"/>
  <c r="BY90" i="4"/>
  <c r="EQ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GP62" i="4"/>
  <c r="GQ62" i="4"/>
  <c r="GR62" i="4"/>
  <c r="GS62" i="4"/>
  <c r="GT62" i="4"/>
  <c r="GU62" i="4"/>
  <c r="GV62" i="4"/>
  <c r="GW62" i="4"/>
  <c r="GX62" i="4"/>
  <c r="GY62" i="4"/>
  <c r="GZ62" i="4"/>
  <c r="HA62" i="4"/>
  <c r="HB62" i="4"/>
  <c r="HC62" i="4"/>
  <c r="HD62" i="4"/>
  <c r="HE62" i="4"/>
  <c r="HF62" i="4"/>
  <c r="HG62" i="4"/>
  <c r="BY62" i="4"/>
  <c r="EQ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GP61" i="4"/>
  <c r="GQ61" i="4"/>
  <c r="GR61" i="4"/>
  <c r="GS61" i="4"/>
  <c r="GT61" i="4"/>
  <c r="GU61" i="4"/>
  <c r="GV61" i="4"/>
  <c r="GW61" i="4"/>
  <c r="GX61" i="4"/>
  <c r="GY61" i="4"/>
  <c r="GZ61" i="4"/>
  <c r="HA61" i="4"/>
  <c r="HB61" i="4"/>
  <c r="HC61" i="4"/>
  <c r="HD61" i="4"/>
  <c r="HE61" i="4"/>
  <c r="HF61" i="4"/>
  <c r="HG61" i="4"/>
  <c r="BY61" i="4"/>
  <c r="EQ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EN61" i="4"/>
  <c r="EO61" i="4"/>
  <c r="GP56" i="4"/>
  <c r="GQ56" i="4"/>
  <c r="GR56" i="4"/>
  <c r="GS56" i="4"/>
  <c r="GT56" i="4"/>
  <c r="GU56" i="4"/>
  <c r="GV56" i="4"/>
  <c r="GW56" i="4"/>
  <c r="GX56" i="4"/>
  <c r="GY56" i="4"/>
  <c r="GZ56" i="4"/>
  <c r="HA56" i="4"/>
  <c r="HB56" i="4"/>
  <c r="HC56" i="4"/>
  <c r="HD56" i="4"/>
  <c r="HE56" i="4"/>
  <c r="HF56" i="4"/>
  <c r="HG56" i="4"/>
  <c r="BY56" i="4"/>
  <c r="EQ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EN56" i="4"/>
  <c r="EO56" i="4"/>
  <c r="GP55" i="4"/>
  <c r="GQ55" i="4"/>
  <c r="GR55" i="4"/>
  <c r="GS55" i="4"/>
  <c r="GT55" i="4"/>
  <c r="GU55" i="4"/>
  <c r="GV55" i="4"/>
  <c r="GW55" i="4"/>
  <c r="GX55" i="4"/>
  <c r="GY55" i="4"/>
  <c r="GZ55" i="4"/>
  <c r="HA55" i="4"/>
  <c r="HB55" i="4"/>
  <c r="HC55" i="4"/>
  <c r="HD55" i="4"/>
  <c r="HE55" i="4"/>
  <c r="HF55" i="4"/>
  <c r="HG55" i="4"/>
  <c r="BY55" i="4"/>
  <c r="EQ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D155" i="4"/>
  <c r="D148" i="4"/>
  <c r="D25" i="4" s="1"/>
  <c r="E25" i="4" s="1"/>
  <c r="H25" i="4" s="1"/>
  <c r="I25" i="4" s="1"/>
  <c r="D140" i="4"/>
  <c r="D24" i="4" s="1"/>
  <c r="E24" i="4" s="1"/>
  <c r="H24" i="4" s="1"/>
  <c r="D127" i="4"/>
  <c r="D113" i="4"/>
  <c r="D22" i="4" s="1"/>
  <c r="E22" i="4" s="1"/>
  <c r="H22" i="4" s="1"/>
  <c r="D89" i="4"/>
  <c r="D21" i="4" s="1"/>
  <c r="E21" i="4" s="1"/>
  <c r="H21" i="4" s="1"/>
  <c r="I21" i="4" s="1"/>
  <c r="D60" i="4"/>
  <c r="D20" i="4" s="1"/>
  <c r="E20" i="4" s="1"/>
  <c r="H20" i="4" s="1"/>
  <c r="D54" i="4"/>
  <c r="D19" i="4" s="1"/>
  <c r="E19" i="4" s="1"/>
  <c r="H19" i="4" s="1"/>
  <c r="D18" i="4"/>
  <c r="E18" i="4" s="1"/>
  <c r="D23" i="4"/>
  <c r="E23" i="4" s="1"/>
  <c r="D26" i="4"/>
  <c r="E26" i="4" s="1"/>
  <c r="D7" i="4"/>
  <c r="GQ155" i="4"/>
  <c r="GR155" i="4"/>
  <c r="GS155" i="4"/>
  <c r="GT155" i="4"/>
  <c r="GU155" i="4"/>
  <c r="GV155" i="4"/>
  <c r="GW155" i="4"/>
  <c r="GX155" i="4"/>
  <c r="GY155" i="4"/>
  <c r="GZ155" i="4"/>
  <c r="HA155" i="4"/>
  <c r="HB155" i="4"/>
  <c r="HC155" i="4"/>
  <c r="HD155" i="4"/>
  <c r="HE155" i="4"/>
  <c r="HF155" i="4"/>
  <c r="HG155" i="4"/>
  <c r="HH155" i="4"/>
  <c r="H155" i="4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EK155" i="4"/>
  <c r="EL155" i="4"/>
  <c r="EM155" i="4"/>
  <c r="EN155" i="4"/>
  <c r="EO155" i="4"/>
  <c r="EP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BX155" i="4"/>
  <c r="GQ154" i="4"/>
  <c r="GR154" i="4"/>
  <c r="GS154" i="4"/>
  <c r="GT154" i="4"/>
  <c r="GU154" i="4"/>
  <c r="GV154" i="4"/>
  <c r="GW154" i="4"/>
  <c r="GX154" i="4"/>
  <c r="GY154" i="4"/>
  <c r="GZ154" i="4"/>
  <c r="HA154" i="4"/>
  <c r="HB154" i="4"/>
  <c r="HC154" i="4"/>
  <c r="HD154" i="4"/>
  <c r="HE154" i="4"/>
  <c r="HF154" i="4"/>
  <c r="HG154" i="4"/>
  <c r="HH154" i="4"/>
  <c r="H154" i="4"/>
  <c r="BZ154" i="4" s="1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EL154" i="4"/>
  <c r="EM154" i="4"/>
  <c r="EN154" i="4"/>
  <c r="EO154" i="4"/>
  <c r="EP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I154" i="4"/>
  <c r="GQ153" i="4"/>
  <c r="GR153" i="4"/>
  <c r="GS153" i="4"/>
  <c r="GT153" i="4"/>
  <c r="GU153" i="4"/>
  <c r="GV153" i="4"/>
  <c r="GW153" i="4"/>
  <c r="GX153" i="4"/>
  <c r="GY153" i="4"/>
  <c r="GZ153" i="4"/>
  <c r="HA153" i="4"/>
  <c r="HB153" i="4"/>
  <c r="HC153" i="4"/>
  <c r="HD153" i="4"/>
  <c r="HE153" i="4"/>
  <c r="HF153" i="4"/>
  <c r="HG153" i="4"/>
  <c r="HH153" i="4"/>
  <c r="H153" i="4"/>
  <c r="BZ153" i="4" s="1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EL153" i="4"/>
  <c r="EM153" i="4"/>
  <c r="EN153" i="4"/>
  <c r="EO153" i="4"/>
  <c r="EP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I153" i="4"/>
  <c r="AY153" i="4"/>
  <c r="AZ153" i="4" s="1"/>
  <c r="AW153" i="4"/>
  <c r="AX153" i="4" s="1"/>
  <c r="AU153" i="4"/>
  <c r="AV153" i="4" s="1"/>
  <c r="AS153" i="4"/>
  <c r="AT153" i="4" s="1"/>
  <c r="AQ153" i="4"/>
  <c r="AR153" i="4" s="1"/>
  <c r="AO153" i="4"/>
  <c r="AP153" i="4" s="1"/>
  <c r="AM153" i="4"/>
  <c r="AN153" i="4" s="1"/>
  <c r="AK153" i="4"/>
  <c r="AL153" i="4" s="1"/>
  <c r="AI153" i="4"/>
  <c r="AJ153" i="4" s="1"/>
  <c r="AG153" i="4"/>
  <c r="AH153" i="4" s="1"/>
  <c r="AE153" i="4"/>
  <c r="AF153" i="4" s="1"/>
  <c r="AC153" i="4"/>
  <c r="AD153" i="4" s="1"/>
  <c r="AA153" i="4"/>
  <c r="AB153" i="4" s="1"/>
  <c r="Y153" i="4"/>
  <c r="Z153" i="4" s="1"/>
  <c r="W153" i="4"/>
  <c r="X153" i="4" s="1"/>
  <c r="U153" i="4"/>
  <c r="V153" i="4" s="1"/>
  <c r="S153" i="4"/>
  <c r="T153" i="4" s="1"/>
  <c r="Q153" i="4"/>
  <c r="R153" i="4" s="1"/>
  <c r="O153" i="4"/>
  <c r="P153" i="4" s="1"/>
  <c r="M153" i="4"/>
  <c r="N153" i="4" s="1"/>
  <c r="K153" i="4"/>
  <c r="L153" i="4" s="1"/>
  <c r="J153" i="4"/>
  <c r="GQ152" i="4"/>
  <c r="GR152" i="4"/>
  <c r="GS152" i="4"/>
  <c r="GT152" i="4"/>
  <c r="GU152" i="4"/>
  <c r="GV152" i="4"/>
  <c r="GW152" i="4"/>
  <c r="GX152" i="4"/>
  <c r="GY152" i="4"/>
  <c r="GZ152" i="4"/>
  <c r="HA152" i="4"/>
  <c r="HB152" i="4"/>
  <c r="HC152" i="4"/>
  <c r="HD152" i="4"/>
  <c r="HE152" i="4"/>
  <c r="HF152" i="4"/>
  <c r="HG152" i="4"/>
  <c r="HH152" i="4"/>
  <c r="H152" i="4"/>
  <c r="BZ152" i="4"/>
  <c r="ER152" i="4" s="1"/>
  <c r="ES152" i="4"/>
  <c r="ET152" i="4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EL152" i="4"/>
  <c r="EM152" i="4"/>
  <c r="EN152" i="4"/>
  <c r="EO152" i="4"/>
  <c r="EP152" i="4"/>
  <c r="CA152" i="4"/>
  <c r="DE152" i="4" s="1"/>
  <c r="DF152" i="4" s="1"/>
  <c r="DQ152" i="4"/>
  <c r="DR152" i="4" s="1"/>
  <c r="DM152" i="4"/>
  <c r="DN152" i="4"/>
  <c r="DA152" i="4"/>
  <c r="DB152" i="4" s="1"/>
  <c r="CW152" i="4"/>
  <c r="CX152" i="4"/>
  <c r="CK152" i="4"/>
  <c r="CL152" i="4" s="1"/>
  <c r="CG152" i="4"/>
  <c r="CH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I152" i="4"/>
  <c r="AK152" i="4" s="1"/>
  <c r="AL152" i="4" s="1"/>
  <c r="AW152" i="4"/>
  <c r="AX152" i="4" s="1"/>
  <c r="AS152" i="4"/>
  <c r="AT152" i="4"/>
  <c r="AO152" i="4"/>
  <c r="AP152" i="4"/>
  <c r="AG152" i="4"/>
  <c r="AH152" i="4" s="1"/>
  <c r="AC152" i="4"/>
  <c r="AD152" i="4" s="1"/>
  <c r="Y152" i="4"/>
  <c r="Z152" i="4"/>
  <c r="Q152" i="4"/>
  <c r="R152" i="4" s="1"/>
  <c r="M152" i="4"/>
  <c r="N152" i="4"/>
  <c r="J152" i="4"/>
  <c r="GQ151" i="4"/>
  <c r="GR151" i="4"/>
  <c r="GS151" i="4"/>
  <c r="GT151" i="4"/>
  <c r="GU151" i="4"/>
  <c r="GV151" i="4"/>
  <c r="GW151" i="4"/>
  <c r="GX151" i="4"/>
  <c r="GY151" i="4"/>
  <c r="GZ151" i="4"/>
  <c r="HA151" i="4"/>
  <c r="HB151" i="4"/>
  <c r="HC151" i="4"/>
  <c r="HD151" i="4"/>
  <c r="HE151" i="4"/>
  <c r="HF151" i="4"/>
  <c r="HG151" i="4"/>
  <c r="HH151" i="4"/>
  <c r="H151" i="4"/>
  <c r="BZ151" i="4"/>
  <c r="ER151" i="4"/>
  <c r="ES151" i="4" s="1"/>
  <c r="FO151" i="4" s="1"/>
  <c r="FP151" i="4" s="1"/>
  <c r="FE151" i="4"/>
  <c r="FF151" i="4" s="1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EL151" i="4"/>
  <c r="EM151" i="4"/>
  <c r="EN151" i="4"/>
  <c r="EO151" i="4"/>
  <c r="EP151" i="4"/>
  <c r="CA151" i="4"/>
  <c r="DG151" i="4" s="1"/>
  <c r="DH151" i="4" s="1"/>
  <c r="CW151" i="4"/>
  <c r="CX151" i="4" s="1"/>
  <c r="CG151" i="4"/>
  <c r="CH151" i="4" s="1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I151" i="4"/>
  <c r="AW151" i="4" s="1"/>
  <c r="AX151" i="4"/>
  <c r="GQ148" i="4"/>
  <c r="GR148" i="4"/>
  <c r="GS148" i="4"/>
  <c r="GT148" i="4"/>
  <c r="GU148" i="4"/>
  <c r="GV148" i="4"/>
  <c r="GW148" i="4"/>
  <c r="GX148" i="4"/>
  <c r="GY148" i="4"/>
  <c r="GZ148" i="4"/>
  <c r="HA148" i="4"/>
  <c r="HB148" i="4"/>
  <c r="HC148" i="4"/>
  <c r="HD148" i="4"/>
  <c r="HE148" i="4"/>
  <c r="HF148" i="4"/>
  <c r="HG148" i="4"/>
  <c r="HH148" i="4"/>
  <c r="H148" i="4"/>
  <c r="I148" i="4" s="1"/>
  <c r="AW148" i="4" s="1"/>
  <c r="AX148" i="4" s="1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EL148" i="4"/>
  <c r="EM148" i="4"/>
  <c r="EN148" i="4"/>
  <c r="EO148" i="4"/>
  <c r="EP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AM148" i="4"/>
  <c r="AN148" i="4" s="1"/>
  <c r="GQ147" i="4"/>
  <c r="GR147" i="4"/>
  <c r="GS147" i="4"/>
  <c r="GT147" i="4"/>
  <c r="GU147" i="4"/>
  <c r="GV147" i="4"/>
  <c r="GW147" i="4"/>
  <c r="GX147" i="4"/>
  <c r="GY147" i="4"/>
  <c r="GZ147" i="4"/>
  <c r="HA147" i="4"/>
  <c r="HB147" i="4"/>
  <c r="HC147" i="4"/>
  <c r="HD147" i="4"/>
  <c r="HE147" i="4"/>
  <c r="HF147" i="4"/>
  <c r="HG147" i="4"/>
  <c r="HH147" i="4"/>
  <c r="H147" i="4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EL147" i="4"/>
  <c r="EM147" i="4"/>
  <c r="EN147" i="4"/>
  <c r="EO147" i="4"/>
  <c r="EP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GQ146" i="4"/>
  <c r="GR146" i="4"/>
  <c r="GS146" i="4"/>
  <c r="GT146" i="4"/>
  <c r="GU146" i="4"/>
  <c r="GV146" i="4"/>
  <c r="GW146" i="4"/>
  <c r="GX146" i="4"/>
  <c r="GY146" i="4"/>
  <c r="GZ146" i="4"/>
  <c r="HA146" i="4"/>
  <c r="HB146" i="4"/>
  <c r="HC146" i="4"/>
  <c r="HD146" i="4"/>
  <c r="HE146" i="4"/>
  <c r="HF146" i="4"/>
  <c r="HG146" i="4"/>
  <c r="HH146" i="4"/>
  <c r="H146" i="4"/>
  <c r="BZ146" i="4" s="1"/>
  <c r="CA146" i="4" s="1"/>
  <c r="DK146" i="4" s="1"/>
  <c r="DL146" i="4" s="1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EL146" i="4"/>
  <c r="EM146" i="4"/>
  <c r="EN146" i="4"/>
  <c r="EO146" i="4"/>
  <c r="EP146" i="4"/>
  <c r="DQ146" i="4"/>
  <c r="DR146" i="4" s="1"/>
  <c r="DO146" i="4"/>
  <c r="DP146" i="4" s="1"/>
  <c r="DI146" i="4"/>
  <c r="DJ146" i="4" s="1"/>
  <c r="DG146" i="4"/>
  <c r="DH146" i="4" s="1"/>
  <c r="DC146" i="4"/>
  <c r="DD146" i="4" s="1"/>
  <c r="DA146" i="4"/>
  <c r="DB146" i="4" s="1"/>
  <c r="CY146" i="4"/>
  <c r="CZ146" i="4" s="1"/>
  <c r="CW146" i="4"/>
  <c r="CX146" i="4" s="1"/>
  <c r="CS146" i="4"/>
  <c r="CT146" i="4" s="1"/>
  <c r="CQ146" i="4"/>
  <c r="CR146" i="4" s="1"/>
  <c r="CM146" i="4"/>
  <c r="CN146" i="4" s="1"/>
  <c r="CK146" i="4"/>
  <c r="CL146" i="4" s="1"/>
  <c r="CI146" i="4"/>
  <c r="CJ146" i="4" s="1"/>
  <c r="CG146" i="4"/>
  <c r="CH146" i="4"/>
  <c r="CC146" i="4"/>
  <c r="CD146" i="4" s="1"/>
  <c r="CB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I146" i="4"/>
  <c r="AW146" i="4" s="1"/>
  <c r="AX146" i="4" s="1"/>
  <c r="AS146" i="4"/>
  <c r="AT146" i="4" s="1"/>
  <c r="AQ146" i="4"/>
  <c r="AR146" i="4" s="1"/>
  <c r="AO146" i="4"/>
  <c r="AP146" i="4" s="1"/>
  <c r="AK146" i="4"/>
  <c r="AL146" i="4" s="1"/>
  <c r="AI146" i="4"/>
  <c r="AJ146" i="4" s="1"/>
  <c r="AE146" i="4"/>
  <c r="AF146" i="4" s="1"/>
  <c r="AC146" i="4"/>
  <c r="AD146" i="4" s="1"/>
  <c r="AA146" i="4"/>
  <c r="AB146" i="4" s="1"/>
  <c r="Y146" i="4"/>
  <c r="Z146" i="4" s="1"/>
  <c r="U146" i="4"/>
  <c r="V146" i="4" s="1"/>
  <c r="S146" i="4"/>
  <c r="T146" i="4" s="1"/>
  <c r="O146" i="4"/>
  <c r="P146" i="4" s="1"/>
  <c r="M146" i="4"/>
  <c r="N146" i="4" s="1"/>
  <c r="K146" i="4"/>
  <c r="L146" i="4" s="1"/>
  <c r="J146" i="4"/>
  <c r="GQ145" i="4"/>
  <c r="GR145" i="4"/>
  <c r="GS145" i="4"/>
  <c r="GT145" i="4"/>
  <c r="GU145" i="4"/>
  <c r="GV145" i="4"/>
  <c r="GW145" i="4"/>
  <c r="GX145" i="4"/>
  <c r="GY145" i="4"/>
  <c r="GZ145" i="4"/>
  <c r="HA145" i="4"/>
  <c r="HB145" i="4"/>
  <c r="HC145" i="4"/>
  <c r="HD145" i="4"/>
  <c r="HE145" i="4"/>
  <c r="HF145" i="4"/>
  <c r="HG145" i="4"/>
  <c r="HH145" i="4"/>
  <c r="H145" i="4"/>
  <c r="BZ145" i="4" s="1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EL145" i="4"/>
  <c r="EM145" i="4"/>
  <c r="EN145" i="4"/>
  <c r="EO145" i="4"/>
  <c r="EP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I145" i="4"/>
  <c r="AW145" i="4" s="1"/>
  <c r="AX145" i="4" s="1"/>
  <c r="AK145" i="4"/>
  <c r="AL145" i="4" s="1"/>
  <c r="AC145" i="4"/>
  <c r="AD145" i="4" s="1"/>
  <c r="U145" i="4"/>
  <c r="V145" i="4" s="1"/>
  <c r="M145" i="4"/>
  <c r="N145" i="4" s="1"/>
  <c r="GQ144" i="4"/>
  <c r="GR144" i="4"/>
  <c r="GS144" i="4"/>
  <c r="GT144" i="4"/>
  <c r="GU144" i="4"/>
  <c r="GV144" i="4"/>
  <c r="GW144" i="4"/>
  <c r="GX144" i="4"/>
  <c r="GY144" i="4"/>
  <c r="GZ144" i="4"/>
  <c r="HA144" i="4"/>
  <c r="HB144" i="4"/>
  <c r="HC144" i="4"/>
  <c r="HD144" i="4"/>
  <c r="HE144" i="4"/>
  <c r="HF144" i="4"/>
  <c r="HG144" i="4"/>
  <c r="HH144" i="4"/>
  <c r="H144" i="4"/>
  <c r="BZ144" i="4" s="1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EL144" i="4"/>
  <c r="EM144" i="4"/>
  <c r="EN144" i="4"/>
  <c r="EO144" i="4"/>
  <c r="EP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I144" i="4"/>
  <c r="AS144" i="4" s="1"/>
  <c r="AT144" i="4" s="1"/>
  <c r="GQ143" i="4"/>
  <c r="GR143" i="4"/>
  <c r="GS143" i="4"/>
  <c r="GT143" i="4"/>
  <c r="GU143" i="4"/>
  <c r="GV143" i="4"/>
  <c r="GW143" i="4"/>
  <c r="GX143" i="4"/>
  <c r="GY143" i="4"/>
  <c r="GZ143" i="4"/>
  <c r="HA143" i="4"/>
  <c r="HB143" i="4"/>
  <c r="HC143" i="4"/>
  <c r="HD143" i="4"/>
  <c r="HE143" i="4"/>
  <c r="HF143" i="4"/>
  <c r="HG143" i="4"/>
  <c r="HH143" i="4"/>
  <c r="H143" i="4"/>
  <c r="I143" i="4" s="1"/>
  <c r="AY143" i="4" s="1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EL143" i="4"/>
  <c r="EM143" i="4"/>
  <c r="EN143" i="4"/>
  <c r="EO143" i="4"/>
  <c r="EP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AZ143" i="4"/>
  <c r="AU143" i="4"/>
  <c r="AV143" i="4" s="1"/>
  <c r="AS143" i="4"/>
  <c r="AT143" i="4" s="1"/>
  <c r="AM143" i="4"/>
  <c r="AN143" i="4" s="1"/>
  <c r="AK143" i="4"/>
  <c r="AL143" i="4" s="1"/>
  <c r="AE143" i="4"/>
  <c r="AF143" i="4" s="1"/>
  <c r="AC143" i="4"/>
  <c r="AD143" i="4" s="1"/>
  <c r="W143" i="4"/>
  <c r="X143" i="4" s="1"/>
  <c r="U143" i="4"/>
  <c r="V143" i="4" s="1"/>
  <c r="O143" i="4"/>
  <c r="P143" i="4" s="1"/>
  <c r="M143" i="4"/>
  <c r="N143" i="4" s="1"/>
  <c r="GQ140" i="4"/>
  <c r="GR140" i="4"/>
  <c r="GS140" i="4"/>
  <c r="GT140" i="4"/>
  <c r="GU140" i="4"/>
  <c r="GV140" i="4"/>
  <c r="GW140" i="4"/>
  <c r="GX140" i="4"/>
  <c r="GY140" i="4"/>
  <c r="GZ140" i="4"/>
  <c r="HA140" i="4"/>
  <c r="HB140" i="4"/>
  <c r="HC140" i="4"/>
  <c r="HD140" i="4"/>
  <c r="HE140" i="4"/>
  <c r="HF140" i="4"/>
  <c r="HG140" i="4"/>
  <c r="HH140" i="4"/>
  <c r="H140" i="4"/>
  <c r="BZ140" i="4" s="1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EL140" i="4"/>
  <c r="EM140" i="4"/>
  <c r="EN140" i="4"/>
  <c r="EO140" i="4"/>
  <c r="EP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I140" i="4"/>
  <c r="AY140" i="4" s="1"/>
  <c r="AZ140" i="4" s="1"/>
  <c r="GQ139" i="4"/>
  <c r="GR139" i="4"/>
  <c r="GS139" i="4"/>
  <c r="GT139" i="4"/>
  <c r="GU139" i="4"/>
  <c r="GV139" i="4"/>
  <c r="GW139" i="4"/>
  <c r="GX139" i="4"/>
  <c r="GY139" i="4"/>
  <c r="GZ139" i="4"/>
  <c r="HA139" i="4"/>
  <c r="HB139" i="4"/>
  <c r="HC139" i="4"/>
  <c r="HD139" i="4"/>
  <c r="HE139" i="4"/>
  <c r="HF139" i="4"/>
  <c r="HG139" i="4"/>
  <c r="HH139" i="4"/>
  <c r="H139" i="4"/>
  <c r="BZ139" i="4" s="1"/>
  <c r="CA139" i="4" s="1"/>
  <c r="ER139" i="4"/>
  <c r="ES139" i="4" s="1"/>
  <c r="EW139" i="4" s="1"/>
  <c r="EX139" i="4" s="1"/>
  <c r="FS139" i="4"/>
  <c r="FT139" i="4" s="1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EL139" i="4"/>
  <c r="EM139" i="4"/>
  <c r="EN139" i="4"/>
  <c r="EO139" i="4"/>
  <c r="EP139" i="4"/>
  <c r="DQ139" i="4"/>
  <c r="DR139" i="4" s="1"/>
  <c r="DO139" i="4"/>
  <c r="DP139" i="4" s="1"/>
  <c r="DM139" i="4"/>
  <c r="DN139" i="4"/>
  <c r="DK139" i="4"/>
  <c r="DL139" i="4" s="1"/>
  <c r="DI139" i="4"/>
  <c r="DJ139" i="4" s="1"/>
  <c r="DG139" i="4"/>
  <c r="DH139" i="4" s="1"/>
  <c r="DE139" i="4"/>
  <c r="DF139" i="4"/>
  <c r="DC139" i="4"/>
  <c r="DD139" i="4" s="1"/>
  <c r="DA139" i="4"/>
  <c r="DB139" i="4" s="1"/>
  <c r="CY139" i="4"/>
  <c r="CZ139" i="4" s="1"/>
  <c r="CW139" i="4"/>
  <c r="CX139" i="4"/>
  <c r="CU139" i="4"/>
  <c r="CV139" i="4" s="1"/>
  <c r="CS139" i="4"/>
  <c r="CT139" i="4" s="1"/>
  <c r="CQ139" i="4"/>
  <c r="CR139" i="4" s="1"/>
  <c r="CO139" i="4"/>
  <c r="CP139" i="4"/>
  <c r="CM139" i="4"/>
  <c r="CN139" i="4" s="1"/>
  <c r="CK139" i="4"/>
  <c r="CL139" i="4" s="1"/>
  <c r="CI139" i="4"/>
  <c r="CJ139" i="4" s="1"/>
  <c r="CG139" i="4"/>
  <c r="CH139" i="4"/>
  <c r="CE139" i="4"/>
  <c r="CF139" i="4" s="1"/>
  <c r="CC139" i="4"/>
  <c r="CD139" i="4" s="1"/>
  <c r="CB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I139" i="4"/>
  <c r="AY139" i="4"/>
  <c r="AZ139" i="4" s="1"/>
  <c r="AW139" i="4"/>
  <c r="AX139" i="4" s="1"/>
  <c r="AU139" i="4"/>
  <c r="AV139" i="4" s="1"/>
  <c r="AS139" i="4"/>
  <c r="AT139" i="4" s="1"/>
  <c r="AQ139" i="4"/>
  <c r="AR139" i="4" s="1"/>
  <c r="AO139" i="4"/>
  <c r="AP139" i="4" s="1"/>
  <c r="AM139" i="4"/>
  <c r="AN139" i="4" s="1"/>
  <c r="AK139" i="4"/>
  <c r="AL139" i="4" s="1"/>
  <c r="AI139" i="4"/>
  <c r="AJ139" i="4" s="1"/>
  <c r="AG139" i="4"/>
  <c r="AH139" i="4" s="1"/>
  <c r="AE139" i="4"/>
  <c r="AF139" i="4" s="1"/>
  <c r="AC139" i="4"/>
  <c r="AD139" i="4" s="1"/>
  <c r="AA139" i="4"/>
  <c r="AB139" i="4" s="1"/>
  <c r="Y139" i="4"/>
  <c r="Z139" i="4" s="1"/>
  <c r="W139" i="4"/>
  <c r="X139" i="4" s="1"/>
  <c r="U139" i="4"/>
  <c r="V139" i="4" s="1"/>
  <c r="S139" i="4"/>
  <c r="T139" i="4" s="1"/>
  <c r="Q139" i="4"/>
  <c r="R139" i="4" s="1"/>
  <c r="O139" i="4"/>
  <c r="P139" i="4" s="1"/>
  <c r="M139" i="4"/>
  <c r="N139" i="4" s="1"/>
  <c r="K139" i="4"/>
  <c r="L139" i="4" s="1"/>
  <c r="J139" i="4"/>
  <c r="GQ138" i="4"/>
  <c r="GR138" i="4"/>
  <c r="GS138" i="4"/>
  <c r="GT138" i="4"/>
  <c r="GU138" i="4"/>
  <c r="GV138" i="4"/>
  <c r="GW138" i="4"/>
  <c r="GX138" i="4"/>
  <c r="GY138" i="4"/>
  <c r="GZ138" i="4"/>
  <c r="HA138" i="4"/>
  <c r="HB138" i="4"/>
  <c r="HC138" i="4"/>
  <c r="HD138" i="4"/>
  <c r="HE138" i="4"/>
  <c r="HF138" i="4"/>
  <c r="HG138" i="4"/>
  <c r="HH138" i="4"/>
  <c r="H138" i="4"/>
  <c r="BZ138" i="4"/>
  <c r="ER138" i="4" s="1"/>
  <c r="ES138" i="4" s="1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EL138" i="4"/>
  <c r="EM138" i="4"/>
  <c r="EN138" i="4"/>
  <c r="EO138" i="4"/>
  <c r="EP138" i="4"/>
  <c r="CA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I138" i="4"/>
  <c r="AY138" i="4" s="1"/>
  <c r="AZ138" i="4"/>
  <c r="GQ137" i="4"/>
  <c r="GR137" i="4"/>
  <c r="GS137" i="4"/>
  <c r="GT137" i="4"/>
  <c r="GU137" i="4"/>
  <c r="GV137" i="4"/>
  <c r="GW137" i="4"/>
  <c r="GX137" i="4"/>
  <c r="GY137" i="4"/>
  <c r="GZ137" i="4"/>
  <c r="HA137" i="4"/>
  <c r="HB137" i="4"/>
  <c r="HC137" i="4"/>
  <c r="HD137" i="4"/>
  <c r="HE137" i="4"/>
  <c r="HF137" i="4"/>
  <c r="HG137" i="4"/>
  <c r="HH137" i="4"/>
  <c r="H137" i="4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EL137" i="4"/>
  <c r="EM137" i="4"/>
  <c r="EN137" i="4"/>
  <c r="EO137" i="4"/>
  <c r="EP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GQ136" i="4"/>
  <c r="GR136" i="4"/>
  <c r="GS136" i="4"/>
  <c r="GT136" i="4"/>
  <c r="GU136" i="4"/>
  <c r="GV136" i="4"/>
  <c r="GW136" i="4"/>
  <c r="GX136" i="4"/>
  <c r="GY136" i="4"/>
  <c r="GZ136" i="4"/>
  <c r="HA136" i="4"/>
  <c r="HB136" i="4"/>
  <c r="HC136" i="4"/>
  <c r="HD136" i="4"/>
  <c r="HE136" i="4"/>
  <c r="HF136" i="4"/>
  <c r="HG136" i="4"/>
  <c r="HH136" i="4"/>
  <c r="H136" i="4"/>
  <c r="BZ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EL136" i="4"/>
  <c r="EM136" i="4"/>
  <c r="EN136" i="4"/>
  <c r="EO136" i="4"/>
  <c r="EP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I136" i="4"/>
  <c r="AO136" i="4" s="1"/>
  <c r="AP136" i="4" s="1"/>
  <c r="Y136" i="4"/>
  <c r="Z136" i="4" s="1"/>
  <c r="J136" i="4"/>
  <c r="GQ135" i="4"/>
  <c r="GR135" i="4"/>
  <c r="GS135" i="4"/>
  <c r="GT135" i="4"/>
  <c r="GU135" i="4"/>
  <c r="GV135" i="4"/>
  <c r="GW135" i="4"/>
  <c r="GX135" i="4"/>
  <c r="GY135" i="4"/>
  <c r="GZ135" i="4"/>
  <c r="HA135" i="4"/>
  <c r="HB135" i="4"/>
  <c r="HC135" i="4"/>
  <c r="HD135" i="4"/>
  <c r="HE135" i="4"/>
  <c r="HF135" i="4"/>
  <c r="HG135" i="4"/>
  <c r="HH135" i="4"/>
  <c r="H135" i="4"/>
  <c r="I135" i="4" s="1"/>
  <c r="AW135" i="4" s="1"/>
  <c r="AX135" i="4" s="1"/>
  <c r="BZ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EL135" i="4"/>
  <c r="EM135" i="4"/>
  <c r="EN135" i="4"/>
  <c r="EO135" i="4"/>
  <c r="EP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AY135" i="4"/>
  <c r="AZ135" i="4" s="1"/>
  <c r="AU135" i="4"/>
  <c r="AV135" i="4"/>
  <c r="AO135" i="4"/>
  <c r="AP135" i="4" s="1"/>
  <c r="AK135" i="4"/>
  <c r="AL135" i="4" s="1"/>
  <c r="AI135" i="4"/>
  <c r="AJ135" i="4" s="1"/>
  <c r="AG135" i="4"/>
  <c r="AH135" i="4" s="1"/>
  <c r="AE135" i="4"/>
  <c r="AF135" i="4"/>
  <c r="AA135" i="4"/>
  <c r="AB135" i="4"/>
  <c r="Y135" i="4"/>
  <c r="Z135" i="4" s="1"/>
  <c r="U135" i="4"/>
  <c r="V135" i="4" s="1"/>
  <c r="S135" i="4"/>
  <c r="T135" i="4" s="1"/>
  <c r="Q135" i="4"/>
  <c r="R135" i="4" s="1"/>
  <c r="O135" i="4"/>
  <c r="P135" i="4"/>
  <c r="K135" i="4"/>
  <c r="L135" i="4"/>
  <c r="J135" i="4"/>
  <c r="GQ134" i="4"/>
  <c r="GR134" i="4"/>
  <c r="GS134" i="4"/>
  <c r="GT134" i="4"/>
  <c r="GU134" i="4"/>
  <c r="GV134" i="4"/>
  <c r="GW134" i="4"/>
  <c r="GX134" i="4"/>
  <c r="GY134" i="4"/>
  <c r="GZ134" i="4"/>
  <c r="HA134" i="4"/>
  <c r="HB134" i="4"/>
  <c r="HC134" i="4"/>
  <c r="HD134" i="4"/>
  <c r="HE134" i="4"/>
  <c r="HF134" i="4"/>
  <c r="HG134" i="4"/>
  <c r="HH134" i="4"/>
  <c r="H134" i="4"/>
  <c r="BZ134" i="4"/>
  <c r="ER134" i="4" s="1"/>
  <c r="ES134" i="4" s="1"/>
  <c r="GA134" i="4" s="1"/>
  <c r="GB134" i="4" s="1"/>
  <c r="FK134" i="4"/>
  <c r="FL134" i="4" s="1"/>
  <c r="EU134" i="4"/>
  <c r="EV134" i="4" s="1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EL134" i="4"/>
  <c r="EM134" i="4"/>
  <c r="EN134" i="4"/>
  <c r="EO134" i="4"/>
  <c r="EP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I134" i="4"/>
  <c r="AM134" i="4" s="1"/>
  <c r="AN134" i="4" s="1"/>
  <c r="AY134" i="4"/>
  <c r="AZ134" i="4" s="1"/>
  <c r="AU134" i="4"/>
  <c r="AV134" i="4"/>
  <c r="AI134" i="4"/>
  <c r="AJ134" i="4" s="1"/>
  <c r="AE134" i="4"/>
  <c r="AF134" i="4"/>
  <c r="S134" i="4"/>
  <c r="T134" i="4" s="1"/>
  <c r="O134" i="4"/>
  <c r="P134" i="4"/>
  <c r="GQ133" i="4"/>
  <c r="GR133" i="4"/>
  <c r="GS133" i="4"/>
  <c r="GT133" i="4"/>
  <c r="GU133" i="4"/>
  <c r="GV133" i="4"/>
  <c r="GW133" i="4"/>
  <c r="GX133" i="4"/>
  <c r="GY133" i="4"/>
  <c r="GZ133" i="4"/>
  <c r="HA133" i="4"/>
  <c r="HB133" i="4"/>
  <c r="HC133" i="4"/>
  <c r="HD133" i="4"/>
  <c r="HE133" i="4"/>
  <c r="HF133" i="4"/>
  <c r="HG133" i="4"/>
  <c r="HH133" i="4"/>
  <c r="H133" i="4"/>
  <c r="BZ133" i="4" s="1"/>
  <c r="CA133" i="4" s="1"/>
  <c r="DO133" i="4" s="1"/>
  <c r="DP133" i="4" s="1"/>
  <c r="ER133" i="4"/>
  <c r="ES133" i="4"/>
  <c r="GE133" i="4"/>
  <c r="GF133" i="4" s="1"/>
  <c r="FY133" i="4"/>
  <c r="FZ133" i="4" s="1"/>
  <c r="FO133" i="4"/>
  <c r="FP133" i="4" s="1"/>
  <c r="FI133" i="4"/>
  <c r="FJ133" i="4" s="1"/>
  <c r="EY133" i="4"/>
  <c r="EZ133" i="4" s="1"/>
  <c r="ET133" i="4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EL133" i="4"/>
  <c r="EM133" i="4"/>
  <c r="EN133" i="4"/>
  <c r="EO133" i="4"/>
  <c r="EP133" i="4"/>
  <c r="DQ133" i="4"/>
  <c r="DR133" i="4"/>
  <c r="DM133" i="4"/>
  <c r="DN133" i="4"/>
  <c r="DK133" i="4"/>
  <c r="DL133" i="4" s="1"/>
  <c r="DG133" i="4"/>
  <c r="DH133" i="4" s="1"/>
  <c r="DE133" i="4"/>
  <c r="DF133" i="4" s="1"/>
  <c r="DC133" i="4"/>
  <c r="DD133" i="4" s="1"/>
  <c r="DA133" i="4"/>
  <c r="DB133" i="4"/>
  <c r="CW133" i="4"/>
  <c r="CX133" i="4"/>
  <c r="CS133" i="4"/>
  <c r="CT133" i="4"/>
  <c r="CO133" i="4"/>
  <c r="CP133" i="4"/>
  <c r="CK133" i="4"/>
  <c r="CL133" i="4"/>
  <c r="CG133" i="4"/>
  <c r="CH133" i="4"/>
  <c r="CC133" i="4"/>
  <c r="CD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I133" i="4"/>
  <c r="GQ132" i="4"/>
  <c r="GR132" i="4"/>
  <c r="GS132" i="4"/>
  <c r="GT132" i="4"/>
  <c r="GU132" i="4"/>
  <c r="GV132" i="4"/>
  <c r="GW132" i="4"/>
  <c r="GX132" i="4"/>
  <c r="GY132" i="4"/>
  <c r="GZ132" i="4"/>
  <c r="HA132" i="4"/>
  <c r="HB132" i="4"/>
  <c r="HC132" i="4"/>
  <c r="HD132" i="4"/>
  <c r="HE132" i="4"/>
  <c r="HF132" i="4"/>
  <c r="HG132" i="4"/>
  <c r="HH132" i="4"/>
  <c r="H132" i="4"/>
  <c r="I132" i="4" s="1"/>
  <c r="BZ132" i="4"/>
  <c r="ER132" i="4"/>
  <c r="ES132" i="4" s="1"/>
  <c r="GC132" i="4" s="1"/>
  <c r="GD132" i="4" s="1"/>
  <c r="GG132" i="4"/>
  <c r="GH132" i="4" s="1"/>
  <c r="FU132" i="4"/>
  <c r="FV132" i="4" s="1"/>
  <c r="FQ132" i="4"/>
  <c r="FR132" i="4" s="1"/>
  <c r="FE132" i="4"/>
  <c r="FF132" i="4" s="1"/>
  <c r="FA132" i="4"/>
  <c r="FB132" i="4" s="1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EL132" i="4"/>
  <c r="EM132" i="4"/>
  <c r="EN132" i="4"/>
  <c r="EO132" i="4"/>
  <c r="EP132" i="4"/>
  <c r="CA132" i="4"/>
  <c r="DO132" i="4" s="1"/>
  <c r="DP132" i="4" s="1"/>
  <c r="DQ132" i="4"/>
  <c r="DR132" i="4" s="1"/>
  <c r="DM132" i="4"/>
  <c r="DN132" i="4" s="1"/>
  <c r="DI132" i="4"/>
  <c r="DJ132" i="4" s="1"/>
  <c r="DE132" i="4"/>
  <c r="DF132" i="4" s="1"/>
  <c r="DA132" i="4"/>
  <c r="DB132" i="4" s="1"/>
  <c r="CW132" i="4"/>
  <c r="CX132" i="4" s="1"/>
  <c r="CS132" i="4"/>
  <c r="CT132" i="4" s="1"/>
  <c r="CO132" i="4"/>
  <c r="CP132" i="4" s="1"/>
  <c r="CK132" i="4"/>
  <c r="CL132" i="4" s="1"/>
  <c r="CG132" i="4"/>
  <c r="CH132" i="4" s="1"/>
  <c r="CC132" i="4"/>
  <c r="CD132" i="4" s="1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AW132" i="4"/>
  <c r="AX132" i="4" s="1"/>
  <c r="AS132" i="4"/>
  <c r="AT132" i="4" s="1"/>
  <c r="AO132" i="4"/>
  <c r="AP132" i="4" s="1"/>
  <c r="AK132" i="4"/>
  <c r="AL132" i="4" s="1"/>
  <c r="AG132" i="4"/>
  <c r="AH132" i="4" s="1"/>
  <c r="AC132" i="4"/>
  <c r="AD132" i="4" s="1"/>
  <c r="Y132" i="4"/>
  <c r="Z132" i="4" s="1"/>
  <c r="U132" i="4"/>
  <c r="V132" i="4" s="1"/>
  <c r="Q132" i="4"/>
  <c r="R132" i="4" s="1"/>
  <c r="M132" i="4"/>
  <c r="N132" i="4" s="1"/>
  <c r="J132" i="4"/>
  <c r="GQ131" i="4"/>
  <c r="GR131" i="4"/>
  <c r="GS131" i="4"/>
  <c r="GT131" i="4"/>
  <c r="GU131" i="4"/>
  <c r="GV131" i="4"/>
  <c r="GW131" i="4"/>
  <c r="GX131" i="4"/>
  <c r="GY131" i="4"/>
  <c r="GZ131" i="4"/>
  <c r="HA131" i="4"/>
  <c r="HB131" i="4"/>
  <c r="HC131" i="4"/>
  <c r="HD131" i="4"/>
  <c r="HE131" i="4"/>
  <c r="HF131" i="4"/>
  <c r="HG131" i="4"/>
  <c r="HH131" i="4"/>
  <c r="H131" i="4"/>
  <c r="BZ131" i="4" s="1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EL131" i="4"/>
  <c r="EM131" i="4"/>
  <c r="EN131" i="4"/>
  <c r="EO131" i="4"/>
  <c r="EP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GQ130" i="4"/>
  <c r="GR130" i="4"/>
  <c r="GS130" i="4"/>
  <c r="GT130" i="4"/>
  <c r="GU130" i="4"/>
  <c r="GV130" i="4"/>
  <c r="GW130" i="4"/>
  <c r="GX130" i="4"/>
  <c r="GY130" i="4"/>
  <c r="GZ130" i="4"/>
  <c r="HA130" i="4"/>
  <c r="HB130" i="4"/>
  <c r="HC130" i="4"/>
  <c r="HD130" i="4"/>
  <c r="HE130" i="4"/>
  <c r="HF130" i="4"/>
  <c r="HG130" i="4"/>
  <c r="HH130" i="4"/>
  <c r="H130" i="4"/>
  <c r="BZ130" i="4" s="1"/>
  <c r="CA130" i="4" s="1"/>
  <c r="ER130" i="4"/>
  <c r="ES130" i="4" s="1"/>
  <c r="GC130" i="4" s="1"/>
  <c r="GD130" i="4" s="1"/>
  <c r="GI130" i="4"/>
  <c r="GJ130" i="4" s="1"/>
  <c r="FS130" i="4"/>
  <c r="FT130" i="4" s="1"/>
  <c r="FC130" i="4"/>
  <c r="FD130" i="4" s="1"/>
  <c r="EW130" i="4"/>
  <c r="EX130" i="4" s="1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EL130" i="4"/>
  <c r="EM130" i="4"/>
  <c r="EN130" i="4"/>
  <c r="EO130" i="4"/>
  <c r="EP130" i="4"/>
  <c r="DQ130" i="4"/>
  <c r="DR130" i="4" s="1"/>
  <c r="DO130" i="4"/>
  <c r="DP130" i="4" s="1"/>
  <c r="DM130" i="4"/>
  <c r="DN130" i="4" s="1"/>
  <c r="DK130" i="4"/>
  <c r="DL130" i="4" s="1"/>
  <c r="DI130" i="4"/>
  <c r="DJ130" i="4" s="1"/>
  <c r="DG130" i="4"/>
  <c r="DH130" i="4" s="1"/>
  <c r="DE130" i="4"/>
  <c r="DF130" i="4"/>
  <c r="DC130" i="4"/>
  <c r="DD130" i="4" s="1"/>
  <c r="DA130" i="4"/>
  <c r="DB130" i="4" s="1"/>
  <c r="CY130" i="4"/>
  <c r="CZ130" i="4" s="1"/>
  <c r="CW130" i="4"/>
  <c r="CX130" i="4"/>
  <c r="CU130" i="4"/>
  <c r="CV130" i="4" s="1"/>
  <c r="CS130" i="4"/>
  <c r="CT130" i="4" s="1"/>
  <c r="CQ130" i="4"/>
  <c r="CR130" i="4" s="1"/>
  <c r="CO130" i="4"/>
  <c r="CP130" i="4"/>
  <c r="CM130" i="4"/>
  <c r="CN130" i="4" s="1"/>
  <c r="CK130" i="4"/>
  <c r="CL130" i="4" s="1"/>
  <c r="CI130" i="4"/>
  <c r="CJ130" i="4" s="1"/>
  <c r="CG130" i="4"/>
  <c r="CH130" i="4" s="1"/>
  <c r="CE130" i="4"/>
  <c r="CF130" i="4" s="1"/>
  <c r="CC130" i="4"/>
  <c r="CD130" i="4" s="1"/>
  <c r="CB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I130" i="4"/>
  <c r="AW130" i="4" s="1"/>
  <c r="AX130" i="4" s="1"/>
  <c r="AY130" i="4"/>
  <c r="AZ130" i="4" s="1"/>
  <c r="AU130" i="4"/>
  <c r="AV130" i="4" s="1"/>
  <c r="AS130" i="4"/>
  <c r="AT130" i="4" s="1"/>
  <c r="AM130" i="4"/>
  <c r="AN130" i="4" s="1"/>
  <c r="AG130" i="4"/>
  <c r="AH130" i="4"/>
  <c r="AA130" i="4"/>
  <c r="AB130" i="4" s="1"/>
  <c r="Y130" i="4"/>
  <c r="Z130" i="4" s="1"/>
  <c r="U130" i="4"/>
  <c r="V130" i="4" s="1"/>
  <c r="S130" i="4"/>
  <c r="T130" i="4" s="1"/>
  <c r="O130" i="4"/>
  <c r="P130" i="4" s="1"/>
  <c r="M130" i="4"/>
  <c r="N130" i="4" s="1"/>
  <c r="GQ127" i="4"/>
  <c r="GR127" i="4"/>
  <c r="GS127" i="4"/>
  <c r="GT127" i="4"/>
  <c r="GU127" i="4"/>
  <c r="GV127" i="4"/>
  <c r="GW127" i="4"/>
  <c r="GX127" i="4"/>
  <c r="GY127" i="4"/>
  <c r="GZ127" i="4"/>
  <c r="HA127" i="4"/>
  <c r="HB127" i="4"/>
  <c r="HC127" i="4"/>
  <c r="HD127" i="4"/>
  <c r="HE127" i="4"/>
  <c r="HF127" i="4"/>
  <c r="HG127" i="4"/>
  <c r="HH127" i="4"/>
  <c r="H127" i="4"/>
  <c r="BZ127" i="4" s="1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EM127" i="4"/>
  <c r="EN127" i="4"/>
  <c r="EO127" i="4"/>
  <c r="EP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GQ126" i="4"/>
  <c r="GR126" i="4"/>
  <c r="GS126" i="4"/>
  <c r="GT126" i="4"/>
  <c r="GU126" i="4"/>
  <c r="GV126" i="4"/>
  <c r="GW126" i="4"/>
  <c r="GX126" i="4"/>
  <c r="GY126" i="4"/>
  <c r="GZ126" i="4"/>
  <c r="HA126" i="4"/>
  <c r="HB126" i="4"/>
  <c r="HC126" i="4"/>
  <c r="HD126" i="4"/>
  <c r="HE126" i="4"/>
  <c r="HF126" i="4"/>
  <c r="HG126" i="4"/>
  <c r="HH126" i="4"/>
  <c r="H126" i="4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EL126" i="4"/>
  <c r="EM126" i="4"/>
  <c r="EN126" i="4"/>
  <c r="EO126" i="4"/>
  <c r="EP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GQ125" i="4"/>
  <c r="GR125" i="4"/>
  <c r="GS125" i="4"/>
  <c r="GT125" i="4"/>
  <c r="GU125" i="4"/>
  <c r="GV125" i="4"/>
  <c r="GW125" i="4"/>
  <c r="GX125" i="4"/>
  <c r="GY125" i="4"/>
  <c r="GZ125" i="4"/>
  <c r="HA125" i="4"/>
  <c r="HB125" i="4"/>
  <c r="HC125" i="4"/>
  <c r="HD125" i="4"/>
  <c r="HE125" i="4"/>
  <c r="HF125" i="4"/>
  <c r="HG125" i="4"/>
  <c r="HH125" i="4"/>
  <c r="H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EM125" i="4"/>
  <c r="EN125" i="4"/>
  <c r="EO125" i="4"/>
  <c r="EP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GQ124" i="4"/>
  <c r="GR124" i="4"/>
  <c r="GS124" i="4"/>
  <c r="GT124" i="4"/>
  <c r="GU124" i="4"/>
  <c r="GV124" i="4"/>
  <c r="GW124" i="4"/>
  <c r="GX124" i="4"/>
  <c r="GY124" i="4"/>
  <c r="GZ124" i="4"/>
  <c r="HA124" i="4"/>
  <c r="HB124" i="4"/>
  <c r="HC124" i="4"/>
  <c r="HD124" i="4"/>
  <c r="HE124" i="4"/>
  <c r="HF124" i="4"/>
  <c r="HG124" i="4"/>
  <c r="HH124" i="4"/>
  <c r="H124" i="4"/>
  <c r="BZ124" i="4"/>
  <c r="ER124" i="4" s="1"/>
  <c r="ES124" i="4" s="1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EM124" i="4"/>
  <c r="EN124" i="4"/>
  <c r="EO124" i="4"/>
  <c r="EP124" i="4"/>
  <c r="CA124" i="4"/>
  <c r="DQ124" i="4" s="1"/>
  <c r="DR124" i="4" s="1"/>
  <c r="DM124" i="4"/>
  <c r="DN124" i="4"/>
  <c r="DI124" i="4"/>
  <c r="DJ124" i="4"/>
  <c r="DE124" i="4"/>
  <c r="DF124" i="4"/>
  <c r="DA124" i="4"/>
  <c r="DB124" i="4"/>
  <c r="CW124" i="4"/>
  <c r="CX124" i="4"/>
  <c r="CS124" i="4"/>
  <c r="CT124" i="4"/>
  <c r="CO124" i="4"/>
  <c r="CP124" i="4"/>
  <c r="CK124" i="4"/>
  <c r="CL124" i="4"/>
  <c r="CG124" i="4"/>
  <c r="CH124" i="4"/>
  <c r="CC124" i="4"/>
  <c r="CD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I124" i="4"/>
  <c r="GQ123" i="4"/>
  <c r="GR123" i="4"/>
  <c r="GS123" i="4"/>
  <c r="GT123" i="4"/>
  <c r="GU123" i="4"/>
  <c r="GV123" i="4"/>
  <c r="GW123" i="4"/>
  <c r="GX123" i="4"/>
  <c r="GY123" i="4"/>
  <c r="GZ123" i="4"/>
  <c r="HA123" i="4"/>
  <c r="HB123" i="4"/>
  <c r="HC123" i="4"/>
  <c r="HD123" i="4"/>
  <c r="HE123" i="4"/>
  <c r="HF123" i="4"/>
  <c r="HG123" i="4"/>
  <c r="HH123" i="4"/>
  <c r="H123" i="4"/>
  <c r="I123" i="4" s="1"/>
  <c r="AU123" i="4" s="1"/>
  <c r="AV123" i="4" s="1"/>
  <c r="BZ123" i="4"/>
  <c r="ER123" i="4"/>
  <c r="ES123" i="4" s="1"/>
  <c r="GG123" i="4"/>
  <c r="GH123" i="4" s="1"/>
  <c r="GC123" i="4"/>
  <c r="GD123" i="4" s="1"/>
  <c r="FY123" i="4"/>
  <c r="FZ123" i="4" s="1"/>
  <c r="FU123" i="4"/>
  <c r="FV123" i="4" s="1"/>
  <c r="FQ123" i="4"/>
  <c r="FR123" i="4" s="1"/>
  <c r="FM123" i="4"/>
  <c r="FN123" i="4" s="1"/>
  <c r="FI123" i="4"/>
  <c r="FJ123" i="4" s="1"/>
  <c r="FE123" i="4"/>
  <c r="FF123" i="4" s="1"/>
  <c r="FA123" i="4"/>
  <c r="FB123" i="4" s="1"/>
  <c r="EW123" i="4"/>
  <c r="EX123" i="4" s="1"/>
  <c r="ET123" i="4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EM123" i="4"/>
  <c r="EN123" i="4"/>
  <c r="EO123" i="4"/>
  <c r="EP123" i="4"/>
  <c r="CA123" i="4"/>
  <c r="DI123" i="4" s="1"/>
  <c r="DJ123" i="4" s="1"/>
  <c r="DQ123" i="4"/>
  <c r="DR123" i="4" s="1"/>
  <c r="DM123" i="4"/>
  <c r="DN123" i="4" s="1"/>
  <c r="DK123" i="4"/>
  <c r="DL123" i="4" s="1"/>
  <c r="DG123" i="4"/>
  <c r="DH123" i="4"/>
  <c r="DA123" i="4"/>
  <c r="DB123" i="4" s="1"/>
  <c r="CW123" i="4"/>
  <c r="CX123" i="4" s="1"/>
  <c r="CU123" i="4"/>
  <c r="CV123" i="4" s="1"/>
  <c r="CQ123" i="4"/>
  <c r="CR123" i="4"/>
  <c r="CM123" i="4"/>
  <c r="CN123" i="4"/>
  <c r="CK123" i="4"/>
  <c r="CL123" i="4" s="1"/>
  <c r="CG123" i="4"/>
  <c r="CH123" i="4" s="1"/>
  <c r="CE123" i="4"/>
  <c r="CF123" i="4" s="1"/>
  <c r="CC123" i="4"/>
  <c r="CD123" i="4" s="1"/>
  <c r="CB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AY123" i="4"/>
  <c r="AZ123" i="4"/>
  <c r="AW123" i="4"/>
  <c r="AX123" i="4" s="1"/>
  <c r="AS123" i="4"/>
  <c r="AT123" i="4" s="1"/>
  <c r="AQ123" i="4"/>
  <c r="AR123" i="4" s="1"/>
  <c r="AO123" i="4"/>
  <c r="AP123" i="4" s="1"/>
  <c r="AM123" i="4"/>
  <c r="AN123" i="4"/>
  <c r="AI123" i="4"/>
  <c r="AJ123" i="4"/>
  <c r="AG123" i="4"/>
  <c r="AH123" i="4" s="1"/>
  <c r="AC123" i="4"/>
  <c r="AD123" i="4" s="1"/>
  <c r="AA123" i="4"/>
  <c r="AB123" i="4" s="1"/>
  <c r="Y123" i="4"/>
  <c r="Z123" i="4" s="1"/>
  <c r="W123" i="4"/>
  <c r="X123" i="4"/>
  <c r="S123" i="4"/>
  <c r="T123" i="4"/>
  <c r="Q123" i="4"/>
  <c r="R123" i="4" s="1"/>
  <c r="M123" i="4"/>
  <c r="N123" i="4" s="1"/>
  <c r="K123" i="4"/>
  <c r="L123" i="4" s="1"/>
  <c r="J123" i="4"/>
  <c r="GQ122" i="4"/>
  <c r="GR122" i="4"/>
  <c r="GS122" i="4"/>
  <c r="GT122" i="4"/>
  <c r="GU122" i="4"/>
  <c r="GV122" i="4"/>
  <c r="GW122" i="4"/>
  <c r="GX122" i="4"/>
  <c r="GY122" i="4"/>
  <c r="GZ122" i="4"/>
  <c r="HA122" i="4"/>
  <c r="HB122" i="4"/>
  <c r="HC122" i="4"/>
  <c r="HD122" i="4"/>
  <c r="HE122" i="4"/>
  <c r="HF122" i="4"/>
  <c r="HG122" i="4"/>
  <c r="HH122" i="4"/>
  <c r="H122" i="4"/>
  <c r="BZ122" i="4" s="1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EM122" i="4"/>
  <c r="EN122" i="4"/>
  <c r="EO122" i="4"/>
  <c r="EP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I122" i="4"/>
  <c r="AY122" i="4" s="1"/>
  <c r="AZ122" i="4" s="1"/>
  <c r="AU122" i="4"/>
  <c r="AV122" i="4" s="1"/>
  <c r="AQ122" i="4"/>
  <c r="AR122" i="4" s="1"/>
  <c r="AM122" i="4"/>
  <c r="AN122" i="4" s="1"/>
  <c r="AI122" i="4"/>
  <c r="AJ122" i="4"/>
  <c r="AE122" i="4"/>
  <c r="AF122" i="4" s="1"/>
  <c r="AA122" i="4"/>
  <c r="AB122" i="4" s="1"/>
  <c r="W122" i="4"/>
  <c r="X122" i="4"/>
  <c r="S122" i="4"/>
  <c r="T122" i="4"/>
  <c r="O122" i="4"/>
  <c r="P122" i="4"/>
  <c r="K122" i="4"/>
  <c r="L122" i="4" s="1"/>
  <c r="GQ121" i="4"/>
  <c r="GR121" i="4"/>
  <c r="GS121" i="4"/>
  <c r="GT121" i="4"/>
  <c r="GU121" i="4"/>
  <c r="GV121" i="4"/>
  <c r="GW121" i="4"/>
  <c r="GX121" i="4"/>
  <c r="GY121" i="4"/>
  <c r="GZ121" i="4"/>
  <c r="HA121" i="4"/>
  <c r="HB121" i="4"/>
  <c r="HC121" i="4"/>
  <c r="HD121" i="4"/>
  <c r="HE121" i="4"/>
  <c r="HF121" i="4"/>
  <c r="HG121" i="4"/>
  <c r="HH121" i="4"/>
  <c r="H121" i="4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EL121" i="4"/>
  <c r="EM121" i="4"/>
  <c r="EN121" i="4"/>
  <c r="EO121" i="4"/>
  <c r="EP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GQ120" i="4"/>
  <c r="GR120" i="4"/>
  <c r="GS120" i="4"/>
  <c r="GT120" i="4"/>
  <c r="GU120" i="4"/>
  <c r="GV120" i="4"/>
  <c r="GW120" i="4"/>
  <c r="GX120" i="4"/>
  <c r="GY120" i="4"/>
  <c r="GZ120" i="4"/>
  <c r="HA120" i="4"/>
  <c r="HB120" i="4"/>
  <c r="HC120" i="4"/>
  <c r="HD120" i="4"/>
  <c r="HE120" i="4"/>
  <c r="HF120" i="4"/>
  <c r="HG120" i="4"/>
  <c r="HH120" i="4"/>
  <c r="H120" i="4"/>
  <c r="BZ120" i="4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EM120" i="4"/>
  <c r="EN120" i="4"/>
  <c r="EO120" i="4"/>
  <c r="EP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I120" i="4"/>
  <c r="AO120" i="4"/>
  <c r="AP120" i="4" s="1"/>
  <c r="Y120" i="4"/>
  <c r="Z120" i="4" s="1"/>
  <c r="J120" i="4"/>
  <c r="GQ119" i="4"/>
  <c r="GR119" i="4"/>
  <c r="GS119" i="4"/>
  <c r="GT119" i="4"/>
  <c r="GU119" i="4"/>
  <c r="GV119" i="4"/>
  <c r="GW119" i="4"/>
  <c r="GX119" i="4"/>
  <c r="GY119" i="4"/>
  <c r="GZ119" i="4"/>
  <c r="HA119" i="4"/>
  <c r="HB119" i="4"/>
  <c r="HC119" i="4"/>
  <c r="HD119" i="4"/>
  <c r="HE119" i="4"/>
  <c r="HF119" i="4"/>
  <c r="HG119" i="4"/>
  <c r="HH119" i="4"/>
  <c r="H119" i="4"/>
  <c r="BZ119" i="4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EL119" i="4"/>
  <c r="EM119" i="4"/>
  <c r="EN119" i="4"/>
  <c r="EO119" i="4"/>
  <c r="EP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I119" i="4"/>
  <c r="GQ118" i="4"/>
  <c r="GR118" i="4"/>
  <c r="GS118" i="4"/>
  <c r="GT118" i="4"/>
  <c r="GU118" i="4"/>
  <c r="GV118" i="4"/>
  <c r="GW118" i="4"/>
  <c r="GX118" i="4"/>
  <c r="GY118" i="4"/>
  <c r="GZ118" i="4"/>
  <c r="HA118" i="4"/>
  <c r="HB118" i="4"/>
  <c r="HC118" i="4"/>
  <c r="HD118" i="4"/>
  <c r="HE118" i="4"/>
  <c r="HF118" i="4"/>
  <c r="HG118" i="4"/>
  <c r="HH118" i="4"/>
  <c r="H118" i="4"/>
  <c r="BZ118" i="4" s="1"/>
  <c r="CA118" i="4" s="1"/>
  <c r="ER118" i="4"/>
  <c r="ES118" i="4" s="1"/>
  <c r="GG118" i="4" s="1"/>
  <c r="GH118" i="4" s="1"/>
  <c r="GC118" i="4"/>
  <c r="GD118" i="4" s="1"/>
  <c r="FU118" i="4"/>
  <c r="FV118" i="4" s="1"/>
  <c r="FM118" i="4"/>
  <c r="FN118" i="4" s="1"/>
  <c r="FE118" i="4"/>
  <c r="FF118" i="4" s="1"/>
  <c r="FA118" i="4"/>
  <c r="FB118" i="4" s="1"/>
  <c r="EW118" i="4"/>
  <c r="EX118" i="4" s="1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EL118" i="4"/>
  <c r="EM118" i="4"/>
  <c r="EN118" i="4"/>
  <c r="EO118" i="4"/>
  <c r="EP118" i="4"/>
  <c r="DQ118" i="4"/>
  <c r="DR118" i="4" s="1"/>
  <c r="DM118" i="4"/>
  <c r="DN118" i="4" s="1"/>
  <c r="DI118" i="4"/>
  <c r="DJ118" i="4" s="1"/>
  <c r="DE118" i="4"/>
  <c r="DF118" i="4" s="1"/>
  <c r="DA118" i="4"/>
  <c r="DB118" i="4" s="1"/>
  <c r="CW118" i="4"/>
  <c r="CX118" i="4" s="1"/>
  <c r="CS118" i="4"/>
  <c r="CT118" i="4" s="1"/>
  <c r="CO118" i="4"/>
  <c r="CP118" i="4" s="1"/>
  <c r="CK118" i="4"/>
  <c r="CL118" i="4" s="1"/>
  <c r="CG118" i="4"/>
  <c r="CH118" i="4" s="1"/>
  <c r="CC118" i="4"/>
  <c r="CD118" i="4" s="1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GQ117" i="4"/>
  <c r="GR117" i="4"/>
  <c r="GS117" i="4"/>
  <c r="GT117" i="4"/>
  <c r="GU117" i="4"/>
  <c r="GV117" i="4"/>
  <c r="GW117" i="4"/>
  <c r="GX117" i="4"/>
  <c r="GY117" i="4"/>
  <c r="GZ117" i="4"/>
  <c r="HA117" i="4"/>
  <c r="HB117" i="4"/>
  <c r="HC117" i="4"/>
  <c r="HD117" i="4"/>
  <c r="HE117" i="4"/>
  <c r="HF117" i="4"/>
  <c r="HG117" i="4"/>
  <c r="HH117" i="4"/>
  <c r="H117" i="4"/>
  <c r="BZ117" i="4"/>
  <c r="ER117" i="4" s="1"/>
  <c r="ES117" i="4" s="1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EL117" i="4"/>
  <c r="EM117" i="4"/>
  <c r="EN117" i="4"/>
  <c r="EO117" i="4"/>
  <c r="EP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I117" i="4"/>
  <c r="AY117" i="4" s="1"/>
  <c r="AZ117" i="4" s="1"/>
  <c r="AU117" i="4"/>
  <c r="AV117" i="4"/>
  <c r="AQ117" i="4"/>
  <c r="AR117" i="4"/>
  <c r="AM117" i="4"/>
  <c r="AN117" i="4"/>
  <c r="AI117" i="4"/>
  <c r="AJ117" i="4"/>
  <c r="AE117" i="4"/>
  <c r="AF117" i="4"/>
  <c r="AA117" i="4"/>
  <c r="AB117" i="4"/>
  <c r="W117" i="4"/>
  <c r="X117" i="4"/>
  <c r="S117" i="4"/>
  <c r="T117" i="4"/>
  <c r="O117" i="4"/>
  <c r="P117" i="4"/>
  <c r="K117" i="4"/>
  <c r="L117" i="4"/>
  <c r="GQ116" i="4"/>
  <c r="GR116" i="4"/>
  <c r="GS116" i="4"/>
  <c r="GT116" i="4"/>
  <c r="GU116" i="4"/>
  <c r="GV116" i="4"/>
  <c r="GW116" i="4"/>
  <c r="GX116" i="4"/>
  <c r="GY116" i="4"/>
  <c r="GZ116" i="4"/>
  <c r="HA116" i="4"/>
  <c r="HB116" i="4"/>
  <c r="HC116" i="4"/>
  <c r="HD116" i="4"/>
  <c r="HE116" i="4"/>
  <c r="HF116" i="4"/>
  <c r="HG116" i="4"/>
  <c r="HH116" i="4"/>
  <c r="H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EL116" i="4"/>
  <c r="EM116" i="4"/>
  <c r="EN116" i="4"/>
  <c r="EO116" i="4"/>
  <c r="EP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GQ113" i="4"/>
  <c r="GR113" i="4"/>
  <c r="GS113" i="4"/>
  <c r="GT113" i="4"/>
  <c r="GU113" i="4"/>
  <c r="GV113" i="4"/>
  <c r="GW113" i="4"/>
  <c r="GX113" i="4"/>
  <c r="GY113" i="4"/>
  <c r="GZ113" i="4"/>
  <c r="HA113" i="4"/>
  <c r="HB113" i="4"/>
  <c r="HC113" i="4"/>
  <c r="HD113" i="4"/>
  <c r="HE113" i="4"/>
  <c r="HF113" i="4"/>
  <c r="HG113" i="4"/>
  <c r="HH113" i="4"/>
  <c r="H113" i="4"/>
  <c r="BZ113" i="4" s="1"/>
  <c r="ER113" i="4" s="1"/>
  <c r="ES113" i="4" s="1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EL113" i="4"/>
  <c r="EM113" i="4"/>
  <c r="EN113" i="4"/>
  <c r="EO113" i="4"/>
  <c r="EP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GQ112" i="4"/>
  <c r="GR112" i="4"/>
  <c r="GS112" i="4"/>
  <c r="GT112" i="4"/>
  <c r="GU112" i="4"/>
  <c r="GV112" i="4"/>
  <c r="GW112" i="4"/>
  <c r="GX112" i="4"/>
  <c r="GY112" i="4"/>
  <c r="GZ112" i="4"/>
  <c r="HA112" i="4"/>
  <c r="HB112" i="4"/>
  <c r="HC112" i="4"/>
  <c r="HD112" i="4"/>
  <c r="HE112" i="4"/>
  <c r="HF112" i="4"/>
  <c r="HG112" i="4"/>
  <c r="HH112" i="4"/>
  <c r="H112" i="4"/>
  <c r="I112" i="4" s="1"/>
  <c r="BZ112" i="4"/>
  <c r="ER112" i="4" s="1"/>
  <c r="ES112" i="4" s="1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EL112" i="4"/>
  <c r="EM112" i="4"/>
  <c r="EN112" i="4"/>
  <c r="EO112" i="4"/>
  <c r="EP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GQ111" i="4"/>
  <c r="GR111" i="4"/>
  <c r="GS111" i="4"/>
  <c r="GT111" i="4"/>
  <c r="GU111" i="4"/>
  <c r="GV111" i="4"/>
  <c r="GW111" i="4"/>
  <c r="GX111" i="4"/>
  <c r="GY111" i="4"/>
  <c r="GZ111" i="4"/>
  <c r="HA111" i="4"/>
  <c r="HB111" i="4"/>
  <c r="HC111" i="4"/>
  <c r="HD111" i="4"/>
  <c r="HE111" i="4"/>
  <c r="HF111" i="4"/>
  <c r="HG111" i="4"/>
  <c r="HH111" i="4"/>
  <c r="H111" i="4"/>
  <c r="BZ111" i="4" s="1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EL111" i="4"/>
  <c r="EM111" i="4"/>
  <c r="EN111" i="4"/>
  <c r="EO111" i="4"/>
  <c r="EP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I111" i="4"/>
  <c r="AY111" i="4" s="1"/>
  <c r="AZ111" i="4" s="1"/>
  <c r="GQ110" i="4"/>
  <c r="GR110" i="4"/>
  <c r="GS110" i="4"/>
  <c r="GT110" i="4"/>
  <c r="GU110" i="4"/>
  <c r="GV110" i="4"/>
  <c r="GW110" i="4"/>
  <c r="GX110" i="4"/>
  <c r="GY110" i="4"/>
  <c r="GZ110" i="4"/>
  <c r="HA110" i="4"/>
  <c r="HB110" i="4"/>
  <c r="HC110" i="4"/>
  <c r="HD110" i="4"/>
  <c r="HE110" i="4"/>
  <c r="HF110" i="4"/>
  <c r="HG110" i="4"/>
  <c r="HH110" i="4"/>
  <c r="H110" i="4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EL110" i="4"/>
  <c r="EM110" i="4"/>
  <c r="EN110" i="4"/>
  <c r="EO110" i="4"/>
  <c r="EP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GQ109" i="4"/>
  <c r="GR109" i="4"/>
  <c r="GS109" i="4"/>
  <c r="GT109" i="4"/>
  <c r="GU109" i="4"/>
  <c r="GV109" i="4"/>
  <c r="GW109" i="4"/>
  <c r="GX109" i="4"/>
  <c r="GY109" i="4"/>
  <c r="GZ109" i="4"/>
  <c r="HA109" i="4"/>
  <c r="HB109" i="4"/>
  <c r="HC109" i="4"/>
  <c r="HD109" i="4"/>
  <c r="HE109" i="4"/>
  <c r="HF109" i="4"/>
  <c r="HG109" i="4"/>
  <c r="HH109" i="4"/>
  <c r="H109" i="4"/>
  <c r="BZ109" i="4"/>
  <c r="CA109" i="4" s="1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EM109" i="4"/>
  <c r="EN109" i="4"/>
  <c r="EO109" i="4"/>
  <c r="EP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I109" i="4"/>
  <c r="AW109" i="4" s="1"/>
  <c r="AX109" i="4" s="1"/>
  <c r="AO109" i="4"/>
  <c r="AP109" i="4" s="1"/>
  <c r="AC109" i="4"/>
  <c r="AD109" i="4" s="1"/>
  <c r="Y109" i="4"/>
  <c r="Z109" i="4"/>
  <c r="U109" i="4"/>
  <c r="V109" i="4"/>
  <c r="M109" i="4"/>
  <c r="N109" i="4" s="1"/>
  <c r="J109" i="4"/>
  <c r="GQ108" i="4"/>
  <c r="GR108" i="4"/>
  <c r="GS108" i="4"/>
  <c r="GT108" i="4"/>
  <c r="GU108" i="4"/>
  <c r="GV108" i="4"/>
  <c r="GW108" i="4"/>
  <c r="GX108" i="4"/>
  <c r="GY108" i="4"/>
  <c r="GZ108" i="4"/>
  <c r="HA108" i="4"/>
  <c r="HB108" i="4"/>
  <c r="HC108" i="4"/>
  <c r="HD108" i="4"/>
  <c r="HE108" i="4"/>
  <c r="HF108" i="4"/>
  <c r="HG108" i="4"/>
  <c r="HH108" i="4"/>
  <c r="H108" i="4"/>
  <c r="I108" i="4" s="1"/>
  <c r="AW108" i="4" s="1"/>
  <c r="AX108" i="4" s="1"/>
  <c r="BZ108" i="4"/>
  <c r="ER108" i="4"/>
  <c r="ES108" i="4" s="1"/>
  <c r="FO108" i="4"/>
  <c r="FP108" i="4" s="1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EN108" i="4"/>
  <c r="EO108" i="4"/>
  <c r="EP108" i="4"/>
  <c r="CA108" i="4"/>
  <c r="DM108" i="4"/>
  <c r="DN108" i="4" s="1"/>
  <c r="DG108" i="4"/>
  <c r="DH108" i="4" s="1"/>
  <c r="CW108" i="4"/>
  <c r="CX108" i="4" s="1"/>
  <c r="CQ108" i="4"/>
  <c r="CR108" i="4" s="1"/>
  <c r="CG108" i="4"/>
  <c r="CH108" i="4" s="1"/>
  <c r="CB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AY108" i="4"/>
  <c r="AZ108" i="4"/>
  <c r="AU108" i="4"/>
  <c r="AV108" i="4"/>
  <c r="AS108" i="4"/>
  <c r="AT108" i="4" s="1"/>
  <c r="AO108" i="4"/>
  <c r="AP108" i="4" s="1"/>
  <c r="AM108" i="4"/>
  <c r="AN108" i="4" s="1"/>
  <c r="AK108" i="4"/>
  <c r="AL108" i="4" s="1"/>
  <c r="AI108" i="4"/>
  <c r="AJ108" i="4"/>
  <c r="AE108" i="4"/>
  <c r="AF108" i="4"/>
  <c r="AC108" i="4"/>
  <c r="AD108" i="4" s="1"/>
  <c r="Y108" i="4"/>
  <c r="Z108" i="4" s="1"/>
  <c r="W108" i="4"/>
  <c r="X108" i="4" s="1"/>
  <c r="U108" i="4"/>
  <c r="V108" i="4" s="1"/>
  <c r="S108" i="4"/>
  <c r="T108" i="4"/>
  <c r="O108" i="4"/>
  <c r="P108" i="4"/>
  <c r="M108" i="4"/>
  <c r="N108" i="4" s="1"/>
  <c r="J108" i="4"/>
  <c r="GQ107" i="4"/>
  <c r="GR107" i="4"/>
  <c r="GS107" i="4"/>
  <c r="GT107" i="4"/>
  <c r="GU107" i="4"/>
  <c r="GV107" i="4"/>
  <c r="GW107" i="4"/>
  <c r="GX107" i="4"/>
  <c r="GY107" i="4"/>
  <c r="GZ107" i="4"/>
  <c r="HA107" i="4"/>
  <c r="HB107" i="4"/>
  <c r="HC107" i="4"/>
  <c r="HD107" i="4"/>
  <c r="HE107" i="4"/>
  <c r="HF107" i="4"/>
  <c r="HG107" i="4"/>
  <c r="HH107" i="4"/>
  <c r="H107" i="4"/>
  <c r="BZ107" i="4" s="1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EL107" i="4"/>
  <c r="EM107" i="4"/>
  <c r="EN107" i="4"/>
  <c r="EO107" i="4"/>
  <c r="EP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I107" i="4"/>
  <c r="AW107" i="4" s="1"/>
  <c r="AX107" i="4" s="1"/>
  <c r="AY107" i="4"/>
  <c r="AZ107" i="4" s="1"/>
  <c r="AU107" i="4"/>
  <c r="AV107" i="4" s="1"/>
  <c r="AQ107" i="4"/>
  <c r="AR107" i="4" s="1"/>
  <c r="AO107" i="4"/>
  <c r="AP107" i="4"/>
  <c r="AM107" i="4"/>
  <c r="AN107" i="4" s="1"/>
  <c r="AK107" i="4"/>
  <c r="AL107" i="4"/>
  <c r="AI107" i="4"/>
  <c r="AJ107" i="4" s="1"/>
  <c r="AG107" i="4"/>
  <c r="AH107" i="4"/>
  <c r="AE107" i="4"/>
  <c r="AF107" i="4" s="1"/>
  <c r="AC107" i="4"/>
  <c r="AD107" i="4"/>
  <c r="AA107" i="4"/>
  <c r="AB107" i="4" s="1"/>
  <c r="Y107" i="4"/>
  <c r="Z107" i="4"/>
  <c r="W107" i="4"/>
  <c r="X107" i="4" s="1"/>
  <c r="U107" i="4"/>
  <c r="V107" i="4"/>
  <c r="S107" i="4"/>
  <c r="T107" i="4" s="1"/>
  <c r="Q107" i="4"/>
  <c r="R107" i="4"/>
  <c r="O107" i="4"/>
  <c r="P107" i="4" s="1"/>
  <c r="M107" i="4"/>
  <c r="N107" i="4"/>
  <c r="K107" i="4"/>
  <c r="L107" i="4" s="1"/>
  <c r="J107" i="4"/>
  <c r="GQ106" i="4"/>
  <c r="GR106" i="4"/>
  <c r="GS106" i="4"/>
  <c r="GT106" i="4"/>
  <c r="GU106" i="4"/>
  <c r="GV106" i="4"/>
  <c r="GW106" i="4"/>
  <c r="GX106" i="4"/>
  <c r="GY106" i="4"/>
  <c r="GZ106" i="4"/>
  <c r="HA106" i="4"/>
  <c r="HB106" i="4"/>
  <c r="HC106" i="4"/>
  <c r="HD106" i="4"/>
  <c r="HE106" i="4"/>
  <c r="HF106" i="4"/>
  <c r="HG106" i="4"/>
  <c r="HH106" i="4"/>
  <c r="H106" i="4"/>
  <c r="BZ106" i="4"/>
  <c r="ER106" i="4" s="1"/>
  <c r="ES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EL106" i="4"/>
  <c r="EM106" i="4"/>
  <c r="EN106" i="4"/>
  <c r="EO106" i="4"/>
  <c r="EP106" i="4"/>
  <c r="CA106" i="4"/>
  <c r="DQ106" i="4" s="1"/>
  <c r="DR106" i="4"/>
  <c r="DM106" i="4"/>
  <c r="DN106" i="4"/>
  <c r="DI106" i="4"/>
  <c r="DJ106" i="4"/>
  <c r="DE106" i="4"/>
  <c r="DF106" i="4"/>
  <c r="DA106" i="4"/>
  <c r="DB106" i="4"/>
  <c r="CW106" i="4"/>
  <c r="CX106" i="4"/>
  <c r="CS106" i="4"/>
  <c r="CT106" i="4"/>
  <c r="CO106" i="4"/>
  <c r="CP106" i="4"/>
  <c r="CK106" i="4"/>
  <c r="CL106" i="4"/>
  <c r="CG106" i="4"/>
  <c r="CH106" i="4"/>
  <c r="CC106" i="4"/>
  <c r="CD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I106" i="4"/>
  <c r="GQ105" i="4"/>
  <c r="GR105" i="4"/>
  <c r="GS105" i="4"/>
  <c r="GT105" i="4"/>
  <c r="GU105" i="4"/>
  <c r="GV105" i="4"/>
  <c r="GW105" i="4"/>
  <c r="GX105" i="4"/>
  <c r="GY105" i="4"/>
  <c r="GZ105" i="4"/>
  <c r="HA105" i="4"/>
  <c r="HB105" i="4"/>
  <c r="HC105" i="4"/>
  <c r="HD105" i="4"/>
  <c r="HE105" i="4"/>
  <c r="HF105" i="4"/>
  <c r="HG105" i="4"/>
  <c r="HH105" i="4"/>
  <c r="H105" i="4"/>
  <c r="I105" i="4" s="1"/>
  <c r="AW105" i="4" s="1"/>
  <c r="AX105" i="4" s="1"/>
  <c r="BZ105" i="4"/>
  <c r="ER105" i="4"/>
  <c r="ES105" i="4" s="1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EM105" i="4"/>
  <c r="EN105" i="4"/>
  <c r="EO105" i="4"/>
  <c r="EP105" i="4"/>
  <c r="CA105" i="4"/>
  <c r="DO105" i="4" s="1"/>
  <c r="DP105" i="4" s="1"/>
  <c r="DQ105" i="4"/>
  <c r="DR105" i="4" s="1"/>
  <c r="DM105" i="4"/>
  <c r="DN105" i="4" s="1"/>
  <c r="DI105" i="4"/>
  <c r="DJ105" i="4" s="1"/>
  <c r="DE105" i="4"/>
  <c r="DF105" i="4" s="1"/>
  <c r="DA105" i="4"/>
  <c r="DB105" i="4" s="1"/>
  <c r="CW105" i="4"/>
  <c r="CX105" i="4" s="1"/>
  <c r="CU105" i="4"/>
  <c r="CV105" i="4"/>
  <c r="CS105" i="4"/>
  <c r="CT105" i="4" s="1"/>
  <c r="CQ105" i="4"/>
  <c r="CR105" i="4"/>
  <c r="CO105" i="4"/>
  <c r="CP105" i="4" s="1"/>
  <c r="CM105" i="4"/>
  <c r="CN105" i="4"/>
  <c r="CK105" i="4"/>
  <c r="CL105" i="4" s="1"/>
  <c r="CI105" i="4"/>
  <c r="CJ105" i="4"/>
  <c r="CG105" i="4"/>
  <c r="CH105" i="4" s="1"/>
  <c r="CE105" i="4"/>
  <c r="CF105" i="4"/>
  <c r="CC105" i="4"/>
  <c r="CD105" i="4" s="1"/>
  <c r="CB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AS105" i="4"/>
  <c r="AT105" i="4" s="1"/>
  <c r="AK105" i="4"/>
  <c r="AL105" i="4" s="1"/>
  <c r="AC105" i="4"/>
  <c r="AD105" i="4" s="1"/>
  <c r="U105" i="4"/>
  <c r="V105" i="4" s="1"/>
  <c r="M105" i="4"/>
  <c r="N105" i="4" s="1"/>
  <c r="GQ104" i="4"/>
  <c r="GR104" i="4"/>
  <c r="GS104" i="4"/>
  <c r="GT104" i="4"/>
  <c r="GU104" i="4"/>
  <c r="GV104" i="4"/>
  <c r="GW104" i="4"/>
  <c r="GX104" i="4"/>
  <c r="GY104" i="4"/>
  <c r="GZ104" i="4"/>
  <c r="HA104" i="4"/>
  <c r="HB104" i="4"/>
  <c r="HC104" i="4"/>
  <c r="HD104" i="4"/>
  <c r="HE104" i="4"/>
  <c r="HF104" i="4"/>
  <c r="HG104" i="4"/>
  <c r="HH104" i="4"/>
  <c r="H104" i="4"/>
  <c r="BZ104" i="4"/>
  <c r="ER104" i="4" s="1"/>
  <c r="ES104" i="4" s="1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EL104" i="4"/>
  <c r="EM104" i="4"/>
  <c r="EN104" i="4"/>
  <c r="EO104" i="4"/>
  <c r="EP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I104" i="4"/>
  <c r="AW104" i="4" s="1"/>
  <c r="AX104" i="4" s="1"/>
  <c r="AY104" i="4"/>
  <c r="AZ104" i="4"/>
  <c r="AU104" i="4"/>
  <c r="AV104" i="4"/>
  <c r="AQ104" i="4"/>
  <c r="AR104" i="4"/>
  <c r="AM104" i="4"/>
  <c r="AN104" i="4"/>
  <c r="AI104" i="4"/>
  <c r="AJ104" i="4"/>
  <c r="AE104" i="4"/>
  <c r="AF104" i="4"/>
  <c r="AA104" i="4"/>
  <c r="AB104" i="4"/>
  <c r="W104" i="4"/>
  <c r="X104" i="4"/>
  <c r="S104" i="4"/>
  <c r="T104" i="4"/>
  <c r="O104" i="4"/>
  <c r="P104" i="4"/>
  <c r="K104" i="4"/>
  <c r="L104" i="4"/>
  <c r="GQ103" i="4"/>
  <c r="GR103" i="4"/>
  <c r="GS103" i="4"/>
  <c r="GT103" i="4"/>
  <c r="GU103" i="4"/>
  <c r="GV103" i="4"/>
  <c r="GW103" i="4"/>
  <c r="GX103" i="4"/>
  <c r="GY103" i="4"/>
  <c r="GZ103" i="4"/>
  <c r="HA103" i="4"/>
  <c r="HB103" i="4"/>
  <c r="HC103" i="4"/>
  <c r="HD103" i="4"/>
  <c r="HE103" i="4"/>
  <c r="HF103" i="4"/>
  <c r="HG103" i="4"/>
  <c r="HH103" i="4"/>
  <c r="H103" i="4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EL103" i="4"/>
  <c r="EM103" i="4"/>
  <c r="EN103" i="4"/>
  <c r="EO103" i="4"/>
  <c r="EP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GQ102" i="4"/>
  <c r="GR102" i="4"/>
  <c r="GS102" i="4"/>
  <c r="GT102" i="4"/>
  <c r="GU102" i="4"/>
  <c r="GV102" i="4"/>
  <c r="GW102" i="4"/>
  <c r="GX102" i="4"/>
  <c r="GY102" i="4"/>
  <c r="GZ102" i="4"/>
  <c r="HA102" i="4"/>
  <c r="HB102" i="4"/>
  <c r="HC102" i="4"/>
  <c r="HD102" i="4"/>
  <c r="HE102" i="4"/>
  <c r="HF102" i="4"/>
  <c r="HG102" i="4"/>
  <c r="HH102" i="4"/>
  <c r="H102" i="4"/>
  <c r="BZ102" i="4"/>
  <c r="ER102" i="4"/>
  <c r="ES102" i="4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EM102" i="4"/>
  <c r="EN102" i="4"/>
  <c r="EO102" i="4"/>
  <c r="EP102" i="4"/>
  <c r="CA102" i="4"/>
  <c r="DO102" i="4" s="1"/>
  <c r="DP102" i="4" s="1"/>
  <c r="DQ102" i="4"/>
  <c r="DR102" i="4"/>
  <c r="DM102" i="4"/>
  <c r="DN102" i="4"/>
  <c r="DI102" i="4"/>
  <c r="DJ102" i="4"/>
  <c r="DE102" i="4"/>
  <c r="DF102" i="4"/>
  <c r="DA102" i="4"/>
  <c r="DB102" i="4"/>
  <c r="CW102" i="4"/>
  <c r="CX102" i="4"/>
  <c r="CS102" i="4"/>
  <c r="CT102" i="4"/>
  <c r="CO102" i="4"/>
  <c r="CP102" i="4"/>
  <c r="CK102" i="4"/>
  <c r="CL102" i="4"/>
  <c r="CG102" i="4"/>
  <c r="CH102" i="4"/>
  <c r="CC102" i="4"/>
  <c r="CD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I102" i="4"/>
  <c r="GQ101" i="4"/>
  <c r="GR101" i="4"/>
  <c r="GS101" i="4"/>
  <c r="GT101" i="4"/>
  <c r="GU101" i="4"/>
  <c r="GV101" i="4"/>
  <c r="GW101" i="4"/>
  <c r="GX101" i="4"/>
  <c r="GY101" i="4"/>
  <c r="GZ101" i="4"/>
  <c r="HA101" i="4"/>
  <c r="HB101" i="4"/>
  <c r="HC101" i="4"/>
  <c r="HD101" i="4"/>
  <c r="HE101" i="4"/>
  <c r="HF101" i="4"/>
  <c r="HG101" i="4"/>
  <c r="HH101" i="4"/>
  <c r="H101" i="4"/>
  <c r="I101" i="4" s="1"/>
  <c r="BZ101" i="4"/>
  <c r="ER101" i="4"/>
  <c r="ES101" i="4" s="1"/>
  <c r="GG101" i="4"/>
  <c r="GH101" i="4" s="1"/>
  <c r="FY101" i="4"/>
  <c r="FZ101" i="4" s="1"/>
  <c r="FU101" i="4"/>
  <c r="FV101" i="4" s="1"/>
  <c r="FQ101" i="4"/>
  <c r="FR101" i="4" s="1"/>
  <c r="FI101" i="4"/>
  <c r="FJ101" i="4" s="1"/>
  <c r="FE101" i="4"/>
  <c r="FF101" i="4" s="1"/>
  <c r="FA101" i="4"/>
  <c r="FB101" i="4" s="1"/>
  <c r="ET101" i="4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EM101" i="4"/>
  <c r="EN101" i="4"/>
  <c r="EO101" i="4"/>
  <c r="EP101" i="4"/>
  <c r="CA101" i="4"/>
  <c r="DO101" i="4" s="1"/>
  <c r="DP101" i="4" s="1"/>
  <c r="DQ101" i="4"/>
  <c r="DR101" i="4" s="1"/>
  <c r="DM101" i="4"/>
  <c r="DN101" i="4" s="1"/>
  <c r="DI101" i="4"/>
  <c r="DJ101" i="4" s="1"/>
  <c r="DE101" i="4"/>
  <c r="DF101" i="4" s="1"/>
  <c r="DA101" i="4"/>
  <c r="DB101" i="4" s="1"/>
  <c r="CW101" i="4"/>
  <c r="CX101" i="4" s="1"/>
  <c r="CU101" i="4"/>
  <c r="CV101" i="4"/>
  <c r="CS101" i="4"/>
  <c r="CT101" i="4" s="1"/>
  <c r="CQ101" i="4"/>
  <c r="CR101" i="4"/>
  <c r="CO101" i="4"/>
  <c r="CP101" i="4" s="1"/>
  <c r="CM101" i="4"/>
  <c r="CN101" i="4"/>
  <c r="CK101" i="4"/>
  <c r="CL101" i="4" s="1"/>
  <c r="CI101" i="4"/>
  <c r="CJ101" i="4"/>
  <c r="CG101" i="4"/>
  <c r="CH101" i="4" s="1"/>
  <c r="CE101" i="4"/>
  <c r="CF101" i="4"/>
  <c r="CC101" i="4"/>
  <c r="CD101" i="4" s="1"/>
  <c r="CB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AW101" i="4"/>
  <c r="AX101" i="4" s="1"/>
  <c r="AS101" i="4"/>
  <c r="AT101" i="4" s="1"/>
  <c r="AO101" i="4"/>
  <c r="AP101" i="4" s="1"/>
  <c r="AK101" i="4"/>
  <c r="AL101" i="4" s="1"/>
  <c r="AG101" i="4"/>
  <c r="AH101" i="4" s="1"/>
  <c r="AC101" i="4"/>
  <c r="AD101" i="4" s="1"/>
  <c r="Y101" i="4"/>
  <c r="Z101" i="4" s="1"/>
  <c r="U101" i="4"/>
  <c r="V101" i="4" s="1"/>
  <c r="Q101" i="4"/>
  <c r="R101" i="4" s="1"/>
  <c r="M101" i="4"/>
  <c r="N101" i="4" s="1"/>
  <c r="J101" i="4"/>
  <c r="GQ100" i="4"/>
  <c r="GR100" i="4"/>
  <c r="GS100" i="4"/>
  <c r="GT100" i="4"/>
  <c r="GU100" i="4"/>
  <c r="GV100" i="4"/>
  <c r="GW100" i="4"/>
  <c r="GX100" i="4"/>
  <c r="GY100" i="4"/>
  <c r="GZ100" i="4"/>
  <c r="HA100" i="4"/>
  <c r="HB100" i="4"/>
  <c r="HC100" i="4"/>
  <c r="HD100" i="4"/>
  <c r="HE100" i="4"/>
  <c r="HF100" i="4"/>
  <c r="HG100" i="4"/>
  <c r="HH100" i="4"/>
  <c r="H100" i="4"/>
  <c r="BZ100" i="4"/>
  <c r="ER100" i="4" s="1"/>
  <c r="ES100" i="4" s="1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EM100" i="4"/>
  <c r="EN100" i="4"/>
  <c r="EO100" i="4"/>
  <c r="EP100" i="4"/>
  <c r="CA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I100" i="4"/>
  <c r="AW100" i="4" s="1"/>
  <c r="AX100" i="4" s="1"/>
  <c r="AY100" i="4"/>
  <c r="AZ100" i="4"/>
  <c r="AU100" i="4"/>
  <c r="AV100" i="4"/>
  <c r="AQ100" i="4"/>
  <c r="AR100" i="4"/>
  <c r="AM100" i="4"/>
  <c r="AN100" i="4"/>
  <c r="AI100" i="4"/>
  <c r="AJ100" i="4"/>
  <c r="AE100" i="4"/>
  <c r="AF100" i="4"/>
  <c r="AA100" i="4"/>
  <c r="AB100" i="4"/>
  <c r="W100" i="4"/>
  <c r="X100" i="4"/>
  <c r="S100" i="4"/>
  <c r="T100" i="4"/>
  <c r="O100" i="4"/>
  <c r="P100" i="4"/>
  <c r="K100" i="4"/>
  <c r="L100" i="4"/>
  <c r="GQ99" i="4"/>
  <c r="GR99" i="4"/>
  <c r="GS99" i="4"/>
  <c r="GT99" i="4"/>
  <c r="GU99" i="4"/>
  <c r="GV99" i="4"/>
  <c r="GW99" i="4"/>
  <c r="GX99" i="4"/>
  <c r="GY99" i="4"/>
  <c r="GZ99" i="4"/>
  <c r="HA99" i="4"/>
  <c r="HB99" i="4"/>
  <c r="HC99" i="4"/>
  <c r="HD99" i="4"/>
  <c r="HE99" i="4"/>
  <c r="HF99" i="4"/>
  <c r="HG99" i="4"/>
  <c r="HH99" i="4"/>
  <c r="H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EM99" i="4"/>
  <c r="EN99" i="4"/>
  <c r="EO99" i="4"/>
  <c r="EP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GQ98" i="4"/>
  <c r="GR98" i="4"/>
  <c r="GS98" i="4"/>
  <c r="GT98" i="4"/>
  <c r="GU98" i="4"/>
  <c r="GV98" i="4"/>
  <c r="GW98" i="4"/>
  <c r="GX98" i="4"/>
  <c r="GY98" i="4"/>
  <c r="GZ98" i="4"/>
  <c r="HA98" i="4"/>
  <c r="HB98" i="4"/>
  <c r="HC98" i="4"/>
  <c r="HD98" i="4"/>
  <c r="HE98" i="4"/>
  <c r="HF98" i="4"/>
  <c r="HG98" i="4"/>
  <c r="HH98" i="4"/>
  <c r="H98" i="4"/>
  <c r="BZ98" i="4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EL98" i="4"/>
  <c r="EM98" i="4"/>
  <c r="EN98" i="4"/>
  <c r="EO98" i="4"/>
  <c r="EP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I98" i="4"/>
  <c r="AO98" i="4"/>
  <c r="AP98" i="4" s="1"/>
  <c r="Y98" i="4"/>
  <c r="Z98" i="4" s="1"/>
  <c r="J98" i="4"/>
  <c r="GQ97" i="4"/>
  <c r="GR97" i="4"/>
  <c r="GS97" i="4"/>
  <c r="GT97" i="4"/>
  <c r="GU97" i="4"/>
  <c r="GV97" i="4"/>
  <c r="GW97" i="4"/>
  <c r="GX97" i="4"/>
  <c r="GY97" i="4"/>
  <c r="GZ97" i="4"/>
  <c r="HA97" i="4"/>
  <c r="HB97" i="4"/>
  <c r="HC97" i="4"/>
  <c r="HD97" i="4"/>
  <c r="HE97" i="4"/>
  <c r="HF97" i="4"/>
  <c r="HG97" i="4"/>
  <c r="HH97" i="4"/>
  <c r="H97" i="4"/>
  <c r="I97" i="4" s="1"/>
  <c r="BZ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EL97" i="4"/>
  <c r="EM97" i="4"/>
  <c r="EN97" i="4"/>
  <c r="EO97" i="4"/>
  <c r="EP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AY97" i="4"/>
  <c r="AZ97" i="4" s="1"/>
  <c r="AW97" i="4"/>
  <c r="AX97" i="4" s="1"/>
  <c r="AU97" i="4"/>
  <c r="AV97" i="4"/>
  <c r="AS97" i="4"/>
  <c r="AT97" i="4" s="1"/>
  <c r="AQ97" i="4"/>
  <c r="AR97" i="4" s="1"/>
  <c r="AO97" i="4"/>
  <c r="AP97" i="4" s="1"/>
  <c r="AM97" i="4"/>
  <c r="AN97" i="4"/>
  <c r="AK97" i="4"/>
  <c r="AL97" i="4" s="1"/>
  <c r="AI97" i="4"/>
  <c r="AJ97" i="4" s="1"/>
  <c r="AG97" i="4"/>
  <c r="AH97" i="4" s="1"/>
  <c r="AE97" i="4"/>
  <c r="AF97" i="4"/>
  <c r="AC97" i="4"/>
  <c r="AD97" i="4" s="1"/>
  <c r="AA97" i="4"/>
  <c r="AB97" i="4" s="1"/>
  <c r="Y97" i="4"/>
  <c r="Z97" i="4" s="1"/>
  <c r="W97" i="4"/>
  <c r="X97" i="4"/>
  <c r="U97" i="4"/>
  <c r="V97" i="4" s="1"/>
  <c r="S97" i="4"/>
  <c r="T97" i="4" s="1"/>
  <c r="Q97" i="4"/>
  <c r="R97" i="4" s="1"/>
  <c r="O97" i="4"/>
  <c r="P97" i="4"/>
  <c r="M97" i="4"/>
  <c r="N97" i="4" s="1"/>
  <c r="K97" i="4"/>
  <c r="L97" i="4" s="1"/>
  <c r="J97" i="4"/>
  <c r="GQ96" i="4"/>
  <c r="GR96" i="4"/>
  <c r="GS96" i="4"/>
  <c r="GT96" i="4"/>
  <c r="GU96" i="4"/>
  <c r="GV96" i="4"/>
  <c r="GW96" i="4"/>
  <c r="GX96" i="4"/>
  <c r="GY96" i="4"/>
  <c r="GZ96" i="4"/>
  <c r="HA96" i="4"/>
  <c r="HB96" i="4"/>
  <c r="HC96" i="4"/>
  <c r="HD96" i="4"/>
  <c r="HE96" i="4"/>
  <c r="HF96" i="4"/>
  <c r="HG96" i="4"/>
  <c r="HH96" i="4"/>
  <c r="H96" i="4"/>
  <c r="BZ96" i="4" s="1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EN96" i="4"/>
  <c r="EO96" i="4"/>
  <c r="EP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I96" i="4"/>
  <c r="AW96" i="4" s="1"/>
  <c r="AX96" i="4" s="1"/>
  <c r="M96" i="4"/>
  <c r="N96" i="4" s="1"/>
  <c r="GQ95" i="4"/>
  <c r="GR95" i="4"/>
  <c r="GS95" i="4"/>
  <c r="GT95" i="4"/>
  <c r="GU95" i="4"/>
  <c r="GV95" i="4"/>
  <c r="GW95" i="4"/>
  <c r="GX95" i="4"/>
  <c r="GY95" i="4"/>
  <c r="GZ95" i="4"/>
  <c r="HA95" i="4"/>
  <c r="HB95" i="4"/>
  <c r="HC95" i="4"/>
  <c r="HD95" i="4"/>
  <c r="HE95" i="4"/>
  <c r="HF95" i="4"/>
  <c r="HG95" i="4"/>
  <c r="HH95" i="4"/>
  <c r="H95" i="4"/>
  <c r="BZ95" i="4" s="1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EM95" i="4"/>
  <c r="EN95" i="4"/>
  <c r="EO95" i="4"/>
  <c r="EP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GQ94" i="4"/>
  <c r="GR94" i="4"/>
  <c r="GS94" i="4"/>
  <c r="GT94" i="4"/>
  <c r="GU94" i="4"/>
  <c r="GV94" i="4"/>
  <c r="GW94" i="4"/>
  <c r="GX94" i="4"/>
  <c r="GY94" i="4"/>
  <c r="GZ94" i="4"/>
  <c r="HA94" i="4"/>
  <c r="HB94" i="4"/>
  <c r="HC94" i="4"/>
  <c r="HD94" i="4"/>
  <c r="HE94" i="4"/>
  <c r="HF94" i="4"/>
  <c r="HG94" i="4"/>
  <c r="HH94" i="4"/>
  <c r="H94" i="4"/>
  <c r="BZ94" i="4" s="1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EL94" i="4"/>
  <c r="EM94" i="4"/>
  <c r="EN94" i="4"/>
  <c r="EO94" i="4"/>
  <c r="EP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GQ93" i="4"/>
  <c r="GR93" i="4"/>
  <c r="GS93" i="4"/>
  <c r="GT93" i="4"/>
  <c r="GU93" i="4"/>
  <c r="GV93" i="4"/>
  <c r="GW93" i="4"/>
  <c r="GX93" i="4"/>
  <c r="GY93" i="4"/>
  <c r="GZ93" i="4"/>
  <c r="HA93" i="4"/>
  <c r="HB93" i="4"/>
  <c r="HC93" i="4"/>
  <c r="HD93" i="4"/>
  <c r="HE93" i="4"/>
  <c r="HF93" i="4"/>
  <c r="HG93" i="4"/>
  <c r="HH93" i="4"/>
  <c r="H93" i="4"/>
  <c r="BZ93" i="4" s="1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EM93" i="4"/>
  <c r="EN93" i="4"/>
  <c r="EO93" i="4"/>
  <c r="EP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I93" i="4"/>
  <c r="AY93" i="4" s="1"/>
  <c r="AZ93" i="4" s="1"/>
  <c r="GQ92" i="4"/>
  <c r="GR92" i="4"/>
  <c r="GS92" i="4"/>
  <c r="GT92" i="4"/>
  <c r="GU92" i="4"/>
  <c r="GV92" i="4"/>
  <c r="GW92" i="4"/>
  <c r="GX92" i="4"/>
  <c r="GY92" i="4"/>
  <c r="GZ92" i="4"/>
  <c r="HA92" i="4"/>
  <c r="HB92" i="4"/>
  <c r="HC92" i="4"/>
  <c r="HD92" i="4"/>
  <c r="HE92" i="4"/>
  <c r="HF92" i="4"/>
  <c r="HG92" i="4"/>
  <c r="HH92" i="4"/>
  <c r="H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EN92" i="4"/>
  <c r="EO92" i="4"/>
  <c r="EP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GQ89" i="4"/>
  <c r="GR89" i="4"/>
  <c r="GS89" i="4"/>
  <c r="GT89" i="4"/>
  <c r="GU89" i="4"/>
  <c r="GV89" i="4"/>
  <c r="GW89" i="4"/>
  <c r="GX89" i="4"/>
  <c r="GY89" i="4"/>
  <c r="GZ89" i="4"/>
  <c r="HA89" i="4"/>
  <c r="HB89" i="4"/>
  <c r="HC89" i="4"/>
  <c r="HD89" i="4"/>
  <c r="HE89" i="4"/>
  <c r="HF89" i="4"/>
  <c r="HG89" i="4"/>
  <c r="HH89" i="4"/>
  <c r="H89" i="4"/>
  <c r="BZ89" i="4" s="1"/>
  <c r="ER89" i="4" s="1"/>
  <c r="ES89" i="4" s="1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EM89" i="4"/>
  <c r="EN89" i="4"/>
  <c r="EO89" i="4"/>
  <c r="EP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GQ88" i="4"/>
  <c r="GR88" i="4"/>
  <c r="GS88" i="4"/>
  <c r="GT88" i="4"/>
  <c r="GU88" i="4"/>
  <c r="GV88" i="4"/>
  <c r="GW88" i="4"/>
  <c r="GX88" i="4"/>
  <c r="GY88" i="4"/>
  <c r="GZ88" i="4"/>
  <c r="HA88" i="4"/>
  <c r="HB88" i="4"/>
  <c r="HC88" i="4"/>
  <c r="HD88" i="4"/>
  <c r="HE88" i="4"/>
  <c r="HF88" i="4"/>
  <c r="HG88" i="4"/>
  <c r="HH88" i="4"/>
  <c r="H88" i="4"/>
  <c r="BZ88" i="4" s="1"/>
  <c r="CA88" i="4" s="1"/>
  <c r="DE88" i="4" s="1"/>
  <c r="DF88" i="4" s="1"/>
  <c r="ER88" i="4"/>
  <c r="ES88" i="4" s="1"/>
  <c r="FY88" i="4" s="1"/>
  <c r="FZ88" i="4" s="1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EP88" i="4"/>
  <c r="DQ88" i="4"/>
  <c r="DR88" i="4" s="1"/>
  <c r="DM88" i="4"/>
  <c r="DN88" i="4" s="1"/>
  <c r="CS88" i="4"/>
  <c r="CT88" i="4" s="1"/>
  <c r="CO88" i="4"/>
  <c r="CP88" i="4" s="1"/>
  <c r="CK88" i="4"/>
  <c r="CL88" i="4" s="1"/>
  <c r="CG88" i="4"/>
  <c r="CH88" i="4" s="1"/>
  <c r="CC88" i="4"/>
  <c r="CD88" i="4" s="1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GQ87" i="4"/>
  <c r="GR87" i="4"/>
  <c r="GS87" i="4"/>
  <c r="GT87" i="4"/>
  <c r="GU87" i="4"/>
  <c r="GV87" i="4"/>
  <c r="GW87" i="4"/>
  <c r="GX87" i="4"/>
  <c r="GY87" i="4"/>
  <c r="GZ87" i="4"/>
  <c r="HA87" i="4"/>
  <c r="HB87" i="4"/>
  <c r="HC87" i="4"/>
  <c r="HD87" i="4"/>
  <c r="HE87" i="4"/>
  <c r="HF87" i="4"/>
  <c r="HG87" i="4"/>
  <c r="HH87" i="4"/>
  <c r="H87" i="4"/>
  <c r="BZ87" i="4" s="1"/>
  <c r="ER87" i="4" s="1"/>
  <c r="ES87" i="4" s="1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EN87" i="4"/>
  <c r="EO87" i="4"/>
  <c r="EP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I87" i="4"/>
  <c r="AY87" i="4" s="1"/>
  <c r="AZ87" i="4" s="1"/>
  <c r="GQ86" i="4"/>
  <c r="GR86" i="4"/>
  <c r="GS86" i="4"/>
  <c r="GT86" i="4"/>
  <c r="GU86" i="4"/>
  <c r="GV86" i="4"/>
  <c r="GW86" i="4"/>
  <c r="GX86" i="4"/>
  <c r="GY86" i="4"/>
  <c r="GZ86" i="4"/>
  <c r="HA86" i="4"/>
  <c r="HB86" i="4"/>
  <c r="HC86" i="4"/>
  <c r="HD86" i="4"/>
  <c r="HE86" i="4"/>
  <c r="HF86" i="4"/>
  <c r="HG86" i="4"/>
  <c r="HH86" i="4"/>
  <c r="H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EP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GQ85" i="4"/>
  <c r="GR85" i="4"/>
  <c r="GS85" i="4"/>
  <c r="GT85" i="4"/>
  <c r="GU85" i="4"/>
  <c r="GV85" i="4"/>
  <c r="GW85" i="4"/>
  <c r="GX85" i="4"/>
  <c r="GY85" i="4"/>
  <c r="GZ85" i="4"/>
  <c r="HA85" i="4"/>
  <c r="HB85" i="4"/>
  <c r="HC85" i="4"/>
  <c r="HD85" i="4"/>
  <c r="HE85" i="4"/>
  <c r="HF85" i="4"/>
  <c r="HG85" i="4"/>
  <c r="HH85" i="4"/>
  <c r="H85" i="4"/>
  <c r="BZ85" i="4"/>
  <c r="ER85" i="4" s="1"/>
  <c r="ES85" i="4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EL85" i="4"/>
  <c r="EM85" i="4"/>
  <c r="EN85" i="4"/>
  <c r="EO85" i="4"/>
  <c r="EP85" i="4"/>
  <c r="CA85" i="4"/>
  <c r="DQ85" i="4" s="1"/>
  <c r="DR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I85" i="4"/>
  <c r="GQ84" i="4"/>
  <c r="GR84" i="4"/>
  <c r="GS84" i="4"/>
  <c r="GT84" i="4"/>
  <c r="GU84" i="4"/>
  <c r="GV84" i="4"/>
  <c r="GW84" i="4"/>
  <c r="GX84" i="4"/>
  <c r="GY84" i="4"/>
  <c r="GZ84" i="4"/>
  <c r="HA84" i="4"/>
  <c r="HB84" i="4"/>
  <c r="HC84" i="4"/>
  <c r="HD84" i="4"/>
  <c r="HE84" i="4"/>
  <c r="HF84" i="4"/>
  <c r="HG84" i="4"/>
  <c r="HH84" i="4"/>
  <c r="H84" i="4"/>
  <c r="BZ84" i="4" s="1"/>
  <c r="CA84" i="4" s="1"/>
  <c r="DQ84" i="4" s="1"/>
  <c r="DR84" i="4" s="1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EP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GQ83" i="4"/>
  <c r="GR83" i="4"/>
  <c r="GS83" i="4"/>
  <c r="GT83" i="4"/>
  <c r="GU83" i="4"/>
  <c r="GV83" i="4"/>
  <c r="GW83" i="4"/>
  <c r="GX83" i="4"/>
  <c r="GY83" i="4"/>
  <c r="GZ83" i="4"/>
  <c r="HA83" i="4"/>
  <c r="HB83" i="4"/>
  <c r="HC83" i="4"/>
  <c r="HD83" i="4"/>
  <c r="HE83" i="4"/>
  <c r="HF83" i="4"/>
  <c r="HG83" i="4"/>
  <c r="HH83" i="4"/>
  <c r="H83" i="4"/>
  <c r="I83" i="4" s="1"/>
  <c r="AY83" i="4" s="1"/>
  <c r="AZ83" i="4" s="1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EN83" i="4"/>
  <c r="EO83" i="4"/>
  <c r="EP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GQ82" i="4"/>
  <c r="GR82" i="4"/>
  <c r="GS82" i="4"/>
  <c r="GT82" i="4"/>
  <c r="GU82" i="4"/>
  <c r="GV82" i="4"/>
  <c r="GW82" i="4"/>
  <c r="GX82" i="4"/>
  <c r="GY82" i="4"/>
  <c r="GZ82" i="4"/>
  <c r="HA82" i="4"/>
  <c r="HB82" i="4"/>
  <c r="HC82" i="4"/>
  <c r="HD82" i="4"/>
  <c r="HE82" i="4"/>
  <c r="HF82" i="4"/>
  <c r="HG82" i="4"/>
  <c r="HH82" i="4"/>
  <c r="H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EP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GQ81" i="4"/>
  <c r="GR81" i="4"/>
  <c r="GS81" i="4"/>
  <c r="GT81" i="4"/>
  <c r="GU81" i="4"/>
  <c r="GV81" i="4"/>
  <c r="GW81" i="4"/>
  <c r="GX81" i="4"/>
  <c r="GY81" i="4"/>
  <c r="GZ81" i="4"/>
  <c r="HA81" i="4"/>
  <c r="HB81" i="4"/>
  <c r="HC81" i="4"/>
  <c r="HD81" i="4"/>
  <c r="HE81" i="4"/>
  <c r="HF81" i="4"/>
  <c r="HG81" i="4"/>
  <c r="HH81" i="4"/>
  <c r="H81" i="4"/>
  <c r="BZ81" i="4"/>
  <c r="ER81" i="4" s="1"/>
  <c r="ES81" i="4" s="1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EL81" i="4"/>
  <c r="EM81" i="4"/>
  <c r="EN81" i="4"/>
  <c r="EO81" i="4"/>
  <c r="EP81" i="4"/>
  <c r="CA81" i="4"/>
  <c r="DQ81" i="4" s="1"/>
  <c r="DR81" i="4" s="1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I81" i="4"/>
  <c r="GQ80" i="4"/>
  <c r="GR80" i="4"/>
  <c r="GS80" i="4"/>
  <c r="GT80" i="4"/>
  <c r="GU80" i="4"/>
  <c r="GV80" i="4"/>
  <c r="GW80" i="4"/>
  <c r="GX80" i="4"/>
  <c r="GY80" i="4"/>
  <c r="GZ80" i="4"/>
  <c r="HA80" i="4"/>
  <c r="HB80" i="4"/>
  <c r="HC80" i="4"/>
  <c r="HD80" i="4"/>
  <c r="HE80" i="4"/>
  <c r="HF80" i="4"/>
  <c r="HG80" i="4"/>
  <c r="HH80" i="4"/>
  <c r="H80" i="4"/>
  <c r="BZ80" i="4" s="1"/>
  <c r="CA80" i="4" s="1"/>
  <c r="DE80" i="4" s="1"/>
  <c r="DF80" i="4" s="1"/>
  <c r="ER80" i="4"/>
  <c r="ES80" i="4" s="1"/>
  <c r="FE80" i="4" s="1"/>
  <c r="FF80" i="4" s="1"/>
  <c r="FU80" i="4"/>
  <c r="FV80" i="4" s="1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EL80" i="4"/>
  <c r="EM80" i="4"/>
  <c r="EN80" i="4"/>
  <c r="EO80" i="4"/>
  <c r="EP80" i="4"/>
  <c r="DQ80" i="4"/>
  <c r="DR80" i="4" s="1"/>
  <c r="DM80" i="4"/>
  <c r="DN80" i="4" s="1"/>
  <c r="DI80" i="4"/>
  <c r="DJ80" i="4" s="1"/>
  <c r="DA80" i="4"/>
  <c r="DB80" i="4" s="1"/>
  <c r="CW80" i="4"/>
  <c r="CX80" i="4" s="1"/>
  <c r="CS80" i="4"/>
  <c r="CT80" i="4" s="1"/>
  <c r="CK80" i="4"/>
  <c r="CL80" i="4" s="1"/>
  <c r="CG80" i="4"/>
  <c r="CH80" i="4" s="1"/>
  <c r="CC80" i="4"/>
  <c r="CD80" i="4" s="1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GQ79" i="4"/>
  <c r="GR79" i="4"/>
  <c r="GS79" i="4"/>
  <c r="GT79" i="4"/>
  <c r="GU79" i="4"/>
  <c r="GV79" i="4"/>
  <c r="GW79" i="4"/>
  <c r="GX79" i="4"/>
  <c r="GY79" i="4"/>
  <c r="GZ79" i="4"/>
  <c r="HA79" i="4"/>
  <c r="HB79" i="4"/>
  <c r="HC79" i="4"/>
  <c r="HD79" i="4"/>
  <c r="HE79" i="4"/>
  <c r="HF79" i="4"/>
  <c r="HG79" i="4"/>
  <c r="HH79" i="4"/>
  <c r="H79" i="4"/>
  <c r="BZ79" i="4"/>
  <c r="ER79" i="4" s="1"/>
  <c r="ES79" i="4" s="1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EL79" i="4"/>
  <c r="EM79" i="4"/>
  <c r="EN79" i="4"/>
  <c r="EO79" i="4"/>
  <c r="EP79" i="4"/>
  <c r="CA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I79" i="4"/>
  <c r="GQ78" i="4"/>
  <c r="GR78" i="4"/>
  <c r="GS78" i="4"/>
  <c r="GT78" i="4"/>
  <c r="GU78" i="4"/>
  <c r="GV78" i="4"/>
  <c r="GW78" i="4"/>
  <c r="GX78" i="4"/>
  <c r="GY78" i="4"/>
  <c r="GZ78" i="4"/>
  <c r="HA78" i="4"/>
  <c r="HB78" i="4"/>
  <c r="HC78" i="4"/>
  <c r="HD78" i="4"/>
  <c r="HE78" i="4"/>
  <c r="HF78" i="4"/>
  <c r="HG78" i="4"/>
  <c r="HH78" i="4"/>
  <c r="H78" i="4"/>
  <c r="BZ78" i="4" s="1"/>
  <c r="CA78" i="4" s="1"/>
  <c r="DQ78" i="4" s="1"/>
  <c r="DR78" i="4" s="1"/>
  <c r="ER78" i="4"/>
  <c r="ES78" i="4" s="1"/>
  <c r="GC78" i="4" s="1"/>
  <c r="GD78" i="4" s="1"/>
  <c r="FU78" i="4"/>
  <c r="FV78" i="4" s="1"/>
  <c r="FE78" i="4"/>
  <c r="FF78" i="4" s="1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EL78" i="4"/>
  <c r="EM78" i="4"/>
  <c r="EN78" i="4"/>
  <c r="EO78" i="4"/>
  <c r="EP78" i="4"/>
  <c r="DO78" i="4"/>
  <c r="DP78" i="4" s="1"/>
  <c r="DM78" i="4"/>
  <c r="DN78" i="4" s="1"/>
  <c r="DK78" i="4"/>
  <c r="DL78" i="4" s="1"/>
  <c r="DG78" i="4"/>
  <c r="DH78" i="4" s="1"/>
  <c r="DE78" i="4"/>
  <c r="DF78" i="4" s="1"/>
  <c r="DC78" i="4"/>
  <c r="DD78" i="4" s="1"/>
  <c r="CY78" i="4"/>
  <c r="CZ78" i="4" s="1"/>
  <c r="CW78" i="4"/>
  <c r="CX78" i="4" s="1"/>
  <c r="CU78" i="4"/>
  <c r="CV78" i="4" s="1"/>
  <c r="CQ78" i="4"/>
  <c r="CR78" i="4" s="1"/>
  <c r="CO78" i="4"/>
  <c r="CP78" i="4"/>
  <c r="CK78" i="4"/>
  <c r="CL78" i="4"/>
  <c r="CG78" i="4"/>
  <c r="CH78" i="4"/>
  <c r="CC78" i="4"/>
  <c r="CD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I78" i="4"/>
  <c r="GQ77" i="4"/>
  <c r="GR77" i="4"/>
  <c r="GS77" i="4"/>
  <c r="GT77" i="4"/>
  <c r="GU77" i="4"/>
  <c r="GV77" i="4"/>
  <c r="GW77" i="4"/>
  <c r="GX77" i="4"/>
  <c r="GY77" i="4"/>
  <c r="GZ77" i="4"/>
  <c r="HA77" i="4"/>
  <c r="HB77" i="4"/>
  <c r="HC77" i="4"/>
  <c r="HD77" i="4"/>
  <c r="HE77" i="4"/>
  <c r="HF77" i="4"/>
  <c r="HG77" i="4"/>
  <c r="HH77" i="4"/>
  <c r="H77" i="4"/>
  <c r="BZ77" i="4" s="1"/>
  <c r="CA77" i="4" s="1"/>
  <c r="DE77" i="4" s="1"/>
  <c r="DF77" i="4" s="1"/>
  <c r="ER77" i="4"/>
  <c r="ES77" i="4" s="1"/>
  <c r="FU77" i="4"/>
  <c r="FV77" i="4" s="1"/>
  <c r="FE77" i="4"/>
  <c r="FF77" i="4" s="1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EM77" i="4"/>
  <c r="EN77" i="4"/>
  <c r="EO77" i="4"/>
  <c r="EP77" i="4"/>
  <c r="DQ77" i="4"/>
  <c r="DR77" i="4" s="1"/>
  <c r="DM77" i="4"/>
  <c r="DN77" i="4" s="1"/>
  <c r="DI77" i="4"/>
  <c r="DJ77" i="4" s="1"/>
  <c r="DA77" i="4"/>
  <c r="DB77" i="4" s="1"/>
  <c r="CW77" i="4"/>
  <c r="CX77" i="4" s="1"/>
  <c r="CS77" i="4"/>
  <c r="CT77" i="4" s="1"/>
  <c r="CK77" i="4"/>
  <c r="CL77" i="4" s="1"/>
  <c r="CG77" i="4"/>
  <c r="CH77" i="4" s="1"/>
  <c r="CC77" i="4"/>
  <c r="CD77" i="4" s="1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GQ76" i="4"/>
  <c r="GR76" i="4"/>
  <c r="GS76" i="4"/>
  <c r="GT76" i="4"/>
  <c r="GU76" i="4"/>
  <c r="GV76" i="4"/>
  <c r="GW76" i="4"/>
  <c r="GX76" i="4"/>
  <c r="GY76" i="4"/>
  <c r="GZ76" i="4"/>
  <c r="HA76" i="4"/>
  <c r="HB76" i="4"/>
  <c r="HC76" i="4"/>
  <c r="HD76" i="4"/>
  <c r="HE76" i="4"/>
  <c r="HF76" i="4"/>
  <c r="HG76" i="4"/>
  <c r="HH76" i="4"/>
  <c r="H76" i="4"/>
  <c r="BZ76" i="4"/>
  <c r="ER76" i="4" s="1"/>
  <c r="ES76" i="4" s="1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EM76" i="4"/>
  <c r="EN76" i="4"/>
  <c r="EO76" i="4"/>
  <c r="EP76" i="4"/>
  <c r="CA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I76" i="4"/>
  <c r="AW76" i="4" s="1"/>
  <c r="AX76" i="4" s="1"/>
  <c r="AY76" i="4"/>
  <c r="AZ76" i="4"/>
  <c r="AU76" i="4"/>
  <c r="AV76" i="4"/>
  <c r="AQ76" i="4"/>
  <c r="AR76" i="4"/>
  <c r="AM76" i="4"/>
  <c r="AN76" i="4"/>
  <c r="AI76" i="4"/>
  <c r="AJ76" i="4"/>
  <c r="AE76" i="4"/>
  <c r="AF76" i="4"/>
  <c r="AA76" i="4"/>
  <c r="AB76" i="4"/>
  <c r="W76" i="4"/>
  <c r="X76" i="4"/>
  <c r="S76" i="4"/>
  <c r="T76" i="4"/>
  <c r="O76" i="4"/>
  <c r="P76" i="4"/>
  <c r="K76" i="4"/>
  <c r="L76" i="4"/>
  <c r="GQ75" i="4"/>
  <c r="GR75" i="4"/>
  <c r="GS75" i="4"/>
  <c r="GT75" i="4"/>
  <c r="GU75" i="4"/>
  <c r="GV75" i="4"/>
  <c r="GW75" i="4"/>
  <c r="GX75" i="4"/>
  <c r="GY75" i="4"/>
  <c r="GZ75" i="4"/>
  <c r="HA75" i="4"/>
  <c r="HB75" i="4"/>
  <c r="HC75" i="4"/>
  <c r="HD75" i="4"/>
  <c r="HE75" i="4"/>
  <c r="HF75" i="4"/>
  <c r="HG75" i="4"/>
  <c r="HH75" i="4"/>
  <c r="H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EM75" i="4"/>
  <c r="EN75" i="4"/>
  <c r="EO75" i="4"/>
  <c r="EP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GQ74" i="4"/>
  <c r="GR74" i="4"/>
  <c r="GS74" i="4"/>
  <c r="GT74" i="4"/>
  <c r="GU74" i="4"/>
  <c r="GV74" i="4"/>
  <c r="GW74" i="4"/>
  <c r="GX74" i="4"/>
  <c r="GY74" i="4"/>
  <c r="GZ74" i="4"/>
  <c r="HA74" i="4"/>
  <c r="HB74" i="4"/>
  <c r="HC74" i="4"/>
  <c r="HD74" i="4"/>
  <c r="HE74" i="4"/>
  <c r="HF74" i="4"/>
  <c r="HG74" i="4"/>
  <c r="HH74" i="4"/>
  <c r="H74" i="4"/>
  <c r="BZ74" i="4"/>
  <c r="ER74" i="4"/>
  <c r="ES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EM74" i="4"/>
  <c r="EN74" i="4"/>
  <c r="EO74" i="4"/>
  <c r="EP74" i="4"/>
  <c r="CA74" i="4"/>
  <c r="DO74" i="4" s="1"/>
  <c r="DP74" i="4" s="1"/>
  <c r="DQ74" i="4"/>
  <c r="DR74" i="4"/>
  <c r="DM74" i="4"/>
  <c r="DN74" i="4"/>
  <c r="DI74" i="4"/>
  <c r="DJ74" i="4"/>
  <c r="DE74" i="4"/>
  <c r="DF74" i="4"/>
  <c r="DA74" i="4"/>
  <c r="DB74" i="4"/>
  <c r="CW74" i="4"/>
  <c r="CX74" i="4"/>
  <c r="CS74" i="4"/>
  <c r="CT74" i="4"/>
  <c r="CO74" i="4"/>
  <c r="CP74" i="4"/>
  <c r="CK74" i="4"/>
  <c r="CL74" i="4"/>
  <c r="CG74" i="4"/>
  <c r="CH74" i="4"/>
  <c r="CC74" i="4"/>
  <c r="CD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I74" i="4"/>
  <c r="GQ73" i="4"/>
  <c r="GR73" i="4"/>
  <c r="GS73" i="4"/>
  <c r="GT73" i="4"/>
  <c r="GU73" i="4"/>
  <c r="GV73" i="4"/>
  <c r="GW73" i="4"/>
  <c r="GX73" i="4"/>
  <c r="GY73" i="4"/>
  <c r="GZ73" i="4"/>
  <c r="HA73" i="4"/>
  <c r="HB73" i="4"/>
  <c r="HC73" i="4"/>
  <c r="HD73" i="4"/>
  <c r="HE73" i="4"/>
  <c r="HF73" i="4"/>
  <c r="HG73" i="4"/>
  <c r="HH73" i="4"/>
  <c r="H73" i="4"/>
  <c r="BZ73" i="4" s="1"/>
  <c r="CA73" i="4" s="1"/>
  <c r="DE73" i="4" s="1"/>
  <c r="DF73" i="4" s="1"/>
  <c r="ER73" i="4"/>
  <c r="ES73" i="4" s="1"/>
  <c r="FU73" i="4" s="1"/>
  <c r="FV73" i="4" s="1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EM73" i="4"/>
  <c r="EN73" i="4"/>
  <c r="EO73" i="4"/>
  <c r="EP73" i="4"/>
  <c r="DQ73" i="4"/>
  <c r="DR73" i="4" s="1"/>
  <c r="DM73" i="4"/>
  <c r="DN73" i="4" s="1"/>
  <c r="DI73" i="4"/>
  <c r="DJ73" i="4" s="1"/>
  <c r="DA73" i="4"/>
  <c r="DB73" i="4" s="1"/>
  <c r="CW73" i="4"/>
  <c r="CX73" i="4" s="1"/>
  <c r="CS73" i="4"/>
  <c r="CT73" i="4" s="1"/>
  <c r="CK73" i="4"/>
  <c r="CL73" i="4" s="1"/>
  <c r="CG73" i="4"/>
  <c r="CH73" i="4" s="1"/>
  <c r="CC73" i="4"/>
  <c r="CD73" i="4" s="1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GQ72" i="4"/>
  <c r="GR72" i="4"/>
  <c r="GS72" i="4"/>
  <c r="GT72" i="4"/>
  <c r="GU72" i="4"/>
  <c r="GV72" i="4"/>
  <c r="GW72" i="4"/>
  <c r="GX72" i="4"/>
  <c r="GY72" i="4"/>
  <c r="GZ72" i="4"/>
  <c r="HA72" i="4"/>
  <c r="HB72" i="4"/>
  <c r="HC72" i="4"/>
  <c r="HD72" i="4"/>
  <c r="HE72" i="4"/>
  <c r="HF72" i="4"/>
  <c r="HG72" i="4"/>
  <c r="HH72" i="4"/>
  <c r="H72" i="4"/>
  <c r="BZ72" i="4" s="1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EM72" i="4"/>
  <c r="EN72" i="4"/>
  <c r="EO72" i="4"/>
  <c r="EP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I72" i="4"/>
  <c r="AY72" i="4" s="1"/>
  <c r="AZ72" i="4" s="1"/>
  <c r="GQ71" i="4"/>
  <c r="GR71" i="4"/>
  <c r="GS71" i="4"/>
  <c r="GT71" i="4"/>
  <c r="GU71" i="4"/>
  <c r="GV71" i="4"/>
  <c r="GW71" i="4"/>
  <c r="GX71" i="4"/>
  <c r="GY71" i="4"/>
  <c r="GZ71" i="4"/>
  <c r="HA71" i="4"/>
  <c r="HB71" i="4"/>
  <c r="HC71" i="4"/>
  <c r="HD71" i="4"/>
  <c r="HE71" i="4"/>
  <c r="HF71" i="4"/>
  <c r="HG71" i="4"/>
  <c r="HH71" i="4"/>
  <c r="H71" i="4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EN71" i="4"/>
  <c r="EO71" i="4"/>
  <c r="EP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GQ70" i="4"/>
  <c r="GR70" i="4"/>
  <c r="GS70" i="4"/>
  <c r="GT70" i="4"/>
  <c r="GU70" i="4"/>
  <c r="GV70" i="4"/>
  <c r="GW70" i="4"/>
  <c r="GX70" i="4"/>
  <c r="GY70" i="4"/>
  <c r="GZ70" i="4"/>
  <c r="HA70" i="4"/>
  <c r="HB70" i="4"/>
  <c r="HC70" i="4"/>
  <c r="HD70" i="4"/>
  <c r="HE70" i="4"/>
  <c r="HF70" i="4"/>
  <c r="HG70" i="4"/>
  <c r="HH70" i="4"/>
  <c r="H70" i="4"/>
  <c r="BZ70" i="4"/>
  <c r="ER70" i="4" s="1"/>
  <c r="ES70" i="4" s="1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EM70" i="4"/>
  <c r="EN70" i="4"/>
  <c r="EO70" i="4"/>
  <c r="EP70" i="4"/>
  <c r="CA70" i="4"/>
  <c r="DQ70" i="4" s="1"/>
  <c r="DR70" i="4" s="1"/>
  <c r="DM70" i="4"/>
  <c r="DN70" i="4"/>
  <c r="DI70" i="4"/>
  <c r="DJ70" i="4"/>
  <c r="DE70" i="4"/>
  <c r="DF70" i="4"/>
  <c r="DA70" i="4"/>
  <c r="DB70" i="4"/>
  <c r="CW70" i="4"/>
  <c r="CX70" i="4"/>
  <c r="CS70" i="4"/>
  <c r="CT70" i="4"/>
  <c r="CO70" i="4"/>
  <c r="CP70" i="4"/>
  <c r="CK70" i="4"/>
  <c r="CL70" i="4"/>
  <c r="CG70" i="4"/>
  <c r="CH70" i="4"/>
  <c r="CC70" i="4"/>
  <c r="CD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I70" i="4"/>
  <c r="GQ69" i="4"/>
  <c r="GR69" i="4"/>
  <c r="GS69" i="4"/>
  <c r="GT69" i="4"/>
  <c r="GU69" i="4"/>
  <c r="GV69" i="4"/>
  <c r="GW69" i="4"/>
  <c r="GX69" i="4"/>
  <c r="GY69" i="4"/>
  <c r="GZ69" i="4"/>
  <c r="HA69" i="4"/>
  <c r="HB69" i="4"/>
  <c r="HC69" i="4"/>
  <c r="HD69" i="4"/>
  <c r="HE69" i="4"/>
  <c r="HF69" i="4"/>
  <c r="HG69" i="4"/>
  <c r="HH69" i="4"/>
  <c r="H69" i="4"/>
  <c r="BZ69" i="4" s="1"/>
  <c r="CA69" i="4" s="1"/>
  <c r="DE69" i="4" s="1"/>
  <c r="DF69" i="4" s="1"/>
  <c r="ER69" i="4"/>
  <c r="ES69" i="4" s="1"/>
  <c r="FU69" i="4" s="1"/>
  <c r="FV69" i="4" s="1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EM69" i="4"/>
  <c r="EN69" i="4"/>
  <c r="EO69" i="4"/>
  <c r="EP69" i="4"/>
  <c r="DQ69" i="4"/>
  <c r="DR69" i="4" s="1"/>
  <c r="DA69" i="4"/>
  <c r="DB69" i="4" s="1"/>
  <c r="CW69" i="4"/>
  <c r="CX69" i="4" s="1"/>
  <c r="CG69" i="4"/>
  <c r="CH69" i="4" s="1"/>
  <c r="CC69" i="4"/>
  <c r="CD69" i="4" s="1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GQ68" i="4"/>
  <c r="GR68" i="4"/>
  <c r="GS68" i="4"/>
  <c r="GT68" i="4"/>
  <c r="GU68" i="4"/>
  <c r="GV68" i="4"/>
  <c r="GW68" i="4"/>
  <c r="GX68" i="4"/>
  <c r="GY68" i="4"/>
  <c r="GZ68" i="4"/>
  <c r="HA68" i="4"/>
  <c r="HB68" i="4"/>
  <c r="HC68" i="4"/>
  <c r="HD68" i="4"/>
  <c r="HE68" i="4"/>
  <c r="HF68" i="4"/>
  <c r="HG68" i="4"/>
  <c r="HH68" i="4"/>
  <c r="H68" i="4"/>
  <c r="BZ68" i="4"/>
  <c r="ER68" i="4" s="1"/>
  <c r="ES68" i="4" s="1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EN68" i="4"/>
  <c r="EO68" i="4"/>
  <c r="EP68" i="4"/>
  <c r="CA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I68" i="4"/>
  <c r="AW68" i="4" s="1"/>
  <c r="AX68" i="4" s="1"/>
  <c r="AY68" i="4"/>
  <c r="AZ68" i="4"/>
  <c r="AU68" i="4"/>
  <c r="AV68" i="4"/>
  <c r="AQ68" i="4"/>
  <c r="AR68" i="4"/>
  <c r="AM68" i="4"/>
  <c r="AN68" i="4"/>
  <c r="AI68" i="4"/>
  <c r="AJ68" i="4"/>
  <c r="AE68" i="4"/>
  <c r="AF68" i="4"/>
  <c r="AA68" i="4"/>
  <c r="AB68" i="4"/>
  <c r="W68" i="4"/>
  <c r="X68" i="4"/>
  <c r="S68" i="4"/>
  <c r="T68" i="4"/>
  <c r="O68" i="4"/>
  <c r="P68" i="4"/>
  <c r="K68" i="4"/>
  <c r="L68" i="4"/>
  <c r="GQ67" i="4"/>
  <c r="GR67" i="4"/>
  <c r="GS67" i="4"/>
  <c r="GT67" i="4"/>
  <c r="GU67" i="4"/>
  <c r="GV67" i="4"/>
  <c r="GW67" i="4"/>
  <c r="GX67" i="4"/>
  <c r="GY67" i="4"/>
  <c r="GZ67" i="4"/>
  <c r="HA67" i="4"/>
  <c r="HB67" i="4"/>
  <c r="HC67" i="4"/>
  <c r="HD67" i="4"/>
  <c r="HE67" i="4"/>
  <c r="HF67" i="4"/>
  <c r="HG67" i="4"/>
  <c r="HH67" i="4"/>
  <c r="H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EN67" i="4"/>
  <c r="EO67" i="4"/>
  <c r="EP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GQ66" i="4"/>
  <c r="GR66" i="4"/>
  <c r="GS66" i="4"/>
  <c r="GT66" i="4"/>
  <c r="GU66" i="4"/>
  <c r="GV66" i="4"/>
  <c r="GW66" i="4"/>
  <c r="GX66" i="4"/>
  <c r="GY66" i="4"/>
  <c r="GZ66" i="4"/>
  <c r="HA66" i="4"/>
  <c r="HB66" i="4"/>
  <c r="HC66" i="4"/>
  <c r="HD66" i="4"/>
  <c r="HE66" i="4"/>
  <c r="HF66" i="4"/>
  <c r="HG66" i="4"/>
  <c r="HH66" i="4"/>
  <c r="H66" i="4"/>
  <c r="I66" i="4" s="1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EN66" i="4"/>
  <c r="EO66" i="4"/>
  <c r="EP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GQ65" i="4"/>
  <c r="GR65" i="4"/>
  <c r="GS65" i="4"/>
  <c r="GT65" i="4"/>
  <c r="GU65" i="4"/>
  <c r="GV65" i="4"/>
  <c r="GW65" i="4"/>
  <c r="GX65" i="4"/>
  <c r="GY65" i="4"/>
  <c r="GZ65" i="4"/>
  <c r="HA65" i="4"/>
  <c r="HB65" i="4"/>
  <c r="HC65" i="4"/>
  <c r="HD65" i="4"/>
  <c r="HE65" i="4"/>
  <c r="HF65" i="4"/>
  <c r="HG65" i="4"/>
  <c r="HH65" i="4"/>
  <c r="H65" i="4"/>
  <c r="I65" i="4" s="1"/>
  <c r="AS65" i="4" s="1"/>
  <c r="AT65" i="4" s="1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EN65" i="4"/>
  <c r="EO65" i="4"/>
  <c r="EP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AG65" i="4"/>
  <c r="AH65" i="4" s="1"/>
  <c r="J65" i="4"/>
  <c r="GQ64" i="4"/>
  <c r="GR64" i="4"/>
  <c r="GS64" i="4"/>
  <c r="GT64" i="4"/>
  <c r="GU64" i="4"/>
  <c r="GV64" i="4"/>
  <c r="GW64" i="4"/>
  <c r="GX64" i="4"/>
  <c r="GY64" i="4"/>
  <c r="GZ64" i="4"/>
  <c r="HA64" i="4"/>
  <c r="HB64" i="4"/>
  <c r="HC64" i="4"/>
  <c r="HD64" i="4"/>
  <c r="HE64" i="4"/>
  <c r="HF64" i="4"/>
  <c r="HG64" i="4"/>
  <c r="HH64" i="4"/>
  <c r="H64" i="4"/>
  <c r="BZ64" i="4" s="1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EN64" i="4"/>
  <c r="EO64" i="4"/>
  <c r="EP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I64" i="4"/>
  <c r="AW64" i="4" s="1"/>
  <c r="AX64" i="4" s="1"/>
  <c r="GQ63" i="4"/>
  <c r="GR63" i="4"/>
  <c r="GS63" i="4"/>
  <c r="GT63" i="4"/>
  <c r="GU63" i="4"/>
  <c r="GV63" i="4"/>
  <c r="GW63" i="4"/>
  <c r="GX63" i="4"/>
  <c r="GY63" i="4"/>
  <c r="GZ63" i="4"/>
  <c r="HA63" i="4"/>
  <c r="HB63" i="4"/>
  <c r="HC63" i="4"/>
  <c r="HD63" i="4"/>
  <c r="HE63" i="4"/>
  <c r="HF63" i="4"/>
  <c r="HG63" i="4"/>
  <c r="HH63" i="4"/>
  <c r="H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EP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GQ60" i="4"/>
  <c r="GR60" i="4"/>
  <c r="GS60" i="4"/>
  <c r="GT60" i="4"/>
  <c r="GU60" i="4"/>
  <c r="GV60" i="4"/>
  <c r="GW60" i="4"/>
  <c r="GX60" i="4"/>
  <c r="GY60" i="4"/>
  <c r="GZ60" i="4"/>
  <c r="HA60" i="4"/>
  <c r="HB60" i="4"/>
  <c r="HC60" i="4"/>
  <c r="HD60" i="4"/>
  <c r="HE60" i="4"/>
  <c r="HF60" i="4"/>
  <c r="HG60" i="4"/>
  <c r="HH60" i="4"/>
  <c r="H60" i="4"/>
  <c r="BZ60" i="4"/>
  <c r="ER60" i="4" s="1"/>
  <c r="ES60" i="4" s="1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EN60" i="4"/>
  <c r="EO60" i="4"/>
  <c r="EP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I60" i="4"/>
  <c r="AC60" i="4" s="1"/>
  <c r="AD60" i="4" s="1"/>
  <c r="M60" i="4"/>
  <c r="N60" i="4" s="1"/>
  <c r="J60" i="4"/>
  <c r="GQ59" i="4"/>
  <c r="GR59" i="4"/>
  <c r="GS59" i="4"/>
  <c r="GT59" i="4"/>
  <c r="GU59" i="4"/>
  <c r="GV59" i="4"/>
  <c r="GW59" i="4"/>
  <c r="GX59" i="4"/>
  <c r="GY59" i="4"/>
  <c r="GZ59" i="4"/>
  <c r="HA59" i="4"/>
  <c r="HB59" i="4"/>
  <c r="HC59" i="4"/>
  <c r="HD59" i="4"/>
  <c r="HE59" i="4"/>
  <c r="HF59" i="4"/>
  <c r="HG59" i="4"/>
  <c r="HH59" i="4"/>
  <c r="H59" i="4"/>
  <c r="I59" i="4" s="1"/>
  <c r="BZ59" i="4"/>
  <c r="ER59" i="4" s="1"/>
  <c r="ES59" i="4" s="1"/>
  <c r="GI59" i="4" s="1"/>
  <c r="GJ59" i="4" s="1"/>
  <c r="FS59" i="4"/>
  <c r="FT59" i="4" s="1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EP59" i="4"/>
  <c r="CA59" i="4"/>
  <c r="DO59" i="4" s="1"/>
  <c r="DP59" i="4" s="1"/>
  <c r="DQ59" i="4"/>
  <c r="DR59" i="4" s="1"/>
  <c r="DM59" i="4"/>
  <c r="DN59" i="4" s="1"/>
  <c r="DK59" i="4"/>
  <c r="DL59" i="4" s="1"/>
  <c r="DI59" i="4"/>
  <c r="DJ59" i="4" s="1"/>
  <c r="DG59" i="4"/>
  <c r="DH59" i="4"/>
  <c r="DC59" i="4"/>
  <c r="DD59" i="4" s="1"/>
  <c r="DA59" i="4"/>
  <c r="DB59" i="4" s="1"/>
  <c r="CW59" i="4"/>
  <c r="CX59" i="4" s="1"/>
  <c r="CU59" i="4"/>
  <c r="CV59" i="4" s="1"/>
  <c r="CS59" i="4"/>
  <c r="CT59" i="4" s="1"/>
  <c r="CQ59" i="4"/>
  <c r="CR59" i="4"/>
  <c r="CM59" i="4"/>
  <c r="CN59" i="4" s="1"/>
  <c r="CK59" i="4"/>
  <c r="CL59" i="4" s="1"/>
  <c r="CG59" i="4"/>
  <c r="CH59" i="4" s="1"/>
  <c r="CE59" i="4"/>
  <c r="CF59" i="4" s="1"/>
  <c r="CC59" i="4"/>
  <c r="CD59" i="4" s="1"/>
  <c r="CB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AY59" i="4"/>
  <c r="AZ59" i="4" s="1"/>
  <c r="AW59" i="4"/>
  <c r="AX59" i="4" s="1"/>
  <c r="AU59" i="4"/>
  <c r="AV59" i="4"/>
  <c r="AS59" i="4"/>
  <c r="AT59" i="4" s="1"/>
  <c r="AQ59" i="4"/>
  <c r="AR59" i="4" s="1"/>
  <c r="AO59" i="4"/>
  <c r="AP59" i="4" s="1"/>
  <c r="AM59" i="4"/>
  <c r="AN59" i="4"/>
  <c r="AK59" i="4"/>
  <c r="AL59" i="4" s="1"/>
  <c r="AI59" i="4"/>
  <c r="AJ59" i="4" s="1"/>
  <c r="AG59" i="4"/>
  <c r="AH59" i="4" s="1"/>
  <c r="AE59" i="4"/>
  <c r="AF59" i="4"/>
  <c r="AC59" i="4"/>
  <c r="AD59" i="4" s="1"/>
  <c r="AA59" i="4"/>
  <c r="AB59" i="4" s="1"/>
  <c r="Y59" i="4"/>
  <c r="Z59" i="4" s="1"/>
  <c r="W59" i="4"/>
  <c r="X59" i="4"/>
  <c r="U59" i="4"/>
  <c r="V59" i="4" s="1"/>
  <c r="S59" i="4"/>
  <c r="T59" i="4" s="1"/>
  <c r="Q59" i="4"/>
  <c r="R59" i="4" s="1"/>
  <c r="O59" i="4"/>
  <c r="P59" i="4"/>
  <c r="M59" i="4"/>
  <c r="N59" i="4" s="1"/>
  <c r="K59" i="4"/>
  <c r="L59" i="4" s="1"/>
  <c r="J59" i="4"/>
  <c r="GQ58" i="4"/>
  <c r="GR58" i="4"/>
  <c r="GS58" i="4"/>
  <c r="GT58" i="4"/>
  <c r="GU58" i="4"/>
  <c r="GV58" i="4"/>
  <c r="GW58" i="4"/>
  <c r="GX58" i="4"/>
  <c r="GY58" i="4"/>
  <c r="GZ58" i="4"/>
  <c r="HA58" i="4"/>
  <c r="HB58" i="4"/>
  <c r="HC58" i="4"/>
  <c r="HD58" i="4"/>
  <c r="HE58" i="4"/>
  <c r="HF58" i="4"/>
  <c r="HG58" i="4"/>
  <c r="HH58" i="4"/>
  <c r="H58" i="4"/>
  <c r="BZ58" i="4"/>
  <c r="ER58" i="4" s="1"/>
  <c r="ES58" i="4" s="1"/>
  <c r="GI58" i="4" s="1"/>
  <c r="GJ58" i="4" s="1"/>
  <c r="FS58" i="4"/>
  <c r="FT58" i="4" s="1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EN58" i="4"/>
  <c r="EO58" i="4"/>
  <c r="EP58" i="4"/>
  <c r="CA58" i="4"/>
  <c r="DK58" i="4" s="1"/>
  <c r="DL58" i="4" s="1"/>
  <c r="DO58" i="4"/>
  <c r="DP58" i="4" s="1"/>
  <c r="DG58" i="4"/>
  <c r="DH58" i="4" s="1"/>
  <c r="CY58" i="4"/>
  <c r="CZ58" i="4" s="1"/>
  <c r="CU58" i="4"/>
  <c r="CV58" i="4"/>
  <c r="CQ58" i="4"/>
  <c r="CR58" i="4" s="1"/>
  <c r="CI58" i="4"/>
  <c r="CJ58" i="4" s="1"/>
  <c r="CE58" i="4"/>
  <c r="CF58" i="4"/>
  <c r="CB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I58" i="4"/>
  <c r="AY58" i="4"/>
  <c r="AZ58" i="4" s="1"/>
  <c r="AU58" i="4"/>
  <c r="AV58" i="4"/>
  <c r="AQ58" i="4"/>
  <c r="AR58" i="4" s="1"/>
  <c r="AM58" i="4"/>
  <c r="AN58" i="4"/>
  <c r="AI58" i="4"/>
  <c r="AJ58" i="4" s="1"/>
  <c r="AE58" i="4"/>
  <c r="AF58" i="4"/>
  <c r="AA58" i="4"/>
  <c r="AB58" i="4" s="1"/>
  <c r="W58" i="4"/>
  <c r="X58" i="4"/>
  <c r="S58" i="4"/>
  <c r="T58" i="4" s="1"/>
  <c r="O58" i="4"/>
  <c r="P58" i="4"/>
  <c r="K58" i="4"/>
  <c r="L58" i="4" s="1"/>
  <c r="GQ57" i="4"/>
  <c r="GR57" i="4"/>
  <c r="GS57" i="4"/>
  <c r="GT57" i="4"/>
  <c r="GU57" i="4"/>
  <c r="GV57" i="4"/>
  <c r="GW57" i="4"/>
  <c r="GX57" i="4"/>
  <c r="GY57" i="4"/>
  <c r="GZ57" i="4"/>
  <c r="HA57" i="4"/>
  <c r="HB57" i="4"/>
  <c r="HC57" i="4"/>
  <c r="HD57" i="4"/>
  <c r="HE57" i="4"/>
  <c r="HF57" i="4"/>
  <c r="HG57" i="4"/>
  <c r="HH57" i="4"/>
  <c r="H57" i="4"/>
  <c r="BZ57" i="4" s="1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EN57" i="4"/>
  <c r="EO57" i="4"/>
  <c r="EP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GQ54" i="4"/>
  <c r="GR54" i="4"/>
  <c r="GS54" i="4"/>
  <c r="GT54" i="4"/>
  <c r="GU54" i="4"/>
  <c r="GV54" i="4"/>
  <c r="GW54" i="4"/>
  <c r="GX54" i="4"/>
  <c r="GY54" i="4"/>
  <c r="GZ54" i="4"/>
  <c r="HA54" i="4"/>
  <c r="HB54" i="4"/>
  <c r="HC54" i="4"/>
  <c r="HD54" i="4"/>
  <c r="HE54" i="4"/>
  <c r="HF54" i="4"/>
  <c r="HG54" i="4"/>
  <c r="HH54" i="4"/>
  <c r="H54" i="4"/>
  <c r="I54" i="4" s="1"/>
  <c r="AS54" i="4" s="1"/>
  <c r="AT54" i="4" s="1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EP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GQ53" i="4"/>
  <c r="GR53" i="4"/>
  <c r="GS53" i="4"/>
  <c r="GT53" i="4"/>
  <c r="GU53" i="4"/>
  <c r="GV53" i="4"/>
  <c r="GW53" i="4"/>
  <c r="GX53" i="4"/>
  <c r="GY53" i="4"/>
  <c r="GZ53" i="4"/>
  <c r="HA53" i="4"/>
  <c r="HB53" i="4"/>
  <c r="HC53" i="4"/>
  <c r="HD53" i="4"/>
  <c r="HE53" i="4"/>
  <c r="HF53" i="4"/>
  <c r="HG53" i="4"/>
  <c r="HH53" i="4"/>
  <c r="H53" i="4"/>
  <c r="BZ53" i="4" s="1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EP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I53" i="4"/>
  <c r="AY53" i="4" s="1"/>
  <c r="AZ53" i="4" s="1"/>
  <c r="AM53" i="4"/>
  <c r="AN53" i="4" s="1"/>
  <c r="AI53" i="4"/>
  <c r="AJ53" i="4" s="1"/>
  <c r="AE53" i="4"/>
  <c r="AF53" i="4" s="1"/>
  <c r="AA53" i="4"/>
  <c r="AB53" i="4" s="1"/>
  <c r="W53" i="4"/>
  <c r="X53" i="4" s="1"/>
  <c r="S53" i="4"/>
  <c r="T53" i="4" s="1"/>
  <c r="O53" i="4"/>
  <c r="P53" i="4" s="1"/>
  <c r="K53" i="4"/>
  <c r="L53" i="4" s="1"/>
  <c r="GQ52" i="4"/>
  <c r="GR52" i="4"/>
  <c r="GS52" i="4"/>
  <c r="GT52" i="4"/>
  <c r="GU52" i="4"/>
  <c r="GV52" i="4"/>
  <c r="GW52" i="4"/>
  <c r="GX52" i="4"/>
  <c r="GY52" i="4"/>
  <c r="GZ52" i="4"/>
  <c r="HA52" i="4"/>
  <c r="HB52" i="4"/>
  <c r="HC52" i="4"/>
  <c r="HD52" i="4"/>
  <c r="HE52" i="4"/>
  <c r="HF52" i="4"/>
  <c r="HG52" i="4"/>
  <c r="HH52" i="4"/>
  <c r="H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EP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GQ51" i="4"/>
  <c r="GR51" i="4"/>
  <c r="GS51" i="4"/>
  <c r="GT51" i="4"/>
  <c r="GU51" i="4"/>
  <c r="GV51" i="4"/>
  <c r="GW51" i="4"/>
  <c r="GX51" i="4"/>
  <c r="GY51" i="4"/>
  <c r="GZ51" i="4"/>
  <c r="HA51" i="4"/>
  <c r="HB51" i="4"/>
  <c r="HC51" i="4"/>
  <c r="HD51" i="4"/>
  <c r="HE51" i="4"/>
  <c r="HF51" i="4"/>
  <c r="HG51" i="4"/>
  <c r="HH51" i="4"/>
  <c r="H51" i="4"/>
  <c r="BZ51" i="4"/>
  <c r="ER51" i="4" s="1"/>
  <c r="ES51" i="4" s="1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EP51" i="4"/>
  <c r="CA51" i="4"/>
  <c r="DQ51" i="4" s="1"/>
  <c r="DR51" i="4"/>
  <c r="DI51" i="4"/>
  <c r="DJ51" i="4"/>
  <c r="DE51" i="4"/>
  <c r="DF51" i="4"/>
  <c r="DA51" i="4"/>
  <c r="DB51" i="4"/>
  <c r="CW51" i="4"/>
  <c r="CX51" i="4"/>
  <c r="CS51" i="4"/>
  <c r="CT51" i="4"/>
  <c r="CO51" i="4"/>
  <c r="CP51" i="4"/>
  <c r="CK51" i="4"/>
  <c r="CL51" i="4"/>
  <c r="CG51" i="4"/>
  <c r="CH51" i="4"/>
  <c r="CC51" i="4"/>
  <c r="CD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I51" i="4"/>
  <c r="GQ50" i="4"/>
  <c r="GR50" i="4"/>
  <c r="GS50" i="4"/>
  <c r="GT50" i="4"/>
  <c r="GU50" i="4"/>
  <c r="GV50" i="4"/>
  <c r="GW50" i="4"/>
  <c r="GX50" i="4"/>
  <c r="GY50" i="4"/>
  <c r="GZ50" i="4"/>
  <c r="HA50" i="4"/>
  <c r="HB50" i="4"/>
  <c r="HC50" i="4"/>
  <c r="HD50" i="4"/>
  <c r="HE50" i="4"/>
  <c r="HF50" i="4"/>
  <c r="HG50" i="4"/>
  <c r="HH50" i="4"/>
  <c r="H50" i="4"/>
  <c r="BZ50" i="4" s="1"/>
  <c r="CA50" i="4" s="1"/>
  <c r="DQ50" i="4" s="1"/>
  <c r="DR50" i="4" s="1"/>
  <c r="ER50" i="4"/>
  <c r="ES50" i="4" s="1"/>
  <c r="GC50" i="4" s="1"/>
  <c r="GD50" i="4" s="1"/>
  <c r="GG50" i="4"/>
  <c r="GH50" i="4" s="1"/>
  <c r="FU50" i="4"/>
  <c r="FV50" i="4" s="1"/>
  <c r="FQ50" i="4"/>
  <c r="FR50" i="4" s="1"/>
  <c r="FE50" i="4"/>
  <c r="FF50" i="4" s="1"/>
  <c r="FA50" i="4"/>
  <c r="FB50" i="4" s="1"/>
  <c r="ET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EP50" i="4"/>
  <c r="DM50" i="4"/>
  <c r="DN50" i="4" s="1"/>
  <c r="DI50" i="4"/>
  <c r="DJ50" i="4" s="1"/>
  <c r="DE50" i="4"/>
  <c r="DF50" i="4" s="1"/>
  <c r="CW50" i="4"/>
  <c r="CX50" i="4" s="1"/>
  <c r="CS50" i="4"/>
  <c r="CT50" i="4" s="1"/>
  <c r="CO50" i="4"/>
  <c r="CP50" i="4" s="1"/>
  <c r="CG50" i="4"/>
  <c r="CH50" i="4" s="1"/>
  <c r="CC50" i="4"/>
  <c r="CD50" i="4" s="1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GQ49" i="4"/>
  <c r="GR49" i="4"/>
  <c r="GS49" i="4"/>
  <c r="GT49" i="4"/>
  <c r="GU49" i="4"/>
  <c r="GV49" i="4"/>
  <c r="GW49" i="4"/>
  <c r="GX49" i="4"/>
  <c r="GY49" i="4"/>
  <c r="GZ49" i="4"/>
  <c r="HA49" i="4"/>
  <c r="HB49" i="4"/>
  <c r="HC49" i="4"/>
  <c r="HD49" i="4"/>
  <c r="HE49" i="4"/>
  <c r="HF49" i="4"/>
  <c r="HG49" i="4"/>
  <c r="HH49" i="4"/>
  <c r="H49" i="4"/>
  <c r="BZ49" i="4" s="1"/>
  <c r="ER49" i="4" s="1"/>
  <c r="ES49" i="4" s="1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EP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GQ48" i="4"/>
  <c r="GR48" i="4"/>
  <c r="GS48" i="4"/>
  <c r="GT48" i="4"/>
  <c r="GU48" i="4"/>
  <c r="GV48" i="4"/>
  <c r="GW48" i="4"/>
  <c r="GX48" i="4"/>
  <c r="GY48" i="4"/>
  <c r="GZ48" i="4"/>
  <c r="HA48" i="4"/>
  <c r="HB48" i="4"/>
  <c r="HC48" i="4"/>
  <c r="HD48" i="4"/>
  <c r="HE48" i="4"/>
  <c r="HF48" i="4"/>
  <c r="HG48" i="4"/>
  <c r="HH48" i="4"/>
  <c r="H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EP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GQ47" i="4"/>
  <c r="GR47" i="4"/>
  <c r="GS47" i="4"/>
  <c r="GT47" i="4"/>
  <c r="GU47" i="4"/>
  <c r="GV47" i="4"/>
  <c r="GW47" i="4"/>
  <c r="GX47" i="4"/>
  <c r="GY47" i="4"/>
  <c r="GZ47" i="4"/>
  <c r="HA47" i="4"/>
  <c r="HB47" i="4"/>
  <c r="HC47" i="4"/>
  <c r="HD47" i="4"/>
  <c r="HE47" i="4"/>
  <c r="HF47" i="4"/>
  <c r="HG47" i="4"/>
  <c r="HH47" i="4"/>
  <c r="H47" i="4"/>
  <c r="BZ47" i="4"/>
  <c r="ER47" i="4" s="1"/>
  <c r="ES47" i="4" s="1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EN47" i="4"/>
  <c r="EO47" i="4"/>
  <c r="EP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I47" i="4"/>
  <c r="GQ46" i="4"/>
  <c r="GR46" i="4"/>
  <c r="GS46" i="4"/>
  <c r="GT46" i="4"/>
  <c r="GU46" i="4"/>
  <c r="GV46" i="4"/>
  <c r="GW46" i="4"/>
  <c r="GX46" i="4"/>
  <c r="GY46" i="4"/>
  <c r="GZ46" i="4"/>
  <c r="HA46" i="4"/>
  <c r="HB46" i="4"/>
  <c r="HC46" i="4"/>
  <c r="HD46" i="4"/>
  <c r="HE46" i="4"/>
  <c r="HF46" i="4"/>
  <c r="HG46" i="4"/>
  <c r="HH46" i="4"/>
  <c r="H46" i="4"/>
  <c r="I46" i="4" s="1"/>
  <c r="AW46" i="4" s="1"/>
  <c r="AX46" i="4" s="1"/>
  <c r="BZ46" i="4"/>
  <c r="ER46" i="4"/>
  <c r="ES46" i="4" s="1"/>
  <c r="GG46" i="4" s="1"/>
  <c r="GH46" i="4" s="1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EN46" i="4"/>
  <c r="EO46" i="4"/>
  <c r="EP46" i="4"/>
  <c r="CA46" i="4"/>
  <c r="DO46" i="4" s="1"/>
  <c r="DP46" i="4" s="1"/>
  <c r="DE46" i="4"/>
  <c r="DF46" i="4" s="1"/>
  <c r="CQ46" i="4"/>
  <c r="CR46" i="4" s="1"/>
  <c r="CG46" i="4"/>
  <c r="CH46" i="4" s="1"/>
  <c r="CB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AS46" i="4"/>
  <c r="AT46" i="4" s="1"/>
  <c r="AC46" i="4"/>
  <c r="AD46" i="4" s="1"/>
  <c r="M46" i="4"/>
  <c r="N46" i="4" s="1"/>
  <c r="GQ45" i="4"/>
  <c r="GR45" i="4"/>
  <c r="GS45" i="4"/>
  <c r="GT45" i="4"/>
  <c r="GU45" i="4"/>
  <c r="GV45" i="4"/>
  <c r="GW45" i="4"/>
  <c r="GX45" i="4"/>
  <c r="GY45" i="4"/>
  <c r="GZ45" i="4"/>
  <c r="HA45" i="4"/>
  <c r="HB45" i="4"/>
  <c r="HC45" i="4"/>
  <c r="HD45" i="4"/>
  <c r="HE45" i="4"/>
  <c r="HF45" i="4"/>
  <c r="HG45" i="4"/>
  <c r="HH45" i="4"/>
  <c r="H45" i="4"/>
  <c r="I45" i="4" s="1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EP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GQ44" i="4"/>
  <c r="GR44" i="4"/>
  <c r="GS44" i="4"/>
  <c r="GT44" i="4"/>
  <c r="GU44" i="4"/>
  <c r="GV44" i="4"/>
  <c r="GW44" i="4"/>
  <c r="GX44" i="4"/>
  <c r="GY44" i="4"/>
  <c r="GZ44" i="4"/>
  <c r="HA44" i="4"/>
  <c r="HB44" i="4"/>
  <c r="HC44" i="4"/>
  <c r="HD44" i="4"/>
  <c r="HE44" i="4"/>
  <c r="HF44" i="4"/>
  <c r="HG44" i="4"/>
  <c r="HH44" i="4"/>
  <c r="H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EP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GQ43" i="4"/>
  <c r="GR43" i="4"/>
  <c r="GS43" i="4"/>
  <c r="GT43" i="4"/>
  <c r="GU43" i="4"/>
  <c r="GV43" i="4"/>
  <c r="GW43" i="4"/>
  <c r="GX43" i="4"/>
  <c r="GY43" i="4"/>
  <c r="GZ43" i="4"/>
  <c r="HA43" i="4"/>
  <c r="HB43" i="4"/>
  <c r="HC43" i="4"/>
  <c r="HD43" i="4"/>
  <c r="HE43" i="4"/>
  <c r="HF43" i="4"/>
  <c r="HG43" i="4"/>
  <c r="HH43" i="4"/>
  <c r="H43" i="4"/>
  <c r="BZ43" i="4" s="1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EP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I43" i="4"/>
  <c r="GQ42" i="4"/>
  <c r="GR42" i="4"/>
  <c r="GS42" i="4"/>
  <c r="GT42" i="4"/>
  <c r="GU42" i="4"/>
  <c r="GV42" i="4"/>
  <c r="GW42" i="4"/>
  <c r="GX42" i="4"/>
  <c r="GY42" i="4"/>
  <c r="GZ42" i="4"/>
  <c r="HA42" i="4"/>
  <c r="HB42" i="4"/>
  <c r="HC42" i="4"/>
  <c r="HD42" i="4"/>
  <c r="HE42" i="4"/>
  <c r="HF42" i="4"/>
  <c r="HG42" i="4"/>
  <c r="HH42" i="4"/>
  <c r="H42" i="4"/>
  <c r="I42" i="4" s="1"/>
  <c r="AK42" i="4" s="1"/>
  <c r="AL42" i="4" s="1"/>
  <c r="BZ42" i="4"/>
  <c r="CA42" i="4" s="1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EP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AW42" i="4"/>
  <c r="AX42" i="4" s="1"/>
  <c r="AS42" i="4"/>
  <c r="AT42" i="4" s="1"/>
  <c r="AO42" i="4"/>
  <c r="AP42" i="4" s="1"/>
  <c r="AG42" i="4"/>
  <c r="AH42" i="4" s="1"/>
  <c r="AC42" i="4"/>
  <c r="AD42" i="4" s="1"/>
  <c r="Y42" i="4"/>
  <c r="Z42" i="4" s="1"/>
  <c r="Q42" i="4"/>
  <c r="R42" i="4" s="1"/>
  <c r="M42" i="4"/>
  <c r="N42" i="4" s="1"/>
  <c r="J42" i="4"/>
  <c r="GQ41" i="4"/>
  <c r="GR41" i="4"/>
  <c r="GS41" i="4"/>
  <c r="GT41" i="4"/>
  <c r="GU41" i="4"/>
  <c r="GV41" i="4"/>
  <c r="GW41" i="4"/>
  <c r="GX41" i="4"/>
  <c r="GY41" i="4"/>
  <c r="GZ41" i="4"/>
  <c r="HA41" i="4"/>
  <c r="HB41" i="4"/>
  <c r="HC41" i="4"/>
  <c r="HD41" i="4"/>
  <c r="HE41" i="4"/>
  <c r="HF41" i="4"/>
  <c r="HG41" i="4"/>
  <c r="HH41" i="4"/>
  <c r="H41" i="4"/>
  <c r="BZ41" i="4" s="1"/>
  <c r="ER41" i="4" s="1"/>
  <c r="ES41" i="4" s="1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EP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I41" i="4"/>
  <c r="AW41" i="4" s="1"/>
  <c r="AX41" i="4" s="1"/>
  <c r="AY41" i="4"/>
  <c r="AZ41" i="4" s="1"/>
  <c r="AQ41" i="4"/>
  <c r="AR41" i="4" s="1"/>
  <c r="AM41" i="4"/>
  <c r="AN41" i="4"/>
  <c r="AI41" i="4"/>
  <c r="AJ41" i="4" s="1"/>
  <c r="AE41" i="4"/>
  <c r="AF41" i="4"/>
  <c r="AA41" i="4"/>
  <c r="AB41" i="4" s="1"/>
  <c r="W41" i="4"/>
  <c r="X41" i="4"/>
  <c r="S41" i="4"/>
  <c r="T41" i="4" s="1"/>
  <c r="O41" i="4"/>
  <c r="P41" i="4" s="1"/>
  <c r="K41" i="4"/>
  <c r="L41" i="4" s="1"/>
  <c r="GQ40" i="4"/>
  <c r="GR40" i="4"/>
  <c r="GS40" i="4"/>
  <c r="GT40" i="4"/>
  <c r="GU40" i="4"/>
  <c r="GV40" i="4"/>
  <c r="GW40" i="4"/>
  <c r="GX40" i="4"/>
  <c r="GY40" i="4"/>
  <c r="GZ40" i="4"/>
  <c r="HA40" i="4"/>
  <c r="HB40" i="4"/>
  <c r="HC40" i="4"/>
  <c r="HD40" i="4"/>
  <c r="HE40" i="4"/>
  <c r="HF40" i="4"/>
  <c r="HG40" i="4"/>
  <c r="HH40" i="4"/>
  <c r="H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EP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GQ39" i="4"/>
  <c r="GR39" i="4"/>
  <c r="GS39" i="4"/>
  <c r="GT39" i="4"/>
  <c r="GU39" i="4"/>
  <c r="GV39" i="4"/>
  <c r="GW39" i="4"/>
  <c r="GX39" i="4"/>
  <c r="GY39" i="4"/>
  <c r="GZ39" i="4"/>
  <c r="HA39" i="4"/>
  <c r="HB39" i="4"/>
  <c r="HC39" i="4"/>
  <c r="HD39" i="4"/>
  <c r="HE39" i="4"/>
  <c r="HF39" i="4"/>
  <c r="HG39" i="4"/>
  <c r="HH39" i="4"/>
  <c r="H39" i="4"/>
  <c r="BZ39" i="4"/>
  <c r="ER39" i="4" s="1"/>
  <c r="ES39" i="4" s="1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I39" i="4"/>
  <c r="GQ38" i="4"/>
  <c r="GR38" i="4"/>
  <c r="GS38" i="4"/>
  <c r="GT38" i="4"/>
  <c r="GU38" i="4"/>
  <c r="GV38" i="4"/>
  <c r="GW38" i="4"/>
  <c r="GX38" i="4"/>
  <c r="GY38" i="4"/>
  <c r="GZ38" i="4"/>
  <c r="HA38" i="4"/>
  <c r="HB38" i="4"/>
  <c r="HC38" i="4"/>
  <c r="HD38" i="4"/>
  <c r="HE38" i="4"/>
  <c r="HF38" i="4"/>
  <c r="HG38" i="4"/>
  <c r="HH38" i="4"/>
  <c r="H38" i="4"/>
  <c r="I38" i="4" s="1"/>
  <c r="AS38" i="4" s="1"/>
  <c r="AT38" i="4" s="1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EN38" i="4"/>
  <c r="EO38" i="4"/>
  <c r="EP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AW38" i="4"/>
  <c r="AX38" i="4" s="1"/>
  <c r="AO38" i="4"/>
  <c r="AP38" i="4" s="1"/>
  <c r="AK38" i="4"/>
  <c r="AL38" i="4" s="1"/>
  <c r="AG38" i="4"/>
  <c r="AH38" i="4" s="1"/>
  <c r="Y38" i="4"/>
  <c r="Z38" i="4" s="1"/>
  <c r="U38" i="4"/>
  <c r="V38" i="4" s="1"/>
  <c r="Q38" i="4"/>
  <c r="R38" i="4" s="1"/>
  <c r="J38" i="4"/>
  <c r="GQ37" i="4"/>
  <c r="GR37" i="4"/>
  <c r="GS37" i="4"/>
  <c r="GT37" i="4"/>
  <c r="GU37" i="4"/>
  <c r="GV37" i="4"/>
  <c r="GW37" i="4"/>
  <c r="GX37" i="4"/>
  <c r="GY37" i="4"/>
  <c r="GZ37" i="4"/>
  <c r="HA37" i="4"/>
  <c r="HB37" i="4"/>
  <c r="HC37" i="4"/>
  <c r="HD37" i="4"/>
  <c r="HE37" i="4"/>
  <c r="HF37" i="4"/>
  <c r="HG37" i="4"/>
  <c r="HH37" i="4"/>
  <c r="H37" i="4"/>
  <c r="BZ37" i="4" s="1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I37" i="4"/>
  <c r="AY37" i="4" s="1"/>
  <c r="AZ37" i="4" s="1"/>
  <c r="AE37" i="4"/>
  <c r="AF37" i="4" s="1"/>
  <c r="O37" i="4"/>
  <c r="P37" i="4" s="1"/>
  <c r="GQ36" i="4"/>
  <c r="GR36" i="4"/>
  <c r="GS36" i="4"/>
  <c r="GT36" i="4"/>
  <c r="GU36" i="4"/>
  <c r="GV36" i="4"/>
  <c r="GW36" i="4"/>
  <c r="GX36" i="4"/>
  <c r="GY36" i="4"/>
  <c r="GZ36" i="4"/>
  <c r="HA36" i="4"/>
  <c r="HB36" i="4"/>
  <c r="HC36" i="4"/>
  <c r="HD36" i="4"/>
  <c r="HE36" i="4"/>
  <c r="HF36" i="4"/>
  <c r="HG36" i="4"/>
  <c r="HH36" i="4"/>
  <c r="H36" i="4"/>
  <c r="BZ36" i="4" s="1"/>
  <c r="CA36" i="4" s="1"/>
  <c r="DK36" i="4" s="1"/>
  <c r="DL36" i="4" s="1"/>
  <c r="ER36" i="4"/>
  <c r="ES36" i="4" s="1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EN36" i="4"/>
  <c r="EO36" i="4"/>
  <c r="EP36" i="4"/>
  <c r="DO36" i="4"/>
  <c r="DP36" i="4" s="1"/>
  <c r="CY36" i="4"/>
  <c r="CZ36" i="4" s="1"/>
  <c r="CI36" i="4"/>
  <c r="CJ36" i="4" s="1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I36" i="4"/>
  <c r="AQ36" i="4" s="1"/>
  <c r="AR36" i="4" s="1"/>
  <c r="AO36" i="4"/>
  <c r="AP36" i="4" s="1"/>
  <c r="AC36" i="4"/>
  <c r="AD36" i="4" s="1"/>
  <c r="U36" i="4"/>
  <c r="V36" i="4" s="1"/>
  <c r="M36" i="4"/>
  <c r="N36" i="4" s="1"/>
  <c r="GQ35" i="4"/>
  <c r="GR35" i="4"/>
  <c r="GS35" i="4"/>
  <c r="GT35" i="4"/>
  <c r="GU35" i="4"/>
  <c r="GV35" i="4"/>
  <c r="GW35" i="4"/>
  <c r="GX35" i="4"/>
  <c r="GY35" i="4"/>
  <c r="GZ35" i="4"/>
  <c r="HA35" i="4"/>
  <c r="HB35" i="4"/>
  <c r="HC35" i="4"/>
  <c r="HD35" i="4"/>
  <c r="HE35" i="4"/>
  <c r="HF35" i="4"/>
  <c r="HG35" i="4"/>
  <c r="HH35" i="4"/>
  <c r="H35" i="4"/>
  <c r="I35" i="4" s="1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GQ34" i="4"/>
  <c r="GR34" i="4"/>
  <c r="GS34" i="4"/>
  <c r="GT34" i="4"/>
  <c r="GU34" i="4"/>
  <c r="GV34" i="4"/>
  <c r="GW34" i="4"/>
  <c r="GX34" i="4"/>
  <c r="GY34" i="4"/>
  <c r="GZ34" i="4"/>
  <c r="HA34" i="4"/>
  <c r="HB34" i="4"/>
  <c r="HC34" i="4"/>
  <c r="HD34" i="4"/>
  <c r="HE34" i="4"/>
  <c r="HF34" i="4"/>
  <c r="HG34" i="4"/>
  <c r="HH34" i="4"/>
  <c r="H34" i="4"/>
  <c r="BZ34" i="4" s="1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I34" i="4"/>
  <c r="AW34" i="4" s="1"/>
  <c r="AX34" i="4" s="1"/>
  <c r="GQ33" i="4"/>
  <c r="GR33" i="4"/>
  <c r="GS33" i="4"/>
  <c r="GT33" i="4"/>
  <c r="GU33" i="4"/>
  <c r="GV33" i="4"/>
  <c r="GW33" i="4"/>
  <c r="GX33" i="4"/>
  <c r="GY33" i="4"/>
  <c r="GZ33" i="4"/>
  <c r="HA33" i="4"/>
  <c r="HB33" i="4"/>
  <c r="HC33" i="4"/>
  <c r="HD33" i="4"/>
  <c r="HE33" i="4"/>
  <c r="HF33" i="4"/>
  <c r="HG33" i="4"/>
  <c r="HH33" i="4"/>
  <c r="BZ33" i="4"/>
  <c r="ER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EM33" i="4"/>
  <c r="EN33" i="4"/>
  <c r="EO33" i="4"/>
  <c r="EP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GQ32" i="4"/>
  <c r="GR32" i="4"/>
  <c r="GS32" i="4"/>
  <c r="GT32" i="4"/>
  <c r="GU32" i="4"/>
  <c r="GV32" i="4"/>
  <c r="GW32" i="4"/>
  <c r="GX32" i="4"/>
  <c r="GY32" i="4"/>
  <c r="GZ32" i="4"/>
  <c r="HA32" i="4"/>
  <c r="HB32" i="4"/>
  <c r="HC32" i="4"/>
  <c r="HD32" i="4"/>
  <c r="HE32" i="4"/>
  <c r="HF32" i="4"/>
  <c r="HG32" i="4"/>
  <c r="HH32" i="4"/>
  <c r="BZ32" i="4"/>
  <c r="ER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EP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GQ31" i="4"/>
  <c r="GR31" i="4"/>
  <c r="GS31" i="4"/>
  <c r="GT31" i="4"/>
  <c r="GU31" i="4"/>
  <c r="GV31" i="4"/>
  <c r="GW31" i="4"/>
  <c r="GX31" i="4"/>
  <c r="GY31" i="4"/>
  <c r="GZ31" i="4"/>
  <c r="HA31" i="4"/>
  <c r="HB31" i="4"/>
  <c r="HC31" i="4"/>
  <c r="HD31" i="4"/>
  <c r="HE31" i="4"/>
  <c r="HF31" i="4"/>
  <c r="HG31" i="4"/>
  <c r="HH31" i="4"/>
  <c r="H31" i="4"/>
  <c r="BZ31" i="4" s="1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GQ30" i="4"/>
  <c r="GR30" i="4"/>
  <c r="GS30" i="4"/>
  <c r="GT30" i="4"/>
  <c r="GU30" i="4"/>
  <c r="GV30" i="4"/>
  <c r="GW30" i="4"/>
  <c r="GX30" i="4"/>
  <c r="GY30" i="4"/>
  <c r="GZ30" i="4"/>
  <c r="HA30" i="4"/>
  <c r="HB30" i="4"/>
  <c r="HC30" i="4"/>
  <c r="HD30" i="4"/>
  <c r="HE30" i="4"/>
  <c r="HF30" i="4"/>
  <c r="HG30" i="4"/>
  <c r="HH30" i="4"/>
  <c r="BZ30" i="4"/>
  <c r="ER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GQ29" i="4"/>
  <c r="GR29" i="4"/>
  <c r="GS29" i="4"/>
  <c r="GT29" i="4"/>
  <c r="GU29" i="4"/>
  <c r="GV29" i="4"/>
  <c r="GW29" i="4"/>
  <c r="GX29" i="4"/>
  <c r="GY29" i="4"/>
  <c r="GZ29" i="4"/>
  <c r="HA29" i="4"/>
  <c r="HB29" i="4"/>
  <c r="HC29" i="4"/>
  <c r="HD29" i="4"/>
  <c r="HE29" i="4"/>
  <c r="HF29" i="4"/>
  <c r="HG29" i="4"/>
  <c r="HH29" i="4"/>
  <c r="BZ29" i="4"/>
  <c r="ER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GQ28" i="4"/>
  <c r="GR28" i="4"/>
  <c r="GS28" i="4"/>
  <c r="GT28" i="4"/>
  <c r="GU28" i="4"/>
  <c r="GV28" i="4"/>
  <c r="GW28" i="4"/>
  <c r="GX28" i="4"/>
  <c r="GY28" i="4"/>
  <c r="GZ28" i="4"/>
  <c r="HA28" i="4"/>
  <c r="HB28" i="4"/>
  <c r="HC28" i="4"/>
  <c r="HD28" i="4"/>
  <c r="HE28" i="4"/>
  <c r="HF28" i="4"/>
  <c r="HG28" i="4"/>
  <c r="HH28" i="4"/>
  <c r="H18" i="4"/>
  <c r="BZ18" i="4"/>
  <c r="CA18" i="4" s="1"/>
  <c r="H26" i="4"/>
  <c r="BZ26" i="4" s="1"/>
  <c r="CA26" i="4" s="1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GQ27" i="4"/>
  <c r="GR27" i="4"/>
  <c r="GS27" i="4"/>
  <c r="GT27" i="4"/>
  <c r="GU27" i="4"/>
  <c r="GV27" i="4"/>
  <c r="GW27" i="4"/>
  <c r="GX27" i="4"/>
  <c r="GY27" i="4"/>
  <c r="GZ27" i="4"/>
  <c r="HA27" i="4"/>
  <c r="HB27" i="4"/>
  <c r="HC27" i="4"/>
  <c r="HD27" i="4"/>
  <c r="HE27" i="4"/>
  <c r="HF27" i="4"/>
  <c r="HG27" i="4"/>
  <c r="HH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EP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GQ26" i="4"/>
  <c r="GR26" i="4"/>
  <c r="GS26" i="4"/>
  <c r="GT26" i="4"/>
  <c r="GU26" i="4"/>
  <c r="GV26" i="4"/>
  <c r="GW26" i="4"/>
  <c r="GX26" i="4"/>
  <c r="GY26" i="4"/>
  <c r="GZ26" i="4"/>
  <c r="HA26" i="4"/>
  <c r="HB26" i="4"/>
  <c r="HC26" i="4"/>
  <c r="HD26" i="4"/>
  <c r="HE26" i="4"/>
  <c r="HF26" i="4"/>
  <c r="HG26" i="4"/>
  <c r="HH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GQ25" i="4"/>
  <c r="GR25" i="4"/>
  <c r="GS25" i="4"/>
  <c r="GT25" i="4"/>
  <c r="GU25" i="4"/>
  <c r="GV25" i="4"/>
  <c r="GW25" i="4"/>
  <c r="GX25" i="4"/>
  <c r="GY25" i="4"/>
  <c r="GZ25" i="4"/>
  <c r="HA25" i="4"/>
  <c r="HB25" i="4"/>
  <c r="HC25" i="4"/>
  <c r="HD25" i="4"/>
  <c r="HE25" i="4"/>
  <c r="HF25" i="4"/>
  <c r="HG25" i="4"/>
  <c r="HH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GQ24" i="4"/>
  <c r="GR24" i="4"/>
  <c r="GS24" i="4"/>
  <c r="GT24" i="4"/>
  <c r="GU24" i="4"/>
  <c r="GV24" i="4"/>
  <c r="GW24" i="4"/>
  <c r="GX24" i="4"/>
  <c r="GY24" i="4"/>
  <c r="GZ24" i="4"/>
  <c r="HA24" i="4"/>
  <c r="HB24" i="4"/>
  <c r="HC24" i="4"/>
  <c r="HD24" i="4"/>
  <c r="HE24" i="4"/>
  <c r="HF24" i="4"/>
  <c r="HG24" i="4"/>
  <c r="HH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GQ23" i="4"/>
  <c r="GR23" i="4"/>
  <c r="GS23" i="4"/>
  <c r="GT23" i="4"/>
  <c r="GU23" i="4"/>
  <c r="GV23" i="4"/>
  <c r="GW23" i="4"/>
  <c r="GX23" i="4"/>
  <c r="GY23" i="4"/>
  <c r="GZ23" i="4"/>
  <c r="HA23" i="4"/>
  <c r="HB23" i="4"/>
  <c r="HC23" i="4"/>
  <c r="HD23" i="4"/>
  <c r="HE23" i="4"/>
  <c r="HF23" i="4"/>
  <c r="HG23" i="4"/>
  <c r="HH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GQ22" i="4"/>
  <c r="GR22" i="4"/>
  <c r="GS22" i="4"/>
  <c r="GT22" i="4"/>
  <c r="GU22" i="4"/>
  <c r="GV22" i="4"/>
  <c r="GW22" i="4"/>
  <c r="GX22" i="4"/>
  <c r="GY22" i="4"/>
  <c r="GZ22" i="4"/>
  <c r="HA22" i="4"/>
  <c r="HB22" i="4"/>
  <c r="HC22" i="4"/>
  <c r="HD22" i="4"/>
  <c r="HE22" i="4"/>
  <c r="HF22" i="4"/>
  <c r="HG22" i="4"/>
  <c r="HH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GQ21" i="4"/>
  <c r="GR21" i="4"/>
  <c r="GS21" i="4"/>
  <c r="GT21" i="4"/>
  <c r="GU21" i="4"/>
  <c r="GV21" i="4"/>
  <c r="GW21" i="4"/>
  <c r="GX21" i="4"/>
  <c r="GY21" i="4"/>
  <c r="GZ21" i="4"/>
  <c r="HA21" i="4"/>
  <c r="HB21" i="4"/>
  <c r="HC21" i="4"/>
  <c r="HD21" i="4"/>
  <c r="HE21" i="4"/>
  <c r="HF21" i="4"/>
  <c r="HG21" i="4"/>
  <c r="HH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GQ20" i="4"/>
  <c r="GR20" i="4"/>
  <c r="GS20" i="4"/>
  <c r="GT20" i="4"/>
  <c r="GU20" i="4"/>
  <c r="GV20" i="4"/>
  <c r="GW20" i="4"/>
  <c r="GX20" i="4"/>
  <c r="GY20" i="4"/>
  <c r="GZ20" i="4"/>
  <c r="HA20" i="4"/>
  <c r="HB20" i="4"/>
  <c r="HC20" i="4"/>
  <c r="HD20" i="4"/>
  <c r="HE20" i="4"/>
  <c r="HF20" i="4"/>
  <c r="HG20" i="4"/>
  <c r="HH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GQ19" i="4"/>
  <c r="GR19" i="4"/>
  <c r="GS19" i="4"/>
  <c r="GT19" i="4"/>
  <c r="GU19" i="4"/>
  <c r="GV19" i="4"/>
  <c r="GW19" i="4"/>
  <c r="GX19" i="4"/>
  <c r="GY19" i="4"/>
  <c r="GZ19" i="4"/>
  <c r="HA19" i="4"/>
  <c r="HB19" i="4"/>
  <c r="HC19" i="4"/>
  <c r="HD19" i="4"/>
  <c r="HE19" i="4"/>
  <c r="HF19" i="4"/>
  <c r="HG19" i="4"/>
  <c r="HH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GQ18" i="4"/>
  <c r="GR18" i="4"/>
  <c r="GS18" i="4"/>
  <c r="GT18" i="4"/>
  <c r="GU18" i="4"/>
  <c r="GV18" i="4"/>
  <c r="GW18" i="4"/>
  <c r="GX18" i="4"/>
  <c r="GY18" i="4"/>
  <c r="GZ18" i="4"/>
  <c r="HA18" i="4"/>
  <c r="HB18" i="4"/>
  <c r="HC18" i="4"/>
  <c r="HD18" i="4"/>
  <c r="HE18" i="4"/>
  <c r="HF18" i="4"/>
  <c r="HG18" i="4"/>
  <c r="HH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I18" i="4"/>
  <c r="AW18" i="4" s="1"/>
  <c r="AX18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AQ53" i="4" l="1"/>
  <c r="AR53" i="4" s="1"/>
  <c r="ER53" i="4"/>
  <c r="ES53" i="4" s="1"/>
  <c r="CA53" i="4"/>
  <c r="DG53" i="4" s="1"/>
  <c r="DH53" i="4" s="1"/>
  <c r="J54" i="4"/>
  <c r="I49" i="4"/>
  <c r="U54" i="4"/>
  <c r="V54" i="4" s="1"/>
  <c r="CA47" i="4"/>
  <c r="CE46" i="4"/>
  <c r="CF46" i="4" s="1"/>
  <c r="CK46" i="4"/>
  <c r="CL46" i="4" s="1"/>
  <c r="DA46" i="4"/>
  <c r="DB46" i="4" s="1"/>
  <c r="DQ46" i="4"/>
  <c r="DR46" i="4" s="1"/>
  <c r="EW46" i="4"/>
  <c r="EX46" i="4" s="1"/>
  <c r="GC46" i="4"/>
  <c r="GD46" i="4" s="1"/>
  <c r="CC46" i="4"/>
  <c r="CD46" i="4" s="1"/>
  <c r="CM46" i="4"/>
  <c r="CN46" i="4" s="1"/>
  <c r="CS46" i="4"/>
  <c r="CT46" i="4" s="1"/>
  <c r="DI46" i="4"/>
  <c r="DJ46" i="4" s="1"/>
  <c r="FM46" i="4"/>
  <c r="FN46" i="4" s="1"/>
  <c r="FE46" i="4"/>
  <c r="FF46" i="4" s="1"/>
  <c r="CI46" i="4"/>
  <c r="CJ46" i="4" s="1"/>
  <c r="CO46" i="4"/>
  <c r="CP46" i="4" s="1"/>
  <c r="CW46" i="4"/>
  <c r="CX46" i="4" s="1"/>
  <c r="DM46" i="4"/>
  <c r="DN46" i="4" s="1"/>
  <c r="FU46" i="4"/>
  <c r="FV46" i="4" s="1"/>
  <c r="AW45" i="4"/>
  <c r="AX45" i="4" s="1"/>
  <c r="AU45" i="4"/>
  <c r="AV45" i="4" s="1"/>
  <c r="AM45" i="4"/>
  <c r="AN45" i="4" s="1"/>
  <c r="AE45" i="4"/>
  <c r="AF45" i="4" s="1"/>
  <c r="W45" i="4"/>
  <c r="X45" i="4" s="1"/>
  <c r="O45" i="4"/>
  <c r="P45" i="4" s="1"/>
  <c r="AY45" i="4"/>
  <c r="AZ45" i="4" s="1"/>
  <c r="AA45" i="4"/>
  <c r="AB45" i="4" s="1"/>
  <c r="AQ45" i="4"/>
  <c r="AR45" i="4" s="1"/>
  <c r="S45" i="4"/>
  <c r="T45" i="4" s="1"/>
  <c r="AI45" i="4"/>
  <c r="AJ45" i="4" s="1"/>
  <c r="K45" i="4"/>
  <c r="L45" i="4" s="1"/>
  <c r="BZ45" i="4"/>
  <c r="AG54" i="4"/>
  <c r="AH54" i="4" s="1"/>
  <c r="ER43" i="4"/>
  <c r="ES43" i="4" s="1"/>
  <c r="CA43" i="4"/>
  <c r="AO54" i="4"/>
  <c r="AP54" i="4" s="1"/>
  <c r="DO42" i="4"/>
  <c r="DP42" i="4" s="1"/>
  <c r="DI42" i="4"/>
  <c r="DJ42" i="4" s="1"/>
  <c r="CS42" i="4"/>
  <c r="CT42" i="4" s="1"/>
  <c r="CC42" i="4"/>
  <c r="CD42" i="4" s="1"/>
  <c r="DA42" i="4"/>
  <c r="DB42" i="4" s="1"/>
  <c r="DE42" i="4"/>
  <c r="DF42" i="4" s="1"/>
  <c r="CO42" i="4"/>
  <c r="CP42" i="4" s="1"/>
  <c r="CB42" i="4"/>
  <c r="CK42" i="4"/>
  <c r="CL42" i="4" s="1"/>
  <c r="DM42" i="4"/>
  <c r="DN42" i="4" s="1"/>
  <c r="CW42" i="4"/>
  <c r="CX42" i="4" s="1"/>
  <c r="CG42" i="4"/>
  <c r="CH42" i="4" s="1"/>
  <c r="DQ42" i="4"/>
  <c r="DR42" i="4" s="1"/>
  <c r="ER42" i="4"/>
  <c r="ES42" i="4" s="1"/>
  <c r="AU41" i="4"/>
  <c r="AV41" i="4" s="1"/>
  <c r="Q54" i="4"/>
  <c r="R54" i="4" s="1"/>
  <c r="AK54" i="4"/>
  <c r="AL54" i="4" s="1"/>
  <c r="Y54" i="4"/>
  <c r="Z54" i="4" s="1"/>
  <c r="AW54" i="4"/>
  <c r="AX54" i="4" s="1"/>
  <c r="CA39" i="4"/>
  <c r="BZ38" i="4"/>
  <c r="ER37" i="4"/>
  <c r="ES37" i="4" s="1"/>
  <c r="CA37" i="4"/>
  <c r="J36" i="4"/>
  <c r="Y36" i="4"/>
  <c r="Z36" i="4" s="1"/>
  <c r="AI36" i="4"/>
  <c r="AJ36" i="4" s="1"/>
  <c r="AU36" i="4"/>
  <c r="AV36" i="4" s="1"/>
  <c r="CM36" i="4"/>
  <c r="CN36" i="4" s="1"/>
  <c r="DC36" i="4"/>
  <c r="DD36" i="4" s="1"/>
  <c r="S36" i="4"/>
  <c r="T36" i="4" s="1"/>
  <c r="K36" i="4"/>
  <c r="L36" i="4" s="1"/>
  <c r="AA36" i="4"/>
  <c r="AB36" i="4" s="1"/>
  <c r="AY36" i="4"/>
  <c r="AZ36" i="4" s="1"/>
  <c r="CB36" i="4"/>
  <c r="CG36" i="4"/>
  <c r="CH36" i="4" s="1"/>
  <c r="CQ36" i="4"/>
  <c r="CR36" i="4" s="1"/>
  <c r="CW36" i="4"/>
  <c r="CX36" i="4" s="1"/>
  <c r="DG36" i="4"/>
  <c r="DH36" i="4" s="1"/>
  <c r="DM36" i="4"/>
  <c r="DN36" i="4" s="1"/>
  <c r="M54" i="4"/>
  <c r="N54" i="4" s="1"/>
  <c r="AC54" i="4"/>
  <c r="AD54" i="4" s="1"/>
  <c r="O36" i="4"/>
  <c r="P36" i="4" s="1"/>
  <c r="AE36" i="4"/>
  <c r="AF36" i="4" s="1"/>
  <c r="AS36" i="4"/>
  <c r="AT36" i="4" s="1"/>
  <c r="CC36" i="4"/>
  <c r="CD36" i="4" s="1"/>
  <c r="CK36" i="4"/>
  <c r="CL36" i="4" s="1"/>
  <c r="CS36" i="4"/>
  <c r="CT36" i="4" s="1"/>
  <c r="DA36" i="4"/>
  <c r="DB36" i="4" s="1"/>
  <c r="DI36" i="4"/>
  <c r="DJ36" i="4" s="1"/>
  <c r="DQ36" i="4"/>
  <c r="DR36" i="4" s="1"/>
  <c r="AW35" i="4"/>
  <c r="AX35" i="4" s="1"/>
  <c r="AC35" i="4"/>
  <c r="AD35" i="4" s="1"/>
  <c r="AS35" i="4"/>
  <c r="AT35" i="4" s="1"/>
  <c r="Y35" i="4"/>
  <c r="Z35" i="4" s="1"/>
  <c r="M35" i="4"/>
  <c r="N35" i="4" s="1"/>
  <c r="AO35" i="4"/>
  <c r="AP35" i="4" s="1"/>
  <c r="J35" i="4"/>
  <c r="U35" i="4"/>
  <c r="V35" i="4" s="1"/>
  <c r="BZ35" i="4"/>
  <c r="CA34" i="4"/>
  <c r="ER34" i="4"/>
  <c r="ES34" i="4" s="1"/>
  <c r="BZ19" i="4"/>
  <c r="ER19" i="4" s="1"/>
  <c r="ES19" i="4" s="1"/>
  <c r="I19" i="4"/>
  <c r="J19" i="4" s="1"/>
  <c r="BZ54" i="4"/>
  <c r="AU146" i="4"/>
  <c r="AV146" i="4" s="1"/>
  <c r="ER146" i="4"/>
  <c r="ES146" i="4" s="1"/>
  <c r="AY146" i="4"/>
  <c r="AZ146" i="4" s="1"/>
  <c r="DM146" i="4"/>
  <c r="DN146" i="4" s="1"/>
  <c r="W148" i="4"/>
  <c r="X148" i="4" s="1"/>
  <c r="ER144" i="4"/>
  <c r="ES144" i="4" s="1"/>
  <c r="CA144" i="4"/>
  <c r="AC144" i="4"/>
  <c r="AD144" i="4" s="1"/>
  <c r="CA145" i="4"/>
  <c r="ER145" i="4"/>
  <c r="ES145" i="4" s="1"/>
  <c r="K145" i="4"/>
  <c r="L145" i="4" s="1"/>
  <c r="S145" i="4"/>
  <c r="T145" i="4" s="1"/>
  <c r="AA145" i="4"/>
  <c r="AB145" i="4" s="1"/>
  <c r="AI145" i="4"/>
  <c r="AJ145" i="4" s="1"/>
  <c r="AQ145" i="4"/>
  <c r="AR145" i="4" s="1"/>
  <c r="AY145" i="4"/>
  <c r="AZ145" i="4" s="1"/>
  <c r="U148" i="4"/>
  <c r="V148" i="4" s="1"/>
  <c r="AK148" i="4"/>
  <c r="AL148" i="4" s="1"/>
  <c r="BZ148" i="4"/>
  <c r="AS145" i="4"/>
  <c r="AT145" i="4" s="1"/>
  <c r="O145" i="4"/>
  <c r="P145" i="4" s="1"/>
  <c r="W145" i="4"/>
  <c r="X145" i="4" s="1"/>
  <c r="AE145" i="4"/>
  <c r="AF145" i="4" s="1"/>
  <c r="AM145" i="4"/>
  <c r="AN145" i="4" s="1"/>
  <c r="AU145" i="4"/>
  <c r="AV145" i="4" s="1"/>
  <c r="M148" i="4"/>
  <c r="N148" i="4" s="1"/>
  <c r="AC148" i="4"/>
  <c r="AD148" i="4" s="1"/>
  <c r="AS148" i="4"/>
  <c r="AT148" i="4" s="1"/>
  <c r="J145" i="4"/>
  <c r="Q145" i="4"/>
  <c r="R145" i="4" s="1"/>
  <c r="Y145" i="4"/>
  <c r="Z145" i="4" s="1"/>
  <c r="AG145" i="4"/>
  <c r="AH145" i="4" s="1"/>
  <c r="AO145" i="4"/>
  <c r="AP145" i="4" s="1"/>
  <c r="O148" i="4"/>
  <c r="P148" i="4" s="1"/>
  <c r="AE148" i="4"/>
  <c r="AF148" i="4" s="1"/>
  <c r="AU148" i="4"/>
  <c r="AV148" i="4" s="1"/>
  <c r="I20" i="4"/>
  <c r="AW20" i="4" s="1"/>
  <c r="AX20" i="4" s="1"/>
  <c r="BZ20" i="4"/>
  <c r="I57" i="4"/>
  <c r="AG57" i="4" s="1"/>
  <c r="AH57" i="4" s="1"/>
  <c r="Q60" i="4"/>
  <c r="R60" i="4" s="1"/>
  <c r="CA60" i="4"/>
  <c r="Y60" i="4"/>
  <c r="Z60" i="4" s="1"/>
  <c r="I26" i="4"/>
  <c r="AW26" i="4" s="1"/>
  <c r="AX26" i="4" s="1"/>
  <c r="CS69" i="4"/>
  <c r="CT69" i="4" s="1"/>
  <c r="DM69" i="4"/>
  <c r="DN69" i="4" s="1"/>
  <c r="FE69" i="4"/>
  <c r="FF69" i="4" s="1"/>
  <c r="CK69" i="4"/>
  <c r="CL69" i="4" s="1"/>
  <c r="DI69" i="4"/>
  <c r="DJ69" i="4" s="1"/>
  <c r="DI84" i="4"/>
  <c r="DJ84" i="4" s="1"/>
  <c r="CS84" i="4"/>
  <c r="CT84" i="4" s="1"/>
  <c r="DM84" i="4"/>
  <c r="DN84" i="4" s="1"/>
  <c r="CC84" i="4"/>
  <c r="CD84" i="4" s="1"/>
  <c r="CW84" i="4"/>
  <c r="CX84" i="4" s="1"/>
  <c r="CO84" i="4"/>
  <c r="CP84" i="4" s="1"/>
  <c r="CG84" i="4"/>
  <c r="CH84" i="4" s="1"/>
  <c r="DE84" i="4"/>
  <c r="DF84" i="4" s="1"/>
  <c r="DA88" i="4"/>
  <c r="DB88" i="4" s="1"/>
  <c r="CW88" i="4"/>
  <c r="CX88" i="4" s="1"/>
  <c r="DI88" i="4"/>
  <c r="DJ88" i="4" s="1"/>
  <c r="BZ66" i="4"/>
  <c r="BZ83" i="4"/>
  <c r="FM88" i="4"/>
  <c r="FN88" i="4" s="1"/>
  <c r="GG88" i="4"/>
  <c r="GH88" i="4" s="1"/>
  <c r="EW88" i="4"/>
  <c r="EX88" i="4" s="1"/>
  <c r="FQ88" i="4"/>
  <c r="FR88" i="4" s="1"/>
  <c r="FA88" i="4"/>
  <c r="FB88" i="4" s="1"/>
  <c r="FU88" i="4"/>
  <c r="FV88" i="4" s="1"/>
  <c r="FE88" i="4"/>
  <c r="FF88" i="4" s="1"/>
  <c r="GC88" i="4"/>
  <c r="GD88" i="4" s="1"/>
  <c r="ER72" i="4"/>
  <c r="ES72" i="4" s="1"/>
  <c r="GI72" i="4" s="1"/>
  <c r="GJ72" i="4" s="1"/>
  <c r="CA72" i="4"/>
  <c r="K72" i="4"/>
  <c r="L72" i="4" s="1"/>
  <c r="S72" i="4"/>
  <c r="T72" i="4" s="1"/>
  <c r="AA72" i="4"/>
  <c r="AB72" i="4" s="1"/>
  <c r="AI72" i="4"/>
  <c r="AJ72" i="4" s="1"/>
  <c r="AQ72" i="4"/>
  <c r="AR72" i="4" s="1"/>
  <c r="O72" i="4"/>
  <c r="P72" i="4" s="1"/>
  <c r="W72" i="4"/>
  <c r="X72" i="4" s="1"/>
  <c r="AE72" i="4"/>
  <c r="AF72" i="4" s="1"/>
  <c r="AM72" i="4"/>
  <c r="AN72" i="4" s="1"/>
  <c r="Q65" i="4"/>
  <c r="R65" i="4" s="1"/>
  <c r="AK65" i="4"/>
  <c r="AL65" i="4" s="1"/>
  <c r="U65" i="4"/>
  <c r="V65" i="4" s="1"/>
  <c r="AO65" i="4"/>
  <c r="AP65" i="4" s="1"/>
  <c r="Y65" i="4"/>
  <c r="Z65" i="4" s="1"/>
  <c r="AW65" i="4"/>
  <c r="AX65" i="4" s="1"/>
  <c r="BZ65" i="4"/>
  <c r="ER64" i="4"/>
  <c r="ES64" i="4" s="1"/>
  <c r="CA64" i="4"/>
  <c r="K64" i="4"/>
  <c r="L64" i="4" s="1"/>
  <c r="S64" i="4"/>
  <c r="T64" i="4" s="1"/>
  <c r="AA64" i="4"/>
  <c r="AB64" i="4" s="1"/>
  <c r="AI64" i="4"/>
  <c r="AJ64" i="4" s="1"/>
  <c r="AQ64" i="4"/>
  <c r="AR64" i="4" s="1"/>
  <c r="AY64" i="4"/>
  <c r="AZ64" i="4" s="1"/>
  <c r="I89" i="4"/>
  <c r="AS89" i="4" s="1"/>
  <c r="AT89" i="4" s="1"/>
  <c r="O64" i="4"/>
  <c r="P64" i="4" s="1"/>
  <c r="W64" i="4"/>
  <c r="X64" i="4" s="1"/>
  <c r="AE64" i="4"/>
  <c r="AF64" i="4" s="1"/>
  <c r="AM64" i="4"/>
  <c r="AN64" i="4" s="1"/>
  <c r="AU64" i="4"/>
  <c r="AV64" i="4" s="1"/>
  <c r="BZ24" i="4"/>
  <c r="I24" i="4"/>
  <c r="AW24" i="4" s="1"/>
  <c r="AX24" i="4" s="1"/>
  <c r="J130" i="4"/>
  <c r="W130" i="4"/>
  <c r="X130" i="4" s="1"/>
  <c r="AC130" i="4"/>
  <c r="AD130" i="4" s="1"/>
  <c r="AI130" i="4"/>
  <c r="AJ130" i="4" s="1"/>
  <c r="AO130" i="4"/>
  <c r="AP130" i="4" s="1"/>
  <c r="K130" i="4"/>
  <c r="L130" i="4" s="1"/>
  <c r="Q130" i="4"/>
  <c r="R130" i="4" s="1"/>
  <c r="AE130" i="4"/>
  <c r="AF130" i="4" s="1"/>
  <c r="AK130" i="4"/>
  <c r="AL130" i="4" s="1"/>
  <c r="AQ130" i="4"/>
  <c r="AR130" i="4" s="1"/>
  <c r="FM130" i="4"/>
  <c r="FN130" i="4" s="1"/>
  <c r="CA89" i="4"/>
  <c r="DQ89" i="4" s="1"/>
  <c r="DR89" i="4" s="1"/>
  <c r="ER111" i="4"/>
  <c r="ES111" i="4" s="1"/>
  <c r="CA111" i="4"/>
  <c r="O111" i="4"/>
  <c r="P111" i="4" s="1"/>
  <c r="W111" i="4"/>
  <c r="X111" i="4" s="1"/>
  <c r="AE111" i="4"/>
  <c r="AF111" i="4" s="1"/>
  <c r="AM111" i="4"/>
  <c r="AN111" i="4" s="1"/>
  <c r="AU111" i="4"/>
  <c r="AV111" i="4" s="1"/>
  <c r="K111" i="4"/>
  <c r="L111" i="4" s="1"/>
  <c r="S111" i="4"/>
  <c r="T111" i="4" s="1"/>
  <c r="AA111" i="4"/>
  <c r="AB111" i="4" s="1"/>
  <c r="AI111" i="4"/>
  <c r="AJ111" i="4" s="1"/>
  <c r="AQ111" i="4"/>
  <c r="AR111" i="4" s="1"/>
  <c r="GG112" i="4"/>
  <c r="GH112" i="4" s="1"/>
  <c r="FE112" i="4"/>
  <c r="FF112" i="4" s="1"/>
  <c r="GC112" i="4"/>
  <c r="GD112" i="4" s="1"/>
  <c r="EW112" i="4"/>
  <c r="EX112" i="4" s="1"/>
  <c r="FM112" i="4"/>
  <c r="FN112" i="4" s="1"/>
  <c r="FU112" i="4"/>
  <c r="FV112" i="4" s="1"/>
  <c r="CA112" i="4"/>
  <c r="ER95" i="4"/>
  <c r="ES95" i="4" s="1"/>
  <c r="FU95" i="4" s="1"/>
  <c r="FV95" i="4" s="1"/>
  <c r="CA95" i="4"/>
  <c r="DQ95" i="4" s="1"/>
  <c r="DR95" i="4" s="1"/>
  <c r="I95" i="4"/>
  <c r="AK95" i="4" s="1"/>
  <c r="AL95" i="4" s="1"/>
  <c r="ER96" i="4"/>
  <c r="ES96" i="4" s="1"/>
  <c r="CA96" i="4"/>
  <c r="AK96" i="4"/>
  <c r="AL96" i="4" s="1"/>
  <c r="K96" i="4"/>
  <c r="L96" i="4" s="1"/>
  <c r="S96" i="4"/>
  <c r="T96" i="4" s="1"/>
  <c r="AA96" i="4"/>
  <c r="AB96" i="4" s="1"/>
  <c r="AI96" i="4"/>
  <c r="AJ96" i="4" s="1"/>
  <c r="AQ96" i="4"/>
  <c r="AR96" i="4" s="1"/>
  <c r="AY96" i="4"/>
  <c r="AZ96" i="4" s="1"/>
  <c r="O96" i="4"/>
  <c r="P96" i="4" s="1"/>
  <c r="W96" i="4"/>
  <c r="X96" i="4" s="1"/>
  <c r="AE96" i="4"/>
  <c r="AF96" i="4" s="1"/>
  <c r="AM96" i="4"/>
  <c r="AN96" i="4" s="1"/>
  <c r="AU96" i="4"/>
  <c r="AV96" i="4" s="1"/>
  <c r="U96" i="4"/>
  <c r="V96" i="4" s="1"/>
  <c r="AC96" i="4"/>
  <c r="AD96" i="4" s="1"/>
  <c r="AS96" i="4"/>
  <c r="AT96" i="4" s="1"/>
  <c r="J96" i="4"/>
  <c r="Q96" i="4"/>
  <c r="R96" i="4" s="1"/>
  <c r="Y96" i="4"/>
  <c r="Z96" i="4" s="1"/>
  <c r="AG96" i="4"/>
  <c r="AH96" i="4" s="1"/>
  <c r="AO96" i="4"/>
  <c r="AP96" i="4" s="1"/>
  <c r="ER93" i="4"/>
  <c r="ES93" i="4" s="1"/>
  <c r="CA93" i="4"/>
  <c r="I113" i="4"/>
  <c r="AO113" i="4" s="1"/>
  <c r="AP113" i="4" s="1"/>
  <c r="BZ22" i="4"/>
  <c r="CA22" i="4" s="1"/>
  <c r="DQ22" i="4" s="1"/>
  <c r="DR22" i="4" s="1"/>
  <c r="I22" i="4"/>
  <c r="AW22" i="4" s="1"/>
  <c r="AX22" i="4" s="1"/>
  <c r="CW109" i="4"/>
  <c r="CX109" i="4" s="1"/>
  <c r="CG109" i="4"/>
  <c r="CH109" i="4" s="1"/>
  <c r="DM109" i="4"/>
  <c r="DN109" i="4" s="1"/>
  <c r="ER109" i="4"/>
  <c r="ES109" i="4" s="1"/>
  <c r="AS109" i="4"/>
  <c r="AT109" i="4" s="1"/>
  <c r="CA113" i="4"/>
  <c r="CM113" i="4" s="1"/>
  <c r="CN113" i="4" s="1"/>
  <c r="ER24" i="4"/>
  <c r="ES24" i="4" s="1"/>
  <c r="GG24" i="4" s="1"/>
  <c r="GH24" i="4" s="1"/>
  <c r="CA24" i="4"/>
  <c r="CB24" i="4" s="1"/>
  <c r="AM140" i="4"/>
  <c r="AN140" i="4" s="1"/>
  <c r="I131" i="4"/>
  <c r="O140" i="4"/>
  <c r="P140" i="4" s="1"/>
  <c r="AU140" i="4"/>
  <c r="AV140" i="4" s="1"/>
  <c r="AE140" i="4"/>
  <c r="AF140" i="4" s="1"/>
  <c r="W140" i="4"/>
  <c r="X140" i="4" s="1"/>
  <c r="D27" i="4"/>
  <c r="E27" i="4" s="1"/>
  <c r="H27" i="4" s="1"/>
  <c r="BZ27" i="4" s="1"/>
  <c r="ER122" i="4"/>
  <c r="ES122" i="4" s="1"/>
  <c r="CA122" i="4"/>
  <c r="CM122" i="4" s="1"/>
  <c r="CN122" i="4" s="1"/>
  <c r="I127" i="4"/>
  <c r="ER127" i="4"/>
  <c r="ES127" i="4" s="1"/>
  <c r="FW127" i="4" s="1"/>
  <c r="FX127" i="4" s="1"/>
  <c r="CA127" i="4"/>
  <c r="CC127" i="4" s="1"/>
  <c r="CD127" i="4" s="1"/>
  <c r="H23" i="4"/>
  <c r="DO22" i="4"/>
  <c r="DP22" i="4" s="1"/>
  <c r="AY21" i="4"/>
  <c r="AZ21" i="4" s="1"/>
  <c r="AU21" i="4"/>
  <c r="AV21" i="4" s="1"/>
  <c r="AQ21" i="4"/>
  <c r="AR21" i="4" s="1"/>
  <c r="AM21" i="4"/>
  <c r="AN21" i="4" s="1"/>
  <c r="AI21" i="4"/>
  <c r="AJ21" i="4" s="1"/>
  <c r="AE21" i="4"/>
  <c r="AF21" i="4" s="1"/>
  <c r="AA21" i="4"/>
  <c r="AB21" i="4" s="1"/>
  <c r="W21" i="4"/>
  <c r="X21" i="4" s="1"/>
  <c r="S21" i="4"/>
  <c r="T21" i="4" s="1"/>
  <c r="O21" i="4"/>
  <c r="P21" i="4" s="1"/>
  <c r="K21" i="4"/>
  <c r="L21" i="4" s="1"/>
  <c r="AW21" i="4"/>
  <c r="AX21" i="4" s="1"/>
  <c r="AS21" i="4"/>
  <c r="AT21" i="4" s="1"/>
  <c r="AO21" i="4"/>
  <c r="AP21" i="4" s="1"/>
  <c r="AK21" i="4"/>
  <c r="AL21" i="4" s="1"/>
  <c r="AG21" i="4"/>
  <c r="AH21" i="4" s="1"/>
  <c r="AC21" i="4"/>
  <c r="AD21" i="4" s="1"/>
  <c r="Y21" i="4"/>
  <c r="Z21" i="4" s="1"/>
  <c r="U21" i="4"/>
  <c r="V21" i="4" s="1"/>
  <c r="Q21" i="4"/>
  <c r="R21" i="4" s="1"/>
  <c r="M21" i="4"/>
  <c r="N21" i="4" s="1"/>
  <c r="J21" i="4"/>
  <c r="AY25" i="4"/>
  <c r="AZ25" i="4" s="1"/>
  <c r="AU25" i="4"/>
  <c r="AV25" i="4" s="1"/>
  <c r="AQ25" i="4"/>
  <c r="AR25" i="4" s="1"/>
  <c r="AM25" i="4"/>
  <c r="AN25" i="4" s="1"/>
  <c r="AI25" i="4"/>
  <c r="AJ25" i="4" s="1"/>
  <c r="AE25" i="4"/>
  <c r="AF25" i="4" s="1"/>
  <c r="AA25" i="4"/>
  <c r="AB25" i="4" s="1"/>
  <c r="W25" i="4"/>
  <c r="X25" i="4" s="1"/>
  <c r="S25" i="4"/>
  <c r="T25" i="4" s="1"/>
  <c r="O25" i="4"/>
  <c r="P25" i="4" s="1"/>
  <c r="K25" i="4"/>
  <c r="L25" i="4" s="1"/>
  <c r="AW25" i="4"/>
  <c r="AX25" i="4" s="1"/>
  <c r="AS25" i="4"/>
  <c r="AT25" i="4" s="1"/>
  <c r="AO25" i="4"/>
  <c r="AP25" i="4" s="1"/>
  <c r="AK25" i="4"/>
  <c r="AL25" i="4" s="1"/>
  <c r="AG25" i="4"/>
  <c r="AH25" i="4" s="1"/>
  <c r="AC25" i="4"/>
  <c r="AD25" i="4" s="1"/>
  <c r="Y25" i="4"/>
  <c r="Z25" i="4" s="1"/>
  <c r="U25" i="4"/>
  <c r="V25" i="4" s="1"/>
  <c r="Q25" i="4"/>
  <c r="R25" i="4" s="1"/>
  <c r="M25" i="4"/>
  <c r="N25" i="4" s="1"/>
  <c r="J25" i="4"/>
  <c r="GG51" i="4"/>
  <c r="GH51" i="4" s="1"/>
  <c r="GC51" i="4"/>
  <c r="GD51" i="4" s="1"/>
  <c r="FY51" i="4"/>
  <c r="FZ51" i="4" s="1"/>
  <c r="FU51" i="4"/>
  <c r="FV51" i="4" s="1"/>
  <c r="FQ51" i="4"/>
  <c r="FR51" i="4" s="1"/>
  <c r="FM51" i="4"/>
  <c r="FN51" i="4" s="1"/>
  <c r="FI51" i="4"/>
  <c r="FJ51" i="4" s="1"/>
  <c r="FE51" i="4"/>
  <c r="FF51" i="4" s="1"/>
  <c r="FA51" i="4"/>
  <c r="FB51" i="4" s="1"/>
  <c r="EW51" i="4"/>
  <c r="EX51" i="4" s="1"/>
  <c r="ET51" i="4"/>
  <c r="GI51" i="4"/>
  <c r="GJ51" i="4" s="1"/>
  <c r="GE51" i="4"/>
  <c r="GF51" i="4" s="1"/>
  <c r="GA51" i="4"/>
  <c r="GB51" i="4" s="1"/>
  <c r="FW51" i="4"/>
  <c r="FX51" i="4" s="1"/>
  <c r="FS51" i="4"/>
  <c r="FT51" i="4" s="1"/>
  <c r="FO51" i="4"/>
  <c r="FP51" i="4" s="1"/>
  <c r="FK51" i="4"/>
  <c r="FL51" i="4" s="1"/>
  <c r="FG51" i="4"/>
  <c r="FH51" i="4" s="1"/>
  <c r="FC51" i="4"/>
  <c r="FD51" i="4" s="1"/>
  <c r="EY51" i="4"/>
  <c r="EZ51" i="4" s="1"/>
  <c r="EU51" i="4"/>
  <c r="EV51" i="4" s="1"/>
  <c r="DQ26" i="4"/>
  <c r="DR26" i="4" s="1"/>
  <c r="DM26" i="4"/>
  <c r="DN26" i="4" s="1"/>
  <c r="DI26" i="4"/>
  <c r="DJ26" i="4" s="1"/>
  <c r="DE26" i="4"/>
  <c r="DF26" i="4" s="1"/>
  <c r="DA26" i="4"/>
  <c r="DB26" i="4" s="1"/>
  <c r="CW26" i="4"/>
  <c r="CX26" i="4" s="1"/>
  <c r="CS26" i="4"/>
  <c r="CT26" i="4" s="1"/>
  <c r="CO26" i="4"/>
  <c r="CP26" i="4" s="1"/>
  <c r="CK26" i="4"/>
  <c r="CL26" i="4" s="1"/>
  <c r="CG26" i="4"/>
  <c r="CH26" i="4" s="1"/>
  <c r="CC26" i="4"/>
  <c r="CD26" i="4" s="1"/>
  <c r="DO26" i="4"/>
  <c r="DP26" i="4" s="1"/>
  <c r="DK26" i="4"/>
  <c r="DL26" i="4" s="1"/>
  <c r="DG26" i="4"/>
  <c r="DH26" i="4" s="1"/>
  <c r="DC26" i="4"/>
  <c r="DD26" i="4" s="1"/>
  <c r="CY26" i="4"/>
  <c r="CZ26" i="4" s="1"/>
  <c r="CU26" i="4"/>
  <c r="CV26" i="4" s="1"/>
  <c r="CQ26" i="4"/>
  <c r="CR26" i="4" s="1"/>
  <c r="CM26" i="4"/>
  <c r="CN26" i="4" s="1"/>
  <c r="CI26" i="4"/>
  <c r="CJ26" i="4" s="1"/>
  <c r="CE26" i="4"/>
  <c r="CF26" i="4" s="1"/>
  <c r="CB26" i="4"/>
  <c r="GI36" i="4"/>
  <c r="GJ36" i="4" s="1"/>
  <c r="GC36" i="4"/>
  <c r="GD36" i="4" s="1"/>
  <c r="FS36" i="4"/>
  <c r="FT36" i="4" s="1"/>
  <c r="FM36" i="4"/>
  <c r="FN36" i="4" s="1"/>
  <c r="FC36" i="4"/>
  <c r="FD36" i="4" s="1"/>
  <c r="EW36" i="4"/>
  <c r="EX36" i="4" s="1"/>
  <c r="FU36" i="4"/>
  <c r="FV36" i="4" s="1"/>
  <c r="FE36" i="4"/>
  <c r="FF36" i="4" s="1"/>
  <c r="GG36" i="4"/>
  <c r="GH36" i="4" s="1"/>
  <c r="FW36" i="4"/>
  <c r="FX36" i="4" s="1"/>
  <c r="FQ36" i="4"/>
  <c r="FR36" i="4" s="1"/>
  <c r="FG36" i="4"/>
  <c r="FH36" i="4" s="1"/>
  <c r="FA36" i="4"/>
  <c r="FB36" i="4" s="1"/>
  <c r="EU36" i="4"/>
  <c r="EV36" i="4" s="1"/>
  <c r="GE36" i="4"/>
  <c r="GF36" i="4" s="1"/>
  <c r="FY36" i="4"/>
  <c r="FZ36" i="4" s="1"/>
  <c r="FO36" i="4"/>
  <c r="FP36" i="4" s="1"/>
  <c r="FI36" i="4"/>
  <c r="FJ36" i="4" s="1"/>
  <c r="EY36" i="4"/>
  <c r="EZ36" i="4" s="1"/>
  <c r="ET36" i="4"/>
  <c r="GA36" i="4"/>
  <c r="GB36" i="4" s="1"/>
  <c r="FK36" i="4"/>
  <c r="FL36" i="4" s="1"/>
  <c r="DQ18" i="4"/>
  <c r="DR18" i="4" s="1"/>
  <c r="DM18" i="4"/>
  <c r="DN18" i="4" s="1"/>
  <c r="DI18" i="4"/>
  <c r="DJ18" i="4" s="1"/>
  <c r="DE18" i="4"/>
  <c r="DF18" i="4" s="1"/>
  <c r="DA18" i="4"/>
  <c r="DB18" i="4" s="1"/>
  <c r="CW18" i="4"/>
  <c r="CX18" i="4" s="1"/>
  <c r="CS18" i="4"/>
  <c r="CT18" i="4" s="1"/>
  <c r="CO18" i="4"/>
  <c r="CP18" i="4" s="1"/>
  <c r="CK18" i="4"/>
  <c r="CL18" i="4" s="1"/>
  <c r="CG18" i="4"/>
  <c r="CH18" i="4" s="1"/>
  <c r="CC18" i="4"/>
  <c r="CD18" i="4" s="1"/>
  <c r="DO18" i="4"/>
  <c r="DP18" i="4" s="1"/>
  <c r="DK18" i="4"/>
  <c r="DL18" i="4" s="1"/>
  <c r="DG18" i="4"/>
  <c r="DH18" i="4" s="1"/>
  <c r="DC18" i="4"/>
  <c r="DD18" i="4" s="1"/>
  <c r="CY18" i="4"/>
  <c r="CZ18" i="4" s="1"/>
  <c r="CU18" i="4"/>
  <c r="CV18" i="4" s="1"/>
  <c r="CQ18" i="4"/>
  <c r="CR18" i="4" s="1"/>
  <c r="CM18" i="4"/>
  <c r="CN18" i="4" s="1"/>
  <c r="CI18" i="4"/>
  <c r="CJ18" i="4" s="1"/>
  <c r="CE18" i="4"/>
  <c r="CF18" i="4" s="1"/>
  <c r="CB18" i="4"/>
  <c r="CA31" i="4"/>
  <c r="ER31" i="4"/>
  <c r="ES31" i="4" s="1"/>
  <c r="FU34" i="4"/>
  <c r="FV34" i="4" s="1"/>
  <c r="GE34" i="4"/>
  <c r="GF34" i="4" s="1"/>
  <c r="GI41" i="4"/>
  <c r="GJ41" i="4" s="1"/>
  <c r="GE41" i="4"/>
  <c r="GF41" i="4" s="1"/>
  <c r="GA41" i="4"/>
  <c r="GB41" i="4" s="1"/>
  <c r="FW41" i="4"/>
  <c r="FX41" i="4" s="1"/>
  <c r="FS41" i="4"/>
  <c r="FT41" i="4" s="1"/>
  <c r="FO41" i="4"/>
  <c r="FP41" i="4" s="1"/>
  <c r="FK41" i="4"/>
  <c r="FL41" i="4" s="1"/>
  <c r="FG41" i="4"/>
  <c r="FH41" i="4" s="1"/>
  <c r="FC41" i="4"/>
  <c r="FD41" i="4" s="1"/>
  <c r="EY41" i="4"/>
  <c r="EZ41" i="4" s="1"/>
  <c r="EU41" i="4"/>
  <c r="EV41" i="4" s="1"/>
  <c r="GG41" i="4"/>
  <c r="GH41" i="4" s="1"/>
  <c r="GC41" i="4"/>
  <c r="GD41" i="4" s="1"/>
  <c r="FY41" i="4"/>
  <c r="FZ41" i="4" s="1"/>
  <c r="FU41" i="4"/>
  <c r="FV41" i="4" s="1"/>
  <c r="FQ41" i="4"/>
  <c r="FR41" i="4" s="1"/>
  <c r="FM41" i="4"/>
  <c r="FN41" i="4" s="1"/>
  <c r="FI41" i="4"/>
  <c r="FJ41" i="4" s="1"/>
  <c r="FE41" i="4"/>
  <c r="FF41" i="4" s="1"/>
  <c r="FA41" i="4"/>
  <c r="FB41" i="4" s="1"/>
  <c r="EW41" i="4"/>
  <c r="EX41" i="4" s="1"/>
  <c r="ET41" i="4"/>
  <c r="GG95" i="4"/>
  <c r="GH95" i="4" s="1"/>
  <c r="FY95" i="4"/>
  <c r="FZ95" i="4" s="1"/>
  <c r="FQ95" i="4"/>
  <c r="FR95" i="4" s="1"/>
  <c r="FI95" i="4"/>
  <c r="FJ95" i="4" s="1"/>
  <c r="FA95" i="4"/>
  <c r="FB95" i="4" s="1"/>
  <c r="ET95" i="4"/>
  <c r="GE95" i="4"/>
  <c r="GF95" i="4" s="1"/>
  <c r="FW95" i="4"/>
  <c r="FX95" i="4" s="1"/>
  <c r="FO95" i="4"/>
  <c r="FP95" i="4" s="1"/>
  <c r="FG95" i="4"/>
  <c r="FH95" i="4" s="1"/>
  <c r="EY95" i="4"/>
  <c r="EZ95" i="4" s="1"/>
  <c r="J18" i="4"/>
  <c r="Q18" i="4"/>
  <c r="R18" i="4" s="1"/>
  <c r="Y18" i="4"/>
  <c r="Z18" i="4" s="1"/>
  <c r="K18" i="4"/>
  <c r="L18" i="4" s="1"/>
  <c r="O18" i="4"/>
  <c r="P18" i="4" s="1"/>
  <c r="S18" i="4"/>
  <c r="T18" i="4" s="1"/>
  <c r="W18" i="4"/>
  <c r="X18" i="4" s="1"/>
  <c r="AA18" i="4"/>
  <c r="AB18" i="4" s="1"/>
  <c r="AE18" i="4"/>
  <c r="AF18" i="4" s="1"/>
  <c r="AI18" i="4"/>
  <c r="AJ18" i="4" s="1"/>
  <c r="AM18" i="4"/>
  <c r="AN18" i="4" s="1"/>
  <c r="AQ18" i="4"/>
  <c r="AR18" i="4" s="1"/>
  <c r="AU18" i="4"/>
  <c r="AV18" i="4" s="1"/>
  <c r="AY18" i="4"/>
  <c r="AZ18" i="4" s="1"/>
  <c r="K20" i="4"/>
  <c r="L20" i="4" s="1"/>
  <c r="O20" i="4"/>
  <c r="P20" i="4" s="1"/>
  <c r="S20" i="4"/>
  <c r="T20" i="4" s="1"/>
  <c r="AA20" i="4"/>
  <c r="AB20" i="4" s="1"/>
  <c r="AE20" i="4"/>
  <c r="AF20" i="4" s="1"/>
  <c r="AI20" i="4"/>
  <c r="AJ20" i="4" s="1"/>
  <c r="AQ20" i="4"/>
  <c r="AR20" i="4" s="1"/>
  <c r="AU20" i="4"/>
  <c r="AV20" i="4" s="1"/>
  <c r="AY20" i="4"/>
  <c r="AZ20" i="4" s="1"/>
  <c r="K22" i="4"/>
  <c r="L22" i="4" s="1"/>
  <c r="K24" i="4"/>
  <c r="L24" i="4" s="1"/>
  <c r="O24" i="4"/>
  <c r="P24" i="4" s="1"/>
  <c r="S24" i="4"/>
  <c r="T24" i="4" s="1"/>
  <c r="W24" i="4"/>
  <c r="X24" i="4" s="1"/>
  <c r="AA24" i="4"/>
  <c r="AB24" i="4" s="1"/>
  <c r="AE24" i="4"/>
  <c r="AF24" i="4" s="1"/>
  <c r="AI24" i="4"/>
  <c r="AJ24" i="4" s="1"/>
  <c r="AM24" i="4"/>
  <c r="AN24" i="4" s="1"/>
  <c r="AQ24" i="4"/>
  <c r="AR24" i="4" s="1"/>
  <c r="AU24" i="4"/>
  <c r="AV24" i="4" s="1"/>
  <c r="AY24" i="4"/>
  <c r="AZ24" i="4" s="1"/>
  <c r="CI24" i="4"/>
  <c r="CJ24" i="4" s="1"/>
  <c r="CY24" i="4"/>
  <c r="CZ24" i="4" s="1"/>
  <c r="EU24" i="4"/>
  <c r="EV24" i="4" s="1"/>
  <c r="GA24" i="4"/>
  <c r="GB24" i="4" s="1"/>
  <c r="K26" i="4"/>
  <c r="L26" i="4" s="1"/>
  <c r="O26" i="4"/>
  <c r="P26" i="4" s="1"/>
  <c r="S26" i="4"/>
  <c r="T26" i="4" s="1"/>
  <c r="W26" i="4"/>
  <c r="X26" i="4" s="1"/>
  <c r="AA26" i="4"/>
  <c r="AB26" i="4" s="1"/>
  <c r="AE26" i="4"/>
  <c r="AF26" i="4" s="1"/>
  <c r="AI26" i="4"/>
  <c r="AJ26" i="4" s="1"/>
  <c r="AM26" i="4"/>
  <c r="AN26" i="4" s="1"/>
  <c r="AQ26" i="4"/>
  <c r="AR26" i="4" s="1"/>
  <c r="AU26" i="4"/>
  <c r="AV26" i="4" s="1"/>
  <c r="AY26" i="4"/>
  <c r="AZ26" i="4" s="1"/>
  <c r="ER26" i="4"/>
  <c r="ES26" i="4" s="1"/>
  <c r="BZ25" i="4"/>
  <c r="BZ21" i="4"/>
  <c r="ER18" i="4"/>
  <c r="I31" i="4"/>
  <c r="K34" i="4"/>
  <c r="L34" i="4" s="1"/>
  <c r="O34" i="4"/>
  <c r="P34" i="4" s="1"/>
  <c r="S34" i="4"/>
  <c r="T34" i="4" s="1"/>
  <c r="W34" i="4"/>
  <c r="X34" i="4" s="1"/>
  <c r="AA34" i="4"/>
  <c r="AB34" i="4" s="1"/>
  <c r="AE34" i="4"/>
  <c r="AF34" i="4" s="1"/>
  <c r="AI34" i="4"/>
  <c r="AJ34" i="4" s="1"/>
  <c r="AM34" i="4"/>
  <c r="AN34" i="4" s="1"/>
  <c r="AQ34" i="4"/>
  <c r="AR34" i="4" s="1"/>
  <c r="AU34" i="4"/>
  <c r="AV34" i="4" s="1"/>
  <c r="AY34" i="4"/>
  <c r="AZ34" i="4" s="1"/>
  <c r="CB34" i="4"/>
  <c r="CE34" i="4"/>
  <c r="CF34" i="4" s="1"/>
  <c r="CI34" i="4"/>
  <c r="CJ34" i="4" s="1"/>
  <c r="CM34" i="4"/>
  <c r="CN34" i="4" s="1"/>
  <c r="CQ34" i="4"/>
  <c r="CR34" i="4" s="1"/>
  <c r="CU34" i="4"/>
  <c r="CV34" i="4" s="1"/>
  <c r="CY34" i="4"/>
  <c r="CZ34" i="4" s="1"/>
  <c r="DC34" i="4"/>
  <c r="DD34" i="4" s="1"/>
  <c r="DG34" i="4"/>
  <c r="DH34" i="4" s="1"/>
  <c r="DK34" i="4"/>
  <c r="DL34" i="4" s="1"/>
  <c r="DQ34" i="4"/>
  <c r="DR34" i="4" s="1"/>
  <c r="ET34" i="4"/>
  <c r="FC34" i="4"/>
  <c r="FD34" i="4" s="1"/>
  <c r="FI34" i="4"/>
  <c r="FJ34" i="4" s="1"/>
  <c r="FS34" i="4"/>
  <c r="FT34" i="4" s="1"/>
  <c r="FY34" i="4"/>
  <c r="FZ34" i="4" s="1"/>
  <c r="GI34" i="4"/>
  <c r="GJ34" i="4" s="1"/>
  <c r="Q35" i="4"/>
  <c r="R35" i="4" s="1"/>
  <c r="AG35" i="4"/>
  <c r="AH35" i="4" s="1"/>
  <c r="Q36" i="4"/>
  <c r="R36" i="4" s="1"/>
  <c r="W36" i="4"/>
  <c r="X36" i="4" s="1"/>
  <c r="AG36" i="4"/>
  <c r="AH36" i="4" s="1"/>
  <c r="AM36" i="4"/>
  <c r="AN36" i="4" s="1"/>
  <c r="AW36" i="4"/>
  <c r="AX36" i="4" s="1"/>
  <c r="CE36" i="4"/>
  <c r="CF36" i="4" s="1"/>
  <c r="CO36" i="4"/>
  <c r="CP36" i="4" s="1"/>
  <c r="CU36" i="4"/>
  <c r="CV36" i="4" s="1"/>
  <c r="DE36" i="4"/>
  <c r="DF36" i="4" s="1"/>
  <c r="S37" i="4"/>
  <c r="T37" i="4" s="1"/>
  <c r="AI37" i="4"/>
  <c r="AJ37" i="4" s="1"/>
  <c r="CB37" i="4"/>
  <c r="CQ37" i="4"/>
  <c r="CR37" i="4" s="1"/>
  <c r="CY37" i="4"/>
  <c r="CZ37" i="4" s="1"/>
  <c r="DG37" i="4"/>
  <c r="DH37" i="4" s="1"/>
  <c r="DO37" i="4"/>
  <c r="DP37" i="4" s="1"/>
  <c r="M38" i="4"/>
  <c r="N38" i="4" s="1"/>
  <c r="AC38" i="4"/>
  <c r="AD38" i="4" s="1"/>
  <c r="AW39" i="4"/>
  <c r="AX39" i="4" s="1"/>
  <c r="AS39" i="4"/>
  <c r="AT39" i="4" s="1"/>
  <c r="AO39" i="4"/>
  <c r="AP39" i="4" s="1"/>
  <c r="AK39" i="4"/>
  <c r="AL39" i="4" s="1"/>
  <c r="AG39" i="4"/>
  <c r="AH39" i="4" s="1"/>
  <c r="AC39" i="4"/>
  <c r="AD39" i="4" s="1"/>
  <c r="Y39" i="4"/>
  <c r="Z39" i="4" s="1"/>
  <c r="U39" i="4"/>
  <c r="V39" i="4" s="1"/>
  <c r="Q39" i="4"/>
  <c r="R39" i="4" s="1"/>
  <c r="M39" i="4"/>
  <c r="N39" i="4" s="1"/>
  <c r="J39" i="4"/>
  <c r="AY39" i="4"/>
  <c r="AZ39" i="4" s="1"/>
  <c r="AU39" i="4"/>
  <c r="AV39" i="4" s="1"/>
  <c r="AQ39" i="4"/>
  <c r="AR39" i="4" s="1"/>
  <c r="AM39" i="4"/>
  <c r="AN39" i="4" s="1"/>
  <c r="AI39" i="4"/>
  <c r="AJ39" i="4" s="1"/>
  <c r="AE39" i="4"/>
  <c r="AF39" i="4" s="1"/>
  <c r="AA39" i="4"/>
  <c r="AB39" i="4" s="1"/>
  <c r="W39" i="4"/>
  <c r="X39" i="4" s="1"/>
  <c r="S39" i="4"/>
  <c r="T39" i="4" s="1"/>
  <c r="O39" i="4"/>
  <c r="P39" i="4" s="1"/>
  <c r="K39" i="4"/>
  <c r="L39" i="4" s="1"/>
  <c r="U42" i="4"/>
  <c r="V42" i="4" s="1"/>
  <c r="GI42" i="4"/>
  <c r="GJ42" i="4" s="1"/>
  <c r="GE42" i="4"/>
  <c r="GF42" i="4" s="1"/>
  <c r="GA42" i="4"/>
  <c r="GB42" i="4" s="1"/>
  <c r="FW42" i="4"/>
  <c r="FX42" i="4" s="1"/>
  <c r="FS42" i="4"/>
  <c r="FT42" i="4" s="1"/>
  <c r="FO42" i="4"/>
  <c r="FP42" i="4" s="1"/>
  <c r="FK42" i="4"/>
  <c r="FL42" i="4" s="1"/>
  <c r="FG42" i="4"/>
  <c r="FH42" i="4" s="1"/>
  <c r="FC42" i="4"/>
  <c r="FD42" i="4" s="1"/>
  <c r="EY42" i="4"/>
  <c r="EZ42" i="4" s="1"/>
  <c r="EU42" i="4"/>
  <c r="EV42" i="4" s="1"/>
  <c r="I44" i="4"/>
  <c r="BZ44" i="4"/>
  <c r="J46" i="4"/>
  <c r="Y46" i="4"/>
  <c r="Z46" i="4" s="1"/>
  <c r="AO46" i="4"/>
  <c r="AP46" i="4" s="1"/>
  <c r="ET46" i="4"/>
  <c r="FI46" i="4"/>
  <c r="FJ46" i="4" s="1"/>
  <c r="FY46" i="4"/>
  <c r="FZ46" i="4" s="1"/>
  <c r="GG47" i="4"/>
  <c r="GH47" i="4" s="1"/>
  <c r="GC47" i="4"/>
  <c r="GD47" i="4" s="1"/>
  <c r="FY47" i="4"/>
  <c r="FZ47" i="4" s="1"/>
  <c r="FU47" i="4"/>
  <c r="FV47" i="4" s="1"/>
  <c r="FQ47" i="4"/>
  <c r="FR47" i="4" s="1"/>
  <c r="FM47" i="4"/>
  <c r="FN47" i="4" s="1"/>
  <c r="FI47" i="4"/>
  <c r="FJ47" i="4" s="1"/>
  <c r="FE47" i="4"/>
  <c r="FF47" i="4" s="1"/>
  <c r="FA47" i="4"/>
  <c r="FB47" i="4" s="1"/>
  <c r="EW47" i="4"/>
  <c r="EX47" i="4" s="1"/>
  <c r="ET47" i="4"/>
  <c r="GI47" i="4"/>
  <c r="GJ47" i="4" s="1"/>
  <c r="GE47" i="4"/>
  <c r="GF47" i="4" s="1"/>
  <c r="GA47" i="4"/>
  <c r="GB47" i="4" s="1"/>
  <c r="FW47" i="4"/>
  <c r="FX47" i="4" s="1"/>
  <c r="FS47" i="4"/>
  <c r="FT47" i="4" s="1"/>
  <c r="FO47" i="4"/>
  <c r="FP47" i="4" s="1"/>
  <c r="FK47" i="4"/>
  <c r="FL47" i="4" s="1"/>
  <c r="FG47" i="4"/>
  <c r="FH47" i="4" s="1"/>
  <c r="FC47" i="4"/>
  <c r="FD47" i="4" s="1"/>
  <c r="EY47" i="4"/>
  <c r="EZ47" i="4" s="1"/>
  <c r="EU47" i="4"/>
  <c r="EV47" i="4" s="1"/>
  <c r="CK50" i="4"/>
  <c r="CL50" i="4" s="1"/>
  <c r="DA50" i="4"/>
  <c r="DB50" i="4" s="1"/>
  <c r="EW50" i="4"/>
  <c r="EX50" i="4" s="1"/>
  <c r="FM50" i="4"/>
  <c r="FN50" i="4" s="1"/>
  <c r="AW51" i="4"/>
  <c r="AX51" i="4" s="1"/>
  <c r="AS51" i="4"/>
  <c r="AT51" i="4" s="1"/>
  <c r="AO51" i="4"/>
  <c r="AP51" i="4" s="1"/>
  <c r="AK51" i="4"/>
  <c r="AL51" i="4" s="1"/>
  <c r="AG51" i="4"/>
  <c r="AH51" i="4" s="1"/>
  <c r="AC51" i="4"/>
  <c r="AD51" i="4" s="1"/>
  <c r="Y51" i="4"/>
  <c r="Z51" i="4" s="1"/>
  <c r="U51" i="4"/>
  <c r="V51" i="4" s="1"/>
  <c r="Q51" i="4"/>
  <c r="R51" i="4" s="1"/>
  <c r="M51" i="4"/>
  <c r="N51" i="4" s="1"/>
  <c r="J51" i="4"/>
  <c r="AY51" i="4"/>
  <c r="AZ51" i="4" s="1"/>
  <c r="AU51" i="4"/>
  <c r="AV51" i="4" s="1"/>
  <c r="AQ51" i="4"/>
  <c r="AR51" i="4" s="1"/>
  <c r="AM51" i="4"/>
  <c r="AN51" i="4" s="1"/>
  <c r="AI51" i="4"/>
  <c r="AJ51" i="4" s="1"/>
  <c r="AE51" i="4"/>
  <c r="AF51" i="4" s="1"/>
  <c r="AA51" i="4"/>
  <c r="AB51" i="4" s="1"/>
  <c r="W51" i="4"/>
  <c r="X51" i="4" s="1"/>
  <c r="S51" i="4"/>
  <c r="T51" i="4" s="1"/>
  <c r="O51" i="4"/>
  <c r="P51" i="4" s="1"/>
  <c r="K51" i="4"/>
  <c r="L51" i="4" s="1"/>
  <c r="GI53" i="4"/>
  <c r="GJ53" i="4" s="1"/>
  <c r="GE53" i="4"/>
  <c r="GF53" i="4" s="1"/>
  <c r="GA53" i="4"/>
  <c r="GB53" i="4" s="1"/>
  <c r="FW53" i="4"/>
  <c r="FX53" i="4" s="1"/>
  <c r="FS53" i="4"/>
  <c r="FT53" i="4" s="1"/>
  <c r="FO53" i="4"/>
  <c r="FP53" i="4" s="1"/>
  <c r="FK53" i="4"/>
  <c r="FL53" i="4" s="1"/>
  <c r="FG53" i="4"/>
  <c r="FH53" i="4" s="1"/>
  <c r="FC53" i="4"/>
  <c r="FD53" i="4" s="1"/>
  <c r="EY53" i="4"/>
  <c r="EZ53" i="4" s="1"/>
  <c r="EU53" i="4"/>
  <c r="EV53" i="4" s="1"/>
  <c r="GG53" i="4"/>
  <c r="GH53" i="4" s="1"/>
  <c r="GC53" i="4"/>
  <c r="GD53" i="4" s="1"/>
  <c r="FY53" i="4"/>
  <c r="FZ53" i="4" s="1"/>
  <c r="FU53" i="4"/>
  <c r="FV53" i="4" s="1"/>
  <c r="FQ53" i="4"/>
  <c r="FR53" i="4" s="1"/>
  <c r="FM53" i="4"/>
  <c r="FN53" i="4" s="1"/>
  <c r="FI53" i="4"/>
  <c r="FJ53" i="4" s="1"/>
  <c r="FE53" i="4"/>
  <c r="FF53" i="4" s="1"/>
  <c r="FA53" i="4"/>
  <c r="FB53" i="4" s="1"/>
  <c r="EW53" i="4"/>
  <c r="EX53" i="4" s="1"/>
  <c r="ET53" i="4"/>
  <c r="AY54" i="4"/>
  <c r="AZ54" i="4" s="1"/>
  <c r="AU54" i="4"/>
  <c r="AV54" i="4" s="1"/>
  <c r="AQ54" i="4"/>
  <c r="AR54" i="4" s="1"/>
  <c r="AM54" i="4"/>
  <c r="AN54" i="4" s="1"/>
  <c r="AI54" i="4"/>
  <c r="AJ54" i="4" s="1"/>
  <c r="AE54" i="4"/>
  <c r="AF54" i="4" s="1"/>
  <c r="AA54" i="4"/>
  <c r="AB54" i="4" s="1"/>
  <c r="W54" i="4"/>
  <c r="X54" i="4" s="1"/>
  <c r="S54" i="4"/>
  <c r="T54" i="4" s="1"/>
  <c r="O54" i="4"/>
  <c r="P54" i="4" s="1"/>
  <c r="K54" i="4"/>
  <c r="L54" i="4" s="1"/>
  <c r="CA57" i="4"/>
  <c r="ER57" i="4"/>
  <c r="ES57" i="4" s="1"/>
  <c r="ET59" i="4"/>
  <c r="GI77" i="4"/>
  <c r="GJ77" i="4" s="1"/>
  <c r="GE77" i="4"/>
  <c r="GF77" i="4" s="1"/>
  <c r="GA77" i="4"/>
  <c r="GB77" i="4" s="1"/>
  <c r="FW77" i="4"/>
  <c r="FX77" i="4" s="1"/>
  <c r="FS77" i="4"/>
  <c r="FT77" i="4" s="1"/>
  <c r="FO77" i="4"/>
  <c r="FP77" i="4" s="1"/>
  <c r="FK77" i="4"/>
  <c r="FL77" i="4" s="1"/>
  <c r="FG77" i="4"/>
  <c r="FH77" i="4" s="1"/>
  <c r="FC77" i="4"/>
  <c r="FD77" i="4" s="1"/>
  <c r="EY77" i="4"/>
  <c r="EZ77" i="4" s="1"/>
  <c r="EU77" i="4"/>
  <c r="EV77" i="4" s="1"/>
  <c r="GC77" i="4"/>
  <c r="GD77" i="4" s="1"/>
  <c r="FM77" i="4"/>
  <c r="FN77" i="4" s="1"/>
  <c r="EW77" i="4"/>
  <c r="EX77" i="4" s="1"/>
  <c r="FY77" i="4"/>
  <c r="FZ77" i="4" s="1"/>
  <c r="FI77" i="4"/>
  <c r="FJ77" i="4" s="1"/>
  <c r="ET77" i="4"/>
  <c r="GG77" i="4"/>
  <c r="GH77" i="4" s="1"/>
  <c r="FQ77" i="4"/>
  <c r="FR77" i="4" s="1"/>
  <c r="FA77" i="4"/>
  <c r="FB77" i="4" s="1"/>
  <c r="I86" i="4"/>
  <c r="BZ86" i="4"/>
  <c r="AW37" i="4"/>
  <c r="AX37" i="4" s="1"/>
  <c r="AS37" i="4"/>
  <c r="AT37" i="4" s="1"/>
  <c r="AO37" i="4"/>
  <c r="AP37" i="4" s="1"/>
  <c r="AK37" i="4"/>
  <c r="AL37" i="4" s="1"/>
  <c r="AG37" i="4"/>
  <c r="AH37" i="4" s="1"/>
  <c r="AC37" i="4"/>
  <c r="AD37" i="4" s="1"/>
  <c r="Y37" i="4"/>
  <c r="Z37" i="4" s="1"/>
  <c r="U37" i="4"/>
  <c r="V37" i="4" s="1"/>
  <c r="Q37" i="4"/>
  <c r="R37" i="4" s="1"/>
  <c r="M37" i="4"/>
  <c r="N37" i="4" s="1"/>
  <c r="J37" i="4"/>
  <c r="GG58" i="4"/>
  <c r="GH58" i="4" s="1"/>
  <c r="GC58" i="4"/>
  <c r="GD58" i="4" s="1"/>
  <c r="FY58" i="4"/>
  <c r="FZ58" i="4" s="1"/>
  <c r="FU58" i="4"/>
  <c r="FV58" i="4" s="1"/>
  <c r="FQ58" i="4"/>
  <c r="FR58" i="4" s="1"/>
  <c r="FM58" i="4"/>
  <c r="FN58" i="4" s="1"/>
  <c r="FI58" i="4"/>
  <c r="FJ58" i="4" s="1"/>
  <c r="FE58" i="4"/>
  <c r="FF58" i="4" s="1"/>
  <c r="FA58" i="4"/>
  <c r="FB58" i="4" s="1"/>
  <c r="EW58" i="4"/>
  <c r="EX58" i="4" s="1"/>
  <c r="ET58" i="4"/>
  <c r="GA58" i="4"/>
  <c r="GB58" i="4" s="1"/>
  <c r="FK58" i="4"/>
  <c r="FL58" i="4" s="1"/>
  <c r="EU58" i="4"/>
  <c r="EV58" i="4" s="1"/>
  <c r="GE58" i="4"/>
  <c r="GF58" i="4" s="1"/>
  <c r="FO58" i="4"/>
  <c r="FP58" i="4" s="1"/>
  <c r="EY58" i="4"/>
  <c r="EZ58" i="4" s="1"/>
  <c r="FW58" i="4"/>
  <c r="FX58" i="4" s="1"/>
  <c r="FG58" i="4"/>
  <c r="FH58" i="4" s="1"/>
  <c r="GG59" i="4"/>
  <c r="GH59" i="4" s="1"/>
  <c r="GA59" i="4"/>
  <c r="GB59" i="4" s="1"/>
  <c r="FQ59" i="4"/>
  <c r="FR59" i="4" s="1"/>
  <c r="FK59" i="4"/>
  <c r="FL59" i="4" s="1"/>
  <c r="FA59" i="4"/>
  <c r="FB59" i="4" s="1"/>
  <c r="EU59" i="4"/>
  <c r="EV59" i="4" s="1"/>
  <c r="GE59" i="4"/>
  <c r="GF59" i="4" s="1"/>
  <c r="FU59" i="4"/>
  <c r="FV59" i="4" s="1"/>
  <c r="FO59" i="4"/>
  <c r="FP59" i="4" s="1"/>
  <c r="FE59" i="4"/>
  <c r="FF59" i="4" s="1"/>
  <c r="EY59" i="4"/>
  <c r="EZ59" i="4" s="1"/>
  <c r="GC59" i="4"/>
  <c r="GD59" i="4" s="1"/>
  <c r="FW59" i="4"/>
  <c r="FX59" i="4" s="1"/>
  <c r="FM59" i="4"/>
  <c r="FN59" i="4" s="1"/>
  <c r="FG59" i="4"/>
  <c r="FH59" i="4" s="1"/>
  <c r="EW59" i="4"/>
  <c r="EX59" i="4" s="1"/>
  <c r="I155" i="4"/>
  <c r="BZ155" i="4"/>
  <c r="M18" i="4"/>
  <c r="N18" i="4" s="1"/>
  <c r="U18" i="4"/>
  <c r="V18" i="4" s="1"/>
  <c r="AC18" i="4"/>
  <c r="AD18" i="4" s="1"/>
  <c r="AG18" i="4"/>
  <c r="AH18" i="4" s="1"/>
  <c r="AK18" i="4"/>
  <c r="AL18" i="4" s="1"/>
  <c r="AO18" i="4"/>
  <c r="AP18" i="4" s="1"/>
  <c r="AS18" i="4"/>
  <c r="AT18" i="4" s="1"/>
  <c r="M20" i="4"/>
  <c r="N20" i="4" s="1"/>
  <c r="Q20" i="4"/>
  <c r="R20" i="4" s="1"/>
  <c r="U20" i="4"/>
  <c r="V20" i="4" s="1"/>
  <c r="AC20" i="4"/>
  <c r="AD20" i="4" s="1"/>
  <c r="AG20" i="4"/>
  <c r="AH20" i="4" s="1"/>
  <c r="AK20" i="4"/>
  <c r="AL20" i="4" s="1"/>
  <c r="AS20" i="4"/>
  <c r="AT20" i="4" s="1"/>
  <c r="J24" i="4"/>
  <c r="M24" i="4"/>
  <c r="N24" i="4" s="1"/>
  <c r="Q24" i="4"/>
  <c r="R24" i="4" s="1"/>
  <c r="U24" i="4"/>
  <c r="V24" i="4" s="1"/>
  <c r="Y24" i="4"/>
  <c r="Z24" i="4" s="1"/>
  <c r="AC24" i="4"/>
  <c r="AD24" i="4" s="1"/>
  <c r="AG24" i="4"/>
  <c r="AH24" i="4" s="1"/>
  <c r="AK24" i="4"/>
  <c r="AL24" i="4" s="1"/>
  <c r="AO24" i="4"/>
  <c r="AP24" i="4" s="1"/>
  <c r="AS24" i="4"/>
  <c r="AT24" i="4" s="1"/>
  <c r="EW24" i="4"/>
  <c r="EX24" i="4" s="1"/>
  <c r="FM24" i="4"/>
  <c r="FN24" i="4" s="1"/>
  <c r="GC24" i="4"/>
  <c r="GD24" i="4" s="1"/>
  <c r="J26" i="4"/>
  <c r="M26" i="4"/>
  <c r="N26" i="4" s="1"/>
  <c r="Q26" i="4"/>
  <c r="R26" i="4" s="1"/>
  <c r="U26" i="4"/>
  <c r="V26" i="4" s="1"/>
  <c r="Y26" i="4"/>
  <c r="Z26" i="4" s="1"/>
  <c r="AC26" i="4"/>
  <c r="AD26" i="4" s="1"/>
  <c r="AG26" i="4"/>
  <c r="AH26" i="4" s="1"/>
  <c r="AK26" i="4"/>
  <c r="AL26" i="4" s="1"/>
  <c r="AO26" i="4"/>
  <c r="AP26" i="4" s="1"/>
  <c r="AS26" i="4"/>
  <c r="AT26" i="4" s="1"/>
  <c r="J34" i="4"/>
  <c r="M34" i="4"/>
  <c r="N34" i="4" s="1"/>
  <c r="Q34" i="4"/>
  <c r="R34" i="4" s="1"/>
  <c r="U34" i="4"/>
  <c r="V34" i="4" s="1"/>
  <c r="Y34" i="4"/>
  <c r="Z34" i="4" s="1"/>
  <c r="AC34" i="4"/>
  <c r="AD34" i="4" s="1"/>
  <c r="AG34" i="4"/>
  <c r="AH34" i="4" s="1"/>
  <c r="AK34" i="4"/>
  <c r="AL34" i="4" s="1"/>
  <c r="AO34" i="4"/>
  <c r="AP34" i="4" s="1"/>
  <c r="AS34" i="4"/>
  <c r="AT34" i="4" s="1"/>
  <c r="CC34" i="4"/>
  <c r="CD34" i="4" s="1"/>
  <c r="CG34" i="4"/>
  <c r="CH34" i="4" s="1"/>
  <c r="CK34" i="4"/>
  <c r="CL34" i="4" s="1"/>
  <c r="CO34" i="4"/>
  <c r="CP34" i="4" s="1"/>
  <c r="CS34" i="4"/>
  <c r="CT34" i="4" s="1"/>
  <c r="CW34" i="4"/>
  <c r="CX34" i="4" s="1"/>
  <c r="DA34" i="4"/>
  <c r="DB34" i="4" s="1"/>
  <c r="DE34" i="4"/>
  <c r="DF34" i="4" s="1"/>
  <c r="DI34" i="4"/>
  <c r="DJ34" i="4" s="1"/>
  <c r="EU34" i="4"/>
  <c r="EV34" i="4" s="1"/>
  <c r="FA34" i="4"/>
  <c r="FB34" i="4" s="1"/>
  <c r="FK34" i="4"/>
  <c r="FL34" i="4" s="1"/>
  <c r="FQ34" i="4"/>
  <c r="FR34" i="4" s="1"/>
  <c r="GA34" i="4"/>
  <c r="GB34" i="4" s="1"/>
  <c r="GG34" i="4"/>
  <c r="GH34" i="4" s="1"/>
  <c r="AY35" i="4"/>
  <c r="AZ35" i="4" s="1"/>
  <c r="AU35" i="4"/>
  <c r="AV35" i="4" s="1"/>
  <c r="AQ35" i="4"/>
  <c r="AR35" i="4" s="1"/>
  <c r="AM35" i="4"/>
  <c r="AN35" i="4" s="1"/>
  <c r="AI35" i="4"/>
  <c r="AJ35" i="4" s="1"/>
  <c r="AE35" i="4"/>
  <c r="AF35" i="4" s="1"/>
  <c r="AA35" i="4"/>
  <c r="AB35" i="4" s="1"/>
  <c r="W35" i="4"/>
  <c r="X35" i="4" s="1"/>
  <c r="S35" i="4"/>
  <c r="T35" i="4" s="1"/>
  <c r="O35" i="4"/>
  <c r="P35" i="4" s="1"/>
  <c r="K35" i="4"/>
  <c r="L35" i="4" s="1"/>
  <c r="K37" i="4"/>
  <c r="L37" i="4" s="1"/>
  <c r="AA37" i="4"/>
  <c r="AB37" i="4" s="1"/>
  <c r="AQ37" i="4"/>
  <c r="AR37" i="4" s="1"/>
  <c r="CI37" i="4"/>
  <c r="CJ37" i="4" s="1"/>
  <c r="CU37" i="4"/>
  <c r="CV37" i="4" s="1"/>
  <c r="DC37" i="4"/>
  <c r="DD37" i="4" s="1"/>
  <c r="GG39" i="4"/>
  <c r="GH39" i="4" s="1"/>
  <c r="GC39" i="4"/>
  <c r="GD39" i="4" s="1"/>
  <c r="FY39" i="4"/>
  <c r="FZ39" i="4" s="1"/>
  <c r="FU39" i="4"/>
  <c r="FV39" i="4" s="1"/>
  <c r="FQ39" i="4"/>
  <c r="FR39" i="4" s="1"/>
  <c r="FM39" i="4"/>
  <c r="FN39" i="4" s="1"/>
  <c r="FI39" i="4"/>
  <c r="FJ39" i="4" s="1"/>
  <c r="FE39" i="4"/>
  <c r="FF39" i="4" s="1"/>
  <c r="FA39" i="4"/>
  <c r="FB39" i="4" s="1"/>
  <c r="EW39" i="4"/>
  <c r="EX39" i="4" s="1"/>
  <c r="ET39" i="4"/>
  <c r="GI39" i="4"/>
  <c r="GJ39" i="4" s="1"/>
  <c r="GE39" i="4"/>
  <c r="GF39" i="4" s="1"/>
  <c r="GA39" i="4"/>
  <c r="GB39" i="4" s="1"/>
  <c r="FW39" i="4"/>
  <c r="FX39" i="4" s="1"/>
  <c r="FS39" i="4"/>
  <c r="FT39" i="4" s="1"/>
  <c r="FO39" i="4"/>
  <c r="FP39" i="4" s="1"/>
  <c r="FK39" i="4"/>
  <c r="FL39" i="4" s="1"/>
  <c r="FG39" i="4"/>
  <c r="FH39" i="4" s="1"/>
  <c r="FC39" i="4"/>
  <c r="FD39" i="4" s="1"/>
  <c r="EY39" i="4"/>
  <c r="EZ39" i="4" s="1"/>
  <c r="EU39" i="4"/>
  <c r="EV39" i="4" s="1"/>
  <c r="AY42" i="4"/>
  <c r="AZ42" i="4" s="1"/>
  <c r="AU42" i="4"/>
  <c r="AV42" i="4" s="1"/>
  <c r="AQ42" i="4"/>
  <c r="AR42" i="4" s="1"/>
  <c r="AM42" i="4"/>
  <c r="AN42" i="4" s="1"/>
  <c r="AI42" i="4"/>
  <c r="AJ42" i="4" s="1"/>
  <c r="AE42" i="4"/>
  <c r="AF42" i="4" s="1"/>
  <c r="AA42" i="4"/>
  <c r="AB42" i="4" s="1"/>
  <c r="W42" i="4"/>
  <c r="X42" i="4" s="1"/>
  <c r="S42" i="4"/>
  <c r="T42" i="4" s="1"/>
  <c r="O42" i="4"/>
  <c r="P42" i="4" s="1"/>
  <c r="K42" i="4"/>
  <c r="L42" i="4" s="1"/>
  <c r="Q46" i="4"/>
  <c r="R46" i="4" s="1"/>
  <c r="AG46" i="4"/>
  <c r="AH46" i="4" s="1"/>
  <c r="FA46" i="4"/>
  <c r="FB46" i="4" s="1"/>
  <c r="FQ46" i="4"/>
  <c r="FR46" i="4" s="1"/>
  <c r="AW47" i="4"/>
  <c r="AX47" i="4" s="1"/>
  <c r="AS47" i="4"/>
  <c r="AT47" i="4" s="1"/>
  <c r="AO47" i="4"/>
  <c r="AP47" i="4" s="1"/>
  <c r="AK47" i="4"/>
  <c r="AL47" i="4" s="1"/>
  <c r="AG47" i="4"/>
  <c r="AH47" i="4" s="1"/>
  <c r="AC47" i="4"/>
  <c r="AD47" i="4" s="1"/>
  <c r="Y47" i="4"/>
  <c r="Z47" i="4" s="1"/>
  <c r="U47" i="4"/>
  <c r="V47" i="4" s="1"/>
  <c r="Q47" i="4"/>
  <c r="R47" i="4" s="1"/>
  <c r="M47" i="4"/>
  <c r="N47" i="4" s="1"/>
  <c r="J47" i="4"/>
  <c r="AY47" i="4"/>
  <c r="AZ47" i="4" s="1"/>
  <c r="AU47" i="4"/>
  <c r="AV47" i="4" s="1"/>
  <c r="AQ47" i="4"/>
  <c r="AR47" i="4" s="1"/>
  <c r="AM47" i="4"/>
  <c r="AN47" i="4" s="1"/>
  <c r="AI47" i="4"/>
  <c r="AJ47" i="4" s="1"/>
  <c r="AE47" i="4"/>
  <c r="AF47" i="4" s="1"/>
  <c r="AA47" i="4"/>
  <c r="AB47" i="4" s="1"/>
  <c r="W47" i="4"/>
  <c r="X47" i="4" s="1"/>
  <c r="S47" i="4"/>
  <c r="T47" i="4" s="1"/>
  <c r="O47" i="4"/>
  <c r="P47" i="4" s="1"/>
  <c r="K47" i="4"/>
  <c r="L47" i="4" s="1"/>
  <c r="GI50" i="4"/>
  <c r="GJ50" i="4" s="1"/>
  <c r="GE50" i="4"/>
  <c r="GF50" i="4" s="1"/>
  <c r="GA50" i="4"/>
  <c r="GB50" i="4" s="1"/>
  <c r="FW50" i="4"/>
  <c r="FX50" i="4" s="1"/>
  <c r="FS50" i="4"/>
  <c r="FT50" i="4" s="1"/>
  <c r="FO50" i="4"/>
  <c r="FP50" i="4" s="1"/>
  <c r="FK50" i="4"/>
  <c r="FL50" i="4" s="1"/>
  <c r="FG50" i="4"/>
  <c r="FH50" i="4" s="1"/>
  <c r="FC50" i="4"/>
  <c r="FD50" i="4" s="1"/>
  <c r="EY50" i="4"/>
  <c r="EZ50" i="4" s="1"/>
  <c r="EU50" i="4"/>
  <c r="EV50" i="4" s="1"/>
  <c r="I52" i="4"/>
  <c r="BZ52" i="4"/>
  <c r="DO53" i="4"/>
  <c r="DP53" i="4" s="1"/>
  <c r="CY53" i="4"/>
  <c r="CZ53" i="4" s="1"/>
  <c r="CI53" i="4"/>
  <c r="CJ53" i="4" s="1"/>
  <c r="DM53" i="4"/>
  <c r="DN53" i="4" s="1"/>
  <c r="CW53" i="4"/>
  <c r="CX53" i="4" s="1"/>
  <c r="CG53" i="4"/>
  <c r="CH53" i="4" s="1"/>
  <c r="FC58" i="4"/>
  <c r="FD58" i="4" s="1"/>
  <c r="FC59" i="4"/>
  <c r="FD59" i="4" s="1"/>
  <c r="FY59" i="4"/>
  <c r="FZ59" i="4" s="1"/>
  <c r="GG70" i="4"/>
  <c r="GH70" i="4" s="1"/>
  <c r="GC70" i="4"/>
  <c r="GD70" i="4" s="1"/>
  <c r="FY70" i="4"/>
  <c r="FZ70" i="4" s="1"/>
  <c r="FU70" i="4"/>
  <c r="FV70" i="4" s="1"/>
  <c r="FQ70" i="4"/>
  <c r="FR70" i="4" s="1"/>
  <c r="FM70" i="4"/>
  <c r="FN70" i="4" s="1"/>
  <c r="FI70" i="4"/>
  <c r="FJ70" i="4" s="1"/>
  <c r="FE70" i="4"/>
  <c r="FF70" i="4" s="1"/>
  <c r="FA70" i="4"/>
  <c r="FB70" i="4" s="1"/>
  <c r="EW70" i="4"/>
  <c r="EX70" i="4" s="1"/>
  <c r="ET70" i="4"/>
  <c r="GI70" i="4"/>
  <c r="GJ70" i="4" s="1"/>
  <c r="GE70" i="4"/>
  <c r="GF70" i="4" s="1"/>
  <c r="GA70" i="4"/>
  <c r="GB70" i="4" s="1"/>
  <c r="FW70" i="4"/>
  <c r="FX70" i="4" s="1"/>
  <c r="FS70" i="4"/>
  <c r="FT70" i="4" s="1"/>
  <c r="FO70" i="4"/>
  <c r="FP70" i="4" s="1"/>
  <c r="FK70" i="4"/>
  <c r="FL70" i="4" s="1"/>
  <c r="FG70" i="4"/>
  <c r="FH70" i="4" s="1"/>
  <c r="FC70" i="4"/>
  <c r="FD70" i="4" s="1"/>
  <c r="EY70" i="4"/>
  <c r="EZ70" i="4" s="1"/>
  <c r="EU70" i="4"/>
  <c r="EV70" i="4" s="1"/>
  <c r="GG74" i="4"/>
  <c r="GH74" i="4" s="1"/>
  <c r="GC74" i="4"/>
  <c r="GD74" i="4" s="1"/>
  <c r="FY74" i="4"/>
  <c r="FZ74" i="4" s="1"/>
  <c r="FU74" i="4"/>
  <c r="FV74" i="4" s="1"/>
  <c r="FQ74" i="4"/>
  <c r="FR74" i="4" s="1"/>
  <c r="FM74" i="4"/>
  <c r="FN74" i="4" s="1"/>
  <c r="FI74" i="4"/>
  <c r="FJ74" i="4" s="1"/>
  <c r="FE74" i="4"/>
  <c r="FF74" i="4" s="1"/>
  <c r="FA74" i="4"/>
  <c r="FB74" i="4" s="1"/>
  <c r="EW74" i="4"/>
  <c r="EX74" i="4" s="1"/>
  <c r="ET74" i="4"/>
  <c r="GI74" i="4"/>
  <c r="GJ74" i="4" s="1"/>
  <c r="GE74" i="4"/>
  <c r="GF74" i="4" s="1"/>
  <c r="GA74" i="4"/>
  <c r="GB74" i="4" s="1"/>
  <c r="FW74" i="4"/>
  <c r="FX74" i="4" s="1"/>
  <c r="FS74" i="4"/>
  <c r="FT74" i="4" s="1"/>
  <c r="FO74" i="4"/>
  <c r="FP74" i="4" s="1"/>
  <c r="FK74" i="4"/>
  <c r="FL74" i="4" s="1"/>
  <c r="FG74" i="4"/>
  <c r="FH74" i="4" s="1"/>
  <c r="FC74" i="4"/>
  <c r="FD74" i="4" s="1"/>
  <c r="EY74" i="4"/>
  <c r="EZ74" i="4" s="1"/>
  <c r="EU74" i="4"/>
  <c r="EV74" i="4" s="1"/>
  <c r="FO34" i="4"/>
  <c r="FP34" i="4" s="1"/>
  <c r="AU37" i="4"/>
  <c r="AV37" i="4" s="1"/>
  <c r="DQ37" i="4"/>
  <c r="DR37" i="4" s="1"/>
  <c r="DM37" i="4"/>
  <c r="DN37" i="4" s="1"/>
  <c r="DI37" i="4"/>
  <c r="DJ37" i="4" s="1"/>
  <c r="DE37" i="4"/>
  <c r="DF37" i="4" s="1"/>
  <c r="DA37" i="4"/>
  <c r="DB37" i="4" s="1"/>
  <c r="CW37" i="4"/>
  <c r="CX37" i="4" s="1"/>
  <c r="CS37" i="4"/>
  <c r="CT37" i="4" s="1"/>
  <c r="CO37" i="4"/>
  <c r="CP37" i="4" s="1"/>
  <c r="CK37" i="4"/>
  <c r="CL37" i="4" s="1"/>
  <c r="CG37" i="4"/>
  <c r="CH37" i="4" s="1"/>
  <c r="CC37" i="4"/>
  <c r="CD37" i="4" s="1"/>
  <c r="I40" i="4"/>
  <c r="BZ40" i="4"/>
  <c r="GG43" i="4"/>
  <c r="GH43" i="4" s="1"/>
  <c r="GC43" i="4"/>
  <c r="GD43" i="4" s="1"/>
  <c r="FY43" i="4"/>
  <c r="FZ43" i="4" s="1"/>
  <c r="FU43" i="4"/>
  <c r="FV43" i="4" s="1"/>
  <c r="FQ43" i="4"/>
  <c r="FR43" i="4" s="1"/>
  <c r="FM43" i="4"/>
  <c r="FN43" i="4" s="1"/>
  <c r="FI43" i="4"/>
  <c r="FJ43" i="4" s="1"/>
  <c r="FE43" i="4"/>
  <c r="FF43" i="4" s="1"/>
  <c r="FA43" i="4"/>
  <c r="FB43" i="4" s="1"/>
  <c r="EW43" i="4"/>
  <c r="EX43" i="4" s="1"/>
  <c r="ET43" i="4"/>
  <c r="GI43" i="4"/>
  <c r="GJ43" i="4" s="1"/>
  <c r="GE43" i="4"/>
  <c r="GF43" i="4" s="1"/>
  <c r="GA43" i="4"/>
  <c r="GB43" i="4" s="1"/>
  <c r="FW43" i="4"/>
  <c r="FX43" i="4" s="1"/>
  <c r="FS43" i="4"/>
  <c r="FT43" i="4" s="1"/>
  <c r="FO43" i="4"/>
  <c r="FP43" i="4" s="1"/>
  <c r="FK43" i="4"/>
  <c r="FL43" i="4" s="1"/>
  <c r="FG43" i="4"/>
  <c r="FH43" i="4" s="1"/>
  <c r="FC43" i="4"/>
  <c r="FD43" i="4" s="1"/>
  <c r="EY43" i="4"/>
  <c r="EZ43" i="4" s="1"/>
  <c r="EU43" i="4"/>
  <c r="EV43" i="4" s="1"/>
  <c r="AY46" i="4"/>
  <c r="AZ46" i="4" s="1"/>
  <c r="AU46" i="4"/>
  <c r="AV46" i="4" s="1"/>
  <c r="AQ46" i="4"/>
  <c r="AR46" i="4" s="1"/>
  <c r="AM46" i="4"/>
  <c r="AN46" i="4" s="1"/>
  <c r="AI46" i="4"/>
  <c r="AJ46" i="4" s="1"/>
  <c r="AE46" i="4"/>
  <c r="AF46" i="4" s="1"/>
  <c r="AA46" i="4"/>
  <c r="AB46" i="4" s="1"/>
  <c r="W46" i="4"/>
  <c r="X46" i="4" s="1"/>
  <c r="S46" i="4"/>
  <c r="T46" i="4" s="1"/>
  <c r="O46" i="4"/>
  <c r="P46" i="4" s="1"/>
  <c r="K46" i="4"/>
  <c r="L46" i="4" s="1"/>
  <c r="GI49" i="4"/>
  <c r="GJ49" i="4" s="1"/>
  <c r="GE49" i="4"/>
  <c r="GF49" i="4" s="1"/>
  <c r="GA49" i="4"/>
  <c r="GB49" i="4" s="1"/>
  <c r="FW49" i="4"/>
  <c r="FX49" i="4" s="1"/>
  <c r="FS49" i="4"/>
  <c r="FT49" i="4" s="1"/>
  <c r="FO49" i="4"/>
  <c r="FP49" i="4" s="1"/>
  <c r="FK49" i="4"/>
  <c r="FL49" i="4" s="1"/>
  <c r="FG49" i="4"/>
  <c r="FH49" i="4" s="1"/>
  <c r="FC49" i="4"/>
  <c r="FD49" i="4" s="1"/>
  <c r="EY49" i="4"/>
  <c r="EZ49" i="4" s="1"/>
  <c r="EU49" i="4"/>
  <c r="EV49" i="4" s="1"/>
  <c r="GG49" i="4"/>
  <c r="GH49" i="4" s="1"/>
  <c r="GC49" i="4"/>
  <c r="GD49" i="4" s="1"/>
  <c r="FY49" i="4"/>
  <c r="FZ49" i="4" s="1"/>
  <c r="FU49" i="4"/>
  <c r="FV49" i="4" s="1"/>
  <c r="FQ49" i="4"/>
  <c r="FR49" i="4" s="1"/>
  <c r="FM49" i="4"/>
  <c r="FN49" i="4" s="1"/>
  <c r="FI49" i="4"/>
  <c r="FJ49" i="4" s="1"/>
  <c r="FE49" i="4"/>
  <c r="FF49" i="4" s="1"/>
  <c r="FA49" i="4"/>
  <c r="FB49" i="4" s="1"/>
  <c r="EW49" i="4"/>
  <c r="EX49" i="4" s="1"/>
  <c r="ET49" i="4"/>
  <c r="GI73" i="4"/>
  <c r="GJ73" i="4" s="1"/>
  <c r="GE73" i="4"/>
  <c r="GF73" i="4" s="1"/>
  <c r="GA73" i="4"/>
  <c r="GB73" i="4" s="1"/>
  <c r="FW73" i="4"/>
  <c r="FX73" i="4" s="1"/>
  <c r="FS73" i="4"/>
  <c r="FT73" i="4" s="1"/>
  <c r="FO73" i="4"/>
  <c r="FP73" i="4" s="1"/>
  <c r="FK73" i="4"/>
  <c r="FL73" i="4" s="1"/>
  <c r="FG73" i="4"/>
  <c r="FH73" i="4" s="1"/>
  <c r="FC73" i="4"/>
  <c r="FD73" i="4" s="1"/>
  <c r="EY73" i="4"/>
  <c r="EZ73" i="4" s="1"/>
  <c r="EU73" i="4"/>
  <c r="EV73" i="4" s="1"/>
  <c r="GC73" i="4"/>
  <c r="GD73" i="4" s="1"/>
  <c r="FM73" i="4"/>
  <c r="FN73" i="4" s="1"/>
  <c r="EW73" i="4"/>
  <c r="EX73" i="4" s="1"/>
  <c r="FY73" i="4"/>
  <c r="FZ73" i="4" s="1"/>
  <c r="FI73" i="4"/>
  <c r="FJ73" i="4" s="1"/>
  <c r="ET73" i="4"/>
  <c r="GG73" i="4"/>
  <c r="GH73" i="4" s="1"/>
  <c r="FQ73" i="4"/>
  <c r="FR73" i="4" s="1"/>
  <c r="FA73" i="4"/>
  <c r="FB73" i="4" s="1"/>
  <c r="ER83" i="4"/>
  <c r="ES83" i="4" s="1"/>
  <c r="CA83" i="4"/>
  <c r="EW34" i="4"/>
  <c r="EX34" i="4" s="1"/>
  <c r="FG34" i="4"/>
  <c r="FH34" i="4" s="1"/>
  <c r="FM34" i="4"/>
  <c r="FN34" i="4" s="1"/>
  <c r="FW34" i="4"/>
  <c r="FX34" i="4" s="1"/>
  <c r="AK35" i="4"/>
  <c r="AL35" i="4" s="1"/>
  <c r="AK36" i="4"/>
  <c r="AL36" i="4" s="1"/>
  <c r="W37" i="4"/>
  <c r="X37" i="4" s="1"/>
  <c r="AM37" i="4"/>
  <c r="AN37" i="4" s="1"/>
  <c r="CE37" i="4"/>
  <c r="CF37" i="4" s="1"/>
  <c r="GI37" i="4"/>
  <c r="GJ37" i="4" s="1"/>
  <c r="GE37" i="4"/>
  <c r="GF37" i="4" s="1"/>
  <c r="GA37" i="4"/>
  <c r="GB37" i="4" s="1"/>
  <c r="FW37" i="4"/>
  <c r="FX37" i="4" s="1"/>
  <c r="FS37" i="4"/>
  <c r="FT37" i="4" s="1"/>
  <c r="FO37" i="4"/>
  <c r="FP37" i="4" s="1"/>
  <c r="FK37" i="4"/>
  <c r="FL37" i="4" s="1"/>
  <c r="FG37" i="4"/>
  <c r="FH37" i="4" s="1"/>
  <c r="FC37" i="4"/>
  <c r="FD37" i="4" s="1"/>
  <c r="EY37" i="4"/>
  <c r="EZ37" i="4" s="1"/>
  <c r="EU37" i="4"/>
  <c r="EV37" i="4" s="1"/>
  <c r="GG37" i="4"/>
  <c r="GH37" i="4" s="1"/>
  <c r="GC37" i="4"/>
  <c r="GD37" i="4" s="1"/>
  <c r="FY37" i="4"/>
  <c r="FZ37" i="4" s="1"/>
  <c r="FU37" i="4"/>
  <c r="FV37" i="4" s="1"/>
  <c r="FQ37" i="4"/>
  <c r="FR37" i="4" s="1"/>
  <c r="FM37" i="4"/>
  <c r="FN37" i="4" s="1"/>
  <c r="FI37" i="4"/>
  <c r="FJ37" i="4" s="1"/>
  <c r="FE37" i="4"/>
  <c r="FF37" i="4" s="1"/>
  <c r="FA37" i="4"/>
  <c r="FB37" i="4" s="1"/>
  <c r="EW37" i="4"/>
  <c r="EX37" i="4" s="1"/>
  <c r="ET37" i="4"/>
  <c r="AY38" i="4"/>
  <c r="AZ38" i="4" s="1"/>
  <c r="AU38" i="4"/>
  <c r="AV38" i="4" s="1"/>
  <c r="AQ38" i="4"/>
  <c r="AR38" i="4" s="1"/>
  <c r="AM38" i="4"/>
  <c r="AN38" i="4" s="1"/>
  <c r="AI38" i="4"/>
  <c r="AJ38" i="4" s="1"/>
  <c r="AE38" i="4"/>
  <c r="AF38" i="4" s="1"/>
  <c r="AA38" i="4"/>
  <c r="AB38" i="4" s="1"/>
  <c r="W38" i="4"/>
  <c r="X38" i="4" s="1"/>
  <c r="S38" i="4"/>
  <c r="T38" i="4" s="1"/>
  <c r="O38" i="4"/>
  <c r="P38" i="4" s="1"/>
  <c r="K38" i="4"/>
  <c r="L38" i="4" s="1"/>
  <c r="CA41" i="4"/>
  <c r="AW43" i="4"/>
  <c r="AX43" i="4" s="1"/>
  <c r="AS43" i="4"/>
  <c r="AT43" i="4" s="1"/>
  <c r="AO43" i="4"/>
  <c r="AP43" i="4" s="1"/>
  <c r="AK43" i="4"/>
  <c r="AL43" i="4" s="1"/>
  <c r="AG43" i="4"/>
  <c r="AH43" i="4" s="1"/>
  <c r="AC43" i="4"/>
  <c r="AD43" i="4" s="1"/>
  <c r="Y43" i="4"/>
  <c r="Z43" i="4" s="1"/>
  <c r="U43" i="4"/>
  <c r="V43" i="4" s="1"/>
  <c r="Q43" i="4"/>
  <c r="R43" i="4" s="1"/>
  <c r="M43" i="4"/>
  <c r="N43" i="4" s="1"/>
  <c r="J43" i="4"/>
  <c r="AY43" i="4"/>
  <c r="AZ43" i="4" s="1"/>
  <c r="AU43" i="4"/>
  <c r="AV43" i="4" s="1"/>
  <c r="AQ43" i="4"/>
  <c r="AR43" i="4" s="1"/>
  <c r="AM43" i="4"/>
  <c r="AN43" i="4" s="1"/>
  <c r="AI43" i="4"/>
  <c r="AJ43" i="4" s="1"/>
  <c r="AE43" i="4"/>
  <c r="AF43" i="4" s="1"/>
  <c r="AA43" i="4"/>
  <c r="AB43" i="4" s="1"/>
  <c r="W43" i="4"/>
  <c r="X43" i="4" s="1"/>
  <c r="S43" i="4"/>
  <c r="T43" i="4" s="1"/>
  <c r="O43" i="4"/>
  <c r="P43" i="4" s="1"/>
  <c r="K43" i="4"/>
  <c r="L43" i="4" s="1"/>
  <c r="U46" i="4"/>
  <c r="V46" i="4" s="1"/>
  <c r="AK46" i="4"/>
  <c r="AL46" i="4" s="1"/>
  <c r="GI46" i="4"/>
  <c r="GJ46" i="4" s="1"/>
  <c r="GE46" i="4"/>
  <c r="GF46" i="4" s="1"/>
  <c r="GA46" i="4"/>
  <c r="GB46" i="4" s="1"/>
  <c r="FW46" i="4"/>
  <c r="FX46" i="4" s="1"/>
  <c r="FS46" i="4"/>
  <c r="FT46" i="4" s="1"/>
  <c r="FO46" i="4"/>
  <c r="FP46" i="4" s="1"/>
  <c r="FK46" i="4"/>
  <c r="FL46" i="4" s="1"/>
  <c r="FG46" i="4"/>
  <c r="FH46" i="4" s="1"/>
  <c r="FC46" i="4"/>
  <c r="FD46" i="4" s="1"/>
  <c r="EY46" i="4"/>
  <c r="EZ46" i="4" s="1"/>
  <c r="EU46" i="4"/>
  <c r="EV46" i="4" s="1"/>
  <c r="I48" i="4"/>
  <c r="BZ48" i="4"/>
  <c r="CA49" i="4"/>
  <c r="FI50" i="4"/>
  <c r="FJ50" i="4" s="1"/>
  <c r="FY50" i="4"/>
  <c r="FZ50" i="4" s="1"/>
  <c r="DO50" i="4"/>
  <c r="DP50" i="4" s="1"/>
  <c r="DK50" i="4"/>
  <c r="DL50" i="4" s="1"/>
  <c r="DG50" i="4"/>
  <c r="DH50" i="4" s="1"/>
  <c r="DC50" i="4"/>
  <c r="DD50" i="4" s="1"/>
  <c r="CY50" i="4"/>
  <c r="CZ50" i="4" s="1"/>
  <c r="CU50" i="4"/>
  <c r="CV50" i="4" s="1"/>
  <c r="CQ50" i="4"/>
  <c r="CR50" i="4" s="1"/>
  <c r="CM50" i="4"/>
  <c r="CN50" i="4" s="1"/>
  <c r="CI50" i="4"/>
  <c r="CJ50" i="4" s="1"/>
  <c r="CE50" i="4"/>
  <c r="CF50" i="4" s="1"/>
  <c r="CB50" i="4"/>
  <c r="AM57" i="4"/>
  <c r="AN57" i="4" s="1"/>
  <c r="AK57" i="4"/>
  <c r="AL57" i="4" s="1"/>
  <c r="M57" i="4"/>
  <c r="N57" i="4" s="1"/>
  <c r="AI57" i="4"/>
  <c r="AJ57" i="4" s="1"/>
  <c r="K57" i="4"/>
  <c r="L57" i="4" s="1"/>
  <c r="FI59" i="4"/>
  <c r="FJ59" i="4" s="1"/>
  <c r="DO64" i="4"/>
  <c r="DP64" i="4" s="1"/>
  <c r="DK64" i="4"/>
  <c r="DL64" i="4" s="1"/>
  <c r="DG64" i="4"/>
  <c r="DH64" i="4" s="1"/>
  <c r="DC64" i="4"/>
  <c r="DD64" i="4" s="1"/>
  <c r="CY64" i="4"/>
  <c r="CZ64" i="4" s="1"/>
  <c r="CU64" i="4"/>
  <c r="CV64" i="4" s="1"/>
  <c r="CQ64" i="4"/>
  <c r="CR64" i="4" s="1"/>
  <c r="CM64" i="4"/>
  <c r="CN64" i="4" s="1"/>
  <c r="CI64" i="4"/>
  <c r="CJ64" i="4" s="1"/>
  <c r="CE64" i="4"/>
  <c r="CF64" i="4" s="1"/>
  <c r="CB64" i="4"/>
  <c r="DQ64" i="4"/>
  <c r="DR64" i="4" s="1"/>
  <c r="DM64" i="4"/>
  <c r="DN64" i="4" s="1"/>
  <c r="DI64" i="4"/>
  <c r="DJ64" i="4" s="1"/>
  <c r="DE64" i="4"/>
  <c r="DF64" i="4" s="1"/>
  <c r="DA64" i="4"/>
  <c r="DB64" i="4" s="1"/>
  <c r="CW64" i="4"/>
  <c r="CX64" i="4" s="1"/>
  <c r="CS64" i="4"/>
  <c r="CT64" i="4" s="1"/>
  <c r="CO64" i="4"/>
  <c r="CP64" i="4" s="1"/>
  <c r="CK64" i="4"/>
  <c r="CL64" i="4" s="1"/>
  <c r="CG64" i="4"/>
  <c r="CH64" i="4" s="1"/>
  <c r="CC64" i="4"/>
  <c r="CD64" i="4" s="1"/>
  <c r="GI69" i="4"/>
  <c r="GJ69" i="4" s="1"/>
  <c r="GE69" i="4"/>
  <c r="GF69" i="4" s="1"/>
  <c r="GA69" i="4"/>
  <c r="GB69" i="4" s="1"/>
  <c r="FW69" i="4"/>
  <c r="FX69" i="4" s="1"/>
  <c r="FS69" i="4"/>
  <c r="FT69" i="4" s="1"/>
  <c r="FO69" i="4"/>
  <c r="FP69" i="4" s="1"/>
  <c r="FK69" i="4"/>
  <c r="FL69" i="4" s="1"/>
  <c r="FG69" i="4"/>
  <c r="FH69" i="4" s="1"/>
  <c r="FC69" i="4"/>
  <c r="FD69" i="4" s="1"/>
  <c r="EY69" i="4"/>
  <c r="EZ69" i="4" s="1"/>
  <c r="EU69" i="4"/>
  <c r="EV69" i="4" s="1"/>
  <c r="GC69" i="4"/>
  <c r="GD69" i="4" s="1"/>
  <c r="FM69" i="4"/>
  <c r="FN69" i="4" s="1"/>
  <c r="EW69" i="4"/>
  <c r="EX69" i="4" s="1"/>
  <c r="FY69" i="4"/>
  <c r="FZ69" i="4" s="1"/>
  <c r="FI69" i="4"/>
  <c r="FJ69" i="4" s="1"/>
  <c r="ET69" i="4"/>
  <c r="GG69" i="4"/>
  <c r="GH69" i="4" s="1"/>
  <c r="FQ69" i="4"/>
  <c r="FR69" i="4" s="1"/>
  <c r="FA69" i="4"/>
  <c r="FB69" i="4" s="1"/>
  <c r="FE73" i="4"/>
  <c r="FF73" i="4" s="1"/>
  <c r="DQ96" i="4"/>
  <c r="DR96" i="4" s="1"/>
  <c r="DM96" i="4"/>
  <c r="DN96" i="4" s="1"/>
  <c r="DI96" i="4"/>
  <c r="DJ96" i="4" s="1"/>
  <c r="DO96" i="4"/>
  <c r="DP96" i="4" s="1"/>
  <c r="DE96" i="4"/>
  <c r="DF96" i="4" s="1"/>
  <c r="DA96" i="4"/>
  <c r="DB96" i="4" s="1"/>
  <c r="CW96" i="4"/>
  <c r="CX96" i="4" s="1"/>
  <c r="CS96" i="4"/>
  <c r="CT96" i="4" s="1"/>
  <c r="CO96" i="4"/>
  <c r="CP96" i="4" s="1"/>
  <c r="CK96" i="4"/>
  <c r="CL96" i="4" s="1"/>
  <c r="CG96" i="4"/>
  <c r="CH96" i="4" s="1"/>
  <c r="CC96" i="4"/>
  <c r="CD96" i="4" s="1"/>
  <c r="DK96" i="4"/>
  <c r="DL96" i="4" s="1"/>
  <c r="DG96" i="4"/>
  <c r="DH96" i="4" s="1"/>
  <c r="CQ96" i="4"/>
  <c r="CR96" i="4" s="1"/>
  <c r="CB96" i="4"/>
  <c r="DC96" i="4"/>
  <c r="DD96" i="4" s="1"/>
  <c r="CM96" i="4"/>
  <c r="CN96" i="4" s="1"/>
  <c r="CU96" i="4"/>
  <c r="CV96" i="4" s="1"/>
  <c r="CE96" i="4"/>
  <c r="CF96" i="4" s="1"/>
  <c r="CI96" i="4"/>
  <c r="CJ96" i="4" s="1"/>
  <c r="CY96" i="4"/>
  <c r="CZ96" i="4" s="1"/>
  <c r="CB39" i="4"/>
  <c r="CE39" i="4"/>
  <c r="CF39" i="4" s="1"/>
  <c r="CI39" i="4"/>
  <c r="CJ39" i="4" s="1"/>
  <c r="CM39" i="4"/>
  <c r="CN39" i="4" s="1"/>
  <c r="CQ39" i="4"/>
  <c r="CR39" i="4" s="1"/>
  <c r="CU39" i="4"/>
  <c r="CV39" i="4" s="1"/>
  <c r="CY39" i="4"/>
  <c r="CZ39" i="4" s="1"/>
  <c r="DC39" i="4"/>
  <c r="DD39" i="4" s="1"/>
  <c r="DG39" i="4"/>
  <c r="DH39" i="4" s="1"/>
  <c r="DK39" i="4"/>
  <c r="DL39" i="4" s="1"/>
  <c r="J41" i="4"/>
  <c r="M41" i="4"/>
  <c r="N41" i="4" s="1"/>
  <c r="Q41" i="4"/>
  <c r="R41" i="4" s="1"/>
  <c r="U41" i="4"/>
  <c r="V41" i="4" s="1"/>
  <c r="Y41" i="4"/>
  <c r="Z41" i="4" s="1"/>
  <c r="AC41" i="4"/>
  <c r="AD41" i="4" s="1"/>
  <c r="AG41" i="4"/>
  <c r="AH41" i="4" s="1"/>
  <c r="AK41" i="4"/>
  <c r="AL41" i="4" s="1"/>
  <c r="AO41" i="4"/>
  <c r="AP41" i="4" s="1"/>
  <c r="AS41" i="4"/>
  <c r="AT41" i="4" s="1"/>
  <c r="CB43" i="4"/>
  <c r="CE43" i="4"/>
  <c r="CF43" i="4" s="1"/>
  <c r="CI43" i="4"/>
  <c r="CJ43" i="4" s="1"/>
  <c r="CM43" i="4"/>
  <c r="CN43" i="4" s="1"/>
  <c r="CQ43" i="4"/>
  <c r="CR43" i="4" s="1"/>
  <c r="CU43" i="4"/>
  <c r="CV43" i="4" s="1"/>
  <c r="CY43" i="4"/>
  <c r="CZ43" i="4" s="1"/>
  <c r="DC43" i="4"/>
  <c r="DD43" i="4" s="1"/>
  <c r="DG43" i="4"/>
  <c r="DH43" i="4" s="1"/>
  <c r="DK43" i="4"/>
  <c r="DL43" i="4" s="1"/>
  <c r="J45" i="4"/>
  <c r="M45" i="4"/>
  <c r="N45" i="4" s="1"/>
  <c r="Q45" i="4"/>
  <c r="R45" i="4" s="1"/>
  <c r="U45" i="4"/>
  <c r="V45" i="4" s="1"/>
  <c r="Y45" i="4"/>
  <c r="Z45" i="4" s="1"/>
  <c r="AC45" i="4"/>
  <c r="AD45" i="4" s="1"/>
  <c r="AG45" i="4"/>
  <c r="AH45" i="4" s="1"/>
  <c r="AK45" i="4"/>
  <c r="AL45" i="4" s="1"/>
  <c r="AO45" i="4"/>
  <c r="AP45" i="4" s="1"/>
  <c r="AS45" i="4"/>
  <c r="AT45" i="4" s="1"/>
  <c r="CB47" i="4"/>
  <c r="CE47" i="4"/>
  <c r="CF47" i="4" s="1"/>
  <c r="CI47" i="4"/>
  <c r="CJ47" i="4" s="1"/>
  <c r="CM47" i="4"/>
  <c r="CN47" i="4" s="1"/>
  <c r="CQ47" i="4"/>
  <c r="CR47" i="4" s="1"/>
  <c r="CU47" i="4"/>
  <c r="CV47" i="4" s="1"/>
  <c r="CY47" i="4"/>
  <c r="CZ47" i="4" s="1"/>
  <c r="DC47" i="4"/>
  <c r="DD47" i="4" s="1"/>
  <c r="DG47" i="4"/>
  <c r="DH47" i="4" s="1"/>
  <c r="DK47" i="4"/>
  <c r="DL47" i="4" s="1"/>
  <c r="J49" i="4"/>
  <c r="M49" i="4"/>
  <c r="N49" i="4" s="1"/>
  <c r="Q49" i="4"/>
  <c r="R49" i="4" s="1"/>
  <c r="U49" i="4"/>
  <c r="V49" i="4" s="1"/>
  <c r="Y49" i="4"/>
  <c r="Z49" i="4" s="1"/>
  <c r="AC49" i="4"/>
  <c r="AD49" i="4" s="1"/>
  <c r="AG49" i="4"/>
  <c r="AH49" i="4" s="1"/>
  <c r="AK49" i="4"/>
  <c r="AL49" i="4" s="1"/>
  <c r="AO49" i="4"/>
  <c r="AP49" i="4" s="1"/>
  <c r="AS49" i="4"/>
  <c r="AT49" i="4" s="1"/>
  <c r="AW49" i="4"/>
  <c r="AX49" i="4" s="1"/>
  <c r="I50" i="4"/>
  <c r="CB51" i="4"/>
  <c r="CE51" i="4"/>
  <c r="CF51" i="4" s="1"/>
  <c r="CI51" i="4"/>
  <c r="CJ51" i="4" s="1"/>
  <c r="CM51" i="4"/>
  <c r="CN51" i="4" s="1"/>
  <c r="CQ51" i="4"/>
  <c r="CR51" i="4" s="1"/>
  <c r="CU51" i="4"/>
  <c r="CV51" i="4" s="1"/>
  <c r="CY51" i="4"/>
  <c r="CZ51" i="4" s="1"/>
  <c r="DC51" i="4"/>
  <c r="DD51" i="4" s="1"/>
  <c r="DG51" i="4"/>
  <c r="DH51" i="4" s="1"/>
  <c r="DK51" i="4"/>
  <c r="DL51" i="4" s="1"/>
  <c r="DO51" i="4"/>
  <c r="DP51" i="4" s="1"/>
  <c r="J53" i="4"/>
  <c r="M53" i="4"/>
  <c r="N53" i="4" s="1"/>
  <c r="Q53" i="4"/>
  <c r="R53" i="4" s="1"/>
  <c r="U53" i="4"/>
  <c r="V53" i="4" s="1"/>
  <c r="Y53" i="4"/>
  <c r="Z53" i="4" s="1"/>
  <c r="AC53" i="4"/>
  <c r="AD53" i="4" s="1"/>
  <c r="AG53" i="4"/>
  <c r="AH53" i="4" s="1"/>
  <c r="AK53" i="4"/>
  <c r="AL53" i="4" s="1"/>
  <c r="AO53" i="4"/>
  <c r="AP53" i="4" s="1"/>
  <c r="AS53" i="4"/>
  <c r="AT53" i="4" s="1"/>
  <c r="AW53" i="4"/>
  <c r="AX53" i="4" s="1"/>
  <c r="AW58" i="4"/>
  <c r="AX58" i="4" s="1"/>
  <c r="AS58" i="4"/>
  <c r="AT58" i="4" s="1"/>
  <c r="AO58" i="4"/>
  <c r="AP58" i="4" s="1"/>
  <c r="AK58" i="4"/>
  <c r="AL58" i="4" s="1"/>
  <c r="AG58" i="4"/>
  <c r="AH58" i="4" s="1"/>
  <c r="AC58" i="4"/>
  <c r="AD58" i="4" s="1"/>
  <c r="Y58" i="4"/>
  <c r="Z58" i="4" s="1"/>
  <c r="U58" i="4"/>
  <c r="V58" i="4" s="1"/>
  <c r="Q58" i="4"/>
  <c r="R58" i="4" s="1"/>
  <c r="M58" i="4"/>
  <c r="N58" i="4" s="1"/>
  <c r="J58" i="4"/>
  <c r="CM58" i="4"/>
  <c r="CN58" i="4" s="1"/>
  <c r="DC58" i="4"/>
  <c r="DD58" i="4" s="1"/>
  <c r="CI59" i="4"/>
  <c r="CJ59" i="4" s="1"/>
  <c r="CO59" i="4"/>
  <c r="CP59" i="4" s="1"/>
  <c r="CY59" i="4"/>
  <c r="CZ59" i="4" s="1"/>
  <c r="DE59" i="4"/>
  <c r="DF59" i="4" s="1"/>
  <c r="U60" i="4"/>
  <c r="V60" i="4" s="1"/>
  <c r="GG60" i="4"/>
  <c r="GH60" i="4" s="1"/>
  <c r="GC60" i="4"/>
  <c r="GD60" i="4" s="1"/>
  <c r="FY60" i="4"/>
  <c r="FZ60" i="4" s="1"/>
  <c r="FU60" i="4"/>
  <c r="FV60" i="4" s="1"/>
  <c r="FQ60" i="4"/>
  <c r="FR60" i="4" s="1"/>
  <c r="FM60" i="4"/>
  <c r="FN60" i="4" s="1"/>
  <c r="FI60" i="4"/>
  <c r="FJ60" i="4" s="1"/>
  <c r="FE60" i="4"/>
  <c r="FF60" i="4" s="1"/>
  <c r="FA60" i="4"/>
  <c r="FB60" i="4" s="1"/>
  <c r="EW60" i="4"/>
  <c r="EX60" i="4" s="1"/>
  <c r="ET60" i="4"/>
  <c r="GI60" i="4"/>
  <c r="GJ60" i="4" s="1"/>
  <c r="GE60" i="4"/>
  <c r="GF60" i="4" s="1"/>
  <c r="GA60" i="4"/>
  <c r="GB60" i="4" s="1"/>
  <c r="FW60" i="4"/>
  <c r="FX60" i="4" s="1"/>
  <c r="FS60" i="4"/>
  <c r="FT60" i="4" s="1"/>
  <c r="FO60" i="4"/>
  <c r="FP60" i="4" s="1"/>
  <c r="FK60" i="4"/>
  <c r="FL60" i="4" s="1"/>
  <c r="FG60" i="4"/>
  <c r="FH60" i="4" s="1"/>
  <c r="FC60" i="4"/>
  <c r="FD60" i="4" s="1"/>
  <c r="EY60" i="4"/>
  <c r="EZ60" i="4" s="1"/>
  <c r="EU60" i="4"/>
  <c r="EV60" i="4" s="1"/>
  <c r="M65" i="4"/>
  <c r="N65" i="4" s="1"/>
  <c r="AC65" i="4"/>
  <c r="AD65" i="4" s="1"/>
  <c r="I67" i="4"/>
  <c r="BZ67" i="4"/>
  <c r="GI68" i="4"/>
  <c r="GJ68" i="4" s="1"/>
  <c r="GE68" i="4"/>
  <c r="GF68" i="4" s="1"/>
  <c r="GA68" i="4"/>
  <c r="GB68" i="4" s="1"/>
  <c r="FW68" i="4"/>
  <c r="FX68" i="4" s="1"/>
  <c r="FS68" i="4"/>
  <c r="FT68" i="4" s="1"/>
  <c r="FO68" i="4"/>
  <c r="FP68" i="4" s="1"/>
  <c r="FK68" i="4"/>
  <c r="FL68" i="4" s="1"/>
  <c r="FG68" i="4"/>
  <c r="FH68" i="4" s="1"/>
  <c r="FC68" i="4"/>
  <c r="FD68" i="4" s="1"/>
  <c r="EY68" i="4"/>
  <c r="EZ68" i="4" s="1"/>
  <c r="EU68" i="4"/>
  <c r="EV68" i="4" s="1"/>
  <c r="GG68" i="4"/>
  <c r="GH68" i="4" s="1"/>
  <c r="GC68" i="4"/>
  <c r="GD68" i="4" s="1"/>
  <c r="FY68" i="4"/>
  <c r="FZ68" i="4" s="1"/>
  <c r="FU68" i="4"/>
  <c r="FV68" i="4" s="1"/>
  <c r="FQ68" i="4"/>
  <c r="FR68" i="4" s="1"/>
  <c r="FM68" i="4"/>
  <c r="FN68" i="4" s="1"/>
  <c r="FI68" i="4"/>
  <c r="FJ68" i="4" s="1"/>
  <c r="FE68" i="4"/>
  <c r="FF68" i="4" s="1"/>
  <c r="FA68" i="4"/>
  <c r="FB68" i="4" s="1"/>
  <c r="EW68" i="4"/>
  <c r="EX68" i="4" s="1"/>
  <c r="ET68" i="4"/>
  <c r="CO69" i="4"/>
  <c r="CP69" i="4" s="1"/>
  <c r="FW72" i="4"/>
  <c r="FX72" i="4" s="1"/>
  <c r="FG72" i="4"/>
  <c r="FH72" i="4" s="1"/>
  <c r="GG72" i="4"/>
  <c r="GH72" i="4" s="1"/>
  <c r="FQ72" i="4"/>
  <c r="FR72" i="4" s="1"/>
  <c r="FA72" i="4"/>
  <c r="FB72" i="4" s="1"/>
  <c r="CO73" i="4"/>
  <c r="CP73" i="4" s="1"/>
  <c r="I75" i="4"/>
  <c r="BZ75" i="4"/>
  <c r="GI76" i="4"/>
  <c r="GJ76" i="4" s="1"/>
  <c r="GE76" i="4"/>
  <c r="GF76" i="4" s="1"/>
  <c r="GA76" i="4"/>
  <c r="GB76" i="4" s="1"/>
  <c r="FW76" i="4"/>
  <c r="FX76" i="4" s="1"/>
  <c r="FS76" i="4"/>
  <c r="FT76" i="4" s="1"/>
  <c r="FO76" i="4"/>
  <c r="FP76" i="4" s="1"/>
  <c r="FK76" i="4"/>
  <c r="FL76" i="4" s="1"/>
  <c r="FG76" i="4"/>
  <c r="FH76" i="4" s="1"/>
  <c r="FC76" i="4"/>
  <c r="FD76" i="4" s="1"/>
  <c r="EY76" i="4"/>
  <c r="EZ76" i="4" s="1"/>
  <c r="EU76" i="4"/>
  <c r="EV76" i="4" s="1"/>
  <c r="GG76" i="4"/>
  <c r="GH76" i="4" s="1"/>
  <c r="GC76" i="4"/>
  <c r="GD76" i="4" s="1"/>
  <c r="FY76" i="4"/>
  <c r="FZ76" i="4" s="1"/>
  <c r="FU76" i="4"/>
  <c r="FV76" i="4" s="1"/>
  <c r="FQ76" i="4"/>
  <c r="FR76" i="4" s="1"/>
  <c r="FM76" i="4"/>
  <c r="FN76" i="4" s="1"/>
  <c r="FI76" i="4"/>
  <c r="FJ76" i="4" s="1"/>
  <c r="FE76" i="4"/>
  <c r="FF76" i="4" s="1"/>
  <c r="FA76" i="4"/>
  <c r="FB76" i="4" s="1"/>
  <c r="EW76" i="4"/>
  <c r="EX76" i="4" s="1"/>
  <c r="ET76" i="4"/>
  <c r="CO77" i="4"/>
  <c r="CP77" i="4" s="1"/>
  <c r="FM78" i="4"/>
  <c r="FN78" i="4" s="1"/>
  <c r="GG81" i="4"/>
  <c r="GH81" i="4" s="1"/>
  <c r="GC81" i="4"/>
  <c r="GD81" i="4" s="1"/>
  <c r="FY81" i="4"/>
  <c r="FZ81" i="4" s="1"/>
  <c r="FU81" i="4"/>
  <c r="FV81" i="4" s="1"/>
  <c r="FQ81" i="4"/>
  <c r="FR81" i="4" s="1"/>
  <c r="FM81" i="4"/>
  <c r="FN81" i="4" s="1"/>
  <c r="FI81" i="4"/>
  <c r="FJ81" i="4" s="1"/>
  <c r="FE81" i="4"/>
  <c r="FF81" i="4" s="1"/>
  <c r="FA81" i="4"/>
  <c r="FB81" i="4" s="1"/>
  <c r="EW81" i="4"/>
  <c r="EX81" i="4" s="1"/>
  <c r="ET81" i="4"/>
  <c r="GI81" i="4"/>
  <c r="GJ81" i="4" s="1"/>
  <c r="GE81" i="4"/>
  <c r="GF81" i="4" s="1"/>
  <c r="GA81" i="4"/>
  <c r="GB81" i="4" s="1"/>
  <c r="FW81" i="4"/>
  <c r="FX81" i="4" s="1"/>
  <c r="FS81" i="4"/>
  <c r="FT81" i="4" s="1"/>
  <c r="FO81" i="4"/>
  <c r="FP81" i="4" s="1"/>
  <c r="FK81" i="4"/>
  <c r="FL81" i="4" s="1"/>
  <c r="FG81" i="4"/>
  <c r="FH81" i="4" s="1"/>
  <c r="FC81" i="4"/>
  <c r="FD81" i="4" s="1"/>
  <c r="EY81" i="4"/>
  <c r="EZ81" i="4" s="1"/>
  <c r="EU81" i="4"/>
  <c r="EV81" i="4" s="1"/>
  <c r="AI89" i="4"/>
  <c r="AJ89" i="4" s="1"/>
  <c r="GG89" i="4"/>
  <c r="GH89" i="4" s="1"/>
  <c r="GC89" i="4"/>
  <c r="GD89" i="4" s="1"/>
  <c r="FY89" i="4"/>
  <c r="FZ89" i="4" s="1"/>
  <c r="FU89" i="4"/>
  <c r="FV89" i="4" s="1"/>
  <c r="FQ89" i="4"/>
  <c r="FR89" i="4" s="1"/>
  <c r="FM89" i="4"/>
  <c r="FN89" i="4" s="1"/>
  <c r="FI89" i="4"/>
  <c r="FJ89" i="4" s="1"/>
  <c r="FE89" i="4"/>
  <c r="FF89" i="4" s="1"/>
  <c r="FA89" i="4"/>
  <c r="FB89" i="4" s="1"/>
  <c r="EW89" i="4"/>
  <c r="EX89" i="4" s="1"/>
  <c r="ET89" i="4"/>
  <c r="GI89" i="4"/>
  <c r="GJ89" i="4" s="1"/>
  <c r="GE89" i="4"/>
  <c r="GF89" i="4" s="1"/>
  <c r="GA89" i="4"/>
  <c r="GB89" i="4" s="1"/>
  <c r="FW89" i="4"/>
  <c r="FX89" i="4" s="1"/>
  <c r="FS89" i="4"/>
  <c r="FT89" i="4" s="1"/>
  <c r="FO89" i="4"/>
  <c r="FP89" i="4" s="1"/>
  <c r="FK89" i="4"/>
  <c r="FL89" i="4" s="1"/>
  <c r="FG89" i="4"/>
  <c r="FH89" i="4" s="1"/>
  <c r="FC89" i="4"/>
  <c r="FD89" i="4" s="1"/>
  <c r="EY89" i="4"/>
  <c r="EZ89" i="4" s="1"/>
  <c r="EU89" i="4"/>
  <c r="EV89" i="4" s="1"/>
  <c r="DO93" i="4"/>
  <c r="DP93" i="4" s="1"/>
  <c r="DK93" i="4"/>
  <c r="DL93" i="4" s="1"/>
  <c r="DG93" i="4"/>
  <c r="DH93" i="4" s="1"/>
  <c r="DC93" i="4"/>
  <c r="DD93" i="4" s="1"/>
  <c r="CY93" i="4"/>
  <c r="CZ93" i="4" s="1"/>
  <c r="CU93" i="4"/>
  <c r="CV93" i="4" s="1"/>
  <c r="CQ93" i="4"/>
  <c r="CR93" i="4" s="1"/>
  <c r="CM93" i="4"/>
  <c r="CN93" i="4" s="1"/>
  <c r="CI93" i="4"/>
  <c r="CJ93" i="4" s="1"/>
  <c r="CE93" i="4"/>
  <c r="CF93" i="4" s="1"/>
  <c r="CB93" i="4"/>
  <c r="DQ93" i="4"/>
  <c r="DR93" i="4" s="1"/>
  <c r="DM93" i="4"/>
  <c r="DN93" i="4" s="1"/>
  <c r="DI93" i="4"/>
  <c r="DJ93" i="4" s="1"/>
  <c r="DE93" i="4"/>
  <c r="DF93" i="4" s="1"/>
  <c r="DA93" i="4"/>
  <c r="DB93" i="4" s="1"/>
  <c r="CW93" i="4"/>
  <c r="CX93" i="4" s="1"/>
  <c r="CS93" i="4"/>
  <c r="CT93" i="4" s="1"/>
  <c r="CO93" i="4"/>
  <c r="CP93" i="4" s="1"/>
  <c r="CK93" i="4"/>
  <c r="CL93" i="4" s="1"/>
  <c r="CG93" i="4"/>
  <c r="CH93" i="4" s="1"/>
  <c r="CC93" i="4"/>
  <c r="CD93" i="4" s="1"/>
  <c r="AU49" i="4"/>
  <c r="AV49" i="4" s="1"/>
  <c r="DM51" i="4"/>
  <c r="DN51" i="4" s="1"/>
  <c r="AU53" i="4"/>
  <c r="AV53" i="4" s="1"/>
  <c r="AW60" i="4"/>
  <c r="AX60" i="4" s="1"/>
  <c r="AS60" i="4"/>
  <c r="AT60" i="4" s="1"/>
  <c r="AO60" i="4"/>
  <c r="AP60" i="4" s="1"/>
  <c r="AK60" i="4"/>
  <c r="AL60" i="4" s="1"/>
  <c r="AG60" i="4"/>
  <c r="AH60" i="4" s="1"/>
  <c r="AY60" i="4"/>
  <c r="AZ60" i="4" s="1"/>
  <c r="AU60" i="4"/>
  <c r="AV60" i="4" s="1"/>
  <c r="AQ60" i="4"/>
  <c r="AR60" i="4" s="1"/>
  <c r="AM60" i="4"/>
  <c r="AN60" i="4" s="1"/>
  <c r="AI60" i="4"/>
  <c r="AJ60" i="4" s="1"/>
  <c r="AE60" i="4"/>
  <c r="AF60" i="4" s="1"/>
  <c r="AA60" i="4"/>
  <c r="AB60" i="4" s="1"/>
  <c r="W60" i="4"/>
  <c r="X60" i="4" s="1"/>
  <c r="S60" i="4"/>
  <c r="T60" i="4" s="1"/>
  <c r="O60" i="4"/>
  <c r="P60" i="4" s="1"/>
  <c r="K60" i="4"/>
  <c r="L60" i="4" s="1"/>
  <c r="AY65" i="4"/>
  <c r="AZ65" i="4" s="1"/>
  <c r="AU65" i="4"/>
  <c r="AV65" i="4" s="1"/>
  <c r="AQ65" i="4"/>
  <c r="AR65" i="4" s="1"/>
  <c r="AM65" i="4"/>
  <c r="AN65" i="4" s="1"/>
  <c r="AI65" i="4"/>
  <c r="AJ65" i="4" s="1"/>
  <c r="AE65" i="4"/>
  <c r="AF65" i="4" s="1"/>
  <c r="AA65" i="4"/>
  <c r="AB65" i="4" s="1"/>
  <c r="W65" i="4"/>
  <c r="X65" i="4" s="1"/>
  <c r="S65" i="4"/>
  <c r="T65" i="4" s="1"/>
  <c r="O65" i="4"/>
  <c r="P65" i="4" s="1"/>
  <c r="K65" i="4"/>
  <c r="L65" i="4" s="1"/>
  <c r="DO68" i="4"/>
  <c r="DP68" i="4" s="1"/>
  <c r="DK68" i="4"/>
  <c r="DL68" i="4" s="1"/>
  <c r="DG68" i="4"/>
  <c r="DH68" i="4" s="1"/>
  <c r="DC68" i="4"/>
  <c r="DD68" i="4" s="1"/>
  <c r="CY68" i="4"/>
  <c r="CZ68" i="4" s="1"/>
  <c r="CU68" i="4"/>
  <c r="CV68" i="4" s="1"/>
  <c r="CQ68" i="4"/>
  <c r="CR68" i="4" s="1"/>
  <c r="CM68" i="4"/>
  <c r="CN68" i="4" s="1"/>
  <c r="CI68" i="4"/>
  <c r="CJ68" i="4" s="1"/>
  <c r="CE68" i="4"/>
  <c r="CF68" i="4" s="1"/>
  <c r="CB68" i="4"/>
  <c r="DQ68" i="4"/>
  <c r="DR68" i="4" s="1"/>
  <c r="DM68" i="4"/>
  <c r="DN68" i="4" s="1"/>
  <c r="DI68" i="4"/>
  <c r="DJ68" i="4" s="1"/>
  <c r="DE68" i="4"/>
  <c r="DF68" i="4" s="1"/>
  <c r="DA68" i="4"/>
  <c r="DB68" i="4" s="1"/>
  <c r="CW68" i="4"/>
  <c r="CX68" i="4" s="1"/>
  <c r="CS68" i="4"/>
  <c r="CT68" i="4" s="1"/>
  <c r="CO68" i="4"/>
  <c r="CP68" i="4" s="1"/>
  <c r="CK68" i="4"/>
  <c r="CL68" i="4" s="1"/>
  <c r="CG68" i="4"/>
  <c r="CH68" i="4" s="1"/>
  <c r="CC68" i="4"/>
  <c r="CD68" i="4" s="1"/>
  <c r="DO69" i="4"/>
  <c r="DP69" i="4" s="1"/>
  <c r="DK69" i="4"/>
  <c r="DL69" i="4" s="1"/>
  <c r="DG69" i="4"/>
  <c r="DH69" i="4" s="1"/>
  <c r="DC69" i="4"/>
  <c r="DD69" i="4" s="1"/>
  <c r="CY69" i="4"/>
  <c r="CZ69" i="4" s="1"/>
  <c r="CU69" i="4"/>
  <c r="CV69" i="4" s="1"/>
  <c r="CQ69" i="4"/>
  <c r="CR69" i="4" s="1"/>
  <c r="CM69" i="4"/>
  <c r="CN69" i="4" s="1"/>
  <c r="CI69" i="4"/>
  <c r="CJ69" i="4" s="1"/>
  <c r="CE69" i="4"/>
  <c r="CF69" i="4" s="1"/>
  <c r="CB69" i="4"/>
  <c r="I71" i="4"/>
  <c r="BZ71" i="4"/>
  <c r="DO72" i="4"/>
  <c r="DP72" i="4" s="1"/>
  <c r="DK72" i="4"/>
  <c r="DL72" i="4" s="1"/>
  <c r="DG72" i="4"/>
  <c r="DH72" i="4" s="1"/>
  <c r="DC72" i="4"/>
  <c r="DD72" i="4" s="1"/>
  <c r="CY72" i="4"/>
  <c r="CZ72" i="4" s="1"/>
  <c r="CU72" i="4"/>
  <c r="CV72" i="4" s="1"/>
  <c r="CQ72" i="4"/>
  <c r="CR72" i="4" s="1"/>
  <c r="CM72" i="4"/>
  <c r="CN72" i="4" s="1"/>
  <c r="CI72" i="4"/>
  <c r="CJ72" i="4" s="1"/>
  <c r="CE72" i="4"/>
  <c r="CF72" i="4" s="1"/>
  <c r="CB72" i="4"/>
  <c r="DQ72" i="4"/>
  <c r="DR72" i="4" s="1"/>
  <c r="DM72" i="4"/>
  <c r="DN72" i="4" s="1"/>
  <c r="DI72" i="4"/>
  <c r="DJ72" i="4" s="1"/>
  <c r="DE72" i="4"/>
  <c r="DF72" i="4" s="1"/>
  <c r="DA72" i="4"/>
  <c r="DB72" i="4" s="1"/>
  <c r="CW72" i="4"/>
  <c r="CX72" i="4" s="1"/>
  <c r="CS72" i="4"/>
  <c r="CT72" i="4" s="1"/>
  <c r="CO72" i="4"/>
  <c r="CP72" i="4" s="1"/>
  <c r="CK72" i="4"/>
  <c r="CL72" i="4" s="1"/>
  <c r="CG72" i="4"/>
  <c r="CH72" i="4" s="1"/>
  <c r="CC72" i="4"/>
  <c r="CD72" i="4" s="1"/>
  <c r="DO73" i="4"/>
  <c r="DP73" i="4" s="1"/>
  <c r="DK73" i="4"/>
  <c r="DL73" i="4" s="1"/>
  <c r="DG73" i="4"/>
  <c r="DH73" i="4" s="1"/>
  <c r="DC73" i="4"/>
  <c r="DD73" i="4" s="1"/>
  <c r="CY73" i="4"/>
  <c r="CZ73" i="4" s="1"/>
  <c r="CU73" i="4"/>
  <c r="CV73" i="4" s="1"/>
  <c r="CQ73" i="4"/>
  <c r="CR73" i="4" s="1"/>
  <c r="CM73" i="4"/>
  <c r="CN73" i="4" s="1"/>
  <c r="CI73" i="4"/>
  <c r="CJ73" i="4" s="1"/>
  <c r="CE73" i="4"/>
  <c r="CF73" i="4" s="1"/>
  <c r="CB73" i="4"/>
  <c r="DO76" i="4"/>
  <c r="DP76" i="4" s="1"/>
  <c r="DK76" i="4"/>
  <c r="DL76" i="4" s="1"/>
  <c r="DG76" i="4"/>
  <c r="DH76" i="4" s="1"/>
  <c r="DC76" i="4"/>
  <c r="DD76" i="4" s="1"/>
  <c r="CY76" i="4"/>
  <c r="CZ76" i="4" s="1"/>
  <c r="CU76" i="4"/>
  <c r="CV76" i="4" s="1"/>
  <c r="CQ76" i="4"/>
  <c r="CR76" i="4" s="1"/>
  <c r="CM76" i="4"/>
  <c r="CN76" i="4" s="1"/>
  <c r="CI76" i="4"/>
  <c r="CJ76" i="4" s="1"/>
  <c r="CE76" i="4"/>
  <c r="CF76" i="4" s="1"/>
  <c r="CB76" i="4"/>
  <c r="DQ76" i="4"/>
  <c r="DR76" i="4" s="1"/>
  <c r="DM76" i="4"/>
  <c r="DN76" i="4" s="1"/>
  <c r="DI76" i="4"/>
  <c r="DJ76" i="4" s="1"/>
  <c r="DE76" i="4"/>
  <c r="DF76" i="4" s="1"/>
  <c r="DA76" i="4"/>
  <c r="DB76" i="4" s="1"/>
  <c r="CW76" i="4"/>
  <c r="CX76" i="4" s="1"/>
  <c r="CS76" i="4"/>
  <c r="CT76" i="4" s="1"/>
  <c r="CO76" i="4"/>
  <c r="CP76" i="4" s="1"/>
  <c r="CK76" i="4"/>
  <c r="CL76" i="4" s="1"/>
  <c r="CG76" i="4"/>
  <c r="CH76" i="4" s="1"/>
  <c r="CC76" i="4"/>
  <c r="CD76" i="4" s="1"/>
  <c r="DO77" i="4"/>
  <c r="DP77" i="4" s="1"/>
  <c r="DK77" i="4"/>
  <c r="DL77" i="4" s="1"/>
  <c r="DG77" i="4"/>
  <c r="DH77" i="4" s="1"/>
  <c r="DC77" i="4"/>
  <c r="DD77" i="4" s="1"/>
  <c r="CY77" i="4"/>
  <c r="CZ77" i="4" s="1"/>
  <c r="CU77" i="4"/>
  <c r="CV77" i="4" s="1"/>
  <c r="CQ77" i="4"/>
  <c r="CR77" i="4" s="1"/>
  <c r="CM77" i="4"/>
  <c r="CN77" i="4" s="1"/>
  <c r="CI77" i="4"/>
  <c r="CJ77" i="4" s="1"/>
  <c r="CE77" i="4"/>
  <c r="CF77" i="4" s="1"/>
  <c r="CB77" i="4"/>
  <c r="EW78" i="4"/>
  <c r="EX78" i="4" s="1"/>
  <c r="GI80" i="4"/>
  <c r="GJ80" i="4" s="1"/>
  <c r="GE80" i="4"/>
  <c r="GF80" i="4" s="1"/>
  <c r="GA80" i="4"/>
  <c r="GB80" i="4" s="1"/>
  <c r="FW80" i="4"/>
  <c r="FX80" i="4" s="1"/>
  <c r="FS80" i="4"/>
  <c r="FT80" i="4" s="1"/>
  <c r="FO80" i="4"/>
  <c r="FP80" i="4" s="1"/>
  <c r="FK80" i="4"/>
  <c r="FL80" i="4" s="1"/>
  <c r="FG80" i="4"/>
  <c r="FH80" i="4" s="1"/>
  <c r="FC80" i="4"/>
  <c r="FD80" i="4" s="1"/>
  <c r="EY80" i="4"/>
  <c r="EZ80" i="4" s="1"/>
  <c r="EU80" i="4"/>
  <c r="EV80" i="4" s="1"/>
  <c r="GC80" i="4"/>
  <c r="GD80" i="4" s="1"/>
  <c r="FM80" i="4"/>
  <c r="FN80" i="4" s="1"/>
  <c r="EW80" i="4"/>
  <c r="EX80" i="4" s="1"/>
  <c r="FY80" i="4"/>
  <c r="FZ80" i="4" s="1"/>
  <c r="FI80" i="4"/>
  <c r="FJ80" i="4" s="1"/>
  <c r="ET80" i="4"/>
  <c r="GG80" i="4"/>
  <c r="GH80" i="4" s="1"/>
  <c r="FQ80" i="4"/>
  <c r="FR80" i="4" s="1"/>
  <c r="FA80" i="4"/>
  <c r="FB80" i="4" s="1"/>
  <c r="GI105" i="4"/>
  <c r="GJ105" i="4" s="1"/>
  <c r="GE105" i="4"/>
  <c r="GF105" i="4" s="1"/>
  <c r="GA105" i="4"/>
  <c r="GB105" i="4" s="1"/>
  <c r="FW105" i="4"/>
  <c r="FX105" i="4" s="1"/>
  <c r="FS105" i="4"/>
  <c r="FT105" i="4" s="1"/>
  <c r="FO105" i="4"/>
  <c r="FP105" i="4" s="1"/>
  <c r="FK105" i="4"/>
  <c r="FL105" i="4" s="1"/>
  <c r="FG105" i="4"/>
  <c r="FH105" i="4" s="1"/>
  <c r="FC105" i="4"/>
  <c r="FD105" i="4" s="1"/>
  <c r="EY105" i="4"/>
  <c r="EZ105" i="4" s="1"/>
  <c r="EU105" i="4"/>
  <c r="EV105" i="4" s="1"/>
  <c r="GC105" i="4"/>
  <c r="GD105" i="4" s="1"/>
  <c r="FM105" i="4"/>
  <c r="FN105" i="4" s="1"/>
  <c r="EW105" i="4"/>
  <c r="EX105" i="4" s="1"/>
  <c r="FY105" i="4"/>
  <c r="FZ105" i="4" s="1"/>
  <c r="FI105" i="4"/>
  <c r="FJ105" i="4" s="1"/>
  <c r="ET105" i="4"/>
  <c r="GG105" i="4"/>
  <c r="GH105" i="4" s="1"/>
  <c r="FQ105" i="4"/>
  <c r="FR105" i="4" s="1"/>
  <c r="FA105" i="4"/>
  <c r="FB105" i="4" s="1"/>
  <c r="FE105" i="4"/>
  <c r="FF105" i="4" s="1"/>
  <c r="FU105" i="4"/>
  <c r="FV105" i="4" s="1"/>
  <c r="GG106" i="4"/>
  <c r="GH106" i="4" s="1"/>
  <c r="GC106" i="4"/>
  <c r="GD106" i="4" s="1"/>
  <c r="FY106" i="4"/>
  <c r="FZ106" i="4" s="1"/>
  <c r="FU106" i="4"/>
  <c r="FV106" i="4" s="1"/>
  <c r="FQ106" i="4"/>
  <c r="FR106" i="4" s="1"/>
  <c r="FM106" i="4"/>
  <c r="FN106" i="4" s="1"/>
  <c r="FI106" i="4"/>
  <c r="FJ106" i="4" s="1"/>
  <c r="FE106" i="4"/>
  <c r="FF106" i="4" s="1"/>
  <c r="FA106" i="4"/>
  <c r="FB106" i="4" s="1"/>
  <c r="EW106" i="4"/>
  <c r="EX106" i="4" s="1"/>
  <c r="ET106" i="4"/>
  <c r="GI106" i="4"/>
  <c r="GJ106" i="4" s="1"/>
  <c r="GE106" i="4"/>
  <c r="GF106" i="4" s="1"/>
  <c r="GA106" i="4"/>
  <c r="GB106" i="4" s="1"/>
  <c r="FW106" i="4"/>
  <c r="FX106" i="4" s="1"/>
  <c r="FS106" i="4"/>
  <c r="FT106" i="4" s="1"/>
  <c r="FO106" i="4"/>
  <c r="FP106" i="4" s="1"/>
  <c r="FK106" i="4"/>
  <c r="FL106" i="4" s="1"/>
  <c r="FG106" i="4"/>
  <c r="FH106" i="4" s="1"/>
  <c r="FC106" i="4"/>
  <c r="FD106" i="4" s="1"/>
  <c r="EY106" i="4"/>
  <c r="EZ106" i="4" s="1"/>
  <c r="EU106" i="4"/>
  <c r="EV106" i="4" s="1"/>
  <c r="CE42" i="4"/>
  <c r="CF42" i="4" s="1"/>
  <c r="CI42" i="4"/>
  <c r="CJ42" i="4" s="1"/>
  <c r="CM42" i="4"/>
  <c r="CN42" i="4" s="1"/>
  <c r="CQ42" i="4"/>
  <c r="CR42" i="4" s="1"/>
  <c r="CU42" i="4"/>
  <c r="CV42" i="4" s="1"/>
  <c r="CY42" i="4"/>
  <c r="CZ42" i="4" s="1"/>
  <c r="DC42" i="4"/>
  <c r="DD42" i="4" s="1"/>
  <c r="DG42" i="4"/>
  <c r="DH42" i="4" s="1"/>
  <c r="DK42" i="4"/>
  <c r="DL42" i="4" s="1"/>
  <c r="CU46" i="4"/>
  <c r="CV46" i="4" s="1"/>
  <c r="CY46" i="4"/>
  <c r="CZ46" i="4" s="1"/>
  <c r="DC46" i="4"/>
  <c r="DD46" i="4" s="1"/>
  <c r="DG46" i="4"/>
  <c r="DH46" i="4" s="1"/>
  <c r="DK46" i="4"/>
  <c r="DL46" i="4" s="1"/>
  <c r="DQ58" i="4"/>
  <c r="DR58" i="4" s="1"/>
  <c r="DM58" i="4"/>
  <c r="DN58" i="4" s="1"/>
  <c r="DI58" i="4"/>
  <c r="DJ58" i="4" s="1"/>
  <c r="DE58" i="4"/>
  <c r="DF58" i="4" s="1"/>
  <c r="DA58" i="4"/>
  <c r="DB58" i="4" s="1"/>
  <c r="CW58" i="4"/>
  <c r="CX58" i="4" s="1"/>
  <c r="CS58" i="4"/>
  <c r="CT58" i="4" s="1"/>
  <c r="CO58" i="4"/>
  <c r="CP58" i="4" s="1"/>
  <c r="CK58" i="4"/>
  <c r="CL58" i="4" s="1"/>
  <c r="CG58" i="4"/>
  <c r="CH58" i="4" s="1"/>
  <c r="CC58" i="4"/>
  <c r="CD58" i="4" s="1"/>
  <c r="I63" i="4"/>
  <c r="BZ63" i="4"/>
  <c r="GI64" i="4"/>
  <c r="GJ64" i="4" s="1"/>
  <c r="GE64" i="4"/>
  <c r="GF64" i="4" s="1"/>
  <c r="GA64" i="4"/>
  <c r="GB64" i="4" s="1"/>
  <c r="FW64" i="4"/>
  <c r="FX64" i="4" s="1"/>
  <c r="FS64" i="4"/>
  <c r="FT64" i="4" s="1"/>
  <c r="FO64" i="4"/>
  <c r="FP64" i="4" s="1"/>
  <c r="FK64" i="4"/>
  <c r="FL64" i="4" s="1"/>
  <c r="FG64" i="4"/>
  <c r="FH64" i="4" s="1"/>
  <c r="FC64" i="4"/>
  <c r="FD64" i="4" s="1"/>
  <c r="EY64" i="4"/>
  <c r="EZ64" i="4" s="1"/>
  <c r="EU64" i="4"/>
  <c r="EV64" i="4" s="1"/>
  <c r="GG64" i="4"/>
  <c r="GH64" i="4" s="1"/>
  <c r="GC64" i="4"/>
  <c r="GD64" i="4" s="1"/>
  <c r="FY64" i="4"/>
  <c r="FZ64" i="4" s="1"/>
  <c r="FU64" i="4"/>
  <c r="FV64" i="4" s="1"/>
  <c r="FQ64" i="4"/>
  <c r="FR64" i="4" s="1"/>
  <c r="FM64" i="4"/>
  <c r="FN64" i="4" s="1"/>
  <c r="FI64" i="4"/>
  <c r="FJ64" i="4" s="1"/>
  <c r="FE64" i="4"/>
  <c r="FF64" i="4" s="1"/>
  <c r="FA64" i="4"/>
  <c r="FB64" i="4" s="1"/>
  <c r="EW64" i="4"/>
  <c r="EX64" i="4" s="1"/>
  <c r="ET64" i="4"/>
  <c r="AW66" i="4"/>
  <c r="AX66" i="4" s="1"/>
  <c r="AS66" i="4"/>
  <c r="AT66" i="4" s="1"/>
  <c r="AO66" i="4"/>
  <c r="AP66" i="4" s="1"/>
  <c r="AK66" i="4"/>
  <c r="AL66" i="4" s="1"/>
  <c r="AG66" i="4"/>
  <c r="AH66" i="4" s="1"/>
  <c r="AC66" i="4"/>
  <c r="AD66" i="4" s="1"/>
  <c r="Y66" i="4"/>
  <c r="Z66" i="4" s="1"/>
  <c r="U66" i="4"/>
  <c r="V66" i="4" s="1"/>
  <c r="Q66" i="4"/>
  <c r="R66" i="4" s="1"/>
  <c r="M66" i="4"/>
  <c r="N66" i="4" s="1"/>
  <c r="J66" i="4"/>
  <c r="AY66" i="4"/>
  <c r="AZ66" i="4" s="1"/>
  <c r="AU66" i="4"/>
  <c r="AV66" i="4" s="1"/>
  <c r="AQ66" i="4"/>
  <c r="AR66" i="4" s="1"/>
  <c r="AM66" i="4"/>
  <c r="AN66" i="4" s="1"/>
  <c r="AI66" i="4"/>
  <c r="AJ66" i="4" s="1"/>
  <c r="AE66" i="4"/>
  <c r="AF66" i="4" s="1"/>
  <c r="AA66" i="4"/>
  <c r="AB66" i="4" s="1"/>
  <c r="W66" i="4"/>
  <c r="X66" i="4" s="1"/>
  <c r="S66" i="4"/>
  <c r="T66" i="4" s="1"/>
  <c r="O66" i="4"/>
  <c r="P66" i="4" s="1"/>
  <c r="K66" i="4"/>
  <c r="L66" i="4" s="1"/>
  <c r="AW70" i="4"/>
  <c r="AX70" i="4" s="1"/>
  <c r="AS70" i="4"/>
  <c r="AT70" i="4" s="1"/>
  <c r="AO70" i="4"/>
  <c r="AP70" i="4" s="1"/>
  <c r="AK70" i="4"/>
  <c r="AL70" i="4" s="1"/>
  <c r="AG70" i="4"/>
  <c r="AH70" i="4" s="1"/>
  <c r="AC70" i="4"/>
  <c r="AD70" i="4" s="1"/>
  <c r="Y70" i="4"/>
  <c r="Z70" i="4" s="1"/>
  <c r="U70" i="4"/>
  <c r="V70" i="4" s="1"/>
  <c r="Q70" i="4"/>
  <c r="R70" i="4" s="1"/>
  <c r="M70" i="4"/>
  <c r="N70" i="4" s="1"/>
  <c r="J70" i="4"/>
  <c r="AY70" i="4"/>
  <c r="AZ70" i="4" s="1"/>
  <c r="AU70" i="4"/>
  <c r="AV70" i="4" s="1"/>
  <c r="AQ70" i="4"/>
  <c r="AR70" i="4" s="1"/>
  <c r="AM70" i="4"/>
  <c r="AN70" i="4" s="1"/>
  <c r="AI70" i="4"/>
  <c r="AJ70" i="4" s="1"/>
  <c r="AE70" i="4"/>
  <c r="AF70" i="4" s="1"/>
  <c r="AA70" i="4"/>
  <c r="AB70" i="4" s="1"/>
  <c r="W70" i="4"/>
  <c r="X70" i="4" s="1"/>
  <c r="S70" i="4"/>
  <c r="T70" i="4" s="1"/>
  <c r="O70" i="4"/>
  <c r="P70" i="4" s="1"/>
  <c r="K70" i="4"/>
  <c r="L70" i="4" s="1"/>
  <c r="AW74" i="4"/>
  <c r="AX74" i="4" s="1"/>
  <c r="AS74" i="4"/>
  <c r="AT74" i="4" s="1"/>
  <c r="AO74" i="4"/>
  <c r="AP74" i="4" s="1"/>
  <c r="AK74" i="4"/>
  <c r="AL74" i="4" s="1"/>
  <c r="AG74" i="4"/>
  <c r="AH74" i="4" s="1"/>
  <c r="AC74" i="4"/>
  <c r="AD74" i="4" s="1"/>
  <c r="Y74" i="4"/>
  <c r="Z74" i="4" s="1"/>
  <c r="U74" i="4"/>
  <c r="V74" i="4" s="1"/>
  <c r="Q74" i="4"/>
  <c r="R74" i="4" s="1"/>
  <c r="M74" i="4"/>
  <c r="N74" i="4" s="1"/>
  <c r="J74" i="4"/>
  <c r="AY74" i="4"/>
  <c r="AZ74" i="4" s="1"/>
  <c r="AU74" i="4"/>
  <c r="AV74" i="4" s="1"/>
  <c r="AQ74" i="4"/>
  <c r="AR74" i="4" s="1"/>
  <c r="AM74" i="4"/>
  <c r="AN74" i="4" s="1"/>
  <c r="AI74" i="4"/>
  <c r="AJ74" i="4" s="1"/>
  <c r="AE74" i="4"/>
  <c r="AF74" i="4" s="1"/>
  <c r="AA74" i="4"/>
  <c r="AB74" i="4" s="1"/>
  <c r="W74" i="4"/>
  <c r="X74" i="4" s="1"/>
  <c r="S74" i="4"/>
  <c r="T74" i="4" s="1"/>
  <c r="O74" i="4"/>
  <c r="P74" i="4" s="1"/>
  <c r="K74" i="4"/>
  <c r="L74" i="4" s="1"/>
  <c r="AW78" i="4"/>
  <c r="AX78" i="4" s="1"/>
  <c r="AS78" i="4"/>
  <c r="AT78" i="4" s="1"/>
  <c r="AO78" i="4"/>
  <c r="AP78" i="4" s="1"/>
  <c r="AK78" i="4"/>
  <c r="AL78" i="4" s="1"/>
  <c r="AG78" i="4"/>
  <c r="AH78" i="4" s="1"/>
  <c r="AC78" i="4"/>
  <c r="AD78" i="4" s="1"/>
  <c r="Y78" i="4"/>
  <c r="Z78" i="4" s="1"/>
  <c r="U78" i="4"/>
  <c r="V78" i="4" s="1"/>
  <c r="Q78" i="4"/>
  <c r="R78" i="4" s="1"/>
  <c r="M78" i="4"/>
  <c r="N78" i="4" s="1"/>
  <c r="J78" i="4"/>
  <c r="AY78" i="4"/>
  <c r="AZ78" i="4" s="1"/>
  <c r="AU78" i="4"/>
  <c r="AV78" i="4" s="1"/>
  <c r="AQ78" i="4"/>
  <c r="AR78" i="4" s="1"/>
  <c r="AM78" i="4"/>
  <c r="AN78" i="4" s="1"/>
  <c r="AI78" i="4"/>
  <c r="AJ78" i="4" s="1"/>
  <c r="AE78" i="4"/>
  <c r="AF78" i="4" s="1"/>
  <c r="AA78" i="4"/>
  <c r="AB78" i="4" s="1"/>
  <c r="W78" i="4"/>
  <c r="X78" i="4" s="1"/>
  <c r="S78" i="4"/>
  <c r="T78" i="4" s="1"/>
  <c r="O78" i="4"/>
  <c r="P78" i="4" s="1"/>
  <c r="K78" i="4"/>
  <c r="L78" i="4" s="1"/>
  <c r="GG78" i="4"/>
  <c r="GH78" i="4" s="1"/>
  <c r="FY78" i="4"/>
  <c r="FZ78" i="4" s="1"/>
  <c r="FQ78" i="4"/>
  <c r="FR78" i="4" s="1"/>
  <c r="FI78" i="4"/>
  <c r="FJ78" i="4" s="1"/>
  <c r="FA78" i="4"/>
  <c r="FB78" i="4" s="1"/>
  <c r="ET78" i="4"/>
  <c r="GE78" i="4"/>
  <c r="GF78" i="4" s="1"/>
  <c r="FW78" i="4"/>
  <c r="FX78" i="4" s="1"/>
  <c r="FO78" i="4"/>
  <c r="FP78" i="4" s="1"/>
  <c r="FG78" i="4"/>
  <c r="FH78" i="4" s="1"/>
  <c r="EY78" i="4"/>
  <c r="EZ78" i="4" s="1"/>
  <c r="GI78" i="4"/>
  <c r="GJ78" i="4" s="1"/>
  <c r="GA78" i="4"/>
  <c r="GB78" i="4" s="1"/>
  <c r="FS78" i="4"/>
  <c r="FT78" i="4" s="1"/>
  <c r="FK78" i="4"/>
  <c r="FL78" i="4" s="1"/>
  <c r="FC78" i="4"/>
  <c r="FD78" i="4" s="1"/>
  <c r="EU78" i="4"/>
  <c r="EV78" i="4" s="1"/>
  <c r="CA94" i="4"/>
  <c r="ER94" i="4"/>
  <c r="ES94" i="4" s="1"/>
  <c r="GI109" i="4"/>
  <c r="GJ109" i="4" s="1"/>
  <c r="GE109" i="4"/>
  <c r="GF109" i="4" s="1"/>
  <c r="GA109" i="4"/>
  <c r="GB109" i="4" s="1"/>
  <c r="FW109" i="4"/>
  <c r="FX109" i="4" s="1"/>
  <c r="FS109" i="4"/>
  <c r="FT109" i="4" s="1"/>
  <c r="FO109" i="4"/>
  <c r="FP109" i="4" s="1"/>
  <c r="FK109" i="4"/>
  <c r="FL109" i="4" s="1"/>
  <c r="FG109" i="4"/>
  <c r="FH109" i="4" s="1"/>
  <c r="FC109" i="4"/>
  <c r="FD109" i="4" s="1"/>
  <c r="EY109" i="4"/>
  <c r="EZ109" i="4" s="1"/>
  <c r="EU109" i="4"/>
  <c r="EV109" i="4" s="1"/>
  <c r="GC109" i="4"/>
  <c r="GD109" i="4" s="1"/>
  <c r="FM109" i="4"/>
  <c r="FN109" i="4" s="1"/>
  <c r="EW109" i="4"/>
  <c r="EX109" i="4" s="1"/>
  <c r="GG109" i="4"/>
  <c r="GH109" i="4" s="1"/>
  <c r="FQ109" i="4"/>
  <c r="FR109" i="4" s="1"/>
  <c r="FA109" i="4"/>
  <c r="FB109" i="4" s="1"/>
  <c r="FY109" i="4"/>
  <c r="FZ109" i="4" s="1"/>
  <c r="FI109" i="4"/>
  <c r="FJ109" i="4" s="1"/>
  <c r="ET109" i="4"/>
  <c r="FE109" i="4"/>
  <c r="FF109" i="4" s="1"/>
  <c r="FU109" i="4"/>
  <c r="FV109" i="4" s="1"/>
  <c r="CB60" i="4"/>
  <c r="CE60" i="4"/>
  <c r="CF60" i="4" s="1"/>
  <c r="CI60" i="4"/>
  <c r="CJ60" i="4" s="1"/>
  <c r="CM60" i="4"/>
  <c r="CN60" i="4" s="1"/>
  <c r="CQ60" i="4"/>
  <c r="CR60" i="4" s="1"/>
  <c r="CU60" i="4"/>
  <c r="CV60" i="4" s="1"/>
  <c r="CY60" i="4"/>
  <c r="CZ60" i="4" s="1"/>
  <c r="DC60" i="4"/>
  <c r="DD60" i="4" s="1"/>
  <c r="DG60" i="4"/>
  <c r="DH60" i="4" s="1"/>
  <c r="DK60" i="4"/>
  <c r="DL60" i="4" s="1"/>
  <c r="J64" i="4"/>
  <c r="M64" i="4"/>
  <c r="N64" i="4" s="1"/>
  <c r="Q64" i="4"/>
  <c r="R64" i="4" s="1"/>
  <c r="U64" i="4"/>
  <c r="V64" i="4" s="1"/>
  <c r="Y64" i="4"/>
  <c r="Z64" i="4" s="1"/>
  <c r="AC64" i="4"/>
  <c r="AD64" i="4" s="1"/>
  <c r="AG64" i="4"/>
  <c r="AH64" i="4" s="1"/>
  <c r="AK64" i="4"/>
  <c r="AL64" i="4" s="1"/>
  <c r="AO64" i="4"/>
  <c r="AP64" i="4" s="1"/>
  <c r="AS64" i="4"/>
  <c r="AT64" i="4" s="1"/>
  <c r="J68" i="4"/>
  <c r="M68" i="4"/>
  <c r="N68" i="4" s="1"/>
  <c r="Q68" i="4"/>
  <c r="R68" i="4" s="1"/>
  <c r="U68" i="4"/>
  <c r="V68" i="4" s="1"/>
  <c r="Y68" i="4"/>
  <c r="Z68" i="4" s="1"/>
  <c r="AC68" i="4"/>
  <c r="AD68" i="4" s="1"/>
  <c r="AG68" i="4"/>
  <c r="AH68" i="4" s="1"/>
  <c r="AK68" i="4"/>
  <c r="AL68" i="4" s="1"/>
  <c r="AO68" i="4"/>
  <c r="AP68" i="4" s="1"/>
  <c r="AS68" i="4"/>
  <c r="AT68" i="4" s="1"/>
  <c r="I69" i="4"/>
  <c r="CB70" i="4"/>
  <c r="CE70" i="4"/>
  <c r="CF70" i="4" s="1"/>
  <c r="CI70" i="4"/>
  <c r="CJ70" i="4" s="1"/>
  <c r="CM70" i="4"/>
  <c r="CN70" i="4" s="1"/>
  <c r="CQ70" i="4"/>
  <c r="CR70" i="4" s="1"/>
  <c r="CU70" i="4"/>
  <c r="CV70" i="4" s="1"/>
  <c r="CY70" i="4"/>
  <c r="CZ70" i="4" s="1"/>
  <c r="DC70" i="4"/>
  <c r="DD70" i="4" s="1"/>
  <c r="DG70" i="4"/>
  <c r="DH70" i="4" s="1"/>
  <c r="DK70" i="4"/>
  <c r="DL70" i="4" s="1"/>
  <c r="DO70" i="4"/>
  <c r="DP70" i="4" s="1"/>
  <c r="J72" i="4"/>
  <c r="M72" i="4"/>
  <c r="N72" i="4" s="1"/>
  <c r="Q72" i="4"/>
  <c r="R72" i="4" s="1"/>
  <c r="U72" i="4"/>
  <c r="V72" i="4" s="1"/>
  <c r="Y72" i="4"/>
  <c r="Z72" i="4" s="1"/>
  <c r="AC72" i="4"/>
  <c r="AD72" i="4" s="1"/>
  <c r="AG72" i="4"/>
  <c r="AH72" i="4" s="1"/>
  <c r="AK72" i="4"/>
  <c r="AL72" i="4" s="1"/>
  <c r="AO72" i="4"/>
  <c r="AP72" i="4" s="1"/>
  <c r="AS72" i="4"/>
  <c r="AT72" i="4" s="1"/>
  <c r="AW72" i="4"/>
  <c r="AX72" i="4" s="1"/>
  <c r="I73" i="4"/>
  <c r="CB74" i="4"/>
  <c r="CE74" i="4"/>
  <c r="CF74" i="4" s="1"/>
  <c r="CI74" i="4"/>
  <c r="CJ74" i="4" s="1"/>
  <c r="CM74" i="4"/>
  <c r="CN74" i="4" s="1"/>
  <c r="CQ74" i="4"/>
  <c r="CR74" i="4" s="1"/>
  <c r="CU74" i="4"/>
  <c r="CV74" i="4" s="1"/>
  <c r="CY74" i="4"/>
  <c r="CZ74" i="4" s="1"/>
  <c r="DC74" i="4"/>
  <c r="DD74" i="4" s="1"/>
  <c r="DG74" i="4"/>
  <c r="DH74" i="4" s="1"/>
  <c r="DK74" i="4"/>
  <c r="DL74" i="4" s="1"/>
  <c r="J76" i="4"/>
  <c r="M76" i="4"/>
  <c r="N76" i="4" s="1"/>
  <c r="Q76" i="4"/>
  <c r="R76" i="4" s="1"/>
  <c r="U76" i="4"/>
  <c r="V76" i="4" s="1"/>
  <c r="Y76" i="4"/>
  <c r="Z76" i="4" s="1"/>
  <c r="AC76" i="4"/>
  <c r="AD76" i="4" s="1"/>
  <c r="AG76" i="4"/>
  <c r="AH76" i="4" s="1"/>
  <c r="AK76" i="4"/>
  <c r="AL76" i="4" s="1"/>
  <c r="AO76" i="4"/>
  <c r="AP76" i="4" s="1"/>
  <c r="AS76" i="4"/>
  <c r="AT76" i="4" s="1"/>
  <c r="I77" i="4"/>
  <c r="CB78" i="4"/>
  <c r="CE78" i="4"/>
  <c r="CF78" i="4" s="1"/>
  <c r="CI78" i="4"/>
  <c r="CJ78" i="4" s="1"/>
  <c r="CM78" i="4"/>
  <c r="CN78" i="4" s="1"/>
  <c r="CS78" i="4"/>
  <c r="CT78" i="4" s="1"/>
  <c r="DA78" i="4"/>
  <c r="DB78" i="4" s="1"/>
  <c r="DI78" i="4"/>
  <c r="DJ78" i="4" s="1"/>
  <c r="GI79" i="4"/>
  <c r="GJ79" i="4" s="1"/>
  <c r="GE79" i="4"/>
  <c r="GF79" i="4" s="1"/>
  <c r="GA79" i="4"/>
  <c r="GB79" i="4" s="1"/>
  <c r="FW79" i="4"/>
  <c r="FX79" i="4" s="1"/>
  <c r="FS79" i="4"/>
  <c r="FT79" i="4" s="1"/>
  <c r="FO79" i="4"/>
  <c r="FP79" i="4" s="1"/>
  <c r="FK79" i="4"/>
  <c r="FL79" i="4" s="1"/>
  <c r="FG79" i="4"/>
  <c r="FH79" i="4" s="1"/>
  <c r="FC79" i="4"/>
  <c r="FD79" i="4" s="1"/>
  <c r="EY79" i="4"/>
  <c r="EZ79" i="4" s="1"/>
  <c r="EU79" i="4"/>
  <c r="EV79" i="4" s="1"/>
  <c r="GG79" i="4"/>
  <c r="GH79" i="4" s="1"/>
  <c r="GC79" i="4"/>
  <c r="GD79" i="4" s="1"/>
  <c r="FY79" i="4"/>
  <c r="FZ79" i="4" s="1"/>
  <c r="FU79" i="4"/>
  <c r="FV79" i="4" s="1"/>
  <c r="FQ79" i="4"/>
  <c r="FR79" i="4" s="1"/>
  <c r="FM79" i="4"/>
  <c r="FN79" i="4" s="1"/>
  <c r="FI79" i="4"/>
  <c r="FJ79" i="4" s="1"/>
  <c r="FE79" i="4"/>
  <c r="FF79" i="4" s="1"/>
  <c r="FA79" i="4"/>
  <c r="FB79" i="4" s="1"/>
  <c r="EW79" i="4"/>
  <c r="EX79" i="4" s="1"/>
  <c r="ET79" i="4"/>
  <c r="CO80" i="4"/>
  <c r="CP80" i="4" s="1"/>
  <c r="I82" i="4"/>
  <c r="BZ82" i="4"/>
  <c r="CK84" i="4"/>
  <c r="CL84" i="4" s="1"/>
  <c r="DA84" i="4"/>
  <c r="DB84" i="4" s="1"/>
  <c r="AW85" i="4"/>
  <c r="AX85" i="4" s="1"/>
  <c r="AS85" i="4"/>
  <c r="AT85" i="4" s="1"/>
  <c r="AO85" i="4"/>
  <c r="AP85" i="4" s="1"/>
  <c r="AK85" i="4"/>
  <c r="AL85" i="4" s="1"/>
  <c r="AG85" i="4"/>
  <c r="AH85" i="4" s="1"/>
  <c r="AC85" i="4"/>
  <c r="AD85" i="4" s="1"/>
  <c r="Y85" i="4"/>
  <c r="Z85" i="4" s="1"/>
  <c r="U85" i="4"/>
  <c r="V85" i="4" s="1"/>
  <c r="Q85" i="4"/>
  <c r="R85" i="4" s="1"/>
  <c r="M85" i="4"/>
  <c r="N85" i="4" s="1"/>
  <c r="J85" i="4"/>
  <c r="AY85" i="4"/>
  <c r="AZ85" i="4" s="1"/>
  <c r="AU85" i="4"/>
  <c r="AV85" i="4" s="1"/>
  <c r="AQ85" i="4"/>
  <c r="AR85" i="4" s="1"/>
  <c r="AM85" i="4"/>
  <c r="AN85" i="4" s="1"/>
  <c r="AI85" i="4"/>
  <c r="AJ85" i="4" s="1"/>
  <c r="AE85" i="4"/>
  <c r="AF85" i="4" s="1"/>
  <c r="AA85" i="4"/>
  <c r="AB85" i="4" s="1"/>
  <c r="W85" i="4"/>
  <c r="X85" i="4" s="1"/>
  <c r="S85" i="4"/>
  <c r="T85" i="4" s="1"/>
  <c r="O85" i="4"/>
  <c r="P85" i="4" s="1"/>
  <c r="K85" i="4"/>
  <c r="L85" i="4" s="1"/>
  <c r="CA87" i="4"/>
  <c r="ET88" i="4"/>
  <c r="FI88" i="4"/>
  <c r="FJ88" i="4" s="1"/>
  <c r="DO88" i="4"/>
  <c r="DP88" i="4" s="1"/>
  <c r="DK88" i="4"/>
  <c r="DL88" i="4" s="1"/>
  <c r="DG88" i="4"/>
  <c r="DH88" i="4" s="1"/>
  <c r="DC88" i="4"/>
  <c r="DD88" i="4" s="1"/>
  <c r="CY88" i="4"/>
  <c r="CZ88" i="4" s="1"/>
  <c r="CU88" i="4"/>
  <c r="CV88" i="4" s="1"/>
  <c r="CQ88" i="4"/>
  <c r="CR88" i="4" s="1"/>
  <c r="CM88" i="4"/>
  <c r="CN88" i="4" s="1"/>
  <c r="CI88" i="4"/>
  <c r="CJ88" i="4" s="1"/>
  <c r="CE88" i="4"/>
  <c r="CF88" i="4" s="1"/>
  <c r="CB88" i="4"/>
  <c r="GG96" i="4"/>
  <c r="GH96" i="4" s="1"/>
  <c r="GC96" i="4"/>
  <c r="GD96" i="4" s="1"/>
  <c r="FY96" i="4"/>
  <c r="FZ96" i="4" s="1"/>
  <c r="FU96" i="4"/>
  <c r="FV96" i="4" s="1"/>
  <c r="FQ96" i="4"/>
  <c r="FR96" i="4" s="1"/>
  <c r="FM96" i="4"/>
  <c r="FN96" i="4" s="1"/>
  <c r="FI96" i="4"/>
  <c r="FJ96" i="4" s="1"/>
  <c r="FE96" i="4"/>
  <c r="FF96" i="4" s="1"/>
  <c r="FA96" i="4"/>
  <c r="FB96" i="4" s="1"/>
  <c r="EW96" i="4"/>
  <c r="EX96" i="4" s="1"/>
  <c r="ET96" i="4"/>
  <c r="GI96" i="4"/>
  <c r="GJ96" i="4" s="1"/>
  <c r="FS96" i="4"/>
  <c r="FT96" i="4" s="1"/>
  <c r="FC96" i="4"/>
  <c r="FD96" i="4" s="1"/>
  <c r="FW96" i="4"/>
  <c r="FX96" i="4" s="1"/>
  <c r="FG96" i="4"/>
  <c r="FH96" i="4" s="1"/>
  <c r="GE96" i="4"/>
  <c r="GF96" i="4" s="1"/>
  <c r="FO96" i="4"/>
  <c r="FP96" i="4" s="1"/>
  <c r="EY96" i="4"/>
  <c r="EZ96" i="4" s="1"/>
  <c r="ER98" i="4"/>
  <c r="ES98" i="4" s="1"/>
  <c r="CA98" i="4"/>
  <c r="GG102" i="4"/>
  <c r="GH102" i="4" s="1"/>
  <c r="GC102" i="4"/>
  <c r="GD102" i="4" s="1"/>
  <c r="FY102" i="4"/>
  <c r="FZ102" i="4" s="1"/>
  <c r="FU102" i="4"/>
  <c r="FV102" i="4" s="1"/>
  <c r="FQ102" i="4"/>
  <c r="FR102" i="4" s="1"/>
  <c r="FM102" i="4"/>
  <c r="FN102" i="4" s="1"/>
  <c r="FI102" i="4"/>
  <c r="FJ102" i="4" s="1"/>
  <c r="FE102" i="4"/>
  <c r="FF102" i="4" s="1"/>
  <c r="FA102" i="4"/>
  <c r="FB102" i="4" s="1"/>
  <c r="EW102" i="4"/>
  <c r="EX102" i="4" s="1"/>
  <c r="ET102" i="4"/>
  <c r="GI102" i="4"/>
  <c r="GJ102" i="4" s="1"/>
  <c r="GE102" i="4"/>
  <c r="GF102" i="4" s="1"/>
  <c r="GA102" i="4"/>
  <c r="GB102" i="4" s="1"/>
  <c r="FW102" i="4"/>
  <c r="FX102" i="4" s="1"/>
  <c r="FS102" i="4"/>
  <c r="FT102" i="4" s="1"/>
  <c r="FO102" i="4"/>
  <c r="FP102" i="4" s="1"/>
  <c r="FK102" i="4"/>
  <c r="FL102" i="4" s="1"/>
  <c r="FG102" i="4"/>
  <c r="FH102" i="4" s="1"/>
  <c r="FC102" i="4"/>
  <c r="FD102" i="4" s="1"/>
  <c r="EY102" i="4"/>
  <c r="EZ102" i="4" s="1"/>
  <c r="EU102" i="4"/>
  <c r="EV102" i="4" s="1"/>
  <c r="AU72" i="4"/>
  <c r="AV72" i="4" s="1"/>
  <c r="AY79" i="4"/>
  <c r="AZ79" i="4" s="1"/>
  <c r="AU79" i="4"/>
  <c r="AV79" i="4" s="1"/>
  <c r="AQ79" i="4"/>
  <c r="AR79" i="4" s="1"/>
  <c r="AM79" i="4"/>
  <c r="AN79" i="4" s="1"/>
  <c r="AI79" i="4"/>
  <c r="AJ79" i="4" s="1"/>
  <c r="AE79" i="4"/>
  <c r="AF79" i="4" s="1"/>
  <c r="AA79" i="4"/>
  <c r="AB79" i="4" s="1"/>
  <c r="W79" i="4"/>
  <c r="X79" i="4" s="1"/>
  <c r="S79" i="4"/>
  <c r="T79" i="4" s="1"/>
  <c r="O79" i="4"/>
  <c r="P79" i="4" s="1"/>
  <c r="K79" i="4"/>
  <c r="L79" i="4" s="1"/>
  <c r="AW79" i="4"/>
  <c r="AX79" i="4" s="1"/>
  <c r="AS79" i="4"/>
  <c r="AT79" i="4" s="1"/>
  <c r="AO79" i="4"/>
  <c r="AP79" i="4" s="1"/>
  <c r="AK79" i="4"/>
  <c r="AL79" i="4" s="1"/>
  <c r="AG79" i="4"/>
  <c r="AH79" i="4" s="1"/>
  <c r="AC79" i="4"/>
  <c r="AD79" i="4" s="1"/>
  <c r="Y79" i="4"/>
  <c r="Z79" i="4" s="1"/>
  <c r="U79" i="4"/>
  <c r="V79" i="4" s="1"/>
  <c r="Q79" i="4"/>
  <c r="R79" i="4" s="1"/>
  <c r="M79" i="4"/>
  <c r="N79" i="4" s="1"/>
  <c r="J79" i="4"/>
  <c r="DO79" i="4"/>
  <c r="DP79" i="4" s="1"/>
  <c r="DK79" i="4"/>
  <c r="DL79" i="4" s="1"/>
  <c r="DG79" i="4"/>
  <c r="DH79" i="4" s="1"/>
  <c r="DC79" i="4"/>
  <c r="DD79" i="4" s="1"/>
  <c r="CY79" i="4"/>
  <c r="CZ79" i="4" s="1"/>
  <c r="CU79" i="4"/>
  <c r="CV79" i="4" s="1"/>
  <c r="CQ79" i="4"/>
  <c r="CR79" i="4" s="1"/>
  <c r="CM79" i="4"/>
  <c r="CN79" i="4" s="1"/>
  <c r="CI79" i="4"/>
  <c r="CJ79" i="4" s="1"/>
  <c r="CE79" i="4"/>
  <c r="CF79" i="4" s="1"/>
  <c r="CB79" i="4"/>
  <c r="DQ79" i="4"/>
  <c r="DR79" i="4" s="1"/>
  <c r="DM79" i="4"/>
  <c r="DN79" i="4" s="1"/>
  <c r="DI79" i="4"/>
  <c r="DJ79" i="4" s="1"/>
  <c r="DE79" i="4"/>
  <c r="DF79" i="4" s="1"/>
  <c r="DA79" i="4"/>
  <c r="DB79" i="4" s="1"/>
  <c r="CW79" i="4"/>
  <c r="CX79" i="4" s="1"/>
  <c r="CS79" i="4"/>
  <c r="CT79" i="4" s="1"/>
  <c r="CO79" i="4"/>
  <c r="CP79" i="4" s="1"/>
  <c r="CK79" i="4"/>
  <c r="CL79" i="4" s="1"/>
  <c r="CG79" i="4"/>
  <c r="CH79" i="4" s="1"/>
  <c r="CC79" i="4"/>
  <c r="CD79" i="4" s="1"/>
  <c r="DO80" i="4"/>
  <c r="DP80" i="4" s="1"/>
  <c r="DK80" i="4"/>
  <c r="DL80" i="4" s="1"/>
  <c r="DG80" i="4"/>
  <c r="DH80" i="4" s="1"/>
  <c r="DC80" i="4"/>
  <c r="DD80" i="4" s="1"/>
  <c r="CY80" i="4"/>
  <c r="CZ80" i="4" s="1"/>
  <c r="CU80" i="4"/>
  <c r="CV80" i="4" s="1"/>
  <c r="CQ80" i="4"/>
  <c r="CR80" i="4" s="1"/>
  <c r="CM80" i="4"/>
  <c r="CN80" i="4" s="1"/>
  <c r="CI80" i="4"/>
  <c r="CJ80" i="4" s="1"/>
  <c r="CE80" i="4"/>
  <c r="CF80" i="4" s="1"/>
  <c r="CB80" i="4"/>
  <c r="ER84" i="4"/>
  <c r="ES84" i="4" s="1"/>
  <c r="GI87" i="4"/>
  <c r="GJ87" i="4" s="1"/>
  <c r="GE87" i="4"/>
  <c r="GF87" i="4" s="1"/>
  <c r="GA87" i="4"/>
  <c r="GB87" i="4" s="1"/>
  <c r="FW87" i="4"/>
  <c r="FX87" i="4" s="1"/>
  <c r="FS87" i="4"/>
  <c r="FT87" i="4" s="1"/>
  <c r="FO87" i="4"/>
  <c r="FP87" i="4" s="1"/>
  <c r="FK87" i="4"/>
  <c r="FL87" i="4" s="1"/>
  <c r="FG87" i="4"/>
  <c r="FH87" i="4" s="1"/>
  <c r="FC87" i="4"/>
  <c r="FD87" i="4" s="1"/>
  <c r="EY87" i="4"/>
  <c r="EZ87" i="4" s="1"/>
  <c r="EU87" i="4"/>
  <c r="EV87" i="4" s="1"/>
  <c r="GG87" i="4"/>
  <c r="GH87" i="4" s="1"/>
  <c r="GC87" i="4"/>
  <c r="GD87" i="4" s="1"/>
  <c r="FY87" i="4"/>
  <c r="FZ87" i="4" s="1"/>
  <c r="FU87" i="4"/>
  <c r="FV87" i="4" s="1"/>
  <c r="FQ87" i="4"/>
  <c r="FR87" i="4" s="1"/>
  <c r="FM87" i="4"/>
  <c r="FN87" i="4" s="1"/>
  <c r="FI87" i="4"/>
  <c r="FJ87" i="4" s="1"/>
  <c r="FE87" i="4"/>
  <c r="FF87" i="4" s="1"/>
  <c r="FA87" i="4"/>
  <c r="FB87" i="4" s="1"/>
  <c r="EW87" i="4"/>
  <c r="EX87" i="4" s="1"/>
  <c r="ET87" i="4"/>
  <c r="I92" i="4"/>
  <c r="BZ92" i="4"/>
  <c r="AS95" i="4"/>
  <c r="AT95" i="4" s="1"/>
  <c r="AC95" i="4"/>
  <c r="AD95" i="4" s="1"/>
  <c r="M95" i="4"/>
  <c r="N95" i="4" s="1"/>
  <c r="AQ95" i="4"/>
  <c r="AR95" i="4" s="1"/>
  <c r="AA95" i="4"/>
  <c r="AB95" i="4" s="1"/>
  <c r="K95" i="4"/>
  <c r="L95" i="4" s="1"/>
  <c r="DO100" i="4"/>
  <c r="DP100" i="4" s="1"/>
  <c r="DK100" i="4"/>
  <c r="DL100" i="4" s="1"/>
  <c r="DG100" i="4"/>
  <c r="DH100" i="4" s="1"/>
  <c r="DC100" i="4"/>
  <c r="DD100" i="4" s="1"/>
  <c r="CY100" i="4"/>
  <c r="CZ100" i="4" s="1"/>
  <c r="CU100" i="4"/>
  <c r="CV100" i="4" s="1"/>
  <c r="CQ100" i="4"/>
  <c r="CR100" i="4" s="1"/>
  <c r="CM100" i="4"/>
  <c r="CN100" i="4" s="1"/>
  <c r="CI100" i="4"/>
  <c r="CJ100" i="4" s="1"/>
  <c r="CE100" i="4"/>
  <c r="CF100" i="4" s="1"/>
  <c r="CB100" i="4"/>
  <c r="DQ100" i="4"/>
  <c r="DR100" i="4" s="1"/>
  <c r="DM100" i="4"/>
  <c r="DN100" i="4" s="1"/>
  <c r="DI100" i="4"/>
  <c r="DJ100" i="4" s="1"/>
  <c r="DE100" i="4"/>
  <c r="DF100" i="4" s="1"/>
  <c r="DA100" i="4"/>
  <c r="DB100" i="4" s="1"/>
  <c r="CW100" i="4"/>
  <c r="CX100" i="4" s="1"/>
  <c r="CS100" i="4"/>
  <c r="CT100" i="4" s="1"/>
  <c r="CO100" i="4"/>
  <c r="CP100" i="4" s="1"/>
  <c r="CK100" i="4"/>
  <c r="CL100" i="4" s="1"/>
  <c r="CG100" i="4"/>
  <c r="CH100" i="4" s="1"/>
  <c r="CC100" i="4"/>
  <c r="CD100" i="4" s="1"/>
  <c r="GC108" i="4"/>
  <c r="GD108" i="4" s="1"/>
  <c r="FW108" i="4"/>
  <c r="FX108" i="4" s="1"/>
  <c r="FM108" i="4"/>
  <c r="FN108" i="4" s="1"/>
  <c r="FG108" i="4"/>
  <c r="FH108" i="4" s="1"/>
  <c r="EW108" i="4"/>
  <c r="EX108" i="4" s="1"/>
  <c r="GG108" i="4"/>
  <c r="GH108" i="4" s="1"/>
  <c r="GA108" i="4"/>
  <c r="GB108" i="4" s="1"/>
  <c r="FQ108" i="4"/>
  <c r="FR108" i="4" s="1"/>
  <c r="FK108" i="4"/>
  <c r="FL108" i="4" s="1"/>
  <c r="FA108" i="4"/>
  <c r="FB108" i="4" s="1"/>
  <c r="EU108" i="4"/>
  <c r="EV108" i="4" s="1"/>
  <c r="GI108" i="4"/>
  <c r="GJ108" i="4" s="1"/>
  <c r="FY108" i="4"/>
  <c r="FZ108" i="4" s="1"/>
  <c r="FS108" i="4"/>
  <c r="FT108" i="4" s="1"/>
  <c r="FI108" i="4"/>
  <c r="FJ108" i="4" s="1"/>
  <c r="FC108" i="4"/>
  <c r="FD108" i="4" s="1"/>
  <c r="ET108" i="4"/>
  <c r="FE108" i="4"/>
  <c r="FF108" i="4" s="1"/>
  <c r="FU108" i="4"/>
  <c r="FV108" i="4" s="1"/>
  <c r="EY108" i="4"/>
  <c r="EZ108" i="4" s="1"/>
  <c r="GE108" i="4"/>
  <c r="GF108" i="4" s="1"/>
  <c r="AY112" i="4"/>
  <c r="AZ112" i="4" s="1"/>
  <c r="AU112" i="4"/>
  <c r="AV112" i="4" s="1"/>
  <c r="AQ112" i="4"/>
  <c r="AR112" i="4" s="1"/>
  <c r="AM112" i="4"/>
  <c r="AN112" i="4" s="1"/>
  <c r="AI112" i="4"/>
  <c r="AJ112" i="4" s="1"/>
  <c r="AE112" i="4"/>
  <c r="AF112" i="4" s="1"/>
  <c r="AA112" i="4"/>
  <c r="AB112" i="4" s="1"/>
  <c r="W112" i="4"/>
  <c r="X112" i="4" s="1"/>
  <c r="S112" i="4"/>
  <c r="T112" i="4" s="1"/>
  <c r="O112" i="4"/>
  <c r="P112" i="4" s="1"/>
  <c r="K112" i="4"/>
  <c r="L112" i="4" s="1"/>
  <c r="AK112" i="4"/>
  <c r="AL112" i="4" s="1"/>
  <c r="U112" i="4"/>
  <c r="V112" i="4" s="1"/>
  <c r="AW112" i="4"/>
  <c r="AX112" i="4" s="1"/>
  <c r="AG112" i="4"/>
  <c r="AH112" i="4" s="1"/>
  <c r="Q112" i="4"/>
  <c r="R112" i="4" s="1"/>
  <c r="AO112" i="4"/>
  <c r="AP112" i="4" s="1"/>
  <c r="Y112" i="4"/>
  <c r="Z112" i="4" s="1"/>
  <c r="J112" i="4"/>
  <c r="AC112" i="4"/>
  <c r="AD112" i="4" s="1"/>
  <c r="M112" i="4"/>
  <c r="N112" i="4" s="1"/>
  <c r="AS112" i="4"/>
  <c r="AT112" i="4" s="1"/>
  <c r="AW119" i="4"/>
  <c r="AX119" i="4" s="1"/>
  <c r="AS119" i="4"/>
  <c r="AT119" i="4" s="1"/>
  <c r="AO119" i="4"/>
  <c r="AP119" i="4" s="1"/>
  <c r="AK119" i="4"/>
  <c r="AL119" i="4" s="1"/>
  <c r="AG119" i="4"/>
  <c r="AH119" i="4" s="1"/>
  <c r="AC119" i="4"/>
  <c r="AD119" i="4" s="1"/>
  <c r="Y119" i="4"/>
  <c r="Z119" i="4" s="1"/>
  <c r="U119" i="4"/>
  <c r="V119" i="4" s="1"/>
  <c r="Q119" i="4"/>
  <c r="R119" i="4" s="1"/>
  <c r="M119" i="4"/>
  <c r="N119" i="4" s="1"/>
  <c r="J119" i="4"/>
  <c r="AY119" i="4"/>
  <c r="AZ119" i="4" s="1"/>
  <c r="AU119" i="4"/>
  <c r="AV119" i="4" s="1"/>
  <c r="AQ119" i="4"/>
  <c r="AR119" i="4" s="1"/>
  <c r="AM119" i="4"/>
  <c r="AN119" i="4" s="1"/>
  <c r="AI119" i="4"/>
  <c r="AJ119" i="4" s="1"/>
  <c r="AE119" i="4"/>
  <c r="AF119" i="4" s="1"/>
  <c r="AA119" i="4"/>
  <c r="AB119" i="4" s="1"/>
  <c r="W119" i="4"/>
  <c r="X119" i="4" s="1"/>
  <c r="S119" i="4"/>
  <c r="T119" i="4" s="1"/>
  <c r="O119" i="4"/>
  <c r="P119" i="4" s="1"/>
  <c r="K119" i="4"/>
  <c r="L119" i="4" s="1"/>
  <c r="AW81" i="4"/>
  <c r="AX81" i="4" s="1"/>
  <c r="AS81" i="4"/>
  <c r="AT81" i="4" s="1"/>
  <c r="AO81" i="4"/>
  <c r="AP81" i="4" s="1"/>
  <c r="AK81" i="4"/>
  <c r="AL81" i="4" s="1"/>
  <c r="AG81" i="4"/>
  <c r="AH81" i="4" s="1"/>
  <c r="AC81" i="4"/>
  <c r="AD81" i="4" s="1"/>
  <c r="Y81" i="4"/>
  <c r="Z81" i="4" s="1"/>
  <c r="U81" i="4"/>
  <c r="V81" i="4" s="1"/>
  <c r="Q81" i="4"/>
  <c r="R81" i="4" s="1"/>
  <c r="M81" i="4"/>
  <c r="N81" i="4" s="1"/>
  <c r="J81" i="4"/>
  <c r="AY81" i="4"/>
  <c r="AZ81" i="4" s="1"/>
  <c r="AU81" i="4"/>
  <c r="AV81" i="4" s="1"/>
  <c r="AQ81" i="4"/>
  <c r="AR81" i="4" s="1"/>
  <c r="AM81" i="4"/>
  <c r="AN81" i="4" s="1"/>
  <c r="AI81" i="4"/>
  <c r="AJ81" i="4" s="1"/>
  <c r="AE81" i="4"/>
  <c r="AF81" i="4" s="1"/>
  <c r="AA81" i="4"/>
  <c r="AB81" i="4" s="1"/>
  <c r="W81" i="4"/>
  <c r="X81" i="4" s="1"/>
  <c r="S81" i="4"/>
  <c r="T81" i="4" s="1"/>
  <c r="O81" i="4"/>
  <c r="P81" i="4" s="1"/>
  <c r="K81" i="4"/>
  <c r="L81" i="4" s="1"/>
  <c r="DO84" i="4"/>
  <c r="DP84" i="4" s="1"/>
  <c r="DK84" i="4"/>
  <c r="DL84" i="4" s="1"/>
  <c r="DG84" i="4"/>
  <c r="DH84" i="4" s="1"/>
  <c r="DC84" i="4"/>
  <c r="DD84" i="4" s="1"/>
  <c r="CY84" i="4"/>
  <c r="CZ84" i="4" s="1"/>
  <c r="CU84" i="4"/>
  <c r="CV84" i="4" s="1"/>
  <c r="CQ84" i="4"/>
  <c r="CR84" i="4" s="1"/>
  <c r="CM84" i="4"/>
  <c r="CN84" i="4" s="1"/>
  <c r="CI84" i="4"/>
  <c r="CJ84" i="4" s="1"/>
  <c r="CE84" i="4"/>
  <c r="CF84" i="4" s="1"/>
  <c r="CB84" i="4"/>
  <c r="GG85" i="4"/>
  <c r="GH85" i="4" s="1"/>
  <c r="GC85" i="4"/>
  <c r="GD85" i="4" s="1"/>
  <c r="FY85" i="4"/>
  <c r="FZ85" i="4" s="1"/>
  <c r="FU85" i="4"/>
  <c r="FV85" i="4" s="1"/>
  <c r="FQ85" i="4"/>
  <c r="FR85" i="4" s="1"/>
  <c r="FM85" i="4"/>
  <c r="FN85" i="4" s="1"/>
  <c r="FI85" i="4"/>
  <c r="FJ85" i="4" s="1"/>
  <c r="FE85" i="4"/>
  <c r="FF85" i="4" s="1"/>
  <c r="FA85" i="4"/>
  <c r="FB85" i="4" s="1"/>
  <c r="EW85" i="4"/>
  <c r="EX85" i="4" s="1"/>
  <c r="ET85" i="4"/>
  <c r="GI85" i="4"/>
  <c r="GJ85" i="4" s="1"/>
  <c r="GE85" i="4"/>
  <c r="GF85" i="4" s="1"/>
  <c r="GA85" i="4"/>
  <c r="GB85" i="4" s="1"/>
  <c r="FW85" i="4"/>
  <c r="FX85" i="4" s="1"/>
  <c r="FS85" i="4"/>
  <c r="FT85" i="4" s="1"/>
  <c r="FO85" i="4"/>
  <c r="FP85" i="4" s="1"/>
  <c r="FK85" i="4"/>
  <c r="FL85" i="4" s="1"/>
  <c r="FG85" i="4"/>
  <c r="FH85" i="4" s="1"/>
  <c r="FC85" i="4"/>
  <c r="FD85" i="4" s="1"/>
  <c r="EY85" i="4"/>
  <c r="EZ85" i="4" s="1"/>
  <c r="EU85" i="4"/>
  <c r="EV85" i="4" s="1"/>
  <c r="GI88" i="4"/>
  <c r="GJ88" i="4" s="1"/>
  <c r="GE88" i="4"/>
  <c r="GF88" i="4" s="1"/>
  <c r="GA88" i="4"/>
  <c r="GB88" i="4" s="1"/>
  <c r="FW88" i="4"/>
  <c r="FX88" i="4" s="1"/>
  <c r="FS88" i="4"/>
  <c r="FT88" i="4" s="1"/>
  <c r="FO88" i="4"/>
  <c r="FP88" i="4" s="1"/>
  <c r="FK88" i="4"/>
  <c r="FL88" i="4" s="1"/>
  <c r="FG88" i="4"/>
  <c r="FH88" i="4" s="1"/>
  <c r="FC88" i="4"/>
  <c r="FD88" i="4" s="1"/>
  <c r="EY88" i="4"/>
  <c r="EZ88" i="4" s="1"/>
  <c r="EU88" i="4"/>
  <c r="EV88" i="4" s="1"/>
  <c r="GI93" i="4"/>
  <c r="GJ93" i="4" s="1"/>
  <c r="GE93" i="4"/>
  <c r="GF93" i="4" s="1"/>
  <c r="GA93" i="4"/>
  <c r="GB93" i="4" s="1"/>
  <c r="FW93" i="4"/>
  <c r="FX93" i="4" s="1"/>
  <c r="FS93" i="4"/>
  <c r="FT93" i="4" s="1"/>
  <c r="FO93" i="4"/>
  <c r="FP93" i="4" s="1"/>
  <c r="FK93" i="4"/>
  <c r="FL93" i="4" s="1"/>
  <c r="FG93" i="4"/>
  <c r="FH93" i="4" s="1"/>
  <c r="FC93" i="4"/>
  <c r="FD93" i="4" s="1"/>
  <c r="EY93" i="4"/>
  <c r="EZ93" i="4" s="1"/>
  <c r="EU93" i="4"/>
  <c r="EV93" i="4" s="1"/>
  <c r="GG93" i="4"/>
  <c r="GH93" i="4" s="1"/>
  <c r="GC93" i="4"/>
  <c r="GD93" i="4" s="1"/>
  <c r="FY93" i="4"/>
  <c r="FZ93" i="4" s="1"/>
  <c r="FU93" i="4"/>
  <c r="FV93" i="4" s="1"/>
  <c r="FQ93" i="4"/>
  <c r="FR93" i="4" s="1"/>
  <c r="FM93" i="4"/>
  <c r="FN93" i="4" s="1"/>
  <c r="FI93" i="4"/>
  <c r="FJ93" i="4" s="1"/>
  <c r="FE93" i="4"/>
  <c r="FF93" i="4" s="1"/>
  <c r="FA93" i="4"/>
  <c r="FB93" i="4" s="1"/>
  <c r="EW93" i="4"/>
  <c r="EX93" i="4" s="1"/>
  <c r="ET93" i="4"/>
  <c r="ER97" i="4"/>
  <c r="ES97" i="4" s="1"/>
  <c r="CA97" i="4"/>
  <c r="AY98" i="4"/>
  <c r="AZ98" i="4" s="1"/>
  <c r="AU98" i="4"/>
  <c r="AV98" i="4" s="1"/>
  <c r="AQ98" i="4"/>
  <c r="AR98" i="4" s="1"/>
  <c r="AM98" i="4"/>
  <c r="AN98" i="4" s="1"/>
  <c r="AI98" i="4"/>
  <c r="AJ98" i="4" s="1"/>
  <c r="AE98" i="4"/>
  <c r="AF98" i="4" s="1"/>
  <c r="AA98" i="4"/>
  <c r="AB98" i="4" s="1"/>
  <c r="W98" i="4"/>
  <c r="X98" i="4" s="1"/>
  <c r="S98" i="4"/>
  <c r="T98" i="4" s="1"/>
  <c r="O98" i="4"/>
  <c r="P98" i="4" s="1"/>
  <c r="K98" i="4"/>
  <c r="L98" i="4" s="1"/>
  <c r="AW98" i="4"/>
  <c r="AX98" i="4" s="1"/>
  <c r="AG98" i="4"/>
  <c r="AH98" i="4" s="1"/>
  <c r="Q98" i="4"/>
  <c r="R98" i="4" s="1"/>
  <c r="AK98" i="4"/>
  <c r="AL98" i="4" s="1"/>
  <c r="U98" i="4"/>
  <c r="V98" i="4" s="1"/>
  <c r="AS98" i="4"/>
  <c r="AT98" i="4" s="1"/>
  <c r="AC98" i="4"/>
  <c r="AD98" i="4" s="1"/>
  <c r="M98" i="4"/>
  <c r="N98" i="4" s="1"/>
  <c r="BZ121" i="4"/>
  <c r="I121" i="4"/>
  <c r="I80" i="4"/>
  <c r="CB81" i="4"/>
  <c r="CE81" i="4"/>
  <c r="CF81" i="4" s="1"/>
  <c r="CI81" i="4"/>
  <c r="CJ81" i="4" s="1"/>
  <c r="CM81" i="4"/>
  <c r="CN81" i="4" s="1"/>
  <c r="CQ81" i="4"/>
  <c r="CR81" i="4" s="1"/>
  <c r="CU81" i="4"/>
  <c r="CV81" i="4" s="1"/>
  <c r="CY81" i="4"/>
  <c r="CZ81" i="4" s="1"/>
  <c r="DC81" i="4"/>
  <c r="DD81" i="4" s="1"/>
  <c r="DG81" i="4"/>
  <c r="DH81" i="4" s="1"/>
  <c r="DK81" i="4"/>
  <c r="DL81" i="4" s="1"/>
  <c r="DO81" i="4"/>
  <c r="DP81" i="4" s="1"/>
  <c r="J83" i="4"/>
  <c r="M83" i="4"/>
  <c r="N83" i="4" s="1"/>
  <c r="Q83" i="4"/>
  <c r="R83" i="4" s="1"/>
  <c r="U83" i="4"/>
  <c r="V83" i="4" s="1"/>
  <c r="Y83" i="4"/>
  <c r="Z83" i="4" s="1"/>
  <c r="AC83" i="4"/>
  <c r="AD83" i="4" s="1"/>
  <c r="AG83" i="4"/>
  <c r="AH83" i="4" s="1"/>
  <c r="AK83" i="4"/>
  <c r="AL83" i="4" s="1"/>
  <c r="AO83" i="4"/>
  <c r="AP83" i="4" s="1"/>
  <c r="AS83" i="4"/>
  <c r="AT83" i="4" s="1"/>
  <c r="AW83" i="4"/>
  <c r="AX83" i="4" s="1"/>
  <c r="I84" i="4"/>
  <c r="CB85" i="4"/>
  <c r="CE85" i="4"/>
  <c r="CF85" i="4" s="1"/>
  <c r="CI85" i="4"/>
  <c r="CJ85" i="4" s="1"/>
  <c r="CM85" i="4"/>
  <c r="CN85" i="4" s="1"/>
  <c r="CQ85" i="4"/>
  <c r="CR85" i="4" s="1"/>
  <c r="CU85" i="4"/>
  <c r="CV85" i="4" s="1"/>
  <c r="CY85" i="4"/>
  <c r="CZ85" i="4" s="1"/>
  <c r="DC85" i="4"/>
  <c r="DD85" i="4" s="1"/>
  <c r="DG85" i="4"/>
  <c r="DH85" i="4" s="1"/>
  <c r="DK85" i="4"/>
  <c r="DL85" i="4" s="1"/>
  <c r="DO85" i="4"/>
  <c r="DP85" i="4" s="1"/>
  <c r="J87" i="4"/>
  <c r="M87" i="4"/>
  <c r="N87" i="4" s="1"/>
  <c r="Q87" i="4"/>
  <c r="R87" i="4" s="1"/>
  <c r="U87" i="4"/>
  <c r="V87" i="4" s="1"/>
  <c r="Y87" i="4"/>
  <c r="Z87" i="4" s="1"/>
  <c r="AC87" i="4"/>
  <c r="AD87" i="4" s="1"/>
  <c r="AG87" i="4"/>
  <c r="AH87" i="4" s="1"/>
  <c r="AK87" i="4"/>
  <c r="AL87" i="4" s="1"/>
  <c r="AO87" i="4"/>
  <c r="AP87" i="4" s="1"/>
  <c r="AS87" i="4"/>
  <c r="AT87" i="4" s="1"/>
  <c r="AW87" i="4"/>
  <c r="AX87" i="4" s="1"/>
  <c r="I88" i="4"/>
  <c r="J93" i="4"/>
  <c r="M93" i="4"/>
  <c r="N93" i="4" s="1"/>
  <c r="Q93" i="4"/>
  <c r="R93" i="4" s="1"/>
  <c r="U93" i="4"/>
  <c r="V93" i="4" s="1"/>
  <c r="Y93" i="4"/>
  <c r="Z93" i="4" s="1"/>
  <c r="AC93" i="4"/>
  <c r="AD93" i="4" s="1"/>
  <c r="AG93" i="4"/>
  <c r="AH93" i="4" s="1"/>
  <c r="AK93" i="4"/>
  <c r="AL93" i="4" s="1"/>
  <c r="AO93" i="4"/>
  <c r="AP93" i="4" s="1"/>
  <c r="AS93" i="4"/>
  <c r="AT93" i="4" s="1"/>
  <c r="AW93" i="4"/>
  <c r="AX93" i="4" s="1"/>
  <c r="I94" i="4"/>
  <c r="CB95" i="4"/>
  <c r="CE95" i="4"/>
  <c r="CF95" i="4" s="1"/>
  <c r="CI95" i="4"/>
  <c r="CJ95" i="4" s="1"/>
  <c r="CM95" i="4"/>
  <c r="CN95" i="4" s="1"/>
  <c r="CQ95" i="4"/>
  <c r="CR95" i="4" s="1"/>
  <c r="CU95" i="4"/>
  <c r="CV95" i="4" s="1"/>
  <c r="CY95" i="4"/>
  <c r="CZ95" i="4" s="1"/>
  <c r="DC95" i="4"/>
  <c r="DD95" i="4" s="1"/>
  <c r="DG95" i="4"/>
  <c r="DH95" i="4" s="1"/>
  <c r="DK95" i="4"/>
  <c r="DL95" i="4" s="1"/>
  <c r="DO95" i="4"/>
  <c r="DP95" i="4" s="1"/>
  <c r="GI101" i="4"/>
  <c r="GJ101" i="4" s="1"/>
  <c r="GE101" i="4"/>
  <c r="GF101" i="4" s="1"/>
  <c r="GA101" i="4"/>
  <c r="GB101" i="4" s="1"/>
  <c r="FW101" i="4"/>
  <c r="FX101" i="4" s="1"/>
  <c r="FS101" i="4"/>
  <c r="FT101" i="4" s="1"/>
  <c r="FO101" i="4"/>
  <c r="FP101" i="4" s="1"/>
  <c r="FK101" i="4"/>
  <c r="FL101" i="4" s="1"/>
  <c r="FG101" i="4"/>
  <c r="FH101" i="4" s="1"/>
  <c r="FC101" i="4"/>
  <c r="FD101" i="4" s="1"/>
  <c r="EY101" i="4"/>
  <c r="EZ101" i="4" s="1"/>
  <c r="EU101" i="4"/>
  <c r="EV101" i="4" s="1"/>
  <c r="I103" i="4"/>
  <c r="BZ103" i="4"/>
  <c r="GI104" i="4"/>
  <c r="GJ104" i="4" s="1"/>
  <c r="GE104" i="4"/>
  <c r="GF104" i="4" s="1"/>
  <c r="GA104" i="4"/>
  <c r="GB104" i="4" s="1"/>
  <c r="FW104" i="4"/>
  <c r="FX104" i="4" s="1"/>
  <c r="FS104" i="4"/>
  <c r="FT104" i="4" s="1"/>
  <c r="FO104" i="4"/>
  <c r="FP104" i="4" s="1"/>
  <c r="FK104" i="4"/>
  <c r="FL104" i="4" s="1"/>
  <c r="FG104" i="4"/>
  <c r="FH104" i="4" s="1"/>
  <c r="FC104" i="4"/>
  <c r="FD104" i="4" s="1"/>
  <c r="EY104" i="4"/>
  <c r="EZ104" i="4" s="1"/>
  <c r="EU104" i="4"/>
  <c r="EV104" i="4" s="1"/>
  <c r="GG104" i="4"/>
  <c r="GH104" i="4" s="1"/>
  <c r="GC104" i="4"/>
  <c r="GD104" i="4" s="1"/>
  <c r="FY104" i="4"/>
  <c r="FZ104" i="4" s="1"/>
  <c r="FU104" i="4"/>
  <c r="FV104" i="4" s="1"/>
  <c r="FQ104" i="4"/>
  <c r="FR104" i="4" s="1"/>
  <c r="FM104" i="4"/>
  <c r="FN104" i="4" s="1"/>
  <c r="FI104" i="4"/>
  <c r="FJ104" i="4" s="1"/>
  <c r="FE104" i="4"/>
  <c r="FF104" i="4" s="1"/>
  <c r="FA104" i="4"/>
  <c r="FB104" i="4" s="1"/>
  <c r="EW104" i="4"/>
  <c r="EX104" i="4" s="1"/>
  <c r="ET104" i="4"/>
  <c r="J105" i="4"/>
  <c r="Y105" i="4"/>
  <c r="Z105" i="4" s="1"/>
  <c r="AO105" i="4"/>
  <c r="AP105" i="4" s="1"/>
  <c r="AW106" i="4"/>
  <c r="AX106" i="4" s="1"/>
  <c r="AS106" i="4"/>
  <c r="AT106" i="4" s="1"/>
  <c r="AO106" i="4"/>
  <c r="AP106" i="4" s="1"/>
  <c r="AK106" i="4"/>
  <c r="AL106" i="4" s="1"/>
  <c r="AG106" i="4"/>
  <c r="AH106" i="4" s="1"/>
  <c r="AC106" i="4"/>
  <c r="AD106" i="4" s="1"/>
  <c r="Y106" i="4"/>
  <c r="Z106" i="4" s="1"/>
  <c r="U106" i="4"/>
  <c r="V106" i="4" s="1"/>
  <c r="Q106" i="4"/>
  <c r="R106" i="4" s="1"/>
  <c r="M106" i="4"/>
  <c r="N106" i="4" s="1"/>
  <c r="J106" i="4"/>
  <c r="AY106" i="4"/>
  <c r="AZ106" i="4" s="1"/>
  <c r="AU106" i="4"/>
  <c r="AV106" i="4" s="1"/>
  <c r="AQ106" i="4"/>
  <c r="AR106" i="4" s="1"/>
  <c r="AM106" i="4"/>
  <c r="AN106" i="4" s="1"/>
  <c r="AI106" i="4"/>
  <c r="AJ106" i="4" s="1"/>
  <c r="AE106" i="4"/>
  <c r="AF106" i="4" s="1"/>
  <c r="AA106" i="4"/>
  <c r="AB106" i="4" s="1"/>
  <c r="W106" i="4"/>
  <c r="X106" i="4" s="1"/>
  <c r="S106" i="4"/>
  <c r="T106" i="4" s="1"/>
  <c r="O106" i="4"/>
  <c r="P106" i="4" s="1"/>
  <c r="K106" i="4"/>
  <c r="L106" i="4" s="1"/>
  <c r="GG124" i="4"/>
  <c r="GH124" i="4" s="1"/>
  <c r="GC124" i="4"/>
  <c r="GD124" i="4" s="1"/>
  <c r="FY124" i="4"/>
  <c r="FZ124" i="4" s="1"/>
  <c r="FU124" i="4"/>
  <c r="FV124" i="4" s="1"/>
  <c r="FQ124" i="4"/>
  <c r="FR124" i="4" s="1"/>
  <c r="FM124" i="4"/>
  <c r="FN124" i="4" s="1"/>
  <c r="FI124" i="4"/>
  <c r="FJ124" i="4" s="1"/>
  <c r="FE124" i="4"/>
  <c r="FF124" i="4" s="1"/>
  <c r="FA124" i="4"/>
  <c r="FB124" i="4" s="1"/>
  <c r="EW124" i="4"/>
  <c r="EX124" i="4" s="1"/>
  <c r="ET124" i="4"/>
  <c r="GI124" i="4"/>
  <c r="GJ124" i="4" s="1"/>
  <c r="GE124" i="4"/>
  <c r="GF124" i="4" s="1"/>
  <c r="GA124" i="4"/>
  <c r="GB124" i="4" s="1"/>
  <c r="FW124" i="4"/>
  <c r="FX124" i="4" s="1"/>
  <c r="FS124" i="4"/>
  <c r="FT124" i="4" s="1"/>
  <c r="FO124" i="4"/>
  <c r="FP124" i="4" s="1"/>
  <c r="FK124" i="4"/>
  <c r="FL124" i="4" s="1"/>
  <c r="FG124" i="4"/>
  <c r="FH124" i="4" s="1"/>
  <c r="FC124" i="4"/>
  <c r="FD124" i="4" s="1"/>
  <c r="EY124" i="4"/>
  <c r="EZ124" i="4" s="1"/>
  <c r="EU124" i="4"/>
  <c r="EV124" i="4" s="1"/>
  <c r="I126" i="4"/>
  <c r="BZ126" i="4"/>
  <c r="CC81" i="4"/>
  <c r="CD81" i="4" s="1"/>
  <c r="CG81" i="4"/>
  <c r="CH81" i="4" s="1"/>
  <c r="CK81" i="4"/>
  <c r="CL81" i="4" s="1"/>
  <c r="CO81" i="4"/>
  <c r="CP81" i="4" s="1"/>
  <c r="CS81" i="4"/>
  <c r="CT81" i="4" s="1"/>
  <c r="CW81" i="4"/>
  <c r="CX81" i="4" s="1"/>
  <c r="DA81" i="4"/>
  <c r="DB81" i="4" s="1"/>
  <c r="DE81" i="4"/>
  <c r="DF81" i="4" s="1"/>
  <c r="DI81" i="4"/>
  <c r="DJ81" i="4" s="1"/>
  <c r="DM81" i="4"/>
  <c r="DN81" i="4" s="1"/>
  <c r="K83" i="4"/>
  <c r="L83" i="4" s="1"/>
  <c r="O83" i="4"/>
  <c r="P83" i="4" s="1"/>
  <c r="S83" i="4"/>
  <c r="T83" i="4" s="1"/>
  <c r="W83" i="4"/>
  <c r="X83" i="4" s="1"/>
  <c r="AA83" i="4"/>
  <c r="AB83" i="4" s="1"/>
  <c r="AE83" i="4"/>
  <c r="AF83" i="4" s="1"/>
  <c r="AI83" i="4"/>
  <c r="AJ83" i="4" s="1"/>
  <c r="AM83" i="4"/>
  <c r="AN83" i="4" s="1"/>
  <c r="AQ83" i="4"/>
  <c r="AR83" i="4" s="1"/>
  <c r="AU83" i="4"/>
  <c r="AV83" i="4" s="1"/>
  <c r="CC85" i="4"/>
  <c r="CD85" i="4" s="1"/>
  <c r="CG85" i="4"/>
  <c r="CH85" i="4" s="1"/>
  <c r="CK85" i="4"/>
  <c r="CL85" i="4" s="1"/>
  <c r="CO85" i="4"/>
  <c r="CP85" i="4" s="1"/>
  <c r="CS85" i="4"/>
  <c r="CT85" i="4" s="1"/>
  <c r="CW85" i="4"/>
  <c r="CX85" i="4" s="1"/>
  <c r="DA85" i="4"/>
  <c r="DB85" i="4" s="1"/>
  <c r="DE85" i="4"/>
  <c r="DF85" i="4" s="1"/>
  <c r="DI85" i="4"/>
  <c r="DJ85" i="4" s="1"/>
  <c r="DM85" i="4"/>
  <c r="DN85" i="4" s="1"/>
  <c r="K87" i="4"/>
  <c r="L87" i="4" s="1"/>
  <c r="O87" i="4"/>
  <c r="P87" i="4" s="1"/>
  <c r="S87" i="4"/>
  <c r="T87" i="4" s="1"/>
  <c r="W87" i="4"/>
  <c r="X87" i="4" s="1"/>
  <c r="AA87" i="4"/>
  <c r="AB87" i="4" s="1"/>
  <c r="AE87" i="4"/>
  <c r="AF87" i="4" s="1"/>
  <c r="AI87" i="4"/>
  <c r="AJ87" i="4" s="1"/>
  <c r="AM87" i="4"/>
  <c r="AN87" i="4" s="1"/>
  <c r="AQ87" i="4"/>
  <c r="AR87" i="4" s="1"/>
  <c r="AU87" i="4"/>
  <c r="AV87" i="4" s="1"/>
  <c r="K93" i="4"/>
  <c r="L93" i="4" s="1"/>
  <c r="O93" i="4"/>
  <c r="P93" i="4" s="1"/>
  <c r="S93" i="4"/>
  <c r="T93" i="4" s="1"/>
  <c r="W93" i="4"/>
  <c r="X93" i="4" s="1"/>
  <c r="AA93" i="4"/>
  <c r="AB93" i="4" s="1"/>
  <c r="AE93" i="4"/>
  <c r="AF93" i="4" s="1"/>
  <c r="AI93" i="4"/>
  <c r="AJ93" i="4" s="1"/>
  <c r="AM93" i="4"/>
  <c r="AN93" i="4" s="1"/>
  <c r="AQ93" i="4"/>
  <c r="AR93" i="4" s="1"/>
  <c r="AU93" i="4"/>
  <c r="AV93" i="4" s="1"/>
  <c r="CC95" i="4"/>
  <c r="CD95" i="4" s="1"/>
  <c r="CG95" i="4"/>
  <c r="CH95" i="4" s="1"/>
  <c r="CK95" i="4"/>
  <c r="CL95" i="4" s="1"/>
  <c r="CO95" i="4"/>
  <c r="CP95" i="4" s="1"/>
  <c r="CS95" i="4"/>
  <c r="CT95" i="4" s="1"/>
  <c r="CW95" i="4"/>
  <c r="CX95" i="4" s="1"/>
  <c r="DA95" i="4"/>
  <c r="DB95" i="4" s="1"/>
  <c r="DE95" i="4"/>
  <c r="DF95" i="4" s="1"/>
  <c r="DI95" i="4"/>
  <c r="DJ95" i="4" s="1"/>
  <c r="DM95" i="4"/>
  <c r="DN95" i="4" s="1"/>
  <c r="EW101" i="4"/>
  <c r="EX101" i="4" s="1"/>
  <c r="FM101" i="4"/>
  <c r="FN101" i="4" s="1"/>
  <c r="GC101" i="4"/>
  <c r="GD101" i="4" s="1"/>
  <c r="AY101" i="4"/>
  <c r="AZ101" i="4" s="1"/>
  <c r="AU101" i="4"/>
  <c r="AV101" i="4" s="1"/>
  <c r="AQ101" i="4"/>
  <c r="AR101" i="4" s="1"/>
  <c r="AM101" i="4"/>
  <c r="AN101" i="4" s="1"/>
  <c r="AI101" i="4"/>
  <c r="AJ101" i="4" s="1"/>
  <c r="AE101" i="4"/>
  <c r="AF101" i="4" s="1"/>
  <c r="AA101" i="4"/>
  <c r="AB101" i="4" s="1"/>
  <c r="W101" i="4"/>
  <c r="X101" i="4" s="1"/>
  <c r="S101" i="4"/>
  <c r="T101" i="4" s="1"/>
  <c r="O101" i="4"/>
  <c r="P101" i="4" s="1"/>
  <c r="K101" i="4"/>
  <c r="L101" i="4" s="1"/>
  <c r="CA104" i="4"/>
  <c r="Q105" i="4"/>
  <c r="R105" i="4" s="1"/>
  <c r="AG105" i="4"/>
  <c r="AH105" i="4" s="1"/>
  <c r="DO108" i="4"/>
  <c r="DP108" i="4" s="1"/>
  <c r="DE108" i="4"/>
  <c r="DF108" i="4" s="1"/>
  <c r="CY108" i="4"/>
  <c r="CZ108" i="4" s="1"/>
  <c r="CO108" i="4"/>
  <c r="CP108" i="4" s="1"/>
  <c r="CI108" i="4"/>
  <c r="CJ108" i="4" s="1"/>
  <c r="DI108" i="4"/>
  <c r="DJ108" i="4" s="1"/>
  <c r="DC108" i="4"/>
  <c r="DD108" i="4" s="1"/>
  <c r="CS108" i="4"/>
  <c r="CT108" i="4" s="1"/>
  <c r="CM108" i="4"/>
  <c r="CN108" i="4" s="1"/>
  <c r="CC108" i="4"/>
  <c r="CD108" i="4" s="1"/>
  <c r="DQ108" i="4"/>
  <c r="DR108" i="4" s="1"/>
  <c r="DK108" i="4"/>
  <c r="DL108" i="4" s="1"/>
  <c r="DA108" i="4"/>
  <c r="DB108" i="4" s="1"/>
  <c r="CU108" i="4"/>
  <c r="CV108" i="4" s="1"/>
  <c r="CK108" i="4"/>
  <c r="CL108" i="4" s="1"/>
  <c r="CE108" i="4"/>
  <c r="CF108" i="4" s="1"/>
  <c r="DO109" i="4"/>
  <c r="DP109" i="4" s="1"/>
  <c r="DK109" i="4"/>
  <c r="DL109" i="4" s="1"/>
  <c r="DG109" i="4"/>
  <c r="DH109" i="4" s="1"/>
  <c r="DC109" i="4"/>
  <c r="DD109" i="4" s="1"/>
  <c r="CY109" i="4"/>
  <c r="CZ109" i="4" s="1"/>
  <c r="CU109" i="4"/>
  <c r="CV109" i="4" s="1"/>
  <c r="CQ109" i="4"/>
  <c r="CR109" i="4" s="1"/>
  <c r="CM109" i="4"/>
  <c r="CN109" i="4" s="1"/>
  <c r="CI109" i="4"/>
  <c r="CJ109" i="4" s="1"/>
  <c r="CE109" i="4"/>
  <c r="CF109" i="4" s="1"/>
  <c r="CB109" i="4"/>
  <c r="DE109" i="4"/>
  <c r="DF109" i="4" s="1"/>
  <c r="CO109" i="4"/>
  <c r="CP109" i="4" s="1"/>
  <c r="DI109" i="4"/>
  <c r="DJ109" i="4" s="1"/>
  <c r="CS109" i="4"/>
  <c r="CT109" i="4" s="1"/>
  <c r="CC109" i="4"/>
  <c r="CD109" i="4" s="1"/>
  <c r="DQ109" i="4"/>
  <c r="DR109" i="4" s="1"/>
  <c r="DA109" i="4"/>
  <c r="DB109" i="4" s="1"/>
  <c r="CK109" i="4"/>
  <c r="CL109" i="4" s="1"/>
  <c r="I99" i="4"/>
  <c r="BZ99" i="4"/>
  <c r="GI100" i="4"/>
  <c r="GJ100" i="4" s="1"/>
  <c r="GE100" i="4"/>
  <c r="GF100" i="4" s="1"/>
  <c r="GA100" i="4"/>
  <c r="GB100" i="4" s="1"/>
  <c r="FW100" i="4"/>
  <c r="FX100" i="4" s="1"/>
  <c r="FS100" i="4"/>
  <c r="FT100" i="4" s="1"/>
  <c r="FO100" i="4"/>
  <c r="FP100" i="4" s="1"/>
  <c r="FK100" i="4"/>
  <c r="FL100" i="4" s="1"/>
  <c r="FG100" i="4"/>
  <c r="FH100" i="4" s="1"/>
  <c r="FC100" i="4"/>
  <c r="FD100" i="4" s="1"/>
  <c r="EY100" i="4"/>
  <c r="EZ100" i="4" s="1"/>
  <c r="EU100" i="4"/>
  <c r="EV100" i="4" s="1"/>
  <c r="GG100" i="4"/>
  <c r="GH100" i="4" s="1"/>
  <c r="GC100" i="4"/>
  <c r="GD100" i="4" s="1"/>
  <c r="FY100" i="4"/>
  <c r="FZ100" i="4" s="1"/>
  <c r="FU100" i="4"/>
  <c r="FV100" i="4" s="1"/>
  <c r="FQ100" i="4"/>
  <c r="FR100" i="4" s="1"/>
  <c r="FM100" i="4"/>
  <c r="FN100" i="4" s="1"/>
  <c r="FI100" i="4"/>
  <c r="FJ100" i="4" s="1"/>
  <c r="FE100" i="4"/>
  <c r="FF100" i="4" s="1"/>
  <c r="FA100" i="4"/>
  <c r="FB100" i="4" s="1"/>
  <c r="EW100" i="4"/>
  <c r="EX100" i="4" s="1"/>
  <c r="ET100" i="4"/>
  <c r="AW102" i="4"/>
  <c r="AX102" i="4" s="1"/>
  <c r="AS102" i="4"/>
  <c r="AT102" i="4" s="1"/>
  <c r="AO102" i="4"/>
  <c r="AP102" i="4" s="1"/>
  <c r="AK102" i="4"/>
  <c r="AL102" i="4" s="1"/>
  <c r="AG102" i="4"/>
  <c r="AH102" i="4" s="1"/>
  <c r="AC102" i="4"/>
  <c r="AD102" i="4" s="1"/>
  <c r="Y102" i="4"/>
  <c r="Z102" i="4" s="1"/>
  <c r="U102" i="4"/>
  <c r="V102" i="4" s="1"/>
  <c r="Q102" i="4"/>
  <c r="R102" i="4" s="1"/>
  <c r="M102" i="4"/>
  <c r="N102" i="4" s="1"/>
  <c r="J102" i="4"/>
  <c r="AY102" i="4"/>
  <c r="AZ102" i="4" s="1"/>
  <c r="AU102" i="4"/>
  <c r="AV102" i="4" s="1"/>
  <c r="AQ102" i="4"/>
  <c r="AR102" i="4" s="1"/>
  <c r="AM102" i="4"/>
  <c r="AN102" i="4" s="1"/>
  <c r="AI102" i="4"/>
  <c r="AJ102" i="4" s="1"/>
  <c r="AE102" i="4"/>
  <c r="AF102" i="4" s="1"/>
  <c r="AA102" i="4"/>
  <c r="AB102" i="4" s="1"/>
  <c r="W102" i="4"/>
  <c r="X102" i="4" s="1"/>
  <c r="S102" i="4"/>
  <c r="T102" i="4" s="1"/>
  <c r="O102" i="4"/>
  <c r="P102" i="4" s="1"/>
  <c r="K102" i="4"/>
  <c r="L102" i="4" s="1"/>
  <c r="AY105" i="4"/>
  <c r="AZ105" i="4" s="1"/>
  <c r="AU105" i="4"/>
  <c r="AV105" i="4" s="1"/>
  <c r="AQ105" i="4"/>
  <c r="AR105" i="4" s="1"/>
  <c r="AM105" i="4"/>
  <c r="AN105" i="4" s="1"/>
  <c r="AI105" i="4"/>
  <c r="AJ105" i="4" s="1"/>
  <c r="AE105" i="4"/>
  <c r="AF105" i="4" s="1"/>
  <c r="AA105" i="4"/>
  <c r="AB105" i="4" s="1"/>
  <c r="W105" i="4"/>
  <c r="X105" i="4" s="1"/>
  <c r="S105" i="4"/>
  <c r="T105" i="4" s="1"/>
  <c r="O105" i="4"/>
  <c r="P105" i="4" s="1"/>
  <c r="K105" i="4"/>
  <c r="L105" i="4" s="1"/>
  <c r="ER107" i="4"/>
  <c r="ES107" i="4" s="1"/>
  <c r="CA107" i="4"/>
  <c r="BZ110" i="4"/>
  <c r="I110" i="4"/>
  <c r="J100" i="4"/>
  <c r="M100" i="4"/>
  <c r="N100" i="4" s="1"/>
  <c r="Q100" i="4"/>
  <c r="R100" i="4" s="1"/>
  <c r="U100" i="4"/>
  <c r="V100" i="4" s="1"/>
  <c r="Y100" i="4"/>
  <c r="Z100" i="4" s="1"/>
  <c r="AC100" i="4"/>
  <c r="AD100" i="4" s="1"/>
  <c r="AG100" i="4"/>
  <c r="AH100" i="4" s="1"/>
  <c r="AK100" i="4"/>
  <c r="AL100" i="4" s="1"/>
  <c r="AO100" i="4"/>
  <c r="AP100" i="4" s="1"/>
  <c r="AS100" i="4"/>
  <c r="AT100" i="4" s="1"/>
  <c r="CB102" i="4"/>
  <c r="CE102" i="4"/>
  <c r="CF102" i="4" s="1"/>
  <c r="CI102" i="4"/>
  <c r="CJ102" i="4" s="1"/>
  <c r="CM102" i="4"/>
  <c r="CN102" i="4" s="1"/>
  <c r="CQ102" i="4"/>
  <c r="CR102" i="4" s="1"/>
  <c r="CU102" i="4"/>
  <c r="CV102" i="4" s="1"/>
  <c r="CY102" i="4"/>
  <c r="CZ102" i="4" s="1"/>
  <c r="DC102" i="4"/>
  <c r="DD102" i="4" s="1"/>
  <c r="DG102" i="4"/>
  <c r="DH102" i="4" s="1"/>
  <c r="DK102" i="4"/>
  <c r="DL102" i="4" s="1"/>
  <c r="J104" i="4"/>
  <c r="M104" i="4"/>
  <c r="N104" i="4" s="1"/>
  <c r="Q104" i="4"/>
  <c r="R104" i="4" s="1"/>
  <c r="U104" i="4"/>
  <c r="V104" i="4" s="1"/>
  <c r="Y104" i="4"/>
  <c r="Z104" i="4" s="1"/>
  <c r="AC104" i="4"/>
  <c r="AD104" i="4" s="1"/>
  <c r="AG104" i="4"/>
  <c r="AH104" i="4" s="1"/>
  <c r="AK104" i="4"/>
  <c r="AL104" i="4" s="1"/>
  <c r="AO104" i="4"/>
  <c r="AP104" i="4" s="1"/>
  <c r="AS104" i="4"/>
  <c r="AT104" i="4" s="1"/>
  <c r="CB106" i="4"/>
  <c r="CE106" i="4"/>
  <c r="CF106" i="4" s="1"/>
  <c r="CI106" i="4"/>
  <c r="CJ106" i="4" s="1"/>
  <c r="CM106" i="4"/>
  <c r="CN106" i="4" s="1"/>
  <c r="CQ106" i="4"/>
  <c r="CR106" i="4" s="1"/>
  <c r="CU106" i="4"/>
  <c r="CV106" i="4" s="1"/>
  <c r="CY106" i="4"/>
  <c r="CZ106" i="4" s="1"/>
  <c r="DC106" i="4"/>
  <c r="DD106" i="4" s="1"/>
  <c r="DG106" i="4"/>
  <c r="DH106" i="4" s="1"/>
  <c r="DK106" i="4"/>
  <c r="DL106" i="4" s="1"/>
  <c r="DO106" i="4"/>
  <c r="DP106" i="4" s="1"/>
  <c r="K108" i="4"/>
  <c r="L108" i="4" s="1"/>
  <c r="Q108" i="4"/>
  <c r="R108" i="4" s="1"/>
  <c r="AA108" i="4"/>
  <c r="AB108" i="4" s="1"/>
  <c r="AG108" i="4"/>
  <c r="AH108" i="4" s="1"/>
  <c r="AQ108" i="4"/>
  <c r="AR108" i="4" s="1"/>
  <c r="Q109" i="4"/>
  <c r="R109" i="4" s="1"/>
  <c r="AG109" i="4"/>
  <c r="AH109" i="4" s="1"/>
  <c r="GI111" i="4"/>
  <c r="GJ111" i="4" s="1"/>
  <c r="GE111" i="4"/>
  <c r="GF111" i="4" s="1"/>
  <c r="GA111" i="4"/>
  <c r="GB111" i="4" s="1"/>
  <c r="FW111" i="4"/>
  <c r="FX111" i="4" s="1"/>
  <c r="FS111" i="4"/>
  <c r="FT111" i="4" s="1"/>
  <c r="FO111" i="4"/>
  <c r="FP111" i="4" s="1"/>
  <c r="FK111" i="4"/>
  <c r="FL111" i="4" s="1"/>
  <c r="FG111" i="4"/>
  <c r="FH111" i="4" s="1"/>
  <c r="FC111" i="4"/>
  <c r="FD111" i="4" s="1"/>
  <c r="EY111" i="4"/>
  <c r="EZ111" i="4" s="1"/>
  <c r="EU111" i="4"/>
  <c r="EV111" i="4" s="1"/>
  <c r="GG111" i="4"/>
  <c r="GH111" i="4" s="1"/>
  <c r="GC111" i="4"/>
  <c r="GD111" i="4" s="1"/>
  <c r="FY111" i="4"/>
  <c r="FZ111" i="4" s="1"/>
  <c r="FU111" i="4"/>
  <c r="FV111" i="4" s="1"/>
  <c r="FQ111" i="4"/>
  <c r="FR111" i="4" s="1"/>
  <c r="FM111" i="4"/>
  <c r="FN111" i="4" s="1"/>
  <c r="FI111" i="4"/>
  <c r="FJ111" i="4" s="1"/>
  <c r="FE111" i="4"/>
  <c r="FF111" i="4" s="1"/>
  <c r="FA111" i="4"/>
  <c r="FB111" i="4" s="1"/>
  <c r="EW111" i="4"/>
  <c r="EX111" i="4" s="1"/>
  <c r="ET111" i="4"/>
  <c r="ET112" i="4"/>
  <c r="FI112" i="4"/>
  <c r="FJ112" i="4" s="1"/>
  <c r="FY112" i="4"/>
  <c r="FZ112" i="4" s="1"/>
  <c r="GG113" i="4"/>
  <c r="GH113" i="4" s="1"/>
  <c r="GC113" i="4"/>
  <c r="GD113" i="4" s="1"/>
  <c r="FY113" i="4"/>
  <c r="FZ113" i="4" s="1"/>
  <c r="FU113" i="4"/>
  <c r="FV113" i="4" s="1"/>
  <c r="FQ113" i="4"/>
  <c r="FR113" i="4" s="1"/>
  <c r="FM113" i="4"/>
  <c r="FN113" i="4" s="1"/>
  <c r="FI113" i="4"/>
  <c r="FJ113" i="4" s="1"/>
  <c r="FE113" i="4"/>
  <c r="FF113" i="4" s="1"/>
  <c r="FA113" i="4"/>
  <c r="FB113" i="4" s="1"/>
  <c r="EW113" i="4"/>
  <c r="EX113" i="4" s="1"/>
  <c r="ET113" i="4"/>
  <c r="GI113" i="4"/>
  <c r="GJ113" i="4" s="1"/>
  <c r="GE113" i="4"/>
  <c r="GF113" i="4" s="1"/>
  <c r="GA113" i="4"/>
  <c r="GB113" i="4" s="1"/>
  <c r="FW113" i="4"/>
  <c r="FX113" i="4" s="1"/>
  <c r="FS113" i="4"/>
  <c r="FT113" i="4" s="1"/>
  <c r="FO113" i="4"/>
  <c r="FP113" i="4" s="1"/>
  <c r="FK113" i="4"/>
  <c r="FL113" i="4" s="1"/>
  <c r="FG113" i="4"/>
  <c r="FH113" i="4" s="1"/>
  <c r="FC113" i="4"/>
  <c r="FD113" i="4" s="1"/>
  <c r="EY113" i="4"/>
  <c r="EZ113" i="4" s="1"/>
  <c r="EU113" i="4"/>
  <c r="EV113" i="4" s="1"/>
  <c r="CA117" i="4"/>
  <c r="ET118" i="4"/>
  <c r="FI118" i="4"/>
  <c r="FJ118" i="4" s="1"/>
  <c r="FY118" i="4"/>
  <c r="FZ118" i="4" s="1"/>
  <c r="DO118" i="4"/>
  <c r="DP118" i="4" s="1"/>
  <c r="DK118" i="4"/>
  <c r="DL118" i="4" s="1"/>
  <c r="DG118" i="4"/>
  <c r="DH118" i="4" s="1"/>
  <c r="DC118" i="4"/>
  <c r="DD118" i="4" s="1"/>
  <c r="CY118" i="4"/>
  <c r="CZ118" i="4" s="1"/>
  <c r="CU118" i="4"/>
  <c r="CV118" i="4" s="1"/>
  <c r="CQ118" i="4"/>
  <c r="CR118" i="4" s="1"/>
  <c r="CM118" i="4"/>
  <c r="CN118" i="4" s="1"/>
  <c r="CI118" i="4"/>
  <c r="CJ118" i="4" s="1"/>
  <c r="CE118" i="4"/>
  <c r="CF118" i="4" s="1"/>
  <c r="CB118" i="4"/>
  <c r="ER120" i="4"/>
  <c r="ES120" i="4" s="1"/>
  <c r="CA120" i="4"/>
  <c r="AY109" i="4"/>
  <c r="AZ109" i="4" s="1"/>
  <c r="AU109" i="4"/>
  <c r="AV109" i="4" s="1"/>
  <c r="AQ109" i="4"/>
  <c r="AR109" i="4" s="1"/>
  <c r="AM109" i="4"/>
  <c r="AN109" i="4" s="1"/>
  <c r="AI109" i="4"/>
  <c r="AJ109" i="4" s="1"/>
  <c r="AE109" i="4"/>
  <c r="AF109" i="4" s="1"/>
  <c r="AA109" i="4"/>
  <c r="AB109" i="4" s="1"/>
  <c r="W109" i="4"/>
  <c r="X109" i="4" s="1"/>
  <c r="S109" i="4"/>
  <c r="T109" i="4" s="1"/>
  <c r="O109" i="4"/>
  <c r="P109" i="4" s="1"/>
  <c r="K109" i="4"/>
  <c r="L109" i="4" s="1"/>
  <c r="DO111" i="4"/>
  <c r="DP111" i="4" s="1"/>
  <c r="DK111" i="4"/>
  <c r="DL111" i="4" s="1"/>
  <c r="DG111" i="4"/>
  <c r="DH111" i="4" s="1"/>
  <c r="DC111" i="4"/>
  <c r="DD111" i="4" s="1"/>
  <c r="CY111" i="4"/>
  <c r="CZ111" i="4" s="1"/>
  <c r="CU111" i="4"/>
  <c r="CV111" i="4" s="1"/>
  <c r="CQ111" i="4"/>
  <c r="CR111" i="4" s="1"/>
  <c r="CM111" i="4"/>
  <c r="CN111" i="4" s="1"/>
  <c r="CI111" i="4"/>
  <c r="CJ111" i="4" s="1"/>
  <c r="CE111" i="4"/>
  <c r="CF111" i="4" s="1"/>
  <c r="CB111" i="4"/>
  <c r="DQ111" i="4"/>
  <c r="DR111" i="4" s="1"/>
  <c r="DM111" i="4"/>
  <c r="DN111" i="4" s="1"/>
  <c r="DI111" i="4"/>
  <c r="DJ111" i="4" s="1"/>
  <c r="DE111" i="4"/>
  <c r="DF111" i="4" s="1"/>
  <c r="DA111" i="4"/>
  <c r="DB111" i="4" s="1"/>
  <c r="CW111" i="4"/>
  <c r="CX111" i="4" s="1"/>
  <c r="CS111" i="4"/>
  <c r="CT111" i="4" s="1"/>
  <c r="CO111" i="4"/>
  <c r="CP111" i="4" s="1"/>
  <c r="CK111" i="4"/>
  <c r="CL111" i="4" s="1"/>
  <c r="CG111" i="4"/>
  <c r="CH111" i="4" s="1"/>
  <c r="CC111" i="4"/>
  <c r="CD111" i="4" s="1"/>
  <c r="FA112" i="4"/>
  <c r="FB112" i="4" s="1"/>
  <c r="FQ112" i="4"/>
  <c r="FR112" i="4" s="1"/>
  <c r="AW113" i="4"/>
  <c r="AX113" i="4" s="1"/>
  <c r="AU113" i="4"/>
  <c r="AV113" i="4" s="1"/>
  <c r="AE113" i="4"/>
  <c r="AF113" i="4" s="1"/>
  <c r="GI117" i="4"/>
  <c r="GJ117" i="4" s="1"/>
  <c r="GE117" i="4"/>
  <c r="GF117" i="4" s="1"/>
  <c r="GA117" i="4"/>
  <c r="GB117" i="4" s="1"/>
  <c r="FW117" i="4"/>
  <c r="FX117" i="4" s="1"/>
  <c r="FS117" i="4"/>
  <c r="FT117" i="4" s="1"/>
  <c r="FO117" i="4"/>
  <c r="FP117" i="4" s="1"/>
  <c r="FK117" i="4"/>
  <c r="FL117" i="4" s="1"/>
  <c r="FG117" i="4"/>
  <c r="FH117" i="4" s="1"/>
  <c r="FC117" i="4"/>
  <c r="FD117" i="4" s="1"/>
  <c r="EY117" i="4"/>
  <c r="EZ117" i="4" s="1"/>
  <c r="EU117" i="4"/>
  <c r="EV117" i="4" s="1"/>
  <c r="GG117" i="4"/>
  <c r="GH117" i="4" s="1"/>
  <c r="GC117" i="4"/>
  <c r="GD117" i="4" s="1"/>
  <c r="FY117" i="4"/>
  <c r="FZ117" i="4" s="1"/>
  <c r="FU117" i="4"/>
  <c r="FV117" i="4" s="1"/>
  <c r="FQ117" i="4"/>
  <c r="FR117" i="4" s="1"/>
  <c r="FM117" i="4"/>
  <c r="FN117" i="4" s="1"/>
  <c r="FI117" i="4"/>
  <c r="FJ117" i="4" s="1"/>
  <c r="FE117" i="4"/>
  <c r="FF117" i="4" s="1"/>
  <c r="FA117" i="4"/>
  <c r="FB117" i="4" s="1"/>
  <c r="EW117" i="4"/>
  <c r="EX117" i="4" s="1"/>
  <c r="ET117" i="4"/>
  <c r="FQ118" i="4"/>
  <c r="FR118" i="4" s="1"/>
  <c r="CY101" i="4"/>
  <c r="CZ101" i="4" s="1"/>
  <c r="DC101" i="4"/>
  <c r="DD101" i="4" s="1"/>
  <c r="DG101" i="4"/>
  <c r="DH101" i="4" s="1"/>
  <c r="DK101" i="4"/>
  <c r="DL101" i="4" s="1"/>
  <c r="CY105" i="4"/>
  <c r="CZ105" i="4" s="1"/>
  <c r="DC105" i="4"/>
  <c r="DD105" i="4" s="1"/>
  <c r="DG105" i="4"/>
  <c r="DH105" i="4" s="1"/>
  <c r="DK105" i="4"/>
  <c r="DL105" i="4" s="1"/>
  <c r="AS107" i="4"/>
  <c r="AT107" i="4" s="1"/>
  <c r="AK109" i="4"/>
  <c r="AL109" i="4" s="1"/>
  <c r="GI112" i="4"/>
  <c r="GJ112" i="4" s="1"/>
  <c r="GE112" i="4"/>
  <c r="GF112" i="4" s="1"/>
  <c r="GA112" i="4"/>
  <c r="GB112" i="4" s="1"/>
  <c r="FW112" i="4"/>
  <c r="FX112" i="4" s="1"/>
  <c r="FS112" i="4"/>
  <c r="FT112" i="4" s="1"/>
  <c r="FO112" i="4"/>
  <c r="FP112" i="4" s="1"/>
  <c r="FK112" i="4"/>
  <c r="FL112" i="4" s="1"/>
  <c r="FG112" i="4"/>
  <c r="FH112" i="4" s="1"/>
  <c r="FC112" i="4"/>
  <c r="FD112" i="4" s="1"/>
  <c r="EY112" i="4"/>
  <c r="EZ112" i="4" s="1"/>
  <c r="EU112" i="4"/>
  <c r="EV112" i="4" s="1"/>
  <c r="I116" i="4"/>
  <c r="BZ116" i="4"/>
  <c r="GI118" i="4"/>
  <c r="GJ118" i="4" s="1"/>
  <c r="GE118" i="4"/>
  <c r="GF118" i="4" s="1"/>
  <c r="GA118" i="4"/>
  <c r="GB118" i="4" s="1"/>
  <c r="FW118" i="4"/>
  <c r="FX118" i="4" s="1"/>
  <c r="FS118" i="4"/>
  <c r="FT118" i="4" s="1"/>
  <c r="FO118" i="4"/>
  <c r="FP118" i="4" s="1"/>
  <c r="FK118" i="4"/>
  <c r="FL118" i="4" s="1"/>
  <c r="FG118" i="4"/>
  <c r="FH118" i="4" s="1"/>
  <c r="FC118" i="4"/>
  <c r="FD118" i="4" s="1"/>
  <c r="EY118" i="4"/>
  <c r="EZ118" i="4" s="1"/>
  <c r="EU118" i="4"/>
  <c r="EV118" i="4" s="1"/>
  <c r="ER119" i="4"/>
  <c r="ES119" i="4" s="1"/>
  <c r="CA119" i="4"/>
  <c r="AY120" i="4"/>
  <c r="AZ120" i="4" s="1"/>
  <c r="AU120" i="4"/>
  <c r="AV120" i="4" s="1"/>
  <c r="AQ120" i="4"/>
  <c r="AR120" i="4" s="1"/>
  <c r="AM120" i="4"/>
  <c r="AN120" i="4" s="1"/>
  <c r="AI120" i="4"/>
  <c r="AJ120" i="4" s="1"/>
  <c r="AE120" i="4"/>
  <c r="AF120" i="4" s="1"/>
  <c r="AA120" i="4"/>
  <c r="AB120" i="4" s="1"/>
  <c r="W120" i="4"/>
  <c r="X120" i="4" s="1"/>
  <c r="S120" i="4"/>
  <c r="T120" i="4" s="1"/>
  <c r="O120" i="4"/>
  <c r="P120" i="4" s="1"/>
  <c r="K120" i="4"/>
  <c r="L120" i="4" s="1"/>
  <c r="AW120" i="4"/>
  <c r="AX120" i="4" s="1"/>
  <c r="AG120" i="4"/>
  <c r="AH120" i="4" s="1"/>
  <c r="Q120" i="4"/>
  <c r="R120" i="4" s="1"/>
  <c r="AK120" i="4"/>
  <c r="AL120" i="4" s="1"/>
  <c r="U120" i="4"/>
  <c r="V120" i="4" s="1"/>
  <c r="AS120" i="4"/>
  <c r="AT120" i="4" s="1"/>
  <c r="AC120" i="4"/>
  <c r="AD120" i="4" s="1"/>
  <c r="M120" i="4"/>
  <c r="N120" i="4" s="1"/>
  <c r="J111" i="4"/>
  <c r="M111" i="4"/>
  <c r="N111" i="4" s="1"/>
  <c r="Q111" i="4"/>
  <c r="R111" i="4" s="1"/>
  <c r="U111" i="4"/>
  <c r="V111" i="4" s="1"/>
  <c r="Y111" i="4"/>
  <c r="Z111" i="4" s="1"/>
  <c r="AC111" i="4"/>
  <c r="AD111" i="4" s="1"/>
  <c r="AG111" i="4"/>
  <c r="AH111" i="4" s="1"/>
  <c r="AK111" i="4"/>
  <c r="AL111" i="4" s="1"/>
  <c r="AO111" i="4"/>
  <c r="AP111" i="4" s="1"/>
  <c r="AS111" i="4"/>
  <c r="AT111" i="4" s="1"/>
  <c r="AW111" i="4"/>
  <c r="AX111" i="4" s="1"/>
  <c r="CE113" i="4"/>
  <c r="CF113" i="4" s="1"/>
  <c r="CU113" i="4"/>
  <c r="CV113" i="4" s="1"/>
  <c r="J117" i="4"/>
  <c r="M117" i="4"/>
  <c r="N117" i="4" s="1"/>
  <c r="Q117" i="4"/>
  <c r="R117" i="4" s="1"/>
  <c r="U117" i="4"/>
  <c r="V117" i="4" s="1"/>
  <c r="Y117" i="4"/>
  <c r="Z117" i="4" s="1"/>
  <c r="AC117" i="4"/>
  <c r="AD117" i="4" s="1"/>
  <c r="AG117" i="4"/>
  <c r="AH117" i="4" s="1"/>
  <c r="AK117" i="4"/>
  <c r="AL117" i="4" s="1"/>
  <c r="AO117" i="4"/>
  <c r="AP117" i="4" s="1"/>
  <c r="AS117" i="4"/>
  <c r="AT117" i="4" s="1"/>
  <c r="AW117" i="4"/>
  <c r="AX117" i="4" s="1"/>
  <c r="I118" i="4"/>
  <c r="AW122" i="4"/>
  <c r="AX122" i="4" s="1"/>
  <c r="AS122" i="4"/>
  <c r="AT122" i="4" s="1"/>
  <c r="AO122" i="4"/>
  <c r="AP122" i="4" s="1"/>
  <c r="AK122" i="4"/>
  <c r="AL122" i="4" s="1"/>
  <c r="AG122" i="4"/>
  <c r="AH122" i="4" s="1"/>
  <c r="AC122" i="4"/>
  <c r="AD122" i="4" s="1"/>
  <c r="Y122" i="4"/>
  <c r="Z122" i="4" s="1"/>
  <c r="U122" i="4"/>
  <c r="V122" i="4" s="1"/>
  <c r="Q122" i="4"/>
  <c r="R122" i="4" s="1"/>
  <c r="M122" i="4"/>
  <c r="N122" i="4" s="1"/>
  <c r="J122" i="4"/>
  <c r="FG122" i="4"/>
  <c r="FH122" i="4" s="1"/>
  <c r="O123" i="4"/>
  <c r="P123" i="4" s="1"/>
  <c r="U123" i="4"/>
  <c r="V123" i="4" s="1"/>
  <c r="AE123" i="4"/>
  <c r="AF123" i="4" s="1"/>
  <c r="AK123" i="4"/>
  <c r="AL123" i="4" s="1"/>
  <c r="CI123" i="4"/>
  <c r="CJ123" i="4" s="1"/>
  <c r="CO123" i="4"/>
  <c r="CP123" i="4" s="1"/>
  <c r="CY123" i="4"/>
  <c r="CZ123" i="4" s="1"/>
  <c r="DE123" i="4"/>
  <c r="DF123" i="4" s="1"/>
  <c r="DO123" i="4"/>
  <c r="DP123" i="4" s="1"/>
  <c r="GI123" i="4"/>
  <c r="GJ123" i="4" s="1"/>
  <c r="GE123" i="4"/>
  <c r="GF123" i="4" s="1"/>
  <c r="GA123" i="4"/>
  <c r="GB123" i="4" s="1"/>
  <c r="FW123" i="4"/>
  <c r="FX123" i="4" s="1"/>
  <c r="FS123" i="4"/>
  <c r="FT123" i="4" s="1"/>
  <c r="FO123" i="4"/>
  <c r="FP123" i="4" s="1"/>
  <c r="FK123" i="4"/>
  <c r="FL123" i="4" s="1"/>
  <c r="FG123" i="4"/>
  <c r="FH123" i="4" s="1"/>
  <c r="FC123" i="4"/>
  <c r="FD123" i="4" s="1"/>
  <c r="EY123" i="4"/>
  <c r="EZ123" i="4" s="1"/>
  <c r="EU123" i="4"/>
  <c r="EV123" i="4" s="1"/>
  <c r="ER131" i="4"/>
  <c r="ES131" i="4" s="1"/>
  <c r="CA131" i="4"/>
  <c r="GG122" i="4"/>
  <c r="GH122" i="4" s="1"/>
  <c r="GC122" i="4"/>
  <c r="GD122" i="4" s="1"/>
  <c r="FY122" i="4"/>
  <c r="FZ122" i="4" s="1"/>
  <c r="FU122" i="4"/>
  <c r="FV122" i="4" s="1"/>
  <c r="FQ122" i="4"/>
  <c r="FR122" i="4" s="1"/>
  <c r="FM122" i="4"/>
  <c r="FN122" i="4" s="1"/>
  <c r="FI122" i="4"/>
  <c r="FJ122" i="4" s="1"/>
  <c r="FE122" i="4"/>
  <c r="FF122" i="4" s="1"/>
  <c r="FA122" i="4"/>
  <c r="FB122" i="4" s="1"/>
  <c r="EW122" i="4"/>
  <c r="EX122" i="4" s="1"/>
  <c r="ET122" i="4"/>
  <c r="I125" i="4"/>
  <c r="BZ125" i="4"/>
  <c r="GE127" i="4"/>
  <c r="GF127" i="4" s="1"/>
  <c r="FO127" i="4"/>
  <c r="FP127" i="4" s="1"/>
  <c r="EY127" i="4"/>
  <c r="EZ127" i="4" s="1"/>
  <c r="FY127" i="4"/>
  <c r="FZ127" i="4" s="1"/>
  <c r="FQ127" i="4"/>
  <c r="FR127" i="4" s="1"/>
  <c r="GA130" i="4"/>
  <c r="GB130" i="4" s="1"/>
  <c r="FU130" i="4"/>
  <c r="FV130" i="4" s="1"/>
  <c r="FK130" i="4"/>
  <c r="FL130" i="4" s="1"/>
  <c r="FE130" i="4"/>
  <c r="FF130" i="4" s="1"/>
  <c r="EU130" i="4"/>
  <c r="EV130" i="4" s="1"/>
  <c r="GE130" i="4"/>
  <c r="GF130" i="4" s="1"/>
  <c r="FY130" i="4"/>
  <c r="FZ130" i="4" s="1"/>
  <c r="FO130" i="4"/>
  <c r="FP130" i="4" s="1"/>
  <c r="FI130" i="4"/>
  <c r="FJ130" i="4" s="1"/>
  <c r="EY130" i="4"/>
  <c r="EZ130" i="4" s="1"/>
  <c r="ET130" i="4"/>
  <c r="GG130" i="4"/>
  <c r="GH130" i="4" s="1"/>
  <c r="FW130" i="4"/>
  <c r="FX130" i="4" s="1"/>
  <c r="FQ130" i="4"/>
  <c r="FR130" i="4" s="1"/>
  <c r="FG130" i="4"/>
  <c r="FH130" i="4" s="1"/>
  <c r="FA130" i="4"/>
  <c r="FB130" i="4" s="1"/>
  <c r="CM112" i="4"/>
  <c r="CN112" i="4" s="1"/>
  <c r="CQ112" i="4"/>
  <c r="CR112" i="4" s="1"/>
  <c r="CU112" i="4"/>
  <c r="CV112" i="4" s="1"/>
  <c r="CY112" i="4"/>
  <c r="CZ112" i="4" s="1"/>
  <c r="DC112" i="4"/>
  <c r="DD112" i="4" s="1"/>
  <c r="DG112" i="4"/>
  <c r="DH112" i="4" s="1"/>
  <c r="DK112" i="4"/>
  <c r="DL112" i="4" s="1"/>
  <c r="DI122" i="4"/>
  <c r="DJ122" i="4" s="1"/>
  <c r="CS122" i="4"/>
  <c r="CT122" i="4" s="1"/>
  <c r="CC122" i="4"/>
  <c r="CD122" i="4" s="1"/>
  <c r="FK122" i="4"/>
  <c r="FL122" i="4" s="1"/>
  <c r="GA122" i="4"/>
  <c r="GB122" i="4" s="1"/>
  <c r="CS123" i="4"/>
  <c r="CT123" i="4" s="1"/>
  <c r="DC123" i="4"/>
  <c r="DD123" i="4" s="1"/>
  <c r="AW124" i="4"/>
  <c r="AX124" i="4" s="1"/>
  <c r="AS124" i="4"/>
  <c r="AT124" i="4" s="1"/>
  <c r="AO124" i="4"/>
  <c r="AP124" i="4" s="1"/>
  <c r="AK124" i="4"/>
  <c r="AL124" i="4" s="1"/>
  <c r="AG124" i="4"/>
  <c r="AH124" i="4" s="1"/>
  <c r="AC124" i="4"/>
  <c r="AD124" i="4" s="1"/>
  <c r="Y124" i="4"/>
  <c r="Z124" i="4" s="1"/>
  <c r="U124" i="4"/>
  <c r="V124" i="4" s="1"/>
  <c r="Q124" i="4"/>
  <c r="R124" i="4" s="1"/>
  <c r="M124" i="4"/>
  <c r="N124" i="4" s="1"/>
  <c r="J124" i="4"/>
  <c r="AY124" i="4"/>
  <c r="AZ124" i="4" s="1"/>
  <c r="AU124" i="4"/>
  <c r="AV124" i="4" s="1"/>
  <c r="AQ124" i="4"/>
  <c r="AR124" i="4" s="1"/>
  <c r="AM124" i="4"/>
  <c r="AN124" i="4" s="1"/>
  <c r="AI124" i="4"/>
  <c r="AJ124" i="4" s="1"/>
  <c r="AE124" i="4"/>
  <c r="AF124" i="4" s="1"/>
  <c r="AA124" i="4"/>
  <c r="AB124" i="4" s="1"/>
  <c r="W124" i="4"/>
  <c r="X124" i="4" s="1"/>
  <c r="S124" i="4"/>
  <c r="T124" i="4" s="1"/>
  <c r="O124" i="4"/>
  <c r="P124" i="4" s="1"/>
  <c r="K124" i="4"/>
  <c r="L124" i="4" s="1"/>
  <c r="AW133" i="4"/>
  <c r="AX133" i="4" s="1"/>
  <c r="AS133" i="4"/>
  <c r="AT133" i="4" s="1"/>
  <c r="AO133" i="4"/>
  <c r="AP133" i="4" s="1"/>
  <c r="AK133" i="4"/>
  <c r="AL133" i="4" s="1"/>
  <c r="AG133" i="4"/>
  <c r="AH133" i="4" s="1"/>
  <c r="AC133" i="4"/>
  <c r="AD133" i="4" s="1"/>
  <c r="Y133" i="4"/>
  <c r="Z133" i="4" s="1"/>
  <c r="U133" i="4"/>
  <c r="V133" i="4" s="1"/>
  <c r="Q133" i="4"/>
  <c r="R133" i="4" s="1"/>
  <c r="M133" i="4"/>
  <c r="N133" i="4" s="1"/>
  <c r="J133" i="4"/>
  <c r="AY133" i="4"/>
  <c r="AZ133" i="4" s="1"/>
  <c r="AU133" i="4"/>
  <c r="AV133" i="4" s="1"/>
  <c r="AQ133" i="4"/>
  <c r="AR133" i="4" s="1"/>
  <c r="AM133" i="4"/>
  <c r="AN133" i="4" s="1"/>
  <c r="AI133" i="4"/>
  <c r="AJ133" i="4" s="1"/>
  <c r="AE133" i="4"/>
  <c r="AF133" i="4" s="1"/>
  <c r="AA133" i="4"/>
  <c r="AB133" i="4" s="1"/>
  <c r="W133" i="4"/>
  <c r="X133" i="4" s="1"/>
  <c r="S133" i="4"/>
  <c r="T133" i="4" s="1"/>
  <c r="O133" i="4"/>
  <c r="P133" i="4" s="1"/>
  <c r="K133" i="4"/>
  <c r="L133" i="4" s="1"/>
  <c r="CB124" i="4"/>
  <c r="CE124" i="4"/>
  <c r="CF124" i="4" s="1"/>
  <c r="CI124" i="4"/>
  <c r="CJ124" i="4" s="1"/>
  <c r="CM124" i="4"/>
  <c r="CN124" i="4" s="1"/>
  <c r="CQ124" i="4"/>
  <c r="CR124" i="4" s="1"/>
  <c r="CU124" i="4"/>
  <c r="CV124" i="4" s="1"/>
  <c r="CY124" i="4"/>
  <c r="CZ124" i="4" s="1"/>
  <c r="DC124" i="4"/>
  <c r="DD124" i="4" s="1"/>
  <c r="DG124" i="4"/>
  <c r="DH124" i="4" s="1"/>
  <c r="DK124" i="4"/>
  <c r="DL124" i="4" s="1"/>
  <c r="DO124" i="4"/>
  <c r="DP124" i="4" s="1"/>
  <c r="AY127" i="4"/>
  <c r="AZ127" i="4" s="1"/>
  <c r="AU127" i="4"/>
  <c r="AV127" i="4" s="1"/>
  <c r="AQ127" i="4"/>
  <c r="AR127" i="4" s="1"/>
  <c r="AM127" i="4"/>
  <c r="AN127" i="4" s="1"/>
  <c r="AI127" i="4"/>
  <c r="AJ127" i="4" s="1"/>
  <c r="AE127" i="4"/>
  <c r="AF127" i="4" s="1"/>
  <c r="AA127" i="4"/>
  <c r="AB127" i="4" s="1"/>
  <c r="W127" i="4"/>
  <c r="X127" i="4" s="1"/>
  <c r="S127" i="4"/>
  <c r="T127" i="4" s="1"/>
  <c r="O127" i="4"/>
  <c r="P127" i="4" s="1"/>
  <c r="K127" i="4"/>
  <c r="L127" i="4" s="1"/>
  <c r="K131" i="4"/>
  <c r="L131" i="4" s="1"/>
  <c r="AA131" i="4"/>
  <c r="AB131" i="4" s="1"/>
  <c r="EW132" i="4"/>
  <c r="EX132" i="4" s="1"/>
  <c r="FM132" i="4"/>
  <c r="FN132" i="4" s="1"/>
  <c r="AY132" i="4"/>
  <c r="AZ132" i="4" s="1"/>
  <c r="AU132" i="4"/>
  <c r="AV132" i="4" s="1"/>
  <c r="AQ132" i="4"/>
  <c r="AR132" i="4" s="1"/>
  <c r="AM132" i="4"/>
  <c r="AN132" i="4" s="1"/>
  <c r="AI132" i="4"/>
  <c r="AJ132" i="4" s="1"/>
  <c r="AE132" i="4"/>
  <c r="AF132" i="4" s="1"/>
  <c r="AA132" i="4"/>
  <c r="AB132" i="4" s="1"/>
  <c r="W132" i="4"/>
  <c r="X132" i="4" s="1"/>
  <c r="S132" i="4"/>
  <c r="T132" i="4" s="1"/>
  <c r="O132" i="4"/>
  <c r="P132" i="4" s="1"/>
  <c r="K132" i="4"/>
  <c r="L132" i="4" s="1"/>
  <c r="GG133" i="4"/>
  <c r="GH133" i="4" s="1"/>
  <c r="FW133" i="4"/>
  <c r="FX133" i="4" s="1"/>
  <c r="FQ133" i="4"/>
  <c r="FR133" i="4" s="1"/>
  <c r="FG133" i="4"/>
  <c r="FH133" i="4" s="1"/>
  <c r="FA133" i="4"/>
  <c r="FB133" i="4" s="1"/>
  <c r="GA133" i="4"/>
  <c r="GB133" i="4" s="1"/>
  <c r="FU133" i="4"/>
  <c r="FV133" i="4" s="1"/>
  <c r="FK133" i="4"/>
  <c r="FL133" i="4" s="1"/>
  <c r="FE133" i="4"/>
  <c r="FF133" i="4" s="1"/>
  <c r="EU133" i="4"/>
  <c r="EV133" i="4" s="1"/>
  <c r="GI133" i="4"/>
  <c r="GJ133" i="4" s="1"/>
  <c r="GC133" i="4"/>
  <c r="GD133" i="4" s="1"/>
  <c r="FS133" i="4"/>
  <c r="FT133" i="4" s="1"/>
  <c r="FM133" i="4"/>
  <c r="FN133" i="4" s="1"/>
  <c r="FC133" i="4"/>
  <c r="FD133" i="4" s="1"/>
  <c r="EW133" i="4"/>
  <c r="EX133" i="4" s="1"/>
  <c r="DO138" i="4"/>
  <c r="DP138" i="4" s="1"/>
  <c r="DK138" i="4"/>
  <c r="DL138" i="4" s="1"/>
  <c r="DG138" i="4"/>
  <c r="DH138" i="4" s="1"/>
  <c r="DC138" i="4"/>
  <c r="DD138" i="4" s="1"/>
  <c r="CY138" i="4"/>
  <c r="CZ138" i="4" s="1"/>
  <c r="CU138" i="4"/>
  <c r="CV138" i="4" s="1"/>
  <c r="CQ138" i="4"/>
  <c r="CR138" i="4" s="1"/>
  <c r="CM138" i="4"/>
  <c r="CN138" i="4" s="1"/>
  <c r="CI138" i="4"/>
  <c r="CJ138" i="4" s="1"/>
  <c r="CE138" i="4"/>
  <c r="CF138" i="4" s="1"/>
  <c r="CB138" i="4"/>
  <c r="DQ138" i="4"/>
  <c r="DR138" i="4" s="1"/>
  <c r="DM138" i="4"/>
  <c r="DN138" i="4" s="1"/>
  <c r="DI138" i="4"/>
  <c r="DJ138" i="4" s="1"/>
  <c r="DE138" i="4"/>
  <c r="DF138" i="4" s="1"/>
  <c r="DA138" i="4"/>
  <c r="DB138" i="4" s="1"/>
  <c r="CW138" i="4"/>
  <c r="CX138" i="4" s="1"/>
  <c r="CS138" i="4"/>
  <c r="CT138" i="4" s="1"/>
  <c r="CO138" i="4"/>
  <c r="CP138" i="4" s="1"/>
  <c r="CK138" i="4"/>
  <c r="CL138" i="4" s="1"/>
  <c r="CG138" i="4"/>
  <c r="CH138" i="4" s="1"/>
  <c r="CC138" i="4"/>
  <c r="CD138" i="4" s="1"/>
  <c r="GI132" i="4"/>
  <c r="GJ132" i="4" s="1"/>
  <c r="GE132" i="4"/>
  <c r="GF132" i="4" s="1"/>
  <c r="GA132" i="4"/>
  <c r="GB132" i="4" s="1"/>
  <c r="FW132" i="4"/>
  <c r="FX132" i="4" s="1"/>
  <c r="FS132" i="4"/>
  <c r="FT132" i="4" s="1"/>
  <c r="FO132" i="4"/>
  <c r="FP132" i="4" s="1"/>
  <c r="FK132" i="4"/>
  <c r="FL132" i="4" s="1"/>
  <c r="FG132" i="4"/>
  <c r="FH132" i="4" s="1"/>
  <c r="FC132" i="4"/>
  <c r="FD132" i="4" s="1"/>
  <c r="EY132" i="4"/>
  <c r="EZ132" i="4" s="1"/>
  <c r="EU132" i="4"/>
  <c r="EV132" i="4" s="1"/>
  <c r="GG134" i="4"/>
  <c r="GH134" i="4" s="1"/>
  <c r="GC134" i="4"/>
  <c r="GD134" i="4" s="1"/>
  <c r="FY134" i="4"/>
  <c r="FZ134" i="4" s="1"/>
  <c r="FU134" i="4"/>
  <c r="FV134" i="4" s="1"/>
  <c r="FQ134" i="4"/>
  <c r="FR134" i="4" s="1"/>
  <c r="FM134" i="4"/>
  <c r="FN134" i="4" s="1"/>
  <c r="FI134" i="4"/>
  <c r="FJ134" i="4" s="1"/>
  <c r="FE134" i="4"/>
  <c r="FF134" i="4" s="1"/>
  <c r="FA134" i="4"/>
  <c r="FB134" i="4" s="1"/>
  <c r="EW134" i="4"/>
  <c r="EX134" i="4" s="1"/>
  <c r="ET134" i="4"/>
  <c r="GI134" i="4"/>
  <c r="GJ134" i="4" s="1"/>
  <c r="FS134" i="4"/>
  <c r="FT134" i="4" s="1"/>
  <c r="FC134" i="4"/>
  <c r="FD134" i="4" s="1"/>
  <c r="FW134" i="4"/>
  <c r="FX134" i="4" s="1"/>
  <c r="FG134" i="4"/>
  <c r="FH134" i="4" s="1"/>
  <c r="GE134" i="4"/>
  <c r="GF134" i="4" s="1"/>
  <c r="FO134" i="4"/>
  <c r="FP134" i="4" s="1"/>
  <c r="EY134" i="4"/>
  <c r="EZ134" i="4" s="1"/>
  <c r="ER135" i="4"/>
  <c r="ES135" i="4" s="1"/>
  <c r="CA135" i="4"/>
  <c r="AY136" i="4"/>
  <c r="AZ136" i="4" s="1"/>
  <c r="AU136" i="4"/>
  <c r="AV136" i="4" s="1"/>
  <c r="AQ136" i="4"/>
  <c r="AR136" i="4" s="1"/>
  <c r="AM136" i="4"/>
  <c r="AN136" i="4" s="1"/>
  <c r="AI136" i="4"/>
  <c r="AJ136" i="4" s="1"/>
  <c r="AE136" i="4"/>
  <c r="AF136" i="4" s="1"/>
  <c r="AA136" i="4"/>
  <c r="AB136" i="4" s="1"/>
  <c r="W136" i="4"/>
  <c r="X136" i="4" s="1"/>
  <c r="S136" i="4"/>
  <c r="T136" i="4" s="1"/>
  <c r="O136" i="4"/>
  <c r="P136" i="4" s="1"/>
  <c r="K136" i="4"/>
  <c r="L136" i="4" s="1"/>
  <c r="AW136" i="4"/>
  <c r="AX136" i="4" s="1"/>
  <c r="AG136" i="4"/>
  <c r="AH136" i="4" s="1"/>
  <c r="Q136" i="4"/>
  <c r="R136" i="4" s="1"/>
  <c r="AK136" i="4"/>
  <c r="AL136" i="4" s="1"/>
  <c r="U136" i="4"/>
  <c r="V136" i="4" s="1"/>
  <c r="AS136" i="4"/>
  <c r="AT136" i="4" s="1"/>
  <c r="AC136" i="4"/>
  <c r="AD136" i="4" s="1"/>
  <c r="M136" i="4"/>
  <c r="N136" i="4" s="1"/>
  <c r="GA139" i="4"/>
  <c r="GB139" i="4" s="1"/>
  <c r="FU139" i="4"/>
  <c r="FV139" i="4" s="1"/>
  <c r="FK139" i="4"/>
  <c r="FL139" i="4" s="1"/>
  <c r="FE139" i="4"/>
  <c r="FF139" i="4" s="1"/>
  <c r="EU139" i="4"/>
  <c r="EV139" i="4" s="1"/>
  <c r="GE139" i="4"/>
  <c r="GF139" i="4" s="1"/>
  <c r="FY139" i="4"/>
  <c r="FZ139" i="4" s="1"/>
  <c r="FO139" i="4"/>
  <c r="FP139" i="4" s="1"/>
  <c r="FI139" i="4"/>
  <c r="FJ139" i="4" s="1"/>
  <c r="EY139" i="4"/>
  <c r="EZ139" i="4" s="1"/>
  <c r="ET139" i="4"/>
  <c r="GG139" i="4"/>
  <c r="GH139" i="4" s="1"/>
  <c r="FW139" i="4"/>
  <c r="FX139" i="4" s="1"/>
  <c r="FQ139" i="4"/>
  <c r="FR139" i="4" s="1"/>
  <c r="FG139" i="4"/>
  <c r="FH139" i="4" s="1"/>
  <c r="FA139" i="4"/>
  <c r="FB139" i="4" s="1"/>
  <c r="GC139" i="4"/>
  <c r="GD139" i="4" s="1"/>
  <c r="FC139" i="4"/>
  <c r="FD139" i="4" s="1"/>
  <c r="GI139" i="4"/>
  <c r="GJ139" i="4" s="1"/>
  <c r="FM139" i="4"/>
  <c r="FN139" i="4" s="1"/>
  <c r="CU127" i="4"/>
  <c r="CV127" i="4" s="1"/>
  <c r="AO131" i="4"/>
  <c r="AP131" i="4" s="1"/>
  <c r="AK131" i="4"/>
  <c r="AL131" i="4" s="1"/>
  <c r="Y131" i="4"/>
  <c r="Z131" i="4" s="1"/>
  <c r="U131" i="4"/>
  <c r="V131" i="4" s="1"/>
  <c r="J131" i="4"/>
  <c r="ET132" i="4"/>
  <c r="FI132" i="4"/>
  <c r="FJ132" i="4" s="1"/>
  <c r="FY132" i="4"/>
  <c r="FZ132" i="4" s="1"/>
  <c r="CA134" i="4"/>
  <c r="ER136" i="4"/>
  <c r="ES136" i="4" s="1"/>
  <c r="CA136" i="4"/>
  <c r="CB133" i="4"/>
  <c r="CE133" i="4"/>
  <c r="CF133" i="4" s="1"/>
  <c r="CI133" i="4"/>
  <c r="CJ133" i="4" s="1"/>
  <c r="CM133" i="4"/>
  <c r="CN133" i="4" s="1"/>
  <c r="CQ133" i="4"/>
  <c r="CR133" i="4" s="1"/>
  <c r="CU133" i="4"/>
  <c r="CV133" i="4" s="1"/>
  <c r="CY133" i="4"/>
  <c r="CZ133" i="4" s="1"/>
  <c r="DI133" i="4"/>
  <c r="DJ133" i="4" s="1"/>
  <c r="W134" i="4"/>
  <c r="X134" i="4" s="1"/>
  <c r="M135" i="4"/>
  <c r="N135" i="4" s="1"/>
  <c r="W135" i="4"/>
  <c r="X135" i="4" s="1"/>
  <c r="AC135" i="4"/>
  <c r="AD135" i="4" s="1"/>
  <c r="AM135" i="4"/>
  <c r="AN135" i="4" s="1"/>
  <c r="AS135" i="4"/>
  <c r="AT135" i="4" s="1"/>
  <c r="AW134" i="4"/>
  <c r="AX134" i="4" s="1"/>
  <c r="AS134" i="4"/>
  <c r="AT134" i="4" s="1"/>
  <c r="AO134" i="4"/>
  <c r="AP134" i="4" s="1"/>
  <c r="AK134" i="4"/>
  <c r="AL134" i="4" s="1"/>
  <c r="AG134" i="4"/>
  <c r="AH134" i="4" s="1"/>
  <c r="AC134" i="4"/>
  <c r="AD134" i="4" s="1"/>
  <c r="Y134" i="4"/>
  <c r="Z134" i="4" s="1"/>
  <c r="U134" i="4"/>
  <c r="V134" i="4" s="1"/>
  <c r="Q134" i="4"/>
  <c r="R134" i="4" s="1"/>
  <c r="M134" i="4"/>
  <c r="N134" i="4" s="1"/>
  <c r="J134" i="4"/>
  <c r="I137" i="4"/>
  <c r="BZ137" i="4"/>
  <c r="ER140" i="4"/>
  <c r="ES140" i="4" s="1"/>
  <c r="CA140" i="4"/>
  <c r="AW144" i="4"/>
  <c r="AX144" i="4" s="1"/>
  <c r="AY144" i="4"/>
  <c r="AZ144" i="4" s="1"/>
  <c r="AU144" i="4"/>
  <c r="AV144" i="4" s="1"/>
  <c r="AQ144" i="4"/>
  <c r="AR144" i="4" s="1"/>
  <c r="AM144" i="4"/>
  <c r="AN144" i="4" s="1"/>
  <c r="AI144" i="4"/>
  <c r="AJ144" i="4" s="1"/>
  <c r="AE144" i="4"/>
  <c r="AF144" i="4" s="1"/>
  <c r="AA144" i="4"/>
  <c r="AB144" i="4" s="1"/>
  <c r="W144" i="4"/>
  <c r="X144" i="4" s="1"/>
  <c r="S144" i="4"/>
  <c r="T144" i="4" s="1"/>
  <c r="O144" i="4"/>
  <c r="P144" i="4" s="1"/>
  <c r="K144" i="4"/>
  <c r="L144" i="4" s="1"/>
  <c r="AK144" i="4"/>
  <c r="AL144" i="4" s="1"/>
  <c r="U144" i="4"/>
  <c r="V144" i="4" s="1"/>
  <c r="AO144" i="4"/>
  <c r="AP144" i="4" s="1"/>
  <c r="Y144" i="4"/>
  <c r="Z144" i="4" s="1"/>
  <c r="J144" i="4"/>
  <c r="AG144" i="4"/>
  <c r="AH144" i="4" s="1"/>
  <c r="Q144" i="4"/>
  <c r="R144" i="4" s="1"/>
  <c r="DQ144" i="4"/>
  <c r="DR144" i="4" s="1"/>
  <c r="DM144" i="4"/>
  <c r="DN144" i="4" s="1"/>
  <c r="DI144" i="4"/>
  <c r="DJ144" i="4" s="1"/>
  <c r="DE144" i="4"/>
  <c r="DF144" i="4" s="1"/>
  <c r="DA144" i="4"/>
  <c r="DB144" i="4" s="1"/>
  <c r="CW144" i="4"/>
  <c r="CX144" i="4" s="1"/>
  <c r="CS144" i="4"/>
  <c r="CT144" i="4" s="1"/>
  <c r="CO144" i="4"/>
  <c r="CP144" i="4" s="1"/>
  <c r="CK144" i="4"/>
  <c r="CL144" i="4" s="1"/>
  <c r="CG144" i="4"/>
  <c r="CH144" i="4" s="1"/>
  <c r="CC144" i="4"/>
  <c r="CD144" i="4" s="1"/>
  <c r="DO144" i="4"/>
  <c r="DP144" i="4" s="1"/>
  <c r="DK144" i="4"/>
  <c r="DL144" i="4" s="1"/>
  <c r="DG144" i="4"/>
  <c r="DH144" i="4" s="1"/>
  <c r="DC144" i="4"/>
  <c r="DD144" i="4" s="1"/>
  <c r="CY144" i="4"/>
  <c r="CZ144" i="4" s="1"/>
  <c r="CU144" i="4"/>
  <c r="CV144" i="4" s="1"/>
  <c r="CQ144" i="4"/>
  <c r="CR144" i="4" s="1"/>
  <c r="CM144" i="4"/>
  <c r="CN144" i="4" s="1"/>
  <c r="CI144" i="4"/>
  <c r="CJ144" i="4" s="1"/>
  <c r="CE144" i="4"/>
  <c r="CF144" i="4" s="1"/>
  <c r="CB144" i="4"/>
  <c r="GG144" i="4"/>
  <c r="GH144" i="4" s="1"/>
  <c r="GC144" i="4"/>
  <c r="GD144" i="4" s="1"/>
  <c r="FY144" i="4"/>
  <c r="FZ144" i="4" s="1"/>
  <c r="FU144" i="4"/>
  <c r="FV144" i="4" s="1"/>
  <c r="FQ144" i="4"/>
  <c r="FR144" i="4" s="1"/>
  <c r="FM144" i="4"/>
  <c r="FN144" i="4" s="1"/>
  <c r="FI144" i="4"/>
  <c r="FJ144" i="4" s="1"/>
  <c r="FE144" i="4"/>
  <c r="FF144" i="4" s="1"/>
  <c r="FA144" i="4"/>
  <c r="FB144" i="4" s="1"/>
  <c r="EW144" i="4"/>
  <c r="EX144" i="4" s="1"/>
  <c r="ET144" i="4"/>
  <c r="GI144" i="4"/>
  <c r="GJ144" i="4" s="1"/>
  <c r="GE144" i="4"/>
  <c r="GF144" i="4" s="1"/>
  <c r="GA144" i="4"/>
  <c r="GB144" i="4" s="1"/>
  <c r="FW144" i="4"/>
  <c r="FX144" i="4" s="1"/>
  <c r="FS144" i="4"/>
  <c r="FT144" i="4" s="1"/>
  <c r="FO144" i="4"/>
  <c r="FP144" i="4" s="1"/>
  <c r="FK144" i="4"/>
  <c r="FL144" i="4" s="1"/>
  <c r="FG144" i="4"/>
  <c r="FH144" i="4" s="1"/>
  <c r="FC144" i="4"/>
  <c r="FD144" i="4" s="1"/>
  <c r="EY144" i="4"/>
  <c r="EZ144" i="4" s="1"/>
  <c r="EU144" i="4"/>
  <c r="EV144" i="4" s="1"/>
  <c r="CB132" i="4"/>
  <c r="CE132" i="4"/>
  <c r="CF132" i="4" s="1"/>
  <c r="CI132" i="4"/>
  <c r="CJ132" i="4" s="1"/>
  <c r="CM132" i="4"/>
  <c r="CN132" i="4" s="1"/>
  <c r="CQ132" i="4"/>
  <c r="CR132" i="4" s="1"/>
  <c r="CU132" i="4"/>
  <c r="CV132" i="4" s="1"/>
  <c r="CY132" i="4"/>
  <c r="CZ132" i="4" s="1"/>
  <c r="DC132" i="4"/>
  <c r="DD132" i="4" s="1"/>
  <c r="DG132" i="4"/>
  <c r="DH132" i="4" s="1"/>
  <c r="DK132" i="4"/>
  <c r="DL132" i="4" s="1"/>
  <c r="K134" i="4"/>
  <c r="L134" i="4" s="1"/>
  <c r="AA134" i="4"/>
  <c r="AB134" i="4" s="1"/>
  <c r="AQ134" i="4"/>
  <c r="AR134" i="4" s="1"/>
  <c r="AQ135" i="4"/>
  <c r="AR135" i="4" s="1"/>
  <c r="GI138" i="4"/>
  <c r="GJ138" i="4" s="1"/>
  <c r="GE138" i="4"/>
  <c r="GF138" i="4" s="1"/>
  <c r="GA138" i="4"/>
  <c r="GB138" i="4" s="1"/>
  <c r="FW138" i="4"/>
  <c r="FX138" i="4" s="1"/>
  <c r="FS138" i="4"/>
  <c r="FT138" i="4" s="1"/>
  <c r="FO138" i="4"/>
  <c r="FP138" i="4" s="1"/>
  <c r="FK138" i="4"/>
  <c r="FL138" i="4" s="1"/>
  <c r="FG138" i="4"/>
  <c r="FH138" i="4" s="1"/>
  <c r="FC138" i="4"/>
  <c r="FD138" i="4" s="1"/>
  <c r="EY138" i="4"/>
  <c r="EZ138" i="4" s="1"/>
  <c r="EU138" i="4"/>
  <c r="EV138" i="4" s="1"/>
  <c r="GG138" i="4"/>
  <c r="GH138" i="4" s="1"/>
  <c r="GC138" i="4"/>
  <c r="GD138" i="4" s="1"/>
  <c r="FY138" i="4"/>
  <c r="FZ138" i="4" s="1"/>
  <c r="FU138" i="4"/>
  <c r="FV138" i="4" s="1"/>
  <c r="FQ138" i="4"/>
  <c r="FR138" i="4" s="1"/>
  <c r="FM138" i="4"/>
  <c r="FN138" i="4" s="1"/>
  <c r="FI138" i="4"/>
  <c r="FJ138" i="4" s="1"/>
  <c r="FE138" i="4"/>
  <c r="FF138" i="4" s="1"/>
  <c r="FA138" i="4"/>
  <c r="FB138" i="4" s="1"/>
  <c r="EW138" i="4"/>
  <c r="EX138" i="4" s="1"/>
  <c r="ET138" i="4"/>
  <c r="M144" i="4"/>
  <c r="N144" i="4" s="1"/>
  <c r="BZ147" i="4"/>
  <c r="I147" i="4"/>
  <c r="J138" i="4"/>
  <c r="M138" i="4"/>
  <c r="N138" i="4" s="1"/>
  <c r="Q138" i="4"/>
  <c r="R138" i="4" s="1"/>
  <c r="U138" i="4"/>
  <c r="V138" i="4" s="1"/>
  <c r="Y138" i="4"/>
  <c r="Z138" i="4" s="1"/>
  <c r="AC138" i="4"/>
  <c r="AD138" i="4" s="1"/>
  <c r="AG138" i="4"/>
  <c r="AH138" i="4" s="1"/>
  <c r="AK138" i="4"/>
  <c r="AL138" i="4" s="1"/>
  <c r="AO138" i="4"/>
  <c r="AP138" i="4" s="1"/>
  <c r="AS138" i="4"/>
  <c r="AT138" i="4" s="1"/>
  <c r="AW138" i="4"/>
  <c r="AX138" i="4" s="1"/>
  <c r="K140" i="4"/>
  <c r="L140" i="4" s="1"/>
  <c r="AA140" i="4"/>
  <c r="AB140" i="4" s="1"/>
  <c r="AQ140" i="4"/>
  <c r="AR140" i="4" s="1"/>
  <c r="K143" i="4"/>
  <c r="L143" i="4" s="1"/>
  <c r="Q143" i="4"/>
  <c r="R143" i="4" s="1"/>
  <c r="AA143" i="4"/>
  <c r="AB143" i="4" s="1"/>
  <c r="AG143" i="4"/>
  <c r="AH143" i="4" s="1"/>
  <c r="AQ143" i="4"/>
  <c r="AR143" i="4" s="1"/>
  <c r="AW143" i="4"/>
  <c r="AX143" i="4" s="1"/>
  <c r="FC145" i="4"/>
  <c r="FD145" i="4" s="1"/>
  <c r="FU145" i="4"/>
  <c r="FV145" i="4" s="1"/>
  <c r="DQ145" i="4"/>
  <c r="DR145" i="4" s="1"/>
  <c r="DM145" i="4"/>
  <c r="DN145" i="4" s="1"/>
  <c r="DI145" i="4"/>
  <c r="DJ145" i="4" s="1"/>
  <c r="DE145" i="4"/>
  <c r="DF145" i="4" s="1"/>
  <c r="DA145" i="4"/>
  <c r="DB145" i="4" s="1"/>
  <c r="GI146" i="4"/>
  <c r="GJ146" i="4" s="1"/>
  <c r="GC146" i="4"/>
  <c r="GD146" i="4" s="1"/>
  <c r="FS146" i="4"/>
  <c r="FT146" i="4" s="1"/>
  <c r="FM146" i="4"/>
  <c r="FN146" i="4" s="1"/>
  <c r="FC146" i="4"/>
  <c r="FD146" i="4" s="1"/>
  <c r="EW146" i="4"/>
  <c r="EX146" i="4" s="1"/>
  <c r="GG146" i="4"/>
  <c r="GH146" i="4" s="1"/>
  <c r="FW146" i="4"/>
  <c r="FX146" i="4" s="1"/>
  <c r="FQ146" i="4"/>
  <c r="FR146" i="4" s="1"/>
  <c r="FG146" i="4"/>
  <c r="FH146" i="4" s="1"/>
  <c r="FA146" i="4"/>
  <c r="FB146" i="4" s="1"/>
  <c r="GE146" i="4"/>
  <c r="GF146" i="4" s="1"/>
  <c r="FY146" i="4"/>
  <c r="FZ146" i="4" s="1"/>
  <c r="FO146" i="4"/>
  <c r="FP146" i="4" s="1"/>
  <c r="FI146" i="4"/>
  <c r="FJ146" i="4" s="1"/>
  <c r="EY146" i="4"/>
  <c r="EZ146" i="4" s="1"/>
  <c r="ET146" i="4"/>
  <c r="CO151" i="4"/>
  <c r="CP151" i="4" s="1"/>
  <c r="K138" i="4"/>
  <c r="L138" i="4" s="1"/>
  <c r="O138" i="4"/>
  <c r="P138" i="4" s="1"/>
  <c r="S138" i="4"/>
  <c r="T138" i="4" s="1"/>
  <c r="W138" i="4"/>
  <c r="X138" i="4" s="1"/>
  <c r="AA138" i="4"/>
  <c r="AB138" i="4" s="1"/>
  <c r="AE138" i="4"/>
  <c r="AF138" i="4" s="1"/>
  <c r="AI138" i="4"/>
  <c r="AJ138" i="4" s="1"/>
  <c r="AM138" i="4"/>
  <c r="AN138" i="4" s="1"/>
  <c r="AQ138" i="4"/>
  <c r="AR138" i="4" s="1"/>
  <c r="AU138" i="4"/>
  <c r="AV138" i="4" s="1"/>
  <c r="S140" i="4"/>
  <c r="T140" i="4" s="1"/>
  <c r="AI140" i="4"/>
  <c r="AJ140" i="4" s="1"/>
  <c r="J143" i="4"/>
  <c r="S143" i="4"/>
  <c r="T143" i="4" s="1"/>
  <c r="Y143" i="4"/>
  <c r="Z143" i="4" s="1"/>
  <c r="AI143" i="4"/>
  <c r="AJ143" i="4" s="1"/>
  <c r="AO143" i="4"/>
  <c r="AP143" i="4" s="1"/>
  <c r="BZ143" i="4"/>
  <c r="EU145" i="4"/>
  <c r="EV145" i="4" s="1"/>
  <c r="GG151" i="4"/>
  <c r="GH151" i="4" s="1"/>
  <c r="GA151" i="4"/>
  <c r="GB151" i="4" s="1"/>
  <c r="FQ151" i="4"/>
  <c r="FR151" i="4" s="1"/>
  <c r="FK151" i="4"/>
  <c r="FL151" i="4" s="1"/>
  <c r="FA151" i="4"/>
  <c r="FB151" i="4" s="1"/>
  <c r="EU151" i="4"/>
  <c r="EV151" i="4" s="1"/>
  <c r="GC151" i="4"/>
  <c r="GD151" i="4" s="1"/>
  <c r="FW151" i="4"/>
  <c r="FX151" i="4" s="1"/>
  <c r="FM151" i="4"/>
  <c r="FN151" i="4" s="1"/>
  <c r="FG151" i="4"/>
  <c r="FH151" i="4" s="1"/>
  <c r="EW151" i="4"/>
  <c r="EX151" i="4" s="1"/>
  <c r="GE151" i="4"/>
  <c r="GF151" i="4" s="1"/>
  <c r="FU151" i="4"/>
  <c r="FV151" i="4" s="1"/>
  <c r="EY151" i="4"/>
  <c r="EZ151" i="4" s="1"/>
  <c r="FS151" i="4"/>
  <c r="FT151" i="4" s="1"/>
  <c r="FI151" i="4"/>
  <c r="FJ151" i="4" s="1"/>
  <c r="GI151" i="4"/>
  <c r="GJ151" i="4" s="1"/>
  <c r="FY151" i="4"/>
  <c r="FZ151" i="4" s="1"/>
  <c r="FC151" i="4"/>
  <c r="FD151" i="4" s="1"/>
  <c r="ET151" i="4"/>
  <c r="AW140" i="4"/>
  <c r="AX140" i="4" s="1"/>
  <c r="AS140" i="4"/>
  <c r="AT140" i="4" s="1"/>
  <c r="AO140" i="4"/>
  <c r="AP140" i="4" s="1"/>
  <c r="AK140" i="4"/>
  <c r="AL140" i="4" s="1"/>
  <c r="AG140" i="4"/>
  <c r="AH140" i="4" s="1"/>
  <c r="AC140" i="4"/>
  <c r="AD140" i="4" s="1"/>
  <c r="Y140" i="4"/>
  <c r="Z140" i="4" s="1"/>
  <c r="U140" i="4"/>
  <c r="V140" i="4" s="1"/>
  <c r="Q140" i="4"/>
  <c r="R140" i="4" s="1"/>
  <c r="M140" i="4"/>
  <c r="N140" i="4" s="1"/>
  <c r="J140" i="4"/>
  <c r="GI145" i="4"/>
  <c r="GJ145" i="4" s="1"/>
  <c r="GE145" i="4"/>
  <c r="GF145" i="4" s="1"/>
  <c r="GA145" i="4"/>
  <c r="GB145" i="4" s="1"/>
  <c r="FW145" i="4"/>
  <c r="FX145" i="4" s="1"/>
  <c r="FS145" i="4"/>
  <c r="FT145" i="4" s="1"/>
  <c r="FO145" i="4"/>
  <c r="FP145" i="4" s="1"/>
  <c r="GC145" i="4"/>
  <c r="GD145" i="4" s="1"/>
  <c r="FM145" i="4"/>
  <c r="FN145" i="4" s="1"/>
  <c r="FI145" i="4"/>
  <c r="FJ145" i="4" s="1"/>
  <c r="FE145" i="4"/>
  <c r="FF145" i="4" s="1"/>
  <c r="FA145" i="4"/>
  <c r="FB145" i="4" s="1"/>
  <c r="EW145" i="4"/>
  <c r="EX145" i="4" s="1"/>
  <c r="ET145" i="4"/>
  <c r="GG145" i="4"/>
  <c r="GH145" i="4" s="1"/>
  <c r="FQ145" i="4"/>
  <c r="FR145" i="4" s="1"/>
  <c r="FY145" i="4"/>
  <c r="FZ145" i="4" s="1"/>
  <c r="DI151" i="4"/>
  <c r="DJ151" i="4" s="1"/>
  <c r="DC151" i="4"/>
  <c r="DD151" i="4" s="1"/>
  <c r="DO151" i="4"/>
  <c r="DP151" i="4" s="1"/>
  <c r="DE151" i="4"/>
  <c r="DF151" i="4" s="1"/>
  <c r="CY151" i="4"/>
  <c r="CZ151" i="4" s="1"/>
  <c r="CU151" i="4"/>
  <c r="CV151" i="4" s="1"/>
  <c r="CQ151" i="4"/>
  <c r="CR151" i="4" s="1"/>
  <c r="CM151" i="4"/>
  <c r="CN151" i="4" s="1"/>
  <c r="CI151" i="4"/>
  <c r="CJ151" i="4" s="1"/>
  <c r="CE151" i="4"/>
  <c r="CF151" i="4" s="1"/>
  <c r="CB151" i="4"/>
  <c r="DM151" i="4"/>
  <c r="DN151" i="4" s="1"/>
  <c r="CS151" i="4"/>
  <c r="CT151" i="4" s="1"/>
  <c r="CK151" i="4"/>
  <c r="CL151" i="4" s="1"/>
  <c r="CC151" i="4"/>
  <c r="CD151" i="4" s="1"/>
  <c r="DK151" i="4"/>
  <c r="DL151" i="4" s="1"/>
  <c r="DA151" i="4"/>
  <c r="DB151" i="4" s="1"/>
  <c r="DQ151" i="4"/>
  <c r="DR151" i="4" s="1"/>
  <c r="Q146" i="4"/>
  <c r="R146" i="4" s="1"/>
  <c r="W146" i="4"/>
  <c r="X146" i="4" s="1"/>
  <c r="AG146" i="4"/>
  <c r="AH146" i="4" s="1"/>
  <c r="AM146" i="4"/>
  <c r="AN146" i="4" s="1"/>
  <c r="CE146" i="4"/>
  <c r="CF146" i="4" s="1"/>
  <c r="CO146" i="4"/>
  <c r="CP146" i="4" s="1"/>
  <c r="CU146" i="4"/>
  <c r="CV146" i="4" s="1"/>
  <c r="DE146" i="4"/>
  <c r="DF146" i="4" s="1"/>
  <c r="J148" i="4"/>
  <c r="S148" i="4"/>
  <c r="T148" i="4" s="1"/>
  <c r="Y148" i="4"/>
  <c r="Z148" i="4" s="1"/>
  <c r="AI148" i="4"/>
  <c r="AJ148" i="4" s="1"/>
  <c r="AO148" i="4"/>
  <c r="AP148" i="4" s="1"/>
  <c r="AY148" i="4"/>
  <c r="AZ148" i="4" s="1"/>
  <c r="M151" i="4"/>
  <c r="N151" i="4" s="1"/>
  <c r="U151" i="4"/>
  <c r="V151" i="4" s="1"/>
  <c r="AC151" i="4"/>
  <c r="AD151" i="4" s="1"/>
  <c r="AK151" i="4"/>
  <c r="AL151" i="4" s="1"/>
  <c r="AS151" i="4"/>
  <c r="AT151" i="4" s="1"/>
  <c r="K148" i="4"/>
  <c r="L148" i="4" s="1"/>
  <c r="Q148" i="4"/>
  <c r="R148" i="4" s="1"/>
  <c r="AA148" i="4"/>
  <c r="AB148" i="4" s="1"/>
  <c r="AG148" i="4"/>
  <c r="AH148" i="4" s="1"/>
  <c r="AQ148" i="4"/>
  <c r="AR148" i="4" s="1"/>
  <c r="J151" i="4"/>
  <c r="Q151" i="4"/>
  <c r="R151" i="4" s="1"/>
  <c r="Y151" i="4"/>
  <c r="Z151" i="4" s="1"/>
  <c r="AG151" i="4"/>
  <c r="AH151" i="4" s="1"/>
  <c r="AO151" i="4"/>
  <c r="AP151" i="4" s="1"/>
  <c r="AY151" i="4"/>
  <c r="AZ151" i="4" s="1"/>
  <c r="AU151" i="4"/>
  <c r="AV151" i="4" s="1"/>
  <c r="AQ151" i="4"/>
  <c r="AR151" i="4" s="1"/>
  <c r="AM151" i="4"/>
  <c r="AN151" i="4" s="1"/>
  <c r="AI151" i="4"/>
  <c r="AJ151" i="4" s="1"/>
  <c r="AE151" i="4"/>
  <c r="AF151" i="4" s="1"/>
  <c r="AA151" i="4"/>
  <c r="AB151" i="4" s="1"/>
  <c r="W151" i="4"/>
  <c r="X151" i="4" s="1"/>
  <c r="S151" i="4"/>
  <c r="T151" i="4" s="1"/>
  <c r="O151" i="4"/>
  <c r="P151" i="4" s="1"/>
  <c r="K151" i="4"/>
  <c r="L151" i="4" s="1"/>
  <c r="U152" i="4"/>
  <c r="V152" i="4" s="1"/>
  <c r="CO152" i="4"/>
  <c r="CP152" i="4" s="1"/>
  <c r="DO152" i="4"/>
  <c r="DP152" i="4" s="1"/>
  <c r="DK152" i="4"/>
  <c r="DL152" i="4" s="1"/>
  <c r="DG152" i="4"/>
  <c r="DH152" i="4" s="1"/>
  <c r="DC152" i="4"/>
  <c r="DD152" i="4" s="1"/>
  <c r="CY152" i="4"/>
  <c r="CZ152" i="4" s="1"/>
  <c r="CU152" i="4"/>
  <c r="CV152" i="4" s="1"/>
  <c r="CQ152" i="4"/>
  <c r="CR152" i="4" s="1"/>
  <c r="CM152" i="4"/>
  <c r="CN152" i="4" s="1"/>
  <c r="CI152" i="4"/>
  <c r="CJ152" i="4" s="1"/>
  <c r="CE152" i="4"/>
  <c r="CF152" i="4" s="1"/>
  <c r="CB152" i="4"/>
  <c r="CA153" i="4"/>
  <c r="ER153" i="4"/>
  <c r="ES153" i="4" s="1"/>
  <c r="CA154" i="4"/>
  <c r="ER154" i="4"/>
  <c r="ES154" i="4" s="1"/>
  <c r="AY152" i="4"/>
  <c r="AZ152" i="4" s="1"/>
  <c r="AU152" i="4"/>
  <c r="AV152" i="4" s="1"/>
  <c r="AQ152" i="4"/>
  <c r="AR152" i="4" s="1"/>
  <c r="AM152" i="4"/>
  <c r="AN152" i="4" s="1"/>
  <c r="AI152" i="4"/>
  <c r="AJ152" i="4" s="1"/>
  <c r="AE152" i="4"/>
  <c r="AF152" i="4" s="1"/>
  <c r="AA152" i="4"/>
  <c r="AB152" i="4" s="1"/>
  <c r="W152" i="4"/>
  <c r="X152" i="4" s="1"/>
  <c r="S152" i="4"/>
  <c r="T152" i="4" s="1"/>
  <c r="O152" i="4"/>
  <c r="P152" i="4" s="1"/>
  <c r="K152" i="4"/>
  <c r="L152" i="4" s="1"/>
  <c r="CC152" i="4"/>
  <c r="CD152" i="4" s="1"/>
  <c r="CS152" i="4"/>
  <c r="CT152" i="4" s="1"/>
  <c r="DI152" i="4"/>
  <c r="DJ152" i="4" s="1"/>
  <c r="GG152" i="4"/>
  <c r="GH152" i="4" s="1"/>
  <c r="GC152" i="4"/>
  <c r="GD152" i="4" s="1"/>
  <c r="FY152" i="4"/>
  <c r="FZ152" i="4" s="1"/>
  <c r="FU152" i="4"/>
  <c r="FV152" i="4" s="1"/>
  <c r="FQ152" i="4"/>
  <c r="FR152" i="4" s="1"/>
  <c r="FM152" i="4"/>
  <c r="FN152" i="4" s="1"/>
  <c r="FI152" i="4"/>
  <c r="FJ152" i="4" s="1"/>
  <c r="FE152" i="4"/>
  <c r="FF152" i="4" s="1"/>
  <c r="FA152" i="4"/>
  <c r="FB152" i="4" s="1"/>
  <c r="EW152" i="4"/>
  <c r="EX152" i="4" s="1"/>
  <c r="GI152" i="4"/>
  <c r="GJ152" i="4" s="1"/>
  <c r="GE152" i="4"/>
  <c r="GF152" i="4" s="1"/>
  <c r="GA152" i="4"/>
  <c r="GB152" i="4" s="1"/>
  <c r="FW152" i="4"/>
  <c r="FX152" i="4" s="1"/>
  <c r="FS152" i="4"/>
  <c r="FT152" i="4" s="1"/>
  <c r="FO152" i="4"/>
  <c r="FP152" i="4" s="1"/>
  <c r="FK152" i="4"/>
  <c r="FL152" i="4" s="1"/>
  <c r="FG152" i="4"/>
  <c r="FH152" i="4" s="1"/>
  <c r="FC152" i="4"/>
  <c r="FD152" i="4" s="1"/>
  <c r="EY152" i="4"/>
  <c r="EZ152" i="4" s="1"/>
  <c r="EU152" i="4"/>
  <c r="EV152" i="4" s="1"/>
  <c r="AW154" i="4"/>
  <c r="AX154" i="4" s="1"/>
  <c r="AS154" i="4"/>
  <c r="AT154" i="4" s="1"/>
  <c r="AO154" i="4"/>
  <c r="AP154" i="4" s="1"/>
  <c r="AK154" i="4"/>
  <c r="AL154" i="4" s="1"/>
  <c r="AG154" i="4"/>
  <c r="AH154" i="4" s="1"/>
  <c r="AC154" i="4"/>
  <c r="AD154" i="4" s="1"/>
  <c r="Y154" i="4"/>
  <c r="Z154" i="4" s="1"/>
  <c r="U154" i="4"/>
  <c r="V154" i="4" s="1"/>
  <c r="Q154" i="4"/>
  <c r="R154" i="4" s="1"/>
  <c r="M154" i="4"/>
  <c r="N154" i="4" s="1"/>
  <c r="J154" i="4"/>
  <c r="AY154" i="4"/>
  <c r="AZ154" i="4" s="1"/>
  <c r="AU154" i="4"/>
  <c r="AV154" i="4" s="1"/>
  <c r="AQ154" i="4"/>
  <c r="AR154" i="4" s="1"/>
  <c r="AM154" i="4"/>
  <c r="AN154" i="4" s="1"/>
  <c r="AI154" i="4"/>
  <c r="AJ154" i="4" s="1"/>
  <c r="AE154" i="4"/>
  <c r="AF154" i="4" s="1"/>
  <c r="AA154" i="4"/>
  <c r="AB154" i="4" s="1"/>
  <c r="W154" i="4"/>
  <c r="X154" i="4" s="1"/>
  <c r="S154" i="4"/>
  <c r="T154" i="4" s="1"/>
  <c r="O154" i="4"/>
  <c r="P154" i="4" s="1"/>
  <c r="K154" i="4"/>
  <c r="L154" i="4" s="1"/>
  <c r="CC53" i="4" l="1"/>
  <c r="CD53" i="4" s="1"/>
  <c r="CS53" i="4"/>
  <c r="CT53" i="4" s="1"/>
  <c r="DI53" i="4"/>
  <c r="DJ53" i="4" s="1"/>
  <c r="CE53" i="4"/>
  <c r="CF53" i="4" s="1"/>
  <c r="CU53" i="4"/>
  <c r="CV53" i="4" s="1"/>
  <c r="DK53" i="4"/>
  <c r="DL53" i="4" s="1"/>
  <c r="CK53" i="4"/>
  <c r="CL53" i="4" s="1"/>
  <c r="DA53" i="4"/>
  <c r="DB53" i="4" s="1"/>
  <c r="DQ53" i="4"/>
  <c r="DR53" i="4" s="1"/>
  <c r="CM53" i="4"/>
  <c r="CN53" i="4" s="1"/>
  <c r="DC53" i="4"/>
  <c r="DD53" i="4" s="1"/>
  <c r="CO53" i="4"/>
  <c r="CP53" i="4" s="1"/>
  <c r="DE53" i="4"/>
  <c r="DF53" i="4" s="1"/>
  <c r="CB53" i="4"/>
  <c r="CQ53" i="4"/>
  <c r="CR53" i="4" s="1"/>
  <c r="AY49" i="4"/>
  <c r="AZ49" i="4" s="1"/>
  <c r="AM49" i="4"/>
  <c r="AN49" i="4" s="1"/>
  <c r="AE49" i="4"/>
  <c r="AF49" i="4" s="1"/>
  <c r="W49" i="4"/>
  <c r="X49" i="4" s="1"/>
  <c r="O49" i="4"/>
  <c r="P49" i="4" s="1"/>
  <c r="AQ49" i="4"/>
  <c r="AR49" i="4" s="1"/>
  <c r="AI49" i="4"/>
  <c r="AJ49" i="4" s="1"/>
  <c r="AA49" i="4"/>
  <c r="AB49" i="4" s="1"/>
  <c r="S49" i="4"/>
  <c r="T49" i="4" s="1"/>
  <c r="K49" i="4"/>
  <c r="L49" i="4" s="1"/>
  <c r="DO47" i="4"/>
  <c r="DP47" i="4" s="1"/>
  <c r="DQ47" i="4"/>
  <c r="DR47" i="4" s="1"/>
  <c r="DI47" i="4"/>
  <c r="DJ47" i="4" s="1"/>
  <c r="DA47" i="4"/>
  <c r="DB47" i="4" s="1"/>
  <c r="CS47" i="4"/>
  <c r="CT47" i="4" s="1"/>
  <c r="CK47" i="4"/>
  <c r="CL47" i="4" s="1"/>
  <c r="CC47" i="4"/>
  <c r="CD47" i="4" s="1"/>
  <c r="DM47" i="4"/>
  <c r="DN47" i="4" s="1"/>
  <c r="DE47" i="4"/>
  <c r="DF47" i="4" s="1"/>
  <c r="CW47" i="4"/>
  <c r="CX47" i="4" s="1"/>
  <c r="CO47" i="4"/>
  <c r="CP47" i="4" s="1"/>
  <c r="CG47" i="4"/>
  <c r="CH47" i="4" s="1"/>
  <c r="AG19" i="4"/>
  <c r="AH19" i="4" s="1"/>
  <c r="ER45" i="4"/>
  <c r="ES45" i="4" s="1"/>
  <c r="CA45" i="4"/>
  <c r="AQ19" i="4"/>
  <c r="AR19" i="4" s="1"/>
  <c r="Q19" i="4"/>
  <c r="R19" i="4" s="1"/>
  <c r="DO43" i="4"/>
  <c r="DP43" i="4" s="1"/>
  <c r="DM43" i="4"/>
  <c r="DN43" i="4" s="1"/>
  <c r="DE43" i="4"/>
  <c r="DF43" i="4" s="1"/>
  <c r="CW43" i="4"/>
  <c r="CX43" i="4" s="1"/>
  <c r="CO43" i="4"/>
  <c r="CP43" i="4" s="1"/>
  <c r="CG43" i="4"/>
  <c r="CH43" i="4" s="1"/>
  <c r="DI43" i="4"/>
  <c r="DJ43" i="4" s="1"/>
  <c r="CS43" i="4"/>
  <c r="CT43" i="4" s="1"/>
  <c r="DA43" i="4"/>
  <c r="DB43" i="4" s="1"/>
  <c r="CC43" i="4"/>
  <c r="CD43" i="4" s="1"/>
  <c r="DQ43" i="4"/>
  <c r="DR43" i="4" s="1"/>
  <c r="CK43" i="4"/>
  <c r="CL43" i="4" s="1"/>
  <c r="GG42" i="4"/>
  <c r="GH42" i="4" s="1"/>
  <c r="FQ42" i="4"/>
  <c r="FR42" i="4" s="1"/>
  <c r="FA42" i="4"/>
  <c r="FB42" i="4" s="1"/>
  <c r="GC42" i="4"/>
  <c r="GD42" i="4" s="1"/>
  <c r="FM42" i="4"/>
  <c r="FN42" i="4" s="1"/>
  <c r="EW42" i="4"/>
  <c r="EX42" i="4" s="1"/>
  <c r="FY42" i="4"/>
  <c r="FZ42" i="4" s="1"/>
  <c r="ET42" i="4"/>
  <c r="FU42" i="4"/>
  <c r="FV42" i="4" s="1"/>
  <c r="FE42" i="4"/>
  <c r="FF42" i="4" s="1"/>
  <c r="FI42" i="4"/>
  <c r="FJ42" i="4" s="1"/>
  <c r="AW19" i="4"/>
  <c r="AX19" i="4" s="1"/>
  <c r="DO39" i="4"/>
  <c r="DP39" i="4" s="1"/>
  <c r="DQ39" i="4"/>
  <c r="DR39" i="4" s="1"/>
  <c r="DI39" i="4"/>
  <c r="DJ39" i="4" s="1"/>
  <c r="DA39" i="4"/>
  <c r="DB39" i="4" s="1"/>
  <c r="CS39" i="4"/>
  <c r="CT39" i="4" s="1"/>
  <c r="CK39" i="4"/>
  <c r="CL39" i="4" s="1"/>
  <c r="CC39" i="4"/>
  <c r="CD39" i="4" s="1"/>
  <c r="CW39" i="4"/>
  <c r="CX39" i="4" s="1"/>
  <c r="DM39" i="4"/>
  <c r="DN39" i="4" s="1"/>
  <c r="CO39" i="4"/>
  <c r="CP39" i="4" s="1"/>
  <c r="DE39" i="4"/>
  <c r="DF39" i="4" s="1"/>
  <c r="CG39" i="4"/>
  <c r="CH39" i="4" s="1"/>
  <c r="AU19" i="4"/>
  <c r="AV19" i="4" s="1"/>
  <c r="AK19" i="4"/>
  <c r="AL19" i="4" s="1"/>
  <c r="U19" i="4"/>
  <c r="V19" i="4" s="1"/>
  <c r="AM19" i="4"/>
  <c r="AN19" i="4" s="1"/>
  <c r="AS19" i="4"/>
  <c r="AT19" i="4" s="1"/>
  <c r="AC19" i="4"/>
  <c r="AD19" i="4" s="1"/>
  <c r="M19" i="4"/>
  <c r="N19" i="4" s="1"/>
  <c r="AO19" i="4"/>
  <c r="AP19" i="4" s="1"/>
  <c r="Y19" i="4"/>
  <c r="Z19" i="4" s="1"/>
  <c r="CA38" i="4"/>
  <c r="ER38" i="4"/>
  <c r="ES38" i="4" s="1"/>
  <c r="DK37" i="4"/>
  <c r="DL37" i="4" s="1"/>
  <c r="CM37" i="4"/>
  <c r="CN37" i="4" s="1"/>
  <c r="ER35" i="4"/>
  <c r="ES35" i="4" s="1"/>
  <c r="CA35" i="4"/>
  <c r="CA19" i="4"/>
  <c r="DK19" i="4" s="1"/>
  <c r="DL19" i="4" s="1"/>
  <c r="AY19" i="4"/>
  <c r="AZ19" i="4" s="1"/>
  <c r="AI19" i="4"/>
  <c r="AJ19" i="4" s="1"/>
  <c r="AA19" i="4"/>
  <c r="AB19" i="4" s="1"/>
  <c r="S19" i="4"/>
  <c r="T19" i="4" s="1"/>
  <c r="K19" i="4"/>
  <c r="L19" i="4" s="1"/>
  <c r="W19" i="4"/>
  <c r="X19" i="4" s="1"/>
  <c r="AE19" i="4"/>
  <c r="AF19" i="4" s="1"/>
  <c r="O19" i="4"/>
  <c r="P19" i="4" s="1"/>
  <c r="GC34" i="4"/>
  <c r="GD34" i="4" s="1"/>
  <c r="EY34" i="4"/>
  <c r="EZ34" i="4" s="1"/>
  <c r="FE34" i="4"/>
  <c r="FF34" i="4" s="1"/>
  <c r="ER54" i="4"/>
  <c r="ES54" i="4" s="1"/>
  <c r="CA54" i="4"/>
  <c r="DO34" i="4"/>
  <c r="DP34" i="4" s="1"/>
  <c r="DM34" i="4"/>
  <c r="DN34" i="4" s="1"/>
  <c r="FU146" i="4"/>
  <c r="FV146" i="4" s="1"/>
  <c r="EU146" i="4"/>
  <c r="EV146" i="4" s="1"/>
  <c r="FK146" i="4"/>
  <c r="FL146" i="4" s="1"/>
  <c r="GA146" i="4"/>
  <c r="GB146" i="4" s="1"/>
  <c r="FE146" i="4"/>
  <c r="FF146" i="4" s="1"/>
  <c r="ER148" i="4"/>
  <c r="ES148" i="4" s="1"/>
  <c r="CA148" i="4"/>
  <c r="FK145" i="4"/>
  <c r="FL145" i="4" s="1"/>
  <c r="EY145" i="4"/>
  <c r="EZ145" i="4" s="1"/>
  <c r="FG145" i="4"/>
  <c r="FH145" i="4" s="1"/>
  <c r="DK145" i="4"/>
  <c r="DL145" i="4" s="1"/>
  <c r="CW145" i="4"/>
  <c r="CX145" i="4" s="1"/>
  <c r="CO145" i="4"/>
  <c r="CP145" i="4" s="1"/>
  <c r="CG145" i="4"/>
  <c r="CH145" i="4" s="1"/>
  <c r="DC145" i="4"/>
  <c r="DD145" i="4" s="1"/>
  <c r="CK145" i="4"/>
  <c r="CL145" i="4" s="1"/>
  <c r="DG145" i="4"/>
  <c r="DH145" i="4" s="1"/>
  <c r="CU145" i="4"/>
  <c r="CV145" i="4" s="1"/>
  <c r="CM145" i="4"/>
  <c r="CN145" i="4" s="1"/>
  <c r="CE145" i="4"/>
  <c r="CF145" i="4" s="1"/>
  <c r="CS145" i="4"/>
  <c r="CT145" i="4" s="1"/>
  <c r="CC145" i="4"/>
  <c r="CD145" i="4" s="1"/>
  <c r="DO145" i="4"/>
  <c r="DP145" i="4" s="1"/>
  <c r="CY145" i="4"/>
  <c r="CZ145" i="4" s="1"/>
  <c r="CQ145" i="4"/>
  <c r="CR145" i="4" s="1"/>
  <c r="CI145" i="4"/>
  <c r="CJ145" i="4" s="1"/>
  <c r="CB145" i="4"/>
  <c r="AC57" i="4"/>
  <c r="AD57" i="4" s="1"/>
  <c r="J57" i="4"/>
  <c r="AA57" i="4"/>
  <c r="AB57" i="4" s="1"/>
  <c r="AO20" i="4"/>
  <c r="AP20" i="4" s="1"/>
  <c r="Y20" i="4"/>
  <c r="Z20" i="4" s="1"/>
  <c r="J20" i="4"/>
  <c r="AM20" i="4"/>
  <c r="AN20" i="4" s="1"/>
  <c r="W20" i="4"/>
  <c r="X20" i="4" s="1"/>
  <c r="AU57" i="4"/>
  <c r="AV57" i="4" s="1"/>
  <c r="AO57" i="4"/>
  <c r="AP57" i="4" s="1"/>
  <c r="AE57" i="4"/>
  <c r="AF57" i="4" s="1"/>
  <c r="Y57" i="4"/>
  <c r="Z57" i="4" s="1"/>
  <c r="O57" i="4"/>
  <c r="P57" i="4" s="1"/>
  <c r="AS57" i="4"/>
  <c r="AT57" i="4" s="1"/>
  <c r="Q57" i="4"/>
  <c r="R57" i="4" s="1"/>
  <c r="AQ57" i="4"/>
  <c r="AR57" i="4" s="1"/>
  <c r="AW57" i="4"/>
  <c r="AX57" i="4" s="1"/>
  <c r="ER20" i="4"/>
  <c r="ES20" i="4" s="1"/>
  <c r="CA20" i="4"/>
  <c r="S57" i="4"/>
  <c r="T57" i="4" s="1"/>
  <c r="AY57" i="4"/>
  <c r="AZ57" i="4" s="1"/>
  <c r="U57" i="4"/>
  <c r="V57" i="4" s="1"/>
  <c r="W57" i="4"/>
  <c r="X57" i="4" s="1"/>
  <c r="DO60" i="4"/>
  <c r="DP60" i="4" s="1"/>
  <c r="DQ60" i="4"/>
  <c r="DR60" i="4" s="1"/>
  <c r="DI60" i="4"/>
  <c r="DJ60" i="4" s="1"/>
  <c r="DA60" i="4"/>
  <c r="DB60" i="4" s="1"/>
  <c r="CS60" i="4"/>
  <c r="CT60" i="4" s="1"/>
  <c r="CK60" i="4"/>
  <c r="CL60" i="4" s="1"/>
  <c r="CC60" i="4"/>
  <c r="CD60" i="4" s="1"/>
  <c r="CW60" i="4"/>
  <c r="CX60" i="4" s="1"/>
  <c r="DE60" i="4"/>
  <c r="DF60" i="4" s="1"/>
  <c r="CG60" i="4"/>
  <c r="CH60" i="4" s="1"/>
  <c r="DM60" i="4"/>
  <c r="DN60" i="4" s="1"/>
  <c r="CO60" i="4"/>
  <c r="CP60" i="4" s="1"/>
  <c r="CC89" i="4"/>
  <c r="CD89" i="4" s="1"/>
  <c r="DO89" i="4"/>
  <c r="DP89" i="4" s="1"/>
  <c r="CS89" i="4"/>
  <c r="CT89" i="4" s="1"/>
  <c r="CY89" i="4"/>
  <c r="CZ89" i="4" s="1"/>
  <c r="DI89" i="4"/>
  <c r="DJ89" i="4" s="1"/>
  <c r="CI89" i="4"/>
  <c r="CJ89" i="4" s="1"/>
  <c r="ER66" i="4"/>
  <c r="ES66" i="4" s="1"/>
  <c r="CA66" i="4"/>
  <c r="DM89" i="4"/>
  <c r="DN89" i="4" s="1"/>
  <c r="CW89" i="4"/>
  <c r="CX89" i="4" s="1"/>
  <c r="CG89" i="4"/>
  <c r="CH89" i="4" s="1"/>
  <c r="DC89" i="4"/>
  <c r="DD89" i="4" s="1"/>
  <c r="CM89" i="4"/>
  <c r="CN89" i="4" s="1"/>
  <c r="DE89" i="4"/>
  <c r="DF89" i="4" s="1"/>
  <c r="CO89" i="4"/>
  <c r="CP89" i="4" s="1"/>
  <c r="DK89" i="4"/>
  <c r="DL89" i="4" s="1"/>
  <c r="CU89" i="4"/>
  <c r="CV89" i="4" s="1"/>
  <c r="CE89" i="4"/>
  <c r="CF89" i="4" s="1"/>
  <c r="DA89" i="4"/>
  <c r="DB89" i="4" s="1"/>
  <c r="CK89" i="4"/>
  <c r="CL89" i="4" s="1"/>
  <c r="DG89" i="4"/>
  <c r="DH89" i="4" s="1"/>
  <c r="CQ89" i="4"/>
  <c r="CR89" i="4" s="1"/>
  <c r="CB89" i="4"/>
  <c r="S89" i="4"/>
  <c r="T89" i="4" s="1"/>
  <c r="AK89" i="4"/>
  <c r="AL89" i="4" s="1"/>
  <c r="AY89" i="4"/>
  <c r="AZ89" i="4" s="1"/>
  <c r="U89" i="4"/>
  <c r="V89" i="4" s="1"/>
  <c r="O89" i="4"/>
  <c r="P89" i="4" s="1"/>
  <c r="AE89" i="4"/>
  <c r="AF89" i="4" s="1"/>
  <c r="AU89" i="4"/>
  <c r="AV89" i="4" s="1"/>
  <c r="Q89" i="4"/>
  <c r="R89" i="4" s="1"/>
  <c r="AG89" i="4"/>
  <c r="AH89" i="4" s="1"/>
  <c r="AW89" i="4"/>
  <c r="AX89" i="4" s="1"/>
  <c r="W89" i="4"/>
  <c r="X89" i="4" s="1"/>
  <c r="AM89" i="4"/>
  <c r="AN89" i="4" s="1"/>
  <c r="J89" i="4"/>
  <c r="Y89" i="4"/>
  <c r="Z89" i="4" s="1"/>
  <c r="AO89" i="4"/>
  <c r="AP89" i="4" s="1"/>
  <c r="K89" i="4"/>
  <c r="L89" i="4" s="1"/>
  <c r="AA89" i="4"/>
  <c r="AB89" i="4" s="1"/>
  <c r="AQ89" i="4"/>
  <c r="AR89" i="4" s="1"/>
  <c r="M89" i="4"/>
  <c r="N89" i="4" s="1"/>
  <c r="AC89" i="4"/>
  <c r="AD89" i="4" s="1"/>
  <c r="FE72" i="4"/>
  <c r="FF72" i="4" s="1"/>
  <c r="FU72" i="4"/>
  <c r="FV72" i="4" s="1"/>
  <c r="EU72" i="4"/>
  <c r="EV72" i="4" s="1"/>
  <c r="FK72" i="4"/>
  <c r="FL72" i="4" s="1"/>
  <c r="GA72" i="4"/>
  <c r="GB72" i="4" s="1"/>
  <c r="ET72" i="4"/>
  <c r="FI72" i="4"/>
  <c r="FJ72" i="4" s="1"/>
  <c r="FY72" i="4"/>
  <c r="FZ72" i="4" s="1"/>
  <c r="EY72" i="4"/>
  <c r="EZ72" i="4" s="1"/>
  <c r="FO72" i="4"/>
  <c r="FP72" i="4" s="1"/>
  <c r="GE72" i="4"/>
  <c r="GF72" i="4" s="1"/>
  <c r="EW72" i="4"/>
  <c r="EX72" i="4" s="1"/>
  <c r="FM72" i="4"/>
  <c r="FN72" i="4" s="1"/>
  <c r="GC72" i="4"/>
  <c r="GD72" i="4" s="1"/>
  <c r="FC72" i="4"/>
  <c r="FD72" i="4" s="1"/>
  <c r="FS72" i="4"/>
  <c r="FT72" i="4" s="1"/>
  <c r="CA65" i="4"/>
  <c r="ER65" i="4"/>
  <c r="ES65" i="4" s="1"/>
  <c r="FK24" i="4"/>
  <c r="FL24" i="4" s="1"/>
  <c r="DC24" i="4"/>
  <c r="DD24" i="4" s="1"/>
  <c r="CM24" i="4"/>
  <c r="CN24" i="4" s="1"/>
  <c r="DK24" i="4"/>
  <c r="DL24" i="4" s="1"/>
  <c r="CU24" i="4"/>
  <c r="CV24" i="4" s="1"/>
  <c r="CE24" i="4"/>
  <c r="CF24" i="4" s="1"/>
  <c r="DG24" i="4"/>
  <c r="DH24" i="4" s="1"/>
  <c r="CQ24" i="4"/>
  <c r="CR24" i="4" s="1"/>
  <c r="Q113" i="4"/>
  <c r="R113" i="4" s="1"/>
  <c r="DK113" i="4"/>
  <c r="DL113" i="4" s="1"/>
  <c r="O113" i="4"/>
  <c r="P113" i="4" s="1"/>
  <c r="AG113" i="4"/>
  <c r="AH113" i="4" s="1"/>
  <c r="ER22" i="4"/>
  <c r="ES22" i="4" s="1"/>
  <c r="CO22" i="4"/>
  <c r="CP22" i="4" s="1"/>
  <c r="DO112" i="4"/>
  <c r="DP112" i="4" s="1"/>
  <c r="DE112" i="4"/>
  <c r="DF112" i="4" s="1"/>
  <c r="CO112" i="4"/>
  <c r="CP112" i="4" s="1"/>
  <c r="CG112" i="4"/>
  <c r="CH112" i="4" s="1"/>
  <c r="CB112" i="4"/>
  <c r="DQ112" i="4"/>
  <c r="DR112" i="4" s="1"/>
  <c r="DA112" i="4"/>
  <c r="DB112" i="4" s="1"/>
  <c r="CK112" i="4"/>
  <c r="CL112" i="4" s="1"/>
  <c r="CE112" i="4"/>
  <c r="CF112" i="4" s="1"/>
  <c r="CS112" i="4"/>
  <c r="CT112" i="4" s="1"/>
  <c r="DM112" i="4"/>
  <c r="DN112" i="4" s="1"/>
  <c r="CW112" i="4"/>
  <c r="CX112" i="4" s="1"/>
  <c r="CI112" i="4"/>
  <c r="CJ112" i="4" s="1"/>
  <c r="DI112" i="4"/>
  <c r="DJ112" i="4" s="1"/>
  <c r="CC112" i="4"/>
  <c r="CD112" i="4" s="1"/>
  <c r="CQ22" i="4"/>
  <c r="CR22" i="4" s="1"/>
  <c r="DI22" i="4"/>
  <c r="DJ22" i="4" s="1"/>
  <c r="W95" i="4"/>
  <c r="X95" i="4" s="1"/>
  <c r="AM95" i="4"/>
  <c r="AN95" i="4" s="1"/>
  <c r="J95" i="4"/>
  <c r="Y95" i="4"/>
  <c r="Z95" i="4" s="1"/>
  <c r="AO95" i="4"/>
  <c r="AP95" i="4" s="1"/>
  <c r="EU95" i="4"/>
  <c r="EV95" i="4" s="1"/>
  <c r="FK95" i="4"/>
  <c r="FL95" i="4" s="1"/>
  <c r="GA95" i="4"/>
  <c r="GB95" i="4" s="1"/>
  <c r="EW95" i="4"/>
  <c r="EX95" i="4" s="1"/>
  <c r="FM95" i="4"/>
  <c r="FN95" i="4" s="1"/>
  <c r="GC95" i="4"/>
  <c r="GD95" i="4" s="1"/>
  <c r="CM22" i="4"/>
  <c r="CN22" i="4" s="1"/>
  <c r="CG22" i="4"/>
  <c r="CH22" i="4" s="1"/>
  <c r="DM22" i="4"/>
  <c r="DN22" i="4" s="1"/>
  <c r="O95" i="4"/>
  <c r="P95" i="4" s="1"/>
  <c r="AE95" i="4"/>
  <c r="AF95" i="4" s="1"/>
  <c r="AU95" i="4"/>
  <c r="AV95" i="4" s="1"/>
  <c r="Q95" i="4"/>
  <c r="R95" i="4" s="1"/>
  <c r="AG95" i="4"/>
  <c r="AH95" i="4" s="1"/>
  <c r="AW95" i="4"/>
  <c r="AX95" i="4" s="1"/>
  <c r="FC95" i="4"/>
  <c r="FD95" i="4" s="1"/>
  <c r="FS95" i="4"/>
  <c r="FT95" i="4" s="1"/>
  <c r="GI95" i="4"/>
  <c r="GJ95" i="4" s="1"/>
  <c r="FE95" i="4"/>
  <c r="FF95" i="4" s="1"/>
  <c r="DC22" i="4"/>
  <c r="DD22" i="4" s="1"/>
  <c r="DE22" i="4"/>
  <c r="DF22" i="4" s="1"/>
  <c r="S95" i="4"/>
  <c r="T95" i="4" s="1"/>
  <c r="AI95" i="4"/>
  <c r="AJ95" i="4" s="1"/>
  <c r="AY95" i="4"/>
  <c r="AZ95" i="4" s="1"/>
  <c r="U95" i="4"/>
  <c r="V95" i="4" s="1"/>
  <c r="AA22" i="4"/>
  <c r="AB22" i="4" s="1"/>
  <c r="CI22" i="4"/>
  <c r="CJ22" i="4" s="1"/>
  <c r="DG22" i="4"/>
  <c r="DH22" i="4" s="1"/>
  <c r="CS22" i="4"/>
  <c r="CT22" i="4" s="1"/>
  <c r="AG22" i="4"/>
  <c r="AH22" i="4" s="1"/>
  <c r="Q22" i="4"/>
  <c r="R22" i="4" s="1"/>
  <c r="AQ22" i="4"/>
  <c r="AR22" i="4" s="1"/>
  <c r="AK22" i="4"/>
  <c r="AL22" i="4" s="1"/>
  <c r="U22" i="4"/>
  <c r="V22" i="4" s="1"/>
  <c r="AU22" i="4"/>
  <c r="AV22" i="4" s="1"/>
  <c r="AE22" i="4"/>
  <c r="AF22" i="4" s="1"/>
  <c r="O22" i="4"/>
  <c r="P22" i="4" s="1"/>
  <c r="CB22" i="4"/>
  <c r="CY22" i="4"/>
  <c r="CZ22" i="4" s="1"/>
  <c r="CC22" i="4"/>
  <c r="CD22" i="4" s="1"/>
  <c r="CW22" i="4"/>
  <c r="CX22" i="4" s="1"/>
  <c r="AS22" i="4"/>
  <c r="AT22" i="4" s="1"/>
  <c r="AC22" i="4"/>
  <c r="AD22" i="4" s="1"/>
  <c r="M22" i="4"/>
  <c r="N22" i="4" s="1"/>
  <c r="AM22" i="4"/>
  <c r="AN22" i="4" s="1"/>
  <c r="W22" i="4"/>
  <c r="X22" i="4" s="1"/>
  <c r="AO22" i="4"/>
  <c r="AP22" i="4" s="1"/>
  <c r="Y22" i="4"/>
  <c r="Z22" i="4" s="1"/>
  <c r="J22" i="4"/>
  <c r="AY22" i="4"/>
  <c r="AZ22" i="4" s="1"/>
  <c r="AI22" i="4"/>
  <c r="AJ22" i="4" s="1"/>
  <c r="S22" i="4"/>
  <c r="T22" i="4" s="1"/>
  <c r="EU96" i="4"/>
  <c r="EV96" i="4" s="1"/>
  <c r="FK96" i="4"/>
  <c r="FL96" i="4" s="1"/>
  <c r="GA96" i="4"/>
  <c r="GB96" i="4" s="1"/>
  <c r="CY113" i="4"/>
  <c r="CZ113" i="4" s="1"/>
  <c r="CI113" i="4"/>
  <c r="CJ113" i="4" s="1"/>
  <c r="K113" i="4"/>
  <c r="L113" i="4" s="1"/>
  <c r="AA113" i="4"/>
  <c r="AB113" i="4" s="1"/>
  <c r="AQ113" i="4"/>
  <c r="AR113" i="4" s="1"/>
  <c r="M113" i="4"/>
  <c r="N113" i="4" s="1"/>
  <c r="AC113" i="4"/>
  <c r="AD113" i="4" s="1"/>
  <c r="AS113" i="4"/>
  <c r="AT113" i="4" s="1"/>
  <c r="DG113" i="4"/>
  <c r="DH113" i="4" s="1"/>
  <c r="CQ113" i="4"/>
  <c r="CR113" i="4" s="1"/>
  <c r="CB113" i="4"/>
  <c r="S113" i="4"/>
  <c r="T113" i="4" s="1"/>
  <c r="AI113" i="4"/>
  <c r="AJ113" i="4" s="1"/>
  <c r="AY113" i="4"/>
  <c r="AZ113" i="4" s="1"/>
  <c r="U113" i="4"/>
  <c r="V113" i="4" s="1"/>
  <c r="AK113" i="4"/>
  <c r="AL113" i="4" s="1"/>
  <c r="DC113" i="4"/>
  <c r="DD113" i="4" s="1"/>
  <c r="W113" i="4"/>
  <c r="X113" i="4" s="1"/>
  <c r="AM113" i="4"/>
  <c r="AN113" i="4" s="1"/>
  <c r="J113" i="4"/>
  <c r="Y113" i="4"/>
  <c r="Z113" i="4" s="1"/>
  <c r="CE22" i="4"/>
  <c r="CF22" i="4" s="1"/>
  <c r="CU22" i="4"/>
  <c r="CV22" i="4" s="1"/>
  <c r="DK22" i="4"/>
  <c r="DL22" i="4" s="1"/>
  <c r="CK22" i="4"/>
  <c r="CL22" i="4" s="1"/>
  <c r="DA22" i="4"/>
  <c r="DB22" i="4" s="1"/>
  <c r="DO113" i="4"/>
  <c r="DP113" i="4" s="1"/>
  <c r="DM113" i="4"/>
  <c r="DN113" i="4" s="1"/>
  <c r="DE113" i="4"/>
  <c r="DF113" i="4" s="1"/>
  <c r="CW113" i="4"/>
  <c r="CX113" i="4" s="1"/>
  <c r="CO113" i="4"/>
  <c r="CP113" i="4" s="1"/>
  <c r="CG113" i="4"/>
  <c r="CH113" i="4" s="1"/>
  <c r="DI113" i="4"/>
  <c r="DJ113" i="4" s="1"/>
  <c r="CC113" i="4"/>
  <c r="CD113" i="4" s="1"/>
  <c r="DQ113" i="4"/>
  <c r="DR113" i="4" s="1"/>
  <c r="CS113" i="4"/>
  <c r="CT113" i="4" s="1"/>
  <c r="DA113" i="4"/>
  <c r="DB113" i="4" s="1"/>
  <c r="CK113" i="4"/>
  <c r="CL113" i="4" s="1"/>
  <c r="FI24" i="4"/>
  <c r="FJ24" i="4" s="1"/>
  <c r="FW24" i="4"/>
  <c r="FX24" i="4" s="1"/>
  <c r="FG24" i="4"/>
  <c r="FH24" i="4" s="1"/>
  <c r="AY131" i="4"/>
  <c r="AZ131" i="4" s="1"/>
  <c r="AI131" i="4"/>
  <c r="AJ131" i="4" s="1"/>
  <c r="S131" i="4"/>
  <c r="T131" i="4" s="1"/>
  <c r="AM131" i="4"/>
  <c r="AN131" i="4" s="1"/>
  <c r="AU131" i="4"/>
  <c r="AV131" i="4" s="1"/>
  <c r="AE131" i="4"/>
  <c r="AF131" i="4" s="1"/>
  <c r="O131" i="4"/>
  <c r="P131" i="4" s="1"/>
  <c r="W131" i="4"/>
  <c r="X131" i="4" s="1"/>
  <c r="M131" i="4"/>
  <c r="N131" i="4" s="1"/>
  <c r="AC131" i="4"/>
  <c r="AD131" i="4" s="1"/>
  <c r="AS131" i="4"/>
  <c r="AT131" i="4" s="1"/>
  <c r="FU24" i="4"/>
  <c r="FV24" i="4" s="1"/>
  <c r="FE24" i="4"/>
  <c r="FF24" i="4" s="1"/>
  <c r="GI24" i="4"/>
  <c r="GJ24" i="4" s="1"/>
  <c r="FS24" i="4"/>
  <c r="FT24" i="4" s="1"/>
  <c r="FC24" i="4"/>
  <c r="FD24" i="4" s="1"/>
  <c r="I27" i="4"/>
  <c r="AC27" i="4" s="1"/>
  <c r="AD27" i="4" s="1"/>
  <c r="FY24" i="4"/>
  <c r="FZ24" i="4" s="1"/>
  <c r="ET24" i="4"/>
  <c r="Q131" i="4"/>
  <c r="R131" i="4" s="1"/>
  <c r="AG131" i="4"/>
  <c r="AH131" i="4" s="1"/>
  <c r="AW131" i="4"/>
  <c r="AX131" i="4" s="1"/>
  <c r="AQ131" i="4"/>
  <c r="AR131" i="4" s="1"/>
  <c r="FQ24" i="4"/>
  <c r="FR24" i="4" s="1"/>
  <c r="FA24" i="4"/>
  <c r="FB24" i="4" s="1"/>
  <c r="GE24" i="4"/>
  <c r="GF24" i="4" s="1"/>
  <c r="FO24" i="4"/>
  <c r="FP24" i="4" s="1"/>
  <c r="EY24" i="4"/>
  <c r="EZ24" i="4" s="1"/>
  <c r="DO24" i="4"/>
  <c r="DP24" i="4" s="1"/>
  <c r="DQ24" i="4"/>
  <c r="DR24" i="4" s="1"/>
  <c r="CS24" i="4"/>
  <c r="CT24" i="4" s="1"/>
  <c r="CC24" i="4"/>
  <c r="CD24" i="4" s="1"/>
  <c r="DM24" i="4"/>
  <c r="DN24" i="4" s="1"/>
  <c r="DE24" i="4"/>
  <c r="DF24" i="4" s="1"/>
  <c r="CW24" i="4"/>
  <c r="CX24" i="4" s="1"/>
  <c r="CO24" i="4"/>
  <c r="CP24" i="4" s="1"/>
  <c r="CG24" i="4"/>
  <c r="CH24" i="4" s="1"/>
  <c r="DA24" i="4"/>
  <c r="DB24" i="4" s="1"/>
  <c r="DI24" i="4"/>
  <c r="DJ24" i="4" s="1"/>
  <c r="CK24" i="4"/>
  <c r="CL24" i="4" s="1"/>
  <c r="D28" i="4"/>
  <c r="CE127" i="4"/>
  <c r="CF127" i="4" s="1"/>
  <c r="CS127" i="4"/>
  <c r="CT127" i="4" s="1"/>
  <c r="E28" i="4"/>
  <c r="H28" i="4" s="1"/>
  <c r="I28" i="4" s="1"/>
  <c r="AU28" i="4" s="1"/>
  <c r="AV28" i="4" s="1"/>
  <c r="DK127" i="4"/>
  <c r="DL127" i="4" s="1"/>
  <c r="CM127" i="4"/>
  <c r="CN127" i="4" s="1"/>
  <c r="DC127" i="4"/>
  <c r="DD127" i="4" s="1"/>
  <c r="CK122" i="4"/>
  <c r="CL122" i="4" s="1"/>
  <c r="DA122" i="4"/>
  <c r="DB122" i="4" s="1"/>
  <c r="DQ122" i="4"/>
  <c r="DR122" i="4" s="1"/>
  <c r="CB127" i="4"/>
  <c r="CQ127" i="4"/>
  <c r="CR127" i="4" s="1"/>
  <c r="DG127" i="4"/>
  <c r="DH127" i="4" s="1"/>
  <c r="DI127" i="4"/>
  <c r="DJ127" i="4" s="1"/>
  <c r="CO122" i="4"/>
  <c r="CP122" i="4" s="1"/>
  <c r="DE122" i="4"/>
  <c r="DF122" i="4" s="1"/>
  <c r="DC122" i="4"/>
  <c r="DD122" i="4" s="1"/>
  <c r="DK122" i="4"/>
  <c r="DL122" i="4" s="1"/>
  <c r="CY122" i="4"/>
  <c r="CZ122" i="4" s="1"/>
  <c r="CB122" i="4"/>
  <c r="CI122" i="4"/>
  <c r="CJ122" i="4" s="1"/>
  <c r="DG122" i="4"/>
  <c r="DH122" i="4" s="1"/>
  <c r="CE122" i="4"/>
  <c r="CF122" i="4" s="1"/>
  <c r="DO122" i="4"/>
  <c r="DP122" i="4" s="1"/>
  <c r="CQ122" i="4"/>
  <c r="CR122" i="4" s="1"/>
  <c r="CU122" i="4"/>
  <c r="CV122" i="4" s="1"/>
  <c r="CI127" i="4"/>
  <c r="CJ127" i="4" s="1"/>
  <c r="CY127" i="4"/>
  <c r="CZ127" i="4" s="1"/>
  <c r="DO127" i="4"/>
  <c r="DP127" i="4" s="1"/>
  <c r="CG122" i="4"/>
  <c r="CH122" i="4" s="1"/>
  <c r="CW122" i="4"/>
  <c r="CX122" i="4" s="1"/>
  <c r="DM122" i="4"/>
  <c r="DN122" i="4" s="1"/>
  <c r="FW122" i="4"/>
  <c r="FX122" i="4" s="1"/>
  <c r="FS122" i="4"/>
  <c r="FT122" i="4" s="1"/>
  <c r="EY122" i="4"/>
  <c r="EZ122" i="4" s="1"/>
  <c r="FO122" i="4"/>
  <c r="FP122" i="4" s="1"/>
  <c r="GE122" i="4"/>
  <c r="GF122" i="4" s="1"/>
  <c r="EU122" i="4"/>
  <c r="EV122" i="4" s="1"/>
  <c r="GI122" i="4"/>
  <c r="GJ122" i="4" s="1"/>
  <c r="FC122" i="4"/>
  <c r="FD122" i="4" s="1"/>
  <c r="FA127" i="4"/>
  <c r="FB127" i="4" s="1"/>
  <c r="FI127" i="4"/>
  <c r="FJ127" i="4" s="1"/>
  <c r="EU127" i="4"/>
  <c r="EV127" i="4" s="1"/>
  <c r="FK127" i="4"/>
  <c r="FL127" i="4" s="1"/>
  <c r="GA127" i="4"/>
  <c r="GB127" i="4" s="1"/>
  <c r="GG127" i="4"/>
  <c r="GH127" i="4" s="1"/>
  <c r="FE127" i="4"/>
  <c r="FF127" i="4" s="1"/>
  <c r="FC127" i="4"/>
  <c r="FD127" i="4" s="1"/>
  <c r="FS127" i="4"/>
  <c r="FT127" i="4" s="1"/>
  <c r="GI127" i="4"/>
  <c r="GJ127" i="4" s="1"/>
  <c r="ET127" i="4"/>
  <c r="FU127" i="4"/>
  <c r="FV127" i="4" s="1"/>
  <c r="FG127" i="4"/>
  <c r="FH127" i="4" s="1"/>
  <c r="AW127" i="4"/>
  <c r="AX127" i="4" s="1"/>
  <c r="AG127" i="4"/>
  <c r="AH127" i="4" s="1"/>
  <c r="Q127" i="4"/>
  <c r="R127" i="4" s="1"/>
  <c r="AS127" i="4"/>
  <c r="AT127" i="4" s="1"/>
  <c r="AC127" i="4"/>
  <c r="AD127" i="4" s="1"/>
  <c r="AO127" i="4"/>
  <c r="AP127" i="4" s="1"/>
  <c r="Y127" i="4"/>
  <c r="Z127" i="4" s="1"/>
  <c r="M127" i="4"/>
  <c r="N127" i="4" s="1"/>
  <c r="AK127" i="4"/>
  <c r="AL127" i="4" s="1"/>
  <c r="U127" i="4"/>
  <c r="V127" i="4" s="1"/>
  <c r="J127" i="4"/>
  <c r="BZ23" i="4"/>
  <c r="I23" i="4"/>
  <c r="DQ127" i="4"/>
  <c r="DR127" i="4" s="1"/>
  <c r="DM127" i="4"/>
  <c r="DN127" i="4" s="1"/>
  <c r="CW127" i="4"/>
  <c r="CX127" i="4" s="1"/>
  <c r="CG127" i="4"/>
  <c r="CH127" i="4" s="1"/>
  <c r="DE127" i="4"/>
  <c r="DF127" i="4" s="1"/>
  <c r="CO127" i="4"/>
  <c r="CP127" i="4" s="1"/>
  <c r="DA127" i="4"/>
  <c r="DB127" i="4" s="1"/>
  <c r="CK127" i="4"/>
  <c r="CL127" i="4" s="1"/>
  <c r="CA27" i="4"/>
  <c r="ER27" i="4"/>
  <c r="ES27" i="4" s="1"/>
  <c r="GC127" i="4"/>
  <c r="GD127" i="4" s="1"/>
  <c r="EW127" i="4"/>
  <c r="EX127" i="4" s="1"/>
  <c r="FM127" i="4"/>
  <c r="FN127" i="4" s="1"/>
  <c r="ER137" i="4"/>
  <c r="ES137" i="4" s="1"/>
  <c r="CA137" i="4"/>
  <c r="AW116" i="4"/>
  <c r="AX116" i="4" s="1"/>
  <c r="AS116" i="4"/>
  <c r="AT116" i="4" s="1"/>
  <c r="AO116" i="4"/>
  <c r="AP116" i="4" s="1"/>
  <c r="AK116" i="4"/>
  <c r="AL116" i="4" s="1"/>
  <c r="AG116" i="4"/>
  <c r="AH116" i="4" s="1"/>
  <c r="AC116" i="4"/>
  <c r="AD116" i="4" s="1"/>
  <c r="Y116" i="4"/>
  <c r="Z116" i="4" s="1"/>
  <c r="U116" i="4"/>
  <c r="V116" i="4" s="1"/>
  <c r="Q116" i="4"/>
  <c r="R116" i="4" s="1"/>
  <c r="M116" i="4"/>
  <c r="N116" i="4" s="1"/>
  <c r="J116" i="4"/>
  <c r="AU116" i="4"/>
  <c r="AV116" i="4" s="1"/>
  <c r="AE116" i="4"/>
  <c r="AF116" i="4" s="1"/>
  <c r="O116" i="4"/>
  <c r="P116" i="4" s="1"/>
  <c r="AQ116" i="4"/>
  <c r="AR116" i="4" s="1"/>
  <c r="AA116" i="4"/>
  <c r="AB116" i="4" s="1"/>
  <c r="K116" i="4"/>
  <c r="L116" i="4" s="1"/>
  <c r="AY116" i="4"/>
  <c r="AZ116" i="4" s="1"/>
  <c r="AI116" i="4"/>
  <c r="AJ116" i="4" s="1"/>
  <c r="S116" i="4"/>
  <c r="T116" i="4" s="1"/>
  <c r="W116" i="4"/>
  <c r="X116" i="4" s="1"/>
  <c r="AM116" i="4"/>
  <c r="AN116" i="4" s="1"/>
  <c r="ER103" i="4"/>
  <c r="ES103" i="4" s="1"/>
  <c r="CA103" i="4"/>
  <c r="AY69" i="4"/>
  <c r="AZ69" i="4" s="1"/>
  <c r="AU69" i="4"/>
  <c r="AV69" i="4" s="1"/>
  <c r="AQ69" i="4"/>
  <c r="AR69" i="4" s="1"/>
  <c r="AM69" i="4"/>
  <c r="AN69" i="4" s="1"/>
  <c r="AI69" i="4"/>
  <c r="AJ69" i="4" s="1"/>
  <c r="AE69" i="4"/>
  <c r="AF69" i="4" s="1"/>
  <c r="AA69" i="4"/>
  <c r="AB69" i="4" s="1"/>
  <c r="W69" i="4"/>
  <c r="X69" i="4" s="1"/>
  <c r="S69" i="4"/>
  <c r="T69" i="4" s="1"/>
  <c r="O69" i="4"/>
  <c r="P69" i="4" s="1"/>
  <c r="K69" i="4"/>
  <c r="L69" i="4" s="1"/>
  <c r="AK69" i="4"/>
  <c r="AL69" i="4" s="1"/>
  <c r="U69" i="4"/>
  <c r="V69" i="4" s="1"/>
  <c r="AW69" i="4"/>
  <c r="AX69" i="4" s="1"/>
  <c r="AG69" i="4"/>
  <c r="AH69" i="4" s="1"/>
  <c r="Q69" i="4"/>
  <c r="R69" i="4" s="1"/>
  <c r="AO69" i="4"/>
  <c r="AP69" i="4" s="1"/>
  <c r="Y69" i="4"/>
  <c r="Z69" i="4" s="1"/>
  <c r="J69" i="4"/>
  <c r="AS69" i="4"/>
  <c r="AT69" i="4" s="1"/>
  <c r="AC69" i="4"/>
  <c r="AD69" i="4" s="1"/>
  <c r="M69" i="4"/>
  <c r="N69" i="4" s="1"/>
  <c r="ER25" i="4"/>
  <c r="ES25" i="4" s="1"/>
  <c r="CA25" i="4"/>
  <c r="ER147" i="4"/>
  <c r="ES147" i="4" s="1"/>
  <c r="CA147" i="4"/>
  <c r="AS137" i="4"/>
  <c r="AT137" i="4" s="1"/>
  <c r="AK137" i="4"/>
  <c r="AL137" i="4" s="1"/>
  <c r="AC137" i="4"/>
  <c r="AD137" i="4" s="1"/>
  <c r="W137" i="4"/>
  <c r="X137" i="4" s="1"/>
  <c r="Q137" i="4"/>
  <c r="R137" i="4" s="1"/>
  <c r="AY137" i="4"/>
  <c r="AZ137" i="4" s="1"/>
  <c r="AQ137" i="4"/>
  <c r="AR137" i="4" s="1"/>
  <c r="AI137" i="4"/>
  <c r="AJ137" i="4" s="1"/>
  <c r="AA137" i="4"/>
  <c r="AB137" i="4" s="1"/>
  <c r="U137" i="4"/>
  <c r="V137" i="4" s="1"/>
  <c r="K137" i="4"/>
  <c r="L137" i="4" s="1"/>
  <c r="AU137" i="4"/>
  <c r="AV137" i="4" s="1"/>
  <c r="AM137" i="4"/>
  <c r="AN137" i="4" s="1"/>
  <c r="AE137" i="4"/>
  <c r="AF137" i="4" s="1"/>
  <c r="S137" i="4"/>
  <c r="T137" i="4" s="1"/>
  <c r="M137" i="4"/>
  <c r="N137" i="4" s="1"/>
  <c r="AG137" i="4"/>
  <c r="AH137" i="4" s="1"/>
  <c r="J137" i="4"/>
  <c r="Y137" i="4"/>
  <c r="Z137" i="4" s="1"/>
  <c r="AO137" i="4"/>
  <c r="AP137" i="4" s="1"/>
  <c r="O137" i="4"/>
  <c r="P137" i="4" s="1"/>
  <c r="AW137" i="4"/>
  <c r="AX137" i="4" s="1"/>
  <c r="GG154" i="4"/>
  <c r="GH154" i="4" s="1"/>
  <c r="GC154" i="4"/>
  <c r="GD154" i="4" s="1"/>
  <c r="FY154" i="4"/>
  <c r="FZ154" i="4" s="1"/>
  <c r="FU154" i="4"/>
  <c r="FV154" i="4" s="1"/>
  <c r="FQ154" i="4"/>
  <c r="FR154" i="4" s="1"/>
  <c r="FM154" i="4"/>
  <c r="FN154" i="4" s="1"/>
  <c r="FI154" i="4"/>
  <c r="FJ154" i="4" s="1"/>
  <c r="FE154" i="4"/>
  <c r="FF154" i="4" s="1"/>
  <c r="FA154" i="4"/>
  <c r="FB154" i="4" s="1"/>
  <c r="EW154" i="4"/>
  <c r="EX154" i="4" s="1"/>
  <c r="ET154" i="4"/>
  <c r="GI154" i="4"/>
  <c r="GJ154" i="4" s="1"/>
  <c r="GE154" i="4"/>
  <c r="GF154" i="4" s="1"/>
  <c r="GA154" i="4"/>
  <c r="GB154" i="4" s="1"/>
  <c r="FW154" i="4"/>
  <c r="FX154" i="4" s="1"/>
  <c r="FS154" i="4"/>
  <c r="FT154" i="4" s="1"/>
  <c r="FO154" i="4"/>
  <c r="FP154" i="4" s="1"/>
  <c r="FK154" i="4"/>
  <c r="FL154" i="4" s="1"/>
  <c r="FG154" i="4"/>
  <c r="FH154" i="4" s="1"/>
  <c r="FC154" i="4"/>
  <c r="FD154" i="4" s="1"/>
  <c r="EY154" i="4"/>
  <c r="EZ154" i="4" s="1"/>
  <c r="EU154" i="4"/>
  <c r="EV154" i="4" s="1"/>
  <c r="DQ140" i="4"/>
  <c r="DR140" i="4" s="1"/>
  <c r="DM140" i="4"/>
  <c r="DN140" i="4" s="1"/>
  <c r="DI140" i="4"/>
  <c r="DJ140" i="4" s="1"/>
  <c r="DE140" i="4"/>
  <c r="DF140" i="4" s="1"/>
  <c r="DA140" i="4"/>
  <c r="DB140" i="4" s="1"/>
  <c r="CW140" i="4"/>
  <c r="CX140" i="4" s="1"/>
  <c r="CS140" i="4"/>
  <c r="CT140" i="4" s="1"/>
  <c r="CO140" i="4"/>
  <c r="CP140" i="4" s="1"/>
  <c r="CK140" i="4"/>
  <c r="CL140" i="4" s="1"/>
  <c r="CG140" i="4"/>
  <c r="CH140" i="4" s="1"/>
  <c r="CC140" i="4"/>
  <c r="CD140" i="4" s="1"/>
  <c r="DC140" i="4"/>
  <c r="DD140" i="4" s="1"/>
  <c r="CM140" i="4"/>
  <c r="CN140" i="4" s="1"/>
  <c r="DG140" i="4"/>
  <c r="DH140" i="4" s="1"/>
  <c r="CQ140" i="4"/>
  <c r="CR140" i="4" s="1"/>
  <c r="CB140" i="4"/>
  <c r="DO140" i="4"/>
  <c r="DP140" i="4" s="1"/>
  <c r="CY140" i="4"/>
  <c r="CZ140" i="4" s="1"/>
  <c r="CI140" i="4"/>
  <c r="CJ140" i="4" s="1"/>
  <c r="CE140" i="4"/>
  <c r="CF140" i="4" s="1"/>
  <c r="CU140" i="4"/>
  <c r="CV140" i="4" s="1"/>
  <c r="DK140" i="4"/>
  <c r="DL140" i="4" s="1"/>
  <c r="DQ135" i="4"/>
  <c r="DR135" i="4" s="1"/>
  <c r="DK135" i="4"/>
  <c r="DL135" i="4" s="1"/>
  <c r="DA135" i="4"/>
  <c r="DB135" i="4" s="1"/>
  <c r="CU135" i="4"/>
  <c r="CV135" i="4" s="1"/>
  <c r="CK135" i="4"/>
  <c r="CL135" i="4" s="1"/>
  <c r="CE135" i="4"/>
  <c r="CF135" i="4" s="1"/>
  <c r="DO135" i="4"/>
  <c r="DP135" i="4" s="1"/>
  <c r="DE135" i="4"/>
  <c r="DF135" i="4" s="1"/>
  <c r="CY135" i="4"/>
  <c r="CZ135" i="4" s="1"/>
  <c r="CO135" i="4"/>
  <c r="CP135" i="4" s="1"/>
  <c r="CI135" i="4"/>
  <c r="CJ135" i="4" s="1"/>
  <c r="DM135" i="4"/>
  <c r="DN135" i="4" s="1"/>
  <c r="DG135" i="4"/>
  <c r="DH135" i="4" s="1"/>
  <c r="CW135" i="4"/>
  <c r="CX135" i="4" s="1"/>
  <c r="CQ135" i="4"/>
  <c r="CR135" i="4" s="1"/>
  <c r="CG135" i="4"/>
  <c r="CH135" i="4" s="1"/>
  <c r="CB135" i="4"/>
  <c r="CS135" i="4"/>
  <c r="CT135" i="4" s="1"/>
  <c r="DI135" i="4"/>
  <c r="DJ135" i="4" s="1"/>
  <c r="CM135" i="4"/>
  <c r="CN135" i="4" s="1"/>
  <c r="CC135" i="4"/>
  <c r="CD135" i="4" s="1"/>
  <c r="DC135" i="4"/>
  <c r="DD135" i="4" s="1"/>
  <c r="AY118" i="4"/>
  <c r="AZ118" i="4" s="1"/>
  <c r="AU118" i="4"/>
  <c r="AV118" i="4" s="1"/>
  <c r="AQ118" i="4"/>
  <c r="AR118" i="4" s="1"/>
  <c r="AM118" i="4"/>
  <c r="AN118" i="4" s="1"/>
  <c r="AI118" i="4"/>
  <c r="AJ118" i="4" s="1"/>
  <c r="AE118" i="4"/>
  <c r="AF118" i="4" s="1"/>
  <c r="AA118" i="4"/>
  <c r="AB118" i="4" s="1"/>
  <c r="W118" i="4"/>
  <c r="X118" i="4" s="1"/>
  <c r="S118" i="4"/>
  <c r="T118" i="4" s="1"/>
  <c r="O118" i="4"/>
  <c r="P118" i="4" s="1"/>
  <c r="K118" i="4"/>
  <c r="L118" i="4" s="1"/>
  <c r="AS118" i="4"/>
  <c r="AT118" i="4" s="1"/>
  <c r="AC118" i="4"/>
  <c r="AD118" i="4" s="1"/>
  <c r="M118" i="4"/>
  <c r="N118" i="4" s="1"/>
  <c r="AO118" i="4"/>
  <c r="AP118" i="4" s="1"/>
  <c r="Y118" i="4"/>
  <c r="Z118" i="4" s="1"/>
  <c r="J118" i="4"/>
  <c r="AW118" i="4"/>
  <c r="AX118" i="4" s="1"/>
  <c r="AG118" i="4"/>
  <c r="AH118" i="4" s="1"/>
  <c r="Q118" i="4"/>
  <c r="R118" i="4" s="1"/>
  <c r="U118" i="4"/>
  <c r="V118" i="4" s="1"/>
  <c r="AK118" i="4"/>
  <c r="AL118" i="4" s="1"/>
  <c r="DQ154" i="4"/>
  <c r="DR154" i="4" s="1"/>
  <c r="DM154" i="4"/>
  <c r="DN154" i="4" s="1"/>
  <c r="DI154" i="4"/>
  <c r="DJ154" i="4" s="1"/>
  <c r="DE154" i="4"/>
  <c r="DF154" i="4" s="1"/>
  <c r="DA154" i="4"/>
  <c r="DB154" i="4" s="1"/>
  <c r="CW154" i="4"/>
  <c r="CX154" i="4" s="1"/>
  <c r="CS154" i="4"/>
  <c r="CT154" i="4" s="1"/>
  <c r="CO154" i="4"/>
  <c r="CP154" i="4" s="1"/>
  <c r="CK154" i="4"/>
  <c r="CL154" i="4" s="1"/>
  <c r="CG154" i="4"/>
  <c r="CH154" i="4" s="1"/>
  <c r="CC154" i="4"/>
  <c r="CD154" i="4" s="1"/>
  <c r="DO154" i="4"/>
  <c r="DP154" i="4" s="1"/>
  <c r="DK154" i="4"/>
  <c r="DL154" i="4" s="1"/>
  <c r="DG154" i="4"/>
  <c r="DH154" i="4" s="1"/>
  <c r="DC154" i="4"/>
  <c r="DD154" i="4" s="1"/>
  <c r="CY154" i="4"/>
  <c r="CZ154" i="4" s="1"/>
  <c r="CU154" i="4"/>
  <c r="CV154" i="4" s="1"/>
  <c r="CQ154" i="4"/>
  <c r="CR154" i="4" s="1"/>
  <c r="CM154" i="4"/>
  <c r="CN154" i="4" s="1"/>
  <c r="CI154" i="4"/>
  <c r="CJ154" i="4" s="1"/>
  <c r="CE154" i="4"/>
  <c r="CF154" i="4" s="1"/>
  <c r="CB154" i="4"/>
  <c r="GG140" i="4"/>
  <c r="GH140" i="4" s="1"/>
  <c r="GC140" i="4"/>
  <c r="GD140" i="4" s="1"/>
  <c r="FY140" i="4"/>
  <c r="FZ140" i="4" s="1"/>
  <c r="FU140" i="4"/>
  <c r="FV140" i="4" s="1"/>
  <c r="FQ140" i="4"/>
  <c r="FR140" i="4" s="1"/>
  <c r="FM140" i="4"/>
  <c r="FN140" i="4" s="1"/>
  <c r="FI140" i="4"/>
  <c r="FJ140" i="4" s="1"/>
  <c r="FE140" i="4"/>
  <c r="FF140" i="4" s="1"/>
  <c r="FA140" i="4"/>
  <c r="FB140" i="4" s="1"/>
  <c r="EW140" i="4"/>
  <c r="EX140" i="4" s="1"/>
  <c r="ET140" i="4"/>
  <c r="FW140" i="4"/>
  <c r="FX140" i="4" s="1"/>
  <c r="FG140" i="4"/>
  <c r="FH140" i="4" s="1"/>
  <c r="GA140" i="4"/>
  <c r="GB140" i="4" s="1"/>
  <c r="FK140" i="4"/>
  <c r="FL140" i="4" s="1"/>
  <c r="EU140" i="4"/>
  <c r="EV140" i="4" s="1"/>
  <c r="GI140" i="4"/>
  <c r="GJ140" i="4" s="1"/>
  <c r="FS140" i="4"/>
  <c r="FT140" i="4" s="1"/>
  <c r="FC140" i="4"/>
  <c r="FD140" i="4" s="1"/>
  <c r="EY140" i="4"/>
  <c r="EZ140" i="4" s="1"/>
  <c r="GE140" i="4"/>
  <c r="GF140" i="4" s="1"/>
  <c r="FO140" i="4"/>
  <c r="FP140" i="4" s="1"/>
  <c r="DO136" i="4"/>
  <c r="DP136" i="4" s="1"/>
  <c r="DK136" i="4"/>
  <c r="DL136" i="4" s="1"/>
  <c r="DG136" i="4"/>
  <c r="DH136" i="4" s="1"/>
  <c r="DC136" i="4"/>
  <c r="DD136" i="4" s="1"/>
  <c r="CY136" i="4"/>
  <c r="CZ136" i="4" s="1"/>
  <c r="CU136" i="4"/>
  <c r="CV136" i="4" s="1"/>
  <c r="CQ136" i="4"/>
  <c r="CR136" i="4" s="1"/>
  <c r="CM136" i="4"/>
  <c r="CN136" i="4" s="1"/>
  <c r="CI136" i="4"/>
  <c r="CJ136" i="4" s="1"/>
  <c r="CE136" i="4"/>
  <c r="CF136" i="4" s="1"/>
  <c r="CB136" i="4"/>
  <c r="DQ136" i="4"/>
  <c r="DR136" i="4" s="1"/>
  <c r="DA136" i="4"/>
  <c r="DB136" i="4" s="1"/>
  <c r="CK136" i="4"/>
  <c r="CL136" i="4" s="1"/>
  <c r="DE136" i="4"/>
  <c r="DF136" i="4" s="1"/>
  <c r="CO136" i="4"/>
  <c r="CP136" i="4" s="1"/>
  <c r="DM136" i="4"/>
  <c r="DN136" i="4" s="1"/>
  <c r="CW136" i="4"/>
  <c r="CX136" i="4" s="1"/>
  <c r="CG136" i="4"/>
  <c r="CH136" i="4" s="1"/>
  <c r="DI136" i="4"/>
  <c r="DJ136" i="4" s="1"/>
  <c r="CS136" i="4"/>
  <c r="CT136" i="4" s="1"/>
  <c r="CC136" i="4"/>
  <c r="CD136" i="4" s="1"/>
  <c r="GI135" i="4"/>
  <c r="GJ135" i="4" s="1"/>
  <c r="FY135" i="4"/>
  <c r="FZ135" i="4" s="1"/>
  <c r="FS135" i="4"/>
  <c r="FT135" i="4" s="1"/>
  <c r="FI135" i="4"/>
  <c r="FJ135" i="4" s="1"/>
  <c r="FC135" i="4"/>
  <c r="FD135" i="4" s="1"/>
  <c r="ET135" i="4"/>
  <c r="GC135" i="4"/>
  <c r="GD135" i="4" s="1"/>
  <c r="FW135" i="4"/>
  <c r="FX135" i="4" s="1"/>
  <c r="FM135" i="4"/>
  <c r="FN135" i="4" s="1"/>
  <c r="FG135" i="4"/>
  <c r="FH135" i="4" s="1"/>
  <c r="EW135" i="4"/>
  <c r="EX135" i="4" s="1"/>
  <c r="GE135" i="4"/>
  <c r="GF135" i="4" s="1"/>
  <c r="FU135" i="4"/>
  <c r="FV135" i="4" s="1"/>
  <c r="FO135" i="4"/>
  <c r="FP135" i="4" s="1"/>
  <c r="FE135" i="4"/>
  <c r="FF135" i="4" s="1"/>
  <c r="EY135" i="4"/>
  <c r="EZ135" i="4" s="1"/>
  <c r="FA135" i="4"/>
  <c r="FB135" i="4" s="1"/>
  <c r="FQ135" i="4"/>
  <c r="FR135" i="4" s="1"/>
  <c r="EU135" i="4"/>
  <c r="EV135" i="4" s="1"/>
  <c r="GA135" i="4"/>
  <c r="GB135" i="4" s="1"/>
  <c r="FK135" i="4"/>
  <c r="FL135" i="4" s="1"/>
  <c r="GG135" i="4"/>
  <c r="GH135" i="4" s="1"/>
  <c r="AW125" i="4"/>
  <c r="AX125" i="4" s="1"/>
  <c r="AS125" i="4"/>
  <c r="AT125" i="4" s="1"/>
  <c r="AO125" i="4"/>
  <c r="AP125" i="4" s="1"/>
  <c r="AK125" i="4"/>
  <c r="AL125" i="4" s="1"/>
  <c r="AG125" i="4"/>
  <c r="AH125" i="4" s="1"/>
  <c r="AC125" i="4"/>
  <c r="AD125" i="4" s="1"/>
  <c r="Y125" i="4"/>
  <c r="Z125" i="4" s="1"/>
  <c r="U125" i="4"/>
  <c r="V125" i="4" s="1"/>
  <c r="Q125" i="4"/>
  <c r="R125" i="4" s="1"/>
  <c r="M125" i="4"/>
  <c r="N125" i="4" s="1"/>
  <c r="J125" i="4"/>
  <c r="AY125" i="4"/>
  <c r="AZ125" i="4" s="1"/>
  <c r="AI125" i="4"/>
  <c r="AJ125" i="4" s="1"/>
  <c r="S125" i="4"/>
  <c r="T125" i="4" s="1"/>
  <c r="AU125" i="4"/>
  <c r="AV125" i="4" s="1"/>
  <c r="AE125" i="4"/>
  <c r="AF125" i="4" s="1"/>
  <c r="O125" i="4"/>
  <c r="P125" i="4" s="1"/>
  <c r="AM125" i="4"/>
  <c r="AN125" i="4" s="1"/>
  <c r="W125" i="4"/>
  <c r="X125" i="4" s="1"/>
  <c r="AQ125" i="4"/>
  <c r="AR125" i="4" s="1"/>
  <c r="AA125" i="4"/>
  <c r="AB125" i="4" s="1"/>
  <c r="K125" i="4"/>
  <c r="L125" i="4" s="1"/>
  <c r="DQ131" i="4"/>
  <c r="DR131" i="4" s="1"/>
  <c r="DM131" i="4"/>
  <c r="DN131" i="4" s="1"/>
  <c r="DI131" i="4"/>
  <c r="DJ131" i="4" s="1"/>
  <c r="DE131" i="4"/>
  <c r="DF131" i="4" s="1"/>
  <c r="DA131" i="4"/>
  <c r="DB131" i="4" s="1"/>
  <c r="CW131" i="4"/>
  <c r="CX131" i="4" s="1"/>
  <c r="CS131" i="4"/>
  <c r="CT131" i="4" s="1"/>
  <c r="CO131" i="4"/>
  <c r="CP131" i="4" s="1"/>
  <c r="CK131" i="4"/>
  <c r="CL131" i="4" s="1"/>
  <c r="CG131" i="4"/>
  <c r="CH131" i="4" s="1"/>
  <c r="CC131" i="4"/>
  <c r="CD131" i="4" s="1"/>
  <c r="DC131" i="4"/>
  <c r="DD131" i="4" s="1"/>
  <c r="CM131" i="4"/>
  <c r="CN131" i="4" s="1"/>
  <c r="DG131" i="4"/>
  <c r="DH131" i="4" s="1"/>
  <c r="CQ131" i="4"/>
  <c r="CR131" i="4" s="1"/>
  <c r="CB131" i="4"/>
  <c r="DO131" i="4"/>
  <c r="DP131" i="4" s="1"/>
  <c r="CY131" i="4"/>
  <c r="CZ131" i="4" s="1"/>
  <c r="CI131" i="4"/>
  <c r="CJ131" i="4" s="1"/>
  <c r="CE131" i="4"/>
  <c r="CF131" i="4" s="1"/>
  <c r="DK131" i="4"/>
  <c r="DL131" i="4" s="1"/>
  <c r="CU131" i="4"/>
  <c r="CV131" i="4" s="1"/>
  <c r="GI119" i="4"/>
  <c r="GJ119" i="4" s="1"/>
  <c r="FY119" i="4"/>
  <c r="FZ119" i="4" s="1"/>
  <c r="FS119" i="4"/>
  <c r="FT119" i="4" s="1"/>
  <c r="FI119" i="4"/>
  <c r="FJ119" i="4" s="1"/>
  <c r="FC119" i="4"/>
  <c r="FD119" i="4" s="1"/>
  <c r="ET119" i="4"/>
  <c r="GC119" i="4"/>
  <c r="GD119" i="4" s="1"/>
  <c r="FW119" i="4"/>
  <c r="FX119" i="4" s="1"/>
  <c r="FM119" i="4"/>
  <c r="FN119" i="4" s="1"/>
  <c r="FG119" i="4"/>
  <c r="FH119" i="4" s="1"/>
  <c r="EW119" i="4"/>
  <c r="EX119" i="4" s="1"/>
  <c r="GE119" i="4"/>
  <c r="GF119" i="4" s="1"/>
  <c r="FU119" i="4"/>
  <c r="FV119" i="4" s="1"/>
  <c r="FO119" i="4"/>
  <c r="FP119" i="4" s="1"/>
  <c r="FE119" i="4"/>
  <c r="FF119" i="4" s="1"/>
  <c r="EY119" i="4"/>
  <c r="EZ119" i="4" s="1"/>
  <c r="FQ119" i="4"/>
  <c r="FR119" i="4" s="1"/>
  <c r="EU119" i="4"/>
  <c r="EV119" i="4" s="1"/>
  <c r="GG119" i="4"/>
  <c r="GH119" i="4" s="1"/>
  <c r="FK119" i="4"/>
  <c r="FL119" i="4" s="1"/>
  <c r="FA119" i="4"/>
  <c r="FB119" i="4" s="1"/>
  <c r="GA119" i="4"/>
  <c r="GB119" i="4" s="1"/>
  <c r="ER116" i="4"/>
  <c r="ES116" i="4" s="1"/>
  <c r="CA116" i="4"/>
  <c r="GI120" i="4"/>
  <c r="GJ120" i="4" s="1"/>
  <c r="GE120" i="4"/>
  <c r="GF120" i="4" s="1"/>
  <c r="GA120" i="4"/>
  <c r="GB120" i="4" s="1"/>
  <c r="FW120" i="4"/>
  <c r="FX120" i="4" s="1"/>
  <c r="FS120" i="4"/>
  <c r="FT120" i="4" s="1"/>
  <c r="FO120" i="4"/>
  <c r="FP120" i="4" s="1"/>
  <c r="FK120" i="4"/>
  <c r="FL120" i="4" s="1"/>
  <c r="FG120" i="4"/>
  <c r="FH120" i="4" s="1"/>
  <c r="FC120" i="4"/>
  <c r="FD120" i="4" s="1"/>
  <c r="EY120" i="4"/>
  <c r="EZ120" i="4" s="1"/>
  <c r="EU120" i="4"/>
  <c r="EV120" i="4" s="1"/>
  <c r="FY120" i="4"/>
  <c r="FZ120" i="4" s="1"/>
  <c r="FI120" i="4"/>
  <c r="FJ120" i="4" s="1"/>
  <c r="ET120" i="4"/>
  <c r="GC120" i="4"/>
  <c r="GD120" i="4" s="1"/>
  <c r="FM120" i="4"/>
  <c r="FN120" i="4" s="1"/>
  <c r="EW120" i="4"/>
  <c r="EX120" i="4" s="1"/>
  <c r="FU120" i="4"/>
  <c r="FV120" i="4" s="1"/>
  <c r="FE120" i="4"/>
  <c r="FF120" i="4" s="1"/>
  <c r="GG120" i="4"/>
  <c r="GH120" i="4" s="1"/>
  <c r="FQ120" i="4"/>
  <c r="FR120" i="4" s="1"/>
  <c r="FA120" i="4"/>
  <c r="FB120" i="4" s="1"/>
  <c r="ER110" i="4"/>
  <c r="ES110" i="4" s="1"/>
  <c r="CA110" i="4"/>
  <c r="AY88" i="4"/>
  <c r="AZ88" i="4" s="1"/>
  <c r="AU88" i="4"/>
  <c r="AV88" i="4" s="1"/>
  <c r="AQ88" i="4"/>
  <c r="AR88" i="4" s="1"/>
  <c r="AM88" i="4"/>
  <c r="AN88" i="4" s="1"/>
  <c r="AI88" i="4"/>
  <c r="AJ88" i="4" s="1"/>
  <c r="AE88" i="4"/>
  <c r="AF88" i="4" s="1"/>
  <c r="AA88" i="4"/>
  <c r="AB88" i="4" s="1"/>
  <c r="W88" i="4"/>
  <c r="X88" i="4" s="1"/>
  <c r="S88" i="4"/>
  <c r="T88" i="4" s="1"/>
  <c r="O88" i="4"/>
  <c r="P88" i="4" s="1"/>
  <c r="K88" i="4"/>
  <c r="L88" i="4" s="1"/>
  <c r="AS88" i="4"/>
  <c r="AT88" i="4" s="1"/>
  <c r="AC88" i="4"/>
  <c r="AD88" i="4" s="1"/>
  <c r="M88" i="4"/>
  <c r="N88" i="4" s="1"/>
  <c r="AO88" i="4"/>
  <c r="AP88" i="4" s="1"/>
  <c r="Y88" i="4"/>
  <c r="Z88" i="4" s="1"/>
  <c r="J88" i="4"/>
  <c r="AW88" i="4"/>
  <c r="AX88" i="4" s="1"/>
  <c r="AG88" i="4"/>
  <c r="AH88" i="4" s="1"/>
  <c r="Q88" i="4"/>
  <c r="R88" i="4" s="1"/>
  <c r="AK88" i="4"/>
  <c r="AL88" i="4" s="1"/>
  <c r="U88" i="4"/>
  <c r="V88" i="4" s="1"/>
  <c r="CA121" i="4"/>
  <c r="ER121" i="4"/>
  <c r="ES121" i="4" s="1"/>
  <c r="DQ97" i="4"/>
  <c r="DR97" i="4" s="1"/>
  <c r="DK97" i="4"/>
  <c r="DL97" i="4" s="1"/>
  <c r="DA97" i="4"/>
  <c r="DB97" i="4" s="1"/>
  <c r="CU97" i="4"/>
  <c r="CV97" i="4" s="1"/>
  <c r="CK97" i="4"/>
  <c r="CL97" i="4" s="1"/>
  <c r="CE97" i="4"/>
  <c r="CF97" i="4" s="1"/>
  <c r="DO97" i="4"/>
  <c r="DP97" i="4" s="1"/>
  <c r="DE97" i="4"/>
  <c r="DF97" i="4" s="1"/>
  <c r="CY97" i="4"/>
  <c r="CZ97" i="4" s="1"/>
  <c r="CO97" i="4"/>
  <c r="CP97" i="4" s="1"/>
  <c r="CI97" i="4"/>
  <c r="CJ97" i="4" s="1"/>
  <c r="DM97" i="4"/>
  <c r="DN97" i="4" s="1"/>
  <c r="DG97" i="4"/>
  <c r="DH97" i="4" s="1"/>
  <c r="CW97" i="4"/>
  <c r="CX97" i="4" s="1"/>
  <c r="CQ97" i="4"/>
  <c r="CR97" i="4" s="1"/>
  <c r="CG97" i="4"/>
  <c r="CH97" i="4" s="1"/>
  <c r="CB97" i="4"/>
  <c r="DI97" i="4"/>
  <c r="DJ97" i="4" s="1"/>
  <c r="CM97" i="4"/>
  <c r="CN97" i="4" s="1"/>
  <c r="DC97" i="4"/>
  <c r="DD97" i="4" s="1"/>
  <c r="CS97" i="4"/>
  <c r="CT97" i="4" s="1"/>
  <c r="CC97" i="4"/>
  <c r="CD97" i="4" s="1"/>
  <c r="AW92" i="4"/>
  <c r="AX92" i="4" s="1"/>
  <c r="AS92" i="4"/>
  <c r="AT92" i="4" s="1"/>
  <c r="AO92" i="4"/>
  <c r="AP92" i="4" s="1"/>
  <c r="AK92" i="4"/>
  <c r="AL92" i="4" s="1"/>
  <c r="AG92" i="4"/>
  <c r="AH92" i="4" s="1"/>
  <c r="AC92" i="4"/>
  <c r="AD92" i="4" s="1"/>
  <c r="Y92" i="4"/>
  <c r="Z92" i="4" s="1"/>
  <c r="U92" i="4"/>
  <c r="V92" i="4" s="1"/>
  <c r="Q92" i="4"/>
  <c r="R92" i="4" s="1"/>
  <c r="M92" i="4"/>
  <c r="N92" i="4" s="1"/>
  <c r="J92" i="4"/>
  <c r="AY92" i="4"/>
  <c r="AZ92" i="4" s="1"/>
  <c r="AI92" i="4"/>
  <c r="AJ92" i="4" s="1"/>
  <c r="S92" i="4"/>
  <c r="T92" i="4" s="1"/>
  <c r="AU92" i="4"/>
  <c r="AV92" i="4" s="1"/>
  <c r="AE92" i="4"/>
  <c r="AF92" i="4" s="1"/>
  <c r="O92" i="4"/>
  <c r="P92" i="4" s="1"/>
  <c r="AM92" i="4"/>
  <c r="AN92" i="4" s="1"/>
  <c r="W92" i="4"/>
  <c r="X92" i="4" s="1"/>
  <c r="AQ92" i="4"/>
  <c r="AR92" i="4" s="1"/>
  <c r="K92" i="4"/>
  <c r="L92" i="4" s="1"/>
  <c r="AA92" i="4"/>
  <c r="AB92" i="4" s="1"/>
  <c r="DO87" i="4"/>
  <c r="DP87" i="4" s="1"/>
  <c r="DK87" i="4"/>
  <c r="DL87" i="4" s="1"/>
  <c r="DG87" i="4"/>
  <c r="DH87" i="4" s="1"/>
  <c r="DC87" i="4"/>
  <c r="DD87" i="4" s="1"/>
  <c r="CY87" i="4"/>
  <c r="CZ87" i="4" s="1"/>
  <c r="CU87" i="4"/>
  <c r="CV87" i="4" s="1"/>
  <c r="CQ87" i="4"/>
  <c r="CR87" i="4" s="1"/>
  <c r="CM87" i="4"/>
  <c r="CN87" i="4" s="1"/>
  <c r="CI87" i="4"/>
  <c r="CJ87" i="4" s="1"/>
  <c r="CE87" i="4"/>
  <c r="CF87" i="4" s="1"/>
  <c r="CB87" i="4"/>
  <c r="DQ87" i="4"/>
  <c r="DR87" i="4" s="1"/>
  <c r="DM87" i="4"/>
  <c r="DN87" i="4" s="1"/>
  <c r="DI87" i="4"/>
  <c r="DJ87" i="4" s="1"/>
  <c r="DE87" i="4"/>
  <c r="DF87" i="4" s="1"/>
  <c r="DA87" i="4"/>
  <c r="DB87" i="4" s="1"/>
  <c r="CW87" i="4"/>
  <c r="CX87" i="4" s="1"/>
  <c r="CS87" i="4"/>
  <c r="CT87" i="4" s="1"/>
  <c r="CO87" i="4"/>
  <c r="CP87" i="4" s="1"/>
  <c r="CK87" i="4"/>
  <c r="CL87" i="4" s="1"/>
  <c r="CG87" i="4"/>
  <c r="CH87" i="4" s="1"/>
  <c r="CC87" i="4"/>
  <c r="CD87" i="4" s="1"/>
  <c r="GI94" i="4"/>
  <c r="GJ94" i="4" s="1"/>
  <c r="GE94" i="4"/>
  <c r="GF94" i="4" s="1"/>
  <c r="GA94" i="4"/>
  <c r="GB94" i="4" s="1"/>
  <c r="FW94" i="4"/>
  <c r="FX94" i="4" s="1"/>
  <c r="FS94" i="4"/>
  <c r="FT94" i="4" s="1"/>
  <c r="FO94" i="4"/>
  <c r="FP94" i="4" s="1"/>
  <c r="FK94" i="4"/>
  <c r="FL94" i="4" s="1"/>
  <c r="FG94" i="4"/>
  <c r="FH94" i="4" s="1"/>
  <c r="FC94" i="4"/>
  <c r="FD94" i="4" s="1"/>
  <c r="EY94" i="4"/>
  <c r="EZ94" i="4" s="1"/>
  <c r="EU94" i="4"/>
  <c r="EV94" i="4" s="1"/>
  <c r="GG94" i="4"/>
  <c r="GH94" i="4" s="1"/>
  <c r="FQ94" i="4"/>
  <c r="FR94" i="4" s="1"/>
  <c r="FA94" i="4"/>
  <c r="FB94" i="4" s="1"/>
  <c r="GC94" i="4"/>
  <c r="GD94" i="4" s="1"/>
  <c r="FM94" i="4"/>
  <c r="FN94" i="4" s="1"/>
  <c r="EW94" i="4"/>
  <c r="EX94" i="4" s="1"/>
  <c r="FU94" i="4"/>
  <c r="FV94" i="4" s="1"/>
  <c r="FE94" i="4"/>
  <c r="FF94" i="4" s="1"/>
  <c r="FY94" i="4"/>
  <c r="FZ94" i="4" s="1"/>
  <c r="ET94" i="4"/>
  <c r="FI94" i="4"/>
  <c r="FJ94" i="4" s="1"/>
  <c r="AW75" i="4"/>
  <c r="AX75" i="4" s="1"/>
  <c r="AS75" i="4"/>
  <c r="AT75" i="4" s="1"/>
  <c r="AO75" i="4"/>
  <c r="AP75" i="4" s="1"/>
  <c r="AK75" i="4"/>
  <c r="AL75" i="4" s="1"/>
  <c r="AG75" i="4"/>
  <c r="AH75" i="4" s="1"/>
  <c r="AC75" i="4"/>
  <c r="AD75" i="4" s="1"/>
  <c r="Y75" i="4"/>
  <c r="Z75" i="4" s="1"/>
  <c r="U75" i="4"/>
  <c r="V75" i="4" s="1"/>
  <c r="Q75" i="4"/>
  <c r="R75" i="4" s="1"/>
  <c r="M75" i="4"/>
  <c r="N75" i="4" s="1"/>
  <c r="J75" i="4"/>
  <c r="AQ75" i="4"/>
  <c r="AR75" i="4" s="1"/>
  <c r="AA75" i="4"/>
  <c r="AB75" i="4" s="1"/>
  <c r="K75" i="4"/>
  <c r="L75" i="4" s="1"/>
  <c r="AM75" i="4"/>
  <c r="AN75" i="4" s="1"/>
  <c r="W75" i="4"/>
  <c r="X75" i="4" s="1"/>
  <c r="AU75" i="4"/>
  <c r="AV75" i="4" s="1"/>
  <c r="AE75" i="4"/>
  <c r="AF75" i="4" s="1"/>
  <c r="O75" i="4"/>
  <c r="P75" i="4" s="1"/>
  <c r="AY75" i="4"/>
  <c r="AZ75" i="4" s="1"/>
  <c r="AI75" i="4"/>
  <c r="AJ75" i="4" s="1"/>
  <c r="S75" i="4"/>
  <c r="T75" i="4" s="1"/>
  <c r="AW67" i="4"/>
  <c r="AX67" i="4" s="1"/>
  <c r="AS67" i="4"/>
  <c r="AT67" i="4" s="1"/>
  <c r="AO67" i="4"/>
  <c r="AP67" i="4" s="1"/>
  <c r="AK67" i="4"/>
  <c r="AL67" i="4" s="1"/>
  <c r="AG67" i="4"/>
  <c r="AH67" i="4" s="1"/>
  <c r="AC67" i="4"/>
  <c r="AD67" i="4" s="1"/>
  <c r="Y67" i="4"/>
  <c r="Z67" i="4" s="1"/>
  <c r="U67" i="4"/>
  <c r="V67" i="4" s="1"/>
  <c r="Q67" i="4"/>
  <c r="R67" i="4" s="1"/>
  <c r="M67" i="4"/>
  <c r="N67" i="4" s="1"/>
  <c r="J67" i="4"/>
  <c r="AQ67" i="4"/>
  <c r="AR67" i="4" s="1"/>
  <c r="AA67" i="4"/>
  <c r="AB67" i="4" s="1"/>
  <c r="K67" i="4"/>
  <c r="L67" i="4" s="1"/>
  <c r="AM67" i="4"/>
  <c r="AN67" i="4" s="1"/>
  <c r="W67" i="4"/>
  <c r="X67" i="4" s="1"/>
  <c r="AU67" i="4"/>
  <c r="AV67" i="4" s="1"/>
  <c r="AE67" i="4"/>
  <c r="AF67" i="4" s="1"/>
  <c r="O67" i="4"/>
  <c r="P67" i="4" s="1"/>
  <c r="S67" i="4"/>
  <c r="T67" i="4" s="1"/>
  <c r="AY67" i="4"/>
  <c r="AZ67" i="4" s="1"/>
  <c r="AI67" i="4"/>
  <c r="AJ67" i="4" s="1"/>
  <c r="AY50" i="4"/>
  <c r="AZ50" i="4" s="1"/>
  <c r="AU50" i="4"/>
  <c r="AV50" i="4" s="1"/>
  <c r="AQ50" i="4"/>
  <c r="AR50" i="4" s="1"/>
  <c r="AM50" i="4"/>
  <c r="AN50" i="4" s="1"/>
  <c r="AI50" i="4"/>
  <c r="AJ50" i="4" s="1"/>
  <c r="AE50" i="4"/>
  <c r="AF50" i="4" s="1"/>
  <c r="AA50" i="4"/>
  <c r="AB50" i="4" s="1"/>
  <c r="W50" i="4"/>
  <c r="X50" i="4" s="1"/>
  <c r="S50" i="4"/>
  <c r="T50" i="4" s="1"/>
  <c r="O50" i="4"/>
  <c r="P50" i="4" s="1"/>
  <c r="K50" i="4"/>
  <c r="L50" i="4" s="1"/>
  <c r="AW50" i="4"/>
  <c r="AX50" i="4" s="1"/>
  <c r="AG50" i="4"/>
  <c r="AH50" i="4" s="1"/>
  <c r="Q50" i="4"/>
  <c r="R50" i="4" s="1"/>
  <c r="AO50" i="4"/>
  <c r="AP50" i="4" s="1"/>
  <c r="J50" i="4"/>
  <c r="AS50" i="4"/>
  <c r="AT50" i="4" s="1"/>
  <c r="AC50" i="4"/>
  <c r="AD50" i="4" s="1"/>
  <c r="M50" i="4"/>
  <c r="N50" i="4" s="1"/>
  <c r="AK50" i="4"/>
  <c r="AL50" i="4" s="1"/>
  <c r="U50" i="4"/>
  <c r="V50" i="4" s="1"/>
  <c r="Y50" i="4"/>
  <c r="Z50" i="4" s="1"/>
  <c r="AW48" i="4"/>
  <c r="AX48" i="4" s="1"/>
  <c r="AS48" i="4"/>
  <c r="AT48" i="4" s="1"/>
  <c r="AO48" i="4"/>
  <c r="AP48" i="4" s="1"/>
  <c r="AK48" i="4"/>
  <c r="AL48" i="4" s="1"/>
  <c r="AG48" i="4"/>
  <c r="AH48" i="4" s="1"/>
  <c r="AC48" i="4"/>
  <c r="AD48" i="4" s="1"/>
  <c r="Y48" i="4"/>
  <c r="Z48" i="4" s="1"/>
  <c r="U48" i="4"/>
  <c r="V48" i="4" s="1"/>
  <c r="Q48" i="4"/>
  <c r="R48" i="4" s="1"/>
  <c r="M48" i="4"/>
  <c r="N48" i="4" s="1"/>
  <c r="J48" i="4"/>
  <c r="AU48" i="4"/>
  <c r="AV48" i="4" s="1"/>
  <c r="AE48" i="4"/>
  <c r="AF48" i="4" s="1"/>
  <c r="O48" i="4"/>
  <c r="P48" i="4" s="1"/>
  <c r="AM48" i="4"/>
  <c r="AN48" i="4" s="1"/>
  <c r="AQ48" i="4"/>
  <c r="AR48" i="4" s="1"/>
  <c r="AA48" i="4"/>
  <c r="AB48" i="4" s="1"/>
  <c r="K48" i="4"/>
  <c r="L48" i="4" s="1"/>
  <c r="AY48" i="4"/>
  <c r="AZ48" i="4" s="1"/>
  <c r="AI48" i="4"/>
  <c r="AJ48" i="4" s="1"/>
  <c r="S48" i="4"/>
  <c r="T48" i="4" s="1"/>
  <c r="W48" i="4"/>
  <c r="X48" i="4" s="1"/>
  <c r="DO41" i="4"/>
  <c r="DP41" i="4" s="1"/>
  <c r="DK41" i="4"/>
  <c r="DL41" i="4" s="1"/>
  <c r="DG41" i="4"/>
  <c r="DH41" i="4" s="1"/>
  <c r="DC41" i="4"/>
  <c r="DD41" i="4" s="1"/>
  <c r="CY41" i="4"/>
  <c r="CZ41" i="4" s="1"/>
  <c r="CU41" i="4"/>
  <c r="CV41" i="4" s="1"/>
  <c r="CQ41" i="4"/>
  <c r="CR41" i="4" s="1"/>
  <c r="CM41" i="4"/>
  <c r="CN41" i="4" s="1"/>
  <c r="CI41" i="4"/>
  <c r="CJ41" i="4" s="1"/>
  <c r="CE41" i="4"/>
  <c r="CF41" i="4" s="1"/>
  <c r="CB41" i="4"/>
  <c r="DQ41" i="4"/>
  <c r="DR41" i="4" s="1"/>
  <c r="DM41" i="4"/>
  <c r="DN41" i="4" s="1"/>
  <c r="DI41" i="4"/>
  <c r="DJ41" i="4" s="1"/>
  <c r="DE41" i="4"/>
  <c r="DF41" i="4" s="1"/>
  <c r="DA41" i="4"/>
  <c r="DB41" i="4" s="1"/>
  <c r="CW41" i="4"/>
  <c r="CX41" i="4" s="1"/>
  <c r="CS41" i="4"/>
  <c r="CT41" i="4" s="1"/>
  <c r="CO41" i="4"/>
  <c r="CP41" i="4" s="1"/>
  <c r="CK41" i="4"/>
  <c r="CL41" i="4" s="1"/>
  <c r="CG41" i="4"/>
  <c r="CH41" i="4" s="1"/>
  <c r="CC41" i="4"/>
  <c r="CD41" i="4" s="1"/>
  <c r="DO83" i="4"/>
  <c r="DP83" i="4" s="1"/>
  <c r="DK83" i="4"/>
  <c r="DL83" i="4" s="1"/>
  <c r="DG83" i="4"/>
  <c r="DH83" i="4" s="1"/>
  <c r="DC83" i="4"/>
  <c r="DD83" i="4" s="1"/>
  <c r="CY83" i="4"/>
  <c r="CZ83" i="4" s="1"/>
  <c r="CU83" i="4"/>
  <c r="CV83" i="4" s="1"/>
  <c r="CQ83" i="4"/>
  <c r="CR83" i="4" s="1"/>
  <c r="CM83" i="4"/>
  <c r="CN83" i="4" s="1"/>
  <c r="CI83" i="4"/>
  <c r="CJ83" i="4" s="1"/>
  <c r="CE83" i="4"/>
  <c r="CF83" i="4" s="1"/>
  <c r="CB83" i="4"/>
  <c r="DQ83" i="4"/>
  <c r="DR83" i="4" s="1"/>
  <c r="DM83" i="4"/>
  <c r="DN83" i="4" s="1"/>
  <c r="DI83" i="4"/>
  <c r="DJ83" i="4" s="1"/>
  <c r="DE83" i="4"/>
  <c r="DF83" i="4" s="1"/>
  <c r="DA83" i="4"/>
  <c r="DB83" i="4" s="1"/>
  <c r="CW83" i="4"/>
  <c r="CX83" i="4" s="1"/>
  <c r="CS83" i="4"/>
  <c r="CT83" i="4" s="1"/>
  <c r="CO83" i="4"/>
  <c r="CP83" i="4" s="1"/>
  <c r="CK83" i="4"/>
  <c r="CL83" i="4" s="1"/>
  <c r="CG83" i="4"/>
  <c r="CH83" i="4" s="1"/>
  <c r="CC83" i="4"/>
  <c r="CD83" i="4" s="1"/>
  <c r="AW155" i="4"/>
  <c r="AX155" i="4" s="1"/>
  <c r="AS155" i="4"/>
  <c r="AT155" i="4" s="1"/>
  <c r="AO155" i="4"/>
  <c r="AP155" i="4" s="1"/>
  <c r="AK155" i="4"/>
  <c r="AL155" i="4" s="1"/>
  <c r="AG155" i="4"/>
  <c r="AH155" i="4" s="1"/>
  <c r="AC155" i="4"/>
  <c r="AD155" i="4" s="1"/>
  <c r="Y155" i="4"/>
  <c r="Z155" i="4" s="1"/>
  <c r="U155" i="4"/>
  <c r="V155" i="4" s="1"/>
  <c r="Q155" i="4"/>
  <c r="R155" i="4" s="1"/>
  <c r="M155" i="4"/>
  <c r="N155" i="4" s="1"/>
  <c r="J155" i="4"/>
  <c r="AY155" i="4"/>
  <c r="AZ155" i="4" s="1"/>
  <c r="AI155" i="4"/>
  <c r="AJ155" i="4" s="1"/>
  <c r="S155" i="4"/>
  <c r="T155" i="4" s="1"/>
  <c r="AQ155" i="4"/>
  <c r="AR155" i="4" s="1"/>
  <c r="AA155" i="4"/>
  <c r="AB155" i="4" s="1"/>
  <c r="K155" i="4"/>
  <c r="L155" i="4" s="1"/>
  <c r="AE155" i="4"/>
  <c r="AF155" i="4" s="1"/>
  <c r="W155" i="4"/>
  <c r="X155" i="4" s="1"/>
  <c r="AM155" i="4"/>
  <c r="AN155" i="4" s="1"/>
  <c r="O155" i="4"/>
  <c r="P155" i="4" s="1"/>
  <c r="AU155" i="4"/>
  <c r="AV155" i="4" s="1"/>
  <c r="AW86" i="4"/>
  <c r="AX86" i="4" s="1"/>
  <c r="AS86" i="4"/>
  <c r="AT86" i="4" s="1"/>
  <c r="AO86" i="4"/>
  <c r="AP86" i="4" s="1"/>
  <c r="AK86" i="4"/>
  <c r="AL86" i="4" s="1"/>
  <c r="AG86" i="4"/>
  <c r="AH86" i="4" s="1"/>
  <c r="AC86" i="4"/>
  <c r="AD86" i="4" s="1"/>
  <c r="Y86" i="4"/>
  <c r="Z86" i="4" s="1"/>
  <c r="U86" i="4"/>
  <c r="V86" i="4" s="1"/>
  <c r="Q86" i="4"/>
  <c r="R86" i="4" s="1"/>
  <c r="M86" i="4"/>
  <c r="N86" i="4" s="1"/>
  <c r="J86" i="4"/>
  <c r="AM86" i="4"/>
  <c r="AN86" i="4" s="1"/>
  <c r="W86" i="4"/>
  <c r="X86" i="4" s="1"/>
  <c r="AY86" i="4"/>
  <c r="AZ86" i="4" s="1"/>
  <c r="AI86" i="4"/>
  <c r="AJ86" i="4" s="1"/>
  <c r="S86" i="4"/>
  <c r="T86" i="4" s="1"/>
  <c r="AQ86" i="4"/>
  <c r="AR86" i="4" s="1"/>
  <c r="AA86" i="4"/>
  <c r="AB86" i="4" s="1"/>
  <c r="K86" i="4"/>
  <c r="L86" i="4" s="1"/>
  <c r="AU86" i="4"/>
  <c r="AV86" i="4" s="1"/>
  <c r="AE86" i="4"/>
  <c r="AF86" i="4" s="1"/>
  <c r="O86" i="4"/>
  <c r="P86" i="4" s="1"/>
  <c r="AW44" i="4"/>
  <c r="AX44" i="4" s="1"/>
  <c r="AS44" i="4"/>
  <c r="AT44" i="4" s="1"/>
  <c r="AO44" i="4"/>
  <c r="AP44" i="4" s="1"/>
  <c r="AK44" i="4"/>
  <c r="AL44" i="4" s="1"/>
  <c r="AG44" i="4"/>
  <c r="AH44" i="4" s="1"/>
  <c r="AC44" i="4"/>
  <c r="AD44" i="4" s="1"/>
  <c r="Y44" i="4"/>
  <c r="Z44" i="4" s="1"/>
  <c r="U44" i="4"/>
  <c r="V44" i="4" s="1"/>
  <c r="Q44" i="4"/>
  <c r="R44" i="4" s="1"/>
  <c r="M44" i="4"/>
  <c r="N44" i="4" s="1"/>
  <c r="J44" i="4"/>
  <c r="AQ44" i="4"/>
  <c r="AR44" i="4" s="1"/>
  <c r="AA44" i="4"/>
  <c r="AB44" i="4" s="1"/>
  <c r="K44" i="4"/>
  <c r="L44" i="4" s="1"/>
  <c r="S44" i="4"/>
  <c r="T44" i="4" s="1"/>
  <c r="AM44" i="4"/>
  <c r="AN44" i="4" s="1"/>
  <c r="W44" i="4"/>
  <c r="X44" i="4" s="1"/>
  <c r="AY44" i="4"/>
  <c r="AZ44" i="4" s="1"/>
  <c r="AU44" i="4"/>
  <c r="AV44" i="4" s="1"/>
  <c r="AE44" i="4"/>
  <c r="AF44" i="4" s="1"/>
  <c r="O44" i="4"/>
  <c r="P44" i="4" s="1"/>
  <c r="AI44" i="4"/>
  <c r="AJ44" i="4" s="1"/>
  <c r="GG22" i="4"/>
  <c r="GH22" i="4" s="1"/>
  <c r="GC22" i="4"/>
  <c r="GD22" i="4" s="1"/>
  <c r="FY22" i="4"/>
  <c r="FZ22" i="4" s="1"/>
  <c r="FU22" i="4"/>
  <c r="FV22" i="4" s="1"/>
  <c r="FQ22" i="4"/>
  <c r="FR22" i="4" s="1"/>
  <c r="FM22" i="4"/>
  <c r="FN22" i="4" s="1"/>
  <c r="FI22" i="4"/>
  <c r="FJ22" i="4" s="1"/>
  <c r="FE22" i="4"/>
  <c r="FF22" i="4" s="1"/>
  <c r="FA22" i="4"/>
  <c r="FB22" i="4" s="1"/>
  <c r="EW22" i="4"/>
  <c r="EX22" i="4" s="1"/>
  <c r="ET22" i="4"/>
  <c r="GI22" i="4"/>
  <c r="GJ22" i="4" s="1"/>
  <c r="GE22" i="4"/>
  <c r="GF22" i="4" s="1"/>
  <c r="GA22" i="4"/>
  <c r="GB22" i="4" s="1"/>
  <c r="FW22" i="4"/>
  <c r="FX22" i="4" s="1"/>
  <c r="FS22" i="4"/>
  <c r="FT22" i="4" s="1"/>
  <c r="FO22" i="4"/>
  <c r="FP22" i="4" s="1"/>
  <c r="FK22" i="4"/>
  <c r="FL22" i="4" s="1"/>
  <c r="FG22" i="4"/>
  <c r="FH22" i="4" s="1"/>
  <c r="FC22" i="4"/>
  <c r="FD22" i="4" s="1"/>
  <c r="EY22" i="4"/>
  <c r="EZ22" i="4" s="1"/>
  <c r="EU22" i="4"/>
  <c r="EV22" i="4" s="1"/>
  <c r="AW147" i="4"/>
  <c r="AX147" i="4" s="1"/>
  <c r="AS147" i="4"/>
  <c r="AT147" i="4" s="1"/>
  <c r="AO147" i="4"/>
  <c r="AP147" i="4" s="1"/>
  <c r="AK147" i="4"/>
  <c r="AL147" i="4" s="1"/>
  <c r="AG147" i="4"/>
  <c r="AH147" i="4" s="1"/>
  <c r="AC147" i="4"/>
  <c r="AD147" i="4" s="1"/>
  <c r="Y147" i="4"/>
  <c r="Z147" i="4" s="1"/>
  <c r="U147" i="4"/>
  <c r="V147" i="4" s="1"/>
  <c r="Q147" i="4"/>
  <c r="R147" i="4" s="1"/>
  <c r="M147" i="4"/>
  <c r="N147" i="4" s="1"/>
  <c r="J147" i="4"/>
  <c r="AM147" i="4"/>
  <c r="AN147" i="4" s="1"/>
  <c r="W147" i="4"/>
  <c r="X147" i="4" s="1"/>
  <c r="AQ147" i="4"/>
  <c r="AR147" i="4" s="1"/>
  <c r="AA147" i="4"/>
  <c r="AB147" i="4" s="1"/>
  <c r="K147" i="4"/>
  <c r="L147" i="4" s="1"/>
  <c r="AY147" i="4"/>
  <c r="AZ147" i="4" s="1"/>
  <c r="AI147" i="4"/>
  <c r="AJ147" i="4" s="1"/>
  <c r="S147" i="4"/>
  <c r="T147" i="4" s="1"/>
  <c r="AU147" i="4"/>
  <c r="AV147" i="4" s="1"/>
  <c r="AE147" i="4"/>
  <c r="AF147" i="4" s="1"/>
  <c r="O147" i="4"/>
  <c r="P147" i="4" s="1"/>
  <c r="AY94" i="4"/>
  <c r="AZ94" i="4" s="1"/>
  <c r="AU94" i="4"/>
  <c r="AV94" i="4" s="1"/>
  <c r="AQ94" i="4"/>
  <c r="AR94" i="4" s="1"/>
  <c r="AM94" i="4"/>
  <c r="AN94" i="4" s="1"/>
  <c r="AI94" i="4"/>
  <c r="AJ94" i="4" s="1"/>
  <c r="AE94" i="4"/>
  <c r="AF94" i="4" s="1"/>
  <c r="AA94" i="4"/>
  <c r="AB94" i="4" s="1"/>
  <c r="W94" i="4"/>
  <c r="X94" i="4" s="1"/>
  <c r="S94" i="4"/>
  <c r="T94" i="4" s="1"/>
  <c r="O94" i="4"/>
  <c r="P94" i="4" s="1"/>
  <c r="K94" i="4"/>
  <c r="L94" i="4" s="1"/>
  <c r="AO94" i="4"/>
  <c r="AP94" i="4" s="1"/>
  <c r="Y94" i="4"/>
  <c r="Z94" i="4" s="1"/>
  <c r="J94" i="4"/>
  <c r="AK94" i="4"/>
  <c r="AL94" i="4" s="1"/>
  <c r="U94" i="4"/>
  <c r="V94" i="4" s="1"/>
  <c r="AS94" i="4"/>
  <c r="AT94" i="4" s="1"/>
  <c r="AC94" i="4"/>
  <c r="AD94" i="4" s="1"/>
  <c r="M94" i="4"/>
  <c r="N94" i="4" s="1"/>
  <c r="AG94" i="4"/>
  <c r="AH94" i="4" s="1"/>
  <c r="Q94" i="4"/>
  <c r="R94" i="4" s="1"/>
  <c r="AW94" i="4"/>
  <c r="AX94" i="4" s="1"/>
  <c r="GI97" i="4"/>
  <c r="GJ97" i="4" s="1"/>
  <c r="FY97" i="4"/>
  <c r="FZ97" i="4" s="1"/>
  <c r="FS97" i="4"/>
  <c r="FT97" i="4" s="1"/>
  <c r="FI97" i="4"/>
  <c r="FJ97" i="4" s="1"/>
  <c r="FC97" i="4"/>
  <c r="FD97" i="4" s="1"/>
  <c r="ET97" i="4"/>
  <c r="GC97" i="4"/>
  <c r="GD97" i="4" s="1"/>
  <c r="FW97" i="4"/>
  <c r="FX97" i="4" s="1"/>
  <c r="FM97" i="4"/>
  <c r="FN97" i="4" s="1"/>
  <c r="FG97" i="4"/>
  <c r="FH97" i="4" s="1"/>
  <c r="EW97" i="4"/>
  <c r="EX97" i="4" s="1"/>
  <c r="GE97" i="4"/>
  <c r="GF97" i="4" s="1"/>
  <c r="FU97" i="4"/>
  <c r="FV97" i="4" s="1"/>
  <c r="FO97" i="4"/>
  <c r="FP97" i="4" s="1"/>
  <c r="FE97" i="4"/>
  <c r="FF97" i="4" s="1"/>
  <c r="EY97" i="4"/>
  <c r="EZ97" i="4" s="1"/>
  <c r="FQ97" i="4"/>
  <c r="FR97" i="4" s="1"/>
  <c r="EU97" i="4"/>
  <c r="EV97" i="4" s="1"/>
  <c r="GG97" i="4"/>
  <c r="GH97" i="4" s="1"/>
  <c r="FK97" i="4"/>
  <c r="FL97" i="4" s="1"/>
  <c r="FA97" i="4"/>
  <c r="FB97" i="4" s="1"/>
  <c r="GA97" i="4"/>
  <c r="GB97" i="4" s="1"/>
  <c r="ER82" i="4"/>
  <c r="ES82" i="4" s="1"/>
  <c r="CA82" i="4"/>
  <c r="DO94" i="4"/>
  <c r="DP94" i="4" s="1"/>
  <c r="DK94" i="4"/>
  <c r="DL94" i="4" s="1"/>
  <c r="DG94" i="4"/>
  <c r="DH94" i="4" s="1"/>
  <c r="DC94" i="4"/>
  <c r="DD94" i="4" s="1"/>
  <c r="CY94" i="4"/>
  <c r="CZ94" i="4" s="1"/>
  <c r="CU94" i="4"/>
  <c r="CV94" i="4" s="1"/>
  <c r="CQ94" i="4"/>
  <c r="CR94" i="4" s="1"/>
  <c r="CM94" i="4"/>
  <c r="CN94" i="4" s="1"/>
  <c r="CI94" i="4"/>
  <c r="CJ94" i="4" s="1"/>
  <c r="CE94" i="4"/>
  <c r="CF94" i="4" s="1"/>
  <c r="CB94" i="4"/>
  <c r="DE94" i="4"/>
  <c r="DF94" i="4" s="1"/>
  <c r="CO94" i="4"/>
  <c r="CP94" i="4" s="1"/>
  <c r="DQ94" i="4"/>
  <c r="DR94" i="4" s="1"/>
  <c r="DA94" i="4"/>
  <c r="DB94" i="4" s="1"/>
  <c r="CK94" i="4"/>
  <c r="CL94" i="4" s="1"/>
  <c r="DI94" i="4"/>
  <c r="DJ94" i="4" s="1"/>
  <c r="CS94" i="4"/>
  <c r="CT94" i="4" s="1"/>
  <c r="CC94" i="4"/>
  <c r="CD94" i="4" s="1"/>
  <c r="CG94" i="4"/>
  <c r="CH94" i="4" s="1"/>
  <c r="CW94" i="4"/>
  <c r="CX94" i="4" s="1"/>
  <c r="DM94" i="4"/>
  <c r="DN94" i="4" s="1"/>
  <c r="ER40" i="4"/>
  <c r="ES40" i="4" s="1"/>
  <c r="CA40" i="4"/>
  <c r="AY31" i="4"/>
  <c r="AZ31" i="4" s="1"/>
  <c r="AU31" i="4"/>
  <c r="AV31" i="4" s="1"/>
  <c r="AQ31" i="4"/>
  <c r="AR31" i="4" s="1"/>
  <c r="AM31" i="4"/>
  <c r="AN31" i="4" s="1"/>
  <c r="AI31" i="4"/>
  <c r="AJ31" i="4" s="1"/>
  <c r="AE31" i="4"/>
  <c r="AF31" i="4" s="1"/>
  <c r="AA31" i="4"/>
  <c r="AB31" i="4" s="1"/>
  <c r="W31" i="4"/>
  <c r="X31" i="4" s="1"/>
  <c r="S31" i="4"/>
  <c r="T31" i="4" s="1"/>
  <c r="O31" i="4"/>
  <c r="P31" i="4" s="1"/>
  <c r="K31" i="4"/>
  <c r="L31" i="4" s="1"/>
  <c r="AS31" i="4"/>
  <c r="AT31" i="4" s="1"/>
  <c r="AC31" i="4"/>
  <c r="AD31" i="4" s="1"/>
  <c r="Q31" i="4"/>
  <c r="R31" i="4" s="1"/>
  <c r="AW31" i="4"/>
  <c r="AX31" i="4" s="1"/>
  <c r="AK31" i="4"/>
  <c r="AL31" i="4" s="1"/>
  <c r="U31" i="4"/>
  <c r="V31" i="4" s="1"/>
  <c r="J31" i="4"/>
  <c r="AO31" i="4"/>
  <c r="AP31" i="4" s="1"/>
  <c r="AG31" i="4"/>
  <c r="AH31" i="4" s="1"/>
  <c r="Y31" i="4"/>
  <c r="Z31" i="4" s="1"/>
  <c r="M31" i="4"/>
  <c r="N31" i="4" s="1"/>
  <c r="GI31" i="4"/>
  <c r="GJ31" i="4" s="1"/>
  <c r="GE31" i="4"/>
  <c r="GF31" i="4" s="1"/>
  <c r="GA31" i="4"/>
  <c r="GB31" i="4" s="1"/>
  <c r="FW31" i="4"/>
  <c r="FX31" i="4" s="1"/>
  <c r="FS31" i="4"/>
  <c r="FT31" i="4" s="1"/>
  <c r="FO31" i="4"/>
  <c r="FP31" i="4" s="1"/>
  <c r="FK31" i="4"/>
  <c r="FL31" i="4" s="1"/>
  <c r="FG31" i="4"/>
  <c r="FH31" i="4" s="1"/>
  <c r="FC31" i="4"/>
  <c r="FD31" i="4" s="1"/>
  <c r="EY31" i="4"/>
  <c r="EZ31" i="4" s="1"/>
  <c r="EU31" i="4"/>
  <c r="EV31" i="4" s="1"/>
  <c r="GC31" i="4"/>
  <c r="GD31" i="4" s="1"/>
  <c r="FQ31" i="4"/>
  <c r="FR31" i="4" s="1"/>
  <c r="FI31" i="4"/>
  <c r="FJ31" i="4" s="1"/>
  <c r="EW31" i="4"/>
  <c r="EX31" i="4" s="1"/>
  <c r="FU31" i="4"/>
  <c r="FV31" i="4" s="1"/>
  <c r="FE31" i="4"/>
  <c r="FF31" i="4" s="1"/>
  <c r="ET31" i="4"/>
  <c r="GG31" i="4"/>
  <c r="GH31" i="4" s="1"/>
  <c r="FY31" i="4"/>
  <c r="FZ31" i="4" s="1"/>
  <c r="FM31" i="4"/>
  <c r="FN31" i="4" s="1"/>
  <c r="FA31" i="4"/>
  <c r="FB31" i="4" s="1"/>
  <c r="GI19" i="4"/>
  <c r="GJ19" i="4" s="1"/>
  <c r="GE19" i="4"/>
  <c r="GF19" i="4" s="1"/>
  <c r="GA19" i="4"/>
  <c r="GB19" i="4" s="1"/>
  <c r="FW19" i="4"/>
  <c r="FX19" i="4" s="1"/>
  <c r="FS19" i="4"/>
  <c r="FT19" i="4" s="1"/>
  <c r="FO19" i="4"/>
  <c r="FP19" i="4" s="1"/>
  <c r="FK19" i="4"/>
  <c r="FL19" i="4" s="1"/>
  <c r="FG19" i="4"/>
  <c r="FH19" i="4" s="1"/>
  <c r="FC19" i="4"/>
  <c r="FD19" i="4" s="1"/>
  <c r="EY19" i="4"/>
  <c r="EZ19" i="4" s="1"/>
  <c r="EU19" i="4"/>
  <c r="EV19" i="4" s="1"/>
  <c r="GG19" i="4"/>
  <c r="GH19" i="4" s="1"/>
  <c r="GC19" i="4"/>
  <c r="GD19" i="4" s="1"/>
  <c r="FY19" i="4"/>
  <c r="FZ19" i="4" s="1"/>
  <c r="FU19" i="4"/>
  <c r="FV19" i="4" s="1"/>
  <c r="FQ19" i="4"/>
  <c r="FR19" i="4" s="1"/>
  <c r="FM19" i="4"/>
  <c r="FN19" i="4" s="1"/>
  <c r="FI19" i="4"/>
  <c r="FJ19" i="4" s="1"/>
  <c r="FE19" i="4"/>
  <c r="FF19" i="4" s="1"/>
  <c r="FA19" i="4"/>
  <c r="FB19" i="4" s="1"/>
  <c r="EW19" i="4"/>
  <c r="EX19" i="4" s="1"/>
  <c r="ET19" i="4"/>
  <c r="DO153" i="4"/>
  <c r="DP153" i="4" s="1"/>
  <c r="DK153" i="4"/>
  <c r="DL153" i="4" s="1"/>
  <c r="DG153" i="4"/>
  <c r="DH153" i="4" s="1"/>
  <c r="DC153" i="4"/>
  <c r="DD153" i="4" s="1"/>
  <c r="CY153" i="4"/>
  <c r="CZ153" i="4" s="1"/>
  <c r="CU153" i="4"/>
  <c r="CV153" i="4" s="1"/>
  <c r="DQ153" i="4"/>
  <c r="DR153" i="4" s="1"/>
  <c r="DA153" i="4"/>
  <c r="DB153" i="4" s="1"/>
  <c r="DI153" i="4"/>
  <c r="DJ153" i="4" s="1"/>
  <c r="CW153" i="4"/>
  <c r="CX153" i="4" s="1"/>
  <c r="CM153" i="4"/>
  <c r="CN153" i="4" s="1"/>
  <c r="CE153" i="4"/>
  <c r="CF153" i="4" s="1"/>
  <c r="CS153" i="4"/>
  <c r="CT153" i="4" s="1"/>
  <c r="CK153" i="4"/>
  <c r="CL153" i="4" s="1"/>
  <c r="CC153" i="4"/>
  <c r="CD153" i="4" s="1"/>
  <c r="DE153" i="4"/>
  <c r="DF153" i="4" s="1"/>
  <c r="CO153" i="4"/>
  <c r="CP153" i="4" s="1"/>
  <c r="CG153" i="4"/>
  <c r="CH153" i="4" s="1"/>
  <c r="CB153" i="4"/>
  <c r="DM153" i="4"/>
  <c r="DN153" i="4" s="1"/>
  <c r="CI153" i="4"/>
  <c r="CJ153" i="4" s="1"/>
  <c r="CQ153" i="4"/>
  <c r="CR153" i="4" s="1"/>
  <c r="GG107" i="4"/>
  <c r="GH107" i="4" s="1"/>
  <c r="GC107" i="4"/>
  <c r="GD107" i="4" s="1"/>
  <c r="FY107" i="4"/>
  <c r="FZ107" i="4" s="1"/>
  <c r="FU107" i="4"/>
  <c r="FV107" i="4" s="1"/>
  <c r="FQ107" i="4"/>
  <c r="FR107" i="4" s="1"/>
  <c r="FM107" i="4"/>
  <c r="FN107" i="4" s="1"/>
  <c r="FI107" i="4"/>
  <c r="FJ107" i="4" s="1"/>
  <c r="FE107" i="4"/>
  <c r="FF107" i="4" s="1"/>
  <c r="FA107" i="4"/>
  <c r="FB107" i="4" s="1"/>
  <c r="EW107" i="4"/>
  <c r="EX107" i="4" s="1"/>
  <c r="ET107" i="4"/>
  <c r="FW107" i="4"/>
  <c r="FX107" i="4" s="1"/>
  <c r="FG107" i="4"/>
  <c r="FH107" i="4" s="1"/>
  <c r="GA107" i="4"/>
  <c r="GB107" i="4" s="1"/>
  <c r="FK107" i="4"/>
  <c r="FL107" i="4" s="1"/>
  <c r="EU107" i="4"/>
  <c r="EV107" i="4" s="1"/>
  <c r="GI107" i="4"/>
  <c r="GJ107" i="4" s="1"/>
  <c r="FS107" i="4"/>
  <c r="FT107" i="4" s="1"/>
  <c r="FC107" i="4"/>
  <c r="FD107" i="4" s="1"/>
  <c r="EY107" i="4"/>
  <c r="EZ107" i="4" s="1"/>
  <c r="FO107" i="4"/>
  <c r="FP107" i="4" s="1"/>
  <c r="GE107" i="4"/>
  <c r="GF107" i="4" s="1"/>
  <c r="ER99" i="4"/>
  <c r="ES99" i="4" s="1"/>
  <c r="CA99" i="4"/>
  <c r="ER126" i="4"/>
  <c r="ES126" i="4" s="1"/>
  <c r="CA126" i="4"/>
  <c r="AW103" i="4"/>
  <c r="AX103" i="4" s="1"/>
  <c r="AS103" i="4"/>
  <c r="AT103" i="4" s="1"/>
  <c r="AO103" i="4"/>
  <c r="AP103" i="4" s="1"/>
  <c r="AK103" i="4"/>
  <c r="AL103" i="4" s="1"/>
  <c r="AG103" i="4"/>
  <c r="AH103" i="4" s="1"/>
  <c r="AC103" i="4"/>
  <c r="AD103" i="4" s="1"/>
  <c r="Y103" i="4"/>
  <c r="Z103" i="4" s="1"/>
  <c r="U103" i="4"/>
  <c r="V103" i="4" s="1"/>
  <c r="Q103" i="4"/>
  <c r="R103" i="4" s="1"/>
  <c r="M103" i="4"/>
  <c r="N103" i="4" s="1"/>
  <c r="J103" i="4"/>
  <c r="AQ103" i="4"/>
  <c r="AR103" i="4" s="1"/>
  <c r="AA103" i="4"/>
  <c r="AB103" i="4" s="1"/>
  <c r="K103" i="4"/>
  <c r="L103" i="4" s="1"/>
  <c r="AM103" i="4"/>
  <c r="AN103" i="4" s="1"/>
  <c r="W103" i="4"/>
  <c r="X103" i="4" s="1"/>
  <c r="AU103" i="4"/>
  <c r="AV103" i="4" s="1"/>
  <c r="AE103" i="4"/>
  <c r="AF103" i="4" s="1"/>
  <c r="O103" i="4"/>
  <c r="P103" i="4" s="1"/>
  <c r="AI103" i="4"/>
  <c r="AJ103" i="4" s="1"/>
  <c r="S103" i="4"/>
  <c r="T103" i="4" s="1"/>
  <c r="AY103" i="4"/>
  <c r="AZ103" i="4" s="1"/>
  <c r="AY80" i="4"/>
  <c r="AZ80" i="4" s="1"/>
  <c r="AU80" i="4"/>
  <c r="AV80" i="4" s="1"/>
  <c r="AQ80" i="4"/>
  <c r="AR80" i="4" s="1"/>
  <c r="AM80" i="4"/>
  <c r="AN80" i="4" s="1"/>
  <c r="AI80" i="4"/>
  <c r="AJ80" i="4" s="1"/>
  <c r="AE80" i="4"/>
  <c r="AF80" i="4" s="1"/>
  <c r="AA80" i="4"/>
  <c r="AB80" i="4" s="1"/>
  <c r="W80" i="4"/>
  <c r="X80" i="4" s="1"/>
  <c r="S80" i="4"/>
  <c r="T80" i="4" s="1"/>
  <c r="O80" i="4"/>
  <c r="P80" i="4" s="1"/>
  <c r="K80" i="4"/>
  <c r="L80" i="4" s="1"/>
  <c r="AK80" i="4"/>
  <c r="AL80" i="4" s="1"/>
  <c r="U80" i="4"/>
  <c r="V80" i="4" s="1"/>
  <c r="AW80" i="4"/>
  <c r="AX80" i="4" s="1"/>
  <c r="AG80" i="4"/>
  <c r="AH80" i="4" s="1"/>
  <c r="Q80" i="4"/>
  <c r="R80" i="4" s="1"/>
  <c r="AO80" i="4"/>
  <c r="AP80" i="4" s="1"/>
  <c r="Y80" i="4"/>
  <c r="Z80" i="4" s="1"/>
  <c r="J80" i="4"/>
  <c r="AS80" i="4"/>
  <c r="AT80" i="4" s="1"/>
  <c r="M80" i="4"/>
  <c r="N80" i="4" s="1"/>
  <c r="AC80" i="4"/>
  <c r="AD80" i="4" s="1"/>
  <c r="DO98" i="4"/>
  <c r="DP98" i="4" s="1"/>
  <c r="DK98" i="4"/>
  <c r="DL98" i="4" s="1"/>
  <c r="DG98" i="4"/>
  <c r="DH98" i="4" s="1"/>
  <c r="DC98" i="4"/>
  <c r="DD98" i="4" s="1"/>
  <c r="CY98" i="4"/>
  <c r="CZ98" i="4" s="1"/>
  <c r="CU98" i="4"/>
  <c r="CV98" i="4" s="1"/>
  <c r="CQ98" i="4"/>
  <c r="CR98" i="4" s="1"/>
  <c r="CM98" i="4"/>
  <c r="CN98" i="4" s="1"/>
  <c r="CI98" i="4"/>
  <c r="CJ98" i="4" s="1"/>
  <c r="CE98" i="4"/>
  <c r="CF98" i="4" s="1"/>
  <c r="CB98" i="4"/>
  <c r="DQ98" i="4"/>
  <c r="DR98" i="4" s="1"/>
  <c r="DA98" i="4"/>
  <c r="DB98" i="4" s="1"/>
  <c r="CK98" i="4"/>
  <c r="CL98" i="4" s="1"/>
  <c r="DE98" i="4"/>
  <c r="DF98" i="4" s="1"/>
  <c r="CO98" i="4"/>
  <c r="CP98" i="4" s="1"/>
  <c r="DM98" i="4"/>
  <c r="DN98" i="4" s="1"/>
  <c r="CW98" i="4"/>
  <c r="CX98" i="4" s="1"/>
  <c r="CG98" i="4"/>
  <c r="CH98" i="4" s="1"/>
  <c r="CC98" i="4"/>
  <c r="CD98" i="4" s="1"/>
  <c r="DI98" i="4"/>
  <c r="DJ98" i="4" s="1"/>
  <c r="CS98" i="4"/>
  <c r="CT98" i="4" s="1"/>
  <c r="AW82" i="4"/>
  <c r="AX82" i="4" s="1"/>
  <c r="AS82" i="4"/>
  <c r="AT82" i="4" s="1"/>
  <c r="AO82" i="4"/>
  <c r="AP82" i="4" s="1"/>
  <c r="AK82" i="4"/>
  <c r="AL82" i="4" s="1"/>
  <c r="AG82" i="4"/>
  <c r="AH82" i="4" s="1"/>
  <c r="AC82" i="4"/>
  <c r="AD82" i="4" s="1"/>
  <c r="Y82" i="4"/>
  <c r="Z82" i="4" s="1"/>
  <c r="U82" i="4"/>
  <c r="V82" i="4" s="1"/>
  <c r="Q82" i="4"/>
  <c r="R82" i="4" s="1"/>
  <c r="M82" i="4"/>
  <c r="N82" i="4" s="1"/>
  <c r="J82" i="4"/>
  <c r="AQ82" i="4"/>
  <c r="AR82" i="4" s="1"/>
  <c r="AA82" i="4"/>
  <c r="AB82" i="4" s="1"/>
  <c r="K82" i="4"/>
  <c r="L82" i="4" s="1"/>
  <c r="AM82" i="4"/>
  <c r="AN82" i="4" s="1"/>
  <c r="W82" i="4"/>
  <c r="X82" i="4" s="1"/>
  <c r="AU82" i="4"/>
  <c r="AV82" i="4" s="1"/>
  <c r="AE82" i="4"/>
  <c r="AF82" i="4" s="1"/>
  <c r="O82" i="4"/>
  <c r="P82" i="4" s="1"/>
  <c r="AY82" i="4"/>
  <c r="AZ82" i="4" s="1"/>
  <c r="S82" i="4"/>
  <c r="T82" i="4" s="1"/>
  <c r="AI82" i="4"/>
  <c r="AJ82" i="4" s="1"/>
  <c r="AY73" i="4"/>
  <c r="AZ73" i="4" s="1"/>
  <c r="AU73" i="4"/>
  <c r="AV73" i="4" s="1"/>
  <c r="AQ73" i="4"/>
  <c r="AR73" i="4" s="1"/>
  <c r="AM73" i="4"/>
  <c r="AN73" i="4" s="1"/>
  <c r="AI73" i="4"/>
  <c r="AJ73" i="4" s="1"/>
  <c r="AE73" i="4"/>
  <c r="AF73" i="4" s="1"/>
  <c r="AA73" i="4"/>
  <c r="AB73" i="4" s="1"/>
  <c r="W73" i="4"/>
  <c r="X73" i="4" s="1"/>
  <c r="S73" i="4"/>
  <c r="T73" i="4" s="1"/>
  <c r="O73" i="4"/>
  <c r="P73" i="4" s="1"/>
  <c r="K73" i="4"/>
  <c r="L73" i="4" s="1"/>
  <c r="AK73" i="4"/>
  <c r="AL73" i="4" s="1"/>
  <c r="U73" i="4"/>
  <c r="V73" i="4" s="1"/>
  <c r="AW73" i="4"/>
  <c r="AX73" i="4" s="1"/>
  <c r="AG73" i="4"/>
  <c r="AH73" i="4" s="1"/>
  <c r="Q73" i="4"/>
  <c r="R73" i="4" s="1"/>
  <c r="AO73" i="4"/>
  <c r="AP73" i="4" s="1"/>
  <c r="Y73" i="4"/>
  <c r="Z73" i="4" s="1"/>
  <c r="J73" i="4"/>
  <c r="M73" i="4"/>
  <c r="N73" i="4" s="1"/>
  <c r="AS73" i="4"/>
  <c r="AT73" i="4" s="1"/>
  <c r="AC73" i="4"/>
  <c r="AD73" i="4" s="1"/>
  <c r="AW63" i="4"/>
  <c r="AX63" i="4" s="1"/>
  <c r="AS63" i="4"/>
  <c r="AT63" i="4" s="1"/>
  <c r="AO63" i="4"/>
  <c r="AP63" i="4" s="1"/>
  <c r="AK63" i="4"/>
  <c r="AL63" i="4" s="1"/>
  <c r="AG63" i="4"/>
  <c r="AH63" i="4" s="1"/>
  <c r="AC63" i="4"/>
  <c r="AD63" i="4" s="1"/>
  <c r="Y63" i="4"/>
  <c r="Z63" i="4" s="1"/>
  <c r="U63" i="4"/>
  <c r="V63" i="4" s="1"/>
  <c r="Q63" i="4"/>
  <c r="R63" i="4" s="1"/>
  <c r="M63" i="4"/>
  <c r="N63" i="4" s="1"/>
  <c r="J63" i="4"/>
  <c r="AU63" i="4"/>
  <c r="AV63" i="4" s="1"/>
  <c r="AE63" i="4"/>
  <c r="AF63" i="4" s="1"/>
  <c r="O63" i="4"/>
  <c r="P63" i="4" s="1"/>
  <c r="AQ63" i="4"/>
  <c r="AR63" i="4" s="1"/>
  <c r="AA63" i="4"/>
  <c r="AB63" i="4" s="1"/>
  <c r="K63" i="4"/>
  <c r="L63" i="4" s="1"/>
  <c r="AY63" i="4"/>
  <c r="AZ63" i="4" s="1"/>
  <c r="AI63" i="4"/>
  <c r="AJ63" i="4" s="1"/>
  <c r="S63" i="4"/>
  <c r="T63" i="4" s="1"/>
  <c r="AM63" i="4"/>
  <c r="AN63" i="4" s="1"/>
  <c r="W63" i="4"/>
  <c r="X63" i="4" s="1"/>
  <c r="ER71" i="4"/>
  <c r="ES71" i="4" s="1"/>
  <c r="CA71" i="4"/>
  <c r="DO49" i="4"/>
  <c r="DP49" i="4" s="1"/>
  <c r="DK49" i="4"/>
  <c r="DL49" i="4" s="1"/>
  <c r="DG49" i="4"/>
  <c r="DH49" i="4" s="1"/>
  <c r="DC49" i="4"/>
  <c r="DD49" i="4" s="1"/>
  <c r="CY49" i="4"/>
  <c r="CZ49" i="4" s="1"/>
  <c r="CU49" i="4"/>
  <c r="CV49" i="4" s="1"/>
  <c r="CQ49" i="4"/>
  <c r="CR49" i="4" s="1"/>
  <c r="CM49" i="4"/>
  <c r="CN49" i="4" s="1"/>
  <c r="CI49" i="4"/>
  <c r="CJ49" i="4" s="1"/>
  <c r="CE49" i="4"/>
  <c r="CF49" i="4" s="1"/>
  <c r="CB49" i="4"/>
  <c r="DQ49" i="4"/>
  <c r="DR49" i="4" s="1"/>
  <c r="DM49" i="4"/>
  <c r="DN49" i="4" s="1"/>
  <c r="DI49" i="4"/>
  <c r="DJ49" i="4" s="1"/>
  <c r="DE49" i="4"/>
  <c r="DF49" i="4" s="1"/>
  <c r="DA49" i="4"/>
  <c r="DB49" i="4" s="1"/>
  <c r="CW49" i="4"/>
  <c r="CX49" i="4" s="1"/>
  <c r="CS49" i="4"/>
  <c r="CT49" i="4" s="1"/>
  <c r="CO49" i="4"/>
  <c r="CP49" i="4" s="1"/>
  <c r="CK49" i="4"/>
  <c r="CL49" i="4" s="1"/>
  <c r="CG49" i="4"/>
  <c r="CH49" i="4" s="1"/>
  <c r="CC49" i="4"/>
  <c r="CD49" i="4" s="1"/>
  <c r="AW40" i="4"/>
  <c r="AX40" i="4" s="1"/>
  <c r="AS40" i="4"/>
  <c r="AT40" i="4" s="1"/>
  <c r="AO40" i="4"/>
  <c r="AP40" i="4" s="1"/>
  <c r="AK40" i="4"/>
  <c r="AL40" i="4" s="1"/>
  <c r="AG40" i="4"/>
  <c r="AH40" i="4" s="1"/>
  <c r="AC40" i="4"/>
  <c r="AD40" i="4" s="1"/>
  <c r="Y40" i="4"/>
  <c r="Z40" i="4" s="1"/>
  <c r="U40" i="4"/>
  <c r="V40" i="4" s="1"/>
  <c r="Q40" i="4"/>
  <c r="R40" i="4" s="1"/>
  <c r="M40" i="4"/>
  <c r="N40" i="4" s="1"/>
  <c r="J40" i="4"/>
  <c r="AM40" i="4"/>
  <c r="AN40" i="4" s="1"/>
  <c r="W40" i="4"/>
  <c r="X40" i="4" s="1"/>
  <c r="O40" i="4"/>
  <c r="P40" i="4" s="1"/>
  <c r="AY40" i="4"/>
  <c r="AZ40" i="4" s="1"/>
  <c r="AI40" i="4"/>
  <c r="AJ40" i="4" s="1"/>
  <c r="S40" i="4"/>
  <c r="T40" i="4" s="1"/>
  <c r="AU40" i="4"/>
  <c r="AV40" i="4" s="1"/>
  <c r="AQ40" i="4"/>
  <c r="AR40" i="4" s="1"/>
  <c r="AA40" i="4"/>
  <c r="AB40" i="4" s="1"/>
  <c r="K40" i="4"/>
  <c r="L40" i="4" s="1"/>
  <c r="AE40" i="4"/>
  <c r="AF40" i="4" s="1"/>
  <c r="AW52" i="4"/>
  <c r="AX52" i="4" s="1"/>
  <c r="AS52" i="4"/>
  <c r="AT52" i="4" s="1"/>
  <c r="AO52" i="4"/>
  <c r="AP52" i="4" s="1"/>
  <c r="AK52" i="4"/>
  <c r="AL52" i="4" s="1"/>
  <c r="AG52" i="4"/>
  <c r="AH52" i="4" s="1"/>
  <c r="AC52" i="4"/>
  <c r="AD52" i="4" s="1"/>
  <c r="Y52" i="4"/>
  <c r="Z52" i="4" s="1"/>
  <c r="U52" i="4"/>
  <c r="V52" i="4" s="1"/>
  <c r="Q52" i="4"/>
  <c r="R52" i="4" s="1"/>
  <c r="M52" i="4"/>
  <c r="N52" i="4" s="1"/>
  <c r="J52" i="4"/>
  <c r="AY52" i="4"/>
  <c r="AZ52" i="4" s="1"/>
  <c r="AI52" i="4"/>
  <c r="AJ52" i="4" s="1"/>
  <c r="S52" i="4"/>
  <c r="T52" i="4" s="1"/>
  <c r="AA52" i="4"/>
  <c r="AB52" i="4" s="1"/>
  <c r="AU52" i="4"/>
  <c r="AV52" i="4" s="1"/>
  <c r="AE52" i="4"/>
  <c r="AF52" i="4" s="1"/>
  <c r="O52" i="4"/>
  <c r="P52" i="4" s="1"/>
  <c r="K52" i="4"/>
  <c r="L52" i="4" s="1"/>
  <c r="AM52" i="4"/>
  <c r="AN52" i="4" s="1"/>
  <c r="W52" i="4"/>
  <c r="X52" i="4" s="1"/>
  <c r="AQ52" i="4"/>
  <c r="AR52" i="4" s="1"/>
  <c r="GE57" i="4"/>
  <c r="GF57" i="4" s="1"/>
  <c r="FY57" i="4"/>
  <c r="FZ57" i="4" s="1"/>
  <c r="FO57" i="4"/>
  <c r="FP57" i="4" s="1"/>
  <c r="FI57" i="4"/>
  <c r="FJ57" i="4" s="1"/>
  <c r="EY57" i="4"/>
  <c r="EZ57" i="4" s="1"/>
  <c r="ET57" i="4"/>
  <c r="GI57" i="4"/>
  <c r="GJ57" i="4" s="1"/>
  <c r="GC57" i="4"/>
  <c r="GD57" i="4" s="1"/>
  <c r="FS57" i="4"/>
  <c r="FT57" i="4" s="1"/>
  <c r="FM57" i="4"/>
  <c r="FN57" i="4" s="1"/>
  <c r="FC57" i="4"/>
  <c r="FD57" i="4" s="1"/>
  <c r="EW57" i="4"/>
  <c r="EX57" i="4" s="1"/>
  <c r="GA57" i="4"/>
  <c r="GB57" i="4" s="1"/>
  <c r="FU57" i="4"/>
  <c r="FV57" i="4" s="1"/>
  <c r="FK57" i="4"/>
  <c r="FL57" i="4" s="1"/>
  <c r="FE57" i="4"/>
  <c r="FF57" i="4" s="1"/>
  <c r="EU57" i="4"/>
  <c r="EV57" i="4" s="1"/>
  <c r="GG57" i="4"/>
  <c r="GH57" i="4" s="1"/>
  <c r="FA57" i="4"/>
  <c r="FB57" i="4" s="1"/>
  <c r="FG57" i="4"/>
  <c r="FH57" i="4" s="1"/>
  <c r="FW57" i="4"/>
  <c r="FX57" i="4" s="1"/>
  <c r="FQ57" i="4"/>
  <c r="FR57" i="4" s="1"/>
  <c r="ES18" i="4"/>
  <c r="GG26" i="4"/>
  <c r="GH26" i="4" s="1"/>
  <c r="GC26" i="4"/>
  <c r="GD26" i="4" s="1"/>
  <c r="FY26" i="4"/>
  <c r="FZ26" i="4" s="1"/>
  <c r="FU26" i="4"/>
  <c r="FV26" i="4" s="1"/>
  <c r="FQ26" i="4"/>
  <c r="FR26" i="4" s="1"/>
  <c r="FM26" i="4"/>
  <c r="FN26" i="4" s="1"/>
  <c r="FI26" i="4"/>
  <c r="FJ26" i="4" s="1"/>
  <c r="FE26" i="4"/>
  <c r="FF26" i="4" s="1"/>
  <c r="FA26" i="4"/>
  <c r="FB26" i="4" s="1"/>
  <c r="EW26" i="4"/>
  <c r="EX26" i="4" s="1"/>
  <c r="ET26" i="4"/>
  <c r="GI26" i="4"/>
  <c r="GJ26" i="4" s="1"/>
  <c r="GE26" i="4"/>
  <c r="GF26" i="4" s="1"/>
  <c r="GA26" i="4"/>
  <c r="GB26" i="4" s="1"/>
  <c r="FW26" i="4"/>
  <c r="FX26" i="4" s="1"/>
  <c r="FS26" i="4"/>
  <c r="FT26" i="4" s="1"/>
  <c r="FO26" i="4"/>
  <c r="FP26" i="4" s="1"/>
  <c r="FK26" i="4"/>
  <c r="FL26" i="4" s="1"/>
  <c r="FG26" i="4"/>
  <c r="FH26" i="4" s="1"/>
  <c r="FC26" i="4"/>
  <c r="FD26" i="4" s="1"/>
  <c r="EY26" i="4"/>
  <c r="EZ26" i="4" s="1"/>
  <c r="EU26" i="4"/>
  <c r="EV26" i="4" s="1"/>
  <c r="DO31" i="4"/>
  <c r="DP31" i="4" s="1"/>
  <c r="DK31" i="4"/>
  <c r="DL31" i="4" s="1"/>
  <c r="DG31" i="4"/>
  <c r="DH31" i="4" s="1"/>
  <c r="DC31" i="4"/>
  <c r="DD31" i="4" s="1"/>
  <c r="CY31" i="4"/>
  <c r="CZ31" i="4" s="1"/>
  <c r="CU31" i="4"/>
  <c r="CV31" i="4" s="1"/>
  <c r="CQ31" i="4"/>
  <c r="CR31" i="4" s="1"/>
  <c r="CM31" i="4"/>
  <c r="CN31" i="4" s="1"/>
  <c r="CI31" i="4"/>
  <c r="CJ31" i="4" s="1"/>
  <c r="CE31" i="4"/>
  <c r="CF31" i="4" s="1"/>
  <c r="CB31" i="4"/>
  <c r="DM31" i="4"/>
  <c r="DN31" i="4" s="1"/>
  <c r="DA31" i="4"/>
  <c r="DB31" i="4" s="1"/>
  <c r="CO31" i="4"/>
  <c r="CP31" i="4" s="1"/>
  <c r="CC31" i="4"/>
  <c r="CD31" i="4" s="1"/>
  <c r="DI31" i="4"/>
  <c r="DJ31" i="4" s="1"/>
  <c r="CW31" i="4"/>
  <c r="CX31" i="4" s="1"/>
  <c r="CG31" i="4"/>
  <c r="CH31" i="4" s="1"/>
  <c r="DQ31" i="4"/>
  <c r="DR31" i="4" s="1"/>
  <c r="DE31" i="4"/>
  <c r="DF31" i="4" s="1"/>
  <c r="CS31" i="4"/>
  <c r="CT31" i="4" s="1"/>
  <c r="CK31" i="4"/>
  <c r="CL31" i="4" s="1"/>
  <c r="GI153" i="4"/>
  <c r="GJ153" i="4" s="1"/>
  <c r="GE153" i="4"/>
  <c r="GF153" i="4" s="1"/>
  <c r="GA153" i="4"/>
  <c r="GB153" i="4" s="1"/>
  <c r="FW153" i="4"/>
  <c r="FX153" i="4" s="1"/>
  <c r="FS153" i="4"/>
  <c r="FT153" i="4" s="1"/>
  <c r="FO153" i="4"/>
  <c r="FP153" i="4" s="1"/>
  <c r="FK153" i="4"/>
  <c r="FL153" i="4" s="1"/>
  <c r="FG153" i="4"/>
  <c r="FH153" i="4" s="1"/>
  <c r="FC153" i="4"/>
  <c r="FD153" i="4" s="1"/>
  <c r="EY153" i="4"/>
  <c r="EZ153" i="4" s="1"/>
  <c r="EU153" i="4"/>
  <c r="EV153" i="4" s="1"/>
  <c r="GC153" i="4"/>
  <c r="GD153" i="4" s="1"/>
  <c r="FM153" i="4"/>
  <c r="FN153" i="4" s="1"/>
  <c r="EW153" i="4"/>
  <c r="EX153" i="4" s="1"/>
  <c r="FU153" i="4"/>
  <c r="FV153" i="4" s="1"/>
  <c r="FE153" i="4"/>
  <c r="FF153" i="4" s="1"/>
  <c r="FQ153" i="4"/>
  <c r="FR153" i="4" s="1"/>
  <c r="FI153" i="4"/>
  <c r="FJ153" i="4" s="1"/>
  <c r="FY153" i="4"/>
  <c r="FZ153" i="4" s="1"/>
  <c r="ET153" i="4"/>
  <c r="GG153" i="4"/>
  <c r="GH153" i="4" s="1"/>
  <c r="FA153" i="4"/>
  <c r="FB153" i="4" s="1"/>
  <c r="ER143" i="4"/>
  <c r="ES143" i="4" s="1"/>
  <c r="CA143" i="4"/>
  <c r="GI136" i="4"/>
  <c r="GJ136" i="4" s="1"/>
  <c r="GE136" i="4"/>
  <c r="GF136" i="4" s="1"/>
  <c r="GA136" i="4"/>
  <c r="GB136" i="4" s="1"/>
  <c r="FW136" i="4"/>
  <c r="FX136" i="4" s="1"/>
  <c r="FS136" i="4"/>
  <c r="FT136" i="4" s="1"/>
  <c r="FO136" i="4"/>
  <c r="FP136" i="4" s="1"/>
  <c r="FK136" i="4"/>
  <c r="FL136" i="4" s="1"/>
  <c r="FG136" i="4"/>
  <c r="FH136" i="4" s="1"/>
  <c r="FC136" i="4"/>
  <c r="FD136" i="4" s="1"/>
  <c r="EY136" i="4"/>
  <c r="EZ136" i="4" s="1"/>
  <c r="EU136" i="4"/>
  <c r="EV136" i="4" s="1"/>
  <c r="FY136" i="4"/>
  <c r="FZ136" i="4" s="1"/>
  <c r="FI136" i="4"/>
  <c r="FJ136" i="4" s="1"/>
  <c r="ET136" i="4"/>
  <c r="GC136" i="4"/>
  <c r="GD136" i="4" s="1"/>
  <c r="FM136" i="4"/>
  <c r="FN136" i="4" s="1"/>
  <c r="EW136" i="4"/>
  <c r="EX136" i="4" s="1"/>
  <c r="FU136" i="4"/>
  <c r="FV136" i="4" s="1"/>
  <c r="FE136" i="4"/>
  <c r="FF136" i="4" s="1"/>
  <c r="FQ136" i="4"/>
  <c r="FR136" i="4" s="1"/>
  <c r="GG136" i="4"/>
  <c r="GH136" i="4" s="1"/>
  <c r="FA136" i="4"/>
  <c r="FB136" i="4" s="1"/>
  <c r="GG131" i="4"/>
  <c r="GH131" i="4" s="1"/>
  <c r="GC131" i="4"/>
  <c r="GD131" i="4" s="1"/>
  <c r="FY131" i="4"/>
  <c r="FZ131" i="4" s="1"/>
  <c r="FU131" i="4"/>
  <c r="FV131" i="4" s="1"/>
  <c r="FQ131" i="4"/>
  <c r="FR131" i="4" s="1"/>
  <c r="FM131" i="4"/>
  <c r="FN131" i="4" s="1"/>
  <c r="FI131" i="4"/>
  <c r="FJ131" i="4" s="1"/>
  <c r="FE131" i="4"/>
  <c r="FF131" i="4" s="1"/>
  <c r="FA131" i="4"/>
  <c r="FB131" i="4" s="1"/>
  <c r="EW131" i="4"/>
  <c r="EX131" i="4" s="1"/>
  <c r="ET131" i="4"/>
  <c r="FW131" i="4"/>
  <c r="FX131" i="4" s="1"/>
  <c r="FG131" i="4"/>
  <c r="FH131" i="4" s="1"/>
  <c r="GA131" i="4"/>
  <c r="GB131" i="4" s="1"/>
  <c r="FK131" i="4"/>
  <c r="FL131" i="4" s="1"/>
  <c r="EU131" i="4"/>
  <c r="EV131" i="4" s="1"/>
  <c r="GI131" i="4"/>
  <c r="GJ131" i="4" s="1"/>
  <c r="FS131" i="4"/>
  <c r="FT131" i="4" s="1"/>
  <c r="FC131" i="4"/>
  <c r="FD131" i="4" s="1"/>
  <c r="GE131" i="4"/>
  <c r="GF131" i="4" s="1"/>
  <c r="FO131" i="4"/>
  <c r="FP131" i="4" s="1"/>
  <c r="EY131" i="4"/>
  <c r="EZ131" i="4" s="1"/>
  <c r="DQ107" i="4"/>
  <c r="DR107" i="4" s="1"/>
  <c r="DM107" i="4"/>
  <c r="DN107" i="4" s="1"/>
  <c r="DI107" i="4"/>
  <c r="DJ107" i="4" s="1"/>
  <c r="DE107" i="4"/>
  <c r="DF107" i="4" s="1"/>
  <c r="DA107" i="4"/>
  <c r="DB107" i="4" s="1"/>
  <c r="CW107" i="4"/>
  <c r="CX107" i="4" s="1"/>
  <c r="CS107" i="4"/>
  <c r="CT107" i="4" s="1"/>
  <c r="CO107" i="4"/>
  <c r="CP107" i="4" s="1"/>
  <c r="CK107" i="4"/>
  <c r="CL107" i="4" s="1"/>
  <c r="CG107" i="4"/>
  <c r="CH107" i="4" s="1"/>
  <c r="CC107" i="4"/>
  <c r="CD107" i="4" s="1"/>
  <c r="DO107" i="4"/>
  <c r="DP107" i="4" s="1"/>
  <c r="CY107" i="4"/>
  <c r="CZ107" i="4" s="1"/>
  <c r="CI107" i="4"/>
  <c r="CJ107" i="4" s="1"/>
  <c r="DK107" i="4"/>
  <c r="DL107" i="4" s="1"/>
  <c r="CU107" i="4"/>
  <c r="CV107" i="4" s="1"/>
  <c r="CE107" i="4"/>
  <c r="CF107" i="4" s="1"/>
  <c r="DC107" i="4"/>
  <c r="DD107" i="4" s="1"/>
  <c r="CM107" i="4"/>
  <c r="CN107" i="4" s="1"/>
  <c r="DG107" i="4"/>
  <c r="DH107" i="4" s="1"/>
  <c r="CQ107" i="4"/>
  <c r="CR107" i="4" s="1"/>
  <c r="CB107" i="4"/>
  <c r="DO104" i="4"/>
  <c r="DP104" i="4" s="1"/>
  <c r="DK104" i="4"/>
  <c r="DL104" i="4" s="1"/>
  <c r="DG104" i="4"/>
  <c r="DH104" i="4" s="1"/>
  <c r="DC104" i="4"/>
  <c r="DD104" i="4" s="1"/>
  <c r="CY104" i="4"/>
  <c r="CZ104" i="4" s="1"/>
  <c r="CU104" i="4"/>
  <c r="CV104" i="4" s="1"/>
  <c r="CQ104" i="4"/>
  <c r="CR104" i="4" s="1"/>
  <c r="CM104" i="4"/>
  <c r="CN104" i="4" s="1"/>
  <c r="CI104" i="4"/>
  <c r="CJ104" i="4" s="1"/>
  <c r="CE104" i="4"/>
  <c r="CF104" i="4" s="1"/>
  <c r="CB104" i="4"/>
  <c r="DQ104" i="4"/>
  <c r="DR104" i="4" s="1"/>
  <c r="DM104" i="4"/>
  <c r="DN104" i="4" s="1"/>
  <c r="DI104" i="4"/>
  <c r="DJ104" i="4" s="1"/>
  <c r="DE104" i="4"/>
  <c r="DF104" i="4" s="1"/>
  <c r="DA104" i="4"/>
  <c r="DB104" i="4" s="1"/>
  <c r="CW104" i="4"/>
  <c r="CX104" i="4" s="1"/>
  <c r="CS104" i="4"/>
  <c r="CT104" i="4" s="1"/>
  <c r="CO104" i="4"/>
  <c r="CP104" i="4" s="1"/>
  <c r="CK104" i="4"/>
  <c r="CL104" i="4" s="1"/>
  <c r="CG104" i="4"/>
  <c r="CH104" i="4" s="1"/>
  <c r="CC104" i="4"/>
  <c r="CD104" i="4" s="1"/>
  <c r="AY77" i="4"/>
  <c r="AZ77" i="4" s="1"/>
  <c r="AU77" i="4"/>
  <c r="AV77" i="4" s="1"/>
  <c r="AQ77" i="4"/>
  <c r="AR77" i="4" s="1"/>
  <c r="AM77" i="4"/>
  <c r="AN77" i="4" s="1"/>
  <c r="AI77" i="4"/>
  <c r="AJ77" i="4" s="1"/>
  <c r="AE77" i="4"/>
  <c r="AF77" i="4" s="1"/>
  <c r="AA77" i="4"/>
  <c r="AB77" i="4" s="1"/>
  <c r="W77" i="4"/>
  <c r="X77" i="4" s="1"/>
  <c r="S77" i="4"/>
  <c r="T77" i="4" s="1"/>
  <c r="O77" i="4"/>
  <c r="P77" i="4" s="1"/>
  <c r="K77" i="4"/>
  <c r="L77" i="4" s="1"/>
  <c r="AK77" i="4"/>
  <c r="AL77" i="4" s="1"/>
  <c r="U77" i="4"/>
  <c r="V77" i="4" s="1"/>
  <c r="AW77" i="4"/>
  <c r="AX77" i="4" s="1"/>
  <c r="AG77" i="4"/>
  <c r="AH77" i="4" s="1"/>
  <c r="Q77" i="4"/>
  <c r="R77" i="4" s="1"/>
  <c r="AO77" i="4"/>
  <c r="AP77" i="4" s="1"/>
  <c r="Y77" i="4"/>
  <c r="Z77" i="4" s="1"/>
  <c r="J77" i="4"/>
  <c r="AC77" i="4"/>
  <c r="AD77" i="4" s="1"/>
  <c r="M77" i="4"/>
  <c r="N77" i="4" s="1"/>
  <c r="AS77" i="4"/>
  <c r="AT77" i="4" s="1"/>
  <c r="ER63" i="4"/>
  <c r="ES63" i="4" s="1"/>
  <c r="CA63" i="4"/>
  <c r="GI83" i="4"/>
  <c r="GJ83" i="4" s="1"/>
  <c r="GE83" i="4"/>
  <c r="GF83" i="4" s="1"/>
  <c r="GA83" i="4"/>
  <c r="GB83" i="4" s="1"/>
  <c r="FW83" i="4"/>
  <c r="FX83" i="4" s="1"/>
  <c r="FS83" i="4"/>
  <c r="FT83" i="4" s="1"/>
  <c r="FO83" i="4"/>
  <c r="FP83" i="4" s="1"/>
  <c r="FK83" i="4"/>
  <c r="FL83" i="4" s="1"/>
  <c r="FG83" i="4"/>
  <c r="FH83" i="4" s="1"/>
  <c r="FC83" i="4"/>
  <c r="FD83" i="4" s="1"/>
  <c r="EY83" i="4"/>
  <c r="EZ83" i="4" s="1"/>
  <c r="EU83" i="4"/>
  <c r="EV83" i="4" s="1"/>
  <c r="GG83" i="4"/>
  <c r="GH83" i="4" s="1"/>
  <c r="GC83" i="4"/>
  <c r="GD83" i="4" s="1"/>
  <c r="FY83" i="4"/>
  <c r="FZ83" i="4" s="1"/>
  <c r="FU83" i="4"/>
  <c r="FV83" i="4" s="1"/>
  <c r="FQ83" i="4"/>
  <c r="FR83" i="4" s="1"/>
  <c r="FM83" i="4"/>
  <c r="FN83" i="4" s="1"/>
  <c r="FI83" i="4"/>
  <c r="FJ83" i="4" s="1"/>
  <c r="FE83" i="4"/>
  <c r="FF83" i="4" s="1"/>
  <c r="FA83" i="4"/>
  <c r="FB83" i="4" s="1"/>
  <c r="EW83" i="4"/>
  <c r="EX83" i="4" s="1"/>
  <c r="ET83" i="4"/>
  <c r="ER52" i="4"/>
  <c r="ES52" i="4" s="1"/>
  <c r="CA52" i="4"/>
  <c r="DQ134" i="4"/>
  <c r="DR134" i="4" s="1"/>
  <c r="DM134" i="4"/>
  <c r="DN134" i="4" s="1"/>
  <c r="DI134" i="4"/>
  <c r="DJ134" i="4" s="1"/>
  <c r="DE134" i="4"/>
  <c r="DF134" i="4" s="1"/>
  <c r="DA134" i="4"/>
  <c r="DB134" i="4" s="1"/>
  <c r="CW134" i="4"/>
  <c r="CX134" i="4" s="1"/>
  <c r="CS134" i="4"/>
  <c r="CT134" i="4" s="1"/>
  <c r="CO134" i="4"/>
  <c r="CP134" i="4" s="1"/>
  <c r="CK134" i="4"/>
  <c r="CL134" i="4" s="1"/>
  <c r="CG134" i="4"/>
  <c r="CH134" i="4" s="1"/>
  <c r="CC134" i="4"/>
  <c r="CD134" i="4" s="1"/>
  <c r="DO134" i="4"/>
  <c r="DP134" i="4" s="1"/>
  <c r="CY134" i="4"/>
  <c r="CZ134" i="4" s="1"/>
  <c r="CI134" i="4"/>
  <c r="CJ134" i="4" s="1"/>
  <c r="DC134" i="4"/>
  <c r="DD134" i="4" s="1"/>
  <c r="CM134" i="4"/>
  <c r="CN134" i="4" s="1"/>
  <c r="DK134" i="4"/>
  <c r="DL134" i="4" s="1"/>
  <c r="CU134" i="4"/>
  <c r="CV134" i="4" s="1"/>
  <c r="CE134" i="4"/>
  <c r="CF134" i="4" s="1"/>
  <c r="CB134" i="4"/>
  <c r="CQ134" i="4"/>
  <c r="CR134" i="4" s="1"/>
  <c r="DG134" i="4"/>
  <c r="DH134" i="4" s="1"/>
  <c r="ER125" i="4"/>
  <c r="ES125" i="4" s="1"/>
  <c r="CA125" i="4"/>
  <c r="DQ119" i="4"/>
  <c r="DR119" i="4" s="1"/>
  <c r="DK119" i="4"/>
  <c r="DL119" i="4" s="1"/>
  <c r="DA119" i="4"/>
  <c r="DB119" i="4" s="1"/>
  <c r="CU119" i="4"/>
  <c r="CV119" i="4" s="1"/>
  <c r="DO119" i="4"/>
  <c r="DP119" i="4" s="1"/>
  <c r="DE119" i="4"/>
  <c r="DF119" i="4" s="1"/>
  <c r="CY119" i="4"/>
  <c r="CZ119" i="4" s="1"/>
  <c r="CO119" i="4"/>
  <c r="CP119" i="4" s="1"/>
  <c r="CK119" i="4"/>
  <c r="CL119" i="4" s="1"/>
  <c r="CG119" i="4"/>
  <c r="CH119" i="4" s="1"/>
  <c r="CC119" i="4"/>
  <c r="CD119" i="4" s="1"/>
  <c r="DM119" i="4"/>
  <c r="DN119" i="4" s="1"/>
  <c r="DG119" i="4"/>
  <c r="DH119" i="4" s="1"/>
  <c r="CW119" i="4"/>
  <c r="CX119" i="4" s="1"/>
  <c r="CQ119" i="4"/>
  <c r="CR119" i="4" s="1"/>
  <c r="CM119" i="4"/>
  <c r="CN119" i="4" s="1"/>
  <c r="CI119" i="4"/>
  <c r="CJ119" i="4" s="1"/>
  <c r="CE119" i="4"/>
  <c r="CF119" i="4" s="1"/>
  <c r="CB119" i="4"/>
  <c r="DI119" i="4"/>
  <c r="DJ119" i="4" s="1"/>
  <c r="DC119" i="4"/>
  <c r="DD119" i="4" s="1"/>
  <c r="CS119" i="4"/>
  <c r="CT119" i="4" s="1"/>
  <c r="DO120" i="4"/>
  <c r="DP120" i="4" s="1"/>
  <c r="DK120" i="4"/>
  <c r="DL120" i="4" s="1"/>
  <c r="DG120" i="4"/>
  <c r="DH120" i="4" s="1"/>
  <c r="DC120" i="4"/>
  <c r="DD120" i="4" s="1"/>
  <c r="CY120" i="4"/>
  <c r="CZ120" i="4" s="1"/>
  <c r="CU120" i="4"/>
  <c r="CV120" i="4" s="1"/>
  <c r="CQ120" i="4"/>
  <c r="CR120" i="4" s="1"/>
  <c r="CM120" i="4"/>
  <c r="CN120" i="4" s="1"/>
  <c r="CI120" i="4"/>
  <c r="CJ120" i="4" s="1"/>
  <c r="CE120" i="4"/>
  <c r="CF120" i="4" s="1"/>
  <c r="CB120" i="4"/>
  <c r="DQ120" i="4"/>
  <c r="DR120" i="4" s="1"/>
  <c r="DA120" i="4"/>
  <c r="DB120" i="4" s="1"/>
  <c r="CK120" i="4"/>
  <c r="CL120" i="4" s="1"/>
  <c r="DE120" i="4"/>
  <c r="DF120" i="4" s="1"/>
  <c r="CO120" i="4"/>
  <c r="CP120" i="4" s="1"/>
  <c r="DM120" i="4"/>
  <c r="DN120" i="4" s="1"/>
  <c r="CW120" i="4"/>
  <c r="CX120" i="4" s="1"/>
  <c r="CG120" i="4"/>
  <c r="CH120" i="4" s="1"/>
  <c r="CC120" i="4"/>
  <c r="CD120" i="4" s="1"/>
  <c r="DI120" i="4"/>
  <c r="DJ120" i="4" s="1"/>
  <c r="CS120" i="4"/>
  <c r="CT120" i="4" s="1"/>
  <c r="DO117" i="4"/>
  <c r="DP117" i="4" s="1"/>
  <c r="DK117" i="4"/>
  <c r="DL117" i="4" s="1"/>
  <c r="DG117" i="4"/>
  <c r="DH117" i="4" s="1"/>
  <c r="DC117" i="4"/>
  <c r="DD117" i="4" s="1"/>
  <c r="CY117" i="4"/>
  <c r="CZ117" i="4" s="1"/>
  <c r="CU117" i="4"/>
  <c r="CV117" i="4" s="1"/>
  <c r="CQ117" i="4"/>
  <c r="CR117" i="4" s="1"/>
  <c r="CM117" i="4"/>
  <c r="CN117" i="4" s="1"/>
  <c r="CI117" i="4"/>
  <c r="CJ117" i="4" s="1"/>
  <c r="CE117" i="4"/>
  <c r="CF117" i="4" s="1"/>
  <c r="CB117" i="4"/>
  <c r="DQ117" i="4"/>
  <c r="DR117" i="4" s="1"/>
  <c r="DM117" i="4"/>
  <c r="DN117" i="4" s="1"/>
  <c r="DI117" i="4"/>
  <c r="DJ117" i="4" s="1"/>
  <c r="DE117" i="4"/>
  <c r="DF117" i="4" s="1"/>
  <c r="DA117" i="4"/>
  <c r="DB117" i="4" s="1"/>
  <c r="CW117" i="4"/>
  <c r="CX117" i="4" s="1"/>
  <c r="CS117" i="4"/>
  <c r="CT117" i="4" s="1"/>
  <c r="CO117" i="4"/>
  <c r="CP117" i="4" s="1"/>
  <c r="CK117" i="4"/>
  <c r="CL117" i="4" s="1"/>
  <c r="CG117" i="4"/>
  <c r="CH117" i="4" s="1"/>
  <c r="CC117" i="4"/>
  <c r="CD117" i="4" s="1"/>
  <c r="AQ110" i="4"/>
  <c r="AR110" i="4" s="1"/>
  <c r="AK110" i="4"/>
  <c r="AL110" i="4" s="1"/>
  <c r="AA110" i="4"/>
  <c r="AB110" i="4" s="1"/>
  <c r="U110" i="4"/>
  <c r="V110" i="4" s="1"/>
  <c r="K110" i="4"/>
  <c r="L110" i="4" s="1"/>
  <c r="AU110" i="4"/>
  <c r="AV110" i="4" s="1"/>
  <c r="AO110" i="4"/>
  <c r="AP110" i="4" s="1"/>
  <c r="AE110" i="4"/>
  <c r="AF110" i="4" s="1"/>
  <c r="Y110" i="4"/>
  <c r="Z110" i="4" s="1"/>
  <c r="O110" i="4"/>
  <c r="P110" i="4" s="1"/>
  <c r="J110" i="4"/>
  <c r="AW110" i="4"/>
  <c r="AX110" i="4" s="1"/>
  <c r="AM110" i="4"/>
  <c r="AN110" i="4" s="1"/>
  <c r="AG110" i="4"/>
  <c r="AH110" i="4" s="1"/>
  <c r="W110" i="4"/>
  <c r="X110" i="4" s="1"/>
  <c r="Q110" i="4"/>
  <c r="R110" i="4" s="1"/>
  <c r="S110" i="4"/>
  <c r="T110" i="4" s="1"/>
  <c r="AI110" i="4"/>
  <c r="AJ110" i="4" s="1"/>
  <c r="M110" i="4"/>
  <c r="N110" i="4" s="1"/>
  <c r="AS110" i="4"/>
  <c r="AT110" i="4" s="1"/>
  <c r="AY110" i="4"/>
  <c r="AZ110" i="4" s="1"/>
  <c r="AC110" i="4"/>
  <c r="AD110" i="4" s="1"/>
  <c r="AW99" i="4"/>
  <c r="AX99" i="4" s="1"/>
  <c r="AS99" i="4"/>
  <c r="AT99" i="4" s="1"/>
  <c r="AO99" i="4"/>
  <c r="AP99" i="4" s="1"/>
  <c r="AK99" i="4"/>
  <c r="AL99" i="4" s="1"/>
  <c r="AG99" i="4"/>
  <c r="AH99" i="4" s="1"/>
  <c r="AC99" i="4"/>
  <c r="AD99" i="4" s="1"/>
  <c r="Y99" i="4"/>
  <c r="Z99" i="4" s="1"/>
  <c r="U99" i="4"/>
  <c r="V99" i="4" s="1"/>
  <c r="Q99" i="4"/>
  <c r="R99" i="4" s="1"/>
  <c r="AU99" i="4"/>
  <c r="AV99" i="4" s="1"/>
  <c r="AM99" i="4"/>
  <c r="AN99" i="4" s="1"/>
  <c r="AE99" i="4"/>
  <c r="AF99" i="4" s="1"/>
  <c r="W99" i="4"/>
  <c r="X99" i="4" s="1"/>
  <c r="K99" i="4"/>
  <c r="L99" i="4" s="1"/>
  <c r="AY99" i="4"/>
  <c r="AZ99" i="4" s="1"/>
  <c r="AQ99" i="4"/>
  <c r="AR99" i="4" s="1"/>
  <c r="AI99" i="4"/>
  <c r="AJ99" i="4" s="1"/>
  <c r="AA99" i="4"/>
  <c r="AB99" i="4" s="1"/>
  <c r="S99" i="4"/>
  <c r="T99" i="4" s="1"/>
  <c r="M99" i="4"/>
  <c r="N99" i="4" s="1"/>
  <c r="J99" i="4"/>
  <c r="O99" i="4"/>
  <c r="P99" i="4" s="1"/>
  <c r="AS126" i="4"/>
  <c r="AT126" i="4" s="1"/>
  <c r="AM126" i="4"/>
  <c r="AN126" i="4" s="1"/>
  <c r="AC126" i="4"/>
  <c r="AD126" i="4" s="1"/>
  <c r="W126" i="4"/>
  <c r="X126" i="4" s="1"/>
  <c r="M126" i="4"/>
  <c r="N126" i="4" s="1"/>
  <c r="AW126" i="4"/>
  <c r="AX126" i="4" s="1"/>
  <c r="AQ126" i="4"/>
  <c r="AR126" i="4" s="1"/>
  <c r="AG126" i="4"/>
  <c r="AH126" i="4" s="1"/>
  <c r="AA126" i="4"/>
  <c r="AB126" i="4" s="1"/>
  <c r="Q126" i="4"/>
  <c r="R126" i="4" s="1"/>
  <c r="K126" i="4"/>
  <c r="L126" i="4" s="1"/>
  <c r="AY126" i="4"/>
  <c r="AZ126" i="4" s="1"/>
  <c r="AO126" i="4"/>
  <c r="AP126" i="4" s="1"/>
  <c r="AI126" i="4"/>
  <c r="AJ126" i="4" s="1"/>
  <c r="Y126" i="4"/>
  <c r="Z126" i="4" s="1"/>
  <c r="S126" i="4"/>
  <c r="T126" i="4" s="1"/>
  <c r="J126" i="4"/>
  <c r="U126" i="4"/>
  <c r="V126" i="4" s="1"/>
  <c r="AK126" i="4"/>
  <c r="AL126" i="4" s="1"/>
  <c r="O126" i="4"/>
  <c r="P126" i="4" s="1"/>
  <c r="AU126" i="4"/>
  <c r="AV126" i="4" s="1"/>
  <c r="AE126" i="4"/>
  <c r="AF126" i="4" s="1"/>
  <c r="AY84" i="4"/>
  <c r="AZ84" i="4" s="1"/>
  <c r="AU84" i="4"/>
  <c r="AV84" i="4" s="1"/>
  <c r="AQ84" i="4"/>
  <c r="AR84" i="4" s="1"/>
  <c r="AM84" i="4"/>
  <c r="AN84" i="4" s="1"/>
  <c r="AI84" i="4"/>
  <c r="AJ84" i="4" s="1"/>
  <c r="AE84" i="4"/>
  <c r="AF84" i="4" s="1"/>
  <c r="AA84" i="4"/>
  <c r="AB84" i="4" s="1"/>
  <c r="W84" i="4"/>
  <c r="X84" i="4" s="1"/>
  <c r="S84" i="4"/>
  <c r="T84" i="4" s="1"/>
  <c r="O84" i="4"/>
  <c r="P84" i="4" s="1"/>
  <c r="K84" i="4"/>
  <c r="L84" i="4" s="1"/>
  <c r="AW84" i="4"/>
  <c r="AX84" i="4" s="1"/>
  <c r="AG84" i="4"/>
  <c r="AH84" i="4" s="1"/>
  <c r="Q84" i="4"/>
  <c r="R84" i="4" s="1"/>
  <c r="AS84" i="4"/>
  <c r="AT84" i="4" s="1"/>
  <c r="AC84" i="4"/>
  <c r="AD84" i="4" s="1"/>
  <c r="M84" i="4"/>
  <c r="N84" i="4" s="1"/>
  <c r="AK84" i="4"/>
  <c r="AL84" i="4" s="1"/>
  <c r="U84" i="4"/>
  <c r="V84" i="4" s="1"/>
  <c r="AO84" i="4"/>
  <c r="AP84" i="4" s="1"/>
  <c r="Y84" i="4"/>
  <c r="Z84" i="4" s="1"/>
  <c r="J84" i="4"/>
  <c r="AW121" i="4"/>
  <c r="AX121" i="4" s="1"/>
  <c r="AM121" i="4"/>
  <c r="AN121" i="4" s="1"/>
  <c r="AG121" i="4"/>
  <c r="AH121" i="4" s="1"/>
  <c r="W121" i="4"/>
  <c r="X121" i="4" s="1"/>
  <c r="Q121" i="4"/>
  <c r="R121" i="4" s="1"/>
  <c r="AQ121" i="4"/>
  <c r="AR121" i="4" s="1"/>
  <c r="AK121" i="4"/>
  <c r="AL121" i="4" s="1"/>
  <c r="AA121" i="4"/>
  <c r="AB121" i="4" s="1"/>
  <c r="U121" i="4"/>
  <c r="V121" i="4" s="1"/>
  <c r="K121" i="4"/>
  <c r="L121" i="4" s="1"/>
  <c r="AY121" i="4"/>
  <c r="AZ121" i="4" s="1"/>
  <c r="AS121" i="4"/>
  <c r="AT121" i="4" s="1"/>
  <c r="AI121" i="4"/>
  <c r="AJ121" i="4" s="1"/>
  <c r="AC121" i="4"/>
  <c r="AD121" i="4" s="1"/>
  <c r="S121" i="4"/>
  <c r="T121" i="4" s="1"/>
  <c r="M121" i="4"/>
  <c r="N121" i="4" s="1"/>
  <c r="AU121" i="4"/>
  <c r="AV121" i="4" s="1"/>
  <c r="Y121" i="4"/>
  <c r="Z121" i="4" s="1"/>
  <c r="AO121" i="4"/>
  <c r="AP121" i="4" s="1"/>
  <c r="AE121" i="4"/>
  <c r="AF121" i="4" s="1"/>
  <c r="J121" i="4"/>
  <c r="O121" i="4"/>
  <c r="P121" i="4" s="1"/>
  <c r="ER92" i="4"/>
  <c r="ES92" i="4" s="1"/>
  <c r="CA92" i="4"/>
  <c r="GI84" i="4"/>
  <c r="GJ84" i="4" s="1"/>
  <c r="GE84" i="4"/>
  <c r="GF84" i="4" s="1"/>
  <c r="GA84" i="4"/>
  <c r="GB84" i="4" s="1"/>
  <c r="FW84" i="4"/>
  <c r="FX84" i="4" s="1"/>
  <c r="FS84" i="4"/>
  <c r="FT84" i="4" s="1"/>
  <c r="FO84" i="4"/>
  <c r="FP84" i="4" s="1"/>
  <c r="FK84" i="4"/>
  <c r="FL84" i="4" s="1"/>
  <c r="FG84" i="4"/>
  <c r="FH84" i="4" s="1"/>
  <c r="FC84" i="4"/>
  <c r="FD84" i="4" s="1"/>
  <c r="EY84" i="4"/>
  <c r="EZ84" i="4" s="1"/>
  <c r="EU84" i="4"/>
  <c r="EV84" i="4" s="1"/>
  <c r="FY84" i="4"/>
  <c r="FZ84" i="4" s="1"/>
  <c r="FI84" i="4"/>
  <c r="FJ84" i="4" s="1"/>
  <c r="ET84" i="4"/>
  <c r="FU84" i="4"/>
  <c r="FV84" i="4" s="1"/>
  <c r="FE84" i="4"/>
  <c r="FF84" i="4" s="1"/>
  <c r="GC84" i="4"/>
  <c r="GD84" i="4" s="1"/>
  <c r="FM84" i="4"/>
  <c r="FN84" i="4" s="1"/>
  <c r="EW84" i="4"/>
  <c r="EX84" i="4" s="1"/>
  <c r="GG84" i="4"/>
  <c r="GH84" i="4" s="1"/>
  <c r="FA84" i="4"/>
  <c r="FB84" i="4" s="1"/>
  <c r="FQ84" i="4"/>
  <c r="FR84" i="4" s="1"/>
  <c r="GI98" i="4"/>
  <c r="GJ98" i="4" s="1"/>
  <c r="GE98" i="4"/>
  <c r="GF98" i="4" s="1"/>
  <c r="GA98" i="4"/>
  <c r="GB98" i="4" s="1"/>
  <c r="FW98" i="4"/>
  <c r="FX98" i="4" s="1"/>
  <c r="FS98" i="4"/>
  <c r="FT98" i="4" s="1"/>
  <c r="FO98" i="4"/>
  <c r="FP98" i="4" s="1"/>
  <c r="FK98" i="4"/>
  <c r="FL98" i="4" s="1"/>
  <c r="FG98" i="4"/>
  <c r="FH98" i="4" s="1"/>
  <c r="FC98" i="4"/>
  <c r="FD98" i="4" s="1"/>
  <c r="EY98" i="4"/>
  <c r="EZ98" i="4" s="1"/>
  <c r="EU98" i="4"/>
  <c r="EV98" i="4" s="1"/>
  <c r="FY98" i="4"/>
  <c r="FZ98" i="4" s="1"/>
  <c r="FI98" i="4"/>
  <c r="FJ98" i="4" s="1"/>
  <c r="ET98" i="4"/>
  <c r="GC98" i="4"/>
  <c r="GD98" i="4" s="1"/>
  <c r="FM98" i="4"/>
  <c r="FN98" i="4" s="1"/>
  <c r="EW98" i="4"/>
  <c r="EX98" i="4" s="1"/>
  <c r="FU98" i="4"/>
  <c r="FV98" i="4" s="1"/>
  <c r="FE98" i="4"/>
  <c r="FF98" i="4" s="1"/>
  <c r="GG98" i="4"/>
  <c r="GH98" i="4" s="1"/>
  <c r="FQ98" i="4"/>
  <c r="FR98" i="4" s="1"/>
  <c r="FA98" i="4"/>
  <c r="FB98" i="4" s="1"/>
  <c r="AW71" i="4"/>
  <c r="AX71" i="4" s="1"/>
  <c r="AS71" i="4"/>
  <c r="AT71" i="4" s="1"/>
  <c r="AO71" i="4"/>
  <c r="AP71" i="4" s="1"/>
  <c r="AK71" i="4"/>
  <c r="AL71" i="4" s="1"/>
  <c r="AG71" i="4"/>
  <c r="AH71" i="4" s="1"/>
  <c r="AC71" i="4"/>
  <c r="AD71" i="4" s="1"/>
  <c r="Y71" i="4"/>
  <c r="Z71" i="4" s="1"/>
  <c r="U71" i="4"/>
  <c r="V71" i="4" s="1"/>
  <c r="Q71" i="4"/>
  <c r="R71" i="4" s="1"/>
  <c r="M71" i="4"/>
  <c r="N71" i="4" s="1"/>
  <c r="J71" i="4"/>
  <c r="AY71" i="4"/>
  <c r="AZ71" i="4" s="1"/>
  <c r="AI71" i="4"/>
  <c r="AJ71" i="4" s="1"/>
  <c r="S71" i="4"/>
  <c r="T71" i="4" s="1"/>
  <c r="AU71" i="4"/>
  <c r="AV71" i="4" s="1"/>
  <c r="AE71" i="4"/>
  <c r="AF71" i="4" s="1"/>
  <c r="O71" i="4"/>
  <c r="P71" i="4" s="1"/>
  <c r="AM71" i="4"/>
  <c r="AN71" i="4" s="1"/>
  <c r="W71" i="4"/>
  <c r="X71" i="4" s="1"/>
  <c r="AA71" i="4"/>
  <c r="AB71" i="4" s="1"/>
  <c r="K71" i="4"/>
  <c r="L71" i="4" s="1"/>
  <c r="AQ71" i="4"/>
  <c r="AR71" i="4" s="1"/>
  <c r="ER75" i="4"/>
  <c r="ES75" i="4" s="1"/>
  <c r="CA75" i="4"/>
  <c r="ER67" i="4"/>
  <c r="ES67" i="4" s="1"/>
  <c r="CA67" i="4"/>
  <c r="ER48" i="4"/>
  <c r="ES48" i="4" s="1"/>
  <c r="CA48" i="4"/>
  <c r="ER155" i="4"/>
  <c r="ES155" i="4" s="1"/>
  <c r="CA155" i="4"/>
  <c r="ER86" i="4"/>
  <c r="ES86" i="4" s="1"/>
  <c r="CA86" i="4"/>
  <c r="DK57" i="4"/>
  <c r="DL57" i="4" s="1"/>
  <c r="DE57" i="4"/>
  <c r="DF57" i="4" s="1"/>
  <c r="CU57" i="4"/>
  <c r="CV57" i="4" s="1"/>
  <c r="CO57" i="4"/>
  <c r="CP57" i="4" s="1"/>
  <c r="CE57" i="4"/>
  <c r="CF57" i="4" s="1"/>
  <c r="DO57" i="4"/>
  <c r="DP57" i="4" s="1"/>
  <c r="DI57" i="4"/>
  <c r="DJ57" i="4" s="1"/>
  <c r="CY57" i="4"/>
  <c r="CZ57" i="4" s="1"/>
  <c r="CS57" i="4"/>
  <c r="CT57" i="4" s="1"/>
  <c r="CI57" i="4"/>
  <c r="CJ57" i="4" s="1"/>
  <c r="CC57" i="4"/>
  <c r="CD57" i="4" s="1"/>
  <c r="DQ57" i="4"/>
  <c r="DR57" i="4" s="1"/>
  <c r="DG57" i="4"/>
  <c r="DH57" i="4" s="1"/>
  <c r="DA57" i="4"/>
  <c r="DB57" i="4" s="1"/>
  <c r="CQ57" i="4"/>
  <c r="CR57" i="4" s="1"/>
  <c r="CK57" i="4"/>
  <c r="CL57" i="4" s="1"/>
  <c r="CB57" i="4"/>
  <c r="DC57" i="4"/>
  <c r="DD57" i="4" s="1"/>
  <c r="CG57" i="4"/>
  <c r="CH57" i="4" s="1"/>
  <c r="DM57" i="4"/>
  <c r="DN57" i="4" s="1"/>
  <c r="CW57" i="4"/>
  <c r="CX57" i="4" s="1"/>
  <c r="CM57" i="4"/>
  <c r="CN57" i="4" s="1"/>
  <c r="ER44" i="4"/>
  <c r="ES44" i="4" s="1"/>
  <c r="CA44" i="4"/>
  <c r="ER21" i="4"/>
  <c r="ES21" i="4" s="1"/>
  <c r="CA21" i="4"/>
  <c r="BZ28" i="4"/>
  <c r="CA28" i="4" s="1"/>
  <c r="DG45" i="4" l="1"/>
  <c r="DH45" i="4" s="1"/>
  <c r="CQ45" i="4"/>
  <c r="CR45" i="4" s="1"/>
  <c r="CB45" i="4"/>
  <c r="DE45" i="4"/>
  <c r="DF45" i="4" s="1"/>
  <c r="CO45" i="4"/>
  <c r="CP45" i="4" s="1"/>
  <c r="DK45" i="4"/>
  <c r="DL45" i="4" s="1"/>
  <c r="CE45" i="4"/>
  <c r="CF45" i="4" s="1"/>
  <c r="CS45" i="4"/>
  <c r="CT45" i="4" s="1"/>
  <c r="CC45" i="4"/>
  <c r="CD45" i="4" s="1"/>
  <c r="DC45" i="4"/>
  <c r="DD45" i="4" s="1"/>
  <c r="CM45" i="4"/>
  <c r="CN45" i="4" s="1"/>
  <c r="DQ45" i="4"/>
  <c r="DR45" i="4" s="1"/>
  <c r="DA45" i="4"/>
  <c r="DB45" i="4" s="1"/>
  <c r="CK45" i="4"/>
  <c r="CL45" i="4" s="1"/>
  <c r="DO45" i="4"/>
  <c r="DP45" i="4" s="1"/>
  <c r="CY45" i="4"/>
  <c r="CZ45" i="4" s="1"/>
  <c r="CI45" i="4"/>
  <c r="CJ45" i="4" s="1"/>
  <c r="DM45" i="4"/>
  <c r="DN45" i="4" s="1"/>
  <c r="CW45" i="4"/>
  <c r="CX45" i="4" s="1"/>
  <c r="CG45" i="4"/>
  <c r="CH45" i="4" s="1"/>
  <c r="CU45" i="4"/>
  <c r="CV45" i="4" s="1"/>
  <c r="DI45" i="4"/>
  <c r="DJ45" i="4" s="1"/>
  <c r="GI45" i="4"/>
  <c r="GJ45" i="4" s="1"/>
  <c r="FS45" i="4"/>
  <c r="FT45" i="4" s="1"/>
  <c r="FC45" i="4"/>
  <c r="FD45" i="4" s="1"/>
  <c r="GC45" i="4"/>
  <c r="GD45" i="4" s="1"/>
  <c r="FM45" i="4"/>
  <c r="FN45" i="4" s="1"/>
  <c r="EW45" i="4"/>
  <c r="EX45" i="4" s="1"/>
  <c r="FG45" i="4"/>
  <c r="FH45" i="4" s="1"/>
  <c r="GG45" i="4"/>
  <c r="GH45" i="4" s="1"/>
  <c r="FA45" i="4"/>
  <c r="FB45" i="4" s="1"/>
  <c r="GE45" i="4"/>
  <c r="GF45" i="4" s="1"/>
  <c r="FO45" i="4"/>
  <c r="FP45" i="4" s="1"/>
  <c r="EY45" i="4"/>
  <c r="EZ45" i="4" s="1"/>
  <c r="FY45" i="4"/>
  <c r="FZ45" i="4" s="1"/>
  <c r="FI45" i="4"/>
  <c r="FJ45" i="4" s="1"/>
  <c r="ET45" i="4"/>
  <c r="GA45" i="4"/>
  <c r="GB45" i="4" s="1"/>
  <c r="FK45" i="4"/>
  <c r="FL45" i="4" s="1"/>
  <c r="EU45" i="4"/>
  <c r="EV45" i="4" s="1"/>
  <c r="FU45" i="4"/>
  <c r="FV45" i="4" s="1"/>
  <c r="FE45" i="4"/>
  <c r="FF45" i="4" s="1"/>
  <c r="FW45" i="4"/>
  <c r="FX45" i="4" s="1"/>
  <c r="FQ45" i="4"/>
  <c r="FR45" i="4" s="1"/>
  <c r="DA19" i="4"/>
  <c r="DB19" i="4" s="1"/>
  <c r="GA38" i="4"/>
  <c r="GB38" i="4" s="1"/>
  <c r="FK38" i="4"/>
  <c r="FL38" i="4" s="1"/>
  <c r="EU38" i="4"/>
  <c r="EV38" i="4" s="1"/>
  <c r="FA38" i="4"/>
  <c r="FB38" i="4" s="1"/>
  <c r="FE38" i="4"/>
  <c r="FF38" i="4" s="1"/>
  <c r="ET38" i="4"/>
  <c r="GC38" i="4"/>
  <c r="GD38" i="4" s="1"/>
  <c r="FY38" i="4"/>
  <c r="FZ38" i="4" s="1"/>
  <c r="FW38" i="4"/>
  <c r="FX38" i="4" s="1"/>
  <c r="FG38" i="4"/>
  <c r="FH38" i="4" s="1"/>
  <c r="FQ38" i="4"/>
  <c r="FR38" i="4" s="1"/>
  <c r="FI38" i="4"/>
  <c r="FJ38" i="4" s="1"/>
  <c r="FS38" i="4"/>
  <c r="FT38" i="4" s="1"/>
  <c r="EW38" i="4"/>
  <c r="EX38" i="4" s="1"/>
  <c r="GE38" i="4"/>
  <c r="GF38" i="4" s="1"/>
  <c r="FO38" i="4"/>
  <c r="FP38" i="4" s="1"/>
  <c r="EY38" i="4"/>
  <c r="EZ38" i="4" s="1"/>
  <c r="FU38" i="4"/>
  <c r="FV38" i="4" s="1"/>
  <c r="FM38" i="4"/>
  <c r="FN38" i="4" s="1"/>
  <c r="GI38" i="4"/>
  <c r="GJ38" i="4" s="1"/>
  <c r="FC38" i="4"/>
  <c r="FD38" i="4" s="1"/>
  <c r="GG38" i="4"/>
  <c r="GH38" i="4" s="1"/>
  <c r="DO38" i="4"/>
  <c r="DP38" i="4" s="1"/>
  <c r="DE38" i="4"/>
  <c r="DF38" i="4" s="1"/>
  <c r="CO38" i="4"/>
  <c r="CP38" i="4" s="1"/>
  <c r="CG38" i="4"/>
  <c r="CH38" i="4" s="1"/>
  <c r="DQ38" i="4"/>
  <c r="DR38" i="4" s="1"/>
  <c r="DA38" i="4"/>
  <c r="DB38" i="4" s="1"/>
  <c r="CK38" i="4"/>
  <c r="CL38" i="4" s="1"/>
  <c r="DM38" i="4"/>
  <c r="DN38" i="4" s="1"/>
  <c r="DI38" i="4"/>
  <c r="DJ38" i="4" s="1"/>
  <c r="CS38" i="4"/>
  <c r="CT38" i="4" s="1"/>
  <c r="CC38" i="4"/>
  <c r="CD38" i="4" s="1"/>
  <c r="CW38" i="4"/>
  <c r="CX38" i="4" s="1"/>
  <c r="CM38" i="4"/>
  <c r="CN38" i="4" s="1"/>
  <c r="DC38" i="4"/>
  <c r="DD38" i="4" s="1"/>
  <c r="CE38" i="4"/>
  <c r="CF38" i="4" s="1"/>
  <c r="CB38" i="4"/>
  <c r="CQ38" i="4"/>
  <c r="CR38" i="4" s="1"/>
  <c r="DG38" i="4"/>
  <c r="DH38" i="4" s="1"/>
  <c r="CU38" i="4"/>
  <c r="CV38" i="4" s="1"/>
  <c r="CI38" i="4"/>
  <c r="CJ38" i="4" s="1"/>
  <c r="CY38" i="4"/>
  <c r="CZ38" i="4" s="1"/>
  <c r="DK38" i="4"/>
  <c r="DL38" i="4" s="1"/>
  <c r="CK19" i="4"/>
  <c r="CL19" i="4" s="1"/>
  <c r="DC19" i="4"/>
  <c r="DD19" i="4" s="1"/>
  <c r="DQ19" i="4"/>
  <c r="DR19" i="4" s="1"/>
  <c r="CM19" i="4"/>
  <c r="CN19" i="4" s="1"/>
  <c r="CG19" i="4"/>
  <c r="CH19" i="4" s="1"/>
  <c r="CW19" i="4"/>
  <c r="CX19" i="4" s="1"/>
  <c r="DM19" i="4"/>
  <c r="DN19" i="4" s="1"/>
  <c r="CI19" i="4"/>
  <c r="CJ19" i="4" s="1"/>
  <c r="CY19" i="4"/>
  <c r="CZ19" i="4" s="1"/>
  <c r="DO19" i="4"/>
  <c r="DP19" i="4" s="1"/>
  <c r="CO19" i="4"/>
  <c r="CP19" i="4" s="1"/>
  <c r="DE19" i="4"/>
  <c r="DF19" i="4" s="1"/>
  <c r="CB19" i="4"/>
  <c r="CQ19" i="4"/>
  <c r="CR19" i="4" s="1"/>
  <c r="DG19" i="4"/>
  <c r="DH19" i="4" s="1"/>
  <c r="CW35" i="4"/>
  <c r="CX35" i="4" s="1"/>
  <c r="CG35" i="4"/>
  <c r="CH35" i="4" s="1"/>
  <c r="DG35" i="4"/>
  <c r="DH35" i="4" s="1"/>
  <c r="CQ35" i="4"/>
  <c r="CR35" i="4" s="1"/>
  <c r="CB35" i="4"/>
  <c r="CI35" i="4"/>
  <c r="CJ35" i="4" s="1"/>
  <c r="CO35" i="4"/>
  <c r="CP35" i="4" s="1"/>
  <c r="CU35" i="4"/>
  <c r="CV35" i="4" s="1"/>
  <c r="DI35" i="4"/>
  <c r="DJ35" i="4" s="1"/>
  <c r="DE35" i="4"/>
  <c r="DF35" i="4" s="1"/>
  <c r="DC35" i="4"/>
  <c r="DD35" i="4" s="1"/>
  <c r="CM35" i="4"/>
  <c r="CN35" i="4" s="1"/>
  <c r="CK35" i="4"/>
  <c r="CL35" i="4" s="1"/>
  <c r="CC35" i="4"/>
  <c r="CD35" i="4" s="1"/>
  <c r="DO35" i="4"/>
  <c r="DP35" i="4" s="1"/>
  <c r="CY35" i="4"/>
  <c r="CZ35" i="4" s="1"/>
  <c r="DA35" i="4"/>
  <c r="DB35" i="4" s="1"/>
  <c r="CS35" i="4"/>
  <c r="CT35" i="4" s="1"/>
  <c r="DK35" i="4"/>
  <c r="DL35" i="4" s="1"/>
  <c r="CE35" i="4"/>
  <c r="CF35" i="4" s="1"/>
  <c r="DQ35" i="4"/>
  <c r="DR35" i="4" s="1"/>
  <c r="DM35" i="4"/>
  <c r="DN35" i="4" s="1"/>
  <c r="CC19" i="4"/>
  <c r="CD19" i="4" s="1"/>
  <c r="CS19" i="4"/>
  <c r="CT19" i="4" s="1"/>
  <c r="DI19" i="4"/>
  <c r="DJ19" i="4" s="1"/>
  <c r="CE19" i="4"/>
  <c r="CF19" i="4" s="1"/>
  <c r="CU19" i="4"/>
  <c r="CV19" i="4" s="1"/>
  <c r="GI35" i="4"/>
  <c r="GJ35" i="4" s="1"/>
  <c r="FS35" i="4"/>
  <c r="FT35" i="4" s="1"/>
  <c r="FC35" i="4"/>
  <c r="FD35" i="4" s="1"/>
  <c r="FM35" i="4"/>
  <c r="FN35" i="4" s="1"/>
  <c r="FA35" i="4"/>
  <c r="FB35" i="4" s="1"/>
  <c r="FU35" i="4"/>
  <c r="FV35" i="4" s="1"/>
  <c r="FW35" i="4"/>
  <c r="FX35" i="4" s="1"/>
  <c r="FQ35" i="4"/>
  <c r="FR35" i="4" s="1"/>
  <c r="GE35" i="4"/>
  <c r="GF35" i="4" s="1"/>
  <c r="FO35" i="4"/>
  <c r="FP35" i="4" s="1"/>
  <c r="EY35" i="4"/>
  <c r="EZ35" i="4" s="1"/>
  <c r="EW35" i="4"/>
  <c r="EX35" i="4" s="1"/>
  <c r="FY35" i="4"/>
  <c r="FZ35" i="4" s="1"/>
  <c r="FE35" i="4"/>
  <c r="FF35" i="4" s="1"/>
  <c r="GA35" i="4"/>
  <c r="GB35" i="4" s="1"/>
  <c r="FK35" i="4"/>
  <c r="FL35" i="4" s="1"/>
  <c r="EU35" i="4"/>
  <c r="EV35" i="4" s="1"/>
  <c r="GG35" i="4"/>
  <c r="GH35" i="4" s="1"/>
  <c r="FI35" i="4"/>
  <c r="FJ35" i="4" s="1"/>
  <c r="FG35" i="4"/>
  <c r="FH35" i="4" s="1"/>
  <c r="GC35" i="4"/>
  <c r="GD35" i="4" s="1"/>
  <c r="ET35" i="4"/>
  <c r="DO54" i="4"/>
  <c r="DP54" i="4" s="1"/>
  <c r="DM54" i="4"/>
  <c r="DN54" i="4" s="1"/>
  <c r="DE54" i="4"/>
  <c r="DF54" i="4" s="1"/>
  <c r="CY54" i="4"/>
  <c r="CZ54" i="4" s="1"/>
  <c r="CS54" i="4"/>
  <c r="CT54" i="4" s="1"/>
  <c r="CK54" i="4"/>
  <c r="CL54" i="4" s="1"/>
  <c r="CC54" i="4"/>
  <c r="CD54" i="4" s="1"/>
  <c r="DI54" i="4"/>
  <c r="DJ54" i="4" s="1"/>
  <c r="DC54" i="4"/>
  <c r="DD54" i="4" s="1"/>
  <c r="CQ54" i="4"/>
  <c r="CR54" i="4" s="1"/>
  <c r="CI54" i="4"/>
  <c r="CJ54" i="4" s="1"/>
  <c r="CB54" i="4"/>
  <c r="CW54" i="4"/>
  <c r="CX54" i="4" s="1"/>
  <c r="CG54" i="4"/>
  <c r="CH54" i="4" s="1"/>
  <c r="DQ54" i="4"/>
  <c r="DR54" i="4" s="1"/>
  <c r="DA54" i="4"/>
  <c r="DB54" i="4" s="1"/>
  <c r="CU54" i="4"/>
  <c r="CV54" i="4" s="1"/>
  <c r="CM54" i="4"/>
  <c r="CN54" i="4" s="1"/>
  <c r="CE54" i="4"/>
  <c r="CF54" i="4" s="1"/>
  <c r="DG54" i="4"/>
  <c r="DH54" i="4" s="1"/>
  <c r="CO54" i="4"/>
  <c r="CP54" i="4" s="1"/>
  <c r="DK54" i="4"/>
  <c r="DL54" i="4" s="1"/>
  <c r="GC54" i="4"/>
  <c r="GD54" i="4" s="1"/>
  <c r="FU54" i="4"/>
  <c r="FV54" i="4" s="1"/>
  <c r="FQ54" i="4"/>
  <c r="FR54" i="4" s="1"/>
  <c r="GG54" i="4"/>
  <c r="GH54" i="4" s="1"/>
  <c r="FA54" i="4"/>
  <c r="FB54" i="4" s="1"/>
  <c r="FE54" i="4"/>
  <c r="FF54" i="4" s="1"/>
  <c r="EW54" i="4"/>
  <c r="EX54" i="4" s="1"/>
  <c r="GI54" i="4"/>
  <c r="GJ54" i="4" s="1"/>
  <c r="FS54" i="4"/>
  <c r="FT54" i="4" s="1"/>
  <c r="FC54" i="4"/>
  <c r="FD54" i="4" s="1"/>
  <c r="FY54" i="4"/>
  <c r="FZ54" i="4" s="1"/>
  <c r="EU54" i="4"/>
  <c r="EV54" i="4" s="1"/>
  <c r="ET54" i="4"/>
  <c r="FM54" i="4"/>
  <c r="FN54" i="4" s="1"/>
  <c r="GE54" i="4"/>
  <c r="GF54" i="4" s="1"/>
  <c r="FO54" i="4"/>
  <c r="FP54" i="4" s="1"/>
  <c r="EY54" i="4"/>
  <c r="EZ54" i="4" s="1"/>
  <c r="GA54" i="4"/>
  <c r="GB54" i="4" s="1"/>
  <c r="FW54" i="4"/>
  <c r="FX54" i="4" s="1"/>
  <c r="FG54" i="4"/>
  <c r="FH54" i="4" s="1"/>
  <c r="FI54" i="4"/>
  <c r="FJ54" i="4" s="1"/>
  <c r="FK54" i="4"/>
  <c r="FL54" i="4" s="1"/>
  <c r="AK27" i="4"/>
  <c r="AL27" i="4" s="1"/>
  <c r="DQ148" i="4"/>
  <c r="DR148" i="4" s="1"/>
  <c r="DM148" i="4"/>
  <c r="DN148" i="4" s="1"/>
  <c r="CW148" i="4"/>
  <c r="CX148" i="4" s="1"/>
  <c r="CG148" i="4"/>
  <c r="CH148" i="4" s="1"/>
  <c r="DG148" i="4"/>
  <c r="DH148" i="4" s="1"/>
  <c r="CQ148" i="4"/>
  <c r="CR148" i="4" s="1"/>
  <c r="CB148" i="4"/>
  <c r="DE148" i="4"/>
  <c r="DF148" i="4" s="1"/>
  <c r="CO148" i="4"/>
  <c r="CP148" i="4" s="1"/>
  <c r="DO148" i="4"/>
  <c r="DP148" i="4" s="1"/>
  <c r="CY148" i="4"/>
  <c r="CZ148" i="4" s="1"/>
  <c r="CI148" i="4"/>
  <c r="CJ148" i="4" s="1"/>
  <c r="CM148" i="4"/>
  <c r="CN148" i="4" s="1"/>
  <c r="CU148" i="4"/>
  <c r="CV148" i="4" s="1"/>
  <c r="DK148" i="4"/>
  <c r="DL148" i="4" s="1"/>
  <c r="CS148" i="4"/>
  <c r="CT148" i="4" s="1"/>
  <c r="DA148" i="4"/>
  <c r="DB148" i="4" s="1"/>
  <c r="DC148" i="4"/>
  <c r="DD148" i="4" s="1"/>
  <c r="CC148" i="4"/>
  <c r="CD148" i="4" s="1"/>
  <c r="DI148" i="4"/>
  <c r="DJ148" i="4" s="1"/>
  <c r="CK148" i="4"/>
  <c r="CL148" i="4" s="1"/>
  <c r="CE148" i="4"/>
  <c r="CF148" i="4" s="1"/>
  <c r="FU148" i="4"/>
  <c r="FV148" i="4" s="1"/>
  <c r="GC148" i="4"/>
  <c r="GD148" i="4" s="1"/>
  <c r="FM148" i="4"/>
  <c r="FN148" i="4" s="1"/>
  <c r="FG148" i="4"/>
  <c r="FH148" i="4" s="1"/>
  <c r="GE148" i="4"/>
  <c r="GF148" i="4" s="1"/>
  <c r="FO148" i="4"/>
  <c r="FP148" i="4" s="1"/>
  <c r="FE148" i="4"/>
  <c r="FF148" i="4" s="1"/>
  <c r="ET148" i="4"/>
  <c r="FY148" i="4"/>
  <c r="FZ148" i="4" s="1"/>
  <c r="GA148" i="4"/>
  <c r="GB148" i="4" s="1"/>
  <c r="GG148" i="4"/>
  <c r="GH148" i="4" s="1"/>
  <c r="EY148" i="4"/>
  <c r="EZ148" i="4" s="1"/>
  <c r="FK148" i="4"/>
  <c r="FL148" i="4" s="1"/>
  <c r="EW148" i="4"/>
  <c r="EX148" i="4" s="1"/>
  <c r="FA148" i="4"/>
  <c r="FB148" i="4" s="1"/>
  <c r="GI148" i="4"/>
  <c r="GJ148" i="4" s="1"/>
  <c r="FS148" i="4"/>
  <c r="FT148" i="4" s="1"/>
  <c r="FQ148" i="4"/>
  <c r="FR148" i="4" s="1"/>
  <c r="FC148" i="4"/>
  <c r="FD148" i="4" s="1"/>
  <c r="EU148" i="4"/>
  <c r="EV148" i="4" s="1"/>
  <c r="FW148" i="4"/>
  <c r="FX148" i="4" s="1"/>
  <c r="FI148" i="4"/>
  <c r="FJ148" i="4" s="1"/>
  <c r="DO20" i="4"/>
  <c r="DP20" i="4" s="1"/>
  <c r="DQ20" i="4"/>
  <c r="DR20" i="4" s="1"/>
  <c r="DI20" i="4"/>
  <c r="DJ20" i="4" s="1"/>
  <c r="DA20" i="4"/>
  <c r="DB20" i="4" s="1"/>
  <c r="CS20" i="4"/>
  <c r="CT20" i="4" s="1"/>
  <c r="CK20" i="4"/>
  <c r="CL20" i="4" s="1"/>
  <c r="CC20" i="4"/>
  <c r="CD20" i="4" s="1"/>
  <c r="DM20" i="4"/>
  <c r="DN20" i="4" s="1"/>
  <c r="DE20" i="4"/>
  <c r="DF20" i="4" s="1"/>
  <c r="CW20" i="4"/>
  <c r="CX20" i="4" s="1"/>
  <c r="CO20" i="4"/>
  <c r="CP20" i="4" s="1"/>
  <c r="CG20" i="4"/>
  <c r="CH20" i="4" s="1"/>
  <c r="CE20" i="4"/>
  <c r="CF20" i="4" s="1"/>
  <c r="CU20" i="4"/>
  <c r="CV20" i="4" s="1"/>
  <c r="DK20" i="4"/>
  <c r="DL20" i="4" s="1"/>
  <c r="DC20" i="4"/>
  <c r="DD20" i="4" s="1"/>
  <c r="CI20" i="4"/>
  <c r="CJ20" i="4" s="1"/>
  <c r="CY20" i="4"/>
  <c r="CZ20" i="4" s="1"/>
  <c r="CM20" i="4"/>
  <c r="CN20" i="4" s="1"/>
  <c r="CB20" i="4"/>
  <c r="CQ20" i="4"/>
  <c r="CR20" i="4" s="1"/>
  <c r="DG20" i="4"/>
  <c r="DH20" i="4" s="1"/>
  <c r="FY20" i="4"/>
  <c r="FZ20" i="4" s="1"/>
  <c r="FI20" i="4"/>
  <c r="FJ20" i="4" s="1"/>
  <c r="ET20" i="4"/>
  <c r="FW20" i="4"/>
  <c r="FX20" i="4" s="1"/>
  <c r="FG20" i="4"/>
  <c r="FH20" i="4" s="1"/>
  <c r="FA20" i="4"/>
  <c r="FB20" i="4" s="1"/>
  <c r="FU20" i="4"/>
  <c r="FV20" i="4" s="1"/>
  <c r="FE20" i="4"/>
  <c r="FF20" i="4" s="1"/>
  <c r="GI20" i="4"/>
  <c r="GJ20" i="4" s="1"/>
  <c r="FS20" i="4"/>
  <c r="FT20" i="4" s="1"/>
  <c r="FC20" i="4"/>
  <c r="FD20" i="4" s="1"/>
  <c r="GC20" i="4"/>
  <c r="GD20" i="4" s="1"/>
  <c r="FM20" i="4"/>
  <c r="FN20" i="4" s="1"/>
  <c r="EW20" i="4"/>
  <c r="EX20" i="4" s="1"/>
  <c r="GA20" i="4"/>
  <c r="GB20" i="4" s="1"/>
  <c r="FK20" i="4"/>
  <c r="FL20" i="4" s="1"/>
  <c r="EU20" i="4"/>
  <c r="EV20" i="4" s="1"/>
  <c r="GG20" i="4"/>
  <c r="GH20" i="4" s="1"/>
  <c r="FQ20" i="4"/>
  <c r="FR20" i="4" s="1"/>
  <c r="GE20" i="4"/>
  <c r="GF20" i="4" s="1"/>
  <c r="FO20" i="4"/>
  <c r="FP20" i="4" s="1"/>
  <c r="EY20" i="4"/>
  <c r="EZ20" i="4" s="1"/>
  <c r="DO66" i="4"/>
  <c r="DP66" i="4" s="1"/>
  <c r="DQ66" i="4"/>
  <c r="DR66" i="4" s="1"/>
  <c r="DI66" i="4"/>
  <c r="DJ66" i="4" s="1"/>
  <c r="DA66" i="4"/>
  <c r="DB66" i="4" s="1"/>
  <c r="CS66" i="4"/>
  <c r="CT66" i="4" s="1"/>
  <c r="CK66" i="4"/>
  <c r="CL66" i="4" s="1"/>
  <c r="CC66" i="4"/>
  <c r="CD66" i="4" s="1"/>
  <c r="DM66" i="4"/>
  <c r="DN66" i="4" s="1"/>
  <c r="DE66" i="4"/>
  <c r="DF66" i="4" s="1"/>
  <c r="CW66" i="4"/>
  <c r="CX66" i="4" s="1"/>
  <c r="CO66" i="4"/>
  <c r="CP66" i="4" s="1"/>
  <c r="CG66" i="4"/>
  <c r="CH66" i="4" s="1"/>
  <c r="CE66" i="4"/>
  <c r="CF66" i="4" s="1"/>
  <c r="CU66" i="4"/>
  <c r="CV66" i="4" s="1"/>
  <c r="DK66" i="4"/>
  <c r="DL66" i="4" s="1"/>
  <c r="CM66" i="4"/>
  <c r="CN66" i="4" s="1"/>
  <c r="CI66" i="4"/>
  <c r="CJ66" i="4" s="1"/>
  <c r="CY66" i="4"/>
  <c r="CZ66" i="4" s="1"/>
  <c r="CB66" i="4"/>
  <c r="CQ66" i="4"/>
  <c r="CR66" i="4" s="1"/>
  <c r="DG66" i="4"/>
  <c r="DH66" i="4" s="1"/>
  <c r="DC66" i="4"/>
  <c r="DD66" i="4" s="1"/>
  <c r="GG66" i="4"/>
  <c r="GH66" i="4" s="1"/>
  <c r="FQ66" i="4"/>
  <c r="FR66" i="4" s="1"/>
  <c r="FA66" i="4"/>
  <c r="FB66" i="4" s="1"/>
  <c r="GE66" i="4"/>
  <c r="GF66" i="4" s="1"/>
  <c r="FO66" i="4"/>
  <c r="FP66" i="4" s="1"/>
  <c r="EY66" i="4"/>
  <c r="EZ66" i="4" s="1"/>
  <c r="ET66" i="4"/>
  <c r="FG66" i="4"/>
  <c r="FH66" i="4" s="1"/>
  <c r="GC66" i="4"/>
  <c r="GD66" i="4" s="1"/>
  <c r="FM66" i="4"/>
  <c r="FN66" i="4" s="1"/>
  <c r="EW66" i="4"/>
  <c r="EX66" i="4" s="1"/>
  <c r="GA66" i="4"/>
  <c r="GB66" i="4" s="1"/>
  <c r="FK66" i="4"/>
  <c r="FL66" i="4" s="1"/>
  <c r="EU66" i="4"/>
  <c r="EV66" i="4" s="1"/>
  <c r="FI66" i="4"/>
  <c r="FJ66" i="4" s="1"/>
  <c r="FU66" i="4"/>
  <c r="FV66" i="4" s="1"/>
  <c r="FE66" i="4"/>
  <c r="FF66" i="4" s="1"/>
  <c r="GI66" i="4"/>
  <c r="GJ66" i="4" s="1"/>
  <c r="FS66" i="4"/>
  <c r="FT66" i="4" s="1"/>
  <c r="FC66" i="4"/>
  <c r="FD66" i="4" s="1"/>
  <c r="FY66" i="4"/>
  <c r="FZ66" i="4" s="1"/>
  <c r="FW66" i="4"/>
  <c r="FX66" i="4" s="1"/>
  <c r="FY65" i="4"/>
  <c r="FZ65" i="4" s="1"/>
  <c r="FI65" i="4"/>
  <c r="FJ65" i="4" s="1"/>
  <c r="ET65" i="4"/>
  <c r="GC65" i="4"/>
  <c r="GD65" i="4" s="1"/>
  <c r="EW65" i="4"/>
  <c r="EX65" i="4" s="1"/>
  <c r="FU65" i="4"/>
  <c r="FV65" i="4" s="1"/>
  <c r="FE65" i="4"/>
  <c r="FF65" i="4" s="1"/>
  <c r="FM65" i="4"/>
  <c r="FN65" i="4" s="1"/>
  <c r="GG65" i="4"/>
  <c r="GH65" i="4" s="1"/>
  <c r="FQ65" i="4"/>
  <c r="FR65" i="4" s="1"/>
  <c r="FA65" i="4"/>
  <c r="FB65" i="4" s="1"/>
  <c r="FW65" i="4"/>
  <c r="FX65" i="4" s="1"/>
  <c r="FG65" i="4"/>
  <c r="FH65" i="4" s="1"/>
  <c r="GI65" i="4"/>
  <c r="GJ65" i="4" s="1"/>
  <c r="FS65" i="4"/>
  <c r="FT65" i="4" s="1"/>
  <c r="FC65" i="4"/>
  <c r="FD65" i="4" s="1"/>
  <c r="GE65" i="4"/>
  <c r="GF65" i="4" s="1"/>
  <c r="FO65" i="4"/>
  <c r="FP65" i="4" s="1"/>
  <c r="EY65" i="4"/>
  <c r="EZ65" i="4" s="1"/>
  <c r="GA65" i="4"/>
  <c r="GB65" i="4" s="1"/>
  <c r="FK65" i="4"/>
  <c r="FL65" i="4" s="1"/>
  <c r="EU65" i="4"/>
  <c r="EV65" i="4" s="1"/>
  <c r="DO65" i="4"/>
  <c r="DP65" i="4" s="1"/>
  <c r="DQ65" i="4"/>
  <c r="DR65" i="4" s="1"/>
  <c r="DA65" i="4"/>
  <c r="DB65" i="4" s="1"/>
  <c r="CS65" i="4"/>
  <c r="CT65" i="4" s="1"/>
  <c r="CM65" i="4"/>
  <c r="CN65" i="4" s="1"/>
  <c r="CC65" i="4"/>
  <c r="CD65" i="4" s="1"/>
  <c r="CI65" i="4"/>
  <c r="CJ65" i="4" s="1"/>
  <c r="DM65" i="4"/>
  <c r="DN65" i="4" s="1"/>
  <c r="CW65" i="4"/>
  <c r="CX65" i="4" s="1"/>
  <c r="CQ65" i="4"/>
  <c r="CR65" i="4" s="1"/>
  <c r="CG65" i="4"/>
  <c r="CH65" i="4" s="1"/>
  <c r="CB65" i="4"/>
  <c r="DE65" i="4"/>
  <c r="DF65" i="4" s="1"/>
  <c r="CO65" i="4"/>
  <c r="CP65" i="4" s="1"/>
  <c r="DI65" i="4"/>
  <c r="DJ65" i="4" s="1"/>
  <c r="CU65" i="4"/>
  <c r="CV65" i="4" s="1"/>
  <c r="CK65" i="4"/>
  <c r="CL65" i="4" s="1"/>
  <c r="CE65" i="4"/>
  <c r="CF65" i="4" s="1"/>
  <c r="DC65" i="4"/>
  <c r="DD65" i="4" s="1"/>
  <c r="DG65" i="4"/>
  <c r="DH65" i="4" s="1"/>
  <c r="DK65" i="4"/>
  <c r="DL65" i="4" s="1"/>
  <c r="CY65" i="4"/>
  <c r="CZ65" i="4" s="1"/>
  <c r="AW27" i="4"/>
  <c r="AX27" i="4" s="1"/>
  <c r="AI27" i="4"/>
  <c r="AJ27" i="4" s="1"/>
  <c r="O27" i="4"/>
  <c r="P27" i="4" s="1"/>
  <c r="AU27" i="4"/>
  <c r="AV27" i="4" s="1"/>
  <c r="AO27" i="4"/>
  <c r="AP27" i="4" s="1"/>
  <c r="Q27" i="4"/>
  <c r="R27" i="4" s="1"/>
  <c r="AM27" i="4"/>
  <c r="AN27" i="4" s="1"/>
  <c r="S27" i="4"/>
  <c r="T27" i="4" s="1"/>
  <c r="AA27" i="4"/>
  <c r="AB27" i="4" s="1"/>
  <c r="M27" i="4"/>
  <c r="N27" i="4" s="1"/>
  <c r="AE27" i="4"/>
  <c r="AF27" i="4" s="1"/>
  <c r="AQ27" i="4"/>
  <c r="AR27" i="4" s="1"/>
  <c r="U27" i="4"/>
  <c r="V27" i="4" s="1"/>
  <c r="W27" i="4"/>
  <c r="X27" i="4" s="1"/>
  <c r="AY27" i="4"/>
  <c r="AZ27" i="4" s="1"/>
  <c r="K27" i="4"/>
  <c r="L27" i="4" s="1"/>
  <c r="Y27" i="4"/>
  <c r="Z27" i="4" s="1"/>
  <c r="AS27" i="4"/>
  <c r="AT27" i="4" s="1"/>
  <c r="S28" i="4"/>
  <c r="T28" i="4" s="1"/>
  <c r="AE28" i="4"/>
  <c r="AF28" i="4" s="1"/>
  <c r="J27" i="4"/>
  <c r="AG27" i="4"/>
  <c r="AH27" i="4" s="1"/>
  <c r="AY28" i="4"/>
  <c r="AZ28" i="4" s="1"/>
  <c r="AI28" i="4"/>
  <c r="AJ28" i="4" s="1"/>
  <c r="AK28" i="4"/>
  <c r="AL28" i="4" s="1"/>
  <c r="Q28" i="4"/>
  <c r="R28" i="4" s="1"/>
  <c r="U28" i="4"/>
  <c r="V28" i="4" s="1"/>
  <c r="O28" i="4"/>
  <c r="P28" i="4" s="1"/>
  <c r="AG28" i="4"/>
  <c r="AH28" i="4" s="1"/>
  <c r="AW28" i="4"/>
  <c r="AX28" i="4" s="1"/>
  <c r="K28" i="4"/>
  <c r="L28" i="4" s="1"/>
  <c r="AQ28" i="4"/>
  <c r="AR28" i="4" s="1"/>
  <c r="AC28" i="4"/>
  <c r="AD28" i="4" s="1"/>
  <c r="W28" i="4"/>
  <c r="X28" i="4" s="1"/>
  <c r="J28" i="4"/>
  <c r="AO28" i="4"/>
  <c r="AP28" i="4" s="1"/>
  <c r="AS28" i="4"/>
  <c r="AT28" i="4" s="1"/>
  <c r="AM28" i="4"/>
  <c r="AN28" i="4" s="1"/>
  <c r="Y28" i="4"/>
  <c r="Z28" i="4" s="1"/>
  <c r="AA28" i="4"/>
  <c r="AB28" i="4" s="1"/>
  <c r="M28" i="4"/>
  <c r="N28" i="4" s="1"/>
  <c r="GI27" i="4"/>
  <c r="GJ27" i="4" s="1"/>
  <c r="FS27" i="4"/>
  <c r="FT27" i="4" s="1"/>
  <c r="FC27" i="4"/>
  <c r="FD27" i="4" s="1"/>
  <c r="GC27" i="4"/>
  <c r="GD27" i="4" s="1"/>
  <c r="FM27" i="4"/>
  <c r="FN27" i="4" s="1"/>
  <c r="EW27" i="4"/>
  <c r="EX27" i="4" s="1"/>
  <c r="FK27" i="4"/>
  <c r="FL27" i="4" s="1"/>
  <c r="FE27" i="4"/>
  <c r="FF27" i="4" s="1"/>
  <c r="GE27" i="4"/>
  <c r="GF27" i="4" s="1"/>
  <c r="FO27" i="4"/>
  <c r="FP27" i="4" s="1"/>
  <c r="EY27" i="4"/>
  <c r="EZ27" i="4" s="1"/>
  <c r="FY27" i="4"/>
  <c r="FZ27" i="4" s="1"/>
  <c r="FI27" i="4"/>
  <c r="FJ27" i="4" s="1"/>
  <c r="ET27" i="4"/>
  <c r="GA27" i="4"/>
  <c r="GB27" i="4" s="1"/>
  <c r="EU27" i="4"/>
  <c r="EV27" i="4" s="1"/>
  <c r="FW27" i="4"/>
  <c r="FX27" i="4" s="1"/>
  <c r="FG27" i="4"/>
  <c r="FH27" i="4" s="1"/>
  <c r="GG27" i="4"/>
  <c r="GH27" i="4" s="1"/>
  <c r="FQ27" i="4"/>
  <c r="FR27" i="4" s="1"/>
  <c r="FA27" i="4"/>
  <c r="FB27" i="4" s="1"/>
  <c r="FU27" i="4"/>
  <c r="FV27" i="4" s="1"/>
  <c r="AW23" i="4"/>
  <c r="AX23" i="4" s="1"/>
  <c r="AY23" i="4"/>
  <c r="AZ23" i="4" s="1"/>
  <c r="AQ23" i="4"/>
  <c r="AR23" i="4" s="1"/>
  <c r="AI23" i="4"/>
  <c r="AJ23" i="4" s="1"/>
  <c r="AA23" i="4"/>
  <c r="AB23" i="4" s="1"/>
  <c r="S23" i="4"/>
  <c r="T23" i="4" s="1"/>
  <c r="K23" i="4"/>
  <c r="L23" i="4" s="1"/>
  <c r="AU23" i="4"/>
  <c r="AV23" i="4" s="1"/>
  <c r="AM23" i="4"/>
  <c r="AN23" i="4" s="1"/>
  <c r="AE23" i="4"/>
  <c r="AF23" i="4" s="1"/>
  <c r="W23" i="4"/>
  <c r="X23" i="4" s="1"/>
  <c r="O23" i="4"/>
  <c r="P23" i="4" s="1"/>
  <c r="U23" i="4"/>
  <c r="V23" i="4" s="1"/>
  <c r="AK23" i="4"/>
  <c r="AL23" i="4" s="1"/>
  <c r="M23" i="4"/>
  <c r="N23" i="4" s="1"/>
  <c r="J23" i="4"/>
  <c r="Y23" i="4"/>
  <c r="Z23" i="4" s="1"/>
  <c r="AO23" i="4"/>
  <c r="AP23" i="4" s="1"/>
  <c r="AC23" i="4"/>
  <c r="AD23" i="4" s="1"/>
  <c r="Q23" i="4"/>
  <c r="R23" i="4" s="1"/>
  <c r="AG23" i="4"/>
  <c r="AH23" i="4" s="1"/>
  <c r="AS23" i="4"/>
  <c r="AT23" i="4" s="1"/>
  <c r="DO27" i="4"/>
  <c r="DP27" i="4" s="1"/>
  <c r="CC27" i="4"/>
  <c r="CD27" i="4" s="1"/>
  <c r="CS27" i="4"/>
  <c r="CT27" i="4" s="1"/>
  <c r="DI27" i="4"/>
  <c r="DJ27" i="4" s="1"/>
  <c r="CI27" i="4"/>
  <c r="CJ27" i="4" s="1"/>
  <c r="CY27" i="4"/>
  <c r="CZ27" i="4" s="1"/>
  <c r="CK27" i="4"/>
  <c r="CL27" i="4" s="1"/>
  <c r="DG27" i="4"/>
  <c r="DH27" i="4" s="1"/>
  <c r="CG27" i="4"/>
  <c r="CH27" i="4" s="1"/>
  <c r="CW27" i="4"/>
  <c r="CX27" i="4" s="1"/>
  <c r="DM27" i="4"/>
  <c r="DN27" i="4" s="1"/>
  <c r="CM27" i="4"/>
  <c r="CN27" i="4" s="1"/>
  <c r="DC27" i="4"/>
  <c r="DD27" i="4" s="1"/>
  <c r="DA27" i="4"/>
  <c r="DB27" i="4" s="1"/>
  <c r="CB27" i="4"/>
  <c r="CO27" i="4"/>
  <c r="CP27" i="4" s="1"/>
  <c r="DE27" i="4"/>
  <c r="DF27" i="4" s="1"/>
  <c r="CE27" i="4"/>
  <c r="CF27" i="4" s="1"/>
  <c r="CU27" i="4"/>
  <c r="CV27" i="4" s="1"/>
  <c r="DK27" i="4"/>
  <c r="DL27" i="4" s="1"/>
  <c r="DQ27" i="4"/>
  <c r="DR27" i="4" s="1"/>
  <c r="CQ27" i="4"/>
  <c r="CR27" i="4" s="1"/>
  <c r="ER23" i="4"/>
  <c r="ES23" i="4" s="1"/>
  <c r="CA23" i="4"/>
  <c r="GG125" i="4"/>
  <c r="GH125" i="4" s="1"/>
  <c r="GC125" i="4"/>
  <c r="GD125" i="4" s="1"/>
  <c r="FY125" i="4"/>
  <c r="FZ125" i="4" s="1"/>
  <c r="FU125" i="4"/>
  <c r="FV125" i="4" s="1"/>
  <c r="FQ125" i="4"/>
  <c r="FR125" i="4" s="1"/>
  <c r="FM125" i="4"/>
  <c r="FN125" i="4" s="1"/>
  <c r="FI125" i="4"/>
  <c r="FJ125" i="4" s="1"/>
  <c r="FE125" i="4"/>
  <c r="FF125" i="4" s="1"/>
  <c r="FA125" i="4"/>
  <c r="FB125" i="4" s="1"/>
  <c r="EW125" i="4"/>
  <c r="EX125" i="4" s="1"/>
  <c r="ET125" i="4"/>
  <c r="GE125" i="4"/>
  <c r="GF125" i="4" s="1"/>
  <c r="FO125" i="4"/>
  <c r="FP125" i="4" s="1"/>
  <c r="EY125" i="4"/>
  <c r="EZ125" i="4" s="1"/>
  <c r="GI125" i="4"/>
  <c r="GJ125" i="4" s="1"/>
  <c r="FS125" i="4"/>
  <c r="FT125" i="4" s="1"/>
  <c r="FC125" i="4"/>
  <c r="FD125" i="4" s="1"/>
  <c r="GA125" i="4"/>
  <c r="GB125" i="4" s="1"/>
  <c r="FK125" i="4"/>
  <c r="FL125" i="4" s="1"/>
  <c r="EU125" i="4"/>
  <c r="EV125" i="4" s="1"/>
  <c r="FW125" i="4"/>
  <c r="FX125" i="4" s="1"/>
  <c r="FG125" i="4"/>
  <c r="FH125" i="4" s="1"/>
  <c r="GC143" i="4"/>
  <c r="GD143" i="4" s="1"/>
  <c r="FW143" i="4"/>
  <c r="FX143" i="4" s="1"/>
  <c r="FM143" i="4"/>
  <c r="FN143" i="4" s="1"/>
  <c r="FG143" i="4"/>
  <c r="FH143" i="4" s="1"/>
  <c r="EW143" i="4"/>
  <c r="EX143" i="4" s="1"/>
  <c r="GG143" i="4"/>
  <c r="GH143" i="4" s="1"/>
  <c r="GA143" i="4"/>
  <c r="GB143" i="4" s="1"/>
  <c r="FQ143" i="4"/>
  <c r="FR143" i="4" s="1"/>
  <c r="FK143" i="4"/>
  <c r="FL143" i="4" s="1"/>
  <c r="FA143" i="4"/>
  <c r="FB143" i="4" s="1"/>
  <c r="EU143" i="4"/>
  <c r="EV143" i="4" s="1"/>
  <c r="GI143" i="4"/>
  <c r="GJ143" i="4" s="1"/>
  <c r="FY143" i="4"/>
  <c r="FZ143" i="4" s="1"/>
  <c r="FS143" i="4"/>
  <c r="FT143" i="4" s="1"/>
  <c r="FI143" i="4"/>
  <c r="FJ143" i="4" s="1"/>
  <c r="FC143" i="4"/>
  <c r="FD143" i="4" s="1"/>
  <c r="ET143" i="4"/>
  <c r="FO143" i="4"/>
  <c r="FP143" i="4" s="1"/>
  <c r="GE143" i="4"/>
  <c r="GF143" i="4" s="1"/>
  <c r="FU143" i="4"/>
  <c r="FV143" i="4" s="1"/>
  <c r="EY143" i="4"/>
  <c r="EZ143" i="4" s="1"/>
  <c r="FE143" i="4"/>
  <c r="FF143" i="4" s="1"/>
  <c r="DQ44" i="4"/>
  <c r="DR44" i="4" s="1"/>
  <c r="DM44" i="4"/>
  <c r="DN44" i="4" s="1"/>
  <c r="DI44" i="4"/>
  <c r="DJ44" i="4" s="1"/>
  <c r="DE44" i="4"/>
  <c r="DF44" i="4" s="1"/>
  <c r="DA44" i="4"/>
  <c r="DB44" i="4" s="1"/>
  <c r="CW44" i="4"/>
  <c r="CX44" i="4" s="1"/>
  <c r="CS44" i="4"/>
  <c r="CT44" i="4" s="1"/>
  <c r="CO44" i="4"/>
  <c r="CP44" i="4" s="1"/>
  <c r="CK44" i="4"/>
  <c r="CL44" i="4" s="1"/>
  <c r="CG44" i="4"/>
  <c r="CH44" i="4" s="1"/>
  <c r="CC44" i="4"/>
  <c r="CD44" i="4" s="1"/>
  <c r="DC44" i="4"/>
  <c r="DD44" i="4" s="1"/>
  <c r="CM44" i="4"/>
  <c r="CN44" i="4" s="1"/>
  <c r="CU44" i="4"/>
  <c r="CV44" i="4" s="1"/>
  <c r="DO44" i="4"/>
  <c r="DP44" i="4" s="1"/>
  <c r="CY44" i="4"/>
  <c r="CZ44" i="4" s="1"/>
  <c r="CI44" i="4"/>
  <c r="CJ44" i="4" s="1"/>
  <c r="CE44" i="4"/>
  <c r="CF44" i="4" s="1"/>
  <c r="DG44" i="4"/>
  <c r="DH44" i="4" s="1"/>
  <c r="CQ44" i="4"/>
  <c r="CR44" i="4" s="1"/>
  <c r="CB44" i="4"/>
  <c r="DK44" i="4"/>
  <c r="DL44" i="4" s="1"/>
  <c r="DQ86" i="4"/>
  <c r="DR86" i="4" s="1"/>
  <c r="DM86" i="4"/>
  <c r="DN86" i="4" s="1"/>
  <c r="DI86" i="4"/>
  <c r="DJ86" i="4" s="1"/>
  <c r="DE86" i="4"/>
  <c r="DF86" i="4" s="1"/>
  <c r="DA86" i="4"/>
  <c r="DB86" i="4" s="1"/>
  <c r="CW86" i="4"/>
  <c r="CX86" i="4" s="1"/>
  <c r="CS86" i="4"/>
  <c r="CT86" i="4" s="1"/>
  <c r="CO86" i="4"/>
  <c r="CP86" i="4" s="1"/>
  <c r="CK86" i="4"/>
  <c r="CL86" i="4" s="1"/>
  <c r="CG86" i="4"/>
  <c r="CH86" i="4" s="1"/>
  <c r="CC86" i="4"/>
  <c r="CD86" i="4" s="1"/>
  <c r="DO86" i="4"/>
  <c r="DP86" i="4" s="1"/>
  <c r="CY86" i="4"/>
  <c r="CZ86" i="4" s="1"/>
  <c r="CI86" i="4"/>
  <c r="CJ86" i="4" s="1"/>
  <c r="DK86" i="4"/>
  <c r="DL86" i="4" s="1"/>
  <c r="CU86" i="4"/>
  <c r="CV86" i="4" s="1"/>
  <c r="CE86" i="4"/>
  <c r="CF86" i="4" s="1"/>
  <c r="DC86" i="4"/>
  <c r="DD86" i="4" s="1"/>
  <c r="CM86" i="4"/>
  <c r="CN86" i="4" s="1"/>
  <c r="CQ86" i="4"/>
  <c r="CR86" i="4" s="1"/>
  <c r="CB86" i="4"/>
  <c r="DG86" i="4"/>
  <c r="DH86" i="4" s="1"/>
  <c r="DQ48" i="4"/>
  <c r="DR48" i="4" s="1"/>
  <c r="DM48" i="4"/>
  <c r="DN48" i="4" s="1"/>
  <c r="DI48" i="4"/>
  <c r="DJ48" i="4" s="1"/>
  <c r="DE48" i="4"/>
  <c r="DF48" i="4" s="1"/>
  <c r="DA48" i="4"/>
  <c r="DB48" i="4" s="1"/>
  <c r="CW48" i="4"/>
  <c r="CX48" i="4" s="1"/>
  <c r="CS48" i="4"/>
  <c r="CT48" i="4" s="1"/>
  <c r="CO48" i="4"/>
  <c r="CP48" i="4" s="1"/>
  <c r="CK48" i="4"/>
  <c r="CL48" i="4" s="1"/>
  <c r="CG48" i="4"/>
  <c r="CH48" i="4" s="1"/>
  <c r="CC48" i="4"/>
  <c r="CD48" i="4" s="1"/>
  <c r="DG48" i="4"/>
  <c r="DH48" i="4" s="1"/>
  <c r="CQ48" i="4"/>
  <c r="CR48" i="4" s="1"/>
  <c r="CB48" i="4"/>
  <c r="CI48" i="4"/>
  <c r="CJ48" i="4" s="1"/>
  <c r="DC48" i="4"/>
  <c r="DD48" i="4" s="1"/>
  <c r="CM48" i="4"/>
  <c r="CN48" i="4" s="1"/>
  <c r="CY48" i="4"/>
  <c r="CZ48" i="4" s="1"/>
  <c r="DK48" i="4"/>
  <c r="DL48" i="4" s="1"/>
  <c r="CU48" i="4"/>
  <c r="CV48" i="4" s="1"/>
  <c r="CE48" i="4"/>
  <c r="CF48" i="4" s="1"/>
  <c r="DO48" i="4"/>
  <c r="DP48" i="4" s="1"/>
  <c r="GG44" i="4"/>
  <c r="GH44" i="4" s="1"/>
  <c r="GC44" i="4"/>
  <c r="GD44" i="4" s="1"/>
  <c r="FY44" i="4"/>
  <c r="FZ44" i="4" s="1"/>
  <c r="FU44" i="4"/>
  <c r="FV44" i="4" s="1"/>
  <c r="FQ44" i="4"/>
  <c r="FR44" i="4" s="1"/>
  <c r="FM44" i="4"/>
  <c r="FN44" i="4" s="1"/>
  <c r="FI44" i="4"/>
  <c r="FJ44" i="4" s="1"/>
  <c r="FE44" i="4"/>
  <c r="FF44" i="4" s="1"/>
  <c r="FA44" i="4"/>
  <c r="FB44" i="4" s="1"/>
  <c r="EW44" i="4"/>
  <c r="EX44" i="4" s="1"/>
  <c r="ET44" i="4"/>
  <c r="GI44" i="4"/>
  <c r="GJ44" i="4" s="1"/>
  <c r="FS44" i="4"/>
  <c r="FT44" i="4" s="1"/>
  <c r="FC44" i="4"/>
  <c r="FD44" i="4" s="1"/>
  <c r="EU44" i="4"/>
  <c r="EV44" i="4" s="1"/>
  <c r="GE44" i="4"/>
  <c r="GF44" i="4" s="1"/>
  <c r="FO44" i="4"/>
  <c r="FP44" i="4" s="1"/>
  <c r="EY44" i="4"/>
  <c r="EZ44" i="4" s="1"/>
  <c r="GA44" i="4"/>
  <c r="GB44" i="4" s="1"/>
  <c r="FW44" i="4"/>
  <c r="FX44" i="4" s="1"/>
  <c r="FG44" i="4"/>
  <c r="FH44" i="4" s="1"/>
  <c r="FK44" i="4"/>
  <c r="FL44" i="4" s="1"/>
  <c r="GG86" i="4"/>
  <c r="GH86" i="4" s="1"/>
  <c r="GC86" i="4"/>
  <c r="GD86" i="4" s="1"/>
  <c r="FY86" i="4"/>
  <c r="FZ86" i="4" s="1"/>
  <c r="FU86" i="4"/>
  <c r="FV86" i="4" s="1"/>
  <c r="FQ86" i="4"/>
  <c r="FR86" i="4" s="1"/>
  <c r="FM86" i="4"/>
  <c r="FN86" i="4" s="1"/>
  <c r="FI86" i="4"/>
  <c r="FJ86" i="4" s="1"/>
  <c r="FE86" i="4"/>
  <c r="FF86" i="4" s="1"/>
  <c r="FA86" i="4"/>
  <c r="FB86" i="4" s="1"/>
  <c r="EW86" i="4"/>
  <c r="EX86" i="4" s="1"/>
  <c r="ET86" i="4"/>
  <c r="GE86" i="4"/>
  <c r="GF86" i="4" s="1"/>
  <c r="FO86" i="4"/>
  <c r="FP86" i="4" s="1"/>
  <c r="EY86" i="4"/>
  <c r="EZ86" i="4" s="1"/>
  <c r="GA86" i="4"/>
  <c r="GB86" i="4" s="1"/>
  <c r="FK86" i="4"/>
  <c r="FL86" i="4" s="1"/>
  <c r="EU86" i="4"/>
  <c r="EV86" i="4" s="1"/>
  <c r="GI86" i="4"/>
  <c r="GJ86" i="4" s="1"/>
  <c r="FS86" i="4"/>
  <c r="FT86" i="4" s="1"/>
  <c r="FC86" i="4"/>
  <c r="FD86" i="4" s="1"/>
  <c r="FG86" i="4"/>
  <c r="FH86" i="4" s="1"/>
  <c r="FW86" i="4"/>
  <c r="FX86" i="4" s="1"/>
  <c r="GG48" i="4"/>
  <c r="GH48" i="4" s="1"/>
  <c r="GC48" i="4"/>
  <c r="GD48" i="4" s="1"/>
  <c r="FY48" i="4"/>
  <c r="FZ48" i="4" s="1"/>
  <c r="FU48" i="4"/>
  <c r="FV48" i="4" s="1"/>
  <c r="FQ48" i="4"/>
  <c r="FR48" i="4" s="1"/>
  <c r="FM48" i="4"/>
  <c r="FN48" i="4" s="1"/>
  <c r="FI48" i="4"/>
  <c r="FJ48" i="4" s="1"/>
  <c r="FE48" i="4"/>
  <c r="FF48" i="4" s="1"/>
  <c r="FA48" i="4"/>
  <c r="FB48" i="4" s="1"/>
  <c r="EW48" i="4"/>
  <c r="EX48" i="4" s="1"/>
  <c r="ET48" i="4"/>
  <c r="FW48" i="4"/>
  <c r="FX48" i="4" s="1"/>
  <c r="FG48" i="4"/>
  <c r="FH48" i="4" s="1"/>
  <c r="EY48" i="4"/>
  <c r="EZ48" i="4" s="1"/>
  <c r="GI48" i="4"/>
  <c r="GJ48" i="4" s="1"/>
  <c r="FS48" i="4"/>
  <c r="FT48" i="4" s="1"/>
  <c r="FC48" i="4"/>
  <c r="FD48" i="4" s="1"/>
  <c r="FO48" i="4"/>
  <c r="FP48" i="4" s="1"/>
  <c r="GA48" i="4"/>
  <c r="GB48" i="4" s="1"/>
  <c r="FK48" i="4"/>
  <c r="FL48" i="4" s="1"/>
  <c r="EU48" i="4"/>
  <c r="EV48" i="4" s="1"/>
  <c r="GE48" i="4"/>
  <c r="GF48" i="4" s="1"/>
  <c r="GG92" i="4"/>
  <c r="GH92" i="4" s="1"/>
  <c r="GC92" i="4"/>
  <c r="GD92" i="4" s="1"/>
  <c r="FY92" i="4"/>
  <c r="FZ92" i="4" s="1"/>
  <c r="FU92" i="4"/>
  <c r="FV92" i="4" s="1"/>
  <c r="FQ92" i="4"/>
  <c r="FR92" i="4" s="1"/>
  <c r="FM92" i="4"/>
  <c r="FN92" i="4" s="1"/>
  <c r="FI92" i="4"/>
  <c r="FJ92" i="4" s="1"/>
  <c r="FE92" i="4"/>
  <c r="FF92" i="4" s="1"/>
  <c r="FA92" i="4"/>
  <c r="FB92" i="4" s="1"/>
  <c r="EW92" i="4"/>
  <c r="EX92" i="4" s="1"/>
  <c r="ET92" i="4"/>
  <c r="GA92" i="4"/>
  <c r="GB92" i="4" s="1"/>
  <c r="FK92" i="4"/>
  <c r="FL92" i="4" s="1"/>
  <c r="EU92" i="4"/>
  <c r="EV92" i="4" s="1"/>
  <c r="FW92" i="4"/>
  <c r="FX92" i="4" s="1"/>
  <c r="FG92" i="4"/>
  <c r="FH92" i="4" s="1"/>
  <c r="GE92" i="4"/>
  <c r="GF92" i="4" s="1"/>
  <c r="FO92" i="4"/>
  <c r="FP92" i="4" s="1"/>
  <c r="EY92" i="4"/>
  <c r="EZ92" i="4" s="1"/>
  <c r="GI92" i="4"/>
  <c r="GJ92" i="4" s="1"/>
  <c r="FS92" i="4"/>
  <c r="FT92" i="4" s="1"/>
  <c r="FC92" i="4"/>
  <c r="FD92" i="4" s="1"/>
  <c r="DO21" i="4"/>
  <c r="DP21" i="4" s="1"/>
  <c r="DK21" i="4"/>
  <c r="DL21" i="4" s="1"/>
  <c r="DG21" i="4"/>
  <c r="DH21" i="4" s="1"/>
  <c r="DC21" i="4"/>
  <c r="DD21" i="4" s="1"/>
  <c r="CY21" i="4"/>
  <c r="CZ21" i="4" s="1"/>
  <c r="CU21" i="4"/>
  <c r="CV21" i="4" s="1"/>
  <c r="CQ21" i="4"/>
  <c r="CR21" i="4" s="1"/>
  <c r="CM21" i="4"/>
  <c r="CN21" i="4" s="1"/>
  <c r="CI21" i="4"/>
  <c r="CJ21" i="4" s="1"/>
  <c r="CE21" i="4"/>
  <c r="CF21" i="4" s="1"/>
  <c r="CB21" i="4"/>
  <c r="DQ21" i="4"/>
  <c r="DR21" i="4" s="1"/>
  <c r="DM21" i="4"/>
  <c r="DN21" i="4" s="1"/>
  <c r="DI21" i="4"/>
  <c r="DJ21" i="4" s="1"/>
  <c r="DE21" i="4"/>
  <c r="DF21" i="4" s="1"/>
  <c r="DA21" i="4"/>
  <c r="DB21" i="4" s="1"/>
  <c r="CW21" i="4"/>
  <c r="CX21" i="4" s="1"/>
  <c r="CS21" i="4"/>
  <c r="CT21" i="4" s="1"/>
  <c r="CO21" i="4"/>
  <c r="CP21" i="4" s="1"/>
  <c r="CK21" i="4"/>
  <c r="CL21" i="4" s="1"/>
  <c r="CG21" i="4"/>
  <c r="CH21" i="4" s="1"/>
  <c r="CC21" i="4"/>
  <c r="CD21" i="4" s="1"/>
  <c r="DQ155" i="4"/>
  <c r="DR155" i="4" s="1"/>
  <c r="DM155" i="4"/>
  <c r="DN155" i="4" s="1"/>
  <c r="DI155" i="4"/>
  <c r="DJ155" i="4" s="1"/>
  <c r="DE155" i="4"/>
  <c r="DF155" i="4" s="1"/>
  <c r="DA155" i="4"/>
  <c r="DB155" i="4" s="1"/>
  <c r="CW155" i="4"/>
  <c r="CX155" i="4" s="1"/>
  <c r="CS155" i="4"/>
  <c r="CT155" i="4" s="1"/>
  <c r="CO155" i="4"/>
  <c r="CP155" i="4" s="1"/>
  <c r="CK155" i="4"/>
  <c r="CL155" i="4" s="1"/>
  <c r="CG155" i="4"/>
  <c r="CH155" i="4" s="1"/>
  <c r="CC155" i="4"/>
  <c r="CD155" i="4" s="1"/>
  <c r="DK155" i="4"/>
  <c r="DL155" i="4" s="1"/>
  <c r="CU155" i="4"/>
  <c r="CV155" i="4" s="1"/>
  <c r="CE155" i="4"/>
  <c r="CF155" i="4" s="1"/>
  <c r="DC155" i="4"/>
  <c r="DD155" i="4" s="1"/>
  <c r="CM155" i="4"/>
  <c r="CN155" i="4" s="1"/>
  <c r="CY155" i="4"/>
  <c r="CZ155" i="4" s="1"/>
  <c r="CQ155" i="4"/>
  <c r="CR155" i="4" s="1"/>
  <c r="DG155" i="4"/>
  <c r="DH155" i="4" s="1"/>
  <c r="CB155" i="4"/>
  <c r="CI155" i="4"/>
  <c r="CJ155" i="4" s="1"/>
  <c r="DO155" i="4"/>
  <c r="DP155" i="4" s="1"/>
  <c r="DQ67" i="4"/>
  <c r="DR67" i="4" s="1"/>
  <c r="DM67" i="4"/>
  <c r="DN67" i="4" s="1"/>
  <c r="DI67" i="4"/>
  <c r="DJ67" i="4" s="1"/>
  <c r="DE67" i="4"/>
  <c r="DF67" i="4" s="1"/>
  <c r="DA67" i="4"/>
  <c r="DB67" i="4" s="1"/>
  <c r="CW67" i="4"/>
  <c r="CX67" i="4" s="1"/>
  <c r="CS67" i="4"/>
  <c r="CT67" i="4" s="1"/>
  <c r="CO67" i="4"/>
  <c r="CP67" i="4" s="1"/>
  <c r="CK67" i="4"/>
  <c r="CL67" i="4" s="1"/>
  <c r="CG67" i="4"/>
  <c r="CH67" i="4" s="1"/>
  <c r="CC67" i="4"/>
  <c r="CD67" i="4" s="1"/>
  <c r="DC67" i="4"/>
  <c r="DD67" i="4" s="1"/>
  <c r="CM67" i="4"/>
  <c r="CN67" i="4" s="1"/>
  <c r="DO67" i="4"/>
  <c r="DP67" i="4" s="1"/>
  <c r="CY67" i="4"/>
  <c r="CZ67" i="4" s="1"/>
  <c r="CI67" i="4"/>
  <c r="CJ67" i="4" s="1"/>
  <c r="DG67" i="4"/>
  <c r="DH67" i="4" s="1"/>
  <c r="CQ67" i="4"/>
  <c r="CR67" i="4" s="1"/>
  <c r="CB67" i="4"/>
  <c r="DK67" i="4"/>
  <c r="DL67" i="4" s="1"/>
  <c r="CE67" i="4"/>
  <c r="CF67" i="4" s="1"/>
  <c r="CU67" i="4"/>
  <c r="CV67" i="4" s="1"/>
  <c r="DQ125" i="4"/>
  <c r="DR125" i="4" s="1"/>
  <c r="DM125" i="4"/>
  <c r="DN125" i="4" s="1"/>
  <c r="DI125" i="4"/>
  <c r="DJ125" i="4" s="1"/>
  <c r="DE125" i="4"/>
  <c r="DF125" i="4" s="1"/>
  <c r="DK125" i="4"/>
  <c r="DL125" i="4" s="1"/>
  <c r="DA125" i="4"/>
  <c r="DB125" i="4" s="1"/>
  <c r="CW125" i="4"/>
  <c r="CX125" i="4" s="1"/>
  <c r="CS125" i="4"/>
  <c r="CT125" i="4" s="1"/>
  <c r="CO125" i="4"/>
  <c r="CP125" i="4" s="1"/>
  <c r="CK125" i="4"/>
  <c r="CL125" i="4" s="1"/>
  <c r="CG125" i="4"/>
  <c r="CH125" i="4" s="1"/>
  <c r="CC125" i="4"/>
  <c r="CD125" i="4" s="1"/>
  <c r="DO125" i="4"/>
  <c r="DP125" i="4" s="1"/>
  <c r="DG125" i="4"/>
  <c r="DH125" i="4" s="1"/>
  <c r="CU125" i="4"/>
  <c r="CV125" i="4" s="1"/>
  <c r="CE125" i="4"/>
  <c r="CF125" i="4" s="1"/>
  <c r="CQ125" i="4"/>
  <c r="CR125" i="4" s="1"/>
  <c r="CB125" i="4"/>
  <c r="CY125" i="4"/>
  <c r="CZ125" i="4" s="1"/>
  <c r="CI125" i="4"/>
  <c r="CJ125" i="4" s="1"/>
  <c r="DC125" i="4"/>
  <c r="DD125" i="4" s="1"/>
  <c r="CM125" i="4"/>
  <c r="CN125" i="4" s="1"/>
  <c r="DQ52" i="4"/>
  <c r="DR52" i="4" s="1"/>
  <c r="DM52" i="4"/>
  <c r="DN52" i="4" s="1"/>
  <c r="DI52" i="4"/>
  <c r="DJ52" i="4" s="1"/>
  <c r="DE52" i="4"/>
  <c r="DF52" i="4" s="1"/>
  <c r="DA52" i="4"/>
  <c r="DB52" i="4" s="1"/>
  <c r="CW52" i="4"/>
  <c r="CX52" i="4" s="1"/>
  <c r="CS52" i="4"/>
  <c r="CT52" i="4" s="1"/>
  <c r="CO52" i="4"/>
  <c r="CP52" i="4" s="1"/>
  <c r="CK52" i="4"/>
  <c r="CL52" i="4" s="1"/>
  <c r="CG52" i="4"/>
  <c r="CH52" i="4" s="1"/>
  <c r="CC52" i="4"/>
  <c r="CD52" i="4" s="1"/>
  <c r="DK52" i="4"/>
  <c r="DL52" i="4" s="1"/>
  <c r="CU52" i="4"/>
  <c r="CV52" i="4" s="1"/>
  <c r="CE52" i="4"/>
  <c r="CF52" i="4" s="1"/>
  <c r="DC52" i="4"/>
  <c r="DD52" i="4" s="1"/>
  <c r="DG52" i="4"/>
  <c r="DH52" i="4" s="1"/>
  <c r="CQ52" i="4"/>
  <c r="CR52" i="4" s="1"/>
  <c r="CB52" i="4"/>
  <c r="DO52" i="4"/>
  <c r="DP52" i="4" s="1"/>
  <c r="CY52" i="4"/>
  <c r="CZ52" i="4" s="1"/>
  <c r="CI52" i="4"/>
  <c r="CJ52" i="4" s="1"/>
  <c r="CM52" i="4"/>
  <c r="CN52" i="4" s="1"/>
  <c r="DQ63" i="4"/>
  <c r="DR63" i="4" s="1"/>
  <c r="DM63" i="4"/>
  <c r="DN63" i="4" s="1"/>
  <c r="DI63" i="4"/>
  <c r="DJ63" i="4" s="1"/>
  <c r="DE63" i="4"/>
  <c r="DF63" i="4" s="1"/>
  <c r="DA63" i="4"/>
  <c r="DB63" i="4" s="1"/>
  <c r="CW63" i="4"/>
  <c r="CX63" i="4" s="1"/>
  <c r="CS63" i="4"/>
  <c r="CT63" i="4" s="1"/>
  <c r="CO63" i="4"/>
  <c r="CP63" i="4" s="1"/>
  <c r="CK63" i="4"/>
  <c r="CL63" i="4" s="1"/>
  <c r="CG63" i="4"/>
  <c r="CH63" i="4" s="1"/>
  <c r="CC63" i="4"/>
  <c r="CD63" i="4" s="1"/>
  <c r="DG63" i="4"/>
  <c r="DH63" i="4" s="1"/>
  <c r="CQ63" i="4"/>
  <c r="CR63" i="4" s="1"/>
  <c r="CB63" i="4"/>
  <c r="DC63" i="4"/>
  <c r="DD63" i="4" s="1"/>
  <c r="CM63" i="4"/>
  <c r="CN63" i="4" s="1"/>
  <c r="DK63" i="4"/>
  <c r="DL63" i="4" s="1"/>
  <c r="CU63" i="4"/>
  <c r="CV63" i="4" s="1"/>
  <c r="CE63" i="4"/>
  <c r="CF63" i="4" s="1"/>
  <c r="DO63" i="4"/>
  <c r="DP63" i="4" s="1"/>
  <c r="CY63" i="4"/>
  <c r="CZ63" i="4" s="1"/>
  <c r="CI63" i="4"/>
  <c r="CJ63" i="4" s="1"/>
  <c r="DO143" i="4"/>
  <c r="DP143" i="4" s="1"/>
  <c r="DE143" i="4"/>
  <c r="DF143" i="4" s="1"/>
  <c r="CY143" i="4"/>
  <c r="CZ143" i="4" s="1"/>
  <c r="CO143" i="4"/>
  <c r="CP143" i="4" s="1"/>
  <c r="CI143" i="4"/>
  <c r="CJ143" i="4" s="1"/>
  <c r="DI143" i="4"/>
  <c r="DJ143" i="4" s="1"/>
  <c r="DC143" i="4"/>
  <c r="DD143" i="4" s="1"/>
  <c r="CS143" i="4"/>
  <c r="CT143" i="4" s="1"/>
  <c r="CM143" i="4"/>
  <c r="CN143" i="4" s="1"/>
  <c r="CC143" i="4"/>
  <c r="CD143" i="4" s="1"/>
  <c r="DQ143" i="4"/>
  <c r="DR143" i="4" s="1"/>
  <c r="DK143" i="4"/>
  <c r="DL143" i="4" s="1"/>
  <c r="DA143" i="4"/>
  <c r="DB143" i="4" s="1"/>
  <c r="CU143" i="4"/>
  <c r="CV143" i="4" s="1"/>
  <c r="CK143" i="4"/>
  <c r="CL143" i="4" s="1"/>
  <c r="CE143" i="4"/>
  <c r="CF143" i="4" s="1"/>
  <c r="DM143" i="4"/>
  <c r="DN143" i="4" s="1"/>
  <c r="CQ143" i="4"/>
  <c r="CR143" i="4" s="1"/>
  <c r="DG143" i="4"/>
  <c r="DH143" i="4" s="1"/>
  <c r="CW143" i="4"/>
  <c r="CX143" i="4" s="1"/>
  <c r="CB143" i="4"/>
  <c r="CG143" i="4"/>
  <c r="CH143" i="4" s="1"/>
  <c r="DM126" i="4"/>
  <c r="DN126" i="4" s="1"/>
  <c r="DG126" i="4"/>
  <c r="DH126" i="4" s="1"/>
  <c r="CW126" i="4"/>
  <c r="CX126" i="4" s="1"/>
  <c r="CQ126" i="4"/>
  <c r="CR126" i="4" s="1"/>
  <c r="CG126" i="4"/>
  <c r="CH126" i="4" s="1"/>
  <c r="CB126" i="4"/>
  <c r="DQ126" i="4"/>
  <c r="DR126" i="4" s="1"/>
  <c r="DK126" i="4"/>
  <c r="DL126" i="4" s="1"/>
  <c r="DA126" i="4"/>
  <c r="DB126" i="4" s="1"/>
  <c r="CU126" i="4"/>
  <c r="CV126" i="4" s="1"/>
  <c r="CK126" i="4"/>
  <c r="CL126" i="4" s="1"/>
  <c r="CE126" i="4"/>
  <c r="CF126" i="4" s="1"/>
  <c r="DI126" i="4"/>
  <c r="DJ126" i="4" s="1"/>
  <c r="DC126" i="4"/>
  <c r="DD126" i="4" s="1"/>
  <c r="CS126" i="4"/>
  <c r="CT126" i="4" s="1"/>
  <c r="CM126" i="4"/>
  <c r="CN126" i="4" s="1"/>
  <c r="CC126" i="4"/>
  <c r="CD126" i="4" s="1"/>
  <c r="CY126" i="4"/>
  <c r="CZ126" i="4" s="1"/>
  <c r="DO126" i="4"/>
  <c r="DP126" i="4" s="1"/>
  <c r="DE126" i="4"/>
  <c r="DF126" i="4" s="1"/>
  <c r="CI126" i="4"/>
  <c r="CJ126" i="4" s="1"/>
  <c r="CO126" i="4"/>
  <c r="CP126" i="4" s="1"/>
  <c r="DQ147" i="4"/>
  <c r="DR147" i="4" s="1"/>
  <c r="DM147" i="4"/>
  <c r="DN147" i="4" s="1"/>
  <c r="DI147" i="4"/>
  <c r="DJ147" i="4" s="1"/>
  <c r="DE147" i="4"/>
  <c r="DF147" i="4" s="1"/>
  <c r="DA147" i="4"/>
  <c r="DB147" i="4" s="1"/>
  <c r="CW147" i="4"/>
  <c r="CX147" i="4" s="1"/>
  <c r="CS147" i="4"/>
  <c r="CT147" i="4" s="1"/>
  <c r="CO147" i="4"/>
  <c r="CP147" i="4" s="1"/>
  <c r="CK147" i="4"/>
  <c r="CL147" i="4" s="1"/>
  <c r="CG147" i="4"/>
  <c r="CH147" i="4" s="1"/>
  <c r="CC147" i="4"/>
  <c r="CD147" i="4" s="1"/>
  <c r="DK147" i="4"/>
  <c r="DL147" i="4" s="1"/>
  <c r="CU147" i="4"/>
  <c r="CV147" i="4" s="1"/>
  <c r="CE147" i="4"/>
  <c r="CF147" i="4" s="1"/>
  <c r="DO147" i="4"/>
  <c r="DP147" i="4" s="1"/>
  <c r="CY147" i="4"/>
  <c r="CZ147" i="4" s="1"/>
  <c r="CI147" i="4"/>
  <c r="CJ147" i="4" s="1"/>
  <c r="DG147" i="4"/>
  <c r="DH147" i="4" s="1"/>
  <c r="CQ147" i="4"/>
  <c r="CR147" i="4" s="1"/>
  <c r="CB147" i="4"/>
  <c r="DC147" i="4"/>
  <c r="DD147" i="4" s="1"/>
  <c r="CM147" i="4"/>
  <c r="CN147" i="4" s="1"/>
  <c r="GI21" i="4"/>
  <c r="GJ21" i="4" s="1"/>
  <c r="GE21" i="4"/>
  <c r="GF21" i="4" s="1"/>
  <c r="GA21" i="4"/>
  <c r="GB21" i="4" s="1"/>
  <c r="FW21" i="4"/>
  <c r="FX21" i="4" s="1"/>
  <c r="FS21" i="4"/>
  <c r="FT21" i="4" s="1"/>
  <c r="FO21" i="4"/>
  <c r="FP21" i="4" s="1"/>
  <c r="FK21" i="4"/>
  <c r="FL21" i="4" s="1"/>
  <c r="FG21" i="4"/>
  <c r="FH21" i="4" s="1"/>
  <c r="FC21" i="4"/>
  <c r="FD21" i="4" s="1"/>
  <c r="EY21" i="4"/>
  <c r="EZ21" i="4" s="1"/>
  <c r="EU21" i="4"/>
  <c r="EV21" i="4" s="1"/>
  <c r="GG21" i="4"/>
  <c r="GH21" i="4" s="1"/>
  <c r="GC21" i="4"/>
  <c r="GD21" i="4" s="1"/>
  <c r="FY21" i="4"/>
  <c r="FZ21" i="4" s="1"/>
  <c r="FU21" i="4"/>
  <c r="FV21" i="4" s="1"/>
  <c r="FQ21" i="4"/>
  <c r="FR21" i="4" s="1"/>
  <c r="FM21" i="4"/>
  <c r="FN21" i="4" s="1"/>
  <c r="FI21" i="4"/>
  <c r="FJ21" i="4" s="1"/>
  <c r="FE21" i="4"/>
  <c r="FF21" i="4" s="1"/>
  <c r="FA21" i="4"/>
  <c r="FB21" i="4" s="1"/>
  <c r="EW21" i="4"/>
  <c r="EX21" i="4" s="1"/>
  <c r="ET21" i="4"/>
  <c r="GG155" i="4"/>
  <c r="GH155" i="4" s="1"/>
  <c r="GC155" i="4"/>
  <c r="GD155" i="4" s="1"/>
  <c r="FY155" i="4"/>
  <c r="FZ155" i="4" s="1"/>
  <c r="FU155" i="4"/>
  <c r="FV155" i="4" s="1"/>
  <c r="FQ155" i="4"/>
  <c r="FR155" i="4" s="1"/>
  <c r="FM155" i="4"/>
  <c r="FN155" i="4" s="1"/>
  <c r="FI155" i="4"/>
  <c r="FJ155" i="4" s="1"/>
  <c r="FE155" i="4"/>
  <c r="FF155" i="4" s="1"/>
  <c r="FA155" i="4"/>
  <c r="FB155" i="4" s="1"/>
  <c r="EW155" i="4"/>
  <c r="EX155" i="4" s="1"/>
  <c r="ET155" i="4"/>
  <c r="GA155" i="4"/>
  <c r="GB155" i="4" s="1"/>
  <c r="FK155" i="4"/>
  <c r="FL155" i="4" s="1"/>
  <c r="EU155" i="4"/>
  <c r="EV155" i="4" s="1"/>
  <c r="GI155" i="4"/>
  <c r="GJ155" i="4" s="1"/>
  <c r="FS155" i="4"/>
  <c r="FT155" i="4" s="1"/>
  <c r="FC155" i="4"/>
  <c r="FD155" i="4" s="1"/>
  <c r="FW155" i="4"/>
  <c r="FX155" i="4" s="1"/>
  <c r="FO155" i="4"/>
  <c r="FP155" i="4" s="1"/>
  <c r="GE155" i="4"/>
  <c r="GF155" i="4" s="1"/>
  <c r="EY155" i="4"/>
  <c r="EZ155" i="4" s="1"/>
  <c r="FG155" i="4"/>
  <c r="FH155" i="4" s="1"/>
  <c r="GG52" i="4"/>
  <c r="GH52" i="4" s="1"/>
  <c r="GC52" i="4"/>
  <c r="GD52" i="4" s="1"/>
  <c r="FY52" i="4"/>
  <c r="FZ52" i="4" s="1"/>
  <c r="FU52" i="4"/>
  <c r="FV52" i="4" s="1"/>
  <c r="FQ52" i="4"/>
  <c r="FR52" i="4" s="1"/>
  <c r="FM52" i="4"/>
  <c r="FN52" i="4" s="1"/>
  <c r="FI52" i="4"/>
  <c r="FJ52" i="4" s="1"/>
  <c r="FE52" i="4"/>
  <c r="FF52" i="4" s="1"/>
  <c r="FA52" i="4"/>
  <c r="FB52" i="4" s="1"/>
  <c r="EW52" i="4"/>
  <c r="EX52" i="4" s="1"/>
  <c r="ET52" i="4"/>
  <c r="GA52" i="4"/>
  <c r="GB52" i="4" s="1"/>
  <c r="FK52" i="4"/>
  <c r="FL52" i="4" s="1"/>
  <c r="EU52" i="4"/>
  <c r="EV52" i="4" s="1"/>
  <c r="FC52" i="4"/>
  <c r="FD52" i="4" s="1"/>
  <c r="FW52" i="4"/>
  <c r="FX52" i="4" s="1"/>
  <c r="FG52" i="4"/>
  <c r="FH52" i="4" s="1"/>
  <c r="FS52" i="4"/>
  <c r="FT52" i="4" s="1"/>
  <c r="GE52" i="4"/>
  <c r="GF52" i="4" s="1"/>
  <c r="FO52" i="4"/>
  <c r="FP52" i="4" s="1"/>
  <c r="EY52" i="4"/>
  <c r="EZ52" i="4" s="1"/>
  <c r="GI52" i="4"/>
  <c r="GJ52" i="4" s="1"/>
  <c r="GG63" i="4"/>
  <c r="GH63" i="4" s="1"/>
  <c r="GC63" i="4"/>
  <c r="GD63" i="4" s="1"/>
  <c r="FY63" i="4"/>
  <c r="FZ63" i="4" s="1"/>
  <c r="FU63" i="4"/>
  <c r="FV63" i="4" s="1"/>
  <c r="FQ63" i="4"/>
  <c r="FR63" i="4" s="1"/>
  <c r="FM63" i="4"/>
  <c r="FN63" i="4" s="1"/>
  <c r="FI63" i="4"/>
  <c r="FJ63" i="4" s="1"/>
  <c r="FE63" i="4"/>
  <c r="FF63" i="4" s="1"/>
  <c r="FA63" i="4"/>
  <c r="FB63" i="4" s="1"/>
  <c r="EW63" i="4"/>
  <c r="EX63" i="4" s="1"/>
  <c r="ET63" i="4"/>
  <c r="FW63" i="4"/>
  <c r="FX63" i="4" s="1"/>
  <c r="FG63" i="4"/>
  <c r="FH63" i="4" s="1"/>
  <c r="GI63" i="4"/>
  <c r="GJ63" i="4" s="1"/>
  <c r="FS63" i="4"/>
  <c r="FT63" i="4" s="1"/>
  <c r="FC63" i="4"/>
  <c r="FD63" i="4" s="1"/>
  <c r="GA63" i="4"/>
  <c r="GB63" i="4" s="1"/>
  <c r="FK63" i="4"/>
  <c r="FL63" i="4" s="1"/>
  <c r="EU63" i="4"/>
  <c r="EV63" i="4" s="1"/>
  <c r="FO63" i="4"/>
  <c r="FP63" i="4" s="1"/>
  <c r="EY63" i="4"/>
  <c r="EZ63" i="4" s="1"/>
  <c r="GE63" i="4"/>
  <c r="GF63" i="4" s="1"/>
  <c r="GG18" i="4"/>
  <c r="GH18" i="4" s="1"/>
  <c r="GC18" i="4"/>
  <c r="GD18" i="4" s="1"/>
  <c r="FY18" i="4"/>
  <c r="FZ18" i="4" s="1"/>
  <c r="FU18" i="4"/>
  <c r="FV18" i="4" s="1"/>
  <c r="FQ18" i="4"/>
  <c r="FR18" i="4" s="1"/>
  <c r="FM18" i="4"/>
  <c r="FN18" i="4" s="1"/>
  <c r="FI18" i="4"/>
  <c r="FJ18" i="4" s="1"/>
  <c r="FE18" i="4"/>
  <c r="FF18" i="4" s="1"/>
  <c r="FA18" i="4"/>
  <c r="FB18" i="4" s="1"/>
  <c r="EW18" i="4"/>
  <c r="EX18" i="4" s="1"/>
  <c r="ET18" i="4"/>
  <c r="GI18" i="4"/>
  <c r="GJ18" i="4" s="1"/>
  <c r="GE18" i="4"/>
  <c r="GF18" i="4" s="1"/>
  <c r="GA18" i="4"/>
  <c r="GB18" i="4" s="1"/>
  <c r="FW18" i="4"/>
  <c r="FX18" i="4" s="1"/>
  <c r="FS18" i="4"/>
  <c r="FT18" i="4" s="1"/>
  <c r="FO18" i="4"/>
  <c r="FP18" i="4" s="1"/>
  <c r="FK18" i="4"/>
  <c r="FL18" i="4" s="1"/>
  <c r="FG18" i="4"/>
  <c r="FH18" i="4" s="1"/>
  <c r="FC18" i="4"/>
  <c r="FD18" i="4" s="1"/>
  <c r="EY18" i="4"/>
  <c r="EZ18" i="4" s="1"/>
  <c r="EU18" i="4"/>
  <c r="EV18" i="4" s="1"/>
  <c r="GG147" i="4"/>
  <c r="GH147" i="4" s="1"/>
  <c r="GC147" i="4"/>
  <c r="GD147" i="4" s="1"/>
  <c r="FY147" i="4"/>
  <c r="FZ147" i="4" s="1"/>
  <c r="FU147" i="4"/>
  <c r="FV147" i="4" s="1"/>
  <c r="FQ147" i="4"/>
  <c r="FR147" i="4" s="1"/>
  <c r="FM147" i="4"/>
  <c r="FN147" i="4" s="1"/>
  <c r="FI147" i="4"/>
  <c r="FJ147" i="4" s="1"/>
  <c r="FE147" i="4"/>
  <c r="FF147" i="4" s="1"/>
  <c r="FA147" i="4"/>
  <c r="FB147" i="4" s="1"/>
  <c r="EW147" i="4"/>
  <c r="EX147" i="4" s="1"/>
  <c r="ET147" i="4"/>
  <c r="GE147" i="4"/>
  <c r="GF147" i="4" s="1"/>
  <c r="FO147" i="4"/>
  <c r="FP147" i="4" s="1"/>
  <c r="EY147" i="4"/>
  <c r="EZ147" i="4" s="1"/>
  <c r="GI147" i="4"/>
  <c r="GJ147" i="4" s="1"/>
  <c r="FS147" i="4"/>
  <c r="FT147" i="4" s="1"/>
  <c r="FC147" i="4"/>
  <c r="FD147" i="4" s="1"/>
  <c r="GA147" i="4"/>
  <c r="GB147" i="4" s="1"/>
  <c r="FK147" i="4"/>
  <c r="FL147" i="4" s="1"/>
  <c r="EU147" i="4"/>
  <c r="EV147" i="4" s="1"/>
  <c r="FG147" i="4"/>
  <c r="FH147" i="4" s="1"/>
  <c r="FW147" i="4"/>
  <c r="FX147" i="4" s="1"/>
  <c r="DQ75" i="4"/>
  <c r="DR75" i="4" s="1"/>
  <c r="DM75" i="4"/>
  <c r="DN75" i="4" s="1"/>
  <c r="DI75" i="4"/>
  <c r="DJ75" i="4" s="1"/>
  <c r="DE75" i="4"/>
  <c r="DF75" i="4" s="1"/>
  <c r="DA75" i="4"/>
  <c r="DB75" i="4" s="1"/>
  <c r="CW75" i="4"/>
  <c r="CX75" i="4" s="1"/>
  <c r="CS75" i="4"/>
  <c r="CT75" i="4" s="1"/>
  <c r="CO75" i="4"/>
  <c r="CP75" i="4" s="1"/>
  <c r="CK75" i="4"/>
  <c r="CL75" i="4" s="1"/>
  <c r="CG75" i="4"/>
  <c r="CH75" i="4" s="1"/>
  <c r="CC75" i="4"/>
  <c r="CD75" i="4" s="1"/>
  <c r="DC75" i="4"/>
  <c r="DD75" i="4" s="1"/>
  <c r="CM75" i="4"/>
  <c r="CN75" i="4" s="1"/>
  <c r="DO75" i="4"/>
  <c r="DP75" i="4" s="1"/>
  <c r="CY75" i="4"/>
  <c r="CZ75" i="4" s="1"/>
  <c r="CI75" i="4"/>
  <c r="CJ75" i="4" s="1"/>
  <c r="DG75" i="4"/>
  <c r="DH75" i="4" s="1"/>
  <c r="CQ75" i="4"/>
  <c r="CR75" i="4" s="1"/>
  <c r="CB75" i="4"/>
  <c r="DK75" i="4"/>
  <c r="DL75" i="4" s="1"/>
  <c r="CU75" i="4"/>
  <c r="CV75" i="4" s="1"/>
  <c r="CE75" i="4"/>
  <c r="CF75" i="4" s="1"/>
  <c r="DQ92" i="4"/>
  <c r="DR92" i="4" s="1"/>
  <c r="DM92" i="4"/>
  <c r="DN92" i="4" s="1"/>
  <c r="DI92" i="4"/>
  <c r="DJ92" i="4" s="1"/>
  <c r="DE92" i="4"/>
  <c r="DF92" i="4" s="1"/>
  <c r="DA92" i="4"/>
  <c r="DB92" i="4" s="1"/>
  <c r="CW92" i="4"/>
  <c r="CX92" i="4" s="1"/>
  <c r="CS92" i="4"/>
  <c r="CT92" i="4" s="1"/>
  <c r="CO92" i="4"/>
  <c r="CP92" i="4" s="1"/>
  <c r="CK92" i="4"/>
  <c r="CL92" i="4" s="1"/>
  <c r="CG92" i="4"/>
  <c r="CH92" i="4" s="1"/>
  <c r="CC92" i="4"/>
  <c r="CD92" i="4" s="1"/>
  <c r="DK92" i="4"/>
  <c r="DL92" i="4" s="1"/>
  <c r="CU92" i="4"/>
  <c r="CV92" i="4" s="1"/>
  <c r="CE92" i="4"/>
  <c r="CF92" i="4" s="1"/>
  <c r="DG92" i="4"/>
  <c r="DH92" i="4" s="1"/>
  <c r="CQ92" i="4"/>
  <c r="CR92" i="4" s="1"/>
  <c r="CB92" i="4"/>
  <c r="DO92" i="4"/>
  <c r="DP92" i="4" s="1"/>
  <c r="CY92" i="4"/>
  <c r="CZ92" i="4" s="1"/>
  <c r="CI92" i="4"/>
  <c r="CJ92" i="4" s="1"/>
  <c r="DC92" i="4"/>
  <c r="DD92" i="4" s="1"/>
  <c r="CM92" i="4"/>
  <c r="CN92" i="4" s="1"/>
  <c r="DQ99" i="4"/>
  <c r="DR99" i="4" s="1"/>
  <c r="DM99" i="4"/>
  <c r="DN99" i="4" s="1"/>
  <c r="DI99" i="4"/>
  <c r="DJ99" i="4" s="1"/>
  <c r="DE99" i="4"/>
  <c r="DF99" i="4" s="1"/>
  <c r="DA99" i="4"/>
  <c r="DB99" i="4" s="1"/>
  <c r="CW99" i="4"/>
  <c r="CX99" i="4" s="1"/>
  <c r="CS99" i="4"/>
  <c r="CT99" i="4" s="1"/>
  <c r="CO99" i="4"/>
  <c r="CP99" i="4" s="1"/>
  <c r="CK99" i="4"/>
  <c r="CL99" i="4" s="1"/>
  <c r="CG99" i="4"/>
  <c r="CH99" i="4" s="1"/>
  <c r="CC99" i="4"/>
  <c r="CD99" i="4" s="1"/>
  <c r="DG99" i="4"/>
  <c r="DH99" i="4" s="1"/>
  <c r="CQ99" i="4"/>
  <c r="CR99" i="4" s="1"/>
  <c r="CB99" i="4"/>
  <c r="DC99" i="4"/>
  <c r="DD99" i="4" s="1"/>
  <c r="CM99" i="4"/>
  <c r="CN99" i="4" s="1"/>
  <c r="DK99" i="4"/>
  <c r="DL99" i="4" s="1"/>
  <c r="CU99" i="4"/>
  <c r="CV99" i="4" s="1"/>
  <c r="CE99" i="4"/>
  <c r="CF99" i="4" s="1"/>
  <c r="DO99" i="4"/>
  <c r="DP99" i="4" s="1"/>
  <c r="CI99" i="4"/>
  <c r="CJ99" i="4" s="1"/>
  <c r="CY99" i="4"/>
  <c r="CZ99" i="4" s="1"/>
  <c r="DQ40" i="4"/>
  <c r="DR40" i="4" s="1"/>
  <c r="DM40" i="4"/>
  <c r="DN40" i="4" s="1"/>
  <c r="DI40" i="4"/>
  <c r="DJ40" i="4" s="1"/>
  <c r="DE40" i="4"/>
  <c r="DF40" i="4" s="1"/>
  <c r="DA40" i="4"/>
  <c r="DB40" i="4" s="1"/>
  <c r="CW40" i="4"/>
  <c r="CX40" i="4" s="1"/>
  <c r="CS40" i="4"/>
  <c r="CT40" i="4" s="1"/>
  <c r="CO40" i="4"/>
  <c r="CP40" i="4" s="1"/>
  <c r="CK40" i="4"/>
  <c r="CL40" i="4" s="1"/>
  <c r="CG40" i="4"/>
  <c r="CH40" i="4" s="1"/>
  <c r="CC40" i="4"/>
  <c r="CD40" i="4" s="1"/>
  <c r="DO40" i="4"/>
  <c r="DP40" i="4" s="1"/>
  <c r="CY40" i="4"/>
  <c r="CZ40" i="4" s="1"/>
  <c r="CI40" i="4"/>
  <c r="CJ40" i="4" s="1"/>
  <c r="CQ40" i="4"/>
  <c r="CR40" i="4" s="1"/>
  <c r="DK40" i="4"/>
  <c r="DL40" i="4" s="1"/>
  <c r="CU40" i="4"/>
  <c r="CV40" i="4" s="1"/>
  <c r="CE40" i="4"/>
  <c r="CF40" i="4" s="1"/>
  <c r="DG40" i="4"/>
  <c r="DH40" i="4" s="1"/>
  <c r="DC40" i="4"/>
  <c r="DD40" i="4" s="1"/>
  <c r="CM40" i="4"/>
  <c r="CN40" i="4" s="1"/>
  <c r="CB40" i="4"/>
  <c r="DQ82" i="4"/>
  <c r="DR82" i="4" s="1"/>
  <c r="DM82" i="4"/>
  <c r="DN82" i="4" s="1"/>
  <c r="DI82" i="4"/>
  <c r="DJ82" i="4" s="1"/>
  <c r="DE82" i="4"/>
  <c r="DF82" i="4" s="1"/>
  <c r="DA82" i="4"/>
  <c r="DB82" i="4" s="1"/>
  <c r="CW82" i="4"/>
  <c r="CX82" i="4" s="1"/>
  <c r="CS82" i="4"/>
  <c r="CT82" i="4" s="1"/>
  <c r="CO82" i="4"/>
  <c r="CP82" i="4" s="1"/>
  <c r="CK82" i="4"/>
  <c r="CL82" i="4" s="1"/>
  <c r="CG82" i="4"/>
  <c r="CH82" i="4" s="1"/>
  <c r="CC82" i="4"/>
  <c r="CD82" i="4" s="1"/>
  <c r="DC82" i="4"/>
  <c r="DD82" i="4" s="1"/>
  <c r="CM82" i="4"/>
  <c r="CN82" i="4" s="1"/>
  <c r="DO82" i="4"/>
  <c r="DP82" i="4" s="1"/>
  <c r="CY82" i="4"/>
  <c r="CZ82" i="4" s="1"/>
  <c r="CI82" i="4"/>
  <c r="CJ82" i="4" s="1"/>
  <c r="DG82" i="4"/>
  <c r="DH82" i="4" s="1"/>
  <c r="CQ82" i="4"/>
  <c r="CR82" i="4" s="1"/>
  <c r="CB82" i="4"/>
  <c r="DK82" i="4"/>
  <c r="DL82" i="4" s="1"/>
  <c r="CU82" i="4"/>
  <c r="CV82" i="4" s="1"/>
  <c r="CE82" i="4"/>
  <c r="CF82" i="4" s="1"/>
  <c r="GE121" i="4"/>
  <c r="GF121" i="4" s="1"/>
  <c r="FY121" i="4"/>
  <c r="FZ121" i="4" s="1"/>
  <c r="FO121" i="4"/>
  <c r="FP121" i="4" s="1"/>
  <c r="FI121" i="4"/>
  <c r="FJ121" i="4" s="1"/>
  <c r="EY121" i="4"/>
  <c r="EZ121" i="4" s="1"/>
  <c r="ET121" i="4"/>
  <c r="GI121" i="4"/>
  <c r="GJ121" i="4" s="1"/>
  <c r="GC121" i="4"/>
  <c r="GD121" i="4" s="1"/>
  <c r="FS121" i="4"/>
  <c r="FT121" i="4" s="1"/>
  <c r="FM121" i="4"/>
  <c r="FN121" i="4" s="1"/>
  <c r="FC121" i="4"/>
  <c r="FD121" i="4" s="1"/>
  <c r="EW121" i="4"/>
  <c r="EX121" i="4" s="1"/>
  <c r="GA121" i="4"/>
  <c r="GB121" i="4" s="1"/>
  <c r="FU121" i="4"/>
  <c r="FV121" i="4" s="1"/>
  <c r="FK121" i="4"/>
  <c r="FL121" i="4" s="1"/>
  <c r="FE121" i="4"/>
  <c r="FF121" i="4" s="1"/>
  <c r="EU121" i="4"/>
  <c r="EV121" i="4" s="1"/>
  <c r="FG121" i="4"/>
  <c r="FH121" i="4" s="1"/>
  <c r="FW121" i="4"/>
  <c r="FX121" i="4" s="1"/>
  <c r="FA121" i="4"/>
  <c r="FB121" i="4" s="1"/>
  <c r="GG121" i="4"/>
  <c r="GH121" i="4" s="1"/>
  <c r="FQ121" i="4"/>
  <c r="FR121" i="4" s="1"/>
  <c r="DO110" i="4"/>
  <c r="DP110" i="4" s="1"/>
  <c r="DI110" i="4"/>
  <c r="DJ110" i="4" s="1"/>
  <c r="CY110" i="4"/>
  <c r="CZ110" i="4" s="1"/>
  <c r="CS110" i="4"/>
  <c r="CT110" i="4" s="1"/>
  <c r="CI110" i="4"/>
  <c r="CJ110" i="4" s="1"/>
  <c r="CC110" i="4"/>
  <c r="CD110" i="4" s="1"/>
  <c r="DM110" i="4"/>
  <c r="DN110" i="4" s="1"/>
  <c r="DC110" i="4"/>
  <c r="DD110" i="4" s="1"/>
  <c r="CW110" i="4"/>
  <c r="CX110" i="4" s="1"/>
  <c r="CM110" i="4"/>
  <c r="CN110" i="4" s="1"/>
  <c r="CG110" i="4"/>
  <c r="CH110" i="4" s="1"/>
  <c r="DK110" i="4"/>
  <c r="DL110" i="4" s="1"/>
  <c r="DE110" i="4"/>
  <c r="DF110" i="4" s="1"/>
  <c r="CU110" i="4"/>
  <c r="CV110" i="4" s="1"/>
  <c r="CO110" i="4"/>
  <c r="CP110" i="4" s="1"/>
  <c r="CE110" i="4"/>
  <c r="CF110" i="4" s="1"/>
  <c r="CQ110" i="4"/>
  <c r="CR110" i="4" s="1"/>
  <c r="DG110" i="4"/>
  <c r="DH110" i="4" s="1"/>
  <c r="CK110" i="4"/>
  <c r="CL110" i="4" s="1"/>
  <c r="DQ110" i="4"/>
  <c r="DR110" i="4" s="1"/>
  <c r="CB110" i="4"/>
  <c r="DA110" i="4"/>
  <c r="DB110" i="4" s="1"/>
  <c r="DQ116" i="4"/>
  <c r="DR116" i="4" s="1"/>
  <c r="DM116" i="4"/>
  <c r="DN116" i="4" s="1"/>
  <c r="DI116" i="4"/>
  <c r="DJ116" i="4" s="1"/>
  <c r="DE116" i="4"/>
  <c r="DF116" i="4" s="1"/>
  <c r="DA116" i="4"/>
  <c r="DB116" i="4" s="1"/>
  <c r="CW116" i="4"/>
  <c r="CX116" i="4" s="1"/>
  <c r="CS116" i="4"/>
  <c r="CT116" i="4" s="1"/>
  <c r="CO116" i="4"/>
  <c r="CP116" i="4" s="1"/>
  <c r="CK116" i="4"/>
  <c r="CL116" i="4" s="1"/>
  <c r="CG116" i="4"/>
  <c r="CH116" i="4" s="1"/>
  <c r="CC116" i="4"/>
  <c r="CD116" i="4" s="1"/>
  <c r="DG116" i="4"/>
  <c r="DH116" i="4" s="1"/>
  <c r="CQ116" i="4"/>
  <c r="CR116" i="4" s="1"/>
  <c r="CB116" i="4"/>
  <c r="DC116" i="4"/>
  <c r="DD116" i="4" s="1"/>
  <c r="CM116" i="4"/>
  <c r="CN116" i="4" s="1"/>
  <c r="DK116" i="4"/>
  <c r="DL116" i="4" s="1"/>
  <c r="CU116" i="4"/>
  <c r="CV116" i="4" s="1"/>
  <c r="CE116" i="4"/>
  <c r="CF116" i="4" s="1"/>
  <c r="CI116" i="4"/>
  <c r="CJ116" i="4" s="1"/>
  <c r="CY116" i="4"/>
  <c r="CZ116" i="4" s="1"/>
  <c r="DO116" i="4"/>
  <c r="DP116" i="4" s="1"/>
  <c r="DO25" i="4"/>
  <c r="DP25" i="4" s="1"/>
  <c r="DK25" i="4"/>
  <c r="DL25" i="4" s="1"/>
  <c r="DG25" i="4"/>
  <c r="DH25" i="4" s="1"/>
  <c r="DC25" i="4"/>
  <c r="DD25" i="4" s="1"/>
  <c r="CY25" i="4"/>
  <c r="CZ25" i="4" s="1"/>
  <c r="CU25" i="4"/>
  <c r="CV25" i="4" s="1"/>
  <c r="CQ25" i="4"/>
  <c r="CR25" i="4" s="1"/>
  <c r="CM25" i="4"/>
  <c r="CN25" i="4" s="1"/>
  <c r="CI25" i="4"/>
  <c r="CJ25" i="4" s="1"/>
  <c r="CE25" i="4"/>
  <c r="CF25" i="4" s="1"/>
  <c r="CB25" i="4"/>
  <c r="DQ25" i="4"/>
  <c r="DR25" i="4" s="1"/>
  <c r="DM25" i="4"/>
  <c r="DN25" i="4" s="1"/>
  <c r="DI25" i="4"/>
  <c r="DJ25" i="4" s="1"/>
  <c r="DE25" i="4"/>
  <c r="DF25" i="4" s="1"/>
  <c r="DA25" i="4"/>
  <c r="DB25" i="4" s="1"/>
  <c r="CW25" i="4"/>
  <c r="CX25" i="4" s="1"/>
  <c r="CS25" i="4"/>
  <c r="CT25" i="4" s="1"/>
  <c r="CO25" i="4"/>
  <c r="CP25" i="4" s="1"/>
  <c r="CK25" i="4"/>
  <c r="CL25" i="4" s="1"/>
  <c r="CG25" i="4"/>
  <c r="CH25" i="4" s="1"/>
  <c r="CC25" i="4"/>
  <c r="CD25" i="4" s="1"/>
  <c r="DQ103" i="4"/>
  <c r="DR103" i="4" s="1"/>
  <c r="DM103" i="4"/>
  <c r="DN103" i="4" s="1"/>
  <c r="DI103" i="4"/>
  <c r="DJ103" i="4" s="1"/>
  <c r="DE103" i="4"/>
  <c r="DF103" i="4" s="1"/>
  <c r="DA103" i="4"/>
  <c r="DB103" i="4" s="1"/>
  <c r="CW103" i="4"/>
  <c r="CX103" i="4" s="1"/>
  <c r="CS103" i="4"/>
  <c r="CT103" i="4" s="1"/>
  <c r="CO103" i="4"/>
  <c r="CP103" i="4" s="1"/>
  <c r="CK103" i="4"/>
  <c r="CL103" i="4" s="1"/>
  <c r="CG103" i="4"/>
  <c r="CH103" i="4" s="1"/>
  <c r="CC103" i="4"/>
  <c r="CD103" i="4" s="1"/>
  <c r="DC103" i="4"/>
  <c r="DD103" i="4" s="1"/>
  <c r="CM103" i="4"/>
  <c r="CN103" i="4" s="1"/>
  <c r="DO103" i="4"/>
  <c r="DP103" i="4" s="1"/>
  <c r="CY103" i="4"/>
  <c r="CZ103" i="4" s="1"/>
  <c r="CI103" i="4"/>
  <c r="CJ103" i="4" s="1"/>
  <c r="DG103" i="4"/>
  <c r="DH103" i="4" s="1"/>
  <c r="CQ103" i="4"/>
  <c r="CR103" i="4" s="1"/>
  <c r="CB103" i="4"/>
  <c r="CE103" i="4"/>
  <c r="CF103" i="4" s="1"/>
  <c r="CU103" i="4"/>
  <c r="CV103" i="4" s="1"/>
  <c r="DK103" i="4"/>
  <c r="DL103" i="4" s="1"/>
  <c r="DK137" i="4"/>
  <c r="DL137" i="4" s="1"/>
  <c r="DC137" i="4"/>
  <c r="DD137" i="4" s="1"/>
  <c r="CU137" i="4"/>
  <c r="CV137" i="4" s="1"/>
  <c r="CM137" i="4"/>
  <c r="CN137" i="4" s="1"/>
  <c r="CE137" i="4"/>
  <c r="CF137" i="4" s="1"/>
  <c r="DQ137" i="4"/>
  <c r="DR137" i="4" s="1"/>
  <c r="DI137" i="4"/>
  <c r="DJ137" i="4" s="1"/>
  <c r="DA137" i="4"/>
  <c r="DB137" i="4" s="1"/>
  <c r="CS137" i="4"/>
  <c r="CT137" i="4" s="1"/>
  <c r="CK137" i="4"/>
  <c r="CL137" i="4" s="1"/>
  <c r="CC137" i="4"/>
  <c r="CD137" i="4" s="1"/>
  <c r="DM137" i="4"/>
  <c r="DN137" i="4" s="1"/>
  <c r="DE137" i="4"/>
  <c r="DF137" i="4" s="1"/>
  <c r="CW137" i="4"/>
  <c r="CX137" i="4" s="1"/>
  <c r="CO137" i="4"/>
  <c r="CP137" i="4" s="1"/>
  <c r="CG137" i="4"/>
  <c r="CH137" i="4" s="1"/>
  <c r="CY137" i="4"/>
  <c r="CZ137" i="4" s="1"/>
  <c r="CQ137" i="4"/>
  <c r="CR137" i="4" s="1"/>
  <c r="DG137" i="4"/>
  <c r="DH137" i="4" s="1"/>
  <c r="CB137" i="4"/>
  <c r="DO137" i="4"/>
  <c r="DP137" i="4" s="1"/>
  <c r="CI137" i="4"/>
  <c r="CJ137" i="4" s="1"/>
  <c r="GG67" i="4"/>
  <c r="GH67" i="4" s="1"/>
  <c r="GC67" i="4"/>
  <c r="GD67" i="4" s="1"/>
  <c r="FY67" i="4"/>
  <c r="FZ67" i="4" s="1"/>
  <c r="FU67" i="4"/>
  <c r="FV67" i="4" s="1"/>
  <c r="FQ67" i="4"/>
  <c r="FR67" i="4" s="1"/>
  <c r="FM67" i="4"/>
  <c r="FN67" i="4" s="1"/>
  <c r="FI67" i="4"/>
  <c r="FJ67" i="4" s="1"/>
  <c r="FE67" i="4"/>
  <c r="FF67" i="4" s="1"/>
  <c r="FA67" i="4"/>
  <c r="FB67" i="4" s="1"/>
  <c r="EW67" i="4"/>
  <c r="EX67" i="4" s="1"/>
  <c r="ET67" i="4"/>
  <c r="GI67" i="4"/>
  <c r="GJ67" i="4" s="1"/>
  <c r="FS67" i="4"/>
  <c r="FT67" i="4" s="1"/>
  <c r="FC67" i="4"/>
  <c r="FD67" i="4" s="1"/>
  <c r="GE67" i="4"/>
  <c r="GF67" i="4" s="1"/>
  <c r="FO67" i="4"/>
  <c r="FP67" i="4" s="1"/>
  <c r="EY67" i="4"/>
  <c r="EZ67" i="4" s="1"/>
  <c r="FW67" i="4"/>
  <c r="FX67" i="4" s="1"/>
  <c r="FG67" i="4"/>
  <c r="FH67" i="4" s="1"/>
  <c r="GA67" i="4"/>
  <c r="GB67" i="4" s="1"/>
  <c r="EU67" i="4"/>
  <c r="EV67" i="4" s="1"/>
  <c r="FK67" i="4"/>
  <c r="FL67" i="4" s="1"/>
  <c r="GE126" i="4"/>
  <c r="GF126" i="4" s="1"/>
  <c r="FU126" i="4"/>
  <c r="FV126" i="4" s="1"/>
  <c r="FO126" i="4"/>
  <c r="FP126" i="4" s="1"/>
  <c r="FE126" i="4"/>
  <c r="FF126" i="4" s="1"/>
  <c r="EY126" i="4"/>
  <c r="EZ126" i="4" s="1"/>
  <c r="GI126" i="4"/>
  <c r="GJ126" i="4" s="1"/>
  <c r="FY126" i="4"/>
  <c r="FZ126" i="4" s="1"/>
  <c r="FS126" i="4"/>
  <c r="FT126" i="4" s="1"/>
  <c r="FI126" i="4"/>
  <c r="FJ126" i="4" s="1"/>
  <c r="FC126" i="4"/>
  <c r="FD126" i="4" s="1"/>
  <c r="ET126" i="4"/>
  <c r="GG126" i="4"/>
  <c r="GH126" i="4" s="1"/>
  <c r="GA126" i="4"/>
  <c r="GB126" i="4" s="1"/>
  <c r="FQ126" i="4"/>
  <c r="FR126" i="4" s="1"/>
  <c r="FK126" i="4"/>
  <c r="FL126" i="4" s="1"/>
  <c r="FA126" i="4"/>
  <c r="FB126" i="4" s="1"/>
  <c r="EU126" i="4"/>
  <c r="EV126" i="4" s="1"/>
  <c r="GC126" i="4"/>
  <c r="GD126" i="4" s="1"/>
  <c r="FG126" i="4"/>
  <c r="FH126" i="4" s="1"/>
  <c r="FW126" i="4"/>
  <c r="FX126" i="4" s="1"/>
  <c r="FM126" i="4"/>
  <c r="FN126" i="4" s="1"/>
  <c r="EW126" i="4"/>
  <c r="EX126" i="4" s="1"/>
  <c r="DQ71" i="4"/>
  <c r="DR71" i="4" s="1"/>
  <c r="DM71" i="4"/>
  <c r="DN71" i="4" s="1"/>
  <c r="DI71" i="4"/>
  <c r="DJ71" i="4" s="1"/>
  <c r="DE71" i="4"/>
  <c r="DF71" i="4" s="1"/>
  <c r="DA71" i="4"/>
  <c r="DB71" i="4" s="1"/>
  <c r="CW71" i="4"/>
  <c r="CX71" i="4" s="1"/>
  <c r="CS71" i="4"/>
  <c r="CT71" i="4" s="1"/>
  <c r="CO71" i="4"/>
  <c r="CP71" i="4" s="1"/>
  <c r="CK71" i="4"/>
  <c r="CL71" i="4" s="1"/>
  <c r="CG71" i="4"/>
  <c r="CH71" i="4" s="1"/>
  <c r="CC71" i="4"/>
  <c r="CD71" i="4" s="1"/>
  <c r="DK71" i="4"/>
  <c r="DL71" i="4" s="1"/>
  <c r="CU71" i="4"/>
  <c r="CV71" i="4" s="1"/>
  <c r="CE71" i="4"/>
  <c r="CF71" i="4" s="1"/>
  <c r="DG71" i="4"/>
  <c r="DH71" i="4" s="1"/>
  <c r="CQ71" i="4"/>
  <c r="CR71" i="4" s="1"/>
  <c r="CB71" i="4"/>
  <c r="DO71" i="4"/>
  <c r="DP71" i="4" s="1"/>
  <c r="CY71" i="4"/>
  <c r="CZ71" i="4" s="1"/>
  <c r="CI71" i="4"/>
  <c r="CJ71" i="4" s="1"/>
  <c r="CM71" i="4"/>
  <c r="CN71" i="4" s="1"/>
  <c r="DC71" i="4"/>
  <c r="DD71" i="4" s="1"/>
  <c r="DQ28" i="4"/>
  <c r="DR28" i="4" s="1"/>
  <c r="DM28" i="4"/>
  <c r="DN28" i="4" s="1"/>
  <c r="DI28" i="4"/>
  <c r="DJ28" i="4" s="1"/>
  <c r="DE28" i="4"/>
  <c r="DF28" i="4" s="1"/>
  <c r="DA28" i="4"/>
  <c r="DB28" i="4" s="1"/>
  <c r="CW28" i="4"/>
  <c r="CX28" i="4" s="1"/>
  <c r="CS28" i="4"/>
  <c r="CT28" i="4" s="1"/>
  <c r="CO28" i="4"/>
  <c r="CP28" i="4" s="1"/>
  <c r="CK28" i="4"/>
  <c r="CL28" i="4" s="1"/>
  <c r="CG28" i="4"/>
  <c r="CH28" i="4" s="1"/>
  <c r="CC28" i="4"/>
  <c r="CD28" i="4" s="1"/>
  <c r="CU28" i="4"/>
  <c r="CV28" i="4" s="1"/>
  <c r="CE28" i="4"/>
  <c r="CF28" i="4" s="1"/>
  <c r="DO28" i="4"/>
  <c r="DP28" i="4" s="1"/>
  <c r="DC28" i="4"/>
  <c r="DD28" i="4" s="1"/>
  <c r="CQ28" i="4"/>
  <c r="CR28" i="4" s="1"/>
  <c r="CI28" i="4"/>
  <c r="CJ28" i="4" s="1"/>
  <c r="DK28" i="4"/>
  <c r="DL28" i="4" s="1"/>
  <c r="DG28" i="4"/>
  <c r="DH28" i="4" s="1"/>
  <c r="CY28" i="4"/>
  <c r="CZ28" i="4" s="1"/>
  <c r="CM28" i="4"/>
  <c r="CN28" i="4" s="1"/>
  <c r="CB28" i="4"/>
  <c r="GG75" i="4"/>
  <c r="GH75" i="4" s="1"/>
  <c r="GC75" i="4"/>
  <c r="GD75" i="4" s="1"/>
  <c r="FY75" i="4"/>
  <c r="FZ75" i="4" s="1"/>
  <c r="FU75" i="4"/>
  <c r="FV75" i="4" s="1"/>
  <c r="FQ75" i="4"/>
  <c r="FR75" i="4" s="1"/>
  <c r="FM75" i="4"/>
  <c r="FN75" i="4" s="1"/>
  <c r="FI75" i="4"/>
  <c r="FJ75" i="4" s="1"/>
  <c r="FE75" i="4"/>
  <c r="FF75" i="4" s="1"/>
  <c r="FA75" i="4"/>
  <c r="FB75" i="4" s="1"/>
  <c r="EW75" i="4"/>
  <c r="EX75" i="4" s="1"/>
  <c r="ET75" i="4"/>
  <c r="GI75" i="4"/>
  <c r="GJ75" i="4" s="1"/>
  <c r="FS75" i="4"/>
  <c r="FT75" i="4" s="1"/>
  <c r="FC75" i="4"/>
  <c r="FD75" i="4" s="1"/>
  <c r="GE75" i="4"/>
  <c r="GF75" i="4" s="1"/>
  <c r="FO75" i="4"/>
  <c r="FP75" i="4" s="1"/>
  <c r="EY75" i="4"/>
  <c r="EZ75" i="4" s="1"/>
  <c r="FW75" i="4"/>
  <c r="FX75" i="4" s="1"/>
  <c r="FG75" i="4"/>
  <c r="FH75" i="4" s="1"/>
  <c r="FK75" i="4"/>
  <c r="FL75" i="4" s="1"/>
  <c r="EU75" i="4"/>
  <c r="EV75" i="4" s="1"/>
  <c r="GA75" i="4"/>
  <c r="GB75" i="4" s="1"/>
  <c r="GG71" i="4"/>
  <c r="GH71" i="4" s="1"/>
  <c r="GC71" i="4"/>
  <c r="GD71" i="4" s="1"/>
  <c r="FY71" i="4"/>
  <c r="FZ71" i="4" s="1"/>
  <c r="FU71" i="4"/>
  <c r="FV71" i="4" s="1"/>
  <c r="FQ71" i="4"/>
  <c r="FR71" i="4" s="1"/>
  <c r="FM71" i="4"/>
  <c r="FN71" i="4" s="1"/>
  <c r="FI71" i="4"/>
  <c r="FJ71" i="4" s="1"/>
  <c r="FE71" i="4"/>
  <c r="FF71" i="4" s="1"/>
  <c r="FA71" i="4"/>
  <c r="FB71" i="4" s="1"/>
  <c r="EW71" i="4"/>
  <c r="EX71" i="4" s="1"/>
  <c r="ET71" i="4"/>
  <c r="GA71" i="4"/>
  <c r="GB71" i="4" s="1"/>
  <c r="FK71" i="4"/>
  <c r="FL71" i="4" s="1"/>
  <c r="EU71" i="4"/>
  <c r="EV71" i="4" s="1"/>
  <c r="FW71" i="4"/>
  <c r="FX71" i="4" s="1"/>
  <c r="FG71" i="4"/>
  <c r="FH71" i="4" s="1"/>
  <c r="GE71" i="4"/>
  <c r="GF71" i="4" s="1"/>
  <c r="FO71" i="4"/>
  <c r="FP71" i="4" s="1"/>
  <c r="EY71" i="4"/>
  <c r="EZ71" i="4" s="1"/>
  <c r="FC71" i="4"/>
  <c r="FD71" i="4" s="1"/>
  <c r="GI71" i="4"/>
  <c r="GJ71" i="4" s="1"/>
  <c r="FS71" i="4"/>
  <c r="FT71" i="4" s="1"/>
  <c r="GG99" i="4"/>
  <c r="GH99" i="4" s="1"/>
  <c r="GC99" i="4"/>
  <c r="GD99" i="4" s="1"/>
  <c r="FY99" i="4"/>
  <c r="FZ99" i="4" s="1"/>
  <c r="FU99" i="4"/>
  <c r="FV99" i="4" s="1"/>
  <c r="FQ99" i="4"/>
  <c r="FR99" i="4" s="1"/>
  <c r="FM99" i="4"/>
  <c r="FN99" i="4" s="1"/>
  <c r="FI99" i="4"/>
  <c r="FJ99" i="4" s="1"/>
  <c r="FE99" i="4"/>
  <c r="FF99" i="4" s="1"/>
  <c r="FA99" i="4"/>
  <c r="FB99" i="4" s="1"/>
  <c r="EW99" i="4"/>
  <c r="EX99" i="4" s="1"/>
  <c r="ET99" i="4"/>
  <c r="FW99" i="4"/>
  <c r="FX99" i="4" s="1"/>
  <c r="FG99" i="4"/>
  <c r="FH99" i="4" s="1"/>
  <c r="GI99" i="4"/>
  <c r="GJ99" i="4" s="1"/>
  <c r="FS99" i="4"/>
  <c r="FT99" i="4" s="1"/>
  <c r="FC99" i="4"/>
  <c r="FD99" i="4" s="1"/>
  <c r="GA99" i="4"/>
  <c r="GB99" i="4" s="1"/>
  <c r="FK99" i="4"/>
  <c r="FL99" i="4" s="1"/>
  <c r="EU99" i="4"/>
  <c r="EV99" i="4" s="1"/>
  <c r="GE99" i="4"/>
  <c r="GF99" i="4" s="1"/>
  <c r="FO99" i="4"/>
  <c r="FP99" i="4" s="1"/>
  <c r="EY99" i="4"/>
  <c r="EZ99" i="4" s="1"/>
  <c r="GG40" i="4"/>
  <c r="GH40" i="4" s="1"/>
  <c r="GC40" i="4"/>
  <c r="GD40" i="4" s="1"/>
  <c r="FY40" i="4"/>
  <c r="FZ40" i="4" s="1"/>
  <c r="FU40" i="4"/>
  <c r="FV40" i="4" s="1"/>
  <c r="FQ40" i="4"/>
  <c r="FR40" i="4" s="1"/>
  <c r="FM40" i="4"/>
  <c r="FN40" i="4" s="1"/>
  <c r="FI40" i="4"/>
  <c r="FJ40" i="4" s="1"/>
  <c r="FE40" i="4"/>
  <c r="FF40" i="4" s="1"/>
  <c r="FA40" i="4"/>
  <c r="FB40" i="4" s="1"/>
  <c r="EW40" i="4"/>
  <c r="EX40" i="4" s="1"/>
  <c r="ET40" i="4"/>
  <c r="GE40" i="4"/>
  <c r="GF40" i="4" s="1"/>
  <c r="FO40" i="4"/>
  <c r="FP40" i="4" s="1"/>
  <c r="EY40" i="4"/>
  <c r="EZ40" i="4" s="1"/>
  <c r="GA40" i="4"/>
  <c r="GB40" i="4" s="1"/>
  <c r="FK40" i="4"/>
  <c r="FL40" i="4" s="1"/>
  <c r="EU40" i="4"/>
  <c r="EV40" i="4" s="1"/>
  <c r="FW40" i="4"/>
  <c r="FX40" i="4" s="1"/>
  <c r="GI40" i="4"/>
  <c r="GJ40" i="4" s="1"/>
  <c r="FS40" i="4"/>
  <c r="FT40" i="4" s="1"/>
  <c r="FC40" i="4"/>
  <c r="FD40" i="4" s="1"/>
  <c r="FG40" i="4"/>
  <c r="FH40" i="4" s="1"/>
  <c r="GG82" i="4"/>
  <c r="GH82" i="4" s="1"/>
  <c r="GC82" i="4"/>
  <c r="GD82" i="4" s="1"/>
  <c r="FY82" i="4"/>
  <c r="FZ82" i="4" s="1"/>
  <c r="FU82" i="4"/>
  <c r="FV82" i="4" s="1"/>
  <c r="FQ82" i="4"/>
  <c r="FR82" i="4" s="1"/>
  <c r="FM82" i="4"/>
  <c r="FN82" i="4" s="1"/>
  <c r="FI82" i="4"/>
  <c r="FJ82" i="4" s="1"/>
  <c r="FE82" i="4"/>
  <c r="FF82" i="4" s="1"/>
  <c r="FA82" i="4"/>
  <c r="FB82" i="4" s="1"/>
  <c r="EW82" i="4"/>
  <c r="EX82" i="4" s="1"/>
  <c r="ET82" i="4"/>
  <c r="GI82" i="4"/>
  <c r="GJ82" i="4" s="1"/>
  <c r="FS82" i="4"/>
  <c r="FT82" i="4" s="1"/>
  <c r="FC82" i="4"/>
  <c r="FD82" i="4" s="1"/>
  <c r="GE82" i="4"/>
  <c r="GF82" i="4" s="1"/>
  <c r="FO82" i="4"/>
  <c r="FP82" i="4" s="1"/>
  <c r="EY82" i="4"/>
  <c r="EZ82" i="4" s="1"/>
  <c r="FW82" i="4"/>
  <c r="FX82" i="4" s="1"/>
  <c r="FG82" i="4"/>
  <c r="FH82" i="4" s="1"/>
  <c r="FK82" i="4"/>
  <c r="FL82" i="4" s="1"/>
  <c r="EU82" i="4"/>
  <c r="EV82" i="4" s="1"/>
  <c r="GA82" i="4"/>
  <c r="GB82" i="4" s="1"/>
  <c r="DK121" i="4"/>
  <c r="DL121" i="4" s="1"/>
  <c r="DE121" i="4"/>
  <c r="DF121" i="4" s="1"/>
  <c r="CU121" i="4"/>
  <c r="CV121" i="4" s="1"/>
  <c r="CO121" i="4"/>
  <c r="CP121" i="4" s="1"/>
  <c r="CE121" i="4"/>
  <c r="CF121" i="4" s="1"/>
  <c r="DO121" i="4"/>
  <c r="DP121" i="4" s="1"/>
  <c r="DI121" i="4"/>
  <c r="DJ121" i="4" s="1"/>
  <c r="CY121" i="4"/>
  <c r="CZ121" i="4" s="1"/>
  <c r="CS121" i="4"/>
  <c r="CT121" i="4" s="1"/>
  <c r="CI121" i="4"/>
  <c r="CJ121" i="4" s="1"/>
  <c r="CC121" i="4"/>
  <c r="CD121" i="4" s="1"/>
  <c r="DQ121" i="4"/>
  <c r="DR121" i="4" s="1"/>
  <c r="DG121" i="4"/>
  <c r="DH121" i="4" s="1"/>
  <c r="DA121" i="4"/>
  <c r="DB121" i="4" s="1"/>
  <c r="CQ121" i="4"/>
  <c r="CR121" i="4" s="1"/>
  <c r="CK121" i="4"/>
  <c r="CL121" i="4" s="1"/>
  <c r="CB121" i="4"/>
  <c r="CW121" i="4"/>
  <c r="CX121" i="4" s="1"/>
  <c r="DM121" i="4"/>
  <c r="DN121" i="4" s="1"/>
  <c r="DC121" i="4"/>
  <c r="DD121" i="4" s="1"/>
  <c r="CG121" i="4"/>
  <c r="CH121" i="4" s="1"/>
  <c r="CM121" i="4"/>
  <c r="CN121" i="4" s="1"/>
  <c r="GG110" i="4"/>
  <c r="GH110" i="4" s="1"/>
  <c r="GC110" i="4"/>
  <c r="GD110" i="4" s="1"/>
  <c r="FY110" i="4"/>
  <c r="FZ110" i="4" s="1"/>
  <c r="FU110" i="4"/>
  <c r="FV110" i="4" s="1"/>
  <c r="FQ110" i="4"/>
  <c r="FR110" i="4" s="1"/>
  <c r="FM110" i="4"/>
  <c r="FN110" i="4" s="1"/>
  <c r="FI110" i="4"/>
  <c r="FJ110" i="4" s="1"/>
  <c r="GE110" i="4"/>
  <c r="GF110" i="4" s="1"/>
  <c r="FO110" i="4"/>
  <c r="FP110" i="4" s="1"/>
  <c r="FC110" i="4"/>
  <c r="FD110" i="4" s="1"/>
  <c r="EW110" i="4"/>
  <c r="EX110" i="4" s="1"/>
  <c r="GA110" i="4"/>
  <c r="GB110" i="4" s="1"/>
  <c r="FK110" i="4"/>
  <c r="FL110" i="4" s="1"/>
  <c r="FA110" i="4"/>
  <c r="FB110" i="4" s="1"/>
  <c r="GI110" i="4"/>
  <c r="GJ110" i="4" s="1"/>
  <c r="FS110" i="4"/>
  <c r="FT110" i="4" s="1"/>
  <c r="FE110" i="4"/>
  <c r="FF110" i="4" s="1"/>
  <c r="EY110" i="4"/>
  <c r="EZ110" i="4" s="1"/>
  <c r="ET110" i="4"/>
  <c r="EU110" i="4"/>
  <c r="EV110" i="4" s="1"/>
  <c r="FW110" i="4"/>
  <c r="FX110" i="4" s="1"/>
  <c r="FG110" i="4"/>
  <c r="FH110" i="4" s="1"/>
  <c r="GG116" i="4"/>
  <c r="GH116" i="4" s="1"/>
  <c r="GC116" i="4"/>
  <c r="GD116" i="4" s="1"/>
  <c r="FY116" i="4"/>
  <c r="FZ116" i="4" s="1"/>
  <c r="FU116" i="4"/>
  <c r="FV116" i="4" s="1"/>
  <c r="FQ116" i="4"/>
  <c r="FR116" i="4" s="1"/>
  <c r="FM116" i="4"/>
  <c r="FN116" i="4" s="1"/>
  <c r="FI116" i="4"/>
  <c r="FJ116" i="4" s="1"/>
  <c r="FE116" i="4"/>
  <c r="FF116" i="4" s="1"/>
  <c r="FA116" i="4"/>
  <c r="FB116" i="4" s="1"/>
  <c r="EW116" i="4"/>
  <c r="EX116" i="4" s="1"/>
  <c r="ET116" i="4"/>
  <c r="FW116" i="4"/>
  <c r="FX116" i="4" s="1"/>
  <c r="FG116" i="4"/>
  <c r="FH116" i="4" s="1"/>
  <c r="GI116" i="4"/>
  <c r="GJ116" i="4" s="1"/>
  <c r="FS116" i="4"/>
  <c r="FT116" i="4" s="1"/>
  <c r="FC116" i="4"/>
  <c r="FD116" i="4" s="1"/>
  <c r="GA116" i="4"/>
  <c r="GB116" i="4" s="1"/>
  <c r="FK116" i="4"/>
  <c r="FL116" i="4" s="1"/>
  <c r="EU116" i="4"/>
  <c r="EV116" i="4" s="1"/>
  <c r="GE116" i="4"/>
  <c r="GF116" i="4" s="1"/>
  <c r="EY116" i="4"/>
  <c r="EZ116" i="4" s="1"/>
  <c r="FO116" i="4"/>
  <c r="FP116" i="4" s="1"/>
  <c r="GI25" i="4"/>
  <c r="GJ25" i="4" s="1"/>
  <c r="GE25" i="4"/>
  <c r="GF25" i="4" s="1"/>
  <c r="GA25" i="4"/>
  <c r="GB25" i="4" s="1"/>
  <c r="FW25" i="4"/>
  <c r="FX25" i="4" s="1"/>
  <c r="FS25" i="4"/>
  <c r="FT25" i="4" s="1"/>
  <c r="FO25" i="4"/>
  <c r="FP25" i="4" s="1"/>
  <c r="FK25" i="4"/>
  <c r="FL25" i="4" s="1"/>
  <c r="FG25" i="4"/>
  <c r="FH25" i="4" s="1"/>
  <c r="FC25" i="4"/>
  <c r="FD25" i="4" s="1"/>
  <c r="EY25" i="4"/>
  <c r="EZ25" i="4" s="1"/>
  <c r="EU25" i="4"/>
  <c r="EV25" i="4" s="1"/>
  <c r="GG25" i="4"/>
  <c r="GH25" i="4" s="1"/>
  <c r="GC25" i="4"/>
  <c r="GD25" i="4" s="1"/>
  <c r="FY25" i="4"/>
  <c r="FZ25" i="4" s="1"/>
  <c r="FU25" i="4"/>
  <c r="FV25" i="4" s="1"/>
  <c r="FQ25" i="4"/>
  <c r="FR25" i="4" s="1"/>
  <c r="FM25" i="4"/>
  <c r="FN25" i="4" s="1"/>
  <c r="FI25" i="4"/>
  <c r="FJ25" i="4" s="1"/>
  <c r="FE25" i="4"/>
  <c r="FF25" i="4" s="1"/>
  <c r="FA25" i="4"/>
  <c r="FB25" i="4" s="1"/>
  <c r="EW25" i="4"/>
  <c r="EX25" i="4" s="1"/>
  <c r="ET25" i="4"/>
  <c r="GG103" i="4"/>
  <c r="GH103" i="4" s="1"/>
  <c r="GC103" i="4"/>
  <c r="GD103" i="4" s="1"/>
  <c r="FY103" i="4"/>
  <c r="FZ103" i="4" s="1"/>
  <c r="FU103" i="4"/>
  <c r="FV103" i="4" s="1"/>
  <c r="FQ103" i="4"/>
  <c r="FR103" i="4" s="1"/>
  <c r="FM103" i="4"/>
  <c r="FN103" i="4" s="1"/>
  <c r="FI103" i="4"/>
  <c r="FJ103" i="4" s="1"/>
  <c r="FE103" i="4"/>
  <c r="FF103" i="4" s="1"/>
  <c r="FA103" i="4"/>
  <c r="FB103" i="4" s="1"/>
  <c r="EW103" i="4"/>
  <c r="EX103" i="4" s="1"/>
  <c r="ET103" i="4"/>
  <c r="GI103" i="4"/>
  <c r="GJ103" i="4" s="1"/>
  <c r="FS103" i="4"/>
  <c r="FT103" i="4" s="1"/>
  <c r="FC103" i="4"/>
  <c r="FD103" i="4" s="1"/>
  <c r="GE103" i="4"/>
  <c r="GF103" i="4" s="1"/>
  <c r="FO103" i="4"/>
  <c r="FP103" i="4" s="1"/>
  <c r="EY103" i="4"/>
  <c r="EZ103" i="4" s="1"/>
  <c r="FW103" i="4"/>
  <c r="FX103" i="4" s="1"/>
  <c r="FG103" i="4"/>
  <c r="FH103" i="4" s="1"/>
  <c r="GA103" i="4"/>
  <c r="GB103" i="4" s="1"/>
  <c r="EU103" i="4"/>
  <c r="EV103" i="4" s="1"/>
  <c r="FK103" i="4"/>
  <c r="FL103" i="4" s="1"/>
  <c r="GG137" i="4"/>
  <c r="GH137" i="4" s="1"/>
  <c r="GC137" i="4"/>
  <c r="GD137" i="4" s="1"/>
  <c r="FY137" i="4"/>
  <c r="FZ137" i="4" s="1"/>
  <c r="FU137" i="4"/>
  <c r="FV137" i="4" s="1"/>
  <c r="FQ137" i="4"/>
  <c r="FR137" i="4" s="1"/>
  <c r="FM137" i="4"/>
  <c r="FN137" i="4" s="1"/>
  <c r="FI137" i="4"/>
  <c r="FJ137" i="4" s="1"/>
  <c r="FE137" i="4"/>
  <c r="FF137" i="4" s="1"/>
  <c r="FA137" i="4"/>
  <c r="FB137" i="4" s="1"/>
  <c r="GA137" i="4"/>
  <c r="GB137" i="4" s="1"/>
  <c r="FK137" i="4"/>
  <c r="FL137" i="4" s="1"/>
  <c r="EW137" i="4"/>
  <c r="EX137" i="4" s="1"/>
  <c r="FW137" i="4"/>
  <c r="FX137" i="4" s="1"/>
  <c r="FG137" i="4"/>
  <c r="FH137" i="4" s="1"/>
  <c r="EU137" i="4"/>
  <c r="EV137" i="4" s="1"/>
  <c r="GE137" i="4"/>
  <c r="GF137" i="4" s="1"/>
  <c r="FO137" i="4"/>
  <c r="FP137" i="4" s="1"/>
  <c r="EY137" i="4"/>
  <c r="EZ137" i="4" s="1"/>
  <c r="GI137" i="4"/>
  <c r="GJ137" i="4" s="1"/>
  <c r="FS137" i="4"/>
  <c r="FT137" i="4" s="1"/>
  <c r="ET137" i="4"/>
  <c r="FC137" i="4"/>
  <c r="FD137" i="4" s="1"/>
  <c r="DO23" i="4" l="1"/>
  <c r="DP23" i="4" s="1"/>
  <c r="CY23" i="4"/>
  <c r="CZ23" i="4" s="1"/>
  <c r="CI23" i="4"/>
  <c r="CJ23" i="4" s="1"/>
  <c r="DM23" i="4"/>
  <c r="DN23" i="4" s="1"/>
  <c r="CW23" i="4"/>
  <c r="CX23" i="4" s="1"/>
  <c r="CG23" i="4"/>
  <c r="CH23" i="4" s="1"/>
  <c r="CB23" i="4"/>
  <c r="DK23" i="4"/>
  <c r="DL23" i="4" s="1"/>
  <c r="CU23" i="4"/>
  <c r="CV23" i="4" s="1"/>
  <c r="CE23" i="4"/>
  <c r="CF23" i="4" s="1"/>
  <c r="DI23" i="4"/>
  <c r="DJ23" i="4" s="1"/>
  <c r="CS23" i="4"/>
  <c r="CT23" i="4" s="1"/>
  <c r="CC23" i="4"/>
  <c r="CD23" i="4" s="1"/>
  <c r="CQ23" i="4"/>
  <c r="CR23" i="4" s="1"/>
  <c r="CO23" i="4"/>
  <c r="CP23" i="4" s="1"/>
  <c r="DC23" i="4"/>
  <c r="DD23" i="4" s="1"/>
  <c r="CM23" i="4"/>
  <c r="CN23" i="4" s="1"/>
  <c r="DQ23" i="4"/>
  <c r="DR23" i="4" s="1"/>
  <c r="DA23" i="4"/>
  <c r="DB23" i="4" s="1"/>
  <c r="CK23" i="4"/>
  <c r="CL23" i="4" s="1"/>
  <c r="DG23" i="4"/>
  <c r="DH23" i="4" s="1"/>
  <c r="DE23" i="4"/>
  <c r="DF23" i="4" s="1"/>
  <c r="GE23" i="4"/>
  <c r="GF23" i="4" s="1"/>
  <c r="FO23" i="4"/>
  <c r="FP23" i="4" s="1"/>
  <c r="EY23" i="4"/>
  <c r="EZ23" i="4" s="1"/>
  <c r="FY23" i="4"/>
  <c r="FZ23" i="4" s="1"/>
  <c r="FI23" i="4"/>
  <c r="FJ23" i="4" s="1"/>
  <c r="ET23" i="4"/>
  <c r="FG23" i="4"/>
  <c r="FH23" i="4" s="1"/>
  <c r="GG23" i="4"/>
  <c r="GH23" i="4" s="1"/>
  <c r="FA23" i="4"/>
  <c r="FB23" i="4" s="1"/>
  <c r="GA23" i="4"/>
  <c r="GB23" i="4" s="1"/>
  <c r="FK23" i="4"/>
  <c r="FL23" i="4" s="1"/>
  <c r="EU23" i="4"/>
  <c r="EV23" i="4" s="1"/>
  <c r="FU23" i="4"/>
  <c r="FV23" i="4" s="1"/>
  <c r="FE23" i="4"/>
  <c r="FF23" i="4" s="1"/>
  <c r="GI23" i="4"/>
  <c r="GJ23" i="4" s="1"/>
  <c r="FS23" i="4"/>
  <c r="FT23" i="4" s="1"/>
  <c r="FC23" i="4"/>
  <c r="FD23" i="4" s="1"/>
  <c r="GC23" i="4"/>
  <c r="GD23" i="4" s="1"/>
  <c r="FM23" i="4"/>
  <c r="FN23" i="4" s="1"/>
  <c r="EW23" i="4"/>
  <c r="EX23" i="4" s="1"/>
  <c r="FW23" i="4"/>
  <c r="FX23" i="4" s="1"/>
  <c r="FQ23" i="4"/>
  <c r="FR23" i="4" s="1"/>
  <c r="ER28" i="4"/>
  <c r="ES28" i="4" s="1"/>
  <c r="FW28" i="4" s="1"/>
  <c r="FX28" i="4" s="1"/>
  <c r="FI28" i="4" l="1"/>
  <c r="FJ28" i="4" s="1"/>
  <c r="EY28" i="4"/>
  <c r="EZ28" i="4" s="1"/>
  <c r="FQ28" i="4"/>
  <c r="FR28" i="4" s="1"/>
  <c r="FO28" i="4"/>
  <c r="FP28" i="4" s="1"/>
  <c r="FA28" i="4"/>
  <c r="FB28" i="4" s="1"/>
  <c r="GG28" i="4"/>
  <c r="GH28" i="4" s="1"/>
  <c r="ET28" i="4"/>
  <c r="FY28" i="4"/>
  <c r="FZ28" i="4" s="1"/>
  <c r="GE28" i="4"/>
  <c r="GF28" i="4" s="1"/>
  <c r="FE28" i="4"/>
  <c r="FF28" i="4" s="1"/>
  <c r="FU28" i="4"/>
  <c r="FV28" i="4" s="1"/>
  <c r="EU28" i="4"/>
  <c r="EV28" i="4" s="1"/>
  <c r="FK28" i="4"/>
  <c r="FL28" i="4" s="1"/>
  <c r="GA28" i="4"/>
  <c r="GB28" i="4" s="1"/>
  <c r="EW28" i="4"/>
  <c r="EX28" i="4" s="1"/>
  <c r="FM28" i="4"/>
  <c r="FN28" i="4" s="1"/>
  <c r="GC28" i="4"/>
  <c r="GD28" i="4" s="1"/>
  <c r="FC28" i="4"/>
  <c r="FD28" i="4" s="1"/>
  <c r="FS28" i="4"/>
  <c r="FT28" i="4" s="1"/>
  <c r="GI28" i="4"/>
  <c r="GJ28" i="4" s="1"/>
  <c r="FG28" i="4"/>
  <c r="FH28" i="4" s="1"/>
</calcChain>
</file>

<file path=xl/sharedStrings.xml><?xml version="1.0" encoding="utf-8"?>
<sst xmlns="http://schemas.openxmlformats.org/spreadsheetml/2006/main" count="719" uniqueCount="320">
  <si>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</si>
  <si>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</si>
  <si>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</si>
  <si>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</si>
  <si>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</si>
  <si>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</si>
  <si>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</si>
  <si>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</si>
  <si>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</si>
  <si>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</si>
  <si>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</si>
  <si>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</si>
  <si>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</si>
  <si>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</si>
  <si>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</si>
  <si>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</si>
  <si>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</si>
  <si>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</si>
  <si>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</si>
  <si>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</si>
  <si>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</si>
  <si>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</si>
  <si>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</si>
  <si>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</si>
  <si>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</si>
  <si>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</si>
  <si>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</si>
  <si>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</si>
  <si>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</si>
  <si>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</si>
  <si>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</si>
  <si>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</si>
  <si>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</si>
  <si>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</si>
  <si>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</si>
  <si>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</si>
  <si>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</si>
  <si>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</si>
  <si>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</si>
  <si>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</si>
  <si>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</si>
  <si>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</si>
  <si>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</si>
  <si>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</si>
  <si>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</si>
  <si>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</si>
  <si>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</si>
  <si>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</si>
  <si>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</si>
  <si>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</si>
  <si>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</si>
  <si>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</si>
  <si>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</si>
  <si>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</si>
  <si>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</si>
  <si>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</si>
  <si>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</si>
  <si>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</si>
  <si>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</si>
  <si>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</si>
  <si>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</si>
  <si>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</si>
  <si>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</si>
  <si>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</si>
  <si>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</si>
  <si>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</si>
  <si>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</si>
  <si>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</si>
  <si>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</si>
  <si>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</si>
  <si>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</si>
  <si>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</si>
  <si>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</si>
  <si>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</si>
  <si>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</si>
  <si>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</si>
  <si>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</si>
  <si>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</si>
  <si>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</si>
  <si>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</si>
  <si>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</si>
  <si>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</si>
  <si>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</si>
  <si>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</si>
  <si>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</si>
  <si>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</si>
  <si>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</si>
  <si>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</si>
  <si>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</si>
  <si>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</si>
  <si>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</si>
  <si>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</si>
  <si>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</si>
  <si>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</si>
  <si>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</si>
  <si>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</si>
  <si>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</si>
  <si>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</si>
  <si>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</si>
  <si>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</si>
  <si>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</si>
  <si>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</si>
  <si>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</si>
  <si>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</si>
  <si>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</si>
  <si>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</si>
  <si>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</si>
  <si>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</si>
  <si>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</si>
  <si>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</si>
  <si>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</si>
  <si>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</si>
  <si>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</si>
  <si>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</si>
  <si>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</si>
  <si>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</si>
  <si>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</si>
  <si>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</si>
  <si>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</si>
  <si>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</si>
  <si>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</si>
  <si>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</si>
  <si>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</si>
  <si>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</si>
  <si>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</si>
  <si>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</si>
  <si>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</si>
  <si>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</si>
  <si>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</si>
  <si>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</si>
  <si>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</si>
  <si>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</si>
  <si>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</si>
  <si>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</si>
  <si>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</si>
  <si>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</si>
  <si>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</si>
  <si>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</si>
  <si>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</si>
  <si>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</si>
  <si>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</si>
  <si>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</si>
  <si>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</si>
  <si>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</si>
  <si>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</si>
  <si>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</si>
  <si>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</si>
  <si>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</si>
  <si>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</si>
  <si>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</si>
  <si>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</si>
  <si>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</si>
  <si>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</si>
  <si>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</si>
  <si>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</si>
  <si>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</si>
  <si>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</si>
  <si>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</si>
  <si>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</si>
  <si>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</si>
  <si>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</si>
  <si>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</si>
  <si>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</si>
  <si>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</si>
  <si>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</si>
  <si>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</si>
  <si>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</si>
  <si>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</si>
  <si>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</si>
  <si>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</si>
  <si>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</si>
  <si>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</si>
  <si>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</si>
  <si>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</si>
  <si>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</si>
  <si>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</si>
  <si>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</si>
  <si>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</si>
  <si>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</si>
  <si>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</si>
  <si>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</si>
  <si>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</si>
  <si>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</si>
  <si>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</si>
  <si>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</si>
  <si>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</si>
  <si>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</si>
  <si>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</si>
  <si>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</si>
  <si>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</si>
  <si>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</si>
  <si>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</si>
  <si>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</si>
  <si>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</si>
  <si>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</si>
  <si>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</si>
  <si>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</si>
  <si>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</si>
  <si>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</si>
  <si>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</si>
  <si>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</si>
  <si>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</si>
  <si>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</si>
  <si>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</si>
  <si>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</si>
  <si>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</si>
  <si>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</si>
  <si>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</si>
  <si>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</si>
  <si>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</si>
  <si>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</si>
  <si>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</si>
  <si>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</si>
  <si>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</si>
  <si>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</si>
  <si>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</si>
  <si>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</si>
  <si>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</si>
  <si>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</si>
  <si>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</si>
  <si>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</si>
  <si>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</si>
  <si>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</si>
  <si>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</si>
  <si>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</si>
  <si>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</si>
  <si>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</si>
  <si>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</si>
  <si>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</si>
  <si>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</si>
  <si>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</si>
  <si>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</si>
  <si>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</si>
  <si>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</si>
  <si>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</si>
  <si>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</si>
  <si>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</si>
  <si>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설계가</t>
    <phoneticPr fontId="2" type="noConversion"/>
  </si>
  <si>
    <t>물가인상율</t>
    <phoneticPr fontId="2" type="noConversion"/>
  </si>
  <si>
    <t>물가인상율</t>
    <phoneticPr fontId="2" type="noConversion"/>
  </si>
  <si>
    <t>도 급 가</t>
    <phoneticPr fontId="2" type="noConversion"/>
  </si>
  <si>
    <t>TLF GOD RK</t>
    <phoneticPr fontId="2" type="noConversion"/>
  </si>
  <si>
    <t>2020 추정</t>
    <phoneticPr fontId="2" type="noConversion"/>
  </si>
  <si>
    <t>2020 년</t>
    <phoneticPr fontId="2" type="noConversion"/>
  </si>
  <si>
    <t>2019년</t>
    <phoneticPr fontId="2" type="noConversion"/>
  </si>
  <si>
    <t>2018년</t>
    <phoneticPr fontId="2" type="noConversion"/>
  </si>
  <si>
    <t>2017년</t>
    <phoneticPr fontId="2" type="noConversion"/>
  </si>
  <si>
    <t>2016 년</t>
    <phoneticPr fontId="2" type="noConversion"/>
  </si>
  <si>
    <t>2015 년</t>
    <phoneticPr fontId="2" type="noConversion"/>
  </si>
  <si>
    <t>2014 년</t>
    <phoneticPr fontId="2" type="noConversion"/>
  </si>
  <si>
    <t>2013 년</t>
    <phoneticPr fontId="2" type="noConversion"/>
  </si>
  <si>
    <t>2012 년</t>
    <phoneticPr fontId="2" type="noConversion"/>
  </si>
  <si>
    <t>2011년</t>
    <phoneticPr fontId="2" type="noConversion"/>
  </si>
  <si>
    <t>2010년</t>
    <phoneticPr fontId="2" type="noConversion"/>
  </si>
  <si>
    <t>2009년</t>
    <phoneticPr fontId="2" type="noConversion"/>
  </si>
  <si>
    <t>2008년</t>
    <phoneticPr fontId="2" type="noConversion"/>
  </si>
  <si>
    <t>2007년</t>
    <phoneticPr fontId="2" type="noConversion"/>
  </si>
  <si>
    <t>2006년</t>
    <phoneticPr fontId="2" type="noConversion"/>
  </si>
  <si>
    <t>2005년</t>
    <phoneticPr fontId="2" type="noConversion"/>
  </si>
  <si>
    <t>2004년</t>
    <phoneticPr fontId="2" type="noConversion"/>
  </si>
  <si>
    <t>2003년</t>
    <phoneticPr fontId="2" type="noConversion"/>
  </si>
  <si>
    <t>2002년</t>
    <phoneticPr fontId="2" type="noConversion"/>
  </si>
  <si>
    <t>2001년</t>
    <phoneticPr fontId="2" type="noConversion"/>
  </si>
  <si>
    <t>2000년</t>
    <phoneticPr fontId="2" type="noConversion"/>
  </si>
  <si>
    <t>1999년</t>
    <phoneticPr fontId="2" type="noConversion"/>
  </si>
  <si>
    <t>2020년</t>
    <phoneticPr fontId="2" type="noConversion"/>
  </si>
  <si>
    <t>2004년</t>
  </si>
  <si>
    <t>2003년</t>
  </si>
  <si>
    <t>2002년</t>
  </si>
  <si>
    <t>2001년</t>
  </si>
  <si>
    <t>2000년</t>
  </si>
  <si>
    <t>1999년</t>
  </si>
  <si>
    <t>원/ m2</t>
    <phoneticPr fontId="2" type="noConversion"/>
  </si>
  <si>
    <t>원 /평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</si>
  <si>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</si>
  <si>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</si>
  <si>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</si>
  <si>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</si>
  <si>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</si>
  <si>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</si>
  <si>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</si>
  <si>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</si>
  <si>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N</t>
    <phoneticPr fontId="2" type="noConversion"/>
  </si>
  <si>
    <t>O</t>
    <phoneticPr fontId="2" type="noConversion"/>
  </si>
  <si>
    <t>P</t>
    <phoneticPr fontId="2" type="noConversion"/>
  </si>
  <si>
    <t>Q</t>
    <phoneticPr fontId="2" type="noConversion"/>
  </si>
  <si>
    <t>R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</si>
  <si>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</si>
  <si>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</si>
  <si>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</si>
  <si>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</si>
  <si>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</si>
  <si>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</si>
  <si>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</si>
  <si>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</si>
  <si>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</si>
  <si>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</si>
  <si>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</si>
  <si>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</si>
  <si>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</si>
  <si>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</si>
  <si>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</si>
  <si>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</si>
  <si>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</si>
  <si>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00군 신청사 건립공사</t>
  </si>
  <si>
    <t>업무</t>
  </si>
  <si>
    <t>전라도</t>
  </si>
  <si>
    <t>통신공사,운반비</t>
    <phoneticPr fontId="2" type="noConversion"/>
  </si>
  <si>
    <t>전기 소방공사</t>
    <phoneticPr fontId="2" type="noConversion"/>
  </si>
  <si>
    <t>옥외 및 수변전실공사</t>
  </si>
  <si>
    <t>경관조명설비공사</t>
  </si>
  <si>
    <t>CABLE TRAY 및 RACE WAT공사</t>
  </si>
  <si>
    <t>운반비</t>
    <phoneticPr fontId="2" type="noConversion"/>
  </si>
  <si>
    <t>기계 소방공사</t>
    <phoneticPr fontId="2" type="noConversion"/>
  </si>
  <si>
    <t>오배수통기배관공사</t>
  </si>
  <si>
    <t>공조배관공사,주방배관공사,우수배관공사</t>
    <phoneticPr fontId="2" type="noConversion"/>
  </si>
  <si>
    <t>방진공사</t>
    <phoneticPr fontId="2" type="noConversion"/>
  </si>
  <si>
    <t>조경공사</t>
    <phoneticPr fontId="2" type="noConversion"/>
  </si>
  <si>
    <t>배수공사,부대공사,사급자재대</t>
    <phoneticPr fontId="2" type="noConversion"/>
  </si>
  <si>
    <t>지정공사,기타공사,자재대및운반공사,작업부산물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</si>
</sst>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Alignment="1">
      <alignment horizontal="right" vertical="center" shrinkToFit="1"/>
    </xf>
    <xf numFmtId="178" fontId="6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Border="1" applyAlignment="1">
      <alignment vertical="center" shrinkToFit="1"/>
    </xf>
    <xf numFmtId="178" fontId="0" fillId="0" borderId="29" xfId="1" applyNumberFormat="1" applyFont="1" applyFill="1" applyBorder="1" applyAlignment="1">
      <alignment vertical="center" shrinkToFit="1"/>
    </xf>
    <xf numFmtId="178" fontId="5" fillId="0" borderId="0" xfId="1" applyNumberFormat="1" applyFont="1" applyFill="1" applyAlignment="1">
      <alignment vertical="center" shrinkToFit="1"/>
    </xf>
    <xf numFmtId="178" fontId="0" fillId="5" borderId="0" xfId="1" applyNumberFormat="1" applyFont="1" applyFill="1" applyAlignment="1">
      <alignment vertical="center" shrinkToFit="1"/>
    </xf>
    <xf numFmtId="178" fontId="6" fillId="5" borderId="0" xfId="1" applyNumberFormat="1" applyFont="1" applyFill="1" applyAlignment="1">
      <alignment vertical="center" shrinkToFit="1"/>
    </xf>
    <xf numFmtId="178" fontId="5" fillId="5" borderId="0" xfId="1" applyNumberFormat="1" applyFont="1" applyFill="1" applyAlignment="1">
      <alignment vertical="center" shrinkToFit="1"/>
    </xf>
    <xf numFmtId="0" fontId="0" fillId="5" borderId="0" xfId="0" applyFill="1">
      <alignment vertical="center"/>
    </xf>
    <xf numFmtId="41" fontId="0" fillId="5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8" fontId="0" fillId="4" borderId="0" xfId="1" applyNumberFormat="1" applyFont="1" applyFill="1" applyAlignment="1">
      <alignment horizontal="center" vertical="center" shrinkToFit="1"/>
    </xf>
    <xf numFmtId="178" fontId="0" fillId="2" borderId="0" xfId="1" applyNumberFormat="1" applyFont="1" applyFill="1" applyAlignment="1">
      <alignment horizontal="center" vertical="center" shrinkToFit="1"/>
    </xf>
    <xf numFmtId="178" fontId="0" fillId="3" borderId="0" xfId="1" applyNumberFormat="1" applyFont="1" applyFill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D2" sqref="D2:E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158</v>
      </c>
      <c r="B2" s="80" t="s">
        <v>0</v>
      </c>
      <c r="C2" s="81"/>
      <c r="D2" s="80" t="s">
        <v>1</v>
      </c>
      <c r="E2" s="81"/>
      <c r="F2" s="80" t="s">
        <v>159</v>
      </c>
      <c r="G2" s="81"/>
      <c r="H2" s="80" t="s">
        <v>2</v>
      </c>
      <c r="I2" s="81"/>
      <c r="J2" s="80" t="s">
        <v>3</v>
      </c>
      <c r="K2" s="81"/>
      <c r="L2" s="80" t="s">
        <v>160</v>
      </c>
      <c r="M2" s="81"/>
      <c r="N2" s="80" t="s">
        <v>161</v>
      </c>
      <c r="O2" s="81"/>
      <c r="P2" s="80" t="s">
        <v>5</v>
      </c>
      <c r="Q2" s="81"/>
      <c r="R2" s="74" t="s">
        <v>95</v>
      </c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6"/>
    </row>
    <row r="3" spans="1:33" x14ac:dyDescent="0.3">
      <c r="A3" s="78"/>
      <c r="B3" s="82"/>
      <c r="C3" s="83"/>
      <c r="D3" s="82"/>
      <c r="E3" s="83"/>
      <c r="F3" s="82"/>
      <c r="G3" s="83"/>
      <c r="H3" s="82"/>
      <c r="I3" s="83"/>
      <c r="J3" s="82"/>
      <c r="K3" s="83"/>
      <c r="L3" s="82"/>
      <c r="M3" s="83"/>
      <c r="N3" s="82"/>
      <c r="O3" s="83"/>
      <c r="P3" s="82"/>
      <c r="Q3" s="83"/>
      <c r="R3" s="46" t="s">
        <v>6</v>
      </c>
      <c r="S3" s="47"/>
      <c r="T3" s="46" t="s">
        <v>96</v>
      </c>
      <c r="U3" s="47"/>
      <c r="V3" s="46" t="s">
        <v>97</v>
      </c>
      <c r="W3" s="47"/>
      <c r="X3" s="46" t="s">
        <v>98</v>
      </c>
      <c r="Y3" s="47"/>
      <c r="Z3" s="46" t="s">
        <v>99</v>
      </c>
      <c r="AA3" s="47"/>
      <c r="AB3" s="46" t="s">
        <v>100</v>
      </c>
      <c r="AC3" s="47"/>
      <c r="AD3" s="46" t="s">
        <v>101</v>
      </c>
      <c r="AE3" s="47"/>
      <c r="AF3" s="46" t="s">
        <v>102</v>
      </c>
      <c r="AG3" s="47"/>
    </row>
    <row r="4" spans="1:33" x14ac:dyDescent="0.3">
      <c r="A4" s="79"/>
      <c r="B4" s="84"/>
      <c r="C4" s="85"/>
      <c r="D4" s="84"/>
      <c r="E4" s="85"/>
      <c r="F4" s="84"/>
      <c r="G4" s="85"/>
      <c r="H4" s="84"/>
      <c r="I4" s="85"/>
      <c r="J4" s="84"/>
      <c r="K4" s="85"/>
      <c r="L4" s="84"/>
      <c r="M4" s="85"/>
      <c r="N4" s="84"/>
      <c r="O4" s="85"/>
      <c r="P4" s="84"/>
      <c r="Q4" s="85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94</v>
      </c>
      <c r="F5" s="5">
        <v>1</v>
      </c>
      <c r="G5" s="17" t="s">
        <v>90</v>
      </c>
      <c r="H5" s="5">
        <v>1</v>
      </c>
      <c r="I5" s="1" t="s">
        <v>162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163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132</v>
      </c>
      <c r="AD5" s="28">
        <v>1</v>
      </c>
      <c r="AE5" s="29" t="s">
        <v>48</v>
      </c>
      <c r="AF5" s="28">
        <v>1</v>
      </c>
      <c r="AG5" s="38" t="s">
        <v>164</v>
      </c>
    </row>
    <row r="6" spans="1:33" x14ac:dyDescent="0.3">
      <c r="A6" s="4">
        <f>+A5+1</f>
        <v>2</v>
      </c>
      <c r="B6" s="5">
        <f>+B5+1</f>
        <v>2</v>
      </c>
      <c r="C6" s="17" t="s">
        <v>165</v>
      </c>
      <c r="D6" s="5">
        <v>2</v>
      </c>
      <c r="E6" s="1" t="s">
        <v>166</v>
      </c>
      <c r="F6" s="5">
        <v>2</v>
      </c>
      <c r="G6" s="17" t="s">
        <v>167</v>
      </c>
      <c r="H6" s="5">
        <v>2</v>
      </c>
      <c r="I6" s="1" t="s">
        <v>214</v>
      </c>
      <c r="J6" s="19">
        <v>2</v>
      </c>
      <c r="K6" s="1" t="s">
        <v>215</v>
      </c>
      <c r="L6" s="5">
        <v>2</v>
      </c>
      <c r="M6" s="6" t="s">
        <v>216</v>
      </c>
      <c r="N6" s="5">
        <v>2</v>
      </c>
      <c r="O6" s="6" t="s">
        <v>217</v>
      </c>
      <c r="P6" s="5">
        <v>2</v>
      </c>
      <c r="Q6" s="1" t="s">
        <v>218</v>
      </c>
      <c r="R6" s="28">
        <v>2</v>
      </c>
      <c r="S6" s="29" t="s">
        <v>219</v>
      </c>
      <c r="T6" s="28">
        <v>2</v>
      </c>
      <c r="U6" s="29" t="s">
        <v>220</v>
      </c>
      <c r="V6" s="28">
        <v>2</v>
      </c>
      <c r="W6" s="29" t="s">
        <v>221</v>
      </c>
      <c r="X6" s="28">
        <v>2</v>
      </c>
      <c r="Y6" s="29" t="s">
        <v>222</v>
      </c>
      <c r="Z6" s="28">
        <v>2</v>
      </c>
      <c r="AA6" s="29" t="s">
        <v>223</v>
      </c>
      <c r="AB6" s="28">
        <v>2</v>
      </c>
      <c r="AC6" s="29" t="s">
        <v>224</v>
      </c>
      <c r="AD6" s="28">
        <v>2</v>
      </c>
      <c r="AE6" s="29" t="s">
        <v>225</v>
      </c>
      <c r="AF6" s="28">
        <v>2</v>
      </c>
      <c r="AG6" s="38" t="s">
        <v>226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227</v>
      </c>
      <c r="D7" s="5">
        <v>3</v>
      </c>
      <c r="E7" s="1" t="s">
        <v>228</v>
      </c>
      <c r="F7" s="5">
        <v>3</v>
      </c>
      <c r="G7" s="17" t="s">
        <v>229</v>
      </c>
      <c r="H7" s="5">
        <v>3</v>
      </c>
      <c r="I7" s="1" t="s">
        <v>230</v>
      </c>
      <c r="J7" s="19">
        <v>3</v>
      </c>
      <c r="K7" s="1" t="s">
        <v>231</v>
      </c>
      <c r="L7" s="5">
        <v>3</v>
      </c>
      <c r="M7" s="6" t="s">
        <v>232</v>
      </c>
      <c r="N7" s="5">
        <v>3</v>
      </c>
      <c r="O7" s="6" t="s">
        <v>233</v>
      </c>
      <c r="P7" s="5">
        <v>3</v>
      </c>
      <c r="Q7" s="1" t="s">
        <v>234</v>
      </c>
      <c r="R7" s="28">
        <v>3</v>
      </c>
      <c r="S7" s="29" t="s">
        <v>235</v>
      </c>
      <c r="T7" s="28">
        <v>3</v>
      </c>
      <c r="U7" s="29" t="s">
        <v>236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168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169</v>
      </c>
      <c r="F8" s="5">
        <v>4</v>
      </c>
      <c r="G8" s="17" t="s">
        <v>91</v>
      </c>
      <c r="H8" s="5">
        <v>4</v>
      </c>
      <c r="I8" s="1" t="s">
        <v>78</v>
      </c>
      <c r="J8" s="19">
        <v>4</v>
      </c>
      <c r="K8" s="1" t="s">
        <v>170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171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150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172</v>
      </c>
      <c r="F9" s="5">
        <v>5</v>
      </c>
      <c r="G9" s="17" t="s">
        <v>173</v>
      </c>
      <c r="H9" s="5">
        <v>5</v>
      </c>
      <c r="I9" s="1" t="s">
        <v>79</v>
      </c>
      <c r="J9" s="19">
        <v>5</v>
      </c>
      <c r="K9" s="1" t="s">
        <v>174</v>
      </c>
      <c r="L9" s="5"/>
      <c r="M9" s="6"/>
      <c r="N9" s="5"/>
      <c r="O9" s="6"/>
      <c r="P9" s="5">
        <v>5</v>
      </c>
      <c r="Q9" s="1" t="s">
        <v>175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150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92</v>
      </c>
      <c r="H10" s="5">
        <v>6</v>
      </c>
      <c r="I10" s="1" t="s">
        <v>176</v>
      </c>
      <c r="J10" s="19">
        <v>6</v>
      </c>
      <c r="K10" s="1" t="s">
        <v>177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178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93</v>
      </c>
      <c r="H11" s="5">
        <v>7</v>
      </c>
      <c r="I11" s="1" t="s">
        <v>80</v>
      </c>
      <c r="J11" s="19">
        <v>7</v>
      </c>
      <c r="K11" s="1" t="s">
        <v>179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141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180</v>
      </c>
      <c r="F12" s="5">
        <v>8</v>
      </c>
      <c r="G12" s="17" t="s">
        <v>181</v>
      </c>
      <c r="H12" s="5">
        <v>8</v>
      </c>
      <c r="I12" s="1" t="s">
        <v>81</v>
      </c>
      <c r="J12" s="19">
        <v>8</v>
      </c>
      <c r="K12" s="1" t="s">
        <v>182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183</v>
      </c>
      <c r="X12" s="28">
        <v>8</v>
      </c>
      <c r="Y12" s="29" t="s">
        <v>46</v>
      </c>
      <c r="Z12" s="28">
        <v>8</v>
      </c>
      <c r="AA12" s="29" t="s">
        <v>184</v>
      </c>
      <c r="AB12" s="28">
        <v>8</v>
      </c>
      <c r="AC12" s="29" t="s">
        <v>185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186</v>
      </c>
      <c r="D13" s="5">
        <v>9</v>
      </c>
      <c r="E13" s="1" t="s">
        <v>187</v>
      </c>
      <c r="F13" s="5"/>
      <c r="G13" s="17"/>
      <c r="H13" s="5">
        <v>9</v>
      </c>
      <c r="I13" s="1" t="s">
        <v>82</v>
      </c>
      <c r="J13" s="19">
        <v>9</v>
      </c>
      <c r="K13" s="1" t="s">
        <v>188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189</v>
      </c>
      <c r="X13" s="28">
        <v>9</v>
      </c>
      <c r="Y13" s="29" t="s">
        <v>136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190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138</v>
      </c>
      <c r="X14" s="28">
        <v>10</v>
      </c>
      <c r="Y14" s="29" t="s">
        <v>191</v>
      </c>
      <c r="Z14" s="28">
        <v>10</v>
      </c>
      <c r="AA14" s="29" t="s">
        <v>150</v>
      </c>
      <c r="AB14" s="28">
        <v>10</v>
      </c>
      <c r="AC14" s="29" t="s">
        <v>150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192</v>
      </c>
      <c r="J15" s="19">
        <v>11</v>
      </c>
      <c r="K15" s="1" t="s">
        <v>193</v>
      </c>
      <c r="L15" s="5"/>
      <c r="M15" s="6"/>
      <c r="N15" s="5"/>
      <c r="O15" s="6"/>
      <c r="P15" s="5"/>
      <c r="Q15" s="1"/>
      <c r="R15" s="28">
        <v>11</v>
      </c>
      <c r="S15" s="29" t="s">
        <v>194</v>
      </c>
      <c r="T15" s="28"/>
      <c r="U15" s="29"/>
      <c r="V15" s="28">
        <v>11</v>
      </c>
      <c r="W15" s="29" t="s">
        <v>134</v>
      </c>
      <c r="X15" s="28">
        <v>11</v>
      </c>
      <c r="Y15" s="29" t="s">
        <v>195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196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129</v>
      </c>
      <c r="X16" s="28">
        <v>12</v>
      </c>
      <c r="Y16" s="29" t="s">
        <v>197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198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199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122</v>
      </c>
      <c r="X17" s="28">
        <v>13</v>
      </c>
      <c r="Y17" s="29" t="s">
        <v>128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200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135</v>
      </c>
      <c r="X18" s="28">
        <v>14</v>
      </c>
      <c r="Y18" s="29" t="s">
        <v>130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201</v>
      </c>
      <c r="L19" s="5"/>
      <c r="M19" s="6"/>
      <c r="N19" s="5"/>
      <c r="O19" s="6"/>
      <c r="P19" s="5"/>
      <c r="Q19" s="1"/>
      <c r="R19" s="28">
        <v>15</v>
      </c>
      <c r="S19" s="29" t="s">
        <v>202</v>
      </c>
      <c r="T19" s="28"/>
      <c r="U19" s="29"/>
      <c r="V19" s="28">
        <v>15</v>
      </c>
      <c r="W19" s="29" t="s">
        <v>137</v>
      </c>
      <c r="X19" s="28">
        <v>15</v>
      </c>
      <c r="Y19" s="29" t="s">
        <v>133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203</v>
      </c>
      <c r="L20" s="5"/>
      <c r="M20" s="6"/>
      <c r="N20" s="5"/>
      <c r="O20" s="6"/>
      <c r="P20" s="5"/>
      <c r="Q20" s="1"/>
      <c r="R20" s="28">
        <v>16</v>
      </c>
      <c r="S20" s="29" t="s">
        <v>146</v>
      </c>
      <c r="T20" s="28"/>
      <c r="U20" s="29"/>
      <c r="V20" s="28">
        <v>16</v>
      </c>
      <c r="W20" s="29" t="s">
        <v>123</v>
      </c>
      <c r="X20" s="28">
        <v>16</v>
      </c>
      <c r="Y20" s="29" t="s">
        <v>119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204</v>
      </c>
      <c r="L21" s="5"/>
      <c r="M21" s="6"/>
      <c r="N21" s="5"/>
      <c r="O21" s="6"/>
      <c r="P21" s="5"/>
      <c r="Q21" s="1"/>
      <c r="R21" s="28">
        <v>17</v>
      </c>
      <c r="S21" s="29" t="s">
        <v>147</v>
      </c>
      <c r="T21" s="28"/>
      <c r="U21" s="29"/>
      <c r="V21" s="28">
        <v>17</v>
      </c>
      <c r="W21" s="29" t="s">
        <v>205</v>
      </c>
      <c r="X21" s="28">
        <v>17</v>
      </c>
      <c r="Y21" s="29" t="s">
        <v>206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207</v>
      </c>
      <c r="L22" s="5"/>
      <c r="M22" s="6"/>
      <c r="N22" s="5"/>
      <c r="O22" s="6"/>
      <c r="P22" s="5"/>
      <c r="Q22" s="1"/>
      <c r="R22" s="28">
        <v>18</v>
      </c>
      <c r="S22" s="29" t="s">
        <v>148</v>
      </c>
      <c r="T22" s="28"/>
      <c r="U22" s="29"/>
      <c r="V22" s="28">
        <v>18</v>
      </c>
      <c r="W22" s="29" t="s">
        <v>208</v>
      </c>
      <c r="X22" s="28">
        <v>18</v>
      </c>
      <c r="Y22" s="29" t="s">
        <v>117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209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140</v>
      </c>
      <c r="X23" s="28">
        <v>19</v>
      </c>
      <c r="Y23" s="29" t="s">
        <v>116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210</v>
      </c>
      <c r="L24" s="5"/>
      <c r="M24" s="6"/>
      <c r="N24" s="5"/>
      <c r="O24" s="6"/>
      <c r="P24" s="5"/>
      <c r="Q24" s="1"/>
      <c r="R24" s="28">
        <v>20</v>
      </c>
      <c r="S24" s="29" t="s">
        <v>150</v>
      </c>
      <c r="T24" s="28"/>
      <c r="U24" s="29"/>
      <c r="V24" s="28">
        <v>20</v>
      </c>
      <c r="W24" s="29" t="s">
        <v>143</v>
      </c>
      <c r="X24" s="28">
        <v>20</v>
      </c>
      <c r="Y24" s="29" t="s">
        <v>150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211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212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213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150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302"/>
  <sheetViews>
    <sheetView tabSelected="1" topLeftCell="A16" zoomScale="90" zoomScaleNormal="90" workbookViewId="0">
      <selection activeCell="F22" sqref="F22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8" width="8.75" style="55" customWidth="1"/>
    <col min="9" max="9" width="7.5" style="55" customWidth="1"/>
    <col min="10" max="10" width="7.5" style="56" customWidth="1"/>
    <col min="11" max="16" width="7.5" style="55" customWidth="1"/>
    <col min="17" max="17" width="7.5" style="57" customWidth="1"/>
    <col min="18" max="20" width="7.5" style="55" customWidth="1"/>
    <col min="21" max="21" width="7.5" style="57" customWidth="1"/>
    <col min="22" max="24" width="7.5" style="55" customWidth="1"/>
    <col min="25" max="25" width="7.5" style="57" customWidth="1"/>
    <col min="26" max="75" width="7.5" style="55" customWidth="1"/>
    <col min="76" max="76" width="9.25" style="55" bestFit="1" customWidth="1"/>
    <col min="77" max="77" width="9" style="55"/>
    <col min="78" max="84" width="12.375" style="55" bestFit="1" customWidth="1"/>
    <col min="85" max="85" width="9.75" style="55" bestFit="1" customWidth="1"/>
    <col min="86" max="86" width="10.875" style="55" bestFit="1" customWidth="1"/>
    <col min="87" max="87" width="9.75" style="55" bestFit="1" customWidth="1"/>
    <col min="88" max="88" width="10.875" style="55" bestFit="1" customWidth="1"/>
    <col min="89" max="89" width="9.75" style="55" bestFit="1" customWidth="1"/>
    <col min="90" max="90" width="10.875" style="55" bestFit="1" customWidth="1"/>
    <col min="91" max="91" width="9.75" style="55" bestFit="1" customWidth="1"/>
    <col min="92" max="92" width="10.875" style="55" bestFit="1" customWidth="1"/>
    <col min="93" max="93" width="9.75" style="55" bestFit="1" customWidth="1"/>
    <col min="94" max="94" width="10.875" style="55" bestFit="1" customWidth="1"/>
    <col min="95" max="122" width="9.75" style="55" bestFit="1" customWidth="1"/>
    <col min="123" max="124" width="9" style="55"/>
    <col min="125" max="146" width="9.25" style="55" bestFit="1" customWidth="1"/>
    <col min="147" max="16384" width="9" style="2"/>
  </cols>
  <sheetData>
    <row r="1" spans="1:216" ht="17.25" thickBot="1" x14ac:dyDescent="0.35"/>
    <row r="2" spans="1:216" ht="17.25" thickBot="1" x14ac:dyDescent="0.35">
      <c r="A2" s="2">
        <v>1</v>
      </c>
      <c r="B2" s="2" t="s">
        <v>103</v>
      </c>
      <c r="C2" s="36" t="s">
        <v>304</v>
      </c>
    </row>
    <row r="3" spans="1:216" ht="17.25" thickBot="1" x14ac:dyDescent="0.35"/>
    <row r="4" spans="1:216" ht="17.25" thickBot="1" x14ac:dyDescent="0.35">
      <c r="A4" s="2">
        <v>2</v>
      </c>
      <c r="B4" s="2" t="s">
        <v>104</v>
      </c>
      <c r="C4" s="36" t="s">
        <v>305</v>
      </c>
    </row>
    <row r="6" spans="1:216" ht="17.25" thickBot="1" x14ac:dyDescent="0.35">
      <c r="A6" s="2">
        <v>3</v>
      </c>
      <c r="B6" s="2" t="s">
        <v>152</v>
      </c>
      <c r="C6" s="2" t="s">
        <v>105</v>
      </c>
      <c r="D6" s="35" t="s">
        <v>292</v>
      </c>
    </row>
    <row r="7" spans="1:216" ht="17.25" thickBot="1" x14ac:dyDescent="0.35">
      <c r="C7" s="37">
        <v>11378</v>
      </c>
      <c r="D7" s="36">
        <f>+C7/3.3058</f>
        <v>3441.8295117671969</v>
      </c>
    </row>
    <row r="8" spans="1:216" ht="17.25" thickBot="1" x14ac:dyDescent="0.35"/>
    <row r="9" spans="1:216" ht="17.25" thickBot="1" x14ac:dyDescent="0.35">
      <c r="A9" s="2">
        <v>4</v>
      </c>
      <c r="B9" s="2" t="s">
        <v>106</v>
      </c>
      <c r="C9" s="36" t="s">
        <v>306</v>
      </c>
    </row>
    <row r="10" spans="1:216" ht="17.25" thickBot="1" x14ac:dyDescent="0.35"/>
    <row r="11" spans="1:216" ht="17.25" thickBot="1" x14ac:dyDescent="0.35">
      <c r="A11" s="2">
        <v>5</v>
      </c>
      <c r="B11" s="2" t="s">
        <v>107</v>
      </c>
      <c r="C11" s="36" t="s">
        <v>188</v>
      </c>
    </row>
    <row r="12" spans="1:216" ht="17.25" thickBot="1" x14ac:dyDescent="0.35"/>
    <row r="13" spans="1:216" ht="17.25" thickBot="1" x14ac:dyDescent="0.35">
      <c r="A13" s="2">
        <v>6</v>
      </c>
      <c r="B13" s="2" t="s">
        <v>108</v>
      </c>
      <c r="C13" s="36" t="s">
        <v>115</v>
      </c>
    </row>
    <row r="14" spans="1:216" ht="17.25" thickBot="1" x14ac:dyDescent="0.35"/>
    <row r="15" spans="1:216" ht="17.25" thickBot="1" x14ac:dyDescent="0.35">
      <c r="A15" s="2">
        <v>7</v>
      </c>
      <c r="B15" s="2" t="s">
        <v>109</v>
      </c>
      <c r="C15" s="36" t="s">
        <v>151</v>
      </c>
      <c r="I15" s="87" t="s">
        <v>237</v>
      </c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C15" s="87" t="s">
        <v>239</v>
      </c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CA15" s="88" t="s">
        <v>240</v>
      </c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88"/>
      <c r="DM15" s="88"/>
      <c r="DN15" s="88"/>
      <c r="DO15" s="88"/>
      <c r="DP15" s="88"/>
      <c r="DQ15" s="88"/>
      <c r="DR15" s="88"/>
      <c r="DU15" s="88" t="s">
        <v>238</v>
      </c>
      <c r="DV15" s="88"/>
      <c r="DW15" s="88"/>
      <c r="DX15" s="88"/>
      <c r="DY15" s="88"/>
      <c r="DZ15" s="88"/>
      <c r="EA15" s="88"/>
      <c r="EB15" s="88"/>
      <c r="EC15" s="88"/>
      <c r="ED15" s="88"/>
      <c r="EE15" s="88"/>
      <c r="EF15" s="88"/>
      <c r="EG15" s="88"/>
      <c r="EH15" s="88"/>
      <c r="EI15" s="88"/>
      <c r="EJ15" s="88"/>
      <c r="EK15" s="88"/>
      <c r="EL15" s="88"/>
      <c r="EM15" s="88"/>
      <c r="EN15" s="88"/>
      <c r="EO15" s="88"/>
      <c r="EP15" s="88"/>
      <c r="ER15" s="55"/>
      <c r="ES15" s="86" t="s">
        <v>241</v>
      </c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  <c r="FJ15" s="86"/>
      <c r="FK15" s="86"/>
      <c r="FL15" s="86"/>
      <c r="FM15" s="86"/>
      <c r="FN15" s="86"/>
      <c r="FO15" s="86"/>
      <c r="FP15" s="86"/>
      <c r="FQ15" s="86"/>
      <c r="FR15" s="86"/>
      <c r="FS15" s="86"/>
      <c r="FT15" s="86"/>
      <c r="FU15" s="86"/>
      <c r="FV15" s="86"/>
      <c r="FW15" s="86"/>
      <c r="FX15" s="86"/>
      <c r="FY15" s="86"/>
      <c r="FZ15" s="86"/>
      <c r="GA15" s="86"/>
      <c r="GB15" s="86"/>
      <c r="GC15" s="86"/>
      <c r="GD15" s="86"/>
      <c r="GE15" s="86"/>
      <c r="GF15" s="86"/>
      <c r="GG15" s="86"/>
      <c r="GH15" s="86"/>
      <c r="GI15" s="86"/>
      <c r="GJ15" s="86"/>
      <c r="GK15" s="55"/>
      <c r="GL15" s="55"/>
      <c r="GM15" s="86" t="s">
        <v>238</v>
      </c>
      <c r="GN15" s="86"/>
      <c r="GO15" s="86"/>
      <c r="GP15" s="86"/>
      <c r="GQ15" s="86"/>
      <c r="GR15" s="86"/>
      <c r="GS15" s="86"/>
      <c r="GT15" s="86"/>
      <c r="GU15" s="86"/>
      <c r="GV15" s="86"/>
      <c r="GW15" s="86"/>
      <c r="GX15" s="86"/>
      <c r="GY15" s="86"/>
      <c r="GZ15" s="86"/>
      <c r="HA15" s="86"/>
      <c r="HB15" s="86"/>
      <c r="HC15" s="86"/>
      <c r="HD15" s="86"/>
      <c r="HE15" s="86"/>
      <c r="HF15" s="86"/>
      <c r="HG15" s="86"/>
      <c r="HH15" s="86"/>
    </row>
    <row r="16" spans="1:216" x14ac:dyDescent="0.3">
      <c r="H16" s="55" t="s">
        <v>242</v>
      </c>
      <c r="I16" s="55" t="s">
        <v>243</v>
      </c>
      <c r="J16" s="55"/>
      <c r="K16" s="55" t="s">
        <v>244</v>
      </c>
      <c r="M16" s="55" t="s">
        <v>245</v>
      </c>
      <c r="O16" s="55" t="s">
        <v>246</v>
      </c>
      <c r="Q16" s="57" t="s">
        <v>247</v>
      </c>
      <c r="R16" s="56"/>
      <c r="S16" s="58" t="s">
        <v>248</v>
      </c>
      <c r="U16" s="57" t="s">
        <v>249</v>
      </c>
      <c r="W16" s="55" t="s">
        <v>250</v>
      </c>
      <c r="Y16" s="57" t="s">
        <v>251</v>
      </c>
      <c r="AA16" s="55" t="s">
        <v>252</v>
      </c>
      <c r="AC16" s="55" t="s">
        <v>253</v>
      </c>
      <c r="AE16" s="55" t="s">
        <v>254</v>
      </c>
      <c r="AG16" s="55" t="s">
        <v>255</v>
      </c>
      <c r="AH16" s="56"/>
      <c r="AI16" s="58" t="s">
        <v>256</v>
      </c>
      <c r="AK16" s="55" t="s">
        <v>257</v>
      </c>
      <c r="AM16" s="55" t="s">
        <v>258</v>
      </c>
      <c r="AO16" s="55" t="s">
        <v>259</v>
      </c>
      <c r="AQ16" s="55" t="s">
        <v>260</v>
      </c>
      <c r="AR16" s="56"/>
      <c r="AS16" s="58" t="s">
        <v>261</v>
      </c>
      <c r="AU16" s="55" t="s">
        <v>262</v>
      </c>
      <c r="AW16" s="55" t="s">
        <v>263</v>
      </c>
      <c r="AY16" s="55" t="s">
        <v>264</v>
      </c>
      <c r="BC16" s="55" t="s">
        <v>265</v>
      </c>
      <c r="BD16" s="55" t="s">
        <v>244</v>
      </c>
      <c r="BE16" s="55" t="s">
        <v>210</v>
      </c>
      <c r="BF16" s="55" t="s">
        <v>209</v>
      </c>
      <c r="BG16" s="55" t="s">
        <v>207</v>
      </c>
      <c r="BH16" s="55" t="s">
        <v>204</v>
      </c>
      <c r="BI16" s="55" t="s">
        <v>203</v>
      </c>
      <c r="BJ16" s="55" t="s">
        <v>201</v>
      </c>
      <c r="BK16" s="55" t="s">
        <v>200</v>
      </c>
      <c r="BL16" s="55" t="s">
        <v>199</v>
      </c>
      <c r="BM16" s="55" t="s">
        <v>196</v>
      </c>
      <c r="BN16" s="55" t="s">
        <v>193</v>
      </c>
      <c r="BO16" s="55" t="s">
        <v>190</v>
      </c>
      <c r="BP16" s="55" t="s">
        <v>188</v>
      </c>
      <c r="BQ16" s="55" t="s">
        <v>182</v>
      </c>
      <c r="BR16" s="55" t="s">
        <v>179</v>
      </c>
      <c r="BS16" s="55" t="s">
        <v>266</v>
      </c>
      <c r="BT16" s="55" t="s">
        <v>267</v>
      </c>
      <c r="BU16" s="55" t="s">
        <v>268</v>
      </c>
      <c r="BV16" s="55" t="s">
        <v>269</v>
      </c>
      <c r="BW16" s="55" t="s">
        <v>270</v>
      </c>
      <c r="BX16" s="55" t="s">
        <v>271</v>
      </c>
      <c r="BZ16" s="55" t="s">
        <v>242</v>
      </c>
      <c r="CA16" s="55" t="s">
        <v>243</v>
      </c>
      <c r="CC16" s="55" t="s">
        <v>244</v>
      </c>
      <c r="CE16" s="55" t="s">
        <v>245</v>
      </c>
      <c r="CG16" s="55" t="s">
        <v>246</v>
      </c>
      <c r="CI16" s="55" t="s">
        <v>247</v>
      </c>
      <c r="CJ16" s="56"/>
      <c r="CK16" s="58" t="s">
        <v>248</v>
      </c>
      <c r="CM16" s="55" t="s">
        <v>249</v>
      </c>
      <c r="CO16" s="55" t="s">
        <v>250</v>
      </c>
      <c r="CQ16" s="55" t="s">
        <v>251</v>
      </c>
      <c r="CS16" s="55" t="s">
        <v>252</v>
      </c>
      <c r="CU16" s="55" t="s">
        <v>253</v>
      </c>
      <c r="CW16" s="55" t="s">
        <v>254</v>
      </c>
      <c r="CY16" s="55" t="s">
        <v>255</v>
      </c>
      <c r="CZ16" s="56"/>
      <c r="DA16" s="58" t="s">
        <v>256</v>
      </c>
      <c r="DC16" s="55" t="s">
        <v>257</v>
      </c>
      <c r="DE16" s="55" t="s">
        <v>258</v>
      </c>
      <c r="DG16" s="55" t="s">
        <v>259</v>
      </c>
      <c r="DI16" s="55" t="s">
        <v>260</v>
      </c>
      <c r="DJ16" s="56"/>
      <c r="DK16" s="58" t="s">
        <v>261</v>
      </c>
      <c r="DM16" s="55" t="s">
        <v>262</v>
      </c>
      <c r="DO16" s="55" t="s">
        <v>263</v>
      </c>
      <c r="DQ16" s="55" t="s">
        <v>264</v>
      </c>
      <c r="DU16" s="55" t="s">
        <v>265</v>
      </c>
      <c r="DV16" s="55" t="s">
        <v>244</v>
      </c>
      <c r="DW16" s="55" t="s">
        <v>210</v>
      </c>
      <c r="DX16" s="55" t="s">
        <v>209</v>
      </c>
      <c r="DY16" s="55" t="s">
        <v>207</v>
      </c>
      <c r="DZ16" s="55" t="s">
        <v>204</v>
      </c>
      <c r="EA16" s="55" t="s">
        <v>203</v>
      </c>
      <c r="EB16" s="55" t="s">
        <v>201</v>
      </c>
      <c r="EC16" s="55" t="s">
        <v>200</v>
      </c>
      <c r="ED16" s="55" t="s">
        <v>199</v>
      </c>
      <c r="EE16" s="55" t="s">
        <v>196</v>
      </c>
      <c r="EF16" s="55" t="s">
        <v>193</v>
      </c>
      <c r="EG16" s="55" t="s">
        <v>190</v>
      </c>
      <c r="EH16" s="55" t="s">
        <v>188</v>
      </c>
      <c r="EI16" s="55" t="s">
        <v>182</v>
      </c>
      <c r="EJ16" s="55" t="s">
        <v>179</v>
      </c>
      <c r="EK16" s="55" t="s">
        <v>266</v>
      </c>
      <c r="EL16" s="55" t="s">
        <v>267</v>
      </c>
      <c r="EM16" s="55" t="s">
        <v>268</v>
      </c>
      <c r="EN16" s="55" t="s">
        <v>269</v>
      </c>
      <c r="EO16" s="55" t="s">
        <v>270</v>
      </c>
      <c r="EP16" s="55" t="s">
        <v>271</v>
      </c>
      <c r="ER16" s="55" t="s">
        <v>242</v>
      </c>
      <c r="ES16" s="55" t="s">
        <v>243</v>
      </c>
      <c r="ET16" s="55"/>
      <c r="EU16" s="55" t="s">
        <v>244</v>
      </c>
      <c r="EV16" s="55"/>
      <c r="EW16" s="55" t="s">
        <v>245</v>
      </c>
      <c r="EX16" s="55"/>
      <c r="EY16" s="55" t="s">
        <v>246</v>
      </c>
      <c r="EZ16" s="55"/>
      <c r="FA16" s="55" t="s">
        <v>247</v>
      </c>
      <c r="FB16" s="56"/>
      <c r="FC16" s="58" t="s">
        <v>248</v>
      </c>
      <c r="FD16" s="55"/>
      <c r="FE16" s="55" t="s">
        <v>249</v>
      </c>
      <c r="FF16" s="55"/>
      <c r="FG16" s="55" t="s">
        <v>250</v>
      </c>
      <c r="FH16" s="55"/>
      <c r="FI16" s="55" t="s">
        <v>251</v>
      </c>
      <c r="FJ16" s="55"/>
      <c r="FK16" s="55" t="s">
        <v>252</v>
      </c>
      <c r="FL16" s="55"/>
      <c r="FM16" s="55" t="s">
        <v>253</v>
      </c>
      <c r="FN16" s="55"/>
      <c r="FO16" s="55" t="s">
        <v>254</v>
      </c>
      <c r="FP16" s="55"/>
      <c r="FQ16" s="55" t="s">
        <v>255</v>
      </c>
      <c r="FR16" s="56"/>
      <c r="FS16" s="58" t="s">
        <v>256</v>
      </c>
      <c r="FT16" s="55"/>
      <c r="FU16" s="55" t="s">
        <v>257</v>
      </c>
      <c r="FV16" s="55"/>
      <c r="FW16" s="55" t="s">
        <v>258</v>
      </c>
      <c r="FX16" s="55"/>
      <c r="FY16" s="55" t="s">
        <v>259</v>
      </c>
      <c r="FZ16" s="55"/>
      <c r="GA16" s="55" t="s">
        <v>260</v>
      </c>
      <c r="GB16" s="56"/>
      <c r="GC16" s="58" t="s">
        <v>261</v>
      </c>
      <c r="GD16" s="55"/>
      <c r="GE16" s="55" t="s">
        <v>262</v>
      </c>
      <c r="GF16" s="55"/>
      <c r="GG16" s="55" t="s">
        <v>263</v>
      </c>
      <c r="GH16" s="55"/>
      <c r="GI16" s="55" t="s">
        <v>264</v>
      </c>
      <c r="GJ16" s="55"/>
      <c r="GK16" s="55"/>
      <c r="GL16" s="55"/>
      <c r="GM16" s="55" t="s">
        <v>265</v>
      </c>
      <c r="GN16" s="55" t="s">
        <v>244</v>
      </c>
      <c r="GO16" s="55" t="s">
        <v>210</v>
      </c>
      <c r="GP16" s="55" t="s">
        <v>209</v>
      </c>
      <c r="GQ16" s="55" t="s">
        <v>207</v>
      </c>
      <c r="GR16" s="55" t="s">
        <v>204</v>
      </c>
      <c r="GS16" s="55" t="s">
        <v>203</v>
      </c>
      <c r="GT16" s="55" t="s">
        <v>201</v>
      </c>
      <c r="GU16" s="55" t="s">
        <v>200</v>
      </c>
      <c r="GV16" s="55" t="s">
        <v>199</v>
      </c>
      <c r="GW16" s="55" t="s">
        <v>196</v>
      </c>
      <c r="GX16" s="55" t="s">
        <v>193</v>
      </c>
      <c r="GY16" s="55" t="s">
        <v>190</v>
      </c>
      <c r="GZ16" s="55" t="s">
        <v>188</v>
      </c>
      <c r="HA16" s="55" t="s">
        <v>182</v>
      </c>
      <c r="HB16" s="55" t="s">
        <v>179</v>
      </c>
      <c r="HC16" s="55" t="s">
        <v>266</v>
      </c>
      <c r="HD16" s="55" t="s">
        <v>267</v>
      </c>
      <c r="HE16" s="55" t="s">
        <v>268</v>
      </c>
      <c r="HF16" s="55" t="s">
        <v>269</v>
      </c>
      <c r="HG16" s="55" t="s">
        <v>270</v>
      </c>
      <c r="HH16" s="55" t="s">
        <v>271</v>
      </c>
    </row>
    <row r="17" spans="1:216" x14ac:dyDescent="0.3">
      <c r="A17" s="2">
        <v>8</v>
      </c>
      <c r="B17" s="2" t="s">
        <v>110</v>
      </c>
      <c r="C17" s="2" t="s">
        <v>114</v>
      </c>
      <c r="D17" s="2" t="s">
        <v>293</v>
      </c>
      <c r="E17" s="35" t="s">
        <v>155</v>
      </c>
      <c r="I17" s="55" t="s">
        <v>272</v>
      </c>
      <c r="J17" s="55" t="s">
        <v>273</v>
      </c>
      <c r="K17" s="55" t="s">
        <v>272</v>
      </c>
      <c r="L17" s="55" t="s">
        <v>273</v>
      </c>
      <c r="M17" s="55" t="s">
        <v>272</v>
      </c>
      <c r="N17" s="55" t="s">
        <v>273</v>
      </c>
      <c r="O17" s="55" t="s">
        <v>272</v>
      </c>
      <c r="P17" s="55" t="s">
        <v>273</v>
      </c>
      <c r="Q17" s="57" t="s">
        <v>272</v>
      </c>
      <c r="R17" s="55" t="s">
        <v>273</v>
      </c>
      <c r="S17" s="55" t="s">
        <v>272</v>
      </c>
      <c r="T17" s="55" t="s">
        <v>273</v>
      </c>
      <c r="U17" s="57" t="s">
        <v>272</v>
      </c>
      <c r="V17" s="55" t="s">
        <v>273</v>
      </c>
      <c r="W17" s="55" t="s">
        <v>272</v>
      </c>
      <c r="X17" s="55" t="s">
        <v>273</v>
      </c>
      <c r="Y17" s="57" t="s">
        <v>272</v>
      </c>
      <c r="Z17" s="55" t="s">
        <v>273</v>
      </c>
      <c r="AA17" s="55" t="s">
        <v>272</v>
      </c>
      <c r="AB17" s="55" t="s">
        <v>273</v>
      </c>
      <c r="AC17" s="55" t="s">
        <v>272</v>
      </c>
      <c r="AD17" s="55" t="s">
        <v>273</v>
      </c>
      <c r="AE17" s="55" t="s">
        <v>272</v>
      </c>
      <c r="AF17" s="55" t="s">
        <v>273</v>
      </c>
      <c r="AG17" s="55" t="s">
        <v>272</v>
      </c>
      <c r="AH17" s="55" t="s">
        <v>273</v>
      </c>
      <c r="AI17" s="55" t="s">
        <v>272</v>
      </c>
      <c r="AJ17" s="55" t="s">
        <v>273</v>
      </c>
      <c r="AK17" s="55" t="s">
        <v>272</v>
      </c>
      <c r="AL17" s="55" t="s">
        <v>273</v>
      </c>
      <c r="AM17" s="55" t="s">
        <v>272</v>
      </c>
      <c r="AN17" s="55" t="s">
        <v>273</v>
      </c>
      <c r="AO17" s="55" t="s">
        <v>272</v>
      </c>
      <c r="AP17" s="55" t="s">
        <v>273</v>
      </c>
      <c r="AQ17" s="55" t="s">
        <v>272</v>
      </c>
      <c r="AR17" s="55" t="s">
        <v>273</v>
      </c>
      <c r="AS17" s="55" t="s">
        <v>272</v>
      </c>
      <c r="AT17" s="55" t="s">
        <v>273</v>
      </c>
      <c r="AU17" s="55" t="s">
        <v>272</v>
      </c>
      <c r="AV17" s="55" t="s">
        <v>273</v>
      </c>
      <c r="AW17" s="55" t="s">
        <v>272</v>
      </c>
      <c r="AX17" s="55" t="s">
        <v>273</v>
      </c>
      <c r="AY17" s="55" t="s">
        <v>272</v>
      </c>
      <c r="AZ17" s="55" t="s">
        <v>273</v>
      </c>
      <c r="CA17" s="55" t="s">
        <v>272</v>
      </c>
      <c r="CB17" s="55" t="s">
        <v>273</v>
      </c>
      <c r="CC17" s="55" t="s">
        <v>272</v>
      </c>
      <c r="CD17" s="55" t="s">
        <v>273</v>
      </c>
      <c r="CE17" s="55" t="s">
        <v>272</v>
      </c>
      <c r="CF17" s="55" t="s">
        <v>273</v>
      </c>
      <c r="CG17" s="55" t="s">
        <v>272</v>
      </c>
      <c r="CH17" s="55" t="s">
        <v>273</v>
      </c>
      <c r="CI17" s="55" t="s">
        <v>272</v>
      </c>
      <c r="CJ17" s="55" t="s">
        <v>273</v>
      </c>
      <c r="CK17" s="55" t="s">
        <v>272</v>
      </c>
      <c r="CL17" s="55" t="s">
        <v>273</v>
      </c>
      <c r="CM17" s="55" t="s">
        <v>272</v>
      </c>
      <c r="CN17" s="55" t="s">
        <v>273</v>
      </c>
      <c r="CO17" s="55" t="s">
        <v>272</v>
      </c>
      <c r="CP17" s="55" t="s">
        <v>273</v>
      </c>
      <c r="CQ17" s="55" t="s">
        <v>272</v>
      </c>
      <c r="CR17" s="55" t="s">
        <v>273</v>
      </c>
      <c r="CS17" s="55" t="s">
        <v>272</v>
      </c>
      <c r="CT17" s="55" t="s">
        <v>273</v>
      </c>
      <c r="CU17" s="55" t="s">
        <v>272</v>
      </c>
      <c r="CV17" s="55" t="s">
        <v>273</v>
      </c>
      <c r="CW17" s="55" t="s">
        <v>272</v>
      </c>
      <c r="CX17" s="55" t="s">
        <v>273</v>
      </c>
      <c r="CY17" s="55" t="s">
        <v>272</v>
      </c>
      <c r="CZ17" s="55" t="s">
        <v>273</v>
      </c>
      <c r="DA17" s="55" t="s">
        <v>272</v>
      </c>
      <c r="DB17" s="55" t="s">
        <v>273</v>
      </c>
      <c r="DC17" s="55" t="s">
        <v>272</v>
      </c>
      <c r="DD17" s="55" t="s">
        <v>273</v>
      </c>
      <c r="DE17" s="55" t="s">
        <v>272</v>
      </c>
      <c r="DF17" s="55" t="s">
        <v>273</v>
      </c>
      <c r="DG17" s="55" t="s">
        <v>272</v>
      </c>
      <c r="DH17" s="55" t="s">
        <v>273</v>
      </c>
      <c r="DI17" s="55" t="s">
        <v>272</v>
      </c>
      <c r="DJ17" s="55" t="s">
        <v>273</v>
      </c>
      <c r="DK17" s="55" t="s">
        <v>272</v>
      </c>
      <c r="DL17" s="55" t="s">
        <v>273</v>
      </c>
      <c r="DM17" s="55" t="s">
        <v>272</v>
      </c>
      <c r="DN17" s="55" t="s">
        <v>273</v>
      </c>
      <c r="DO17" s="55" t="s">
        <v>272</v>
      </c>
      <c r="DP17" s="55" t="s">
        <v>273</v>
      </c>
      <c r="DQ17" s="55" t="s">
        <v>272</v>
      </c>
      <c r="DR17" s="55" t="s">
        <v>273</v>
      </c>
      <c r="ER17" s="55"/>
      <c r="ES17" s="55" t="s">
        <v>272</v>
      </c>
      <c r="ET17" s="55" t="s">
        <v>273</v>
      </c>
      <c r="EU17" s="55" t="s">
        <v>272</v>
      </c>
      <c r="EV17" s="55" t="s">
        <v>273</v>
      </c>
      <c r="EW17" s="55" t="s">
        <v>272</v>
      </c>
      <c r="EX17" s="55" t="s">
        <v>273</v>
      </c>
      <c r="EY17" s="55" t="s">
        <v>272</v>
      </c>
      <c r="EZ17" s="55" t="s">
        <v>273</v>
      </c>
      <c r="FA17" s="55" t="s">
        <v>272</v>
      </c>
      <c r="FB17" s="55" t="s">
        <v>273</v>
      </c>
      <c r="FC17" s="55" t="s">
        <v>272</v>
      </c>
      <c r="FD17" s="55" t="s">
        <v>273</v>
      </c>
      <c r="FE17" s="55" t="s">
        <v>272</v>
      </c>
      <c r="FF17" s="55" t="s">
        <v>273</v>
      </c>
      <c r="FG17" s="55" t="s">
        <v>272</v>
      </c>
      <c r="FH17" s="55" t="s">
        <v>273</v>
      </c>
      <c r="FI17" s="55" t="s">
        <v>272</v>
      </c>
      <c r="FJ17" s="55" t="s">
        <v>273</v>
      </c>
      <c r="FK17" s="55" t="s">
        <v>272</v>
      </c>
      <c r="FL17" s="55" t="s">
        <v>273</v>
      </c>
      <c r="FM17" s="55" t="s">
        <v>272</v>
      </c>
      <c r="FN17" s="55" t="s">
        <v>273</v>
      </c>
      <c r="FO17" s="55" t="s">
        <v>272</v>
      </c>
      <c r="FP17" s="55" t="s">
        <v>273</v>
      </c>
      <c r="FQ17" s="55" t="s">
        <v>272</v>
      </c>
      <c r="FR17" s="55" t="s">
        <v>273</v>
      </c>
      <c r="FS17" s="55" t="s">
        <v>272</v>
      </c>
      <c r="FT17" s="55" t="s">
        <v>273</v>
      </c>
      <c r="FU17" s="55" t="s">
        <v>272</v>
      </c>
      <c r="FV17" s="55" t="s">
        <v>273</v>
      </c>
      <c r="FW17" s="55" t="s">
        <v>272</v>
      </c>
      <c r="FX17" s="55" t="s">
        <v>273</v>
      </c>
      <c r="FY17" s="55" t="s">
        <v>272</v>
      </c>
      <c r="FZ17" s="55" t="s">
        <v>273</v>
      </c>
      <c r="GA17" s="55" t="s">
        <v>272</v>
      </c>
      <c r="GB17" s="55" t="s">
        <v>273</v>
      </c>
      <c r="GC17" s="55" t="s">
        <v>272</v>
      </c>
      <c r="GD17" s="55" t="s">
        <v>273</v>
      </c>
      <c r="GE17" s="55" t="s">
        <v>272</v>
      </c>
      <c r="GF17" s="55" t="s">
        <v>273</v>
      </c>
      <c r="GG17" s="55" t="s">
        <v>272</v>
      </c>
      <c r="GH17" s="55" t="s">
        <v>273</v>
      </c>
      <c r="GI17" s="55" t="s">
        <v>272</v>
      </c>
      <c r="GJ17" s="55" t="s">
        <v>273</v>
      </c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</row>
    <row r="18" spans="1:216" x14ac:dyDescent="0.3">
      <c r="B18" s="2">
        <v>1</v>
      </c>
      <c r="C18" s="35" t="s">
        <v>111</v>
      </c>
      <c r="D18" s="41">
        <f>+D31</f>
        <v>10430</v>
      </c>
      <c r="E18" s="66">
        <f t="shared" ref="E18:E27" si="0">TRUNC(+D18*3.3058,-1)</f>
        <v>34470</v>
      </c>
      <c r="H18" s="55">
        <f>+E18*1.1</f>
        <v>37917</v>
      </c>
      <c r="I18" s="55">
        <f>+H18</f>
        <v>37917</v>
      </c>
      <c r="J18" s="59">
        <f>+I18*3.3058</f>
        <v>125346.0186</v>
      </c>
      <c r="K18" s="55">
        <f>+I18*BD18</f>
        <v>36779.49</v>
      </c>
      <c r="L18" s="59">
        <f>+K18*3.3058</f>
        <v>121585.63804199999</v>
      </c>
      <c r="M18" s="55">
        <f>+I18*BE18</f>
        <v>36021.15</v>
      </c>
      <c r="N18" s="59">
        <f>+M18*3.3058</f>
        <v>119078.71767000001</v>
      </c>
      <c r="O18" s="55">
        <f t="shared" ref="O18:O28" si="1">+I18*BF18</f>
        <v>35262.810000000005</v>
      </c>
      <c r="P18" s="59">
        <f>+O18*3.3058</f>
        <v>116571.79729800002</v>
      </c>
      <c r="Q18" s="57">
        <f t="shared" ref="Q18:Q28" si="2">+I18*BG18</f>
        <v>34504.47</v>
      </c>
      <c r="R18" s="59">
        <f>+Q18*3.3058</f>
        <v>114064.87692600001</v>
      </c>
      <c r="S18" s="55">
        <f t="shared" ref="S18:S28" si="3">+I18*BH18</f>
        <v>33746.129999999997</v>
      </c>
      <c r="T18" s="59">
        <f>+S18*3.3058</f>
        <v>111557.95655399999</v>
      </c>
      <c r="U18" s="57">
        <f t="shared" ref="U18:U28" si="4">+I18*BI18</f>
        <v>32987.79</v>
      </c>
      <c r="V18" s="59">
        <f>+U18*3.3058</f>
        <v>109051.03618200001</v>
      </c>
      <c r="W18" s="60">
        <f t="shared" ref="W18:W28" si="5">+I18*BJ18</f>
        <v>32229.45</v>
      </c>
      <c r="X18" s="59">
        <f>+W18*3.3058</f>
        <v>106544.11581</v>
      </c>
      <c r="Y18" s="57">
        <f t="shared" ref="Y18:Y28" si="6">+I18*BK18</f>
        <v>31471.109999999997</v>
      </c>
      <c r="Z18" s="59">
        <f>+Y18*3.3058</f>
        <v>104037.195438</v>
      </c>
      <c r="AA18" s="55">
        <f t="shared" ref="AA18:AA28" si="7">+I18*BL18</f>
        <v>30712.769999999997</v>
      </c>
      <c r="AB18" s="59">
        <f>+AA18*3.3058</f>
        <v>101530.27506599999</v>
      </c>
      <c r="AC18" s="60">
        <f t="shared" ref="AC18:AC28" si="8">+I18*BM18</f>
        <v>29954.429999999997</v>
      </c>
      <c r="AD18" s="59">
        <f>+AC18*3.3058</f>
        <v>99023.354693999994</v>
      </c>
      <c r="AE18" s="60">
        <f t="shared" ref="AE18:AE28" si="9">+I18*BN18</f>
        <v>29196.089999999997</v>
      </c>
      <c r="AF18" s="59">
        <f>+AE18*3.3058</f>
        <v>96516.434321999986</v>
      </c>
      <c r="AG18" s="60">
        <f t="shared" ref="AG18:AG28" si="10">+I18*BO18</f>
        <v>28437.749999999996</v>
      </c>
      <c r="AH18" s="59">
        <f>+AG18*3.3058</f>
        <v>94009.513949999993</v>
      </c>
      <c r="AI18" s="55">
        <f t="shared" ref="AI18:AI28" si="11">+I18*BP18</f>
        <v>27679.409999999996</v>
      </c>
      <c r="AJ18" s="59">
        <f>+AI18*3.3058</f>
        <v>91502.593577999985</v>
      </c>
      <c r="AK18" s="60">
        <f t="shared" ref="AK18:AK28" si="12">+I18*BQ18</f>
        <v>26921.069999999996</v>
      </c>
      <c r="AL18" s="59">
        <f>+AK18*3.3058</f>
        <v>88995.673205999992</v>
      </c>
      <c r="AM18" s="60">
        <f t="shared" ref="AM18:AM28" si="13">+I18*BR18</f>
        <v>26162.729999999992</v>
      </c>
      <c r="AN18" s="59">
        <f>+AM18*3.3058</f>
        <v>86488.75283399997</v>
      </c>
      <c r="AO18" s="60">
        <f t="shared" ref="AO18:AO28" si="14">+I18*BS18</f>
        <v>25404.389999999992</v>
      </c>
      <c r="AP18" s="59">
        <f>+AO18*3.3058</f>
        <v>83981.832461999977</v>
      </c>
      <c r="AQ18" s="60">
        <f t="shared" ref="AQ18:AQ28" si="15">+I18*BT18</f>
        <v>24646.049999999992</v>
      </c>
      <c r="AR18" s="59">
        <f>+AQ18*3.3058</f>
        <v>81474.912089999969</v>
      </c>
      <c r="AS18" s="55">
        <f t="shared" ref="AS18:AS28" si="16">+I18*BU18</f>
        <v>23887.709999999992</v>
      </c>
      <c r="AT18" s="59">
        <f>+AS18*3.3058</f>
        <v>78967.991717999976</v>
      </c>
      <c r="AU18" s="60">
        <f t="shared" ref="AU18:AU28" si="17">+I18*BV18</f>
        <v>23129.369999999992</v>
      </c>
      <c r="AV18" s="59">
        <f>+AU18*3.3058</f>
        <v>76461.071345999968</v>
      </c>
      <c r="AW18" s="60">
        <f t="shared" ref="AW18:AW28" si="18">+I18*BW18</f>
        <v>22371.029999999992</v>
      </c>
      <c r="AX18" s="59">
        <f>+AW18*3.3058</f>
        <v>73954.150973999975</v>
      </c>
      <c r="AY18" s="55">
        <f t="shared" ref="AY18:AY28" si="19">+I18*BX18</f>
        <v>21612.689999999991</v>
      </c>
      <c r="AZ18" s="59">
        <f>+AY18*3.3058</f>
        <v>71447.230601999967</v>
      </c>
      <c r="BC18" s="55">
        <v>1</v>
      </c>
      <c r="BD18" s="55">
        <v>0.97</v>
      </c>
      <c r="BE18" s="55">
        <v>0.95</v>
      </c>
      <c r="BF18" s="55">
        <v>0.93</v>
      </c>
      <c r="BG18" s="55">
        <f>+BF18-0.02</f>
        <v>0.91</v>
      </c>
      <c r="BH18" s="55">
        <f t="shared" ref="BH18:BX18" si="20">+BG18-0.02</f>
        <v>0.89</v>
      </c>
      <c r="BI18" s="55">
        <f t="shared" si="20"/>
        <v>0.87</v>
      </c>
      <c r="BJ18" s="55">
        <f t="shared" si="20"/>
        <v>0.85</v>
      </c>
      <c r="BK18" s="55">
        <f t="shared" si="20"/>
        <v>0.83</v>
      </c>
      <c r="BL18" s="55">
        <f t="shared" si="20"/>
        <v>0.80999999999999994</v>
      </c>
      <c r="BM18" s="55">
        <f t="shared" si="20"/>
        <v>0.78999999999999992</v>
      </c>
      <c r="BN18" s="55">
        <f t="shared" si="20"/>
        <v>0.76999999999999991</v>
      </c>
      <c r="BO18" s="55">
        <f t="shared" si="20"/>
        <v>0.74999999999999989</v>
      </c>
      <c r="BP18" s="55">
        <f t="shared" si="20"/>
        <v>0.72999999999999987</v>
      </c>
      <c r="BQ18" s="55">
        <f t="shared" si="20"/>
        <v>0.70999999999999985</v>
      </c>
      <c r="BR18" s="55">
        <f t="shared" si="20"/>
        <v>0.68999999999999984</v>
      </c>
      <c r="BS18" s="55">
        <f t="shared" si="20"/>
        <v>0.66999999999999982</v>
      </c>
      <c r="BT18" s="55">
        <f t="shared" si="20"/>
        <v>0.6499999999999998</v>
      </c>
      <c r="BU18" s="55">
        <f t="shared" si="20"/>
        <v>0.62999999999999978</v>
      </c>
      <c r="BV18" s="55">
        <f t="shared" si="20"/>
        <v>0.60999999999999976</v>
      </c>
      <c r="BW18" s="55">
        <f t="shared" si="20"/>
        <v>0.58999999999999975</v>
      </c>
      <c r="BX18" s="55">
        <f t="shared" si="20"/>
        <v>0.56999999999999973</v>
      </c>
      <c r="BZ18" s="55">
        <f>+H18*0.91</f>
        <v>34504.47</v>
      </c>
      <c r="CA18" s="55">
        <f>+BZ18</f>
        <v>34504.47</v>
      </c>
      <c r="CB18" s="59">
        <f>+CA18*3.3058</f>
        <v>114064.87692600001</v>
      </c>
      <c r="CC18" s="55">
        <f>+CA18*DV18</f>
        <v>33469.335899999998</v>
      </c>
      <c r="CD18" s="59">
        <f>+CC18*3.3058</f>
        <v>110642.93061821999</v>
      </c>
      <c r="CE18" s="55">
        <f>+CA18*DW18</f>
        <v>32779.246500000001</v>
      </c>
      <c r="CF18" s="59">
        <f>+CE18*3.3058</f>
        <v>108361.63307970001</v>
      </c>
      <c r="CG18" s="55">
        <f t="shared" ref="CG18:CG28" si="21">+CA18*DX18</f>
        <v>32089.157100000004</v>
      </c>
      <c r="CH18" s="59">
        <f>+CG18*3.3058</f>
        <v>106080.33554118001</v>
      </c>
      <c r="CI18" s="57">
        <f t="shared" ref="CI18:CI28" si="22">+CA18*DY18</f>
        <v>31399.067700000003</v>
      </c>
      <c r="CJ18" s="59">
        <f>+CI18*3.3058</f>
        <v>103799.03800266002</v>
      </c>
      <c r="CK18" s="55">
        <f t="shared" ref="CK18:CK28" si="23">+CA18*DZ18</f>
        <v>30708.978300000002</v>
      </c>
      <c r="CL18" s="59">
        <f>+CK18*3.3058</f>
        <v>101517.74046414001</v>
      </c>
      <c r="CM18" s="57">
        <f t="shared" ref="CM18:CM28" si="24">+CA18*EA18</f>
        <v>30018.888900000002</v>
      </c>
      <c r="CN18" s="59">
        <f>+CM18*3.3058</f>
        <v>99236.442925620009</v>
      </c>
      <c r="CO18" s="60">
        <f t="shared" ref="CO18:CO28" si="25">+CA18*EB18</f>
        <v>29328.799500000001</v>
      </c>
      <c r="CP18" s="59">
        <f>+CO18*3.3058</f>
        <v>96955.145387100012</v>
      </c>
      <c r="CQ18" s="57">
        <f t="shared" ref="CQ18:CQ28" si="26">+CA18*EC18</f>
        <v>28638.7101</v>
      </c>
      <c r="CR18" s="59">
        <f>+CQ18*3.3058</f>
        <v>94673.847848580001</v>
      </c>
      <c r="CS18" s="55">
        <f t="shared" ref="CS18:CS28" si="27">+CA18*ED18</f>
        <v>27948.620699999999</v>
      </c>
      <c r="CT18" s="59">
        <f>+CS18*3.3058</f>
        <v>92392.550310060004</v>
      </c>
      <c r="CU18" s="60">
        <f t="shared" ref="CU18:CU28" si="28">+CA18*EE18</f>
        <v>27258.531299999999</v>
      </c>
      <c r="CV18" s="59">
        <f>+CU18*3.3058</f>
        <v>90111.252771539992</v>
      </c>
      <c r="CW18" s="60">
        <f t="shared" ref="CW18:CW28" si="29">+CA18*EF18</f>
        <v>26568.441899999998</v>
      </c>
      <c r="CX18" s="59">
        <f>+CW18*3.3058</f>
        <v>87829.955233019995</v>
      </c>
      <c r="CY18" s="60">
        <f t="shared" ref="CY18:CY28" si="30">+CA18*EG18</f>
        <v>25878.352499999997</v>
      </c>
      <c r="CZ18" s="59">
        <f>+CY18*3.3058</f>
        <v>85548.657694499998</v>
      </c>
      <c r="DA18" s="55">
        <f t="shared" ref="DA18:DA28" si="31">+CA18*EH18</f>
        <v>25188.263099999996</v>
      </c>
      <c r="DB18" s="59">
        <f>+DA18*3.3058</f>
        <v>83267.360155979986</v>
      </c>
      <c r="DC18" s="60">
        <f t="shared" ref="DC18:DC28" si="32">+CA18*EI18</f>
        <v>24498.173699999996</v>
      </c>
      <c r="DD18" s="59">
        <f>+DC18*3.3058</f>
        <v>80986.062617459989</v>
      </c>
      <c r="DE18" s="60">
        <f t="shared" ref="DE18:DE28" si="33">+CA18*EJ18</f>
        <v>23808.084299999995</v>
      </c>
      <c r="DF18" s="59">
        <f>+DE18*3.3058</f>
        <v>78704.765078939992</v>
      </c>
      <c r="DG18" s="60">
        <f t="shared" ref="DG18:DG28" si="34">+CA18*EK18</f>
        <v>23117.994899999994</v>
      </c>
      <c r="DH18" s="59">
        <f>+DG18*3.3058</f>
        <v>76423.467540419981</v>
      </c>
      <c r="DI18" s="60">
        <f t="shared" ref="DI18:DI28" si="35">+CA18*EL18</f>
        <v>22427.905499999993</v>
      </c>
      <c r="DJ18" s="59">
        <f>+DI18*3.3058</f>
        <v>74142.170001899984</v>
      </c>
      <c r="DK18" s="55">
        <f t="shared" ref="DK18:DK28" si="36">+CA18*EM18</f>
        <v>21737.816099999993</v>
      </c>
      <c r="DL18" s="59">
        <f>+DK18*3.3058</f>
        <v>71860.872463379972</v>
      </c>
      <c r="DM18" s="60">
        <f t="shared" ref="DM18:DM28" si="37">+CA18*EN18</f>
        <v>21047.726699999992</v>
      </c>
      <c r="DN18" s="59">
        <f>+DM18*3.3058</f>
        <v>69579.574924859975</v>
      </c>
      <c r="DO18" s="60">
        <f t="shared" ref="DO18:DO28" si="38">+CA18*EO18</f>
        <v>20357.637299999991</v>
      </c>
      <c r="DP18" s="59">
        <f>+DO18*3.3058</f>
        <v>67298.277386339978</v>
      </c>
      <c r="DQ18" s="55">
        <f t="shared" ref="DQ18:DQ28" si="39">+CA18*EP18</f>
        <v>19667.54789999999</v>
      </c>
      <c r="DR18" s="59">
        <f>+DQ18*3.3058</f>
        <v>65016.979847819966</v>
      </c>
      <c r="DU18" s="55">
        <v>1</v>
      </c>
      <c r="DV18" s="55">
        <v>0.97</v>
      </c>
      <c r="DW18" s="55">
        <v>0.95</v>
      </c>
      <c r="DX18" s="55">
        <v>0.93</v>
      </c>
      <c r="DY18" s="55">
        <f>+DX18-0.02</f>
        <v>0.91</v>
      </c>
      <c r="DZ18" s="55">
        <f t="shared" ref="DZ18:EP18" si="40">+DY18-0.02</f>
        <v>0.89</v>
      </c>
      <c r="EA18" s="55">
        <f t="shared" si="40"/>
        <v>0.87</v>
      </c>
      <c r="EB18" s="55">
        <f t="shared" si="40"/>
        <v>0.85</v>
      </c>
      <c r="EC18" s="55">
        <f t="shared" si="40"/>
        <v>0.83</v>
      </c>
      <c r="ED18" s="55">
        <f t="shared" si="40"/>
        <v>0.80999999999999994</v>
      </c>
      <c r="EE18" s="55">
        <f t="shared" si="40"/>
        <v>0.78999999999999992</v>
      </c>
      <c r="EF18" s="55">
        <f t="shared" si="40"/>
        <v>0.76999999999999991</v>
      </c>
      <c r="EG18" s="55">
        <f t="shared" si="40"/>
        <v>0.74999999999999989</v>
      </c>
      <c r="EH18" s="55">
        <f t="shared" si="40"/>
        <v>0.72999999999999987</v>
      </c>
      <c r="EI18" s="55">
        <f t="shared" si="40"/>
        <v>0.70999999999999985</v>
      </c>
      <c r="EJ18" s="55">
        <f t="shared" si="40"/>
        <v>0.68999999999999984</v>
      </c>
      <c r="EK18" s="55">
        <f t="shared" si="40"/>
        <v>0.66999999999999982</v>
      </c>
      <c r="EL18" s="55">
        <f t="shared" si="40"/>
        <v>0.6499999999999998</v>
      </c>
      <c r="EM18" s="55">
        <f t="shared" si="40"/>
        <v>0.62999999999999978</v>
      </c>
      <c r="EN18" s="55">
        <f t="shared" si="40"/>
        <v>0.60999999999999976</v>
      </c>
      <c r="EO18" s="55">
        <f t="shared" si="40"/>
        <v>0.58999999999999975</v>
      </c>
      <c r="EP18" s="55">
        <f t="shared" si="40"/>
        <v>0.56999999999999973</v>
      </c>
      <c r="ER18" s="55">
        <f>+BZ18*0.91</f>
        <v>31399.067700000003</v>
      </c>
      <c r="ES18" s="55">
        <f>+ER18</f>
        <v>31399.067700000003</v>
      </c>
      <c r="ET18" s="59">
        <f>+ES18*3.3058</f>
        <v>103799.03800266002</v>
      </c>
      <c r="EU18" s="55">
        <f>+ES18*GN18</f>
        <v>30457.095669000002</v>
      </c>
      <c r="EV18" s="59">
        <f>+EU18*3.3058</f>
        <v>100685.06686258021</v>
      </c>
      <c r="EW18" s="55">
        <f>+ES18*GO18</f>
        <v>29829.114315000003</v>
      </c>
      <c r="EX18" s="59">
        <f>+EW18*3.3058</f>
        <v>98609.086102527013</v>
      </c>
      <c r="EY18" s="55">
        <f t="shared" ref="EY18:EY28" si="41">+ES18*GP18</f>
        <v>29201.132961000003</v>
      </c>
      <c r="EZ18" s="59">
        <f>+EY18*3.3058</f>
        <v>96533.105342473806</v>
      </c>
      <c r="FA18" s="57">
        <f t="shared" ref="FA18:FA28" si="42">+ES18*GQ18</f>
        <v>28573.151607000003</v>
      </c>
      <c r="FB18" s="59">
        <f>+FA18*3.3058</f>
        <v>94457.124582420613</v>
      </c>
      <c r="FC18" s="55">
        <f t="shared" ref="FC18:FC28" si="43">+ES18*GR18</f>
        <v>27945.170253000004</v>
      </c>
      <c r="FD18" s="59">
        <f>+FC18*3.3058</f>
        <v>92381.143822367419</v>
      </c>
      <c r="FE18" s="57">
        <f t="shared" ref="FE18:FE28" si="44">+ES18*GS18</f>
        <v>27317.188899000004</v>
      </c>
      <c r="FF18" s="59">
        <f>+FE18*3.3058</f>
        <v>90305.163062314212</v>
      </c>
      <c r="FG18" s="60">
        <f t="shared" ref="FG18:FG28" si="45">+ES18*GT18</f>
        <v>26689.207545000001</v>
      </c>
      <c r="FH18" s="59">
        <f>+FG18*3.3058</f>
        <v>88229.182302261004</v>
      </c>
      <c r="FI18" s="57">
        <f t="shared" ref="FI18:FI28" si="46">+ES18*GU18</f>
        <v>26061.226191000002</v>
      </c>
      <c r="FJ18" s="59">
        <f>+FI18*3.3058</f>
        <v>86153.201542207811</v>
      </c>
      <c r="FK18" s="55">
        <f t="shared" ref="FK18:FK28" si="47">+ES18*GV18</f>
        <v>25433.244837000002</v>
      </c>
      <c r="FL18" s="59">
        <f>+FK18*3.3058</f>
        <v>84077.220782154604</v>
      </c>
      <c r="FM18" s="60">
        <f t="shared" ref="FM18:FM28" si="48">+ES18*GW18</f>
        <v>24805.263482999999</v>
      </c>
      <c r="FN18" s="59">
        <f>+FM18*3.3058</f>
        <v>82001.240022101396</v>
      </c>
      <c r="FO18" s="60">
        <f t="shared" ref="FO18:FO28" si="49">+ES18*GX18</f>
        <v>24177.282128999999</v>
      </c>
      <c r="FP18" s="59">
        <f>+FO18*3.3058</f>
        <v>79925.259262048203</v>
      </c>
      <c r="FQ18" s="60">
        <f t="shared" ref="FQ18:FQ28" si="50">+ES18*GY18</f>
        <v>23549.300775</v>
      </c>
      <c r="FR18" s="59">
        <f>+FQ18*3.3058</f>
        <v>77849.278501994995</v>
      </c>
      <c r="FS18" s="55">
        <f t="shared" ref="FS18:FS28" si="51">+ES18*GZ18</f>
        <v>22921.319420999997</v>
      </c>
      <c r="FT18" s="59">
        <f>+FS18*3.3058</f>
        <v>75773.297741941788</v>
      </c>
      <c r="FU18" s="60">
        <f t="shared" ref="FU18:FU28" si="52">+ES18*HA18</f>
        <v>22293.338066999997</v>
      </c>
      <c r="FV18" s="59">
        <f>+FU18*3.3058</f>
        <v>73697.316981888594</v>
      </c>
      <c r="FW18" s="60">
        <f t="shared" ref="FW18:FW28" si="53">+ES18*HB18</f>
        <v>21665.356712999997</v>
      </c>
      <c r="FX18" s="59">
        <f>+FW18*3.3058</f>
        <v>71621.336221835387</v>
      </c>
      <c r="FY18" s="60">
        <f t="shared" ref="FY18:FY28" si="54">+ES18*HC18</f>
        <v>21037.375358999998</v>
      </c>
      <c r="FZ18" s="59">
        <f>+FY18*3.3058</f>
        <v>69545.355461782194</v>
      </c>
      <c r="GA18" s="60">
        <f t="shared" ref="GA18:GA28" si="55">+ES18*HD18</f>
        <v>20409.394004999995</v>
      </c>
      <c r="GB18" s="59">
        <f>+GA18*3.3058</f>
        <v>67469.374701728986</v>
      </c>
      <c r="GC18" s="55">
        <f t="shared" ref="GC18:GC28" si="56">+ES18*HE18</f>
        <v>19781.412650999995</v>
      </c>
      <c r="GD18" s="59">
        <f>+GC18*3.3058</f>
        <v>65393.393941675786</v>
      </c>
      <c r="GE18" s="60">
        <f t="shared" ref="GE18:GE28" si="57">+ES18*HF18</f>
        <v>19153.431296999996</v>
      </c>
      <c r="GF18" s="59">
        <f>+GE18*3.3058</f>
        <v>63317.413181622585</v>
      </c>
      <c r="GG18" s="60">
        <f t="shared" ref="GG18:GG28" si="58">+ES18*HG18</f>
        <v>18525.449942999992</v>
      </c>
      <c r="GH18" s="59">
        <f>+GG18*3.3058</f>
        <v>61241.432421569378</v>
      </c>
      <c r="GI18" s="55">
        <f t="shared" ref="GI18:GI28" si="59">+ES18*HH18</f>
        <v>17897.468588999993</v>
      </c>
      <c r="GJ18" s="59">
        <f>+GI18*3.3058</f>
        <v>59165.451661516177</v>
      </c>
      <c r="GK18" s="55"/>
      <c r="GL18" s="55"/>
      <c r="GM18" s="55">
        <v>1</v>
      </c>
      <c r="GN18" s="55">
        <v>0.97</v>
      </c>
      <c r="GO18" s="55">
        <v>0.95</v>
      </c>
      <c r="GP18" s="55">
        <v>0.93</v>
      </c>
      <c r="GQ18" s="55">
        <f>+GP18-0.02</f>
        <v>0.91</v>
      </c>
      <c r="GR18" s="55">
        <f t="shared" ref="GR18:HH18" si="60">+GQ18-0.02</f>
        <v>0.89</v>
      </c>
      <c r="GS18" s="55">
        <f t="shared" si="60"/>
        <v>0.87</v>
      </c>
      <c r="GT18" s="55">
        <f t="shared" si="60"/>
        <v>0.85</v>
      </c>
      <c r="GU18" s="55">
        <f t="shared" si="60"/>
        <v>0.83</v>
      </c>
      <c r="GV18" s="55">
        <f t="shared" si="60"/>
        <v>0.80999999999999994</v>
      </c>
      <c r="GW18" s="55">
        <f t="shared" si="60"/>
        <v>0.78999999999999992</v>
      </c>
      <c r="GX18" s="55">
        <f t="shared" si="60"/>
        <v>0.76999999999999991</v>
      </c>
      <c r="GY18" s="55">
        <f t="shared" si="60"/>
        <v>0.74999999999999989</v>
      </c>
      <c r="GZ18" s="55">
        <f t="shared" si="60"/>
        <v>0.72999999999999987</v>
      </c>
      <c r="HA18" s="55">
        <f t="shared" si="60"/>
        <v>0.70999999999999985</v>
      </c>
      <c r="HB18" s="55">
        <f t="shared" si="60"/>
        <v>0.68999999999999984</v>
      </c>
      <c r="HC18" s="55">
        <f t="shared" si="60"/>
        <v>0.66999999999999982</v>
      </c>
      <c r="HD18" s="55">
        <f t="shared" si="60"/>
        <v>0.6499999999999998</v>
      </c>
      <c r="HE18" s="55">
        <f t="shared" si="60"/>
        <v>0.62999999999999978</v>
      </c>
      <c r="HF18" s="55">
        <f t="shared" si="60"/>
        <v>0.60999999999999976</v>
      </c>
      <c r="HG18" s="55">
        <f t="shared" si="60"/>
        <v>0.58999999999999975</v>
      </c>
      <c r="HH18" s="55">
        <f t="shared" si="60"/>
        <v>0.56999999999999973</v>
      </c>
    </row>
    <row r="19" spans="1:216" x14ac:dyDescent="0.3">
      <c r="B19" s="2">
        <v>2</v>
      </c>
      <c r="C19" s="35" t="s">
        <v>112</v>
      </c>
      <c r="D19" s="45">
        <f>+D54</f>
        <v>764930</v>
      </c>
      <c r="E19" s="67">
        <f t="shared" si="0"/>
        <v>2528700</v>
      </c>
      <c r="H19" s="55">
        <f t="shared" ref="H19:H83" si="61">+E19*1.1</f>
        <v>2781570</v>
      </c>
      <c r="I19" s="55">
        <f t="shared" ref="I19:I83" si="62">+H19</f>
        <v>2781570</v>
      </c>
      <c r="J19" s="59">
        <f t="shared" ref="J19:J83" si="63">+I19*3.3058</f>
        <v>9195314.1060000006</v>
      </c>
      <c r="K19" s="55">
        <f t="shared" ref="K19:K28" si="64">+I19*BD19</f>
        <v>2698122.9</v>
      </c>
      <c r="L19" s="59">
        <f t="shared" ref="L19:L28" si="65">+K19*3.3058</f>
        <v>8919454.6828199998</v>
      </c>
      <c r="M19" s="55">
        <f t="shared" ref="M19:M28" si="66">+I19*BE19</f>
        <v>2642491.5</v>
      </c>
      <c r="N19" s="59">
        <f t="shared" ref="N19:N28" si="67">+M19*3.3058</f>
        <v>8735548.400700001</v>
      </c>
      <c r="O19" s="55">
        <f t="shared" si="1"/>
        <v>2586860.1</v>
      </c>
      <c r="P19" s="59">
        <f t="shared" ref="P19:P28" si="68">+O19*3.3058</f>
        <v>8551642.1185800005</v>
      </c>
      <c r="Q19" s="57">
        <f t="shared" si="2"/>
        <v>2531228.7000000002</v>
      </c>
      <c r="R19" s="59">
        <f t="shared" ref="R19:R28" si="69">+Q19*3.3058</f>
        <v>8367735.8364600008</v>
      </c>
      <c r="S19" s="55">
        <f t="shared" si="3"/>
        <v>2475597.2999999998</v>
      </c>
      <c r="T19" s="59">
        <f t="shared" ref="T19:T28" si="70">+S19*3.3058</f>
        <v>8183829.5543399993</v>
      </c>
      <c r="U19" s="57">
        <f t="shared" si="4"/>
        <v>2419965.9</v>
      </c>
      <c r="V19" s="59">
        <f t="shared" ref="V19:V28" si="71">+U19*3.3058</f>
        <v>7999923.2722199997</v>
      </c>
      <c r="W19" s="60">
        <f t="shared" si="5"/>
        <v>2364334.5</v>
      </c>
      <c r="X19" s="59">
        <f t="shared" ref="X19:X28" si="72">+W19*3.3058</f>
        <v>7816016.9901000001</v>
      </c>
      <c r="Y19" s="57">
        <f t="shared" si="6"/>
        <v>2308703.1</v>
      </c>
      <c r="Z19" s="59">
        <f t="shared" ref="Z19:Z28" si="73">+Y19*3.3058</f>
        <v>7632110.7079800004</v>
      </c>
      <c r="AA19" s="55">
        <f t="shared" si="7"/>
        <v>2253071.6999999997</v>
      </c>
      <c r="AB19" s="59">
        <f t="shared" ref="AB19:AB28" si="74">+AA19*3.3058</f>
        <v>7448204.4258599989</v>
      </c>
      <c r="AC19" s="60">
        <f t="shared" si="8"/>
        <v>2197440.2999999998</v>
      </c>
      <c r="AD19" s="59">
        <f t="shared" ref="AD19:AD28" si="75">+AC19*3.3058</f>
        <v>7264298.1437399993</v>
      </c>
      <c r="AE19" s="60">
        <f t="shared" si="9"/>
        <v>2141808.9</v>
      </c>
      <c r="AF19" s="59">
        <f t="shared" ref="AF19:AF28" si="76">+AE19*3.3058</f>
        <v>7080391.8616199996</v>
      </c>
      <c r="AG19" s="60">
        <f t="shared" si="10"/>
        <v>2086177.4999999998</v>
      </c>
      <c r="AH19" s="59">
        <f t="shared" ref="AH19:AH28" si="77">+AG19*3.3058</f>
        <v>6896485.5794999991</v>
      </c>
      <c r="AI19" s="55">
        <f t="shared" si="11"/>
        <v>2030546.0999999996</v>
      </c>
      <c r="AJ19" s="59">
        <f t="shared" ref="AJ19:AJ28" si="78">+AI19*3.3058</f>
        <v>6712579.2973799985</v>
      </c>
      <c r="AK19" s="60">
        <f t="shared" si="12"/>
        <v>1974914.6999999995</v>
      </c>
      <c r="AL19" s="59">
        <f t="shared" ref="AL19:AL28" si="79">+AK19*3.3058</f>
        <v>6528673.0152599989</v>
      </c>
      <c r="AM19" s="60">
        <f t="shared" si="13"/>
        <v>1919283.2999999996</v>
      </c>
      <c r="AN19" s="59">
        <f t="shared" ref="AN19:AN28" si="80">+AM19*3.3058</f>
        <v>6344766.7331399992</v>
      </c>
      <c r="AO19" s="60">
        <f t="shared" si="14"/>
        <v>1863651.8999999994</v>
      </c>
      <c r="AP19" s="59">
        <f t="shared" ref="AP19:AP28" si="81">+AO19*3.3058</f>
        <v>6160860.4510199986</v>
      </c>
      <c r="AQ19" s="60">
        <f t="shared" si="15"/>
        <v>1808020.4999999995</v>
      </c>
      <c r="AR19" s="59">
        <f t="shared" ref="AR19:AR28" si="82">+AQ19*3.3058</f>
        <v>5976954.168899999</v>
      </c>
      <c r="AS19" s="55">
        <f t="shared" si="16"/>
        <v>1752389.0999999994</v>
      </c>
      <c r="AT19" s="59">
        <f t="shared" ref="AT19:AT28" si="83">+AS19*3.3058</f>
        <v>5793047.8867799984</v>
      </c>
      <c r="AU19" s="60">
        <f t="shared" si="17"/>
        <v>1696757.6999999993</v>
      </c>
      <c r="AV19" s="59">
        <f t="shared" ref="AV19:AV28" si="84">+AU19*3.3058</f>
        <v>5609141.6046599979</v>
      </c>
      <c r="AW19" s="60">
        <f t="shared" si="18"/>
        <v>1641126.2999999993</v>
      </c>
      <c r="AX19" s="59">
        <f t="shared" ref="AX19:AX28" si="85">+AW19*3.3058</f>
        <v>5425235.3225399982</v>
      </c>
      <c r="AY19" s="55">
        <f t="shared" si="19"/>
        <v>1585494.8999999992</v>
      </c>
      <c r="AZ19" s="59">
        <f t="shared" ref="AZ19:AZ28" si="86">+AY19*3.3058</f>
        <v>5241329.0404199976</v>
      </c>
      <c r="BC19" s="55">
        <v>1</v>
      </c>
      <c r="BD19" s="55">
        <v>0.97</v>
      </c>
      <c r="BE19" s="55">
        <v>0.95</v>
      </c>
      <c r="BF19" s="55">
        <v>0.93</v>
      </c>
      <c r="BG19" s="55">
        <f t="shared" ref="BG19:BX28" si="87">+BF19-0.02</f>
        <v>0.91</v>
      </c>
      <c r="BH19" s="55">
        <f t="shared" si="87"/>
        <v>0.89</v>
      </c>
      <c r="BI19" s="55">
        <f t="shared" si="87"/>
        <v>0.87</v>
      </c>
      <c r="BJ19" s="55">
        <f t="shared" si="87"/>
        <v>0.85</v>
      </c>
      <c r="BK19" s="55">
        <f t="shared" si="87"/>
        <v>0.83</v>
      </c>
      <c r="BL19" s="55">
        <f t="shared" si="87"/>
        <v>0.80999999999999994</v>
      </c>
      <c r="BM19" s="55">
        <f t="shared" si="87"/>
        <v>0.78999999999999992</v>
      </c>
      <c r="BN19" s="55">
        <f t="shared" si="87"/>
        <v>0.76999999999999991</v>
      </c>
      <c r="BO19" s="55">
        <f t="shared" si="87"/>
        <v>0.74999999999999989</v>
      </c>
      <c r="BP19" s="55">
        <f t="shared" si="87"/>
        <v>0.72999999999999987</v>
      </c>
      <c r="BQ19" s="55">
        <f t="shared" si="87"/>
        <v>0.70999999999999985</v>
      </c>
      <c r="BR19" s="55">
        <f t="shared" si="87"/>
        <v>0.68999999999999984</v>
      </c>
      <c r="BS19" s="55">
        <f t="shared" si="87"/>
        <v>0.66999999999999982</v>
      </c>
      <c r="BT19" s="55">
        <f t="shared" si="87"/>
        <v>0.6499999999999998</v>
      </c>
      <c r="BU19" s="55">
        <f t="shared" si="87"/>
        <v>0.62999999999999978</v>
      </c>
      <c r="BV19" s="55">
        <f t="shared" si="87"/>
        <v>0.60999999999999976</v>
      </c>
      <c r="BW19" s="55">
        <f t="shared" si="87"/>
        <v>0.58999999999999975</v>
      </c>
      <c r="BX19" s="55">
        <f t="shared" si="87"/>
        <v>0.56999999999999973</v>
      </c>
      <c r="BZ19" s="55">
        <f t="shared" ref="BZ19:BZ83" si="88">+H19*0.91</f>
        <v>2531228.7000000002</v>
      </c>
      <c r="CA19" s="55">
        <f t="shared" ref="CA19:CA83" si="89">+BZ19</f>
        <v>2531228.7000000002</v>
      </c>
      <c r="CB19" s="59">
        <f t="shared" ref="CB19:CB28" si="90">+CA19*3.3058</f>
        <v>8367735.8364600008</v>
      </c>
      <c r="CC19" s="55">
        <f t="shared" ref="CC19:CC28" si="91">+CA19*DV19</f>
        <v>2455291.8390000002</v>
      </c>
      <c r="CD19" s="59">
        <f t="shared" ref="CD19:CD28" si="92">+CC19*3.3058</f>
        <v>8116703.7613662006</v>
      </c>
      <c r="CE19" s="55">
        <f t="shared" ref="CE19:CE28" si="93">+CA19*DW19</f>
        <v>2404667.2650000001</v>
      </c>
      <c r="CF19" s="59">
        <f t="shared" ref="CF19:CF28" si="94">+CE19*3.3058</f>
        <v>7949349.0446370002</v>
      </c>
      <c r="CG19" s="55">
        <f t="shared" si="21"/>
        <v>2354042.6910000001</v>
      </c>
      <c r="CH19" s="59">
        <f t="shared" ref="CH19:CH28" si="95">+CG19*3.3058</f>
        <v>7781994.3279078007</v>
      </c>
      <c r="CI19" s="57">
        <f t="shared" si="22"/>
        <v>2303418.1170000001</v>
      </c>
      <c r="CJ19" s="59">
        <f t="shared" ref="CJ19:CJ28" si="96">+CI19*3.3058</f>
        <v>7614639.6111786002</v>
      </c>
      <c r="CK19" s="55">
        <f t="shared" si="23"/>
        <v>2252793.5430000001</v>
      </c>
      <c r="CL19" s="59">
        <f t="shared" ref="CL19:CL28" si="97">+CK19*3.3058</f>
        <v>7447284.8944494007</v>
      </c>
      <c r="CM19" s="57">
        <f t="shared" si="24"/>
        <v>2202168.969</v>
      </c>
      <c r="CN19" s="59">
        <f t="shared" ref="CN19:CN28" si="98">+CM19*3.3058</f>
        <v>7279930.1777202003</v>
      </c>
      <c r="CO19" s="60">
        <f t="shared" si="25"/>
        <v>2151544.395</v>
      </c>
      <c r="CP19" s="59">
        <f t="shared" ref="CP19:CP28" si="99">+CO19*3.3058</f>
        <v>7112575.4609909998</v>
      </c>
      <c r="CQ19" s="57">
        <f t="shared" si="26"/>
        <v>2100919.821</v>
      </c>
      <c r="CR19" s="59">
        <f t="shared" ref="CR19:CR28" si="100">+CQ19*3.3058</f>
        <v>6945220.7442618003</v>
      </c>
      <c r="CS19" s="55">
        <f t="shared" si="27"/>
        <v>2050295.247</v>
      </c>
      <c r="CT19" s="59">
        <f t="shared" ref="CT19:CT28" si="101">+CS19*3.3058</f>
        <v>6777866.0275325999</v>
      </c>
      <c r="CU19" s="60">
        <f t="shared" si="28"/>
        <v>1999670.673</v>
      </c>
      <c r="CV19" s="59">
        <f t="shared" ref="CV19:CV28" si="102">+CU19*3.3058</f>
        <v>6610511.3108034004</v>
      </c>
      <c r="CW19" s="60">
        <f t="shared" si="29"/>
        <v>1949046.0989999999</v>
      </c>
      <c r="CX19" s="59">
        <f t="shared" ref="CX19:CX28" si="103">+CW19*3.3058</f>
        <v>6443156.5940741999</v>
      </c>
      <c r="CY19" s="60">
        <f t="shared" si="30"/>
        <v>1898421.5249999999</v>
      </c>
      <c r="CZ19" s="59">
        <f t="shared" ref="CZ19:CZ28" si="104">+CY19*3.3058</f>
        <v>6275801.8773449995</v>
      </c>
      <c r="DA19" s="55">
        <f t="shared" si="31"/>
        <v>1847796.9509999999</v>
      </c>
      <c r="DB19" s="59">
        <f t="shared" ref="DB19:DB28" si="105">+DA19*3.3058</f>
        <v>6108447.1606157999</v>
      </c>
      <c r="DC19" s="60">
        <f t="shared" si="32"/>
        <v>1797172.3769999999</v>
      </c>
      <c r="DD19" s="59">
        <f t="shared" ref="DD19:DD28" si="106">+DC19*3.3058</f>
        <v>5941092.4438865995</v>
      </c>
      <c r="DE19" s="60">
        <f t="shared" si="33"/>
        <v>1746547.8029999996</v>
      </c>
      <c r="DF19" s="59">
        <f t="shared" ref="DF19:DF28" si="107">+DE19*3.3058</f>
        <v>5773737.7271573991</v>
      </c>
      <c r="DG19" s="60">
        <f t="shared" si="34"/>
        <v>1695923.2289999996</v>
      </c>
      <c r="DH19" s="59">
        <f t="shared" ref="DH19:DH28" si="108">+DG19*3.3058</f>
        <v>5606383.0104281986</v>
      </c>
      <c r="DI19" s="60">
        <f t="shared" si="35"/>
        <v>1645298.6549999996</v>
      </c>
      <c r="DJ19" s="59">
        <f t="shared" ref="DJ19:DJ28" si="109">+DI19*3.3058</f>
        <v>5439028.2936989991</v>
      </c>
      <c r="DK19" s="55">
        <f t="shared" si="36"/>
        <v>1594674.0809999995</v>
      </c>
      <c r="DL19" s="59">
        <f t="shared" ref="DL19:DL28" si="110">+DK19*3.3058</f>
        <v>5271673.5769697987</v>
      </c>
      <c r="DM19" s="60">
        <f t="shared" si="37"/>
        <v>1544049.5069999995</v>
      </c>
      <c r="DN19" s="59">
        <f t="shared" ref="DN19:DN28" si="111">+DM19*3.3058</f>
        <v>5104318.8602405982</v>
      </c>
      <c r="DO19" s="60">
        <f t="shared" si="38"/>
        <v>1493424.9329999995</v>
      </c>
      <c r="DP19" s="59">
        <f t="shared" ref="DP19:DP28" si="112">+DO19*3.3058</f>
        <v>4936964.1435113987</v>
      </c>
      <c r="DQ19" s="55">
        <f t="shared" si="39"/>
        <v>1442800.3589999995</v>
      </c>
      <c r="DR19" s="59">
        <f t="shared" ref="DR19:DR28" si="113">+DQ19*3.3058</f>
        <v>4769609.4267821983</v>
      </c>
      <c r="DU19" s="55">
        <v>1</v>
      </c>
      <c r="DV19" s="55">
        <v>0.97</v>
      </c>
      <c r="DW19" s="55">
        <v>0.95</v>
      </c>
      <c r="DX19" s="55">
        <v>0.93</v>
      </c>
      <c r="DY19" s="55">
        <f t="shared" ref="DY19:EP33" si="114">+DX19-0.02</f>
        <v>0.91</v>
      </c>
      <c r="DZ19" s="55">
        <f t="shared" si="114"/>
        <v>0.89</v>
      </c>
      <c r="EA19" s="55">
        <f t="shared" si="114"/>
        <v>0.87</v>
      </c>
      <c r="EB19" s="55">
        <f t="shared" si="114"/>
        <v>0.85</v>
      </c>
      <c r="EC19" s="55">
        <f t="shared" si="114"/>
        <v>0.83</v>
      </c>
      <c r="ED19" s="55">
        <f t="shared" si="114"/>
        <v>0.80999999999999994</v>
      </c>
      <c r="EE19" s="55">
        <f t="shared" si="114"/>
        <v>0.78999999999999992</v>
      </c>
      <c r="EF19" s="55">
        <f t="shared" si="114"/>
        <v>0.76999999999999991</v>
      </c>
      <c r="EG19" s="55">
        <f t="shared" si="114"/>
        <v>0.74999999999999989</v>
      </c>
      <c r="EH19" s="55">
        <f t="shared" si="114"/>
        <v>0.72999999999999987</v>
      </c>
      <c r="EI19" s="55">
        <f t="shared" si="114"/>
        <v>0.70999999999999985</v>
      </c>
      <c r="EJ19" s="55">
        <f t="shared" si="114"/>
        <v>0.68999999999999984</v>
      </c>
      <c r="EK19" s="55">
        <f t="shared" si="114"/>
        <v>0.66999999999999982</v>
      </c>
      <c r="EL19" s="55">
        <f t="shared" si="114"/>
        <v>0.6499999999999998</v>
      </c>
      <c r="EM19" s="55">
        <f t="shared" si="114"/>
        <v>0.62999999999999978</v>
      </c>
      <c r="EN19" s="55">
        <f t="shared" si="114"/>
        <v>0.60999999999999976</v>
      </c>
      <c r="EO19" s="55">
        <f t="shared" si="114"/>
        <v>0.58999999999999975</v>
      </c>
      <c r="EP19" s="55">
        <f t="shared" si="114"/>
        <v>0.56999999999999973</v>
      </c>
      <c r="ER19" s="55">
        <f t="shared" ref="ER19:ER26" si="115">+BZ19*0.91</f>
        <v>2303418.1170000001</v>
      </c>
      <c r="ES19" s="55">
        <f t="shared" ref="ES19:ES83" si="116">+ER19</f>
        <v>2303418.1170000001</v>
      </c>
      <c r="ET19" s="59">
        <f t="shared" ref="ET19:ET28" si="117">+ES19*3.3058</f>
        <v>7614639.6111786002</v>
      </c>
      <c r="EU19" s="55">
        <f t="shared" ref="EU19:EU28" si="118">+ES19*GN19</f>
        <v>2234315.5734899999</v>
      </c>
      <c r="EV19" s="59">
        <f t="shared" ref="EV19:EV28" si="119">+EU19*3.3058</f>
        <v>7386200.4228432421</v>
      </c>
      <c r="EW19" s="55">
        <f t="shared" ref="EW19:EW28" si="120">+ES19*GO19</f>
        <v>2188247.2111499999</v>
      </c>
      <c r="EX19" s="59">
        <f t="shared" ref="EX19:EX28" si="121">+EW19*3.3058</f>
        <v>7233907.6306196693</v>
      </c>
      <c r="EY19" s="55">
        <f t="shared" si="41"/>
        <v>2142178.8488100003</v>
      </c>
      <c r="EZ19" s="59">
        <f t="shared" ref="EZ19:EZ28" si="122">+EY19*3.3058</f>
        <v>7081614.8383960994</v>
      </c>
      <c r="FA19" s="57">
        <f t="shared" si="42"/>
        <v>2096110.4864700001</v>
      </c>
      <c r="FB19" s="59">
        <f t="shared" ref="FB19:FB28" si="123">+FA19*3.3058</f>
        <v>6929322.0461725267</v>
      </c>
      <c r="FC19" s="55">
        <f t="shared" si="43"/>
        <v>2050042.1241300001</v>
      </c>
      <c r="FD19" s="59">
        <f t="shared" ref="FD19:FD28" si="124">+FC19*3.3058</f>
        <v>6777029.2539489549</v>
      </c>
      <c r="FE19" s="57">
        <f t="shared" si="44"/>
        <v>2003973.7617900001</v>
      </c>
      <c r="FF19" s="59">
        <f t="shared" ref="FF19:FF28" si="125">+FE19*3.3058</f>
        <v>6624736.4617253821</v>
      </c>
      <c r="FG19" s="60">
        <f t="shared" si="45"/>
        <v>1957905.3994499999</v>
      </c>
      <c r="FH19" s="59">
        <f t="shared" ref="FH19:FH28" si="126">+FG19*3.3058</f>
        <v>6472443.6695018094</v>
      </c>
      <c r="FI19" s="57">
        <f t="shared" si="46"/>
        <v>1911837.0371099999</v>
      </c>
      <c r="FJ19" s="59">
        <f t="shared" ref="FJ19:FJ28" si="127">+FI19*3.3058</f>
        <v>6320150.8772782376</v>
      </c>
      <c r="FK19" s="55">
        <f t="shared" si="47"/>
        <v>1865768.6747699999</v>
      </c>
      <c r="FL19" s="59">
        <f t="shared" ref="FL19:FL28" si="128">+FK19*3.3058</f>
        <v>6167858.0850546658</v>
      </c>
      <c r="FM19" s="60">
        <f t="shared" si="48"/>
        <v>1819700.3124299999</v>
      </c>
      <c r="FN19" s="59">
        <f t="shared" ref="FN19:FN28" si="129">+FM19*3.3058</f>
        <v>6015565.292831094</v>
      </c>
      <c r="FO19" s="60">
        <f t="shared" si="49"/>
        <v>1773631.9500899999</v>
      </c>
      <c r="FP19" s="59">
        <f t="shared" ref="FP19:FP28" si="130">+FO19*3.3058</f>
        <v>5863272.5006075222</v>
      </c>
      <c r="FQ19" s="60">
        <f t="shared" si="50"/>
        <v>1727563.5877499997</v>
      </c>
      <c r="FR19" s="59">
        <f t="shared" ref="FR19:FR28" si="131">+FQ19*3.3058</f>
        <v>5710979.7083839495</v>
      </c>
      <c r="FS19" s="55">
        <f t="shared" si="51"/>
        <v>1681495.2254099997</v>
      </c>
      <c r="FT19" s="59">
        <f t="shared" ref="FT19:FT28" si="132">+FS19*3.3058</f>
        <v>5558686.9161603767</v>
      </c>
      <c r="FU19" s="60">
        <f t="shared" si="52"/>
        <v>1635426.8630699997</v>
      </c>
      <c r="FV19" s="59">
        <f t="shared" ref="FV19:FV28" si="133">+FU19*3.3058</f>
        <v>5406394.1239368049</v>
      </c>
      <c r="FW19" s="60">
        <f t="shared" si="53"/>
        <v>1589358.5007299997</v>
      </c>
      <c r="FX19" s="59">
        <f t="shared" ref="FX19:FX28" si="134">+FW19*3.3058</f>
        <v>5254101.3317132331</v>
      </c>
      <c r="FY19" s="60">
        <f t="shared" si="54"/>
        <v>1543290.1383899997</v>
      </c>
      <c r="FZ19" s="59">
        <f t="shared" ref="FZ19:FZ28" si="135">+FY19*3.3058</f>
        <v>5101808.5394896613</v>
      </c>
      <c r="GA19" s="60">
        <f t="shared" si="55"/>
        <v>1497221.7760499995</v>
      </c>
      <c r="GB19" s="59">
        <f t="shared" ref="GB19:GB28" si="136">+GA19*3.3058</f>
        <v>4949515.7472660886</v>
      </c>
      <c r="GC19" s="55">
        <f t="shared" si="56"/>
        <v>1451153.4137099995</v>
      </c>
      <c r="GD19" s="59">
        <f t="shared" ref="GD19:GD28" si="137">+GC19*3.3058</f>
        <v>4797222.9550425168</v>
      </c>
      <c r="GE19" s="60">
        <f t="shared" si="57"/>
        <v>1405085.0513699995</v>
      </c>
      <c r="GF19" s="59">
        <f t="shared" ref="GF19:GF28" si="138">+GE19*3.3058</f>
        <v>4644930.162818945</v>
      </c>
      <c r="GG19" s="60">
        <f t="shared" si="58"/>
        <v>1359016.6890299995</v>
      </c>
      <c r="GH19" s="59">
        <f t="shared" ref="GH19:GH28" si="139">+GG19*3.3058</f>
        <v>4492637.3705953723</v>
      </c>
      <c r="GI19" s="55">
        <f t="shared" si="59"/>
        <v>1312948.3266899993</v>
      </c>
      <c r="GJ19" s="59">
        <f t="shared" ref="GJ19:GJ28" si="140">+GI19*3.3058</f>
        <v>4340344.5783717996</v>
      </c>
      <c r="GK19" s="55"/>
      <c r="GL19" s="55"/>
      <c r="GM19" s="55">
        <v>1</v>
      </c>
      <c r="GN19" s="55">
        <v>0.97</v>
      </c>
      <c r="GO19" s="55">
        <v>0.95</v>
      </c>
      <c r="GP19" s="55">
        <v>0.93</v>
      </c>
      <c r="GQ19" s="55">
        <f t="shared" ref="GQ19:HH33" si="141">+GP19-0.02</f>
        <v>0.91</v>
      </c>
      <c r="GR19" s="55">
        <f t="shared" si="141"/>
        <v>0.89</v>
      </c>
      <c r="GS19" s="55">
        <f t="shared" si="141"/>
        <v>0.87</v>
      </c>
      <c r="GT19" s="55">
        <f t="shared" si="141"/>
        <v>0.85</v>
      </c>
      <c r="GU19" s="55">
        <f t="shared" si="141"/>
        <v>0.83</v>
      </c>
      <c r="GV19" s="55">
        <f t="shared" si="141"/>
        <v>0.80999999999999994</v>
      </c>
      <c r="GW19" s="55">
        <f t="shared" si="141"/>
        <v>0.78999999999999992</v>
      </c>
      <c r="GX19" s="55">
        <f t="shared" si="141"/>
        <v>0.76999999999999991</v>
      </c>
      <c r="GY19" s="55">
        <f t="shared" si="141"/>
        <v>0.74999999999999989</v>
      </c>
      <c r="GZ19" s="55">
        <f t="shared" si="141"/>
        <v>0.72999999999999987</v>
      </c>
      <c r="HA19" s="55">
        <f t="shared" si="141"/>
        <v>0.70999999999999985</v>
      </c>
      <c r="HB19" s="55">
        <f t="shared" si="141"/>
        <v>0.68999999999999984</v>
      </c>
      <c r="HC19" s="55">
        <f t="shared" si="141"/>
        <v>0.66999999999999982</v>
      </c>
      <c r="HD19" s="55">
        <f t="shared" si="141"/>
        <v>0.6499999999999998</v>
      </c>
      <c r="HE19" s="55">
        <f t="shared" si="141"/>
        <v>0.62999999999999978</v>
      </c>
      <c r="HF19" s="55">
        <f t="shared" si="141"/>
        <v>0.60999999999999976</v>
      </c>
      <c r="HG19" s="55">
        <f t="shared" si="141"/>
        <v>0.58999999999999975</v>
      </c>
      <c r="HH19" s="55">
        <f t="shared" si="141"/>
        <v>0.56999999999999973</v>
      </c>
    </row>
    <row r="20" spans="1:216" x14ac:dyDescent="0.3">
      <c r="B20" s="2">
        <v>3</v>
      </c>
      <c r="C20" s="35" t="s">
        <v>96</v>
      </c>
      <c r="D20" s="45">
        <f>+D60</f>
        <v>123200</v>
      </c>
      <c r="E20" s="67">
        <f t="shared" si="0"/>
        <v>407270</v>
      </c>
      <c r="H20" s="55">
        <f t="shared" si="61"/>
        <v>447997.00000000006</v>
      </c>
      <c r="I20" s="55">
        <f t="shared" si="62"/>
        <v>447997.00000000006</v>
      </c>
      <c r="J20" s="59">
        <f t="shared" si="63"/>
        <v>1480988.4826000002</v>
      </c>
      <c r="K20" s="55">
        <f t="shared" si="64"/>
        <v>434557.09</v>
      </c>
      <c r="L20" s="59">
        <f t="shared" si="65"/>
        <v>1436558.8281220002</v>
      </c>
      <c r="M20" s="55">
        <f t="shared" si="66"/>
        <v>425597.15</v>
      </c>
      <c r="N20" s="59">
        <f t="shared" si="67"/>
        <v>1406939.05847</v>
      </c>
      <c r="O20" s="55">
        <f t="shared" si="1"/>
        <v>416637.21000000008</v>
      </c>
      <c r="P20" s="59">
        <f t="shared" si="68"/>
        <v>1377319.2888180004</v>
      </c>
      <c r="Q20" s="57">
        <f t="shared" si="2"/>
        <v>407677.27000000008</v>
      </c>
      <c r="R20" s="59">
        <f t="shared" si="69"/>
        <v>1347699.5191660002</v>
      </c>
      <c r="S20" s="55">
        <f t="shared" si="3"/>
        <v>398717.33000000007</v>
      </c>
      <c r="T20" s="59">
        <f t="shared" si="70"/>
        <v>1318079.7495140003</v>
      </c>
      <c r="U20" s="57">
        <f t="shared" si="4"/>
        <v>389757.39000000007</v>
      </c>
      <c r="V20" s="59">
        <f t="shared" si="71"/>
        <v>1288459.9798620003</v>
      </c>
      <c r="W20" s="60">
        <f t="shared" si="5"/>
        <v>380797.45</v>
      </c>
      <c r="X20" s="59">
        <f t="shared" si="72"/>
        <v>1258840.2102100002</v>
      </c>
      <c r="Y20" s="57">
        <f t="shared" si="6"/>
        <v>371837.51</v>
      </c>
      <c r="Z20" s="59">
        <f t="shared" si="73"/>
        <v>1229220.440558</v>
      </c>
      <c r="AA20" s="55">
        <f t="shared" si="7"/>
        <v>362877.57</v>
      </c>
      <c r="AB20" s="59">
        <f t="shared" si="74"/>
        <v>1199600.6709060001</v>
      </c>
      <c r="AC20" s="60">
        <f t="shared" si="8"/>
        <v>353917.63</v>
      </c>
      <c r="AD20" s="59">
        <f t="shared" si="75"/>
        <v>1169980.9012540001</v>
      </c>
      <c r="AE20" s="60">
        <f t="shared" si="9"/>
        <v>344957.69</v>
      </c>
      <c r="AF20" s="59">
        <f t="shared" si="76"/>
        <v>1140361.131602</v>
      </c>
      <c r="AG20" s="60">
        <f t="shared" si="10"/>
        <v>335997.75</v>
      </c>
      <c r="AH20" s="59">
        <f t="shared" si="77"/>
        <v>1110741.36195</v>
      </c>
      <c r="AI20" s="55">
        <f t="shared" si="11"/>
        <v>327037.81</v>
      </c>
      <c r="AJ20" s="59">
        <f t="shared" si="78"/>
        <v>1081121.5922980001</v>
      </c>
      <c r="AK20" s="60">
        <f t="shared" si="12"/>
        <v>318077.87</v>
      </c>
      <c r="AL20" s="59">
        <f t="shared" si="79"/>
        <v>1051501.822646</v>
      </c>
      <c r="AM20" s="60">
        <f t="shared" si="13"/>
        <v>309117.93</v>
      </c>
      <c r="AN20" s="59">
        <f t="shared" si="80"/>
        <v>1021882.052994</v>
      </c>
      <c r="AO20" s="60">
        <f t="shared" si="14"/>
        <v>300157.98999999993</v>
      </c>
      <c r="AP20" s="59">
        <f t="shared" si="81"/>
        <v>992262.28334199975</v>
      </c>
      <c r="AQ20" s="60">
        <f t="shared" si="15"/>
        <v>291198.04999999993</v>
      </c>
      <c r="AR20" s="59">
        <f t="shared" si="82"/>
        <v>962642.51368999982</v>
      </c>
      <c r="AS20" s="55">
        <f t="shared" si="16"/>
        <v>282238.10999999993</v>
      </c>
      <c r="AT20" s="59">
        <f t="shared" si="83"/>
        <v>933022.74403799977</v>
      </c>
      <c r="AU20" s="60">
        <f t="shared" si="17"/>
        <v>273278.16999999993</v>
      </c>
      <c r="AV20" s="59">
        <f t="shared" si="84"/>
        <v>903402.97438599973</v>
      </c>
      <c r="AW20" s="60">
        <f t="shared" si="18"/>
        <v>264318.22999999992</v>
      </c>
      <c r="AX20" s="59">
        <f t="shared" si="85"/>
        <v>873783.2047339998</v>
      </c>
      <c r="AY20" s="55">
        <f t="shared" si="19"/>
        <v>255358.28999999992</v>
      </c>
      <c r="AZ20" s="59">
        <f t="shared" si="86"/>
        <v>844163.43508199975</v>
      </c>
      <c r="BC20" s="55">
        <v>1</v>
      </c>
      <c r="BD20" s="55">
        <v>0.97</v>
      </c>
      <c r="BE20" s="55">
        <v>0.95</v>
      </c>
      <c r="BF20" s="55">
        <v>0.93</v>
      </c>
      <c r="BG20" s="55">
        <f t="shared" si="87"/>
        <v>0.91</v>
      </c>
      <c r="BH20" s="55">
        <f t="shared" si="87"/>
        <v>0.89</v>
      </c>
      <c r="BI20" s="55">
        <f t="shared" si="87"/>
        <v>0.87</v>
      </c>
      <c r="BJ20" s="55">
        <f t="shared" si="87"/>
        <v>0.85</v>
      </c>
      <c r="BK20" s="55">
        <f t="shared" si="87"/>
        <v>0.83</v>
      </c>
      <c r="BL20" s="55">
        <f t="shared" si="87"/>
        <v>0.80999999999999994</v>
      </c>
      <c r="BM20" s="55">
        <f t="shared" si="87"/>
        <v>0.78999999999999992</v>
      </c>
      <c r="BN20" s="55">
        <f t="shared" si="87"/>
        <v>0.76999999999999991</v>
      </c>
      <c r="BO20" s="55">
        <f t="shared" si="87"/>
        <v>0.74999999999999989</v>
      </c>
      <c r="BP20" s="55">
        <f t="shared" si="87"/>
        <v>0.72999999999999987</v>
      </c>
      <c r="BQ20" s="55">
        <f t="shared" si="87"/>
        <v>0.70999999999999985</v>
      </c>
      <c r="BR20" s="55">
        <f t="shared" si="87"/>
        <v>0.68999999999999984</v>
      </c>
      <c r="BS20" s="55">
        <f t="shared" si="87"/>
        <v>0.66999999999999982</v>
      </c>
      <c r="BT20" s="55">
        <f t="shared" si="87"/>
        <v>0.6499999999999998</v>
      </c>
      <c r="BU20" s="55">
        <f t="shared" si="87"/>
        <v>0.62999999999999978</v>
      </c>
      <c r="BV20" s="55">
        <f t="shared" si="87"/>
        <v>0.60999999999999976</v>
      </c>
      <c r="BW20" s="55">
        <f t="shared" si="87"/>
        <v>0.58999999999999975</v>
      </c>
      <c r="BX20" s="55">
        <f t="shared" si="87"/>
        <v>0.56999999999999973</v>
      </c>
      <c r="BZ20" s="55">
        <f t="shared" si="88"/>
        <v>407677.27000000008</v>
      </c>
      <c r="CA20" s="55">
        <f t="shared" si="89"/>
        <v>407677.27000000008</v>
      </c>
      <c r="CB20" s="59">
        <f t="shared" si="90"/>
        <v>1347699.5191660002</v>
      </c>
      <c r="CC20" s="55">
        <f t="shared" si="91"/>
        <v>395446.95190000004</v>
      </c>
      <c r="CD20" s="59">
        <f t="shared" si="92"/>
        <v>1307268.5335910202</v>
      </c>
      <c r="CE20" s="55">
        <f t="shared" si="93"/>
        <v>387293.40650000004</v>
      </c>
      <c r="CF20" s="59">
        <f t="shared" si="94"/>
        <v>1280314.5432077001</v>
      </c>
      <c r="CG20" s="55">
        <f t="shared" si="21"/>
        <v>379139.8611000001</v>
      </c>
      <c r="CH20" s="59">
        <f t="shared" si="95"/>
        <v>1253360.5528243803</v>
      </c>
      <c r="CI20" s="57">
        <f t="shared" si="22"/>
        <v>370986.31570000009</v>
      </c>
      <c r="CJ20" s="59">
        <f t="shared" si="96"/>
        <v>1226406.5624410603</v>
      </c>
      <c r="CK20" s="55">
        <f t="shared" si="23"/>
        <v>362832.77030000009</v>
      </c>
      <c r="CL20" s="59">
        <f t="shared" si="97"/>
        <v>1199452.5720577403</v>
      </c>
      <c r="CM20" s="57">
        <f t="shared" si="24"/>
        <v>354679.22490000009</v>
      </c>
      <c r="CN20" s="59">
        <f t="shared" si="98"/>
        <v>1172498.5816744203</v>
      </c>
      <c r="CO20" s="60">
        <f t="shared" si="25"/>
        <v>346525.67950000003</v>
      </c>
      <c r="CP20" s="59">
        <f t="shared" si="99"/>
        <v>1145544.5912911</v>
      </c>
      <c r="CQ20" s="57">
        <f t="shared" si="26"/>
        <v>338372.13410000002</v>
      </c>
      <c r="CR20" s="59">
        <f t="shared" si="100"/>
        <v>1118590.60090778</v>
      </c>
      <c r="CS20" s="55">
        <f t="shared" si="27"/>
        <v>330218.58870000002</v>
      </c>
      <c r="CT20" s="59">
        <f t="shared" si="101"/>
        <v>1091636.6105244602</v>
      </c>
      <c r="CU20" s="60">
        <f t="shared" si="28"/>
        <v>322065.04330000002</v>
      </c>
      <c r="CV20" s="59">
        <f t="shared" si="102"/>
        <v>1064682.6201411402</v>
      </c>
      <c r="CW20" s="60">
        <f t="shared" si="29"/>
        <v>313911.49790000002</v>
      </c>
      <c r="CX20" s="59">
        <f t="shared" si="103"/>
        <v>1037728.62975782</v>
      </c>
      <c r="CY20" s="60">
        <f t="shared" si="30"/>
        <v>305757.95250000001</v>
      </c>
      <c r="CZ20" s="59">
        <f t="shared" si="104"/>
        <v>1010774.6393745</v>
      </c>
      <c r="DA20" s="55">
        <f t="shared" si="31"/>
        <v>297604.40710000001</v>
      </c>
      <c r="DB20" s="59">
        <f t="shared" si="105"/>
        <v>983820.64899118</v>
      </c>
      <c r="DC20" s="60">
        <f t="shared" si="32"/>
        <v>289450.86170000001</v>
      </c>
      <c r="DD20" s="59">
        <f t="shared" si="106"/>
        <v>956866.6586078601</v>
      </c>
      <c r="DE20" s="60">
        <f t="shared" si="33"/>
        <v>281297.31630000001</v>
      </c>
      <c r="DF20" s="59">
        <f t="shared" si="107"/>
        <v>929912.66822454007</v>
      </c>
      <c r="DG20" s="60">
        <f t="shared" si="34"/>
        <v>273143.7709</v>
      </c>
      <c r="DH20" s="59">
        <f t="shared" si="108"/>
        <v>902958.67784122005</v>
      </c>
      <c r="DI20" s="60">
        <f t="shared" si="35"/>
        <v>264990.22549999994</v>
      </c>
      <c r="DJ20" s="59">
        <f t="shared" si="109"/>
        <v>876004.6874578998</v>
      </c>
      <c r="DK20" s="55">
        <f t="shared" si="36"/>
        <v>256836.68009999997</v>
      </c>
      <c r="DL20" s="59">
        <f t="shared" si="110"/>
        <v>849050.69707457989</v>
      </c>
      <c r="DM20" s="60">
        <f t="shared" si="37"/>
        <v>248683.13469999994</v>
      </c>
      <c r="DN20" s="59">
        <f t="shared" si="111"/>
        <v>822096.70669125975</v>
      </c>
      <c r="DO20" s="60">
        <f t="shared" si="38"/>
        <v>240529.58929999993</v>
      </c>
      <c r="DP20" s="59">
        <f t="shared" si="112"/>
        <v>795142.71630793985</v>
      </c>
      <c r="DQ20" s="55">
        <f t="shared" si="39"/>
        <v>232376.04389999993</v>
      </c>
      <c r="DR20" s="59">
        <f t="shared" si="113"/>
        <v>768188.72592461982</v>
      </c>
      <c r="DU20" s="55">
        <v>1</v>
      </c>
      <c r="DV20" s="55">
        <v>0.97</v>
      </c>
      <c r="DW20" s="55">
        <v>0.95</v>
      </c>
      <c r="DX20" s="55">
        <v>0.93</v>
      </c>
      <c r="DY20" s="55">
        <f t="shared" si="114"/>
        <v>0.91</v>
      </c>
      <c r="DZ20" s="55">
        <f t="shared" si="114"/>
        <v>0.89</v>
      </c>
      <c r="EA20" s="55">
        <f t="shared" si="114"/>
        <v>0.87</v>
      </c>
      <c r="EB20" s="55">
        <f t="shared" si="114"/>
        <v>0.85</v>
      </c>
      <c r="EC20" s="55">
        <f t="shared" si="114"/>
        <v>0.83</v>
      </c>
      <c r="ED20" s="55">
        <f t="shared" si="114"/>
        <v>0.80999999999999994</v>
      </c>
      <c r="EE20" s="55">
        <f t="shared" si="114"/>
        <v>0.78999999999999992</v>
      </c>
      <c r="EF20" s="55">
        <f t="shared" si="114"/>
        <v>0.76999999999999991</v>
      </c>
      <c r="EG20" s="55">
        <f t="shared" si="114"/>
        <v>0.74999999999999989</v>
      </c>
      <c r="EH20" s="55">
        <f t="shared" si="114"/>
        <v>0.72999999999999987</v>
      </c>
      <c r="EI20" s="55">
        <f t="shared" si="114"/>
        <v>0.70999999999999985</v>
      </c>
      <c r="EJ20" s="55">
        <f t="shared" si="114"/>
        <v>0.68999999999999984</v>
      </c>
      <c r="EK20" s="55">
        <f t="shared" si="114"/>
        <v>0.66999999999999982</v>
      </c>
      <c r="EL20" s="55">
        <f t="shared" si="114"/>
        <v>0.6499999999999998</v>
      </c>
      <c r="EM20" s="55">
        <f t="shared" si="114"/>
        <v>0.62999999999999978</v>
      </c>
      <c r="EN20" s="55">
        <f t="shared" si="114"/>
        <v>0.60999999999999976</v>
      </c>
      <c r="EO20" s="55">
        <f t="shared" si="114"/>
        <v>0.58999999999999975</v>
      </c>
      <c r="EP20" s="55">
        <f t="shared" si="114"/>
        <v>0.56999999999999973</v>
      </c>
      <c r="ER20" s="55">
        <f t="shared" si="115"/>
        <v>370986.31570000009</v>
      </c>
      <c r="ES20" s="55">
        <f t="shared" si="116"/>
        <v>370986.31570000009</v>
      </c>
      <c r="ET20" s="59">
        <f t="shared" si="117"/>
        <v>1226406.5624410603</v>
      </c>
      <c r="EU20" s="55">
        <f t="shared" si="118"/>
        <v>359856.72622900008</v>
      </c>
      <c r="EV20" s="59">
        <f t="shared" si="119"/>
        <v>1189614.3655678285</v>
      </c>
      <c r="EW20" s="55">
        <f t="shared" si="120"/>
        <v>352436.99991500005</v>
      </c>
      <c r="EX20" s="59">
        <f t="shared" si="121"/>
        <v>1165086.2343190073</v>
      </c>
      <c r="EY20" s="55">
        <f t="shared" si="41"/>
        <v>345017.27360100008</v>
      </c>
      <c r="EZ20" s="59">
        <f t="shared" si="122"/>
        <v>1140558.103070186</v>
      </c>
      <c r="FA20" s="57">
        <f t="shared" si="42"/>
        <v>337597.54728700011</v>
      </c>
      <c r="FB20" s="59">
        <f t="shared" si="123"/>
        <v>1116029.9718213649</v>
      </c>
      <c r="FC20" s="55">
        <f t="shared" si="43"/>
        <v>330177.82097300008</v>
      </c>
      <c r="FD20" s="59">
        <f t="shared" si="124"/>
        <v>1091501.8405725437</v>
      </c>
      <c r="FE20" s="57">
        <f t="shared" si="44"/>
        <v>322758.09465900005</v>
      </c>
      <c r="FF20" s="59">
        <f t="shared" si="125"/>
        <v>1066973.7093237224</v>
      </c>
      <c r="FG20" s="60">
        <f t="shared" si="45"/>
        <v>315338.36834500008</v>
      </c>
      <c r="FH20" s="59">
        <f t="shared" si="126"/>
        <v>1042445.5780749012</v>
      </c>
      <c r="FI20" s="57">
        <f t="shared" si="46"/>
        <v>307918.64203100005</v>
      </c>
      <c r="FJ20" s="59">
        <f t="shared" si="127"/>
        <v>1017917.44682608</v>
      </c>
      <c r="FK20" s="55">
        <f t="shared" si="47"/>
        <v>300498.91571700008</v>
      </c>
      <c r="FL20" s="59">
        <f t="shared" si="128"/>
        <v>993389.31557725894</v>
      </c>
      <c r="FM20" s="60">
        <f t="shared" si="48"/>
        <v>293079.18940300005</v>
      </c>
      <c r="FN20" s="59">
        <f t="shared" si="129"/>
        <v>968861.18432843755</v>
      </c>
      <c r="FO20" s="60">
        <f t="shared" si="49"/>
        <v>285659.46308900003</v>
      </c>
      <c r="FP20" s="59">
        <f t="shared" si="130"/>
        <v>944333.05307961628</v>
      </c>
      <c r="FQ20" s="60">
        <f t="shared" si="50"/>
        <v>278239.73677500006</v>
      </c>
      <c r="FR20" s="59">
        <f t="shared" si="131"/>
        <v>919804.92183079524</v>
      </c>
      <c r="FS20" s="55">
        <f t="shared" si="51"/>
        <v>270820.01046100003</v>
      </c>
      <c r="FT20" s="59">
        <f t="shared" si="132"/>
        <v>895276.79058197385</v>
      </c>
      <c r="FU20" s="60">
        <f t="shared" si="52"/>
        <v>263400.284147</v>
      </c>
      <c r="FV20" s="59">
        <f t="shared" si="133"/>
        <v>870748.65933315258</v>
      </c>
      <c r="FW20" s="60">
        <f t="shared" si="53"/>
        <v>255980.557833</v>
      </c>
      <c r="FX20" s="59">
        <f t="shared" si="134"/>
        <v>846220.52808433142</v>
      </c>
      <c r="FY20" s="60">
        <f t="shared" si="54"/>
        <v>248560.831519</v>
      </c>
      <c r="FZ20" s="59">
        <f t="shared" si="135"/>
        <v>821692.39683551027</v>
      </c>
      <c r="GA20" s="60">
        <f t="shared" si="55"/>
        <v>241141.105205</v>
      </c>
      <c r="GB20" s="59">
        <f t="shared" si="136"/>
        <v>797164.265586689</v>
      </c>
      <c r="GC20" s="55">
        <f t="shared" si="56"/>
        <v>233721.37889099997</v>
      </c>
      <c r="GD20" s="59">
        <f t="shared" si="137"/>
        <v>772636.13433786773</v>
      </c>
      <c r="GE20" s="60">
        <f t="shared" si="57"/>
        <v>226301.65257699997</v>
      </c>
      <c r="GF20" s="59">
        <f t="shared" si="138"/>
        <v>748108.00308904657</v>
      </c>
      <c r="GG20" s="60">
        <f t="shared" si="58"/>
        <v>218881.92626299997</v>
      </c>
      <c r="GH20" s="59">
        <f t="shared" si="139"/>
        <v>723579.8718402253</v>
      </c>
      <c r="GI20" s="55">
        <f t="shared" si="59"/>
        <v>211462.19994899994</v>
      </c>
      <c r="GJ20" s="59">
        <f t="shared" si="140"/>
        <v>699051.74059140403</v>
      </c>
      <c r="GK20" s="55"/>
      <c r="GL20" s="55"/>
      <c r="GM20" s="55">
        <v>1</v>
      </c>
      <c r="GN20" s="55">
        <v>0.97</v>
      </c>
      <c r="GO20" s="55">
        <v>0.95</v>
      </c>
      <c r="GP20" s="55">
        <v>0.93</v>
      </c>
      <c r="GQ20" s="55">
        <f t="shared" si="141"/>
        <v>0.91</v>
      </c>
      <c r="GR20" s="55">
        <f t="shared" si="141"/>
        <v>0.89</v>
      </c>
      <c r="GS20" s="55">
        <f t="shared" si="141"/>
        <v>0.87</v>
      </c>
      <c r="GT20" s="55">
        <f t="shared" si="141"/>
        <v>0.85</v>
      </c>
      <c r="GU20" s="55">
        <f t="shared" si="141"/>
        <v>0.83</v>
      </c>
      <c r="GV20" s="55">
        <f t="shared" si="141"/>
        <v>0.80999999999999994</v>
      </c>
      <c r="GW20" s="55">
        <f t="shared" si="141"/>
        <v>0.78999999999999992</v>
      </c>
      <c r="GX20" s="55">
        <f t="shared" si="141"/>
        <v>0.76999999999999991</v>
      </c>
      <c r="GY20" s="55">
        <f t="shared" si="141"/>
        <v>0.74999999999999989</v>
      </c>
      <c r="GZ20" s="55">
        <f t="shared" si="141"/>
        <v>0.72999999999999987</v>
      </c>
      <c r="HA20" s="55">
        <f t="shared" si="141"/>
        <v>0.70999999999999985</v>
      </c>
      <c r="HB20" s="55">
        <f t="shared" si="141"/>
        <v>0.68999999999999984</v>
      </c>
      <c r="HC20" s="55">
        <f t="shared" si="141"/>
        <v>0.66999999999999982</v>
      </c>
      <c r="HD20" s="55">
        <f t="shared" si="141"/>
        <v>0.6499999999999998</v>
      </c>
      <c r="HE20" s="55">
        <f t="shared" si="141"/>
        <v>0.62999999999999978</v>
      </c>
      <c r="HF20" s="55">
        <f t="shared" si="141"/>
        <v>0.60999999999999976</v>
      </c>
      <c r="HG20" s="55">
        <f t="shared" si="141"/>
        <v>0.58999999999999975</v>
      </c>
      <c r="HH20" s="55">
        <f t="shared" si="141"/>
        <v>0.56999999999999973</v>
      </c>
    </row>
    <row r="21" spans="1:216" x14ac:dyDescent="0.3">
      <c r="B21" s="2">
        <v>4</v>
      </c>
      <c r="C21" s="35" t="s">
        <v>97</v>
      </c>
      <c r="D21" s="45">
        <f>+D89</f>
        <v>306880</v>
      </c>
      <c r="E21" s="67">
        <f t="shared" si="0"/>
        <v>1014480</v>
      </c>
      <c r="H21" s="55">
        <f t="shared" si="61"/>
        <v>1115928</v>
      </c>
      <c r="I21" s="55">
        <f t="shared" si="62"/>
        <v>1115928</v>
      </c>
      <c r="J21" s="59">
        <f t="shared" si="63"/>
        <v>3689034.7823999999</v>
      </c>
      <c r="K21" s="55">
        <f t="shared" si="64"/>
        <v>1082450.1599999999</v>
      </c>
      <c r="L21" s="59">
        <f t="shared" si="65"/>
        <v>3578363.738928</v>
      </c>
      <c r="M21" s="55">
        <f t="shared" si="66"/>
        <v>1060131.5999999999</v>
      </c>
      <c r="N21" s="59">
        <f t="shared" si="67"/>
        <v>3504583.0432799994</v>
      </c>
      <c r="O21" s="55">
        <f t="shared" si="1"/>
        <v>1037813.04</v>
      </c>
      <c r="P21" s="59">
        <f t="shared" si="68"/>
        <v>3430802.3476320002</v>
      </c>
      <c r="Q21" s="57">
        <f t="shared" si="2"/>
        <v>1015494.48</v>
      </c>
      <c r="R21" s="59">
        <f t="shared" si="69"/>
        <v>3357021.6519840001</v>
      </c>
      <c r="S21" s="55">
        <f t="shared" si="3"/>
        <v>993175.92</v>
      </c>
      <c r="T21" s="59">
        <f t="shared" si="70"/>
        <v>3283240.956336</v>
      </c>
      <c r="U21" s="57">
        <f t="shared" si="4"/>
        <v>970857.36</v>
      </c>
      <c r="V21" s="59">
        <f t="shared" si="71"/>
        <v>3209460.2606879999</v>
      </c>
      <c r="W21" s="60">
        <f t="shared" si="5"/>
        <v>948538.79999999993</v>
      </c>
      <c r="X21" s="59">
        <f t="shared" si="72"/>
        <v>3135679.5650399998</v>
      </c>
      <c r="Y21" s="57">
        <f t="shared" si="6"/>
        <v>926220.24</v>
      </c>
      <c r="Z21" s="59">
        <f t="shared" si="73"/>
        <v>3061898.8693920001</v>
      </c>
      <c r="AA21" s="55">
        <f t="shared" si="7"/>
        <v>903901.67999999993</v>
      </c>
      <c r="AB21" s="59">
        <f t="shared" si="74"/>
        <v>2988118.173744</v>
      </c>
      <c r="AC21" s="60">
        <f t="shared" si="8"/>
        <v>881583.11999999988</v>
      </c>
      <c r="AD21" s="59">
        <f t="shared" si="75"/>
        <v>2914337.4780959995</v>
      </c>
      <c r="AE21" s="60">
        <f t="shared" si="9"/>
        <v>859264.55999999994</v>
      </c>
      <c r="AF21" s="59">
        <f t="shared" si="76"/>
        <v>2840556.7824479998</v>
      </c>
      <c r="AG21" s="60">
        <f t="shared" si="10"/>
        <v>836945.99999999988</v>
      </c>
      <c r="AH21" s="59">
        <f t="shared" si="77"/>
        <v>2766776.0867999997</v>
      </c>
      <c r="AI21" s="55">
        <f t="shared" si="11"/>
        <v>814627.43999999983</v>
      </c>
      <c r="AJ21" s="59">
        <f t="shared" si="78"/>
        <v>2692995.3911519996</v>
      </c>
      <c r="AK21" s="60">
        <f t="shared" si="12"/>
        <v>792308.87999999989</v>
      </c>
      <c r="AL21" s="59">
        <f t="shared" si="79"/>
        <v>2619214.6955039995</v>
      </c>
      <c r="AM21" s="60">
        <f t="shared" si="13"/>
        <v>769990.31999999983</v>
      </c>
      <c r="AN21" s="59">
        <f t="shared" si="80"/>
        <v>2545433.9998559994</v>
      </c>
      <c r="AO21" s="60">
        <f t="shared" si="14"/>
        <v>747671.75999999978</v>
      </c>
      <c r="AP21" s="59">
        <f t="shared" si="81"/>
        <v>2471653.3042079993</v>
      </c>
      <c r="AQ21" s="60">
        <f t="shared" si="15"/>
        <v>725353.19999999972</v>
      </c>
      <c r="AR21" s="59">
        <f t="shared" si="82"/>
        <v>2397872.6085599991</v>
      </c>
      <c r="AS21" s="55">
        <f t="shared" si="16"/>
        <v>703034.63999999978</v>
      </c>
      <c r="AT21" s="59">
        <f t="shared" si="83"/>
        <v>2324091.9129119995</v>
      </c>
      <c r="AU21" s="60">
        <f t="shared" si="17"/>
        <v>680716.07999999973</v>
      </c>
      <c r="AV21" s="59">
        <f t="shared" si="84"/>
        <v>2250311.2172639989</v>
      </c>
      <c r="AW21" s="60">
        <f t="shared" si="18"/>
        <v>658397.51999999967</v>
      </c>
      <c r="AX21" s="59">
        <f t="shared" si="85"/>
        <v>2176530.5216159988</v>
      </c>
      <c r="AY21" s="55">
        <f t="shared" si="19"/>
        <v>636078.95999999973</v>
      </c>
      <c r="AZ21" s="59">
        <f t="shared" si="86"/>
        <v>2102749.8259679992</v>
      </c>
      <c r="BC21" s="55">
        <v>1</v>
      </c>
      <c r="BD21" s="55">
        <v>0.97</v>
      </c>
      <c r="BE21" s="55">
        <v>0.95</v>
      </c>
      <c r="BF21" s="55">
        <v>0.93</v>
      </c>
      <c r="BG21" s="55">
        <f t="shared" si="87"/>
        <v>0.91</v>
      </c>
      <c r="BH21" s="55">
        <f t="shared" si="87"/>
        <v>0.89</v>
      </c>
      <c r="BI21" s="55">
        <f t="shared" si="87"/>
        <v>0.87</v>
      </c>
      <c r="BJ21" s="55">
        <f t="shared" si="87"/>
        <v>0.85</v>
      </c>
      <c r="BK21" s="55">
        <f t="shared" si="87"/>
        <v>0.83</v>
      </c>
      <c r="BL21" s="55">
        <f t="shared" si="87"/>
        <v>0.80999999999999994</v>
      </c>
      <c r="BM21" s="55">
        <f t="shared" si="87"/>
        <v>0.78999999999999992</v>
      </c>
      <c r="BN21" s="55">
        <f t="shared" si="87"/>
        <v>0.76999999999999991</v>
      </c>
      <c r="BO21" s="55">
        <f t="shared" si="87"/>
        <v>0.74999999999999989</v>
      </c>
      <c r="BP21" s="55">
        <f t="shared" si="87"/>
        <v>0.72999999999999987</v>
      </c>
      <c r="BQ21" s="55">
        <f t="shared" si="87"/>
        <v>0.70999999999999985</v>
      </c>
      <c r="BR21" s="55">
        <f t="shared" si="87"/>
        <v>0.68999999999999984</v>
      </c>
      <c r="BS21" s="55">
        <f t="shared" si="87"/>
        <v>0.66999999999999982</v>
      </c>
      <c r="BT21" s="55">
        <f t="shared" si="87"/>
        <v>0.6499999999999998</v>
      </c>
      <c r="BU21" s="55">
        <f t="shared" si="87"/>
        <v>0.62999999999999978</v>
      </c>
      <c r="BV21" s="55">
        <f t="shared" si="87"/>
        <v>0.60999999999999976</v>
      </c>
      <c r="BW21" s="55">
        <f t="shared" si="87"/>
        <v>0.58999999999999975</v>
      </c>
      <c r="BX21" s="55">
        <f t="shared" si="87"/>
        <v>0.56999999999999973</v>
      </c>
      <c r="BZ21" s="55">
        <f t="shared" si="88"/>
        <v>1015494.48</v>
      </c>
      <c r="CA21" s="55">
        <f t="shared" si="89"/>
        <v>1015494.48</v>
      </c>
      <c r="CB21" s="59">
        <f t="shared" si="90"/>
        <v>3357021.6519840001</v>
      </c>
      <c r="CC21" s="55">
        <f t="shared" si="91"/>
        <v>985029.64559999993</v>
      </c>
      <c r="CD21" s="59">
        <f t="shared" si="92"/>
        <v>3256311.0024244799</v>
      </c>
      <c r="CE21" s="55">
        <f t="shared" si="93"/>
        <v>964719.75599999994</v>
      </c>
      <c r="CF21" s="59">
        <f t="shared" si="94"/>
        <v>3189170.5693847998</v>
      </c>
      <c r="CG21" s="55">
        <f t="shared" si="21"/>
        <v>944409.86640000006</v>
      </c>
      <c r="CH21" s="59">
        <f t="shared" si="95"/>
        <v>3122030.1363451201</v>
      </c>
      <c r="CI21" s="57">
        <f t="shared" si="22"/>
        <v>924099.97680000006</v>
      </c>
      <c r="CJ21" s="59">
        <f t="shared" si="96"/>
        <v>3054889.7033054405</v>
      </c>
      <c r="CK21" s="55">
        <f t="shared" si="23"/>
        <v>903790.08719999995</v>
      </c>
      <c r="CL21" s="59">
        <f t="shared" si="97"/>
        <v>2987749.2702657599</v>
      </c>
      <c r="CM21" s="57">
        <f t="shared" si="24"/>
        <v>883480.19759999996</v>
      </c>
      <c r="CN21" s="59">
        <f t="shared" si="98"/>
        <v>2920608.8372260798</v>
      </c>
      <c r="CO21" s="60">
        <f t="shared" si="25"/>
        <v>863170.30799999996</v>
      </c>
      <c r="CP21" s="59">
        <f t="shared" si="99"/>
        <v>2853468.4041864001</v>
      </c>
      <c r="CQ21" s="57">
        <f t="shared" si="26"/>
        <v>842860.41839999997</v>
      </c>
      <c r="CR21" s="59">
        <f t="shared" si="100"/>
        <v>2786327.97114672</v>
      </c>
      <c r="CS21" s="55">
        <f t="shared" si="27"/>
        <v>822550.52879999997</v>
      </c>
      <c r="CT21" s="59">
        <f t="shared" si="101"/>
        <v>2719187.5381070399</v>
      </c>
      <c r="CU21" s="60">
        <f t="shared" si="28"/>
        <v>802240.63919999986</v>
      </c>
      <c r="CV21" s="59">
        <f t="shared" si="102"/>
        <v>2652047.1050673597</v>
      </c>
      <c r="CW21" s="60">
        <f t="shared" si="29"/>
        <v>781930.74959999986</v>
      </c>
      <c r="CX21" s="59">
        <f t="shared" si="103"/>
        <v>2584906.6720276796</v>
      </c>
      <c r="CY21" s="60">
        <f t="shared" si="30"/>
        <v>761620.85999999987</v>
      </c>
      <c r="CZ21" s="59">
        <f t="shared" si="104"/>
        <v>2517766.2389879995</v>
      </c>
      <c r="DA21" s="55">
        <f t="shared" si="31"/>
        <v>741310.97039999987</v>
      </c>
      <c r="DB21" s="59">
        <f t="shared" si="105"/>
        <v>2450625.8059483198</v>
      </c>
      <c r="DC21" s="60">
        <f t="shared" si="32"/>
        <v>721001.08079999988</v>
      </c>
      <c r="DD21" s="59">
        <f t="shared" si="106"/>
        <v>2383485.3729086397</v>
      </c>
      <c r="DE21" s="60">
        <f t="shared" si="33"/>
        <v>700691.19119999977</v>
      </c>
      <c r="DF21" s="59">
        <f t="shared" si="107"/>
        <v>2316344.9398689591</v>
      </c>
      <c r="DG21" s="60">
        <f t="shared" si="34"/>
        <v>680381.30159999977</v>
      </c>
      <c r="DH21" s="59">
        <f t="shared" si="108"/>
        <v>2249204.5068292795</v>
      </c>
      <c r="DI21" s="60">
        <f t="shared" si="35"/>
        <v>660071.41199999978</v>
      </c>
      <c r="DJ21" s="59">
        <f t="shared" si="109"/>
        <v>2182064.0737895994</v>
      </c>
      <c r="DK21" s="55">
        <f t="shared" si="36"/>
        <v>639761.52239999978</v>
      </c>
      <c r="DL21" s="59">
        <f t="shared" si="110"/>
        <v>2114923.6407499192</v>
      </c>
      <c r="DM21" s="60">
        <f t="shared" si="37"/>
        <v>619451.63279999979</v>
      </c>
      <c r="DN21" s="59">
        <f t="shared" si="111"/>
        <v>2047783.2077102393</v>
      </c>
      <c r="DO21" s="60">
        <f t="shared" si="38"/>
        <v>599141.74319999968</v>
      </c>
      <c r="DP21" s="59">
        <f t="shared" si="112"/>
        <v>1980642.774670559</v>
      </c>
      <c r="DQ21" s="55">
        <f t="shared" si="39"/>
        <v>578831.85359999968</v>
      </c>
      <c r="DR21" s="59">
        <f t="shared" si="113"/>
        <v>1913502.3416308791</v>
      </c>
      <c r="DU21" s="55">
        <v>1</v>
      </c>
      <c r="DV21" s="55">
        <v>0.97</v>
      </c>
      <c r="DW21" s="55">
        <v>0.95</v>
      </c>
      <c r="DX21" s="55">
        <v>0.93</v>
      </c>
      <c r="DY21" s="55">
        <f t="shared" si="114"/>
        <v>0.91</v>
      </c>
      <c r="DZ21" s="55">
        <f t="shared" si="114"/>
        <v>0.89</v>
      </c>
      <c r="EA21" s="55">
        <f t="shared" si="114"/>
        <v>0.87</v>
      </c>
      <c r="EB21" s="55">
        <f t="shared" si="114"/>
        <v>0.85</v>
      </c>
      <c r="EC21" s="55">
        <f t="shared" si="114"/>
        <v>0.83</v>
      </c>
      <c r="ED21" s="55">
        <f t="shared" si="114"/>
        <v>0.80999999999999994</v>
      </c>
      <c r="EE21" s="55">
        <f t="shared" si="114"/>
        <v>0.78999999999999992</v>
      </c>
      <c r="EF21" s="55">
        <f t="shared" si="114"/>
        <v>0.76999999999999991</v>
      </c>
      <c r="EG21" s="55">
        <f t="shared" si="114"/>
        <v>0.74999999999999989</v>
      </c>
      <c r="EH21" s="55">
        <f t="shared" si="114"/>
        <v>0.72999999999999987</v>
      </c>
      <c r="EI21" s="55">
        <f t="shared" si="114"/>
        <v>0.70999999999999985</v>
      </c>
      <c r="EJ21" s="55">
        <f t="shared" si="114"/>
        <v>0.68999999999999984</v>
      </c>
      <c r="EK21" s="55">
        <f t="shared" si="114"/>
        <v>0.66999999999999982</v>
      </c>
      <c r="EL21" s="55">
        <f t="shared" si="114"/>
        <v>0.6499999999999998</v>
      </c>
      <c r="EM21" s="55">
        <f t="shared" si="114"/>
        <v>0.62999999999999978</v>
      </c>
      <c r="EN21" s="55">
        <f t="shared" si="114"/>
        <v>0.60999999999999976</v>
      </c>
      <c r="EO21" s="55">
        <f t="shared" si="114"/>
        <v>0.58999999999999975</v>
      </c>
      <c r="EP21" s="55">
        <f t="shared" si="114"/>
        <v>0.56999999999999973</v>
      </c>
      <c r="ER21" s="55">
        <f t="shared" si="115"/>
        <v>924099.97680000006</v>
      </c>
      <c r="ES21" s="55">
        <f t="shared" si="116"/>
        <v>924099.97680000006</v>
      </c>
      <c r="ET21" s="59">
        <f t="shared" si="117"/>
        <v>3054889.7033054405</v>
      </c>
      <c r="EU21" s="55">
        <f t="shared" si="118"/>
        <v>896376.97749600001</v>
      </c>
      <c r="EV21" s="59">
        <f t="shared" si="119"/>
        <v>2963243.0122062769</v>
      </c>
      <c r="EW21" s="55">
        <f t="shared" si="120"/>
        <v>877894.97796000005</v>
      </c>
      <c r="EX21" s="59">
        <f t="shared" si="121"/>
        <v>2902145.2181401681</v>
      </c>
      <c r="EY21" s="55">
        <f t="shared" si="41"/>
        <v>859412.97842400009</v>
      </c>
      <c r="EZ21" s="59">
        <f t="shared" si="122"/>
        <v>2841047.4240740594</v>
      </c>
      <c r="FA21" s="57">
        <f t="shared" si="42"/>
        <v>840930.97888800013</v>
      </c>
      <c r="FB21" s="59">
        <f t="shared" si="123"/>
        <v>2779949.6300079511</v>
      </c>
      <c r="FC21" s="55">
        <f t="shared" si="43"/>
        <v>822448.97935200005</v>
      </c>
      <c r="FD21" s="59">
        <f t="shared" si="124"/>
        <v>2718851.8359418418</v>
      </c>
      <c r="FE21" s="57">
        <f t="shared" si="44"/>
        <v>803966.97981600009</v>
      </c>
      <c r="FF21" s="59">
        <f t="shared" si="125"/>
        <v>2657754.0418757331</v>
      </c>
      <c r="FG21" s="60">
        <f t="shared" si="45"/>
        <v>785484.98028000002</v>
      </c>
      <c r="FH21" s="59">
        <f t="shared" si="126"/>
        <v>2596656.2478096243</v>
      </c>
      <c r="FI21" s="57">
        <f t="shared" si="46"/>
        <v>767002.98074400006</v>
      </c>
      <c r="FJ21" s="59">
        <f t="shared" si="127"/>
        <v>2535558.4537435155</v>
      </c>
      <c r="FK21" s="55">
        <f t="shared" si="47"/>
        <v>748520.98120799998</v>
      </c>
      <c r="FL21" s="59">
        <f t="shared" si="128"/>
        <v>2474460.6596774063</v>
      </c>
      <c r="FM21" s="60">
        <f t="shared" si="48"/>
        <v>730038.98167200002</v>
      </c>
      <c r="FN21" s="59">
        <f t="shared" si="129"/>
        <v>2413362.8656112975</v>
      </c>
      <c r="FO21" s="60">
        <f t="shared" si="49"/>
        <v>711556.98213599995</v>
      </c>
      <c r="FP21" s="59">
        <f t="shared" si="130"/>
        <v>2352265.0715451888</v>
      </c>
      <c r="FQ21" s="60">
        <f t="shared" si="50"/>
        <v>693074.98259999999</v>
      </c>
      <c r="FR21" s="59">
        <f t="shared" si="131"/>
        <v>2291167.27747908</v>
      </c>
      <c r="FS21" s="55">
        <f t="shared" si="51"/>
        <v>674592.98306399991</v>
      </c>
      <c r="FT21" s="59">
        <f t="shared" si="132"/>
        <v>2230069.4834129708</v>
      </c>
      <c r="FU21" s="60">
        <f t="shared" si="52"/>
        <v>656110.98352799995</v>
      </c>
      <c r="FV21" s="59">
        <f t="shared" si="133"/>
        <v>2168971.6893468625</v>
      </c>
      <c r="FW21" s="60">
        <f t="shared" si="53"/>
        <v>637628.98399199988</v>
      </c>
      <c r="FX21" s="59">
        <f t="shared" si="134"/>
        <v>2107873.8952807533</v>
      </c>
      <c r="FY21" s="60">
        <f t="shared" si="54"/>
        <v>619146.98445599992</v>
      </c>
      <c r="FZ21" s="59">
        <f t="shared" si="135"/>
        <v>2046776.1012146445</v>
      </c>
      <c r="GA21" s="60">
        <f t="shared" si="55"/>
        <v>600664.98491999984</v>
      </c>
      <c r="GB21" s="59">
        <f t="shared" si="136"/>
        <v>1985678.3071485355</v>
      </c>
      <c r="GC21" s="55">
        <f t="shared" si="56"/>
        <v>582182.98538399988</v>
      </c>
      <c r="GD21" s="59">
        <f t="shared" si="137"/>
        <v>1924580.5130824267</v>
      </c>
      <c r="GE21" s="60">
        <f t="shared" si="57"/>
        <v>563700.98584799981</v>
      </c>
      <c r="GF21" s="59">
        <f t="shared" si="138"/>
        <v>1863482.7190163177</v>
      </c>
      <c r="GG21" s="60">
        <f t="shared" si="58"/>
        <v>545218.98631199985</v>
      </c>
      <c r="GH21" s="59">
        <f t="shared" si="139"/>
        <v>1802384.9249502092</v>
      </c>
      <c r="GI21" s="55">
        <f t="shared" si="59"/>
        <v>526736.98677599977</v>
      </c>
      <c r="GJ21" s="59">
        <f t="shared" si="140"/>
        <v>1741287.1308841</v>
      </c>
      <c r="GK21" s="55"/>
      <c r="GL21" s="55"/>
      <c r="GM21" s="55">
        <v>1</v>
      </c>
      <c r="GN21" s="55">
        <v>0.97</v>
      </c>
      <c r="GO21" s="55">
        <v>0.95</v>
      </c>
      <c r="GP21" s="55">
        <v>0.93</v>
      </c>
      <c r="GQ21" s="55">
        <f t="shared" si="141"/>
        <v>0.91</v>
      </c>
      <c r="GR21" s="55">
        <f t="shared" si="141"/>
        <v>0.89</v>
      </c>
      <c r="GS21" s="55">
        <f t="shared" si="141"/>
        <v>0.87</v>
      </c>
      <c r="GT21" s="55">
        <f t="shared" si="141"/>
        <v>0.85</v>
      </c>
      <c r="GU21" s="55">
        <f t="shared" si="141"/>
        <v>0.83</v>
      </c>
      <c r="GV21" s="55">
        <f t="shared" si="141"/>
        <v>0.80999999999999994</v>
      </c>
      <c r="GW21" s="55">
        <f t="shared" si="141"/>
        <v>0.78999999999999992</v>
      </c>
      <c r="GX21" s="55">
        <f t="shared" si="141"/>
        <v>0.76999999999999991</v>
      </c>
      <c r="GY21" s="55">
        <f t="shared" si="141"/>
        <v>0.74999999999999989</v>
      </c>
      <c r="GZ21" s="55">
        <f t="shared" si="141"/>
        <v>0.72999999999999987</v>
      </c>
      <c r="HA21" s="55">
        <f t="shared" si="141"/>
        <v>0.70999999999999985</v>
      </c>
      <c r="HB21" s="55">
        <f t="shared" si="141"/>
        <v>0.68999999999999984</v>
      </c>
      <c r="HC21" s="55">
        <f t="shared" si="141"/>
        <v>0.66999999999999982</v>
      </c>
      <c r="HD21" s="55">
        <f t="shared" si="141"/>
        <v>0.6499999999999998</v>
      </c>
      <c r="HE21" s="55">
        <f t="shared" si="141"/>
        <v>0.62999999999999978</v>
      </c>
      <c r="HF21" s="55">
        <f t="shared" si="141"/>
        <v>0.60999999999999976</v>
      </c>
      <c r="HG21" s="55">
        <f t="shared" si="141"/>
        <v>0.58999999999999975</v>
      </c>
      <c r="HH21" s="55">
        <f t="shared" si="141"/>
        <v>0.56999999999999973</v>
      </c>
    </row>
    <row r="22" spans="1:216" x14ac:dyDescent="0.3">
      <c r="B22" s="2">
        <v>5</v>
      </c>
      <c r="C22" s="35" t="s">
        <v>98</v>
      </c>
      <c r="D22" s="45">
        <f>+D113</f>
        <v>181650</v>
      </c>
      <c r="E22" s="67">
        <f t="shared" si="0"/>
        <v>600490</v>
      </c>
      <c r="H22" s="55">
        <f t="shared" si="61"/>
        <v>660539</v>
      </c>
      <c r="I22" s="55">
        <f t="shared" si="62"/>
        <v>660539</v>
      </c>
      <c r="J22" s="59">
        <f t="shared" si="63"/>
        <v>2183609.8262</v>
      </c>
      <c r="K22" s="55">
        <f t="shared" si="64"/>
        <v>640722.82999999996</v>
      </c>
      <c r="L22" s="59">
        <f t="shared" si="65"/>
        <v>2118101.5314139999</v>
      </c>
      <c r="M22" s="55">
        <f t="shared" si="66"/>
        <v>627512.04999999993</v>
      </c>
      <c r="N22" s="59">
        <f t="shared" si="67"/>
        <v>2074429.3348899998</v>
      </c>
      <c r="O22" s="55">
        <f t="shared" si="1"/>
        <v>614301.27</v>
      </c>
      <c r="P22" s="59">
        <f t="shared" si="68"/>
        <v>2030757.138366</v>
      </c>
      <c r="Q22" s="57">
        <f t="shared" si="2"/>
        <v>601090.49</v>
      </c>
      <c r="R22" s="59">
        <f t="shared" si="69"/>
        <v>1987084.941842</v>
      </c>
      <c r="S22" s="55">
        <f t="shared" si="3"/>
        <v>587879.71</v>
      </c>
      <c r="T22" s="59">
        <f t="shared" si="70"/>
        <v>1943412.745318</v>
      </c>
      <c r="U22" s="57">
        <f t="shared" si="4"/>
        <v>574668.93000000005</v>
      </c>
      <c r="V22" s="59">
        <f t="shared" si="71"/>
        <v>1899740.5487940002</v>
      </c>
      <c r="W22" s="60">
        <f t="shared" si="5"/>
        <v>561458.15</v>
      </c>
      <c r="X22" s="59">
        <f t="shared" si="72"/>
        <v>1856068.3522700001</v>
      </c>
      <c r="Y22" s="57">
        <f t="shared" si="6"/>
        <v>548247.37</v>
      </c>
      <c r="Z22" s="59">
        <f t="shared" si="73"/>
        <v>1812396.1557460001</v>
      </c>
      <c r="AA22" s="55">
        <f t="shared" si="7"/>
        <v>535036.59</v>
      </c>
      <c r="AB22" s="59">
        <f t="shared" si="74"/>
        <v>1768723.9592219999</v>
      </c>
      <c r="AC22" s="60">
        <f t="shared" si="8"/>
        <v>521825.80999999994</v>
      </c>
      <c r="AD22" s="59">
        <f t="shared" si="75"/>
        <v>1725051.7626979998</v>
      </c>
      <c r="AE22" s="60">
        <f t="shared" si="9"/>
        <v>508615.02999999991</v>
      </c>
      <c r="AF22" s="59">
        <f t="shared" si="76"/>
        <v>1681379.5661739998</v>
      </c>
      <c r="AG22" s="60">
        <f t="shared" si="10"/>
        <v>495404.24999999994</v>
      </c>
      <c r="AH22" s="59">
        <f t="shared" si="77"/>
        <v>1637707.3696499998</v>
      </c>
      <c r="AI22" s="55">
        <f t="shared" si="11"/>
        <v>482193.46999999991</v>
      </c>
      <c r="AJ22" s="59">
        <f t="shared" si="78"/>
        <v>1594035.1731259997</v>
      </c>
      <c r="AK22" s="60">
        <f t="shared" si="12"/>
        <v>468982.68999999989</v>
      </c>
      <c r="AL22" s="59">
        <f t="shared" si="79"/>
        <v>1550362.9766019997</v>
      </c>
      <c r="AM22" s="60">
        <f t="shared" si="13"/>
        <v>455771.90999999992</v>
      </c>
      <c r="AN22" s="59">
        <f t="shared" si="80"/>
        <v>1506690.7800779997</v>
      </c>
      <c r="AO22" s="60">
        <f t="shared" si="14"/>
        <v>442561.12999999989</v>
      </c>
      <c r="AP22" s="59">
        <f t="shared" si="81"/>
        <v>1463018.5835539997</v>
      </c>
      <c r="AQ22" s="60">
        <f t="shared" si="15"/>
        <v>429350.34999999986</v>
      </c>
      <c r="AR22" s="59">
        <f t="shared" si="82"/>
        <v>1419346.3870299996</v>
      </c>
      <c r="AS22" s="55">
        <f t="shared" si="16"/>
        <v>416139.56999999983</v>
      </c>
      <c r="AT22" s="59">
        <f t="shared" si="83"/>
        <v>1375674.1905059994</v>
      </c>
      <c r="AU22" s="60">
        <f t="shared" si="17"/>
        <v>402928.78999999986</v>
      </c>
      <c r="AV22" s="59">
        <f t="shared" si="84"/>
        <v>1332001.9939819996</v>
      </c>
      <c r="AW22" s="60">
        <f t="shared" si="18"/>
        <v>389718.00999999983</v>
      </c>
      <c r="AX22" s="59">
        <f t="shared" si="85"/>
        <v>1288329.7974579995</v>
      </c>
      <c r="AY22" s="55">
        <f t="shared" si="19"/>
        <v>376507.22999999981</v>
      </c>
      <c r="AZ22" s="59">
        <f t="shared" si="86"/>
        <v>1244657.6009339993</v>
      </c>
      <c r="BC22" s="55">
        <v>1</v>
      </c>
      <c r="BD22" s="55">
        <v>0.97</v>
      </c>
      <c r="BE22" s="55">
        <v>0.95</v>
      </c>
      <c r="BF22" s="55">
        <v>0.93</v>
      </c>
      <c r="BG22" s="55">
        <f t="shared" si="87"/>
        <v>0.91</v>
      </c>
      <c r="BH22" s="55">
        <f t="shared" si="87"/>
        <v>0.89</v>
      </c>
      <c r="BI22" s="55">
        <f t="shared" si="87"/>
        <v>0.87</v>
      </c>
      <c r="BJ22" s="55">
        <f t="shared" si="87"/>
        <v>0.85</v>
      </c>
      <c r="BK22" s="55">
        <f t="shared" si="87"/>
        <v>0.83</v>
      </c>
      <c r="BL22" s="55">
        <f t="shared" si="87"/>
        <v>0.80999999999999994</v>
      </c>
      <c r="BM22" s="55">
        <f t="shared" si="87"/>
        <v>0.78999999999999992</v>
      </c>
      <c r="BN22" s="55">
        <f t="shared" si="87"/>
        <v>0.76999999999999991</v>
      </c>
      <c r="BO22" s="55">
        <f t="shared" si="87"/>
        <v>0.74999999999999989</v>
      </c>
      <c r="BP22" s="55">
        <f t="shared" si="87"/>
        <v>0.72999999999999987</v>
      </c>
      <c r="BQ22" s="55">
        <f t="shared" si="87"/>
        <v>0.70999999999999985</v>
      </c>
      <c r="BR22" s="55">
        <f t="shared" si="87"/>
        <v>0.68999999999999984</v>
      </c>
      <c r="BS22" s="55">
        <f t="shared" si="87"/>
        <v>0.66999999999999982</v>
      </c>
      <c r="BT22" s="55">
        <f t="shared" si="87"/>
        <v>0.6499999999999998</v>
      </c>
      <c r="BU22" s="55">
        <f t="shared" si="87"/>
        <v>0.62999999999999978</v>
      </c>
      <c r="BV22" s="55">
        <f t="shared" si="87"/>
        <v>0.60999999999999976</v>
      </c>
      <c r="BW22" s="55">
        <f t="shared" si="87"/>
        <v>0.58999999999999975</v>
      </c>
      <c r="BX22" s="55">
        <f t="shared" si="87"/>
        <v>0.56999999999999973</v>
      </c>
      <c r="BZ22" s="55">
        <f t="shared" si="88"/>
        <v>601090.49</v>
      </c>
      <c r="CA22" s="55">
        <f t="shared" si="89"/>
        <v>601090.49</v>
      </c>
      <c r="CB22" s="59">
        <f t="shared" si="90"/>
        <v>1987084.941842</v>
      </c>
      <c r="CC22" s="55">
        <f t="shared" si="91"/>
        <v>583057.77529999998</v>
      </c>
      <c r="CD22" s="59">
        <f t="shared" si="92"/>
        <v>1927472.3935867399</v>
      </c>
      <c r="CE22" s="55">
        <f t="shared" si="93"/>
        <v>571035.96549999993</v>
      </c>
      <c r="CF22" s="59">
        <f t="shared" si="94"/>
        <v>1887730.6947498999</v>
      </c>
      <c r="CG22" s="55">
        <f t="shared" si="21"/>
        <v>559014.1557</v>
      </c>
      <c r="CH22" s="59">
        <f t="shared" si="95"/>
        <v>1847988.9959130601</v>
      </c>
      <c r="CI22" s="57">
        <f t="shared" si="22"/>
        <v>546992.34589999996</v>
      </c>
      <c r="CJ22" s="59">
        <f t="shared" si="96"/>
        <v>1808247.2970762199</v>
      </c>
      <c r="CK22" s="55">
        <f t="shared" si="23"/>
        <v>534970.53610000003</v>
      </c>
      <c r="CL22" s="59">
        <f t="shared" si="97"/>
        <v>1768505.5982393802</v>
      </c>
      <c r="CM22" s="57">
        <f t="shared" si="24"/>
        <v>522948.72629999998</v>
      </c>
      <c r="CN22" s="59">
        <f t="shared" si="98"/>
        <v>1728763.8994025399</v>
      </c>
      <c r="CO22" s="60">
        <f t="shared" si="25"/>
        <v>510926.91649999999</v>
      </c>
      <c r="CP22" s="59">
        <f t="shared" si="99"/>
        <v>1689022.2005657</v>
      </c>
      <c r="CQ22" s="57">
        <f t="shared" si="26"/>
        <v>498905.10669999995</v>
      </c>
      <c r="CR22" s="59">
        <f t="shared" si="100"/>
        <v>1649280.50172886</v>
      </c>
      <c r="CS22" s="55">
        <f t="shared" si="27"/>
        <v>486883.29689999996</v>
      </c>
      <c r="CT22" s="59">
        <f t="shared" si="101"/>
        <v>1609538.80289202</v>
      </c>
      <c r="CU22" s="60">
        <f t="shared" si="28"/>
        <v>474861.48709999997</v>
      </c>
      <c r="CV22" s="59">
        <f t="shared" si="102"/>
        <v>1569797.10405518</v>
      </c>
      <c r="CW22" s="60">
        <f t="shared" si="29"/>
        <v>462839.67729999992</v>
      </c>
      <c r="CX22" s="59">
        <f t="shared" si="103"/>
        <v>1530055.4052183398</v>
      </c>
      <c r="CY22" s="60">
        <f t="shared" si="30"/>
        <v>450817.86749999993</v>
      </c>
      <c r="CZ22" s="59">
        <f t="shared" si="104"/>
        <v>1490313.7063814998</v>
      </c>
      <c r="DA22" s="55">
        <f t="shared" si="31"/>
        <v>438796.05769999989</v>
      </c>
      <c r="DB22" s="59">
        <f t="shared" si="105"/>
        <v>1450572.0075446598</v>
      </c>
      <c r="DC22" s="60">
        <f t="shared" si="32"/>
        <v>426774.2478999999</v>
      </c>
      <c r="DD22" s="59">
        <f t="shared" si="106"/>
        <v>1410830.3087078198</v>
      </c>
      <c r="DE22" s="60">
        <f t="shared" si="33"/>
        <v>414752.43809999991</v>
      </c>
      <c r="DF22" s="59">
        <f t="shared" si="107"/>
        <v>1371088.6098709798</v>
      </c>
      <c r="DG22" s="60">
        <f t="shared" si="34"/>
        <v>402730.62829999987</v>
      </c>
      <c r="DH22" s="59">
        <f t="shared" si="108"/>
        <v>1331346.9110341396</v>
      </c>
      <c r="DI22" s="60">
        <f t="shared" si="35"/>
        <v>390708.81849999988</v>
      </c>
      <c r="DJ22" s="59">
        <f t="shared" si="109"/>
        <v>1291605.2121972996</v>
      </c>
      <c r="DK22" s="55">
        <f t="shared" si="36"/>
        <v>378687.00869999989</v>
      </c>
      <c r="DL22" s="59">
        <f t="shared" si="110"/>
        <v>1251863.5133604596</v>
      </c>
      <c r="DM22" s="60">
        <f t="shared" si="37"/>
        <v>366665.19889999984</v>
      </c>
      <c r="DN22" s="59">
        <f t="shared" si="111"/>
        <v>1212121.8145236196</v>
      </c>
      <c r="DO22" s="60">
        <f t="shared" si="38"/>
        <v>354643.38909999985</v>
      </c>
      <c r="DP22" s="59">
        <f t="shared" si="112"/>
        <v>1172380.1156867796</v>
      </c>
      <c r="DQ22" s="55">
        <f t="shared" si="39"/>
        <v>342621.57929999981</v>
      </c>
      <c r="DR22" s="59">
        <f t="shared" si="113"/>
        <v>1132638.4168499394</v>
      </c>
      <c r="DU22" s="55">
        <v>1</v>
      </c>
      <c r="DV22" s="55">
        <v>0.97</v>
      </c>
      <c r="DW22" s="55">
        <v>0.95</v>
      </c>
      <c r="DX22" s="55">
        <v>0.93</v>
      </c>
      <c r="DY22" s="55">
        <f t="shared" si="114"/>
        <v>0.91</v>
      </c>
      <c r="DZ22" s="55">
        <f t="shared" si="114"/>
        <v>0.89</v>
      </c>
      <c r="EA22" s="55">
        <f t="shared" si="114"/>
        <v>0.87</v>
      </c>
      <c r="EB22" s="55">
        <f t="shared" si="114"/>
        <v>0.85</v>
      </c>
      <c r="EC22" s="55">
        <f t="shared" si="114"/>
        <v>0.83</v>
      </c>
      <c r="ED22" s="55">
        <f t="shared" si="114"/>
        <v>0.80999999999999994</v>
      </c>
      <c r="EE22" s="55">
        <f t="shared" si="114"/>
        <v>0.78999999999999992</v>
      </c>
      <c r="EF22" s="55">
        <f t="shared" si="114"/>
        <v>0.76999999999999991</v>
      </c>
      <c r="EG22" s="55">
        <f t="shared" si="114"/>
        <v>0.74999999999999989</v>
      </c>
      <c r="EH22" s="55">
        <f t="shared" si="114"/>
        <v>0.72999999999999987</v>
      </c>
      <c r="EI22" s="55">
        <f t="shared" si="114"/>
        <v>0.70999999999999985</v>
      </c>
      <c r="EJ22" s="55">
        <f t="shared" si="114"/>
        <v>0.68999999999999984</v>
      </c>
      <c r="EK22" s="55">
        <f t="shared" si="114"/>
        <v>0.66999999999999982</v>
      </c>
      <c r="EL22" s="55">
        <f t="shared" si="114"/>
        <v>0.6499999999999998</v>
      </c>
      <c r="EM22" s="55">
        <f t="shared" si="114"/>
        <v>0.62999999999999978</v>
      </c>
      <c r="EN22" s="55">
        <f t="shared" si="114"/>
        <v>0.60999999999999976</v>
      </c>
      <c r="EO22" s="55">
        <f t="shared" si="114"/>
        <v>0.58999999999999975</v>
      </c>
      <c r="EP22" s="55">
        <f t="shared" si="114"/>
        <v>0.56999999999999973</v>
      </c>
      <c r="ER22" s="55">
        <f t="shared" si="115"/>
        <v>546992.34589999996</v>
      </c>
      <c r="ES22" s="55">
        <f t="shared" si="116"/>
        <v>546992.34589999996</v>
      </c>
      <c r="ET22" s="59">
        <f t="shared" si="117"/>
        <v>1808247.2970762199</v>
      </c>
      <c r="EU22" s="55">
        <f t="shared" si="118"/>
        <v>530582.57552299998</v>
      </c>
      <c r="EV22" s="59">
        <f t="shared" si="119"/>
        <v>1753999.8781639333</v>
      </c>
      <c r="EW22" s="55">
        <f t="shared" si="120"/>
        <v>519642.72860499995</v>
      </c>
      <c r="EX22" s="59">
        <f t="shared" si="121"/>
        <v>1717834.9322224089</v>
      </c>
      <c r="EY22" s="55">
        <f t="shared" si="41"/>
        <v>508702.88168699999</v>
      </c>
      <c r="EZ22" s="59">
        <f t="shared" si="122"/>
        <v>1681669.9862808846</v>
      </c>
      <c r="FA22" s="57">
        <f t="shared" si="42"/>
        <v>497763.03476899996</v>
      </c>
      <c r="FB22" s="59">
        <f t="shared" si="123"/>
        <v>1645505.04033936</v>
      </c>
      <c r="FC22" s="55">
        <f t="shared" si="43"/>
        <v>486823.187851</v>
      </c>
      <c r="FD22" s="59">
        <f t="shared" si="124"/>
        <v>1609340.0943978359</v>
      </c>
      <c r="FE22" s="57">
        <f t="shared" si="44"/>
        <v>475883.34093299997</v>
      </c>
      <c r="FF22" s="59">
        <f t="shared" si="125"/>
        <v>1573175.1484563113</v>
      </c>
      <c r="FG22" s="60">
        <f t="shared" si="45"/>
        <v>464943.49401499995</v>
      </c>
      <c r="FH22" s="59">
        <f t="shared" si="126"/>
        <v>1537010.2025147867</v>
      </c>
      <c r="FI22" s="57">
        <f t="shared" si="46"/>
        <v>454003.64709699992</v>
      </c>
      <c r="FJ22" s="59">
        <f t="shared" si="127"/>
        <v>1500845.2565732624</v>
      </c>
      <c r="FK22" s="55">
        <f t="shared" si="47"/>
        <v>443063.80017899995</v>
      </c>
      <c r="FL22" s="59">
        <f t="shared" si="128"/>
        <v>1464680.310631738</v>
      </c>
      <c r="FM22" s="60">
        <f t="shared" si="48"/>
        <v>432123.95326099993</v>
      </c>
      <c r="FN22" s="59">
        <f t="shared" si="129"/>
        <v>1428515.3646902137</v>
      </c>
      <c r="FO22" s="60">
        <f t="shared" si="49"/>
        <v>421184.1063429999</v>
      </c>
      <c r="FP22" s="59">
        <f t="shared" si="130"/>
        <v>1392350.4187486891</v>
      </c>
      <c r="FQ22" s="60">
        <f t="shared" si="50"/>
        <v>410244.25942499988</v>
      </c>
      <c r="FR22" s="59">
        <f t="shared" si="131"/>
        <v>1356185.4728071645</v>
      </c>
      <c r="FS22" s="55">
        <f t="shared" si="51"/>
        <v>399304.41250699991</v>
      </c>
      <c r="FT22" s="59">
        <f t="shared" si="132"/>
        <v>1320020.5268656404</v>
      </c>
      <c r="FU22" s="60">
        <f t="shared" si="52"/>
        <v>388364.56558899989</v>
      </c>
      <c r="FV22" s="59">
        <f t="shared" si="133"/>
        <v>1283855.5809241158</v>
      </c>
      <c r="FW22" s="60">
        <f t="shared" si="53"/>
        <v>377424.71867099986</v>
      </c>
      <c r="FX22" s="59">
        <f t="shared" si="134"/>
        <v>1247690.6349825913</v>
      </c>
      <c r="FY22" s="60">
        <f t="shared" si="54"/>
        <v>366484.8717529999</v>
      </c>
      <c r="FZ22" s="59">
        <f t="shared" si="135"/>
        <v>1211525.6890410671</v>
      </c>
      <c r="GA22" s="60">
        <f t="shared" si="55"/>
        <v>355545.02483499987</v>
      </c>
      <c r="GB22" s="59">
        <f t="shared" si="136"/>
        <v>1175360.7430995426</v>
      </c>
      <c r="GC22" s="55">
        <f t="shared" si="56"/>
        <v>344605.17791699985</v>
      </c>
      <c r="GD22" s="59">
        <f t="shared" si="137"/>
        <v>1139195.7971580182</v>
      </c>
      <c r="GE22" s="60">
        <f t="shared" si="57"/>
        <v>333665.33099899982</v>
      </c>
      <c r="GF22" s="59">
        <f t="shared" si="138"/>
        <v>1103030.8512164936</v>
      </c>
      <c r="GG22" s="60">
        <f t="shared" si="58"/>
        <v>322725.48408099986</v>
      </c>
      <c r="GH22" s="59">
        <f t="shared" si="139"/>
        <v>1066865.9052749693</v>
      </c>
      <c r="GI22" s="55">
        <f t="shared" si="59"/>
        <v>311785.63716299983</v>
      </c>
      <c r="GJ22" s="59">
        <f t="shared" si="140"/>
        <v>1030700.9593334448</v>
      </c>
      <c r="GK22" s="55"/>
      <c r="GL22" s="55"/>
      <c r="GM22" s="55">
        <v>1</v>
      </c>
      <c r="GN22" s="55">
        <v>0.97</v>
      </c>
      <c r="GO22" s="55">
        <v>0.95</v>
      </c>
      <c r="GP22" s="55">
        <v>0.93</v>
      </c>
      <c r="GQ22" s="55">
        <f t="shared" si="141"/>
        <v>0.91</v>
      </c>
      <c r="GR22" s="55">
        <f t="shared" si="141"/>
        <v>0.89</v>
      </c>
      <c r="GS22" s="55">
        <f t="shared" si="141"/>
        <v>0.87</v>
      </c>
      <c r="GT22" s="55">
        <f t="shared" si="141"/>
        <v>0.85</v>
      </c>
      <c r="GU22" s="55">
        <f t="shared" si="141"/>
        <v>0.83</v>
      </c>
      <c r="GV22" s="55">
        <f t="shared" si="141"/>
        <v>0.80999999999999994</v>
      </c>
      <c r="GW22" s="55">
        <f t="shared" si="141"/>
        <v>0.78999999999999992</v>
      </c>
      <c r="GX22" s="55">
        <f t="shared" si="141"/>
        <v>0.76999999999999991</v>
      </c>
      <c r="GY22" s="55">
        <f t="shared" si="141"/>
        <v>0.74999999999999989</v>
      </c>
      <c r="GZ22" s="55">
        <f t="shared" si="141"/>
        <v>0.72999999999999987</v>
      </c>
      <c r="HA22" s="55">
        <f t="shared" si="141"/>
        <v>0.70999999999999985</v>
      </c>
      <c r="HB22" s="55">
        <f t="shared" si="141"/>
        <v>0.68999999999999984</v>
      </c>
      <c r="HC22" s="55">
        <f t="shared" si="141"/>
        <v>0.66999999999999982</v>
      </c>
      <c r="HD22" s="55">
        <f t="shared" si="141"/>
        <v>0.6499999999999998</v>
      </c>
      <c r="HE22" s="55">
        <f t="shared" si="141"/>
        <v>0.62999999999999978</v>
      </c>
      <c r="HF22" s="55">
        <f t="shared" si="141"/>
        <v>0.60999999999999976</v>
      </c>
      <c r="HG22" s="55">
        <f t="shared" si="141"/>
        <v>0.58999999999999975</v>
      </c>
      <c r="HH22" s="55">
        <f t="shared" si="141"/>
        <v>0.56999999999999973</v>
      </c>
    </row>
    <row r="23" spans="1:216" x14ac:dyDescent="0.3">
      <c r="B23" s="2">
        <v>6</v>
      </c>
      <c r="C23" s="35" t="s">
        <v>99</v>
      </c>
      <c r="D23" s="45">
        <f>+D127</f>
        <v>75970</v>
      </c>
      <c r="E23" s="67">
        <f t="shared" si="0"/>
        <v>251140</v>
      </c>
      <c r="H23" s="55">
        <f t="shared" si="61"/>
        <v>276254</v>
      </c>
      <c r="I23" s="55">
        <f t="shared" si="62"/>
        <v>276254</v>
      </c>
      <c r="J23" s="59">
        <f t="shared" si="63"/>
        <v>913240.47320000001</v>
      </c>
      <c r="K23" s="55">
        <f t="shared" si="64"/>
        <v>267966.38</v>
      </c>
      <c r="L23" s="59">
        <f t="shared" si="65"/>
        <v>885843.25900399999</v>
      </c>
      <c r="M23" s="55">
        <f t="shared" si="66"/>
        <v>262441.3</v>
      </c>
      <c r="N23" s="59">
        <f t="shared" si="67"/>
        <v>867578.44953999994</v>
      </c>
      <c r="O23" s="55">
        <f t="shared" si="1"/>
        <v>256916.22</v>
      </c>
      <c r="P23" s="59">
        <f t="shared" si="68"/>
        <v>849313.64007600001</v>
      </c>
      <c r="Q23" s="57">
        <f t="shared" si="2"/>
        <v>251391.14</v>
      </c>
      <c r="R23" s="59">
        <f t="shared" si="69"/>
        <v>831048.83061200008</v>
      </c>
      <c r="S23" s="55">
        <f t="shared" si="3"/>
        <v>245866.06</v>
      </c>
      <c r="T23" s="59">
        <f t="shared" si="70"/>
        <v>812784.02114800003</v>
      </c>
      <c r="U23" s="57">
        <f t="shared" si="4"/>
        <v>240340.98</v>
      </c>
      <c r="V23" s="59">
        <f t="shared" si="71"/>
        <v>794519.2116840001</v>
      </c>
      <c r="W23" s="60">
        <f t="shared" si="5"/>
        <v>234815.9</v>
      </c>
      <c r="X23" s="59">
        <f t="shared" si="72"/>
        <v>776254.40222000005</v>
      </c>
      <c r="Y23" s="57">
        <f t="shared" si="6"/>
        <v>229290.81999999998</v>
      </c>
      <c r="Z23" s="59">
        <f t="shared" si="73"/>
        <v>757989.592756</v>
      </c>
      <c r="AA23" s="55">
        <f t="shared" si="7"/>
        <v>223765.74</v>
      </c>
      <c r="AB23" s="59">
        <f t="shared" si="74"/>
        <v>739724.78329199995</v>
      </c>
      <c r="AC23" s="60">
        <f t="shared" si="8"/>
        <v>218240.65999999997</v>
      </c>
      <c r="AD23" s="59">
        <f t="shared" si="75"/>
        <v>721459.9738279999</v>
      </c>
      <c r="AE23" s="60">
        <f t="shared" si="9"/>
        <v>212715.58</v>
      </c>
      <c r="AF23" s="59">
        <f t="shared" si="76"/>
        <v>703195.16436399997</v>
      </c>
      <c r="AG23" s="60">
        <f t="shared" si="10"/>
        <v>207190.49999999997</v>
      </c>
      <c r="AH23" s="59">
        <f t="shared" si="77"/>
        <v>684930.35489999992</v>
      </c>
      <c r="AI23" s="55">
        <f t="shared" si="11"/>
        <v>201665.41999999995</v>
      </c>
      <c r="AJ23" s="59">
        <f t="shared" si="78"/>
        <v>666665.54543599987</v>
      </c>
      <c r="AK23" s="60">
        <f t="shared" si="12"/>
        <v>196140.33999999997</v>
      </c>
      <c r="AL23" s="59">
        <f t="shared" si="79"/>
        <v>648400.73597199994</v>
      </c>
      <c r="AM23" s="60">
        <f t="shared" si="13"/>
        <v>190615.25999999995</v>
      </c>
      <c r="AN23" s="59">
        <f t="shared" si="80"/>
        <v>630135.92650799989</v>
      </c>
      <c r="AO23" s="60">
        <f t="shared" si="14"/>
        <v>185090.17999999996</v>
      </c>
      <c r="AP23" s="59">
        <f t="shared" si="81"/>
        <v>611871.11704399984</v>
      </c>
      <c r="AQ23" s="60">
        <f t="shared" si="15"/>
        <v>179565.09999999995</v>
      </c>
      <c r="AR23" s="59">
        <f t="shared" si="82"/>
        <v>593606.30757999979</v>
      </c>
      <c r="AS23" s="55">
        <f t="shared" si="16"/>
        <v>174040.01999999993</v>
      </c>
      <c r="AT23" s="59">
        <f t="shared" si="83"/>
        <v>575341.49811599974</v>
      </c>
      <c r="AU23" s="60">
        <f t="shared" si="17"/>
        <v>168514.93999999994</v>
      </c>
      <c r="AV23" s="59">
        <f t="shared" si="84"/>
        <v>557076.68865199981</v>
      </c>
      <c r="AW23" s="60">
        <f t="shared" si="18"/>
        <v>162989.85999999993</v>
      </c>
      <c r="AX23" s="59">
        <f t="shared" si="85"/>
        <v>538811.87918799976</v>
      </c>
      <c r="AY23" s="55">
        <f t="shared" si="19"/>
        <v>157464.77999999991</v>
      </c>
      <c r="AZ23" s="59">
        <f t="shared" si="86"/>
        <v>520547.06972399971</v>
      </c>
      <c r="BC23" s="55">
        <v>1</v>
      </c>
      <c r="BD23" s="55">
        <v>0.97</v>
      </c>
      <c r="BE23" s="55">
        <v>0.95</v>
      </c>
      <c r="BF23" s="55">
        <v>0.93</v>
      </c>
      <c r="BG23" s="55">
        <f t="shared" si="87"/>
        <v>0.91</v>
      </c>
      <c r="BH23" s="55">
        <f t="shared" si="87"/>
        <v>0.89</v>
      </c>
      <c r="BI23" s="55">
        <f t="shared" si="87"/>
        <v>0.87</v>
      </c>
      <c r="BJ23" s="55">
        <f t="shared" si="87"/>
        <v>0.85</v>
      </c>
      <c r="BK23" s="55">
        <f t="shared" si="87"/>
        <v>0.83</v>
      </c>
      <c r="BL23" s="55">
        <f t="shared" si="87"/>
        <v>0.80999999999999994</v>
      </c>
      <c r="BM23" s="55">
        <f t="shared" si="87"/>
        <v>0.78999999999999992</v>
      </c>
      <c r="BN23" s="55">
        <f t="shared" si="87"/>
        <v>0.76999999999999991</v>
      </c>
      <c r="BO23" s="55">
        <f t="shared" si="87"/>
        <v>0.74999999999999989</v>
      </c>
      <c r="BP23" s="55">
        <f t="shared" si="87"/>
        <v>0.72999999999999987</v>
      </c>
      <c r="BQ23" s="55">
        <f t="shared" si="87"/>
        <v>0.70999999999999985</v>
      </c>
      <c r="BR23" s="55">
        <f t="shared" si="87"/>
        <v>0.68999999999999984</v>
      </c>
      <c r="BS23" s="55">
        <f t="shared" si="87"/>
        <v>0.66999999999999982</v>
      </c>
      <c r="BT23" s="55">
        <f t="shared" si="87"/>
        <v>0.6499999999999998</v>
      </c>
      <c r="BU23" s="55">
        <f t="shared" si="87"/>
        <v>0.62999999999999978</v>
      </c>
      <c r="BV23" s="55">
        <f t="shared" si="87"/>
        <v>0.60999999999999976</v>
      </c>
      <c r="BW23" s="55">
        <f t="shared" si="87"/>
        <v>0.58999999999999975</v>
      </c>
      <c r="BX23" s="55">
        <f t="shared" si="87"/>
        <v>0.56999999999999973</v>
      </c>
      <c r="BZ23" s="55">
        <f t="shared" si="88"/>
        <v>251391.14</v>
      </c>
      <c r="CA23" s="55">
        <f t="shared" si="89"/>
        <v>251391.14</v>
      </c>
      <c r="CB23" s="59">
        <f t="shared" si="90"/>
        <v>831048.83061200008</v>
      </c>
      <c r="CC23" s="55">
        <f t="shared" si="91"/>
        <v>243849.40580000001</v>
      </c>
      <c r="CD23" s="59">
        <f t="shared" si="92"/>
        <v>806117.36569364008</v>
      </c>
      <c r="CE23" s="55">
        <f t="shared" si="93"/>
        <v>238821.58300000001</v>
      </c>
      <c r="CF23" s="59">
        <f t="shared" si="94"/>
        <v>789496.3890814</v>
      </c>
      <c r="CG23" s="55">
        <f t="shared" si="21"/>
        <v>233793.76020000002</v>
      </c>
      <c r="CH23" s="59">
        <f t="shared" si="95"/>
        <v>772875.41246916004</v>
      </c>
      <c r="CI23" s="57">
        <f t="shared" si="22"/>
        <v>228765.93740000002</v>
      </c>
      <c r="CJ23" s="59">
        <f t="shared" si="96"/>
        <v>756254.43585692008</v>
      </c>
      <c r="CK23" s="55">
        <f t="shared" si="23"/>
        <v>223738.11460000003</v>
      </c>
      <c r="CL23" s="59">
        <f t="shared" si="97"/>
        <v>739633.45924468013</v>
      </c>
      <c r="CM23" s="57">
        <f t="shared" si="24"/>
        <v>218710.29180000001</v>
      </c>
      <c r="CN23" s="59">
        <f t="shared" si="98"/>
        <v>723012.48263244005</v>
      </c>
      <c r="CO23" s="60">
        <f t="shared" si="25"/>
        <v>213682.46900000001</v>
      </c>
      <c r="CP23" s="59">
        <f t="shared" si="99"/>
        <v>706391.50602020009</v>
      </c>
      <c r="CQ23" s="57">
        <f t="shared" si="26"/>
        <v>208654.64619999999</v>
      </c>
      <c r="CR23" s="59">
        <f t="shared" si="100"/>
        <v>689770.52940796001</v>
      </c>
      <c r="CS23" s="55">
        <f t="shared" si="27"/>
        <v>203626.82339999999</v>
      </c>
      <c r="CT23" s="59">
        <f t="shared" si="101"/>
        <v>673149.55279571994</v>
      </c>
      <c r="CU23" s="60">
        <f t="shared" si="28"/>
        <v>198599.0006</v>
      </c>
      <c r="CV23" s="59">
        <f t="shared" si="102"/>
        <v>656528.57618347998</v>
      </c>
      <c r="CW23" s="60">
        <f t="shared" si="29"/>
        <v>193571.17779999998</v>
      </c>
      <c r="CX23" s="59">
        <f t="shared" si="103"/>
        <v>639907.5995712399</v>
      </c>
      <c r="CY23" s="60">
        <f t="shared" si="30"/>
        <v>188543.35499999998</v>
      </c>
      <c r="CZ23" s="59">
        <f t="shared" si="104"/>
        <v>623286.62295899994</v>
      </c>
      <c r="DA23" s="55">
        <f t="shared" si="31"/>
        <v>183515.53219999999</v>
      </c>
      <c r="DB23" s="59">
        <f t="shared" si="105"/>
        <v>606665.64634675998</v>
      </c>
      <c r="DC23" s="60">
        <f t="shared" si="32"/>
        <v>178487.70939999996</v>
      </c>
      <c r="DD23" s="59">
        <f t="shared" si="106"/>
        <v>590044.66973451991</v>
      </c>
      <c r="DE23" s="60">
        <f t="shared" si="33"/>
        <v>173459.88659999997</v>
      </c>
      <c r="DF23" s="59">
        <f t="shared" si="107"/>
        <v>573423.69312227995</v>
      </c>
      <c r="DG23" s="60">
        <f t="shared" si="34"/>
        <v>168432.06379999997</v>
      </c>
      <c r="DH23" s="59">
        <f t="shared" si="108"/>
        <v>556802.71651003987</v>
      </c>
      <c r="DI23" s="60">
        <f t="shared" si="35"/>
        <v>163404.24099999995</v>
      </c>
      <c r="DJ23" s="59">
        <f t="shared" si="109"/>
        <v>540181.73989779979</v>
      </c>
      <c r="DK23" s="55">
        <f t="shared" si="36"/>
        <v>158376.41819999996</v>
      </c>
      <c r="DL23" s="59">
        <f t="shared" si="110"/>
        <v>523560.76328555989</v>
      </c>
      <c r="DM23" s="60">
        <f t="shared" si="37"/>
        <v>153348.59539999996</v>
      </c>
      <c r="DN23" s="59">
        <f t="shared" si="111"/>
        <v>506939.78667331988</v>
      </c>
      <c r="DO23" s="60">
        <f t="shared" si="38"/>
        <v>148320.77259999994</v>
      </c>
      <c r="DP23" s="59">
        <f t="shared" si="112"/>
        <v>490318.8100610798</v>
      </c>
      <c r="DQ23" s="55">
        <f t="shared" si="39"/>
        <v>143292.94979999994</v>
      </c>
      <c r="DR23" s="59">
        <f t="shared" si="113"/>
        <v>473697.83344883984</v>
      </c>
      <c r="DU23" s="55">
        <v>1</v>
      </c>
      <c r="DV23" s="55">
        <v>0.97</v>
      </c>
      <c r="DW23" s="55">
        <v>0.95</v>
      </c>
      <c r="DX23" s="55">
        <v>0.93</v>
      </c>
      <c r="DY23" s="55">
        <f t="shared" si="114"/>
        <v>0.91</v>
      </c>
      <c r="DZ23" s="55">
        <f t="shared" si="114"/>
        <v>0.89</v>
      </c>
      <c r="EA23" s="55">
        <f t="shared" si="114"/>
        <v>0.87</v>
      </c>
      <c r="EB23" s="55">
        <f t="shared" si="114"/>
        <v>0.85</v>
      </c>
      <c r="EC23" s="55">
        <f t="shared" si="114"/>
        <v>0.83</v>
      </c>
      <c r="ED23" s="55">
        <f t="shared" si="114"/>
        <v>0.80999999999999994</v>
      </c>
      <c r="EE23" s="55">
        <f t="shared" si="114"/>
        <v>0.78999999999999992</v>
      </c>
      <c r="EF23" s="55">
        <f t="shared" si="114"/>
        <v>0.76999999999999991</v>
      </c>
      <c r="EG23" s="55">
        <f t="shared" si="114"/>
        <v>0.74999999999999989</v>
      </c>
      <c r="EH23" s="55">
        <f t="shared" si="114"/>
        <v>0.72999999999999987</v>
      </c>
      <c r="EI23" s="55">
        <f t="shared" si="114"/>
        <v>0.70999999999999985</v>
      </c>
      <c r="EJ23" s="55">
        <f t="shared" si="114"/>
        <v>0.68999999999999984</v>
      </c>
      <c r="EK23" s="55">
        <f t="shared" si="114"/>
        <v>0.66999999999999982</v>
      </c>
      <c r="EL23" s="55">
        <f t="shared" si="114"/>
        <v>0.6499999999999998</v>
      </c>
      <c r="EM23" s="55">
        <f t="shared" si="114"/>
        <v>0.62999999999999978</v>
      </c>
      <c r="EN23" s="55">
        <f t="shared" si="114"/>
        <v>0.60999999999999976</v>
      </c>
      <c r="EO23" s="55">
        <f t="shared" si="114"/>
        <v>0.58999999999999975</v>
      </c>
      <c r="EP23" s="55">
        <f t="shared" si="114"/>
        <v>0.56999999999999973</v>
      </c>
      <c r="ER23" s="55">
        <f t="shared" si="115"/>
        <v>228765.93740000002</v>
      </c>
      <c r="ES23" s="55">
        <f t="shared" si="116"/>
        <v>228765.93740000002</v>
      </c>
      <c r="ET23" s="59">
        <f t="shared" si="117"/>
        <v>756254.43585692008</v>
      </c>
      <c r="EU23" s="55">
        <f t="shared" si="118"/>
        <v>221902.95927800002</v>
      </c>
      <c r="EV23" s="59">
        <f t="shared" si="119"/>
        <v>733566.80278121249</v>
      </c>
      <c r="EW23" s="55">
        <f t="shared" si="120"/>
        <v>217327.64053</v>
      </c>
      <c r="EX23" s="59">
        <f t="shared" si="121"/>
        <v>718441.71406407398</v>
      </c>
      <c r="EY23" s="55">
        <f t="shared" si="41"/>
        <v>212752.32178200004</v>
      </c>
      <c r="EZ23" s="59">
        <f t="shared" si="122"/>
        <v>703316.6253469357</v>
      </c>
      <c r="FA23" s="57">
        <f t="shared" si="42"/>
        <v>208177.00303400002</v>
      </c>
      <c r="FB23" s="59">
        <f t="shared" si="123"/>
        <v>688191.53662979731</v>
      </c>
      <c r="FC23" s="55">
        <f t="shared" si="43"/>
        <v>203601.68428600003</v>
      </c>
      <c r="FD23" s="59">
        <f t="shared" si="124"/>
        <v>673066.44791265891</v>
      </c>
      <c r="FE23" s="57">
        <f t="shared" si="44"/>
        <v>199026.36553800001</v>
      </c>
      <c r="FF23" s="59">
        <f t="shared" si="125"/>
        <v>657941.3591955204</v>
      </c>
      <c r="FG23" s="60">
        <f t="shared" si="45"/>
        <v>194451.04679000002</v>
      </c>
      <c r="FH23" s="59">
        <f t="shared" si="126"/>
        <v>642816.27047838212</v>
      </c>
      <c r="FI23" s="57">
        <f t="shared" si="46"/>
        <v>189875.728042</v>
      </c>
      <c r="FJ23" s="59">
        <f t="shared" si="127"/>
        <v>627691.18176124361</v>
      </c>
      <c r="FK23" s="55">
        <f t="shared" si="47"/>
        <v>185300.40929400001</v>
      </c>
      <c r="FL23" s="59">
        <f t="shared" si="128"/>
        <v>612566.09304410522</v>
      </c>
      <c r="FM23" s="60">
        <f t="shared" si="48"/>
        <v>180725.09054599999</v>
      </c>
      <c r="FN23" s="59">
        <f t="shared" si="129"/>
        <v>597441.00432696682</v>
      </c>
      <c r="FO23" s="60">
        <f t="shared" si="49"/>
        <v>176149.771798</v>
      </c>
      <c r="FP23" s="59">
        <f t="shared" si="130"/>
        <v>582315.91560982843</v>
      </c>
      <c r="FQ23" s="60">
        <f t="shared" si="50"/>
        <v>171574.45304999998</v>
      </c>
      <c r="FR23" s="59">
        <f t="shared" si="131"/>
        <v>567190.82689268992</v>
      </c>
      <c r="FS23" s="55">
        <f t="shared" si="51"/>
        <v>166999.13430199999</v>
      </c>
      <c r="FT23" s="59">
        <f t="shared" si="132"/>
        <v>552065.73817555164</v>
      </c>
      <c r="FU23" s="60">
        <f t="shared" si="52"/>
        <v>162423.81555399997</v>
      </c>
      <c r="FV23" s="59">
        <f t="shared" si="133"/>
        <v>536940.64945841313</v>
      </c>
      <c r="FW23" s="60">
        <f t="shared" si="53"/>
        <v>157848.49680599998</v>
      </c>
      <c r="FX23" s="59">
        <f t="shared" si="134"/>
        <v>521815.56074127473</v>
      </c>
      <c r="FY23" s="60">
        <f t="shared" si="54"/>
        <v>153273.17805799996</v>
      </c>
      <c r="FZ23" s="59">
        <f t="shared" si="135"/>
        <v>506690.47202413628</v>
      </c>
      <c r="GA23" s="60">
        <f t="shared" si="55"/>
        <v>148697.85930999997</v>
      </c>
      <c r="GB23" s="59">
        <f t="shared" si="136"/>
        <v>491565.38330699789</v>
      </c>
      <c r="GC23" s="55">
        <f t="shared" si="56"/>
        <v>144122.54056199995</v>
      </c>
      <c r="GD23" s="59">
        <f t="shared" si="137"/>
        <v>476440.29458985943</v>
      </c>
      <c r="GE23" s="60">
        <f t="shared" si="57"/>
        <v>139547.22181399996</v>
      </c>
      <c r="GF23" s="59">
        <f t="shared" si="138"/>
        <v>461315.2058727211</v>
      </c>
      <c r="GG23" s="60">
        <f t="shared" si="58"/>
        <v>134971.90306599997</v>
      </c>
      <c r="GH23" s="59">
        <f t="shared" si="139"/>
        <v>446190.1171555827</v>
      </c>
      <c r="GI23" s="55">
        <f t="shared" si="59"/>
        <v>130396.58431799995</v>
      </c>
      <c r="GJ23" s="59">
        <f t="shared" si="140"/>
        <v>431065.02843844425</v>
      </c>
      <c r="GK23" s="55"/>
      <c r="GL23" s="55"/>
      <c r="GM23" s="55">
        <v>1</v>
      </c>
      <c r="GN23" s="55">
        <v>0.97</v>
      </c>
      <c r="GO23" s="55">
        <v>0.95</v>
      </c>
      <c r="GP23" s="55">
        <v>0.93</v>
      </c>
      <c r="GQ23" s="55">
        <f t="shared" si="141"/>
        <v>0.91</v>
      </c>
      <c r="GR23" s="55">
        <f t="shared" si="141"/>
        <v>0.89</v>
      </c>
      <c r="GS23" s="55">
        <f t="shared" si="141"/>
        <v>0.87</v>
      </c>
      <c r="GT23" s="55">
        <f t="shared" si="141"/>
        <v>0.85</v>
      </c>
      <c r="GU23" s="55">
        <f t="shared" si="141"/>
        <v>0.83</v>
      </c>
      <c r="GV23" s="55">
        <f t="shared" si="141"/>
        <v>0.80999999999999994</v>
      </c>
      <c r="GW23" s="55">
        <f t="shared" si="141"/>
        <v>0.78999999999999992</v>
      </c>
      <c r="GX23" s="55">
        <f t="shared" si="141"/>
        <v>0.76999999999999991</v>
      </c>
      <c r="GY23" s="55">
        <f t="shared" si="141"/>
        <v>0.74999999999999989</v>
      </c>
      <c r="GZ23" s="55">
        <f t="shared" si="141"/>
        <v>0.72999999999999987</v>
      </c>
      <c r="HA23" s="55">
        <f t="shared" si="141"/>
        <v>0.70999999999999985</v>
      </c>
      <c r="HB23" s="55">
        <f t="shared" si="141"/>
        <v>0.68999999999999984</v>
      </c>
      <c r="HC23" s="55">
        <f t="shared" si="141"/>
        <v>0.66999999999999982</v>
      </c>
      <c r="HD23" s="55">
        <f t="shared" si="141"/>
        <v>0.6499999999999998</v>
      </c>
      <c r="HE23" s="55">
        <f t="shared" si="141"/>
        <v>0.62999999999999978</v>
      </c>
      <c r="HF23" s="55">
        <f t="shared" si="141"/>
        <v>0.60999999999999976</v>
      </c>
      <c r="HG23" s="55">
        <f t="shared" si="141"/>
        <v>0.58999999999999975</v>
      </c>
      <c r="HH23" s="55">
        <f t="shared" si="141"/>
        <v>0.56999999999999973</v>
      </c>
    </row>
    <row r="24" spans="1:216" x14ac:dyDescent="0.3">
      <c r="B24" s="2">
        <v>7</v>
      </c>
      <c r="C24" s="35" t="s">
        <v>100</v>
      </c>
      <c r="D24" s="45">
        <f>+D140</f>
        <v>16020</v>
      </c>
      <c r="E24" s="67">
        <f t="shared" si="0"/>
        <v>52950</v>
      </c>
      <c r="H24" s="55">
        <f t="shared" si="61"/>
        <v>58245.000000000007</v>
      </c>
      <c r="I24" s="55">
        <f t="shared" si="62"/>
        <v>58245.000000000007</v>
      </c>
      <c r="J24" s="59">
        <f t="shared" si="63"/>
        <v>192546.32100000003</v>
      </c>
      <c r="K24" s="55">
        <f t="shared" si="64"/>
        <v>56497.650000000009</v>
      </c>
      <c r="L24" s="59">
        <f t="shared" si="65"/>
        <v>186769.93137000003</v>
      </c>
      <c r="M24" s="55">
        <f t="shared" si="66"/>
        <v>55332.750000000007</v>
      </c>
      <c r="N24" s="59">
        <f t="shared" si="67"/>
        <v>182919.00495000003</v>
      </c>
      <c r="O24" s="55">
        <f t="shared" si="1"/>
        <v>54167.850000000013</v>
      </c>
      <c r="P24" s="59">
        <f t="shared" si="68"/>
        <v>179068.07853000006</v>
      </c>
      <c r="Q24" s="57">
        <f t="shared" si="2"/>
        <v>53002.950000000012</v>
      </c>
      <c r="R24" s="59">
        <f t="shared" si="69"/>
        <v>175217.15211000005</v>
      </c>
      <c r="S24" s="55">
        <f t="shared" si="3"/>
        <v>51838.05000000001</v>
      </c>
      <c r="T24" s="59">
        <f t="shared" si="70"/>
        <v>171366.22569000005</v>
      </c>
      <c r="U24" s="57">
        <f t="shared" si="4"/>
        <v>50673.150000000009</v>
      </c>
      <c r="V24" s="59">
        <f t="shared" si="71"/>
        <v>167515.29927000005</v>
      </c>
      <c r="W24" s="60">
        <f t="shared" si="5"/>
        <v>49508.250000000007</v>
      </c>
      <c r="X24" s="59">
        <f t="shared" si="72"/>
        <v>163664.37285000001</v>
      </c>
      <c r="Y24" s="57">
        <f t="shared" si="6"/>
        <v>48343.350000000006</v>
      </c>
      <c r="Z24" s="59">
        <f t="shared" si="73"/>
        <v>159813.44643000001</v>
      </c>
      <c r="AA24" s="55">
        <f t="shared" si="7"/>
        <v>47178.450000000004</v>
      </c>
      <c r="AB24" s="59">
        <f t="shared" si="74"/>
        <v>155962.52001000001</v>
      </c>
      <c r="AC24" s="60">
        <f t="shared" si="8"/>
        <v>46013.55</v>
      </c>
      <c r="AD24" s="59">
        <f t="shared" si="75"/>
        <v>152111.59359</v>
      </c>
      <c r="AE24" s="60">
        <f t="shared" si="9"/>
        <v>44848.65</v>
      </c>
      <c r="AF24" s="59">
        <f t="shared" si="76"/>
        <v>148260.66717</v>
      </c>
      <c r="AG24" s="60">
        <f t="shared" si="10"/>
        <v>43683.75</v>
      </c>
      <c r="AH24" s="59">
        <f t="shared" si="77"/>
        <v>144409.74075</v>
      </c>
      <c r="AI24" s="55">
        <f t="shared" si="11"/>
        <v>42518.85</v>
      </c>
      <c r="AJ24" s="59">
        <f t="shared" si="78"/>
        <v>140558.81432999999</v>
      </c>
      <c r="AK24" s="60">
        <f t="shared" si="12"/>
        <v>41353.949999999997</v>
      </c>
      <c r="AL24" s="59">
        <f t="shared" si="79"/>
        <v>136707.88790999999</v>
      </c>
      <c r="AM24" s="60">
        <f t="shared" si="13"/>
        <v>40189.049999999996</v>
      </c>
      <c r="AN24" s="59">
        <f t="shared" si="80"/>
        <v>132856.96148999999</v>
      </c>
      <c r="AO24" s="60">
        <f t="shared" si="14"/>
        <v>39024.149999999994</v>
      </c>
      <c r="AP24" s="59">
        <f t="shared" si="81"/>
        <v>129006.03506999998</v>
      </c>
      <c r="AQ24" s="60">
        <f t="shared" si="15"/>
        <v>37859.249999999993</v>
      </c>
      <c r="AR24" s="59">
        <f t="shared" si="82"/>
        <v>125155.10864999998</v>
      </c>
      <c r="AS24" s="55">
        <f t="shared" si="16"/>
        <v>36694.349999999991</v>
      </c>
      <c r="AT24" s="59">
        <f t="shared" si="83"/>
        <v>121304.18222999998</v>
      </c>
      <c r="AU24" s="60">
        <f t="shared" si="17"/>
        <v>35529.44999999999</v>
      </c>
      <c r="AV24" s="59">
        <f t="shared" si="84"/>
        <v>117453.25580999997</v>
      </c>
      <c r="AW24" s="60">
        <f t="shared" si="18"/>
        <v>34364.549999999988</v>
      </c>
      <c r="AX24" s="59">
        <f t="shared" si="85"/>
        <v>113602.32938999997</v>
      </c>
      <c r="AY24" s="55">
        <f t="shared" si="19"/>
        <v>33199.649999999987</v>
      </c>
      <c r="AZ24" s="59">
        <f t="shared" si="86"/>
        <v>109751.40296999995</v>
      </c>
      <c r="BC24" s="55">
        <v>1</v>
      </c>
      <c r="BD24" s="55">
        <v>0.97</v>
      </c>
      <c r="BE24" s="55">
        <v>0.95</v>
      </c>
      <c r="BF24" s="55">
        <v>0.93</v>
      </c>
      <c r="BG24" s="55">
        <f t="shared" si="87"/>
        <v>0.91</v>
      </c>
      <c r="BH24" s="55">
        <f t="shared" si="87"/>
        <v>0.89</v>
      </c>
      <c r="BI24" s="55">
        <f t="shared" si="87"/>
        <v>0.87</v>
      </c>
      <c r="BJ24" s="55">
        <f t="shared" si="87"/>
        <v>0.85</v>
      </c>
      <c r="BK24" s="55">
        <f t="shared" si="87"/>
        <v>0.83</v>
      </c>
      <c r="BL24" s="55">
        <f t="shared" si="87"/>
        <v>0.80999999999999994</v>
      </c>
      <c r="BM24" s="55">
        <f t="shared" si="87"/>
        <v>0.78999999999999992</v>
      </c>
      <c r="BN24" s="55">
        <f t="shared" si="87"/>
        <v>0.76999999999999991</v>
      </c>
      <c r="BO24" s="55">
        <f t="shared" si="87"/>
        <v>0.74999999999999989</v>
      </c>
      <c r="BP24" s="55">
        <f t="shared" si="87"/>
        <v>0.72999999999999987</v>
      </c>
      <c r="BQ24" s="55">
        <f t="shared" si="87"/>
        <v>0.70999999999999985</v>
      </c>
      <c r="BR24" s="55">
        <f t="shared" si="87"/>
        <v>0.68999999999999984</v>
      </c>
      <c r="BS24" s="55">
        <f t="shared" si="87"/>
        <v>0.66999999999999982</v>
      </c>
      <c r="BT24" s="55">
        <f t="shared" si="87"/>
        <v>0.6499999999999998</v>
      </c>
      <c r="BU24" s="55">
        <f t="shared" si="87"/>
        <v>0.62999999999999978</v>
      </c>
      <c r="BV24" s="55">
        <f t="shared" si="87"/>
        <v>0.60999999999999976</v>
      </c>
      <c r="BW24" s="55">
        <f t="shared" si="87"/>
        <v>0.58999999999999975</v>
      </c>
      <c r="BX24" s="55">
        <f t="shared" si="87"/>
        <v>0.56999999999999973</v>
      </c>
      <c r="BZ24" s="55">
        <f t="shared" si="88"/>
        <v>53002.950000000012</v>
      </c>
      <c r="CA24" s="55">
        <f t="shared" si="89"/>
        <v>53002.950000000012</v>
      </c>
      <c r="CB24" s="59">
        <f t="shared" si="90"/>
        <v>175217.15211000005</v>
      </c>
      <c r="CC24" s="55">
        <f t="shared" si="91"/>
        <v>51412.861500000006</v>
      </c>
      <c r="CD24" s="59">
        <f t="shared" si="92"/>
        <v>169960.63754670002</v>
      </c>
      <c r="CE24" s="55">
        <f t="shared" si="93"/>
        <v>50352.802500000005</v>
      </c>
      <c r="CF24" s="59">
        <f t="shared" si="94"/>
        <v>166456.29450450002</v>
      </c>
      <c r="CG24" s="55">
        <f t="shared" si="21"/>
        <v>49292.743500000011</v>
      </c>
      <c r="CH24" s="59">
        <f t="shared" si="95"/>
        <v>162951.95146230003</v>
      </c>
      <c r="CI24" s="57">
        <f t="shared" si="22"/>
        <v>48232.68450000001</v>
      </c>
      <c r="CJ24" s="59">
        <f t="shared" si="96"/>
        <v>159447.60842010003</v>
      </c>
      <c r="CK24" s="55">
        <f t="shared" si="23"/>
        <v>47172.625500000009</v>
      </c>
      <c r="CL24" s="59">
        <f t="shared" si="97"/>
        <v>155943.26537790004</v>
      </c>
      <c r="CM24" s="57">
        <f t="shared" si="24"/>
        <v>46112.566500000008</v>
      </c>
      <c r="CN24" s="59">
        <f t="shared" si="98"/>
        <v>152438.92233570002</v>
      </c>
      <c r="CO24" s="60">
        <f t="shared" si="25"/>
        <v>45052.507500000007</v>
      </c>
      <c r="CP24" s="59">
        <f t="shared" si="99"/>
        <v>148934.57929350002</v>
      </c>
      <c r="CQ24" s="57">
        <f t="shared" si="26"/>
        <v>43992.448500000006</v>
      </c>
      <c r="CR24" s="59">
        <f t="shared" si="100"/>
        <v>145430.23625130003</v>
      </c>
      <c r="CS24" s="55">
        <f t="shared" si="27"/>
        <v>42932.389500000005</v>
      </c>
      <c r="CT24" s="59">
        <f t="shared" si="101"/>
        <v>141925.89320910003</v>
      </c>
      <c r="CU24" s="60">
        <f t="shared" si="28"/>
        <v>41872.330500000004</v>
      </c>
      <c r="CV24" s="59">
        <f t="shared" si="102"/>
        <v>138421.55016690001</v>
      </c>
      <c r="CW24" s="60">
        <f t="shared" si="29"/>
        <v>40812.271500000003</v>
      </c>
      <c r="CX24" s="59">
        <f t="shared" si="103"/>
        <v>134917.20712470001</v>
      </c>
      <c r="CY24" s="60">
        <f t="shared" si="30"/>
        <v>39752.212500000001</v>
      </c>
      <c r="CZ24" s="59">
        <f t="shared" si="104"/>
        <v>131412.86408250002</v>
      </c>
      <c r="DA24" s="55">
        <f t="shared" si="31"/>
        <v>38692.1535</v>
      </c>
      <c r="DB24" s="59">
        <f t="shared" si="105"/>
        <v>127908.52104030001</v>
      </c>
      <c r="DC24" s="60">
        <f t="shared" si="32"/>
        <v>37632.094499999999</v>
      </c>
      <c r="DD24" s="59">
        <f t="shared" si="106"/>
        <v>124404.1779981</v>
      </c>
      <c r="DE24" s="60">
        <f t="shared" si="33"/>
        <v>36572.035499999998</v>
      </c>
      <c r="DF24" s="59">
        <f t="shared" si="107"/>
        <v>120899.83495589999</v>
      </c>
      <c r="DG24" s="60">
        <f t="shared" si="34"/>
        <v>35511.976499999997</v>
      </c>
      <c r="DH24" s="59">
        <f t="shared" si="108"/>
        <v>117395.4919137</v>
      </c>
      <c r="DI24" s="60">
        <f t="shared" si="35"/>
        <v>34451.917499999996</v>
      </c>
      <c r="DJ24" s="59">
        <f t="shared" si="109"/>
        <v>113891.14887149999</v>
      </c>
      <c r="DK24" s="55">
        <f t="shared" si="36"/>
        <v>33391.858499999995</v>
      </c>
      <c r="DL24" s="59">
        <f t="shared" si="110"/>
        <v>110386.80582929999</v>
      </c>
      <c r="DM24" s="60">
        <f t="shared" si="37"/>
        <v>32331.799499999994</v>
      </c>
      <c r="DN24" s="59">
        <f t="shared" si="111"/>
        <v>106882.46278709998</v>
      </c>
      <c r="DO24" s="60">
        <f t="shared" si="38"/>
        <v>31271.740499999993</v>
      </c>
      <c r="DP24" s="59">
        <f t="shared" si="112"/>
        <v>103378.11974489997</v>
      </c>
      <c r="DQ24" s="55">
        <f t="shared" si="39"/>
        <v>30211.681499999992</v>
      </c>
      <c r="DR24" s="59">
        <f t="shared" si="113"/>
        <v>99873.776702699979</v>
      </c>
      <c r="DU24" s="55">
        <v>1</v>
      </c>
      <c r="DV24" s="55">
        <v>0.97</v>
      </c>
      <c r="DW24" s="55">
        <v>0.95</v>
      </c>
      <c r="DX24" s="55">
        <v>0.93</v>
      </c>
      <c r="DY24" s="55">
        <f t="shared" si="114"/>
        <v>0.91</v>
      </c>
      <c r="DZ24" s="55">
        <f t="shared" si="114"/>
        <v>0.89</v>
      </c>
      <c r="EA24" s="55">
        <f t="shared" si="114"/>
        <v>0.87</v>
      </c>
      <c r="EB24" s="55">
        <f t="shared" si="114"/>
        <v>0.85</v>
      </c>
      <c r="EC24" s="55">
        <f t="shared" si="114"/>
        <v>0.83</v>
      </c>
      <c r="ED24" s="55">
        <f t="shared" si="114"/>
        <v>0.80999999999999994</v>
      </c>
      <c r="EE24" s="55">
        <f t="shared" si="114"/>
        <v>0.78999999999999992</v>
      </c>
      <c r="EF24" s="55">
        <f t="shared" si="114"/>
        <v>0.76999999999999991</v>
      </c>
      <c r="EG24" s="55">
        <f t="shared" si="114"/>
        <v>0.74999999999999989</v>
      </c>
      <c r="EH24" s="55">
        <f t="shared" si="114"/>
        <v>0.72999999999999987</v>
      </c>
      <c r="EI24" s="55">
        <f t="shared" si="114"/>
        <v>0.70999999999999985</v>
      </c>
      <c r="EJ24" s="55">
        <f t="shared" si="114"/>
        <v>0.68999999999999984</v>
      </c>
      <c r="EK24" s="55">
        <f t="shared" si="114"/>
        <v>0.66999999999999982</v>
      </c>
      <c r="EL24" s="55">
        <f t="shared" si="114"/>
        <v>0.6499999999999998</v>
      </c>
      <c r="EM24" s="55">
        <f t="shared" si="114"/>
        <v>0.62999999999999978</v>
      </c>
      <c r="EN24" s="55">
        <f t="shared" si="114"/>
        <v>0.60999999999999976</v>
      </c>
      <c r="EO24" s="55">
        <f t="shared" si="114"/>
        <v>0.58999999999999975</v>
      </c>
      <c r="EP24" s="55">
        <f t="shared" si="114"/>
        <v>0.56999999999999973</v>
      </c>
      <c r="ER24" s="55">
        <f t="shared" si="115"/>
        <v>48232.68450000001</v>
      </c>
      <c r="ES24" s="55">
        <f t="shared" si="116"/>
        <v>48232.68450000001</v>
      </c>
      <c r="ET24" s="59">
        <f t="shared" si="117"/>
        <v>159447.60842010003</v>
      </c>
      <c r="EU24" s="55">
        <f t="shared" si="118"/>
        <v>46785.703965000008</v>
      </c>
      <c r="EV24" s="59">
        <f t="shared" si="119"/>
        <v>154664.18016749702</v>
      </c>
      <c r="EW24" s="55">
        <f t="shared" si="120"/>
        <v>45821.050275000009</v>
      </c>
      <c r="EX24" s="59">
        <f t="shared" si="121"/>
        <v>151475.22799909502</v>
      </c>
      <c r="EY24" s="55">
        <f t="shared" si="41"/>
        <v>44856.39658500001</v>
      </c>
      <c r="EZ24" s="59">
        <f t="shared" si="122"/>
        <v>148286.27583069305</v>
      </c>
      <c r="FA24" s="57">
        <f t="shared" si="42"/>
        <v>43891.74289500001</v>
      </c>
      <c r="FB24" s="59">
        <f t="shared" si="123"/>
        <v>145097.32366229105</v>
      </c>
      <c r="FC24" s="55">
        <f t="shared" si="43"/>
        <v>42927.089205000011</v>
      </c>
      <c r="FD24" s="59">
        <f t="shared" si="124"/>
        <v>141908.37149388905</v>
      </c>
      <c r="FE24" s="57">
        <f t="shared" si="44"/>
        <v>41962.435515000012</v>
      </c>
      <c r="FF24" s="59">
        <f t="shared" si="125"/>
        <v>138719.41932548705</v>
      </c>
      <c r="FG24" s="60">
        <f t="shared" si="45"/>
        <v>40997.781825000005</v>
      </c>
      <c r="FH24" s="59">
        <f t="shared" si="126"/>
        <v>135530.46715708502</v>
      </c>
      <c r="FI24" s="57">
        <f t="shared" si="46"/>
        <v>40033.128135000006</v>
      </c>
      <c r="FJ24" s="59">
        <f t="shared" si="127"/>
        <v>132341.51498868302</v>
      </c>
      <c r="FK24" s="55">
        <f t="shared" si="47"/>
        <v>39068.474445000007</v>
      </c>
      <c r="FL24" s="59">
        <f t="shared" si="128"/>
        <v>129152.56282028103</v>
      </c>
      <c r="FM24" s="60">
        <f t="shared" si="48"/>
        <v>38103.820755000008</v>
      </c>
      <c r="FN24" s="59">
        <f t="shared" si="129"/>
        <v>125963.61065187903</v>
      </c>
      <c r="FO24" s="60">
        <f t="shared" si="49"/>
        <v>37139.167065000001</v>
      </c>
      <c r="FP24" s="59">
        <f t="shared" si="130"/>
        <v>122774.658483477</v>
      </c>
      <c r="FQ24" s="60">
        <f t="shared" si="50"/>
        <v>36174.513375000002</v>
      </c>
      <c r="FR24" s="59">
        <f t="shared" si="131"/>
        <v>119585.706315075</v>
      </c>
      <c r="FS24" s="55">
        <f t="shared" si="51"/>
        <v>35209.859685000003</v>
      </c>
      <c r="FT24" s="59">
        <f t="shared" si="132"/>
        <v>116396.75414667302</v>
      </c>
      <c r="FU24" s="60">
        <f t="shared" si="52"/>
        <v>34245.205994999997</v>
      </c>
      <c r="FV24" s="59">
        <f t="shared" si="133"/>
        <v>113207.80197827099</v>
      </c>
      <c r="FW24" s="60">
        <f t="shared" si="53"/>
        <v>33280.552304999997</v>
      </c>
      <c r="FX24" s="59">
        <f t="shared" si="134"/>
        <v>110018.84980986899</v>
      </c>
      <c r="FY24" s="60">
        <f t="shared" si="54"/>
        <v>32315.898614999998</v>
      </c>
      <c r="FZ24" s="59">
        <f t="shared" si="135"/>
        <v>106829.897641467</v>
      </c>
      <c r="GA24" s="60">
        <f t="shared" si="55"/>
        <v>31351.244924999995</v>
      </c>
      <c r="GB24" s="59">
        <f t="shared" si="136"/>
        <v>103640.94547306499</v>
      </c>
      <c r="GC24" s="55">
        <f t="shared" si="56"/>
        <v>30386.591234999996</v>
      </c>
      <c r="GD24" s="59">
        <f t="shared" si="137"/>
        <v>100451.99330466299</v>
      </c>
      <c r="GE24" s="60">
        <f t="shared" si="57"/>
        <v>29421.937544999993</v>
      </c>
      <c r="GF24" s="59">
        <f t="shared" si="138"/>
        <v>97263.041136260974</v>
      </c>
      <c r="GG24" s="60">
        <f t="shared" si="58"/>
        <v>28457.283854999994</v>
      </c>
      <c r="GH24" s="59">
        <f t="shared" si="139"/>
        <v>94074.088967858988</v>
      </c>
      <c r="GI24" s="55">
        <f t="shared" si="59"/>
        <v>27492.630164999991</v>
      </c>
      <c r="GJ24" s="59">
        <f t="shared" si="140"/>
        <v>90885.136799456974</v>
      </c>
      <c r="GK24" s="55"/>
      <c r="GL24" s="55"/>
      <c r="GM24" s="55">
        <v>1</v>
      </c>
      <c r="GN24" s="55">
        <v>0.97</v>
      </c>
      <c r="GO24" s="55">
        <v>0.95</v>
      </c>
      <c r="GP24" s="55">
        <v>0.93</v>
      </c>
      <c r="GQ24" s="55">
        <f t="shared" si="141"/>
        <v>0.91</v>
      </c>
      <c r="GR24" s="55">
        <f t="shared" si="141"/>
        <v>0.89</v>
      </c>
      <c r="GS24" s="55">
        <f t="shared" si="141"/>
        <v>0.87</v>
      </c>
      <c r="GT24" s="55">
        <f t="shared" si="141"/>
        <v>0.85</v>
      </c>
      <c r="GU24" s="55">
        <f t="shared" si="141"/>
        <v>0.83</v>
      </c>
      <c r="GV24" s="55">
        <f t="shared" si="141"/>
        <v>0.80999999999999994</v>
      </c>
      <c r="GW24" s="55">
        <f t="shared" si="141"/>
        <v>0.78999999999999992</v>
      </c>
      <c r="GX24" s="55">
        <f t="shared" si="141"/>
        <v>0.76999999999999991</v>
      </c>
      <c r="GY24" s="55">
        <f t="shared" si="141"/>
        <v>0.74999999999999989</v>
      </c>
      <c r="GZ24" s="55">
        <f t="shared" si="141"/>
        <v>0.72999999999999987</v>
      </c>
      <c r="HA24" s="55">
        <f t="shared" si="141"/>
        <v>0.70999999999999985</v>
      </c>
      <c r="HB24" s="55">
        <f t="shared" si="141"/>
        <v>0.68999999999999984</v>
      </c>
      <c r="HC24" s="55">
        <f t="shared" si="141"/>
        <v>0.66999999999999982</v>
      </c>
      <c r="HD24" s="55">
        <f t="shared" si="141"/>
        <v>0.6499999999999998</v>
      </c>
      <c r="HE24" s="55">
        <f t="shared" si="141"/>
        <v>0.62999999999999978</v>
      </c>
      <c r="HF24" s="55">
        <f t="shared" si="141"/>
        <v>0.60999999999999976</v>
      </c>
      <c r="HG24" s="55">
        <f t="shared" si="141"/>
        <v>0.58999999999999975</v>
      </c>
      <c r="HH24" s="55">
        <f t="shared" si="141"/>
        <v>0.56999999999999973</v>
      </c>
    </row>
    <row r="25" spans="1:216" x14ac:dyDescent="0.3">
      <c r="B25" s="2">
        <v>8</v>
      </c>
      <c r="C25" s="35" t="s">
        <v>101</v>
      </c>
      <c r="D25" s="45">
        <f>+D148</f>
        <v>66080</v>
      </c>
      <c r="E25" s="67">
        <f t="shared" si="0"/>
        <v>218440</v>
      </c>
      <c r="H25" s="55">
        <f t="shared" si="61"/>
        <v>240284.00000000003</v>
      </c>
      <c r="I25" s="55">
        <f t="shared" si="62"/>
        <v>240284.00000000003</v>
      </c>
      <c r="J25" s="59">
        <f t="shared" si="63"/>
        <v>794330.84720000008</v>
      </c>
      <c r="K25" s="55">
        <f t="shared" si="64"/>
        <v>233075.48</v>
      </c>
      <c r="L25" s="59">
        <f t="shared" si="65"/>
        <v>770500.92178400001</v>
      </c>
      <c r="M25" s="55">
        <f t="shared" si="66"/>
        <v>228269.80000000002</v>
      </c>
      <c r="N25" s="59">
        <f t="shared" si="67"/>
        <v>754614.30484000011</v>
      </c>
      <c r="O25" s="55">
        <f t="shared" si="1"/>
        <v>223464.12000000002</v>
      </c>
      <c r="P25" s="59">
        <f t="shared" si="68"/>
        <v>738727.6878960001</v>
      </c>
      <c r="Q25" s="57">
        <f t="shared" si="2"/>
        <v>218658.44000000003</v>
      </c>
      <c r="R25" s="59">
        <f t="shared" si="69"/>
        <v>722841.0709520001</v>
      </c>
      <c r="S25" s="55">
        <f t="shared" si="3"/>
        <v>213852.76000000004</v>
      </c>
      <c r="T25" s="59">
        <f t="shared" si="70"/>
        <v>706954.45400800009</v>
      </c>
      <c r="U25" s="57">
        <f t="shared" si="4"/>
        <v>209047.08000000002</v>
      </c>
      <c r="V25" s="59">
        <f t="shared" si="71"/>
        <v>691067.83706400008</v>
      </c>
      <c r="W25" s="60">
        <f t="shared" si="5"/>
        <v>204241.40000000002</v>
      </c>
      <c r="X25" s="59">
        <f t="shared" si="72"/>
        <v>675181.22012000007</v>
      </c>
      <c r="Y25" s="57">
        <f t="shared" si="6"/>
        <v>199435.72</v>
      </c>
      <c r="Z25" s="59">
        <f t="shared" si="73"/>
        <v>659294.60317600006</v>
      </c>
      <c r="AA25" s="55">
        <f t="shared" si="7"/>
        <v>194630.04</v>
      </c>
      <c r="AB25" s="59">
        <f t="shared" si="74"/>
        <v>643407.98623200005</v>
      </c>
      <c r="AC25" s="60">
        <f t="shared" si="8"/>
        <v>189824.36000000002</v>
      </c>
      <c r="AD25" s="59">
        <f t="shared" si="75"/>
        <v>627521.36928800005</v>
      </c>
      <c r="AE25" s="60">
        <f t="shared" si="9"/>
        <v>185018.68</v>
      </c>
      <c r="AF25" s="59">
        <f t="shared" si="76"/>
        <v>611634.75234400004</v>
      </c>
      <c r="AG25" s="60">
        <f t="shared" si="10"/>
        <v>180213</v>
      </c>
      <c r="AH25" s="59">
        <f t="shared" si="77"/>
        <v>595748.13540000003</v>
      </c>
      <c r="AI25" s="55">
        <f t="shared" si="11"/>
        <v>175407.31999999998</v>
      </c>
      <c r="AJ25" s="59">
        <f t="shared" si="78"/>
        <v>579861.5184559999</v>
      </c>
      <c r="AK25" s="60">
        <f t="shared" si="12"/>
        <v>170601.63999999998</v>
      </c>
      <c r="AL25" s="59">
        <f t="shared" si="79"/>
        <v>563974.90151200001</v>
      </c>
      <c r="AM25" s="60">
        <f t="shared" si="13"/>
        <v>165795.96</v>
      </c>
      <c r="AN25" s="59">
        <f t="shared" si="80"/>
        <v>548088.284568</v>
      </c>
      <c r="AO25" s="60">
        <f t="shared" si="14"/>
        <v>160990.27999999997</v>
      </c>
      <c r="AP25" s="59">
        <f t="shared" si="81"/>
        <v>532201.66762399988</v>
      </c>
      <c r="AQ25" s="60">
        <f t="shared" si="15"/>
        <v>156184.59999999998</v>
      </c>
      <c r="AR25" s="59">
        <f t="shared" si="82"/>
        <v>516315.05067999993</v>
      </c>
      <c r="AS25" s="55">
        <f t="shared" si="16"/>
        <v>151378.91999999995</v>
      </c>
      <c r="AT25" s="59">
        <f t="shared" si="83"/>
        <v>500428.43373599986</v>
      </c>
      <c r="AU25" s="60">
        <f t="shared" si="17"/>
        <v>146573.23999999996</v>
      </c>
      <c r="AV25" s="59">
        <f t="shared" si="84"/>
        <v>484541.81679199991</v>
      </c>
      <c r="AW25" s="60">
        <f t="shared" si="18"/>
        <v>141767.55999999997</v>
      </c>
      <c r="AX25" s="59">
        <f t="shared" si="85"/>
        <v>468655.1998479999</v>
      </c>
      <c r="AY25" s="55">
        <f t="shared" si="19"/>
        <v>136961.87999999995</v>
      </c>
      <c r="AZ25" s="59">
        <f t="shared" si="86"/>
        <v>452768.58290399984</v>
      </c>
      <c r="BC25" s="55">
        <v>1</v>
      </c>
      <c r="BD25" s="55">
        <v>0.97</v>
      </c>
      <c r="BE25" s="55">
        <v>0.95</v>
      </c>
      <c r="BF25" s="55">
        <v>0.93</v>
      </c>
      <c r="BG25" s="55">
        <f t="shared" si="87"/>
        <v>0.91</v>
      </c>
      <c r="BH25" s="55">
        <f t="shared" si="87"/>
        <v>0.89</v>
      </c>
      <c r="BI25" s="55">
        <f t="shared" si="87"/>
        <v>0.87</v>
      </c>
      <c r="BJ25" s="55">
        <f t="shared" si="87"/>
        <v>0.85</v>
      </c>
      <c r="BK25" s="55">
        <f t="shared" si="87"/>
        <v>0.83</v>
      </c>
      <c r="BL25" s="55">
        <f t="shared" si="87"/>
        <v>0.80999999999999994</v>
      </c>
      <c r="BM25" s="55">
        <f t="shared" si="87"/>
        <v>0.78999999999999992</v>
      </c>
      <c r="BN25" s="55">
        <f t="shared" si="87"/>
        <v>0.76999999999999991</v>
      </c>
      <c r="BO25" s="55">
        <f t="shared" si="87"/>
        <v>0.74999999999999989</v>
      </c>
      <c r="BP25" s="55">
        <f t="shared" si="87"/>
        <v>0.72999999999999987</v>
      </c>
      <c r="BQ25" s="55">
        <f t="shared" si="87"/>
        <v>0.70999999999999985</v>
      </c>
      <c r="BR25" s="55">
        <f t="shared" si="87"/>
        <v>0.68999999999999984</v>
      </c>
      <c r="BS25" s="55">
        <f t="shared" si="87"/>
        <v>0.66999999999999982</v>
      </c>
      <c r="BT25" s="55">
        <f t="shared" si="87"/>
        <v>0.6499999999999998</v>
      </c>
      <c r="BU25" s="55">
        <f t="shared" si="87"/>
        <v>0.62999999999999978</v>
      </c>
      <c r="BV25" s="55">
        <f t="shared" si="87"/>
        <v>0.60999999999999976</v>
      </c>
      <c r="BW25" s="55">
        <f t="shared" si="87"/>
        <v>0.58999999999999975</v>
      </c>
      <c r="BX25" s="55">
        <f t="shared" si="87"/>
        <v>0.56999999999999973</v>
      </c>
      <c r="BZ25" s="55">
        <f t="shared" si="88"/>
        <v>218658.44000000003</v>
      </c>
      <c r="CA25" s="55">
        <f t="shared" si="89"/>
        <v>218658.44000000003</v>
      </c>
      <c r="CB25" s="59">
        <f t="shared" si="90"/>
        <v>722841.0709520001</v>
      </c>
      <c r="CC25" s="55">
        <f t="shared" si="91"/>
        <v>212098.68680000002</v>
      </c>
      <c r="CD25" s="59">
        <f t="shared" si="92"/>
        <v>701155.83882344014</v>
      </c>
      <c r="CE25" s="55">
        <f t="shared" si="93"/>
        <v>207725.51800000001</v>
      </c>
      <c r="CF25" s="59">
        <f t="shared" si="94"/>
        <v>686699.01740440005</v>
      </c>
      <c r="CG25" s="55">
        <f t="shared" si="21"/>
        <v>203352.34920000003</v>
      </c>
      <c r="CH25" s="59">
        <f t="shared" si="95"/>
        <v>672242.19598536007</v>
      </c>
      <c r="CI25" s="57">
        <f t="shared" si="22"/>
        <v>198979.18040000004</v>
      </c>
      <c r="CJ25" s="59">
        <f t="shared" si="96"/>
        <v>657785.3745663201</v>
      </c>
      <c r="CK25" s="55">
        <f t="shared" si="23"/>
        <v>194606.01160000003</v>
      </c>
      <c r="CL25" s="59">
        <f t="shared" si="97"/>
        <v>643328.55314728012</v>
      </c>
      <c r="CM25" s="57">
        <f t="shared" si="24"/>
        <v>190232.84280000001</v>
      </c>
      <c r="CN25" s="59">
        <f t="shared" si="98"/>
        <v>628871.73172824003</v>
      </c>
      <c r="CO25" s="60">
        <f t="shared" si="25"/>
        <v>185859.67400000003</v>
      </c>
      <c r="CP25" s="59">
        <f t="shared" si="99"/>
        <v>614414.91030920006</v>
      </c>
      <c r="CQ25" s="57">
        <f t="shared" si="26"/>
        <v>181486.50520000001</v>
      </c>
      <c r="CR25" s="59">
        <f t="shared" si="100"/>
        <v>599958.08889016008</v>
      </c>
      <c r="CS25" s="55">
        <f t="shared" si="27"/>
        <v>177113.3364</v>
      </c>
      <c r="CT25" s="59">
        <f t="shared" si="101"/>
        <v>585501.26747111999</v>
      </c>
      <c r="CU25" s="60">
        <f t="shared" si="28"/>
        <v>172740.16760000002</v>
      </c>
      <c r="CV25" s="59">
        <f t="shared" si="102"/>
        <v>571044.44605208002</v>
      </c>
      <c r="CW25" s="60">
        <f t="shared" si="29"/>
        <v>168366.9988</v>
      </c>
      <c r="CX25" s="59">
        <f t="shared" si="103"/>
        <v>556587.62463304005</v>
      </c>
      <c r="CY25" s="60">
        <f t="shared" si="30"/>
        <v>163993.82999999999</v>
      </c>
      <c r="CZ25" s="59">
        <f t="shared" si="104"/>
        <v>542130.80321399996</v>
      </c>
      <c r="DA25" s="55">
        <f t="shared" si="31"/>
        <v>159620.6612</v>
      </c>
      <c r="DB25" s="59">
        <f t="shared" si="105"/>
        <v>527673.98179495998</v>
      </c>
      <c r="DC25" s="60">
        <f t="shared" si="32"/>
        <v>155247.49239999999</v>
      </c>
      <c r="DD25" s="59">
        <f t="shared" si="106"/>
        <v>513217.16037591995</v>
      </c>
      <c r="DE25" s="60">
        <f t="shared" si="33"/>
        <v>150874.32359999997</v>
      </c>
      <c r="DF25" s="59">
        <f t="shared" si="107"/>
        <v>498760.33895687992</v>
      </c>
      <c r="DG25" s="60">
        <f t="shared" si="34"/>
        <v>146501.15479999999</v>
      </c>
      <c r="DH25" s="59">
        <f t="shared" si="108"/>
        <v>484303.51753784</v>
      </c>
      <c r="DI25" s="60">
        <f t="shared" si="35"/>
        <v>142127.98599999998</v>
      </c>
      <c r="DJ25" s="59">
        <f t="shared" si="109"/>
        <v>469846.69611879991</v>
      </c>
      <c r="DK25" s="55">
        <f t="shared" si="36"/>
        <v>137754.81719999996</v>
      </c>
      <c r="DL25" s="59">
        <f t="shared" si="110"/>
        <v>455389.87469975988</v>
      </c>
      <c r="DM25" s="60">
        <f t="shared" si="37"/>
        <v>133381.64839999998</v>
      </c>
      <c r="DN25" s="59">
        <f t="shared" si="111"/>
        <v>440933.05328071991</v>
      </c>
      <c r="DO25" s="60">
        <f t="shared" si="38"/>
        <v>129008.47959999996</v>
      </c>
      <c r="DP25" s="59">
        <f t="shared" si="112"/>
        <v>426476.23186167987</v>
      </c>
      <c r="DQ25" s="55">
        <f t="shared" si="39"/>
        <v>124635.31079999996</v>
      </c>
      <c r="DR25" s="59">
        <f t="shared" si="113"/>
        <v>412019.4104426399</v>
      </c>
      <c r="DU25" s="55">
        <v>1</v>
      </c>
      <c r="DV25" s="55">
        <v>0.97</v>
      </c>
      <c r="DW25" s="55">
        <v>0.95</v>
      </c>
      <c r="DX25" s="55">
        <v>0.93</v>
      </c>
      <c r="DY25" s="55">
        <f t="shared" si="114"/>
        <v>0.91</v>
      </c>
      <c r="DZ25" s="55">
        <f t="shared" si="114"/>
        <v>0.89</v>
      </c>
      <c r="EA25" s="55">
        <f t="shared" si="114"/>
        <v>0.87</v>
      </c>
      <c r="EB25" s="55">
        <f t="shared" si="114"/>
        <v>0.85</v>
      </c>
      <c r="EC25" s="55">
        <f t="shared" si="114"/>
        <v>0.83</v>
      </c>
      <c r="ED25" s="55">
        <f t="shared" si="114"/>
        <v>0.80999999999999994</v>
      </c>
      <c r="EE25" s="55">
        <f t="shared" si="114"/>
        <v>0.78999999999999992</v>
      </c>
      <c r="EF25" s="55">
        <f t="shared" si="114"/>
        <v>0.76999999999999991</v>
      </c>
      <c r="EG25" s="55">
        <f t="shared" si="114"/>
        <v>0.74999999999999989</v>
      </c>
      <c r="EH25" s="55">
        <f t="shared" si="114"/>
        <v>0.72999999999999987</v>
      </c>
      <c r="EI25" s="55">
        <f t="shared" si="114"/>
        <v>0.70999999999999985</v>
      </c>
      <c r="EJ25" s="55">
        <f t="shared" si="114"/>
        <v>0.68999999999999984</v>
      </c>
      <c r="EK25" s="55">
        <f t="shared" si="114"/>
        <v>0.66999999999999982</v>
      </c>
      <c r="EL25" s="55">
        <f t="shared" si="114"/>
        <v>0.6499999999999998</v>
      </c>
      <c r="EM25" s="55">
        <f t="shared" si="114"/>
        <v>0.62999999999999978</v>
      </c>
      <c r="EN25" s="55">
        <f t="shared" si="114"/>
        <v>0.60999999999999976</v>
      </c>
      <c r="EO25" s="55">
        <f t="shared" si="114"/>
        <v>0.58999999999999975</v>
      </c>
      <c r="EP25" s="55">
        <f t="shared" si="114"/>
        <v>0.56999999999999973</v>
      </c>
      <c r="ER25" s="55">
        <f t="shared" si="115"/>
        <v>198979.18040000004</v>
      </c>
      <c r="ES25" s="55">
        <f t="shared" si="116"/>
        <v>198979.18040000004</v>
      </c>
      <c r="ET25" s="59">
        <f t="shared" si="117"/>
        <v>657785.3745663201</v>
      </c>
      <c r="EU25" s="55">
        <f t="shared" si="118"/>
        <v>193009.80498800005</v>
      </c>
      <c r="EV25" s="59">
        <f t="shared" si="119"/>
        <v>638051.81332933053</v>
      </c>
      <c r="EW25" s="55">
        <f t="shared" si="120"/>
        <v>189030.22138000003</v>
      </c>
      <c r="EX25" s="59">
        <f t="shared" si="121"/>
        <v>624896.10583800415</v>
      </c>
      <c r="EY25" s="55">
        <f t="shared" si="41"/>
        <v>185050.63777200005</v>
      </c>
      <c r="EZ25" s="59">
        <f t="shared" si="122"/>
        <v>611740.39834667777</v>
      </c>
      <c r="FA25" s="57">
        <f t="shared" si="42"/>
        <v>181071.05416400003</v>
      </c>
      <c r="FB25" s="59">
        <f t="shared" si="123"/>
        <v>598584.69085535128</v>
      </c>
      <c r="FC25" s="55">
        <f t="shared" si="43"/>
        <v>177091.47055600004</v>
      </c>
      <c r="FD25" s="59">
        <f t="shared" si="124"/>
        <v>585428.98336402501</v>
      </c>
      <c r="FE25" s="57">
        <f t="shared" si="44"/>
        <v>173111.88694800003</v>
      </c>
      <c r="FF25" s="59">
        <f t="shared" si="125"/>
        <v>572273.27587269852</v>
      </c>
      <c r="FG25" s="60">
        <f t="shared" si="45"/>
        <v>169132.30334000004</v>
      </c>
      <c r="FH25" s="59">
        <f t="shared" si="126"/>
        <v>559117.56838137214</v>
      </c>
      <c r="FI25" s="57">
        <f t="shared" si="46"/>
        <v>165152.71973200003</v>
      </c>
      <c r="FJ25" s="59">
        <f t="shared" si="127"/>
        <v>545961.86089004565</v>
      </c>
      <c r="FK25" s="55">
        <f t="shared" si="47"/>
        <v>161173.13612400001</v>
      </c>
      <c r="FL25" s="59">
        <f t="shared" si="128"/>
        <v>532806.15339871927</v>
      </c>
      <c r="FM25" s="60">
        <f t="shared" si="48"/>
        <v>157193.55251600003</v>
      </c>
      <c r="FN25" s="59">
        <f t="shared" si="129"/>
        <v>519650.44590739289</v>
      </c>
      <c r="FO25" s="60">
        <f t="shared" si="49"/>
        <v>153213.96890800001</v>
      </c>
      <c r="FP25" s="59">
        <f t="shared" si="130"/>
        <v>506494.73841606645</v>
      </c>
      <c r="FQ25" s="60">
        <f t="shared" si="50"/>
        <v>149234.38529999999</v>
      </c>
      <c r="FR25" s="59">
        <f t="shared" si="131"/>
        <v>493339.03092474001</v>
      </c>
      <c r="FS25" s="55">
        <f t="shared" si="51"/>
        <v>145254.80169200001</v>
      </c>
      <c r="FT25" s="59">
        <f t="shared" si="132"/>
        <v>480183.32343341364</v>
      </c>
      <c r="FU25" s="60">
        <f t="shared" si="52"/>
        <v>141275.21808399999</v>
      </c>
      <c r="FV25" s="59">
        <f t="shared" si="133"/>
        <v>467027.6159420872</v>
      </c>
      <c r="FW25" s="60">
        <f t="shared" si="53"/>
        <v>137295.63447600001</v>
      </c>
      <c r="FX25" s="59">
        <f t="shared" si="134"/>
        <v>453871.90845076082</v>
      </c>
      <c r="FY25" s="60">
        <f t="shared" si="54"/>
        <v>133316.05086799999</v>
      </c>
      <c r="FZ25" s="59">
        <f t="shared" si="135"/>
        <v>440716.20095943438</v>
      </c>
      <c r="GA25" s="60">
        <f t="shared" si="55"/>
        <v>129336.46725999999</v>
      </c>
      <c r="GB25" s="59">
        <f t="shared" si="136"/>
        <v>427560.493468108</v>
      </c>
      <c r="GC25" s="55">
        <f t="shared" si="56"/>
        <v>125356.88365199999</v>
      </c>
      <c r="GD25" s="59">
        <f t="shared" si="137"/>
        <v>414404.78597678157</v>
      </c>
      <c r="GE25" s="60">
        <f t="shared" si="57"/>
        <v>121377.30004399997</v>
      </c>
      <c r="GF25" s="59">
        <f t="shared" si="138"/>
        <v>401249.07848545513</v>
      </c>
      <c r="GG25" s="60">
        <f t="shared" si="58"/>
        <v>117397.71643599997</v>
      </c>
      <c r="GH25" s="59">
        <f t="shared" si="139"/>
        <v>388093.37099412869</v>
      </c>
      <c r="GI25" s="55">
        <f t="shared" si="59"/>
        <v>113418.13282799997</v>
      </c>
      <c r="GJ25" s="59">
        <f t="shared" si="140"/>
        <v>374937.66350280232</v>
      </c>
      <c r="GK25" s="55"/>
      <c r="GL25" s="55"/>
      <c r="GM25" s="55">
        <v>1</v>
      </c>
      <c r="GN25" s="55">
        <v>0.97</v>
      </c>
      <c r="GO25" s="55">
        <v>0.95</v>
      </c>
      <c r="GP25" s="55">
        <v>0.93</v>
      </c>
      <c r="GQ25" s="55">
        <f t="shared" si="141"/>
        <v>0.91</v>
      </c>
      <c r="GR25" s="55">
        <f t="shared" si="141"/>
        <v>0.89</v>
      </c>
      <c r="GS25" s="55">
        <f t="shared" si="141"/>
        <v>0.87</v>
      </c>
      <c r="GT25" s="55">
        <f t="shared" si="141"/>
        <v>0.85</v>
      </c>
      <c r="GU25" s="55">
        <f t="shared" si="141"/>
        <v>0.83</v>
      </c>
      <c r="GV25" s="55">
        <f t="shared" si="141"/>
        <v>0.80999999999999994</v>
      </c>
      <c r="GW25" s="55">
        <f t="shared" si="141"/>
        <v>0.78999999999999992</v>
      </c>
      <c r="GX25" s="55">
        <f t="shared" si="141"/>
        <v>0.76999999999999991</v>
      </c>
      <c r="GY25" s="55">
        <f t="shared" si="141"/>
        <v>0.74999999999999989</v>
      </c>
      <c r="GZ25" s="55">
        <f t="shared" si="141"/>
        <v>0.72999999999999987</v>
      </c>
      <c r="HA25" s="55">
        <f t="shared" si="141"/>
        <v>0.70999999999999985</v>
      </c>
      <c r="HB25" s="55">
        <f t="shared" si="141"/>
        <v>0.68999999999999984</v>
      </c>
      <c r="HC25" s="55">
        <f t="shared" si="141"/>
        <v>0.66999999999999982</v>
      </c>
      <c r="HD25" s="55">
        <f t="shared" si="141"/>
        <v>0.6499999999999998</v>
      </c>
      <c r="HE25" s="55">
        <f t="shared" si="141"/>
        <v>0.62999999999999978</v>
      </c>
      <c r="HF25" s="55">
        <f t="shared" si="141"/>
        <v>0.60999999999999976</v>
      </c>
      <c r="HG25" s="55">
        <f t="shared" si="141"/>
        <v>0.58999999999999975</v>
      </c>
      <c r="HH25" s="55">
        <f t="shared" si="141"/>
        <v>0.56999999999999973</v>
      </c>
    </row>
    <row r="26" spans="1:216" x14ac:dyDescent="0.3">
      <c r="B26" s="2">
        <v>9</v>
      </c>
      <c r="C26" s="35" t="s">
        <v>102</v>
      </c>
      <c r="D26" s="45">
        <f>+D155</f>
        <v>35700</v>
      </c>
      <c r="E26" s="67">
        <f t="shared" si="0"/>
        <v>118010</v>
      </c>
      <c r="H26" s="55">
        <f t="shared" si="61"/>
        <v>129811.00000000001</v>
      </c>
      <c r="I26" s="55">
        <f t="shared" si="62"/>
        <v>129811.00000000001</v>
      </c>
      <c r="J26" s="59">
        <f t="shared" si="63"/>
        <v>429129.20380000008</v>
      </c>
      <c r="K26" s="55">
        <f t="shared" si="64"/>
        <v>125916.67000000001</v>
      </c>
      <c r="L26" s="59">
        <f t="shared" si="65"/>
        <v>416255.32768600003</v>
      </c>
      <c r="M26" s="55">
        <f t="shared" si="66"/>
        <v>123320.45000000001</v>
      </c>
      <c r="N26" s="59">
        <f t="shared" si="67"/>
        <v>407672.74361000006</v>
      </c>
      <c r="O26" s="55">
        <f t="shared" si="1"/>
        <v>120724.23000000003</v>
      </c>
      <c r="P26" s="59">
        <f t="shared" si="68"/>
        <v>399090.15953400009</v>
      </c>
      <c r="Q26" s="57">
        <f t="shared" si="2"/>
        <v>118128.01000000002</v>
      </c>
      <c r="R26" s="59">
        <f t="shared" si="69"/>
        <v>390507.57545800006</v>
      </c>
      <c r="S26" s="55">
        <f t="shared" si="3"/>
        <v>115531.79000000001</v>
      </c>
      <c r="T26" s="59">
        <f t="shared" si="70"/>
        <v>381924.99138200004</v>
      </c>
      <c r="U26" s="57">
        <f t="shared" si="4"/>
        <v>112935.57</v>
      </c>
      <c r="V26" s="59">
        <f t="shared" si="71"/>
        <v>373342.40730600001</v>
      </c>
      <c r="W26" s="60">
        <f t="shared" si="5"/>
        <v>110339.35</v>
      </c>
      <c r="X26" s="59">
        <f t="shared" si="72"/>
        <v>364759.82323000004</v>
      </c>
      <c r="Y26" s="57">
        <f t="shared" si="6"/>
        <v>107743.13</v>
      </c>
      <c r="Z26" s="59">
        <f t="shared" si="73"/>
        <v>356177.23915400001</v>
      </c>
      <c r="AA26" s="55">
        <f t="shared" si="7"/>
        <v>105146.91</v>
      </c>
      <c r="AB26" s="59">
        <f t="shared" si="74"/>
        <v>347594.65507800004</v>
      </c>
      <c r="AC26" s="60">
        <f t="shared" si="8"/>
        <v>102550.69</v>
      </c>
      <c r="AD26" s="59">
        <f t="shared" si="75"/>
        <v>339012.07100200001</v>
      </c>
      <c r="AE26" s="60">
        <f t="shared" si="9"/>
        <v>99954.47</v>
      </c>
      <c r="AF26" s="59">
        <f t="shared" si="76"/>
        <v>330429.48692599998</v>
      </c>
      <c r="AG26" s="60">
        <f t="shared" si="10"/>
        <v>97358.25</v>
      </c>
      <c r="AH26" s="59">
        <f t="shared" si="77"/>
        <v>321846.90285000001</v>
      </c>
      <c r="AI26" s="55">
        <f t="shared" si="11"/>
        <v>94762.03</v>
      </c>
      <c r="AJ26" s="59">
        <f t="shared" si="78"/>
        <v>313264.31877399998</v>
      </c>
      <c r="AK26" s="60">
        <f t="shared" si="12"/>
        <v>92165.81</v>
      </c>
      <c r="AL26" s="59">
        <f t="shared" si="79"/>
        <v>304681.73469800001</v>
      </c>
      <c r="AM26" s="60">
        <f t="shared" si="13"/>
        <v>89569.589999999982</v>
      </c>
      <c r="AN26" s="59">
        <f t="shared" si="80"/>
        <v>296099.15062199993</v>
      </c>
      <c r="AO26" s="60">
        <f t="shared" si="14"/>
        <v>86973.369999999981</v>
      </c>
      <c r="AP26" s="59">
        <f t="shared" si="81"/>
        <v>287516.56654599996</v>
      </c>
      <c r="AQ26" s="60">
        <f t="shared" si="15"/>
        <v>84377.14999999998</v>
      </c>
      <c r="AR26" s="59">
        <f t="shared" si="82"/>
        <v>278933.98246999993</v>
      </c>
      <c r="AS26" s="55">
        <f t="shared" si="16"/>
        <v>81780.929999999978</v>
      </c>
      <c r="AT26" s="59">
        <f t="shared" si="83"/>
        <v>270351.39839399996</v>
      </c>
      <c r="AU26" s="60">
        <f t="shared" si="17"/>
        <v>79184.709999999977</v>
      </c>
      <c r="AV26" s="59">
        <f t="shared" si="84"/>
        <v>261768.81431799993</v>
      </c>
      <c r="AW26" s="60">
        <f t="shared" si="18"/>
        <v>76588.489999999976</v>
      </c>
      <c r="AX26" s="59">
        <f t="shared" si="85"/>
        <v>253186.23024199993</v>
      </c>
      <c r="AY26" s="55">
        <f t="shared" si="19"/>
        <v>73992.269999999975</v>
      </c>
      <c r="AZ26" s="59">
        <f t="shared" si="86"/>
        <v>244603.64616599993</v>
      </c>
      <c r="BC26" s="55">
        <v>1</v>
      </c>
      <c r="BD26" s="55">
        <v>0.97</v>
      </c>
      <c r="BE26" s="55">
        <v>0.95</v>
      </c>
      <c r="BF26" s="55">
        <v>0.93</v>
      </c>
      <c r="BG26" s="55">
        <f t="shared" si="87"/>
        <v>0.91</v>
      </c>
      <c r="BH26" s="55">
        <f t="shared" si="87"/>
        <v>0.89</v>
      </c>
      <c r="BI26" s="55">
        <f t="shared" si="87"/>
        <v>0.87</v>
      </c>
      <c r="BJ26" s="55">
        <f t="shared" si="87"/>
        <v>0.85</v>
      </c>
      <c r="BK26" s="55">
        <f t="shared" si="87"/>
        <v>0.83</v>
      </c>
      <c r="BL26" s="55">
        <f t="shared" si="87"/>
        <v>0.80999999999999994</v>
      </c>
      <c r="BM26" s="55">
        <f t="shared" si="87"/>
        <v>0.78999999999999992</v>
      </c>
      <c r="BN26" s="55">
        <f t="shared" si="87"/>
        <v>0.76999999999999991</v>
      </c>
      <c r="BO26" s="55">
        <f t="shared" si="87"/>
        <v>0.74999999999999989</v>
      </c>
      <c r="BP26" s="55">
        <f t="shared" si="87"/>
        <v>0.72999999999999987</v>
      </c>
      <c r="BQ26" s="55">
        <f t="shared" si="87"/>
        <v>0.70999999999999985</v>
      </c>
      <c r="BR26" s="55">
        <f t="shared" si="87"/>
        <v>0.68999999999999984</v>
      </c>
      <c r="BS26" s="55">
        <f t="shared" si="87"/>
        <v>0.66999999999999982</v>
      </c>
      <c r="BT26" s="55">
        <f t="shared" si="87"/>
        <v>0.6499999999999998</v>
      </c>
      <c r="BU26" s="55">
        <f t="shared" si="87"/>
        <v>0.62999999999999978</v>
      </c>
      <c r="BV26" s="55">
        <f t="shared" si="87"/>
        <v>0.60999999999999976</v>
      </c>
      <c r="BW26" s="55">
        <f t="shared" si="87"/>
        <v>0.58999999999999975</v>
      </c>
      <c r="BX26" s="55">
        <f t="shared" si="87"/>
        <v>0.56999999999999973</v>
      </c>
      <c r="BZ26" s="55">
        <f t="shared" si="88"/>
        <v>118128.01000000002</v>
      </c>
      <c r="CA26" s="55">
        <f t="shared" si="89"/>
        <v>118128.01000000002</v>
      </c>
      <c r="CB26" s="59">
        <f t="shared" si="90"/>
        <v>390507.57545800006</v>
      </c>
      <c r="CC26" s="55">
        <f t="shared" si="91"/>
        <v>114584.16970000001</v>
      </c>
      <c r="CD26" s="59">
        <f t="shared" si="92"/>
        <v>378792.34819426003</v>
      </c>
      <c r="CE26" s="55">
        <f t="shared" si="93"/>
        <v>112221.60950000002</v>
      </c>
      <c r="CF26" s="59">
        <f t="shared" si="94"/>
        <v>370982.19668510009</v>
      </c>
      <c r="CG26" s="55">
        <f t="shared" si="21"/>
        <v>109859.04930000003</v>
      </c>
      <c r="CH26" s="59">
        <f t="shared" si="95"/>
        <v>363172.04517594009</v>
      </c>
      <c r="CI26" s="57">
        <f t="shared" si="22"/>
        <v>107496.48910000002</v>
      </c>
      <c r="CJ26" s="59">
        <f t="shared" si="96"/>
        <v>355361.89366678009</v>
      </c>
      <c r="CK26" s="55">
        <f t="shared" si="23"/>
        <v>105133.92890000003</v>
      </c>
      <c r="CL26" s="59">
        <f t="shared" si="97"/>
        <v>347551.74215762009</v>
      </c>
      <c r="CM26" s="57">
        <f t="shared" si="24"/>
        <v>102771.36870000002</v>
      </c>
      <c r="CN26" s="59">
        <f t="shared" si="98"/>
        <v>339741.59064846009</v>
      </c>
      <c r="CO26" s="60">
        <f t="shared" si="25"/>
        <v>100408.80850000001</v>
      </c>
      <c r="CP26" s="59">
        <f t="shared" si="99"/>
        <v>331931.43913930003</v>
      </c>
      <c r="CQ26" s="57">
        <f t="shared" si="26"/>
        <v>98046.248300000021</v>
      </c>
      <c r="CR26" s="59">
        <f t="shared" si="100"/>
        <v>324121.28763014008</v>
      </c>
      <c r="CS26" s="55">
        <f t="shared" si="27"/>
        <v>95683.688100000014</v>
      </c>
      <c r="CT26" s="59">
        <f t="shared" si="101"/>
        <v>316311.13612098008</v>
      </c>
      <c r="CU26" s="60">
        <f t="shared" si="28"/>
        <v>93321.127900000007</v>
      </c>
      <c r="CV26" s="59">
        <f t="shared" si="102"/>
        <v>308500.98461182002</v>
      </c>
      <c r="CW26" s="60">
        <f t="shared" si="29"/>
        <v>90958.567700000014</v>
      </c>
      <c r="CX26" s="59">
        <f t="shared" si="103"/>
        <v>300690.83310266008</v>
      </c>
      <c r="CY26" s="60">
        <f t="shared" si="30"/>
        <v>88596.007500000007</v>
      </c>
      <c r="CZ26" s="59">
        <f t="shared" si="104"/>
        <v>292880.68159350002</v>
      </c>
      <c r="DA26" s="55">
        <f t="shared" si="31"/>
        <v>86233.4473</v>
      </c>
      <c r="DB26" s="59">
        <f t="shared" si="105"/>
        <v>285070.53008434002</v>
      </c>
      <c r="DC26" s="60">
        <f t="shared" si="32"/>
        <v>83870.887099999993</v>
      </c>
      <c r="DD26" s="59">
        <f t="shared" si="106"/>
        <v>277260.37857517996</v>
      </c>
      <c r="DE26" s="60">
        <f t="shared" si="33"/>
        <v>81508.3269</v>
      </c>
      <c r="DF26" s="59">
        <f t="shared" si="107"/>
        <v>269450.22706602002</v>
      </c>
      <c r="DG26" s="60">
        <f t="shared" si="34"/>
        <v>79145.766699999993</v>
      </c>
      <c r="DH26" s="59">
        <f t="shared" si="108"/>
        <v>261640.07555685999</v>
      </c>
      <c r="DI26" s="60">
        <f t="shared" si="35"/>
        <v>76783.206499999986</v>
      </c>
      <c r="DJ26" s="59">
        <f t="shared" si="109"/>
        <v>253829.92404769995</v>
      </c>
      <c r="DK26" s="55">
        <f t="shared" si="36"/>
        <v>74420.646299999993</v>
      </c>
      <c r="DL26" s="59">
        <f t="shared" si="110"/>
        <v>246019.77253853998</v>
      </c>
      <c r="DM26" s="60">
        <f t="shared" si="37"/>
        <v>72058.086099999986</v>
      </c>
      <c r="DN26" s="59">
        <f t="shared" si="111"/>
        <v>238209.62102937995</v>
      </c>
      <c r="DO26" s="60">
        <f t="shared" si="38"/>
        <v>69695.525899999979</v>
      </c>
      <c r="DP26" s="59">
        <f t="shared" si="112"/>
        <v>230399.46952021992</v>
      </c>
      <c r="DQ26" s="55">
        <f t="shared" si="39"/>
        <v>67332.965699999986</v>
      </c>
      <c r="DR26" s="59">
        <f t="shared" si="113"/>
        <v>222589.31801105995</v>
      </c>
      <c r="DU26" s="55">
        <v>1</v>
      </c>
      <c r="DV26" s="55">
        <v>0.97</v>
      </c>
      <c r="DW26" s="55">
        <v>0.95</v>
      </c>
      <c r="DX26" s="55">
        <v>0.93</v>
      </c>
      <c r="DY26" s="55">
        <f t="shared" si="114"/>
        <v>0.91</v>
      </c>
      <c r="DZ26" s="55">
        <f t="shared" si="114"/>
        <v>0.89</v>
      </c>
      <c r="EA26" s="55">
        <f t="shared" si="114"/>
        <v>0.87</v>
      </c>
      <c r="EB26" s="55">
        <f t="shared" si="114"/>
        <v>0.85</v>
      </c>
      <c r="EC26" s="55">
        <f t="shared" si="114"/>
        <v>0.83</v>
      </c>
      <c r="ED26" s="55">
        <f t="shared" si="114"/>
        <v>0.80999999999999994</v>
      </c>
      <c r="EE26" s="55">
        <f t="shared" si="114"/>
        <v>0.78999999999999992</v>
      </c>
      <c r="EF26" s="55">
        <f t="shared" si="114"/>
        <v>0.76999999999999991</v>
      </c>
      <c r="EG26" s="55">
        <f t="shared" si="114"/>
        <v>0.74999999999999989</v>
      </c>
      <c r="EH26" s="55">
        <f t="shared" si="114"/>
        <v>0.72999999999999987</v>
      </c>
      <c r="EI26" s="55">
        <f t="shared" si="114"/>
        <v>0.70999999999999985</v>
      </c>
      <c r="EJ26" s="55">
        <f t="shared" si="114"/>
        <v>0.68999999999999984</v>
      </c>
      <c r="EK26" s="55">
        <f t="shared" si="114"/>
        <v>0.66999999999999982</v>
      </c>
      <c r="EL26" s="55">
        <f t="shared" si="114"/>
        <v>0.6499999999999998</v>
      </c>
      <c r="EM26" s="55">
        <f t="shared" si="114"/>
        <v>0.62999999999999978</v>
      </c>
      <c r="EN26" s="55">
        <f t="shared" si="114"/>
        <v>0.60999999999999976</v>
      </c>
      <c r="EO26" s="55">
        <f t="shared" si="114"/>
        <v>0.58999999999999975</v>
      </c>
      <c r="EP26" s="55">
        <f t="shared" si="114"/>
        <v>0.56999999999999973</v>
      </c>
      <c r="ER26" s="55">
        <f t="shared" si="115"/>
        <v>107496.48910000002</v>
      </c>
      <c r="ES26" s="55">
        <f t="shared" si="116"/>
        <v>107496.48910000002</v>
      </c>
      <c r="ET26" s="59">
        <f t="shared" si="117"/>
        <v>355361.89366678009</v>
      </c>
      <c r="EU26" s="55">
        <f t="shared" si="118"/>
        <v>104271.59442700002</v>
      </c>
      <c r="EV26" s="59">
        <f t="shared" si="119"/>
        <v>344701.03685677669</v>
      </c>
      <c r="EW26" s="55">
        <f t="shared" si="120"/>
        <v>102121.66464500001</v>
      </c>
      <c r="EX26" s="59">
        <f t="shared" si="121"/>
        <v>337593.79898344103</v>
      </c>
      <c r="EY26" s="55">
        <f t="shared" si="41"/>
        <v>99971.73486300002</v>
      </c>
      <c r="EZ26" s="59">
        <f t="shared" si="122"/>
        <v>330486.56111010548</v>
      </c>
      <c r="FA26" s="57">
        <f t="shared" si="42"/>
        <v>97821.805081000028</v>
      </c>
      <c r="FB26" s="59">
        <f t="shared" si="123"/>
        <v>323379.32323676988</v>
      </c>
      <c r="FC26" s="55">
        <f t="shared" si="43"/>
        <v>95671.875299000021</v>
      </c>
      <c r="FD26" s="59">
        <f t="shared" si="124"/>
        <v>316272.08536343428</v>
      </c>
      <c r="FE26" s="57">
        <f t="shared" si="44"/>
        <v>93521.945517000015</v>
      </c>
      <c r="FF26" s="59">
        <f t="shared" si="125"/>
        <v>309164.84749009868</v>
      </c>
      <c r="FG26" s="60">
        <f t="shared" si="45"/>
        <v>91372.015735000008</v>
      </c>
      <c r="FH26" s="59">
        <f t="shared" si="126"/>
        <v>302057.60961676302</v>
      </c>
      <c r="FI26" s="57">
        <f t="shared" si="46"/>
        <v>89222.085953000016</v>
      </c>
      <c r="FJ26" s="59">
        <f t="shared" si="127"/>
        <v>294950.37174342747</v>
      </c>
      <c r="FK26" s="55">
        <f t="shared" si="47"/>
        <v>87072.15617100001</v>
      </c>
      <c r="FL26" s="59">
        <f t="shared" si="128"/>
        <v>287843.13387009181</v>
      </c>
      <c r="FM26" s="60">
        <f t="shared" si="48"/>
        <v>84922.226389000003</v>
      </c>
      <c r="FN26" s="59">
        <f t="shared" si="129"/>
        <v>280735.89599675621</v>
      </c>
      <c r="FO26" s="60">
        <f t="shared" si="49"/>
        <v>82772.296607000011</v>
      </c>
      <c r="FP26" s="59">
        <f t="shared" si="130"/>
        <v>273628.65812342067</v>
      </c>
      <c r="FQ26" s="60">
        <f t="shared" si="50"/>
        <v>80622.366825000005</v>
      </c>
      <c r="FR26" s="59">
        <f t="shared" si="131"/>
        <v>266521.42025008501</v>
      </c>
      <c r="FS26" s="55">
        <f t="shared" si="51"/>
        <v>78472.437042999998</v>
      </c>
      <c r="FT26" s="59">
        <f t="shared" si="132"/>
        <v>259414.18237674941</v>
      </c>
      <c r="FU26" s="60">
        <f t="shared" si="52"/>
        <v>76322.507261000006</v>
      </c>
      <c r="FV26" s="59">
        <f t="shared" si="133"/>
        <v>252306.94450341383</v>
      </c>
      <c r="FW26" s="60">
        <f t="shared" si="53"/>
        <v>74172.577479</v>
      </c>
      <c r="FX26" s="59">
        <f t="shared" si="134"/>
        <v>245199.7066300782</v>
      </c>
      <c r="FY26" s="60">
        <f t="shared" si="54"/>
        <v>72022.647696999993</v>
      </c>
      <c r="FZ26" s="59">
        <f t="shared" si="135"/>
        <v>238092.46875674257</v>
      </c>
      <c r="GA26" s="60">
        <f t="shared" si="55"/>
        <v>69872.717914999987</v>
      </c>
      <c r="GB26" s="59">
        <f t="shared" si="136"/>
        <v>230985.23088340697</v>
      </c>
      <c r="GC26" s="55">
        <f t="shared" si="56"/>
        <v>67722.788132999995</v>
      </c>
      <c r="GD26" s="59">
        <f t="shared" si="137"/>
        <v>223877.9930100714</v>
      </c>
      <c r="GE26" s="60">
        <f t="shared" si="57"/>
        <v>65572.858350999988</v>
      </c>
      <c r="GF26" s="59">
        <f t="shared" si="138"/>
        <v>216770.75513673577</v>
      </c>
      <c r="GG26" s="60">
        <f t="shared" si="58"/>
        <v>63422.928568999982</v>
      </c>
      <c r="GH26" s="59">
        <f t="shared" si="139"/>
        <v>209663.51726340014</v>
      </c>
      <c r="GI26" s="55">
        <f t="shared" si="59"/>
        <v>61272.998786999982</v>
      </c>
      <c r="GJ26" s="59">
        <f t="shared" si="140"/>
        <v>202556.27939006453</v>
      </c>
      <c r="GK26" s="55"/>
      <c r="GL26" s="55"/>
      <c r="GM26" s="55">
        <v>1</v>
      </c>
      <c r="GN26" s="55">
        <v>0.97</v>
      </c>
      <c r="GO26" s="55">
        <v>0.95</v>
      </c>
      <c r="GP26" s="55">
        <v>0.93</v>
      </c>
      <c r="GQ26" s="55">
        <f t="shared" si="141"/>
        <v>0.91</v>
      </c>
      <c r="GR26" s="55">
        <f t="shared" si="141"/>
        <v>0.89</v>
      </c>
      <c r="GS26" s="55">
        <f t="shared" si="141"/>
        <v>0.87</v>
      </c>
      <c r="GT26" s="55">
        <f t="shared" si="141"/>
        <v>0.85</v>
      </c>
      <c r="GU26" s="55">
        <f t="shared" si="141"/>
        <v>0.83</v>
      </c>
      <c r="GV26" s="55">
        <f t="shared" si="141"/>
        <v>0.80999999999999994</v>
      </c>
      <c r="GW26" s="55">
        <f t="shared" si="141"/>
        <v>0.78999999999999992</v>
      </c>
      <c r="GX26" s="55">
        <f t="shared" si="141"/>
        <v>0.76999999999999991</v>
      </c>
      <c r="GY26" s="55">
        <f t="shared" si="141"/>
        <v>0.74999999999999989</v>
      </c>
      <c r="GZ26" s="55">
        <f t="shared" si="141"/>
        <v>0.72999999999999987</v>
      </c>
      <c r="HA26" s="55">
        <f t="shared" si="141"/>
        <v>0.70999999999999985</v>
      </c>
      <c r="HB26" s="55">
        <f t="shared" si="141"/>
        <v>0.68999999999999984</v>
      </c>
      <c r="HC26" s="55">
        <f t="shared" si="141"/>
        <v>0.66999999999999982</v>
      </c>
      <c r="HD26" s="55">
        <f t="shared" si="141"/>
        <v>0.6499999999999998</v>
      </c>
      <c r="HE26" s="55">
        <f t="shared" si="141"/>
        <v>0.62999999999999978</v>
      </c>
      <c r="HF26" s="55">
        <f t="shared" si="141"/>
        <v>0.60999999999999976</v>
      </c>
      <c r="HG26" s="55">
        <f t="shared" si="141"/>
        <v>0.58999999999999975</v>
      </c>
      <c r="HH26" s="55">
        <f t="shared" si="141"/>
        <v>0.56999999999999973</v>
      </c>
    </row>
    <row r="27" spans="1:216" x14ac:dyDescent="0.3">
      <c r="B27" s="2">
        <v>10</v>
      </c>
      <c r="C27" s="35" t="s">
        <v>156</v>
      </c>
      <c r="D27" s="53">
        <f>TRUNC(SUM(D18:D26)*0.275,-1)</f>
        <v>434730</v>
      </c>
      <c r="E27" s="68">
        <f t="shared" si="0"/>
        <v>1437130</v>
      </c>
      <c r="H27" s="55">
        <f t="shared" si="61"/>
        <v>1580843.0000000002</v>
      </c>
      <c r="I27" s="55">
        <f t="shared" si="62"/>
        <v>1580843.0000000002</v>
      </c>
      <c r="J27" s="59">
        <f t="shared" si="63"/>
        <v>5225950.7894000011</v>
      </c>
      <c r="K27" s="55">
        <f t="shared" si="64"/>
        <v>1533417.7100000002</v>
      </c>
      <c r="L27" s="59">
        <f t="shared" si="65"/>
        <v>5069172.2657180009</v>
      </c>
      <c r="M27" s="55">
        <f t="shared" si="66"/>
        <v>1501800.85</v>
      </c>
      <c r="N27" s="59">
        <f t="shared" si="67"/>
        <v>4964653.2499300009</v>
      </c>
      <c r="O27" s="55">
        <f t="shared" si="1"/>
        <v>1470183.9900000002</v>
      </c>
      <c r="P27" s="59">
        <f t="shared" si="68"/>
        <v>4860134.2341420008</v>
      </c>
      <c r="Q27" s="57">
        <f t="shared" si="2"/>
        <v>1438567.1300000004</v>
      </c>
      <c r="R27" s="59">
        <f t="shared" si="69"/>
        <v>4755615.2183540016</v>
      </c>
      <c r="S27" s="55">
        <f t="shared" si="3"/>
        <v>1406950.2700000003</v>
      </c>
      <c r="T27" s="59">
        <f t="shared" si="70"/>
        <v>4651096.2025660006</v>
      </c>
      <c r="U27" s="57">
        <f t="shared" si="4"/>
        <v>1375333.4100000001</v>
      </c>
      <c r="V27" s="59">
        <f t="shared" si="71"/>
        <v>4546577.1867780006</v>
      </c>
      <c r="W27" s="60">
        <f t="shared" si="5"/>
        <v>1343716.55</v>
      </c>
      <c r="X27" s="59">
        <f t="shared" si="72"/>
        <v>4442058.1709900005</v>
      </c>
      <c r="Y27" s="57">
        <f t="shared" si="6"/>
        <v>1312099.6900000002</v>
      </c>
      <c r="Z27" s="59">
        <f t="shared" si="73"/>
        <v>4337539.1552020004</v>
      </c>
      <c r="AA27" s="55">
        <f t="shared" si="7"/>
        <v>1280482.83</v>
      </c>
      <c r="AB27" s="59">
        <f t="shared" si="74"/>
        <v>4233020.1394140003</v>
      </c>
      <c r="AC27" s="60">
        <f t="shared" si="8"/>
        <v>1248865.97</v>
      </c>
      <c r="AD27" s="59">
        <f t="shared" si="75"/>
        <v>4128501.1236259998</v>
      </c>
      <c r="AE27" s="60">
        <f t="shared" si="9"/>
        <v>1217249.1100000001</v>
      </c>
      <c r="AF27" s="59">
        <f t="shared" si="76"/>
        <v>4023982.1078380006</v>
      </c>
      <c r="AG27" s="60">
        <f t="shared" si="10"/>
        <v>1185632.25</v>
      </c>
      <c r="AH27" s="59">
        <f t="shared" si="77"/>
        <v>3919463.0920500001</v>
      </c>
      <c r="AI27" s="55">
        <f t="shared" si="11"/>
        <v>1154015.3899999999</v>
      </c>
      <c r="AJ27" s="59">
        <f t="shared" si="78"/>
        <v>3814944.0762619996</v>
      </c>
      <c r="AK27" s="60">
        <f t="shared" si="12"/>
        <v>1122398.53</v>
      </c>
      <c r="AL27" s="59">
        <f t="shared" si="79"/>
        <v>3710425.0604740004</v>
      </c>
      <c r="AM27" s="60">
        <f t="shared" si="13"/>
        <v>1090781.67</v>
      </c>
      <c r="AN27" s="59">
        <f t="shared" si="80"/>
        <v>3605906.0446859999</v>
      </c>
      <c r="AO27" s="60">
        <f t="shared" si="14"/>
        <v>1059164.8099999998</v>
      </c>
      <c r="AP27" s="59">
        <f t="shared" si="81"/>
        <v>3501387.0288979993</v>
      </c>
      <c r="AQ27" s="60">
        <f t="shared" si="15"/>
        <v>1027547.9499999998</v>
      </c>
      <c r="AR27" s="59">
        <f t="shared" si="82"/>
        <v>3396868.0131099997</v>
      </c>
      <c r="AS27" s="55">
        <f t="shared" si="16"/>
        <v>995931.08999999985</v>
      </c>
      <c r="AT27" s="59">
        <f t="shared" si="83"/>
        <v>3292348.9973219996</v>
      </c>
      <c r="AU27" s="60">
        <f t="shared" si="17"/>
        <v>964314.22999999975</v>
      </c>
      <c r="AV27" s="59">
        <f t="shared" si="84"/>
        <v>3187829.9815339991</v>
      </c>
      <c r="AW27" s="60">
        <f t="shared" si="18"/>
        <v>932697.36999999976</v>
      </c>
      <c r="AX27" s="59">
        <f t="shared" si="85"/>
        <v>3083310.9657459995</v>
      </c>
      <c r="AY27" s="55">
        <f t="shared" si="19"/>
        <v>901080.50999999966</v>
      </c>
      <c r="AZ27" s="59">
        <f t="shared" si="86"/>
        <v>2978791.9499579989</v>
      </c>
      <c r="BC27" s="55">
        <v>1</v>
      </c>
      <c r="BD27" s="55">
        <v>0.97</v>
      </c>
      <c r="BE27" s="55">
        <v>0.95</v>
      </c>
      <c r="BF27" s="55">
        <v>0.93</v>
      </c>
      <c r="BG27" s="55">
        <f t="shared" si="87"/>
        <v>0.91</v>
      </c>
      <c r="BH27" s="55">
        <f t="shared" si="87"/>
        <v>0.89</v>
      </c>
      <c r="BI27" s="55">
        <f t="shared" si="87"/>
        <v>0.87</v>
      </c>
      <c r="BJ27" s="55">
        <f t="shared" si="87"/>
        <v>0.85</v>
      </c>
      <c r="BK27" s="55">
        <f t="shared" si="87"/>
        <v>0.83</v>
      </c>
      <c r="BL27" s="55">
        <f t="shared" si="87"/>
        <v>0.80999999999999994</v>
      </c>
      <c r="BM27" s="55">
        <f t="shared" si="87"/>
        <v>0.78999999999999992</v>
      </c>
      <c r="BN27" s="55">
        <f t="shared" si="87"/>
        <v>0.76999999999999991</v>
      </c>
      <c r="BO27" s="55">
        <f t="shared" si="87"/>
        <v>0.74999999999999989</v>
      </c>
      <c r="BP27" s="55">
        <f t="shared" si="87"/>
        <v>0.72999999999999987</v>
      </c>
      <c r="BQ27" s="55">
        <f t="shared" si="87"/>
        <v>0.70999999999999985</v>
      </c>
      <c r="BR27" s="55">
        <f t="shared" si="87"/>
        <v>0.68999999999999984</v>
      </c>
      <c r="BS27" s="55">
        <f t="shared" si="87"/>
        <v>0.66999999999999982</v>
      </c>
      <c r="BT27" s="55">
        <f t="shared" si="87"/>
        <v>0.6499999999999998</v>
      </c>
      <c r="BU27" s="55">
        <f t="shared" si="87"/>
        <v>0.62999999999999978</v>
      </c>
      <c r="BV27" s="55">
        <f t="shared" si="87"/>
        <v>0.60999999999999976</v>
      </c>
      <c r="BW27" s="55">
        <f t="shared" si="87"/>
        <v>0.58999999999999975</v>
      </c>
      <c r="BX27" s="55">
        <f t="shared" si="87"/>
        <v>0.56999999999999973</v>
      </c>
      <c r="BZ27" s="55">
        <f>+H27*0.7</f>
        <v>1106590.1000000001</v>
      </c>
      <c r="CA27" s="55">
        <f t="shared" si="89"/>
        <v>1106590.1000000001</v>
      </c>
      <c r="CB27" s="59">
        <f t="shared" si="90"/>
        <v>3658165.5525800004</v>
      </c>
      <c r="CC27" s="55">
        <f t="shared" si="91"/>
        <v>1073392.3970000001</v>
      </c>
      <c r="CD27" s="59">
        <f t="shared" si="92"/>
        <v>3548420.5860026004</v>
      </c>
      <c r="CE27" s="55">
        <f t="shared" si="93"/>
        <v>1051260.595</v>
      </c>
      <c r="CF27" s="59">
        <f t="shared" si="94"/>
        <v>3475257.2749509998</v>
      </c>
      <c r="CG27" s="55">
        <f t="shared" si="21"/>
        <v>1029128.7930000002</v>
      </c>
      <c r="CH27" s="59">
        <f t="shared" si="95"/>
        <v>3402093.9638994006</v>
      </c>
      <c r="CI27" s="57">
        <f t="shared" si="22"/>
        <v>1006996.9910000002</v>
      </c>
      <c r="CJ27" s="59">
        <f t="shared" si="96"/>
        <v>3328930.6528478004</v>
      </c>
      <c r="CK27" s="55">
        <f t="shared" si="23"/>
        <v>984865.18900000013</v>
      </c>
      <c r="CL27" s="59">
        <f t="shared" si="97"/>
        <v>3255767.3417962007</v>
      </c>
      <c r="CM27" s="57">
        <f t="shared" si="24"/>
        <v>962733.3870000001</v>
      </c>
      <c r="CN27" s="59">
        <f t="shared" si="98"/>
        <v>3182604.0307446006</v>
      </c>
      <c r="CO27" s="60">
        <f t="shared" si="25"/>
        <v>940601.58500000008</v>
      </c>
      <c r="CP27" s="59">
        <f t="shared" si="99"/>
        <v>3109440.7196930004</v>
      </c>
      <c r="CQ27" s="57">
        <f t="shared" si="26"/>
        <v>918469.78300000005</v>
      </c>
      <c r="CR27" s="59">
        <f t="shared" si="100"/>
        <v>3036277.4086414003</v>
      </c>
      <c r="CS27" s="55">
        <f t="shared" si="27"/>
        <v>896337.98100000003</v>
      </c>
      <c r="CT27" s="59">
        <f t="shared" si="101"/>
        <v>2963114.0975898001</v>
      </c>
      <c r="CU27" s="60">
        <f t="shared" si="28"/>
        <v>874206.179</v>
      </c>
      <c r="CV27" s="59">
        <f t="shared" si="102"/>
        <v>2889950.7865382</v>
      </c>
      <c r="CW27" s="60">
        <f t="shared" si="29"/>
        <v>852074.37699999998</v>
      </c>
      <c r="CX27" s="59">
        <f t="shared" si="103"/>
        <v>2816787.4754865998</v>
      </c>
      <c r="CY27" s="60">
        <f t="shared" si="30"/>
        <v>829942.57499999995</v>
      </c>
      <c r="CZ27" s="59">
        <f t="shared" si="104"/>
        <v>2743624.1644349997</v>
      </c>
      <c r="DA27" s="55">
        <f t="shared" si="31"/>
        <v>807810.77299999993</v>
      </c>
      <c r="DB27" s="59">
        <f t="shared" si="105"/>
        <v>2670460.8533834</v>
      </c>
      <c r="DC27" s="60">
        <f t="shared" si="32"/>
        <v>785678.9709999999</v>
      </c>
      <c r="DD27" s="59">
        <f t="shared" si="106"/>
        <v>2597297.5423317999</v>
      </c>
      <c r="DE27" s="60">
        <f t="shared" si="33"/>
        <v>763547.16899999988</v>
      </c>
      <c r="DF27" s="59">
        <f t="shared" si="107"/>
        <v>2524134.2312801997</v>
      </c>
      <c r="DG27" s="60">
        <f t="shared" si="34"/>
        <v>741415.36699999985</v>
      </c>
      <c r="DH27" s="59">
        <f t="shared" si="108"/>
        <v>2450970.9202285996</v>
      </c>
      <c r="DI27" s="60">
        <f t="shared" si="35"/>
        <v>719283.56499999983</v>
      </c>
      <c r="DJ27" s="59">
        <f t="shared" si="109"/>
        <v>2377807.6091769994</v>
      </c>
      <c r="DK27" s="55">
        <f t="shared" si="36"/>
        <v>697151.7629999998</v>
      </c>
      <c r="DL27" s="59">
        <f t="shared" si="110"/>
        <v>2304644.2981253993</v>
      </c>
      <c r="DM27" s="60">
        <f t="shared" si="37"/>
        <v>675019.96099999978</v>
      </c>
      <c r="DN27" s="59">
        <f t="shared" si="111"/>
        <v>2231480.9870737991</v>
      </c>
      <c r="DO27" s="60">
        <f t="shared" si="38"/>
        <v>652888.15899999975</v>
      </c>
      <c r="DP27" s="59">
        <f t="shared" si="112"/>
        <v>2158317.6760221994</v>
      </c>
      <c r="DQ27" s="55">
        <f t="shared" si="39"/>
        <v>630756.35699999973</v>
      </c>
      <c r="DR27" s="59">
        <f t="shared" si="113"/>
        <v>2085154.3649705991</v>
      </c>
      <c r="DU27" s="55">
        <v>1</v>
      </c>
      <c r="DV27" s="55">
        <v>0.97</v>
      </c>
      <c r="DW27" s="55">
        <v>0.95</v>
      </c>
      <c r="DX27" s="55">
        <v>0.93</v>
      </c>
      <c r="DY27" s="55">
        <f t="shared" si="114"/>
        <v>0.91</v>
      </c>
      <c r="DZ27" s="55">
        <f t="shared" si="114"/>
        <v>0.89</v>
      </c>
      <c r="EA27" s="55">
        <f t="shared" si="114"/>
        <v>0.87</v>
      </c>
      <c r="EB27" s="55">
        <f t="shared" si="114"/>
        <v>0.85</v>
      </c>
      <c r="EC27" s="55">
        <f t="shared" si="114"/>
        <v>0.83</v>
      </c>
      <c r="ED27" s="55">
        <f t="shared" si="114"/>
        <v>0.80999999999999994</v>
      </c>
      <c r="EE27" s="55">
        <f t="shared" si="114"/>
        <v>0.78999999999999992</v>
      </c>
      <c r="EF27" s="55">
        <f t="shared" si="114"/>
        <v>0.76999999999999991</v>
      </c>
      <c r="EG27" s="55">
        <f t="shared" si="114"/>
        <v>0.74999999999999989</v>
      </c>
      <c r="EH27" s="55">
        <f t="shared" si="114"/>
        <v>0.72999999999999987</v>
      </c>
      <c r="EI27" s="55">
        <f t="shared" si="114"/>
        <v>0.70999999999999985</v>
      </c>
      <c r="EJ27" s="55">
        <f t="shared" si="114"/>
        <v>0.68999999999999984</v>
      </c>
      <c r="EK27" s="55">
        <f t="shared" si="114"/>
        <v>0.66999999999999982</v>
      </c>
      <c r="EL27" s="55">
        <f t="shared" si="114"/>
        <v>0.6499999999999998</v>
      </c>
      <c r="EM27" s="55">
        <f t="shared" si="114"/>
        <v>0.62999999999999978</v>
      </c>
      <c r="EN27" s="55">
        <f t="shared" si="114"/>
        <v>0.60999999999999976</v>
      </c>
      <c r="EO27" s="55">
        <f t="shared" si="114"/>
        <v>0.58999999999999975</v>
      </c>
      <c r="EP27" s="55">
        <f t="shared" si="114"/>
        <v>0.56999999999999973</v>
      </c>
      <c r="ER27" s="55">
        <f>+BZ27*0.7</f>
        <v>774613.07000000007</v>
      </c>
      <c r="ES27" s="55">
        <f t="shared" si="116"/>
        <v>774613.07000000007</v>
      </c>
      <c r="ET27" s="59">
        <f t="shared" si="117"/>
        <v>2560715.8868060005</v>
      </c>
      <c r="EU27" s="55">
        <f t="shared" si="118"/>
        <v>751374.67790000001</v>
      </c>
      <c r="EV27" s="59">
        <f t="shared" si="119"/>
        <v>2483894.4102018201</v>
      </c>
      <c r="EW27" s="55">
        <f t="shared" si="120"/>
        <v>735882.41650000005</v>
      </c>
      <c r="EX27" s="59">
        <f t="shared" si="121"/>
        <v>2432680.0924657001</v>
      </c>
      <c r="EY27" s="55">
        <f t="shared" si="41"/>
        <v>720390.15510000009</v>
      </c>
      <c r="EZ27" s="59">
        <f t="shared" si="122"/>
        <v>2381465.7747295802</v>
      </c>
      <c r="FA27" s="57">
        <f t="shared" si="42"/>
        <v>704897.89370000013</v>
      </c>
      <c r="FB27" s="59">
        <f t="shared" si="123"/>
        <v>2330251.4569934607</v>
      </c>
      <c r="FC27" s="55">
        <f t="shared" si="43"/>
        <v>689405.63230000006</v>
      </c>
      <c r="FD27" s="59">
        <f t="shared" si="124"/>
        <v>2279037.1392573402</v>
      </c>
      <c r="FE27" s="57">
        <f t="shared" si="44"/>
        <v>673913.3709000001</v>
      </c>
      <c r="FF27" s="59">
        <f t="shared" si="125"/>
        <v>2227822.8215212203</v>
      </c>
      <c r="FG27" s="60">
        <f t="shared" si="45"/>
        <v>658421.10950000002</v>
      </c>
      <c r="FH27" s="59">
        <f t="shared" si="126"/>
        <v>2176608.5037851003</v>
      </c>
      <c r="FI27" s="57">
        <f t="shared" si="46"/>
        <v>642928.84810000006</v>
      </c>
      <c r="FJ27" s="59">
        <f t="shared" si="127"/>
        <v>2125394.1860489803</v>
      </c>
      <c r="FK27" s="55">
        <f t="shared" si="47"/>
        <v>627436.58669999999</v>
      </c>
      <c r="FL27" s="59">
        <f t="shared" si="128"/>
        <v>2074179.8683128599</v>
      </c>
      <c r="FM27" s="60">
        <f t="shared" si="48"/>
        <v>611944.32530000003</v>
      </c>
      <c r="FN27" s="59">
        <f t="shared" si="129"/>
        <v>2022965.5505767402</v>
      </c>
      <c r="FO27" s="60">
        <f t="shared" si="49"/>
        <v>596452.06389999995</v>
      </c>
      <c r="FP27" s="59">
        <f t="shared" si="130"/>
        <v>1971751.23284062</v>
      </c>
      <c r="FQ27" s="60">
        <f t="shared" si="50"/>
        <v>580959.80249999999</v>
      </c>
      <c r="FR27" s="59">
        <f t="shared" si="131"/>
        <v>1920536.9151045</v>
      </c>
      <c r="FS27" s="55">
        <f t="shared" si="51"/>
        <v>565467.54109999991</v>
      </c>
      <c r="FT27" s="59">
        <f t="shared" si="132"/>
        <v>1869322.5973683798</v>
      </c>
      <c r="FU27" s="60">
        <f t="shared" si="52"/>
        <v>549975.27969999996</v>
      </c>
      <c r="FV27" s="59">
        <f t="shared" si="133"/>
        <v>1818108.2796322599</v>
      </c>
      <c r="FW27" s="60">
        <f t="shared" si="53"/>
        <v>534483.01829999988</v>
      </c>
      <c r="FX27" s="59">
        <f t="shared" si="134"/>
        <v>1766893.9618961397</v>
      </c>
      <c r="FY27" s="60">
        <f t="shared" si="54"/>
        <v>518990.75689999992</v>
      </c>
      <c r="FZ27" s="59">
        <f t="shared" si="135"/>
        <v>1715679.6441600197</v>
      </c>
      <c r="GA27" s="60">
        <f t="shared" si="55"/>
        <v>503498.4954999999</v>
      </c>
      <c r="GB27" s="59">
        <f t="shared" si="136"/>
        <v>1664465.3264238997</v>
      </c>
      <c r="GC27" s="55">
        <f t="shared" si="56"/>
        <v>488006.23409999989</v>
      </c>
      <c r="GD27" s="59">
        <f t="shared" si="137"/>
        <v>1613251.0086877795</v>
      </c>
      <c r="GE27" s="60">
        <f t="shared" si="57"/>
        <v>472513.97269999987</v>
      </c>
      <c r="GF27" s="59">
        <f t="shared" si="138"/>
        <v>1562036.6909516596</v>
      </c>
      <c r="GG27" s="60">
        <f t="shared" si="58"/>
        <v>457021.71129999985</v>
      </c>
      <c r="GH27" s="59">
        <f t="shared" si="139"/>
        <v>1510822.3732155396</v>
      </c>
      <c r="GI27" s="55">
        <f t="shared" si="59"/>
        <v>441529.44989999983</v>
      </c>
      <c r="GJ27" s="59">
        <f t="shared" si="140"/>
        <v>1459608.0554794194</v>
      </c>
      <c r="GK27" s="55"/>
      <c r="GL27" s="55"/>
      <c r="GM27" s="55">
        <v>1</v>
      </c>
      <c r="GN27" s="55">
        <v>0.97</v>
      </c>
      <c r="GO27" s="55">
        <v>0.95</v>
      </c>
      <c r="GP27" s="55">
        <v>0.93</v>
      </c>
      <c r="GQ27" s="55">
        <f t="shared" si="141"/>
        <v>0.91</v>
      </c>
      <c r="GR27" s="55">
        <f t="shared" si="141"/>
        <v>0.89</v>
      </c>
      <c r="GS27" s="55">
        <f t="shared" si="141"/>
        <v>0.87</v>
      </c>
      <c r="GT27" s="55">
        <f t="shared" si="141"/>
        <v>0.85</v>
      </c>
      <c r="GU27" s="55">
        <f t="shared" si="141"/>
        <v>0.83</v>
      </c>
      <c r="GV27" s="55">
        <f t="shared" si="141"/>
        <v>0.80999999999999994</v>
      </c>
      <c r="GW27" s="55">
        <f t="shared" si="141"/>
        <v>0.78999999999999992</v>
      </c>
      <c r="GX27" s="55">
        <f t="shared" si="141"/>
        <v>0.76999999999999991</v>
      </c>
      <c r="GY27" s="55">
        <f t="shared" si="141"/>
        <v>0.74999999999999989</v>
      </c>
      <c r="GZ27" s="55">
        <f t="shared" si="141"/>
        <v>0.72999999999999987</v>
      </c>
      <c r="HA27" s="55">
        <f t="shared" si="141"/>
        <v>0.70999999999999985</v>
      </c>
      <c r="HB27" s="55">
        <f t="shared" si="141"/>
        <v>0.68999999999999984</v>
      </c>
      <c r="HC27" s="55">
        <f t="shared" si="141"/>
        <v>0.66999999999999982</v>
      </c>
      <c r="HD27" s="55">
        <f t="shared" si="141"/>
        <v>0.6499999999999998</v>
      </c>
      <c r="HE27" s="55">
        <f t="shared" si="141"/>
        <v>0.62999999999999978</v>
      </c>
      <c r="HF27" s="55">
        <f t="shared" si="141"/>
        <v>0.60999999999999976</v>
      </c>
      <c r="HG27" s="55">
        <f t="shared" si="141"/>
        <v>0.58999999999999975</v>
      </c>
      <c r="HH27" s="55">
        <f t="shared" si="141"/>
        <v>0.56999999999999973</v>
      </c>
    </row>
    <row r="28" spans="1:216" x14ac:dyDescent="0.3">
      <c r="C28" s="35" t="s">
        <v>113</v>
      </c>
      <c r="D28" s="44">
        <f>SUM(D18:D27)</f>
        <v>2015590</v>
      </c>
      <c r="E28" s="44">
        <f>SUM(E18:E27)</f>
        <v>6663080</v>
      </c>
      <c r="H28" s="55">
        <f t="shared" si="61"/>
        <v>7329388.0000000009</v>
      </c>
      <c r="I28" s="55">
        <f t="shared" si="62"/>
        <v>7329388.0000000009</v>
      </c>
      <c r="J28" s="59">
        <f t="shared" si="63"/>
        <v>24229490.850400005</v>
      </c>
      <c r="K28" s="55">
        <f t="shared" si="64"/>
        <v>7109506.3600000003</v>
      </c>
      <c r="L28" s="59">
        <f t="shared" si="65"/>
        <v>23502606.124888003</v>
      </c>
      <c r="M28" s="55">
        <f t="shared" si="66"/>
        <v>6962918.6000000006</v>
      </c>
      <c r="N28" s="59">
        <f t="shared" si="67"/>
        <v>23018016.307880003</v>
      </c>
      <c r="O28" s="55">
        <f t="shared" si="1"/>
        <v>6816330.8400000008</v>
      </c>
      <c r="P28" s="59">
        <f t="shared" si="68"/>
        <v>22533426.490872003</v>
      </c>
      <c r="Q28" s="57">
        <f t="shared" si="2"/>
        <v>6669743.080000001</v>
      </c>
      <c r="R28" s="59">
        <f t="shared" si="69"/>
        <v>22048836.673864003</v>
      </c>
      <c r="S28" s="55">
        <f t="shared" si="3"/>
        <v>6523155.3200000012</v>
      </c>
      <c r="T28" s="59">
        <f t="shared" si="70"/>
        <v>21564246.856856003</v>
      </c>
      <c r="U28" s="57">
        <f t="shared" si="4"/>
        <v>6376567.5600000005</v>
      </c>
      <c r="V28" s="59">
        <f t="shared" si="71"/>
        <v>21079657.039848004</v>
      </c>
      <c r="W28" s="60">
        <f t="shared" si="5"/>
        <v>6229979.8000000007</v>
      </c>
      <c r="X28" s="59">
        <f t="shared" si="72"/>
        <v>20595067.222840004</v>
      </c>
      <c r="Y28" s="57">
        <f t="shared" si="6"/>
        <v>6083392.04</v>
      </c>
      <c r="Z28" s="59">
        <f t="shared" si="73"/>
        <v>20110477.405832</v>
      </c>
      <c r="AA28" s="55">
        <f t="shared" si="7"/>
        <v>5936804.2800000003</v>
      </c>
      <c r="AB28" s="59">
        <f t="shared" si="74"/>
        <v>19625887.588824</v>
      </c>
      <c r="AC28" s="60">
        <f t="shared" si="8"/>
        <v>5790216.5200000005</v>
      </c>
      <c r="AD28" s="59">
        <f t="shared" si="75"/>
        <v>19141297.771816</v>
      </c>
      <c r="AE28" s="60">
        <f t="shared" si="9"/>
        <v>5643628.7599999998</v>
      </c>
      <c r="AF28" s="59">
        <f t="shared" si="76"/>
        <v>18656707.954808</v>
      </c>
      <c r="AG28" s="60">
        <f t="shared" si="10"/>
        <v>5497041</v>
      </c>
      <c r="AH28" s="59">
        <f t="shared" si="77"/>
        <v>18172118.137800001</v>
      </c>
      <c r="AI28" s="55">
        <f t="shared" si="11"/>
        <v>5350453.2399999993</v>
      </c>
      <c r="AJ28" s="59">
        <f t="shared" si="78"/>
        <v>17687528.320791997</v>
      </c>
      <c r="AK28" s="60">
        <f t="shared" si="12"/>
        <v>5203865.4799999995</v>
      </c>
      <c r="AL28" s="59">
        <f t="shared" si="79"/>
        <v>17202938.503783997</v>
      </c>
      <c r="AM28" s="60">
        <f t="shared" si="13"/>
        <v>5057277.72</v>
      </c>
      <c r="AN28" s="59">
        <f t="shared" si="80"/>
        <v>16718348.686775999</v>
      </c>
      <c r="AO28" s="60">
        <f t="shared" si="14"/>
        <v>4910689.959999999</v>
      </c>
      <c r="AP28" s="59">
        <f t="shared" si="81"/>
        <v>16233758.869767997</v>
      </c>
      <c r="AQ28" s="60">
        <f t="shared" si="15"/>
        <v>4764102.1999999993</v>
      </c>
      <c r="AR28" s="59">
        <f t="shared" si="82"/>
        <v>15749169.052759998</v>
      </c>
      <c r="AS28" s="55">
        <f t="shared" si="16"/>
        <v>4617514.4399999985</v>
      </c>
      <c r="AT28" s="59">
        <f t="shared" si="83"/>
        <v>15264579.235751996</v>
      </c>
      <c r="AU28" s="60">
        <f t="shared" si="17"/>
        <v>4470926.6799999988</v>
      </c>
      <c r="AV28" s="59">
        <f t="shared" si="84"/>
        <v>14779989.418743996</v>
      </c>
      <c r="AW28" s="60">
        <f t="shared" si="18"/>
        <v>4324338.919999999</v>
      </c>
      <c r="AX28" s="59">
        <f t="shared" si="85"/>
        <v>14295399.601735996</v>
      </c>
      <c r="AY28" s="55">
        <f t="shared" si="19"/>
        <v>4177751.1599999988</v>
      </c>
      <c r="AZ28" s="59">
        <f t="shared" si="86"/>
        <v>13810809.784727996</v>
      </c>
      <c r="BC28" s="55">
        <v>1</v>
      </c>
      <c r="BD28" s="55">
        <v>0.97</v>
      </c>
      <c r="BE28" s="55">
        <v>0.95</v>
      </c>
      <c r="BF28" s="55">
        <v>0.93</v>
      </c>
      <c r="BG28" s="55">
        <f t="shared" si="87"/>
        <v>0.91</v>
      </c>
      <c r="BH28" s="55">
        <f t="shared" si="87"/>
        <v>0.89</v>
      </c>
      <c r="BI28" s="55">
        <f t="shared" si="87"/>
        <v>0.87</v>
      </c>
      <c r="BJ28" s="55">
        <f t="shared" si="87"/>
        <v>0.85</v>
      </c>
      <c r="BK28" s="55">
        <f t="shared" si="87"/>
        <v>0.83</v>
      </c>
      <c r="BL28" s="55">
        <f t="shared" si="87"/>
        <v>0.80999999999999994</v>
      </c>
      <c r="BM28" s="55">
        <f t="shared" si="87"/>
        <v>0.78999999999999992</v>
      </c>
      <c r="BN28" s="55">
        <f t="shared" si="87"/>
        <v>0.76999999999999991</v>
      </c>
      <c r="BO28" s="55">
        <f t="shared" si="87"/>
        <v>0.74999999999999989</v>
      </c>
      <c r="BP28" s="55">
        <f t="shared" si="87"/>
        <v>0.72999999999999987</v>
      </c>
      <c r="BQ28" s="55">
        <f t="shared" si="87"/>
        <v>0.70999999999999985</v>
      </c>
      <c r="BR28" s="55">
        <f t="shared" si="87"/>
        <v>0.68999999999999984</v>
      </c>
      <c r="BS28" s="55">
        <f t="shared" si="87"/>
        <v>0.66999999999999982</v>
      </c>
      <c r="BT28" s="55">
        <f t="shared" si="87"/>
        <v>0.6499999999999998</v>
      </c>
      <c r="BU28" s="55">
        <f t="shared" si="87"/>
        <v>0.62999999999999978</v>
      </c>
      <c r="BV28" s="55">
        <f t="shared" si="87"/>
        <v>0.60999999999999976</v>
      </c>
      <c r="BW28" s="55">
        <f t="shared" si="87"/>
        <v>0.58999999999999975</v>
      </c>
      <c r="BX28" s="55">
        <f t="shared" si="87"/>
        <v>0.56999999999999973</v>
      </c>
      <c r="BZ28" s="55">
        <f>SUM(BZ18:BZ27)</f>
        <v>6337766.0500000007</v>
      </c>
      <c r="CA28" s="55">
        <f t="shared" si="89"/>
        <v>6337766.0500000007</v>
      </c>
      <c r="CB28" s="59">
        <f t="shared" si="90"/>
        <v>20951387.008090004</v>
      </c>
      <c r="CC28" s="55">
        <f t="shared" si="91"/>
        <v>6147633.068500001</v>
      </c>
      <c r="CD28" s="59">
        <f t="shared" si="92"/>
        <v>20322845.397847302</v>
      </c>
      <c r="CE28" s="55">
        <f t="shared" si="93"/>
        <v>6020877.7475000005</v>
      </c>
      <c r="CF28" s="59">
        <f t="shared" si="94"/>
        <v>19903817.657685503</v>
      </c>
      <c r="CG28" s="55">
        <f t="shared" si="21"/>
        <v>5894122.426500001</v>
      </c>
      <c r="CH28" s="59">
        <f t="shared" si="95"/>
        <v>19484789.917523704</v>
      </c>
      <c r="CI28" s="57">
        <f t="shared" si="22"/>
        <v>5767367.1055000005</v>
      </c>
      <c r="CJ28" s="59">
        <f t="shared" si="96"/>
        <v>19065762.177361902</v>
      </c>
      <c r="CK28" s="55">
        <f t="shared" si="23"/>
        <v>5640611.784500001</v>
      </c>
      <c r="CL28" s="59">
        <f t="shared" si="97"/>
        <v>18646734.437200103</v>
      </c>
      <c r="CM28" s="57">
        <f t="shared" si="24"/>
        <v>5513856.4635000005</v>
      </c>
      <c r="CN28" s="59">
        <f t="shared" si="98"/>
        <v>18227706.6970383</v>
      </c>
      <c r="CO28" s="60">
        <f t="shared" si="25"/>
        <v>5387101.1425000001</v>
      </c>
      <c r="CP28" s="59">
        <f t="shared" si="99"/>
        <v>17808678.956876501</v>
      </c>
      <c r="CQ28" s="57">
        <f t="shared" si="26"/>
        <v>5260345.8215000005</v>
      </c>
      <c r="CR28" s="59">
        <f t="shared" si="100"/>
        <v>17389651.216714703</v>
      </c>
      <c r="CS28" s="55">
        <f t="shared" si="27"/>
        <v>5133590.5005000001</v>
      </c>
      <c r="CT28" s="59">
        <f t="shared" si="101"/>
        <v>16970623.4765529</v>
      </c>
      <c r="CU28" s="60">
        <f t="shared" si="28"/>
        <v>5006835.1795000006</v>
      </c>
      <c r="CV28" s="59">
        <f t="shared" si="102"/>
        <v>16551595.736391103</v>
      </c>
      <c r="CW28" s="60">
        <f t="shared" si="29"/>
        <v>4880079.8585000001</v>
      </c>
      <c r="CX28" s="59">
        <f t="shared" si="103"/>
        <v>16132567.9962293</v>
      </c>
      <c r="CY28" s="60">
        <f t="shared" si="30"/>
        <v>4753324.5374999996</v>
      </c>
      <c r="CZ28" s="59">
        <f t="shared" si="104"/>
        <v>15713540.2560675</v>
      </c>
      <c r="DA28" s="55">
        <f t="shared" si="31"/>
        <v>4626569.2165000001</v>
      </c>
      <c r="DB28" s="59">
        <f t="shared" si="105"/>
        <v>15294512.515905701</v>
      </c>
      <c r="DC28" s="60">
        <f t="shared" si="32"/>
        <v>4499813.8954999996</v>
      </c>
      <c r="DD28" s="59">
        <f t="shared" si="106"/>
        <v>14875484.7757439</v>
      </c>
      <c r="DE28" s="60">
        <f t="shared" si="33"/>
        <v>4373058.5744999992</v>
      </c>
      <c r="DF28" s="59">
        <f t="shared" si="107"/>
        <v>14456457.035582097</v>
      </c>
      <c r="DG28" s="60">
        <f t="shared" si="34"/>
        <v>4246303.2534999996</v>
      </c>
      <c r="DH28" s="59">
        <f t="shared" si="108"/>
        <v>14037429.295420298</v>
      </c>
      <c r="DI28" s="60">
        <f t="shared" si="35"/>
        <v>4119547.9324999992</v>
      </c>
      <c r="DJ28" s="59">
        <f t="shared" si="109"/>
        <v>13618401.555258498</v>
      </c>
      <c r="DK28" s="55">
        <f t="shared" si="36"/>
        <v>3992792.6114999992</v>
      </c>
      <c r="DL28" s="59">
        <f t="shared" si="110"/>
        <v>13199373.815096697</v>
      </c>
      <c r="DM28" s="60">
        <f t="shared" si="37"/>
        <v>3866037.2904999992</v>
      </c>
      <c r="DN28" s="59">
        <f t="shared" si="111"/>
        <v>12780346.074934898</v>
      </c>
      <c r="DO28" s="60">
        <f t="shared" si="38"/>
        <v>3739281.9694999987</v>
      </c>
      <c r="DP28" s="59">
        <f t="shared" si="112"/>
        <v>12361318.334773095</v>
      </c>
      <c r="DQ28" s="55">
        <f t="shared" si="39"/>
        <v>3612526.6484999987</v>
      </c>
      <c r="DR28" s="59">
        <f t="shared" si="113"/>
        <v>11942290.594611296</v>
      </c>
      <c r="DU28" s="55">
        <v>1</v>
      </c>
      <c r="DV28" s="55">
        <v>0.97</v>
      </c>
      <c r="DW28" s="55">
        <v>0.95</v>
      </c>
      <c r="DX28" s="55">
        <v>0.93</v>
      </c>
      <c r="DY28" s="55">
        <f t="shared" si="114"/>
        <v>0.91</v>
      </c>
      <c r="DZ28" s="55">
        <f t="shared" si="114"/>
        <v>0.89</v>
      </c>
      <c r="EA28" s="55">
        <f t="shared" si="114"/>
        <v>0.87</v>
      </c>
      <c r="EB28" s="55">
        <f t="shared" si="114"/>
        <v>0.85</v>
      </c>
      <c r="EC28" s="55">
        <f t="shared" si="114"/>
        <v>0.83</v>
      </c>
      <c r="ED28" s="55">
        <f t="shared" si="114"/>
        <v>0.80999999999999994</v>
      </c>
      <c r="EE28" s="55">
        <f t="shared" si="114"/>
        <v>0.78999999999999992</v>
      </c>
      <c r="EF28" s="55">
        <f t="shared" si="114"/>
        <v>0.76999999999999991</v>
      </c>
      <c r="EG28" s="55">
        <f t="shared" si="114"/>
        <v>0.74999999999999989</v>
      </c>
      <c r="EH28" s="55">
        <f t="shared" si="114"/>
        <v>0.72999999999999987</v>
      </c>
      <c r="EI28" s="55">
        <f t="shared" si="114"/>
        <v>0.70999999999999985</v>
      </c>
      <c r="EJ28" s="55">
        <f t="shared" si="114"/>
        <v>0.68999999999999984</v>
      </c>
      <c r="EK28" s="55">
        <f t="shared" si="114"/>
        <v>0.66999999999999982</v>
      </c>
      <c r="EL28" s="55">
        <f t="shared" si="114"/>
        <v>0.6499999999999998</v>
      </c>
      <c r="EM28" s="55">
        <f t="shared" si="114"/>
        <v>0.62999999999999978</v>
      </c>
      <c r="EN28" s="55">
        <f t="shared" si="114"/>
        <v>0.60999999999999976</v>
      </c>
      <c r="EO28" s="55">
        <f t="shared" si="114"/>
        <v>0.58999999999999975</v>
      </c>
      <c r="EP28" s="55">
        <f t="shared" si="114"/>
        <v>0.56999999999999973</v>
      </c>
      <c r="ER28" s="55">
        <f>SUM(ER18:ER27)</f>
        <v>5534983.1845000014</v>
      </c>
      <c r="ES28" s="55">
        <f t="shared" si="116"/>
        <v>5534983.1845000014</v>
      </c>
      <c r="ET28" s="59">
        <f t="shared" si="117"/>
        <v>18297547.411320105</v>
      </c>
      <c r="EU28" s="55">
        <f t="shared" si="118"/>
        <v>5368933.6889650011</v>
      </c>
      <c r="EV28" s="59">
        <f t="shared" si="119"/>
        <v>17748620.988980502</v>
      </c>
      <c r="EW28" s="55">
        <f t="shared" si="120"/>
        <v>5258234.0252750013</v>
      </c>
      <c r="EX28" s="59">
        <f t="shared" si="121"/>
        <v>17382670.040754098</v>
      </c>
      <c r="EY28" s="55">
        <f t="shared" si="41"/>
        <v>5147534.3615850015</v>
      </c>
      <c r="EZ28" s="59">
        <f t="shared" si="122"/>
        <v>17016719.092527699</v>
      </c>
      <c r="FA28" s="57">
        <f t="shared" si="42"/>
        <v>5036834.6978950016</v>
      </c>
      <c r="FB28" s="59">
        <f t="shared" si="123"/>
        <v>16650768.144301297</v>
      </c>
      <c r="FC28" s="55">
        <f t="shared" si="43"/>
        <v>4926135.0342050008</v>
      </c>
      <c r="FD28" s="59">
        <f t="shared" si="124"/>
        <v>16284817.196074892</v>
      </c>
      <c r="FE28" s="57">
        <f t="shared" si="44"/>
        <v>4815435.370515001</v>
      </c>
      <c r="FF28" s="59">
        <f t="shared" si="125"/>
        <v>15918866.24784849</v>
      </c>
      <c r="FG28" s="60">
        <f t="shared" si="45"/>
        <v>4704735.7068250012</v>
      </c>
      <c r="FH28" s="59">
        <f t="shared" si="126"/>
        <v>15552915.299622089</v>
      </c>
      <c r="FI28" s="57">
        <f t="shared" si="46"/>
        <v>4594036.0431350013</v>
      </c>
      <c r="FJ28" s="59">
        <f t="shared" si="127"/>
        <v>15186964.351395687</v>
      </c>
      <c r="FK28" s="55">
        <f t="shared" si="47"/>
        <v>4483336.3794450006</v>
      </c>
      <c r="FL28" s="59">
        <f t="shared" si="128"/>
        <v>14821013.403169284</v>
      </c>
      <c r="FM28" s="60">
        <f t="shared" si="48"/>
        <v>4372636.7157550007</v>
      </c>
      <c r="FN28" s="59">
        <f t="shared" si="129"/>
        <v>14455062.454942882</v>
      </c>
      <c r="FO28" s="60">
        <f t="shared" si="49"/>
        <v>4261937.0520650009</v>
      </c>
      <c r="FP28" s="59">
        <f t="shared" si="130"/>
        <v>14089111.50671648</v>
      </c>
      <c r="FQ28" s="60">
        <f t="shared" si="50"/>
        <v>4151237.3883750006</v>
      </c>
      <c r="FR28" s="59">
        <f t="shared" si="131"/>
        <v>13723160.558490077</v>
      </c>
      <c r="FS28" s="55">
        <f t="shared" si="51"/>
        <v>4040537.7246850003</v>
      </c>
      <c r="FT28" s="59">
        <f t="shared" si="132"/>
        <v>13357209.610263674</v>
      </c>
      <c r="FU28" s="60">
        <f t="shared" si="52"/>
        <v>3929838.0609949999</v>
      </c>
      <c r="FV28" s="59">
        <f t="shared" si="133"/>
        <v>12991258.662037272</v>
      </c>
      <c r="FW28" s="60">
        <f t="shared" si="53"/>
        <v>3819138.3973050001</v>
      </c>
      <c r="FX28" s="59">
        <f t="shared" si="134"/>
        <v>12625307.71381087</v>
      </c>
      <c r="FY28" s="60">
        <f t="shared" si="54"/>
        <v>3708438.7336149998</v>
      </c>
      <c r="FZ28" s="59">
        <f t="shared" si="135"/>
        <v>12259356.765584467</v>
      </c>
      <c r="GA28" s="60">
        <f t="shared" si="55"/>
        <v>3597739.069925</v>
      </c>
      <c r="GB28" s="59">
        <f t="shared" si="136"/>
        <v>11893405.817358065</v>
      </c>
      <c r="GC28" s="55">
        <f t="shared" si="56"/>
        <v>3487039.4062349997</v>
      </c>
      <c r="GD28" s="59">
        <f t="shared" si="137"/>
        <v>11527454.869131662</v>
      </c>
      <c r="GE28" s="60">
        <f t="shared" si="57"/>
        <v>3376339.7425449993</v>
      </c>
      <c r="GF28" s="59">
        <f t="shared" si="138"/>
        <v>11161503.920905259</v>
      </c>
      <c r="GG28" s="60">
        <f t="shared" si="58"/>
        <v>3265640.0788549995</v>
      </c>
      <c r="GH28" s="59">
        <f t="shared" si="139"/>
        <v>10795552.972678857</v>
      </c>
      <c r="GI28" s="55">
        <f t="shared" si="59"/>
        <v>3154940.4151649992</v>
      </c>
      <c r="GJ28" s="59">
        <f t="shared" si="140"/>
        <v>10429602.024452455</v>
      </c>
      <c r="GK28" s="55"/>
      <c r="GL28" s="55"/>
      <c r="GM28" s="55">
        <v>1</v>
      </c>
      <c r="GN28" s="55">
        <v>0.97</v>
      </c>
      <c r="GO28" s="55">
        <v>0.95</v>
      </c>
      <c r="GP28" s="55">
        <v>0.93</v>
      </c>
      <c r="GQ28" s="55">
        <f t="shared" si="141"/>
        <v>0.91</v>
      </c>
      <c r="GR28" s="55">
        <f t="shared" si="141"/>
        <v>0.89</v>
      </c>
      <c r="GS28" s="55">
        <f t="shared" si="141"/>
        <v>0.87</v>
      </c>
      <c r="GT28" s="55">
        <f t="shared" si="141"/>
        <v>0.85</v>
      </c>
      <c r="GU28" s="55">
        <f t="shared" si="141"/>
        <v>0.83</v>
      </c>
      <c r="GV28" s="55">
        <f t="shared" si="141"/>
        <v>0.80999999999999994</v>
      </c>
      <c r="GW28" s="55">
        <f t="shared" si="141"/>
        <v>0.78999999999999992</v>
      </c>
      <c r="GX28" s="55">
        <f t="shared" si="141"/>
        <v>0.76999999999999991</v>
      </c>
      <c r="GY28" s="55">
        <f t="shared" si="141"/>
        <v>0.74999999999999989</v>
      </c>
      <c r="GZ28" s="55">
        <f t="shared" si="141"/>
        <v>0.72999999999999987</v>
      </c>
      <c r="HA28" s="55">
        <f t="shared" si="141"/>
        <v>0.70999999999999985</v>
      </c>
      <c r="HB28" s="55">
        <f t="shared" si="141"/>
        <v>0.68999999999999984</v>
      </c>
      <c r="HC28" s="55">
        <f t="shared" si="141"/>
        <v>0.66999999999999982</v>
      </c>
      <c r="HD28" s="55">
        <f t="shared" si="141"/>
        <v>0.6499999999999998</v>
      </c>
      <c r="HE28" s="55">
        <f t="shared" si="141"/>
        <v>0.62999999999999978</v>
      </c>
      <c r="HF28" s="55">
        <f t="shared" si="141"/>
        <v>0.60999999999999976</v>
      </c>
      <c r="HG28" s="55">
        <f t="shared" si="141"/>
        <v>0.58999999999999975</v>
      </c>
      <c r="HH28" s="55">
        <f t="shared" si="141"/>
        <v>0.56999999999999973</v>
      </c>
    </row>
    <row r="29" spans="1:216" s="64" customFormat="1" x14ac:dyDescent="0.3">
      <c r="C29" s="65"/>
      <c r="D29" s="65"/>
      <c r="E29" s="65"/>
      <c r="G29" s="61"/>
      <c r="H29" s="61"/>
      <c r="I29" s="61"/>
      <c r="J29" s="61"/>
      <c r="K29" s="61"/>
      <c r="L29" s="61"/>
      <c r="M29" s="61"/>
      <c r="N29" s="61"/>
      <c r="O29" s="61"/>
      <c r="P29" s="62"/>
      <c r="Q29" s="61" t="s">
        <v>274</v>
      </c>
      <c r="R29" s="61"/>
      <c r="S29" s="61" t="s">
        <v>275</v>
      </c>
      <c r="T29" s="62"/>
      <c r="U29" s="61" t="s">
        <v>276</v>
      </c>
      <c r="V29" s="63"/>
      <c r="W29" s="61" t="s">
        <v>277</v>
      </c>
      <c r="X29" s="62"/>
      <c r="Y29" s="61" t="s">
        <v>278</v>
      </c>
      <c r="Z29" s="61"/>
      <c r="AA29" s="61" t="s">
        <v>279</v>
      </c>
      <c r="AB29" s="63"/>
      <c r="AC29" s="61" t="s">
        <v>280</v>
      </c>
      <c r="AD29" s="63"/>
      <c r="AE29" s="61" t="s">
        <v>281</v>
      </c>
      <c r="AF29" s="63"/>
      <c r="AG29" s="61" t="s">
        <v>282</v>
      </c>
      <c r="AH29" s="61"/>
      <c r="AI29" s="61" t="s">
        <v>283</v>
      </c>
      <c r="AJ29" s="63"/>
      <c r="AK29" s="61" t="s">
        <v>284</v>
      </c>
      <c r="AL29" s="63"/>
      <c r="AM29" s="61" t="s">
        <v>285</v>
      </c>
      <c r="AN29" s="63"/>
      <c r="AO29" s="61" t="s">
        <v>286</v>
      </c>
      <c r="AP29" s="63"/>
      <c r="AQ29" s="61" t="s">
        <v>287</v>
      </c>
      <c r="AR29" s="61"/>
      <c r="AS29" s="61" t="s">
        <v>288</v>
      </c>
      <c r="AT29" s="63"/>
      <c r="AU29" s="61" t="s">
        <v>289</v>
      </c>
      <c r="AV29" s="63"/>
      <c r="AW29" s="61" t="s">
        <v>290</v>
      </c>
      <c r="AX29" s="61"/>
      <c r="AY29" s="61" t="s">
        <v>291</v>
      </c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>
        <f t="shared" si="88"/>
        <v>0</v>
      </c>
      <c r="CA29" s="61"/>
      <c r="CB29" s="61"/>
      <c r="CC29" s="61"/>
      <c r="CD29" s="61"/>
      <c r="CE29" s="61"/>
      <c r="CF29" s="61"/>
      <c r="CG29" s="61"/>
      <c r="CH29" s="62"/>
      <c r="CI29" s="61" t="s">
        <v>274</v>
      </c>
      <c r="CJ29" s="61"/>
      <c r="CK29" s="61" t="s">
        <v>275</v>
      </c>
      <c r="CL29" s="62"/>
      <c r="CM29" s="61" t="s">
        <v>276</v>
      </c>
      <c r="CN29" s="63"/>
      <c r="CO29" s="61" t="s">
        <v>277</v>
      </c>
      <c r="CP29" s="62"/>
      <c r="CQ29" s="61" t="s">
        <v>278</v>
      </c>
      <c r="CR29" s="61"/>
      <c r="CS29" s="61" t="s">
        <v>279</v>
      </c>
      <c r="CT29" s="63"/>
      <c r="CU29" s="61" t="s">
        <v>280</v>
      </c>
      <c r="CV29" s="63"/>
      <c r="CW29" s="61" t="s">
        <v>281</v>
      </c>
      <c r="CX29" s="63"/>
      <c r="CY29" s="61" t="s">
        <v>282</v>
      </c>
      <c r="CZ29" s="61"/>
      <c r="DA29" s="61" t="s">
        <v>283</v>
      </c>
      <c r="DB29" s="63"/>
      <c r="DC29" s="61" t="s">
        <v>284</v>
      </c>
      <c r="DD29" s="63"/>
      <c r="DE29" s="61" t="s">
        <v>285</v>
      </c>
      <c r="DF29" s="63"/>
      <c r="DG29" s="61" t="s">
        <v>286</v>
      </c>
      <c r="DH29" s="63"/>
      <c r="DI29" s="61" t="s">
        <v>287</v>
      </c>
      <c r="DJ29" s="61"/>
      <c r="DK29" s="61" t="s">
        <v>288</v>
      </c>
      <c r="DL29" s="63"/>
      <c r="DM29" s="61" t="s">
        <v>289</v>
      </c>
      <c r="DN29" s="63"/>
      <c r="DO29" s="61" t="s">
        <v>290</v>
      </c>
      <c r="DP29" s="61"/>
      <c r="DQ29" s="61" t="s">
        <v>291</v>
      </c>
      <c r="DR29" s="61"/>
      <c r="DS29" s="61"/>
      <c r="DT29" s="61"/>
      <c r="DU29" s="61">
        <v>1</v>
      </c>
      <c r="DV29" s="61">
        <v>0.97</v>
      </c>
      <c r="DW29" s="61">
        <v>0.95</v>
      </c>
      <c r="DX29" s="61">
        <v>0.93</v>
      </c>
      <c r="DY29" s="61">
        <f t="shared" si="114"/>
        <v>0.91</v>
      </c>
      <c r="DZ29" s="61">
        <f t="shared" si="114"/>
        <v>0.89</v>
      </c>
      <c r="EA29" s="61">
        <f t="shared" si="114"/>
        <v>0.87</v>
      </c>
      <c r="EB29" s="61">
        <f t="shared" si="114"/>
        <v>0.85</v>
      </c>
      <c r="EC29" s="61">
        <f t="shared" si="114"/>
        <v>0.83</v>
      </c>
      <c r="ED29" s="61">
        <f t="shared" si="114"/>
        <v>0.80999999999999994</v>
      </c>
      <c r="EE29" s="61">
        <f t="shared" si="114"/>
        <v>0.78999999999999992</v>
      </c>
      <c r="EF29" s="61">
        <f t="shared" si="114"/>
        <v>0.76999999999999991</v>
      </c>
      <c r="EG29" s="61">
        <f t="shared" si="114"/>
        <v>0.74999999999999989</v>
      </c>
      <c r="EH29" s="61">
        <f t="shared" si="114"/>
        <v>0.72999999999999987</v>
      </c>
      <c r="EI29" s="61">
        <f t="shared" si="114"/>
        <v>0.70999999999999985</v>
      </c>
      <c r="EJ29" s="61">
        <f t="shared" si="114"/>
        <v>0.68999999999999984</v>
      </c>
      <c r="EK29" s="61">
        <f t="shared" si="114"/>
        <v>0.66999999999999982</v>
      </c>
      <c r="EL29" s="61">
        <f t="shared" si="114"/>
        <v>0.6499999999999998</v>
      </c>
      <c r="EM29" s="61">
        <f t="shared" si="114"/>
        <v>0.62999999999999978</v>
      </c>
      <c r="EN29" s="61">
        <f t="shared" si="114"/>
        <v>0.60999999999999976</v>
      </c>
      <c r="EO29" s="61">
        <f t="shared" si="114"/>
        <v>0.58999999999999975</v>
      </c>
      <c r="EP29" s="64">
        <f t="shared" si="114"/>
        <v>0.56999999999999973</v>
      </c>
      <c r="EQ29" s="61"/>
      <c r="ER29" s="61">
        <f t="shared" ref="ER29:ER93" si="142">+BZ29*0.91</f>
        <v>0</v>
      </c>
      <c r="ES29" s="61"/>
      <c r="ET29" s="61"/>
      <c r="EU29" s="61"/>
      <c r="EV29" s="61"/>
      <c r="EW29" s="61"/>
      <c r="EX29" s="61"/>
      <c r="EY29" s="61"/>
      <c r="EZ29" s="62"/>
      <c r="FA29" s="61" t="s">
        <v>274</v>
      </c>
      <c r="FB29" s="61"/>
      <c r="FC29" s="61" t="s">
        <v>275</v>
      </c>
      <c r="FD29" s="62"/>
      <c r="FE29" s="61" t="s">
        <v>276</v>
      </c>
      <c r="FF29" s="63"/>
      <c r="FG29" s="61" t="s">
        <v>277</v>
      </c>
      <c r="FH29" s="62"/>
      <c r="FI29" s="61" t="s">
        <v>278</v>
      </c>
      <c r="FJ29" s="61"/>
      <c r="FK29" s="61" t="s">
        <v>279</v>
      </c>
      <c r="FL29" s="63"/>
      <c r="FM29" s="61" t="s">
        <v>280</v>
      </c>
      <c r="FN29" s="63"/>
      <c r="FO29" s="61" t="s">
        <v>281</v>
      </c>
      <c r="FP29" s="63"/>
      <c r="FQ29" s="61" t="s">
        <v>282</v>
      </c>
      <c r="FR29" s="61"/>
      <c r="FS29" s="61" t="s">
        <v>283</v>
      </c>
      <c r="FT29" s="63"/>
      <c r="FU29" s="61" t="s">
        <v>284</v>
      </c>
      <c r="FV29" s="63"/>
      <c r="FW29" s="61" t="s">
        <v>285</v>
      </c>
      <c r="FX29" s="63"/>
      <c r="FY29" s="61" t="s">
        <v>286</v>
      </c>
      <c r="FZ29" s="63"/>
      <c r="GA29" s="61" t="s">
        <v>287</v>
      </c>
      <c r="GB29" s="61"/>
      <c r="GC29" s="61" t="s">
        <v>288</v>
      </c>
      <c r="GD29" s="63"/>
      <c r="GE29" s="61" t="s">
        <v>289</v>
      </c>
      <c r="GF29" s="63"/>
      <c r="GG29" s="61" t="s">
        <v>290</v>
      </c>
      <c r="GH29" s="61"/>
      <c r="GI29" s="61" t="s">
        <v>291</v>
      </c>
      <c r="GJ29" s="61"/>
      <c r="GK29" s="61"/>
      <c r="GL29" s="61"/>
      <c r="GM29" s="61">
        <v>1</v>
      </c>
      <c r="GN29" s="61">
        <v>0.97</v>
      </c>
      <c r="GO29" s="61">
        <v>0.95</v>
      </c>
      <c r="GP29" s="61">
        <v>0.93</v>
      </c>
      <c r="GQ29" s="61">
        <f t="shared" si="141"/>
        <v>0.91</v>
      </c>
      <c r="GR29" s="61">
        <f t="shared" si="141"/>
        <v>0.89</v>
      </c>
      <c r="GS29" s="61">
        <f t="shared" si="141"/>
        <v>0.87</v>
      </c>
      <c r="GT29" s="61">
        <f t="shared" si="141"/>
        <v>0.85</v>
      </c>
      <c r="GU29" s="61">
        <f t="shared" si="141"/>
        <v>0.83</v>
      </c>
      <c r="GV29" s="61">
        <f t="shared" si="141"/>
        <v>0.80999999999999994</v>
      </c>
      <c r="GW29" s="61">
        <f t="shared" si="141"/>
        <v>0.78999999999999992</v>
      </c>
      <c r="GX29" s="61">
        <f t="shared" si="141"/>
        <v>0.76999999999999991</v>
      </c>
      <c r="GY29" s="61">
        <f t="shared" si="141"/>
        <v>0.74999999999999989</v>
      </c>
      <c r="GZ29" s="61">
        <f t="shared" si="141"/>
        <v>0.72999999999999987</v>
      </c>
      <c r="HA29" s="61">
        <f t="shared" si="141"/>
        <v>0.70999999999999985</v>
      </c>
      <c r="HB29" s="61">
        <f t="shared" si="141"/>
        <v>0.68999999999999984</v>
      </c>
      <c r="HC29" s="61">
        <f t="shared" si="141"/>
        <v>0.66999999999999982</v>
      </c>
      <c r="HD29" s="61">
        <f t="shared" si="141"/>
        <v>0.6499999999999998</v>
      </c>
      <c r="HE29" s="61">
        <f t="shared" si="141"/>
        <v>0.62999999999999978</v>
      </c>
      <c r="HF29" s="61">
        <f t="shared" si="141"/>
        <v>0.60999999999999976</v>
      </c>
      <c r="HG29" s="61">
        <f t="shared" si="141"/>
        <v>0.58999999999999975</v>
      </c>
      <c r="HH29" s="64">
        <f t="shared" si="141"/>
        <v>0.56999999999999973</v>
      </c>
    </row>
    <row r="30" spans="1:216" s="64" customFormat="1" ht="17.25" thickBot="1" x14ac:dyDescent="0.35">
      <c r="B30" s="64" t="s">
        <v>12</v>
      </c>
      <c r="C30" s="64" t="s">
        <v>294</v>
      </c>
      <c r="D30" s="65" t="s">
        <v>272</v>
      </c>
      <c r="E30" s="65" t="s">
        <v>155</v>
      </c>
      <c r="G30" s="61"/>
      <c r="H30" s="61"/>
      <c r="I30" s="61"/>
      <c r="J30" s="61"/>
      <c r="K30" s="61"/>
      <c r="L30" s="61"/>
      <c r="M30" s="61"/>
      <c r="N30" s="61"/>
      <c r="O30" s="61"/>
      <c r="P30" s="62"/>
      <c r="Q30" s="61"/>
      <c r="R30" s="61"/>
      <c r="S30" s="61"/>
      <c r="T30" s="62"/>
      <c r="U30" s="61"/>
      <c r="V30" s="63"/>
      <c r="W30" s="61"/>
      <c r="X30" s="62"/>
      <c r="Y30" s="61"/>
      <c r="Z30" s="61"/>
      <c r="AA30" s="61"/>
      <c r="AB30" s="63"/>
      <c r="AC30" s="61"/>
      <c r="AD30" s="63"/>
      <c r="AE30" s="61"/>
      <c r="AF30" s="63"/>
      <c r="AG30" s="61"/>
      <c r="AH30" s="61"/>
      <c r="AI30" s="61"/>
      <c r="AJ30" s="63"/>
      <c r="AK30" s="61"/>
      <c r="AL30" s="63"/>
      <c r="AM30" s="61"/>
      <c r="AN30" s="63"/>
      <c r="AO30" s="61"/>
      <c r="AP30" s="63"/>
      <c r="AQ30" s="61"/>
      <c r="AR30" s="61"/>
      <c r="AS30" s="61"/>
      <c r="AT30" s="63"/>
      <c r="AU30" s="61"/>
      <c r="AV30" s="63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>
        <f t="shared" si="88"/>
        <v>0</v>
      </c>
      <c r="CA30" s="61"/>
      <c r="CB30" s="61"/>
      <c r="CC30" s="61"/>
      <c r="CD30" s="61"/>
      <c r="CE30" s="61"/>
      <c r="CF30" s="61"/>
      <c r="CG30" s="61"/>
      <c r="CH30" s="62"/>
      <c r="CI30" s="61"/>
      <c r="CJ30" s="61"/>
      <c r="CK30" s="61"/>
      <c r="CL30" s="62"/>
      <c r="CM30" s="61"/>
      <c r="CN30" s="63"/>
      <c r="CO30" s="61"/>
      <c r="CP30" s="62"/>
      <c r="CQ30" s="61"/>
      <c r="CR30" s="61"/>
      <c r="CS30" s="61"/>
      <c r="CT30" s="63"/>
      <c r="CU30" s="61"/>
      <c r="CV30" s="63"/>
      <c r="CW30" s="61"/>
      <c r="CX30" s="63"/>
      <c r="CY30" s="61"/>
      <c r="CZ30" s="61"/>
      <c r="DA30" s="61"/>
      <c r="DB30" s="63"/>
      <c r="DC30" s="61"/>
      <c r="DD30" s="63"/>
      <c r="DE30" s="61"/>
      <c r="DF30" s="63"/>
      <c r="DG30" s="61"/>
      <c r="DH30" s="63"/>
      <c r="DI30" s="61"/>
      <c r="DJ30" s="61"/>
      <c r="DK30" s="61"/>
      <c r="DL30" s="63"/>
      <c r="DM30" s="61"/>
      <c r="DN30" s="63"/>
      <c r="DO30" s="61"/>
      <c r="DP30" s="61"/>
      <c r="DQ30" s="61"/>
      <c r="DR30" s="61"/>
      <c r="DS30" s="61"/>
      <c r="DT30" s="61"/>
      <c r="DU30" s="61">
        <v>1</v>
      </c>
      <c r="DV30" s="61">
        <v>0.97</v>
      </c>
      <c r="DW30" s="61">
        <v>0.95</v>
      </c>
      <c r="DX30" s="61">
        <v>0.93</v>
      </c>
      <c r="DY30" s="61">
        <f t="shared" si="114"/>
        <v>0.91</v>
      </c>
      <c r="DZ30" s="61">
        <f t="shared" si="114"/>
        <v>0.89</v>
      </c>
      <c r="EA30" s="61">
        <f t="shared" si="114"/>
        <v>0.87</v>
      </c>
      <c r="EB30" s="61">
        <f t="shared" si="114"/>
        <v>0.85</v>
      </c>
      <c r="EC30" s="61">
        <f t="shared" si="114"/>
        <v>0.83</v>
      </c>
      <c r="ED30" s="61">
        <f t="shared" si="114"/>
        <v>0.80999999999999994</v>
      </c>
      <c r="EE30" s="61">
        <f t="shared" si="114"/>
        <v>0.78999999999999992</v>
      </c>
      <c r="EF30" s="61">
        <f t="shared" si="114"/>
        <v>0.76999999999999991</v>
      </c>
      <c r="EG30" s="61">
        <f t="shared" si="114"/>
        <v>0.74999999999999989</v>
      </c>
      <c r="EH30" s="61">
        <f t="shared" si="114"/>
        <v>0.72999999999999987</v>
      </c>
      <c r="EI30" s="61">
        <f t="shared" si="114"/>
        <v>0.70999999999999985</v>
      </c>
      <c r="EJ30" s="61">
        <f t="shared" si="114"/>
        <v>0.68999999999999984</v>
      </c>
      <c r="EK30" s="61">
        <f t="shared" si="114"/>
        <v>0.66999999999999982</v>
      </c>
      <c r="EL30" s="61">
        <f t="shared" si="114"/>
        <v>0.6499999999999998</v>
      </c>
      <c r="EM30" s="61">
        <f t="shared" si="114"/>
        <v>0.62999999999999978</v>
      </c>
      <c r="EN30" s="61">
        <f t="shared" si="114"/>
        <v>0.60999999999999976</v>
      </c>
      <c r="EO30" s="61">
        <f t="shared" si="114"/>
        <v>0.58999999999999975</v>
      </c>
      <c r="EP30" s="64">
        <f t="shared" si="114"/>
        <v>0.56999999999999973</v>
      </c>
      <c r="EQ30" s="61"/>
      <c r="ER30" s="61">
        <f t="shared" si="142"/>
        <v>0</v>
      </c>
      <c r="ES30" s="61"/>
      <c r="ET30" s="61"/>
      <c r="EU30" s="61"/>
      <c r="EV30" s="61"/>
      <c r="EW30" s="61"/>
      <c r="EX30" s="61"/>
      <c r="EY30" s="61"/>
      <c r="EZ30" s="62"/>
      <c r="FA30" s="61"/>
      <c r="FB30" s="61"/>
      <c r="FC30" s="61"/>
      <c r="FD30" s="62"/>
      <c r="FE30" s="61"/>
      <c r="FF30" s="63"/>
      <c r="FG30" s="61"/>
      <c r="FH30" s="62"/>
      <c r="FI30" s="61"/>
      <c r="FJ30" s="61"/>
      <c r="FK30" s="61"/>
      <c r="FL30" s="63"/>
      <c r="FM30" s="61"/>
      <c r="FN30" s="63"/>
      <c r="FO30" s="61"/>
      <c r="FP30" s="63"/>
      <c r="FQ30" s="61"/>
      <c r="FR30" s="61"/>
      <c r="FS30" s="61"/>
      <c r="FT30" s="63"/>
      <c r="FU30" s="61"/>
      <c r="FV30" s="63"/>
      <c r="FW30" s="61"/>
      <c r="FX30" s="63"/>
      <c r="FY30" s="61"/>
      <c r="FZ30" s="63"/>
      <c r="GA30" s="61"/>
      <c r="GB30" s="61"/>
      <c r="GC30" s="61"/>
      <c r="GD30" s="63"/>
      <c r="GE30" s="61"/>
      <c r="GF30" s="63"/>
      <c r="GG30" s="61"/>
      <c r="GH30" s="61"/>
      <c r="GI30" s="61"/>
      <c r="GJ30" s="61"/>
      <c r="GK30" s="61"/>
      <c r="GL30" s="61"/>
      <c r="GM30" s="61">
        <v>1</v>
      </c>
      <c r="GN30" s="61">
        <v>0.97</v>
      </c>
      <c r="GO30" s="61">
        <v>0.95</v>
      </c>
      <c r="GP30" s="61">
        <v>0.93</v>
      </c>
      <c r="GQ30" s="61">
        <f t="shared" si="141"/>
        <v>0.91</v>
      </c>
      <c r="GR30" s="61">
        <f t="shared" si="141"/>
        <v>0.89</v>
      </c>
      <c r="GS30" s="61">
        <f t="shared" si="141"/>
        <v>0.87</v>
      </c>
      <c r="GT30" s="61">
        <f t="shared" si="141"/>
        <v>0.85</v>
      </c>
      <c r="GU30" s="61">
        <f t="shared" si="141"/>
        <v>0.83</v>
      </c>
      <c r="GV30" s="61">
        <f t="shared" si="141"/>
        <v>0.80999999999999994</v>
      </c>
      <c r="GW30" s="61">
        <f t="shared" si="141"/>
        <v>0.78999999999999992</v>
      </c>
      <c r="GX30" s="61">
        <f t="shared" si="141"/>
        <v>0.76999999999999991</v>
      </c>
      <c r="GY30" s="61">
        <f t="shared" si="141"/>
        <v>0.74999999999999989</v>
      </c>
      <c r="GZ30" s="61">
        <f t="shared" si="141"/>
        <v>0.72999999999999987</v>
      </c>
      <c r="HA30" s="61">
        <f t="shared" si="141"/>
        <v>0.70999999999999985</v>
      </c>
      <c r="HB30" s="61">
        <f t="shared" si="141"/>
        <v>0.68999999999999984</v>
      </c>
      <c r="HC30" s="61">
        <f t="shared" si="141"/>
        <v>0.66999999999999982</v>
      </c>
      <c r="HD30" s="61">
        <f t="shared" si="141"/>
        <v>0.6499999999999998</v>
      </c>
      <c r="HE30" s="61">
        <f t="shared" si="141"/>
        <v>0.62999999999999978</v>
      </c>
      <c r="HF30" s="61">
        <f t="shared" si="141"/>
        <v>0.60999999999999976</v>
      </c>
      <c r="HG30" s="61">
        <f t="shared" si="141"/>
        <v>0.58999999999999975</v>
      </c>
      <c r="HH30" s="64">
        <f t="shared" si="141"/>
        <v>0.56999999999999973</v>
      </c>
    </row>
    <row r="31" spans="1:216" ht="17.25" thickBot="1" x14ac:dyDescent="0.35">
      <c r="C31" s="38" t="s">
        <v>144</v>
      </c>
      <c r="D31" s="52">
        <f>TRUNC(10431.5905255757,-1)</f>
        <v>10430</v>
      </c>
      <c r="E31" s="69">
        <f>TRUNC(+D31*3.3058,-1)</f>
        <v>34470</v>
      </c>
      <c r="H31" s="55">
        <f t="shared" si="61"/>
        <v>37917</v>
      </c>
      <c r="I31" s="55">
        <f t="shared" si="62"/>
        <v>37917</v>
      </c>
      <c r="J31" s="59">
        <f t="shared" si="63"/>
        <v>125346.0186</v>
      </c>
      <c r="K31" s="55">
        <f>+I31*BD31</f>
        <v>36779.49</v>
      </c>
      <c r="L31" s="59">
        <f>+K31*3.3058</f>
        <v>121585.63804199999</v>
      </c>
      <c r="M31" s="55">
        <f>+I31*BE31</f>
        <v>36021.15</v>
      </c>
      <c r="N31" s="59">
        <f>+M31*3.3058</f>
        <v>119078.71767000001</v>
      </c>
      <c r="O31" s="55">
        <f>+I31*BF31</f>
        <v>35262.810000000005</v>
      </c>
      <c r="P31" s="59">
        <f>+O31*3.3058</f>
        <v>116571.79729800002</v>
      </c>
      <c r="Q31" s="57">
        <f>+I31*BG31</f>
        <v>34504.47</v>
      </c>
      <c r="R31" s="59">
        <f>+Q31*3.3058</f>
        <v>114064.87692600001</v>
      </c>
      <c r="S31" s="55">
        <f>+I31*BH31</f>
        <v>33746.129999999997</v>
      </c>
      <c r="T31" s="59">
        <f>+S31*3.3058</f>
        <v>111557.95655399999</v>
      </c>
      <c r="U31" s="57">
        <f>+I31*BI31</f>
        <v>32987.79</v>
      </c>
      <c r="V31" s="59">
        <f>+U31*3.3058</f>
        <v>109051.03618200001</v>
      </c>
      <c r="W31" s="60">
        <f>+I31*BJ31</f>
        <v>32229.45</v>
      </c>
      <c r="X31" s="59">
        <f>+W31*3.3058</f>
        <v>106544.11581</v>
      </c>
      <c r="Y31" s="57">
        <f>+I31*BK31</f>
        <v>31471.109999999997</v>
      </c>
      <c r="Z31" s="59">
        <f>+Y31*3.3058</f>
        <v>104037.195438</v>
      </c>
      <c r="AA31" s="55">
        <f>+I31*BL31</f>
        <v>30712.769999999997</v>
      </c>
      <c r="AB31" s="59">
        <f>+AA31*3.3058</f>
        <v>101530.27506599999</v>
      </c>
      <c r="AC31" s="60">
        <f>+I31*BM31</f>
        <v>29954.429999999997</v>
      </c>
      <c r="AD31" s="59">
        <f>+AC31*3.3058</f>
        <v>99023.354693999994</v>
      </c>
      <c r="AE31" s="60">
        <f>+I31*BN31</f>
        <v>29196.089999999997</v>
      </c>
      <c r="AF31" s="59">
        <f>+AE31*3.3058</f>
        <v>96516.434321999986</v>
      </c>
      <c r="AG31" s="60">
        <f>+I31*BO31</f>
        <v>28437.749999999996</v>
      </c>
      <c r="AH31" s="59">
        <f>+AG31*3.3058</f>
        <v>94009.513949999993</v>
      </c>
      <c r="AI31" s="55">
        <f>+I31*BP31</f>
        <v>27679.409999999996</v>
      </c>
      <c r="AJ31" s="59">
        <f>+AI31*3.3058</f>
        <v>91502.593577999985</v>
      </c>
      <c r="AK31" s="60">
        <f>+I31*BQ31</f>
        <v>26921.069999999996</v>
      </c>
      <c r="AL31" s="59">
        <f>+AK31*3.3058</f>
        <v>88995.673205999992</v>
      </c>
      <c r="AM31" s="60">
        <f>+I31*BR31</f>
        <v>26162.729999999992</v>
      </c>
      <c r="AN31" s="59">
        <f>+AM31*3.3058</f>
        <v>86488.75283399997</v>
      </c>
      <c r="AO31" s="60">
        <f>+I31*BS31</f>
        <v>25404.389999999992</v>
      </c>
      <c r="AP31" s="59">
        <f>+AO31*3.3058</f>
        <v>83981.832461999977</v>
      </c>
      <c r="AQ31" s="60">
        <f>+I31*BT31</f>
        <v>24646.049999999992</v>
      </c>
      <c r="AR31" s="59">
        <f>+AQ31*3.3058</f>
        <v>81474.912089999969</v>
      </c>
      <c r="AS31" s="55">
        <f>+I31*BU31</f>
        <v>23887.709999999992</v>
      </c>
      <c r="AT31" s="59">
        <f>+AS31*3.3058</f>
        <v>78967.991717999976</v>
      </c>
      <c r="AU31" s="60">
        <f>+I31*BV31</f>
        <v>23129.369999999992</v>
      </c>
      <c r="AV31" s="59">
        <f>+AU31*3.3058</f>
        <v>76461.071345999968</v>
      </c>
      <c r="AW31" s="60">
        <f>+I31*BW31</f>
        <v>22371.029999999992</v>
      </c>
      <c r="AX31" s="59">
        <f>+AW31*3.3058</f>
        <v>73954.150973999975</v>
      </c>
      <c r="AY31" s="55">
        <f>+I31*BX31</f>
        <v>21612.689999999991</v>
      </c>
      <c r="AZ31" s="59">
        <f>+AY31*3.3058</f>
        <v>71447.230601999967</v>
      </c>
      <c r="BC31" s="55">
        <v>1</v>
      </c>
      <c r="BD31" s="55">
        <v>0.97</v>
      </c>
      <c r="BE31" s="55">
        <v>0.95</v>
      </c>
      <c r="BF31" s="55">
        <v>0.93</v>
      </c>
      <c r="BG31" s="55">
        <f t="shared" ref="BG31:BX45" si="143">+BF31-0.02</f>
        <v>0.91</v>
      </c>
      <c r="BH31" s="55">
        <f t="shared" si="143"/>
        <v>0.89</v>
      </c>
      <c r="BI31" s="55">
        <f t="shared" si="143"/>
        <v>0.87</v>
      </c>
      <c r="BJ31" s="55">
        <f t="shared" si="143"/>
        <v>0.85</v>
      </c>
      <c r="BK31" s="55">
        <f t="shared" si="143"/>
        <v>0.83</v>
      </c>
      <c r="BL31" s="55">
        <f t="shared" si="143"/>
        <v>0.80999999999999994</v>
      </c>
      <c r="BM31" s="55">
        <f t="shared" si="143"/>
        <v>0.78999999999999992</v>
      </c>
      <c r="BN31" s="55">
        <f t="shared" si="143"/>
        <v>0.76999999999999991</v>
      </c>
      <c r="BO31" s="55">
        <f t="shared" si="143"/>
        <v>0.74999999999999989</v>
      </c>
      <c r="BP31" s="55">
        <f t="shared" si="143"/>
        <v>0.72999999999999987</v>
      </c>
      <c r="BQ31" s="55">
        <f t="shared" si="143"/>
        <v>0.70999999999999985</v>
      </c>
      <c r="BR31" s="55">
        <f t="shared" si="143"/>
        <v>0.68999999999999984</v>
      </c>
      <c r="BS31" s="55">
        <f t="shared" si="143"/>
        <v>0.66999999999999982</v>
      </c>
      <c r="BT31" s="55">
        <f t="shared" si="143"/>
        <v>0.6499999999999998</v>
      </c>
      <c r="BU31" s="55">
        <f t="shared" si="143"/>
        <v>0.62999999999999978</v>
      </c>
      <c r="BV31" s="55">
        <f t="shared" si="143"/>
        <v>0.60999999999999976</v>
      </c>
      <c r="BW31" s="55">
        <f t="shared" si="143"/>
        <v>0.58999999999999975</v>
      </c>
      <c r="BX31" s="55">
        <f t="shared" si="143"/>
        <v>0.56999999999999973</v>
      </c>
      <c r="BZ31" s="55">
        <f t="shared" si="88"/>
        <v>34504.47</v>
      </c>
      <c r="CA31" s="55">
        <f t="shared" si="89"/>
        <v>34504.47</v>
      </c>
      <c r="CB31" s="59">
        <f t="shared" ref="CB31" si="144">+CA31*3.3058</f>
        <v>114064.87692600001</v>
      </c>
      <c r="CC31" s="55">
        <f>+CA31*DV31</f>
        <v>33469.335899999998</v>
      </c>
      <c r="CD31" s="59">
        <f>+CC31*3.3058</f>
        <v>110642.93061821999</v>
      </c>
      <c r="CE31" s="55">
        <f>+CA31*DW31</f>
        <v>32779.246500000001</v>
      </c>
      <c r="CF31" s="59">
        <f>+CE31*3.3058</f>
        <v>108361.63307970001</v>
      </c>
      <c r="CG31" s="55">
        <f>+CA31*DX31</f>
        <v>32089.157100000004</v>
      </c>
      <c r="CH31" s="59">
        <f>+CG31*3.3058</f>
        <v>106080.33554118001</v>
      </c>
      <c r="CI31" s="57">
        <f>+CA31*DY31</f>
        <v>31399.067700000003</v>
      </c>
      <c r="CJ31" s="59">
        <f>+CI31*3.3058</f>
        <v>103799.03800266002</v>
      </c>
      <c r="CK31" s="55">
        <f>+CA31*DZ31</f>
        <v>30708.978300000002</v>
      </c>
      <c r="CL31" s="59">
        <f>+CK31*3.3058</f>
        <v>101517.74046414001</v>
      </c>
      <c r="CM31" s="57">
        <f>+CA31*EA31</f>
        <v>30018.888900000002</v>
      </c>
      <c r="CN31" s="59">
        <f>+CM31*3.3058</f>
        <v>99236.442925620009</v>
      </c>
      <c r="CO31" s="60">
        <f>+CA31*EB31</f>
        <v>29328.799500000001</v>
      </c>
      <c r="CP31" s="59">
        <f>+CO31*3.3058</f>
        <v>96955.145387100012</v>
      </c>
      <c r="CQ31" s="57">
        <f>+CA31*EC31</f>
        <v>28638.7101</v>
      </c>
      <c r="CR31" s="59">
        <f>+CQ31*3.3058</f>
        <v>94673.847848580001</v>
      </c>
      <c r="CS31" s="55">
        <f>+CA31*ED31</f>
        <v>27948.620699999999</v>
      </c>
      <c r="CT31" s="59">
        <f>+CS31*3.3058</f>
        <v>92392.550310060004</v>
      </c>
      <c r="CU31" s="60">
        <f>+CA31*EE31</f>
        <v>27258.531299999999</v>
      </c>
      <c r="CV31" s="59">
        <f>+CU31*3.3058</f>
        <v>90111.252771539992</v>
      </c>
      <c r="CW31" s="60">
        <f>+CA31*EF31</f>
        <v>26568.441899999998</v>
      </c>
      <c r="CX31" s="59">
        <f>+CW31*3.3058</f>
        <v>87829.955233019995</v>
      </c>
      <c r="CY31" s="60">
        <f>+CA31*EG31</f>
        <v>25878.352499999997</v>
      </c>
      <c r="CZ31" s="59">
        <f>+CY31*3.3058</f>
        <v>85548.657694499998</v>
      </c>
      <c r="DA31" s="55">
        <f>+CA31*EH31</f>
        <v>25188.263099999996</v>
      </c>
      <c r="DB31" s="59">
        <f>+DA31*3.3058</f>
        <v>83267.360155979986</v>
      </c>
      <c r="DC31" s="60">
        <f>+CA31*EI31</f>
        <v>24498.173699999996</v>
      </c>
      <c r="DD31" s="59">
        <f>+DC31*3.3058</f>
        <v>80986.062617459989</v>
      </c>
      <c r="DE31" s="60">
        <f>+CA31*EJ31</f>
        <v>23808.084299999995</v>
      </c>
      <c r="DF31" s="59">
        <f>+DE31*3.3058</f>
        <v>78704.765078939992</v>
      </c>
      <c r="DG31" s="60">
        <f>+CA31*EK31</f>
        <v>23117.994899999994</v>
      </c>
      <c r="DH31" s="59">
        <f>+DG31*3.3058</f>
        <v>76423.467540419981</v>
      </c>
      <c r="DI31" s="60">
        <f>+CA31*EL31</f>
        <v>22427.905499999993</v>
      </c>
      <c r="DJ31" s="59">
        <f>+DI31*3.3058</f>
        <v>74142.170001899984</v>
      </c>
      <c r="DK31" s="55">
        <f>+CA31*EM31</f>
        <v>21737.816099999993</v>
      </c>
      <c r="DL31" s="59">
        <f>+DK31*3.3058</f>
        <v>71860.872463379972</v>
      </c>
      <c r="DM31" s="60">
        <f>+CA31*EN31</f>
        <v>21047.726699999992</v>
      </c>
      <c r="DN31" s="59">
        <f>+DM31*3.3058</f>
        <v>69579.574924859975</v>
      </c>
      <c r="DO31" s="60">
        <f>+CA31*EO31</f>
        <v>20357.637299999991</v>
      </c>
      <c r="DP31" s="59">
        <f>+DO31*3.3058</f>
        <v>67298.277386339978</v>
      </c>
      <c r="DQ31" s="55">
        <f>+CA31*EP31</f>
        <v>19667.54789999999</v>
      </c>
      <c r="DR31" s="59">
        <f>+DQ31*3.3058</f>
        <v>65016.979847819966</v>
      </c>
      <c r="DU31" s="55">
        <v>1</v>
      </c>
      <c r="DV31" s="55">
        <v>0.97</v>
      </c>
      <c r="DW31" s="55">
        <v>0.95</v>
      </c>
      <c r="DX31" s="55">
        <v>0.93</v>
      </c>
      <c r="DY31" s="55">
        <f t="shared" si="114"/>
        <v>0.91</v>
      </c>
      <c r="DZ31" s="55">
        <f t="shared" si="114"/>
        <v>0.89</v>
      </c>
      <c r="EA31" s="55">
        <f t="shared" si="114"/>
        <v>0.87</v>
      </c>
      <c r="EB31" s="55">
        <f t="shared" si="114"/>
        <v>0.85</v>
      </c>
      <c r="EC31" s="55">
        <f t="shared" si="114"/>
        <v>0.83</v>
      </c>
      <c r="ED31" s="55">
        <f t="shared" si="114"/>
        <v>0.80999999999999994</v>
      </c>
      <c r="EE31" s="55">
        <f t="shared" si="114"/>
        <v>0.78999999999999992</v>
      </c>
      <c r="EF31" s="55">
        <f t="shared" si="114"/>
        <v>0.76999999999999991</v>
      </c>
      <c r="EG31" s="55">
        <f t="shared" si="114"/>
        <v>0.74999999999999989</v>
      </c>
      <c r="EH31" s="55">
        <f t="shared" si="114"/>
        <v>0.72999999999999987</v>
      </c>
      <c r="EI31" s="55">
        <f t="shared" si="114"/>
        <v>0.70999999999999985</v>
      </c>
      <c r="EJ31" s="55">
        <f t="shared" si="114"/>
        <v>0.68999999999999984</v>
      </c>
      <c r="EK31" s="55">
        <f t="shared" si="114"/>
        <v>0.66999999999999982</v>
      </c>
      <c r="EL31" s="55">
        <f t="shared" si="114"/>
        <v>0.6499999999999998</v>
      </c>
      <c r="EM31" s="55">
        <f t="shared" si="114"/>
        <v>0.62999999999999978</v>
      </c>
      <c r="EN31" s="55">
        <f t="shared" si="114"/>
        <v>0.60999999999999976</v>
      </c>
      <c r="EO31" s="55">
        <f t="shared" si="114"/>
        <v>0.58999999999999975</v>
      </c>
      <c r="EP31" s="55">
        <f t="shared" si="114"/>
        <v>0.56999999999999973</v>
      </c>
      <c r="ER31" s="55">
        <f t="shared" si="142"/>
        <v>31399.067700000003</v>
      </c>
      <c r="ES31" s="55">
        <f t="shared" si="116"/>
        <v>31399.067700000003</v>
      </c>
      <c r="ET31" s="59">
        <f t="shared" ref="ET31" si="145">+ES31*3.3058</f>
        <v>103799.03800266002</v>
      </c>
      <c r="EU31" s="55">
        <f>+ES31*GN31</f>
        <v>30457.095669000002</v>
      </c>
      <c r="EV31" s="59">
        <f>+EU31*3.3058</f>
        <v>100685.06686258021</v>
      </c>
      <c r="EW31" s="55">
        <f>+ES31*GO31</f>
        <v>29829.114315000003</v>
      </c>
      <c r="EX31" s="59">
        <f>+EW31*3.3058</f>
        <v>98609.086102527013</v>
      </c>
      <c r="EY31" s="55">
        <f>+ES31*GP31</f>
        <v>29201.132961000003</v>
      </c>
      <c r="EZ31" s="59">
        <f>+EY31*3.3058</f>
        <v>96533.105342473806</v>
      </c>
      <c r="FA31" s="57">
        <f>+ES31*GQ31</f>
        <v>28573.151607000003</v>
      </c>
      <c r="FB31" s="59">
        <f>+FA31*3.3058</f>
        <v>94457.124582420613</v>
      </c>
      <c r="FC31" s="55">
        <f>+ES31*GR31</f>
        <v>27945.170253000004</v>
      </c>
      <c r="FD31" s="59">
        <f>+FC31*3.3058</f>
        <v>92381.143822367419</v>
      </c>
      <c r="FE31" s="57">
        <f>+ES31*GS31</f>
        <v>27317.188899000004</v>
      </c>
      <c r="FF31" s="59">
        <f>+FE31*3.3058</f>
        <v>90305.163062314212</v>
      </c>
      <c r="FG31" s="60">
        <f>+ES31*GT31</f>
        <v>26689.207545000001</v>
      </c>
      <c r="FH31" s="59">
        <f>+FG31*3.3058</f>
        <v>88229.182302261004</v>
      </c>
      <c r="FI31" s="57">
        <f>+ES31*GU31</f>
        <v>26061.226191000002</v>
      </c>
      <c r="FJ31" s="59">
        <f>+FI31*3.3058</f>
        <v>86153.201542207811</v>
      </c>
      <c r="FK31" s="55">
        <f>+ES31*GV31</f>
        <v>25433.244837000002</v>
      </c>
      <c r="FL31" s="59">
        <f>+FK31*3.3058</f>
        <v>84077.220782154604</v>
      </c>
      <c r="FM31" s="60">
        <f>+ES31*GW31</f>
        <v>24805.263482999999</v>
      </c>
      <c r="FN31" s="59">
        <f>+FM31*3.3058</f>
        <v>82001.240022101396</v>
      </c>
      <c r="FO31" s="60">
        <f>+ES31*GX31</f>
        <v>24177.282128999999</v>
      </c>
      <c r="FP31" s="59">
        <f>+FO31*3.3058</f>
        <v>79925.259262048203</v>
      </c>
      <c r="FQ31" s="60">
        <f>+ES31*GY31</f>
        <v>23549.300775</v>
      </c>
      <c r="FR31" s="59">
        <f>+FQ31*3.3058</f>
        <v>77849.278501994995</v>
      </c>
      <c r="FS31" s="55">
        <f>+ES31*GZ31</f>
        <v>22921.319420999997</v>
      </c>
      <c r="FT31" s="59">
        <f>+FS31*3.3058</f>
        <v>75773.297741941788</v>
      </c>
      <c r="FU31" s="60">
        <f>+ES31*HA31</f>
        <v>22293.338066999997</v>
      </c>
      <c r="FV31" s="59">
        <f>+FU31*3.3058</f>
        <v>73697.316981888594</v>
      </c>
      <c r="FW31" s="60">
        <f>+ES31*HB31</f>
        <v>21665.356712999997</v>
      </c>
      <c r="FX31" s="59">
        <f>+FW31*3.3058</f>
        <v>71621.336221835387</v>
      </c>
      <c r="FY31" s="60">
        <f>+ES31*HC31</f>
        <v>21037.375358999998</v>
      </c>
      <c r="FZ31" s="59">
        <f>+FY31*3.3058</f>
        <v>69545.355461782194</v>
      </c>
      <c r="GA31" s="60">
        <f>+ES31*HD31</f>
        <v>20409.394004999995</v>
      </c>
      <c r="GB31" s="59">
        <f>+GA31*3.3058</f>
        <v>67469.374701728986</v>
      </c>
      <c r="GC31" s="55">
        <f>+ES31*HE31</f>
        <v>19781.412650999995</v>
      </c>
      <c r="GD31" s="59">
        <f>+GC31*3.3058</f>
        <v>65393.393941675786</v>
      </c>
      <c r="GE31" s="60">
        <f>+ES31*HF31</f>
        <v>19153.431296999996</v>
      </c>
      <c r="GF31" s="59">
        <f>+GE31*3.3058</f>
        <v>63317.413181622585</v>
      </c>
      <c r="GG31" s="60">
        <f>+ES31*HG31</f>
        <v>18525.449942999992</v>
      </c>
      <c r="GH31" s="59">
        <f>+GG31*3.3058</f>
        <v>61241.432421569378</v>
      </c>
      <c r="GI31" s="55">
        <f>+ES31*HH31</f>
        <v>17897.468588999993</v>
      </c>
      <c r="GJ31" s="59">
        <f>+GI31*3.3058</f>
        <v>59165.451661516177</v>
      </c>
      <c r="GK31" s="55"/>
      <c r="GL31" s="55"/>
      <c r="GM31" s="55">
        <v>1</v>
      </c>
      <c r="GN31" s="55">
        <v>0.97</v>
      </c>
      <c r="GO31" s="55">
        <v>0.95</v>
      </c>
      <c r="GP31" s="55">
        <v>0.93</v>
      </c>
      <c r="GQ31" s="55">
        <f t="shared" si="141"/>
        <v>0.91</v>
      </c>
      <c r="GR31" s="55">
        <f t="shared" si="141"/>
        <v>0.89</v>
      </c>
      <c r="GS31" s="55">
        <f t="shared" si="141"/>
        <v>0.87</v>
      </c>
      <c r="GT31" s="55">
        <f t="shared" si="141"/>
        <v>0.85</v>
      </c>
      <c r="GU31" s="55">
        <f t="shared" si="141"/>
        <v>0.83</v>
      </c>
      <c r="GV31" s="55">
        <f t="shared" si="141"/>
        <v>0.80999999999999994</v>
      </c>
      <c r="GW31" s="55">
        <f t="shared" si="141"/>
        <v>0.78999999999999992</v>
      </c>
      <c r="GX31" s="55">
        <f t="shared" si="141"/>
        <v>0.76999999999999991</v>
      </c>
      <c r="GY31" s="55">
        <f t="shared" si="141"/>
        <v>0.74999999999999989</v>
      </c>
      <c r="GZ31" s="55">
        <f t="shared" si="141"/>
        <v>0.72999999999999987</v>
      </c>
      <c r="HA31" s="55">
        <f t="shared" si="141"/>
        <v>0.70999999999999985</v>
      </c>
      <c r="HB31" s="55">
        <f t="shared" si="141"/>
        <v>0.68999999999999984</v>
      </c>
      <c r="HC31" s="55">
        <f t="shared" si="141"/>
        <v>0.66999999999999982</v>
      </c>
      <c r="HD31" s="55">
        <f t="shared" si="141"/>
        <v>0.6499999999999998</v>
      </c>
      <c r="HE31" s="55">
        <f t="shared" si="141"/>
        <v>0.62999999999999978</v>
      </c>
      <c r="HF31" s="55">
        <f t="shared" si="141"/>
        <v>0.60999999999999976</v>
      </c>
      <c r="HG31" s="55">
        <f t="shared" si="141"/>
        <v>0.58999999999999975</v>
      </c>
      <c r="HH31" s="55">
        <f t="shared" si="141"/>
        <v>0.56999999999999973</v>
      </c>
    </row>
    <row r="32" spans="1:216" x14ac:dyDescent="0.3">
      <c r="J32" s="55"/>
      <c r="W32" s="60"/>
      <c r="AC32" s="60"/>
      <c r="AE32" s="60"/>
      <c r="AG32" s="60"/>
      <c r="AK32" s="60"/>
      <c r="AM32" s="60"/>
      <c r="AO32" s="60"/>
      <c r="AQ32" s="60"/>
      <c r="AU32" s="60"/>
      <c r="AW32" s="60"/>
      <c r="BC32" s="55">
        <v>1</v>
      </c>
      <c r="BD32" s="55">
        <v>0.97</v>
      </c>
      <c r="BE32" s="55">
        <v>0.95</v>
      </c>
      <c r="BF32" s="55">
        <v>0.93</v>
      </c>
      <c r="BG32" s="55">
        <f t="shared" si="143"/>
        <v>0.91</v>
      </c>
      <c r="BH32" s="55">
        <f t="shared" si="143"/>
        <v>0.89</v>
      </c>
      <c r="BI32" s="55">
        <f t="shared" si="143"/>
        <v>0.87</v>
      </c>
      <c r="BJ32" s="55">
        <f t="shared" si="143"/>
        <v>0.85</v>
      </c>
      <c r="BK32" s="55">
        <f t="shared" si="143"/>
        <v>0.83</v>
      </c>
      <c r="BL32" s="55">
        <f t="shared" si="143"/>
        <v>0.80999999999999994</v>
      </c>
      <c r="BM32" s="55">
        <f t="shared" si="143"/>
        <v>0.78999999999999992</v>
      </c>
      <c r="BN32" s="55">
        <f t="shared" si="143"/>
        <v>0.76999999999999991</v>
      </c>
      <c r="BO32" s="55">
        <f t="shared" si="143"/>
        <v>0.74999999999999989</v>
      </c>
      <c r="BP32" s="55">
        <f t="shared" si="143"/>
        <v>0.72999999999999987</v>
      </c>
      <c r="BQ32" s="55">
        <f t="shared" si="143"/>
        <v>0.70999999999999985</v>
      </c>
      <c r="BR32" s="55">
        <f t="shared" si="143"/>
        <v>0.68999999999999984</v>
      </c>
      <c r="BS32" s="55">
        <f t="shared" si="143"/>
        <v>0.66999999999999982</v>
      </c>
      <c r="BT32" s="55">
        <f t="shared" si="143"/>
        <v>0.6499999999999998</v>
      </c>
      <c r="BU32" s="55">
        <f t="shared" si="143"/>
        <v>0.62999999999999978</v>
      </c>
      <c r="BV32" s="55">
        <f t="shared" si="143"/>
        <v>0.60999999999999976</v>
      </c>
      <c r="BW32" s="55">
        <f t="shared" si="143"/>
        <v>0.58999999999999975</v>
      </c>
      <c r="BX32" s="55">
        <f t="shared" si="143"/>
        <v>0.56999999999999973</v>
      </c>
      <c r="BZ32" s="55">
        <f t="shared" si="88"/>
        <v>0</v>
      </c>
      <c r="CI32" s="57"/>
      <c r="CM32" s="57"/>
      <c r="CO32" s="60"/>
      <c r="CQ32" s="57"/>
      <c r="CU32" s="60"/>
      <c r="CW32" s="60"/>
      <c r="CY32" s="60"/>
      <c r="DC32" s="60"/>
      <c r="DE32" s="60"/>
      <c r="DG32" s="60"/>
      <c r="DI32" s="60"/>
      <c r="DM32" s="60"/>
      <c r="DO32" s="60"/>
      <c r="DU32" s="55">
        <v>1</v>
      </c>
      <c r="DV32" s="55">
        <v>0.97</v>
      </c>
      <c r="DW32" s="55">
        <v>0.95</v>
      </c>
      <c r="DX32" s="55">
        <v>0.93</v>
      </c>
      <c r="DY32" s="55">
        <f t="shared" si="114"/>
        <v>0.91</v>
      </c>
      <c r="DZ32" s="55">
        <f t="shared" si="114"/>
        <v>0.89</v>
      </c>
      <c r="EA32" s="55">
        <f t="shared" si="114"/>
        <v>0.87</v>
      </c>
      <c r="EB32" s="55">
        <f t="shared" si="114"/>
        <v>0.85</v>
      </c>
      <c r="EC32" s="55">
        <f t="shared" si="114"/>
        <v>0.83</v>
      </c>
      <c r="ED32" s="55">
        <f t="shared" si="114"/>
        <v>0.80999999999999994</v>
      </c>
      <c r="EE32" s="55">
        <f t="shared" si="114"/>
        <v>0.78999999999999992</v>
      </c>
      <c r="EF32" s="55">
        <f t="shared" si="114"/>
        <v>0.76999999999999991</v>
      </c>
      <c r="EG32" s="55">
        <f t="shared" si="114"/>
        <v>0.74999999999999989</v>
      </c>
      <c r="EH32" s="55">
        <f t="shared" si="114"/>
        <v>0.72999999999999987</v>
      </c>
      <c r="EI32" s="55">
        <f t="shared" si="114"/>
        <v>0.70999999999999985</v>
      </c>
      <c r="EJ32" s="55">
        <f t="shared" si="114"/>
        <v>0.68999999999999984</v>
      </c>
      <c r="EK32" s="55">
        <f t="shared" si="114"/>
        <v>0.66999999999999982</v>
      </c>
      <c r="EL32" s="55">
        <f t="shared" si="114"/>
        <v>0.6499999999999998</v>
      </c>
      <c r="EM32" s="55">
        <f t="shared" si="114"/>
        <v>0.62999999999999978</v>
      </c>
      <c r="EN32" s="55">
        <f t="shared" si="114"/>
        <v>0.60999999999999976</v>
      </c>
      <c r="EO32" s="55">
        <f t="shared" si="114"/>
        <v>0.58999999999999975</v>
      </c>
      <c r="EP32" s="55">
        <f t="shared" si="114"/>
        <v>0.56999999999999973</v>
      </c>
      <c r="ER32" s="55">
        <f t="shared" si="142"/>
        <v>0</v>
      </c>
      <c r="ES32" s="55"/>
      <c r="ET32" s="55"/>
      <c r="EU32" s="55"/>
      <c r="EV32" s="55"/>
      <c r="EW32" s="55"/>
      <c r="EX32" s="55"/>
      <c r="EY32" s="55"/>
      <c r="EZ32" s="55"/>
      <c r="FA32" s="57"/>
      <c r="FB32" s="55"/>
      <c r="FC32" s="55"/>
      <c r="FD32" s="55"/>
      <c r="FE32" s="57"/>
      <c r="FF32" s="55"/>
      <c r="FG32" s="60"/>
      <c r="FH32" s="55"/>
      <c r="FI32" s="57"/>
      <c r="FJ32" s="55"/>
      <c r="FK32" s="55"/>
      <c r="FL32" s="55"/>
      <c r="FM32" s="60"/>
      <c r="FN32" s="55"/>
      <c r="FO32" s="60"/>
      <c r="FP32" s="55"/>
      <c r="FQ32" s="60"/>
      <c r="FR32" s="55"/>
      <c r="FS32" s="55"/>
      <c r="FT32" s="55"/>
      <c r="FU32" s="60"/>
      <c r="FV32" s="55"/>
      <c r="FW32" s="60"/>
      <c r="FX32" s="55"/>
      <c r="FY32" s="60"/>
      <c r="FZ32" s="55"/>
      <c r="GA32" s="60"/>
      <c r="GB32" s="55"/>
      <c r="GC32" s="55"/>
      <c r="GD32" s="55"/>
      <c r="GE32" s="60"/>
      <c r="GF32" s="55"/>
      <c r="GG32" s="60"/>
      <c r="GH32" s="55"/>
      <c r="GI32" s="55"/>
      <c r="GJ32" s="55"/>
      <c r="GK32" s="55"/>
      <c r="GL32" s="55"/>
      <c r="GM32" s="55">
        <v>1</v>
      </c>
      <c r="GN32" s="55">
        <v>0.97</v>
      </c>
      <c r="GO32" s="55">
        <v>0.95</v>
      </c>
      <c r="GP32" s="55">
        <v>0.93</v>
      </c>
      <c r="GQ32" s="55">
        <f t="shared" si="141"/>
        <v>0.91</v>
      </c>
      <c r="GR32" s="55">
        <f t="shared" si="141"/>
        <v>0.89</v>
      </c>
      <c r="GS32" s="55">
        <f t="shared" si="141"/>
        <v>0.87</v>
      </c>
      <c r="GT32" s="55">
        <f t="shared" si="141"/>
        <v>0.85</v>
      </c>
      <c r="GU32" s="55">
        <f t="shared" si="141"/>
        <v>0.83</v>
      </c>
      <c r="GV32" s="55">
        <f t="shared" si="141"/>
        <v>0.80999999999999994</v>
      </c>
      <c r="GW32" s="55">
        <f t="shared" si="141"/>
        <v>0.78999999999999992</v>
      </c>
      <c r="GX32" s="55">
        <f t="shared" si="141"/>
        <v>0.76999999999999991</v>
      </c>
      <c r="GY32" s="55">
        <f t="shared" si="141"/>
        <v>0.74999999999999989</v>
      </c>
      <c r="GZ32" s="55">
        <f t="shared" si="141"/>
        <v>0.72999999999999987</v>
      </c>
      <c r="HA32" s="55">
        <f t="shared" si="141"/>
        <v>0.70999999999999985</v>
      </c>
      <c r="HB32" s="55">
        <f t="shared" si="141"/>
        <v>0.68999999999999984</v>
      </c>
      <c r="HC32" s="55">
        <f t="shared" si="141"/>
        <v>0.66999999999999982</v>
      </c>
      <c r="HD32" s="55">
        <f t="shared" si="141"/>
        <v>0.6499999999999998</v>
      </c>
      <c r="HE32" s="55">
        <f t="shared" si="141"/>
        <v>0.62999999999999978</v>
      </c>
      <c r="HF32" s="55">
        <f t="shared" si="141"/>
        <v>0.60999999999999976</v>
      </c>
      <c r="HG32" s="55">
        <f t="shared" si="141"/>
        <v>0.58999999999999975</v>
      </c>
      <c r="HH32" s="55">
        <f t="shared" si="141"/>
        <v>0.56999999999999973</v>
      </c>
    </row>
    <row r="33" spans="1:216" ht="17.25" thickBot="1" x14ac:dyDescent="0.35">
      <c r="B33" s="2" t="s">
        <v>145</v>
      </c>
      <c r="C33" s="2" t="s">
        <v>114</v>
      </c>
      <c r="D33" s="2" t="s">
        <v>293</v>
      </c>
      <c r="E33" s="35" t="s">
        <v>155</v>
      </c>
      <c r="J33" s="55"/>
      <c r="W33" s="60"/>
      <c r="AC33" s="60"/>
      <c r="AE33" s="60"/>
      <c r="AG33" s="60"/>
      <c r="AK33" s="60"/>
      <c r="AM33" s="60"/>
      <c r="AO33" s="60"/>
      <c r="AQ33" s="60"/>
      <c r="AU33" s="60"/>
      <c r="AW33" s="60"/>
      <c r="BC33" s="55">
        <v>1</v>
      </c>
      <c r="BD33" s="55">
        <v>0.97</v>
      </c>
      <c r="BE33" s="55">
        <v>0.95</v>
      </c>
      <c r="BF33" s="55">
        <v>0.93</v>
      </c>
      <c r="BG33" s="55">
        <f t="shared" si="143"/>
        <v>0.91</v>
      </c>
      <c r="BH33" s="55">
        <f t="shared" si="143"/>
        <v>0.89</v>
      </c>
      <c r="BI33" s="55">
        <f t="shared" si="143"/>
        <v>0.87</v>
      </c>
      <c r="BJ33" s="55">
        <f t="shared" si="143"/>
        <v>0.85</v>
      </c>
      <c r="BK33" s="55">
        <f t="shared" si="143"/>
        <v>0.83</v>
      </c>
      <c r="BL33" s="55">
        <f t="shared" si="143"/>
        <v>0.80999999999999994</v>
      </c>
      <c r="BM33" s="55">
        <f t="shared" si="143"/>
        <v>0.78999999999999992</v>
      </c>
      <c r="BN33" s="55">
        <f t="shared" si="143"/>
        <v>0.76999999999999991</v>
      </c>
      <c r="BO33" s="55">
        <f t="shared" si="143"/>
        <v>0.74999999999999989</v>
      </c>
      <c r="BP33" s="55">
        <f t="shared" si="143"/>
        <v>0.72999999999999987</v>
      </c>
      <c r="BQ33" s="55">
        <f t="shared" si="143"/>
        <v>0.70999999999999985</v>
      </c>
      <c r="BR33" s="55">
        <f t="shared" si="143"/>
        <v>0.68999999999999984</v>
      </c>
      <c r="BS33" s="55">
        <f t="shared" si="143"/>
        <v>0.66999999999999982</v>
      </c>
      <c r="BT33" s="55">
        <f t="shared" si="143"/>
        <v>0.6499999999999998</v>
      </c>
      <c r="BU33" s="55">
        <f t="shared" si="143"/>
        <v>0.62999999999999978</v>
      </c>
      <c r="BV33" s="55">
        <f t="shared" si="143"/>
        <v>0.60999999999999976</v>
      </c>
      <c r="BW33" s="55">
        <f t="shared" si="143"/>
        <v>0.58999999999999975</v>
      </c>
      <c r="BX33" s="55">
        <f t="shared" si="143"/>
        <v>0.56999999999999973</v>
      </c>
      <c r="BZ33" s="55">
        <f t="shared" si="88"/>
        <v>0</v>
      </c>
      <c r="CI33" s="57"/>
      <c r="CM33" s="57"/>
      <c r="CO33" s="60"/>
      <c r="CQ33" s="57"/>
      <c r="CU33" s="60"/>
      <c r="CW33" s="60"/>
      <c r="CY33" s="60"/>
      <c r="DC33" s="60"/>
      <c r="DE33" s="60"/>
      <c r="DG33" s="60"/>
      <c r="DI33" s="60"/>
      <c r="DM33" s="60"/>
      <c r="DO33" s="60"/>
      <c r="DU33" s="55">
        <v>1</v>
      </c>
      <c r="DV33" s="55">
        <v>0.97</v>
      </c>
      <c r="DW33" s="55">
        <v>0.95</v>
      </c>
      <c r="DX33" s="55">
        <v>0.93</v>
      </c>
      <c r="DY33" s="55">
        <f t="shared" si="114"/>
        <v>0.91</v>
      </c>
      <c r="DZ33" s="55">
        <f t="shared" si="114"/>
        <v>0.89</v>
      </c>
      <c r="EA33" s="55">
        <f t="shared" si="114"/>
        <v>0.87</v>
      </c>
      <c r="EB33" s="55">
        <f t="shared" ref="EB33:EP33" si="146">+EA33-0.02</f>
        <v>0.85</v>
      </c>
      <c r="EC33" s="55">
        <f t="shared" si="146"/>
        <v>0.83</v>
      </c>
      <c r="ED33" s="55">
        <f t="shared" si="146"/>
        <v>0.80999999999999994</v>
      </c>
      <c r="EE33" s="55">
        <f t="shared" si="146"/>
        <v>0.78999999999999992</v>
      </c>
      <c r="EF33" s="55">
        <f t="shared" si="146"/>
        <v>0.76999999999999991</v>
      </c>
      <c r="EG33" s="55">
        <f t="shared" si="146"/>
        <v>0.74999999999999989</v>
      </c>
      <c r="EH33" s="55">
        <f t="shared" si="146"/>
        <v>0.72999999999999987</v>
      </c>
      <c r="EI33" s="55">
        <f t="shared" si="146"/>
        <v>0.70999999999999985</v>
      </c>
      <c r="EJ33" s="55">
        <f t="shared" si="146"/>
        <v>0.68999999999999984</v>
      </c>
      <c r="EK33" s="55">
        <f t="shared" si="146"/>
        <v>0.66999999999999982</v>
      </c>
      <c r="EL33" s="55">
        <f t="shared" si="146"/>
        <v>0.6499999999999998</v>
      </c>
      <c r="EM33" s="55">
        <f t="shared" si="146"/>
        <v>0.62999999999999978</v>
      </c>
      <c r="EN33" s="55">
        <f t="shared" si="146"/>
        <v>0.60999999999999976</v>
      </c>
      <c r="EO33" s="55">
        <f t="shared" si="146"/>
        <v>0.58999999999999975</v>
      </c>
      <c r="EP33" s="55">
        <f t="shared" si="146"/>
        <v>0.56999999999999973</v>
      </c>
      <c r="ER33" s="55">
        <f t="shared" si="142"/>
        <v>0</v>
      </c>
      <c r="ES33" s="55"/>
      <c r="ET33" s="55"/>
      <c r="EU33" s="55"/>
      <c r="EV33" s="55"/>
      <c r="EW33" s="55"/>
      <c r="EX33" s="55"/>
      <c r="EY33" s="55"/>
      <c r="EZ33" s="55"/>
      <c r="FA33" s="57"/>
      <c r="FB33" s="55"/>
      <c r="FC33" s="55"/>
      <c r="FD33" s="55"/>
      <c r="FE33" s="57"/>
      <c r="FF33" s="55"/>
      <c r="FG33" s="60"/>
      <c r="FH33" s="55"/>
      <c r="FI33" s="57"/>
      <c r="FJ33" s="55"/>
      <c r="FK33" s="55"/>
      <c r="FL33" s="55"/>
      <c r="FM33" s="60"/>
      <c r="FN33" s="55"/>
      <c r="FO33" s="60"/>
      <c r="FP33" s="55"/>
      <c r="FQ33" s="60"/>
      <c r="FR33" s="55"/>
      <c r="FS33" s="55"/>
      <c r="FT33" s="55"/>
      <c r="FU33" s="60"/>
      <c r="FV33" s="55"/>
      <c r="FW33" s="60"/>
      <c r="FX33" s="55"/>
      <c r="FY33" s="60"/>
      <c r="FZ33" s="55"/>
      <c r="GA33" s="60"/>
      <c r="GB33" s="55"/>
      <c r="GC33" s="55"/>
      <c r="GD33" s="55"/>
      <c r="GE33" s="60"/>
      <c r="GF33" s="55"/>
      <c r="GG33" s="60"/>
      <c r="GH33" s="55"/>
      <c r="GI33" s="55"/>
      <c r="GJ33" s="55"/>
      <c r="GK33" s="55"/>
      <c r="GL33" s="55"/>
      <c r="GM33" s="55">
        <v>1</v>
      </c>
      <c r="GN33" s="55">
        <v>0.97</v>
      </c>
      <c r="GO33" s="55">
        <v>0.95</v>
      </c>
      <c r="GP33" s="55">
        <v>0.93</v>
      </c>
      <c r="GQ33" s="55">
        <f t="shared" si="141"/>
        <v>0.91</v>
      </c>
      <c r="GR33" s="55">
        <f t="shared" si="141"/>
        <v>0.89</v>
      </c>
      <c r="GS33" s="55">
        <f t="shared" si="141"/>
        <v>0.87</v>
      </c>
      <c r="GT33" s="55">
        <f t="shared" ref="GT33:HH33" si="147">+GS33-0.02</f>
        <v>0.85</v>
      </c>
      <c r="GU33" s="55">
        <f t="shared" si="147"/>
        <v>0.83</v>
      </c>
      <c r="GV33" s="55">
        <f t="shared" si="147"/>
        <v>0.80999999999999994</v>
      </c>
      <c r="GW33" s="55">
        <f t="shared" si="147"/>
        <v>0.78999999999999992</v>
      </c>
      <c r="GX33" s="55">
        <f t="shared" si="147"/>
        <v>0.76999999999999991</v>
      </c>
      <c r="GY33" s="55">
        <f t="shared" si="147"/>
        <v>0.74999999999999989</v>
      </c>
      <c r="GZ33" s="55">
        <f t="shared" si="147"/>
        <v>0.72999999999999987</v>
      </c>
      <c r="HA33" s="55">
        <f t="shared" si="147"/>
        <v>0.70999999999999985</v>
      </c>
      <c r="HB33" s="55">
        <f t="shared" si="147"/>
        <v>0.68999999999999984</v>
      </c>
      <c r="HC33" s="55">
        <f t="shared" si="147"/>
        <v>0.66999999999999982</v>
      </c>
      <c r="HD33" s="55">
        <f t="shared" si="147"/>
        <v>0.6499999999999998</v>
      </c>
      <c r="HE33" s="55">
        <f t="shared" si="147"/>
        <v>0.62999999999999978</v>
      </c>
      <c r="HF33" s="55">
        <f t="shared" si="147"/>
        <v>0.60999999999999976</v>
      </c>
      <c r="HG33" s="55">
        <f t="shared" si="147"/>
        <v>0.58999999999999975</v>
      </c>
      <c r="HH33" s="55">
        <f t="shared" si="147"/>
        <v>0.56999999999999973</v>
      </c>
    </row>
    <row r="34" spans="1:216" x14ac:dyDescent="0.3">
      <c r="A34" s="2">
        <v>1</v>
      </c>
      <c r="C34" s="38" t="s">
        <v>15</v>
      </c>
      <c r="D34" s="40">
        <f>TRUNC(26067.701529267,-1)</f>
        <v>26060</v>
      </c>
      <c r="E34" s="70">
        <f t="shared" ref="E34:E53" si="148">TRUNC(+D34*3.3058,-1)</f>
        <v>86140</v>
      </c>
      <c r="H34" s="55">
        <f t="shared" si="61"/>
        <v>94754.000000000015</v>
      </c>
      <c r="I34" s="55">
        <f t="shared" si="62"/>
        <v>94754.000000000015</v>
      </c>
      <c r="J34" s="59">
        <f t="shared" si="63"/>
        <v>313237.77320000005</v>
      </c>
      <c r="K34" s="55">
        <f t="shared" ref="K34:K54" si="149">+I34*BD34</f>
        <v>91911.38</v>
      </c>
      <c r="L34" s="59">
        <f t="shared" ref="L34:L54" si="150">+K34*3.3058</f>
        <v>303840.64000400004</v>
      </c>
      <c r="M34" s="55">
        <f t="shared" ref="M34:M54" si="151">+I34*BE34</f>
        <v>90016.3</v>
      </c>
      <c r="N34" s="59">
        <f t="shared" ref="N34:N54" si="152">+M34*3.3058</f>
        <v>297575.88454</v>
      </c>
      <c r="O34" s="55">
        <f t="shared" ref="O34:O54" si="153">+I34*BF34</f>
        <v>88121.220000000016</v>
      </c>
      <c r="P34" s="59">
        <f t="shared" ref="P34:P54" si="154">+O34*3.3058</f>
        <v>291311.12907600007</v>
      </c>
      <c r="Q34" s="57">
        <f t="shared" ref="Q34:Q54" si="155">+I34*BG34</f>
        <v>86226.140000000014</v>
      </c>
      <c r="R34" s="59">
        <f t="shared" ref="R34:R54" si="156">+Q34*3.3058</f>
        <v>285046.37361200002</v>
      </c>
      <c r="S34" s="55">
        <f t="shared" ref="S34:S54" si="157">+I34*BH34</f>
        <v>84331.060000000012</v>
      </c>
      <c r="T34" s="59">
        <f t="shared" ref="T34:T54" si="158">+S34*3.3058</f>
        <v>278781.61814800004</v>
      </c>
      <c r="U34" s="57">
        <f t="shared" ref="U34:U54" si="159">+I34*BI34</f>
        <v>82435.98000000001</v>
      </c>
      <c r="V34" s="59">
        <f t="shared" ref="V34:V54" si="160">+U34*3.3058</f>
        <v>272516.86268400005</v>
      </c>
      <c r="W34" s="60">
        <f t="shared" ref="W34:W54" si="161">+I34*BJ34</f>
        <v>80540.900000000009</v>
      </c>
      <c r="X34" s="59">
        <f t="shared" ref="X34:X54" si="162">+W34*3.3058</f>
        <v>266252.10722000006</v>
      </c>
      <c r="Y34" s="57">
        <f t="shared" ref="Y34:Y54" si="163">+I34*BK34</f>
        <v>78645.820000000007</v>
      </c>
      <c r="Z34" s="59">
        <f t="shared" ref="Z34:Z54" si="164">+Y34*3.3058</f>
        <v>259987.35175600002</v>
      </c>
      <c r="AA34" s="55">
        <f t="shared" ref="AA34:AA54" si="165">+I34*BL34</f>
        <v>76750.740000000005</v>
      </c>
      <c r="AB34" s="59">
        <f t="shared" ref="AB34:AB54" si="166">+AA34*3.3058</f>
        <v>253722.59629200003</v>
      </c>
      <c r="AC34" s="60">
        <f t="shared" ref="AC34:AC54" si="167">+I34*BM34</f>
        <v>74855.66</v>
      </c>
      <c r="AD34" s="59">
        <f t="shared" ref="AD34:AD54" si="168">+AC34*3.3058</f>
        <v>247457.84082800001</v>
      </c>
      <c r="AE34" s="60">
        <f t="shared" ref="AE34:AE54" si="169">+I34*BN34</f>
        <v>72960.58</v>
      </c>
      <c r="AF34" s="59">
        <f t="shared" ref="AF34:AF54" si="170">+AE34*3.3058</f>
        <v>241193.085364</v>
      </c>
      <c r="AG34" s="60">
        <f t="shared" ref="AG34:AG54" si="171">+I34*BO34</f>
        <v>71065.5</v>
      </c>
      <c r="AH34" s="59">
        <f t="shared" ref="AH34:AH54" si="172">+AG34*3.3058</f>
        <v>234928.32990000001</v>
      </c>
      <c r="AI34" s="55">
        <f t="shared" ref="AI34:AI54" si="173">+I34*BP34</f>
        <v>69170.42</v>
      </c>
      <c r="AJ34" s="59">
        <f t="shared" ref="AJ34:AJ54" si="174">+AI34*3.3058</f>
        <v>228663.574436</v>
      </c>
      <c r="AK34" s="60">
        <f t="shared" ref="AK34:AK54" si="175">+I34*BQ34</f>
        <v>67275.34</v>
      </c>
      <c r="AL34" s="59">
        <f t="shared" ref="AL34:AL54" si="176">+AK34*3.3058</f>
        <v>222398.81897199998</v>
      </c>
      <c r="AM34" s="60">
        <f t="shared" ref="AM34:AM54" si="177">+I34*BR34</f>
        <v>65380.259999999995</v>
      </c>
      <c r="AN34" s="59">
        <f t="shared" ref="AN34:AN54" si="178">+AM34*3.3058</f>
        <v>216134.06350799999</v>
      </c>
      <c r="AO34" s="60">
        <f t="shared" ref="AO34:AO54" si="179">+I34*BS34</f>
        <v>63485.179999999993</v>
      </c>
      <c r="AP34" s="59">
        <f t="shared" ref="AP34:AP54" si="180">+AO34*3.3058</f>
        <v>209869.30804399998</v>
      </c>
      <c r="AQ34" s="60">
        <f t="shared" ref="AQ34:AQ54" si="181">+I34*BT34</f>
        <v>61590.099999999991</v>
      </c>
      <c r="AR34" s="59">
        <f t="shared" ref="AR34:AR54" si="182">+AQ34*3.3058</f>
        <v>203604.55257999999</v>
      </c>
      <c r="AS34" s="55">
        <f t="shared" ref="AS34:AS54" si="183">+I34*BU34</f>
        <v>59695.01999999999</v>
      </c>
      <c r="AT34" s="59">
        <f t="shared" ref="AT34:AT54" si="184">+AS34*3.3058</f>
        <v>197339.79711599997</v>
      </c>
      <c r="AU34" s="60">
        <f t="shared" ref="AU34:AU54" si="185">+I34*BV34</f>
        <v>57799.939999999988</v>
      </c>
      <c r="AV34" s="59">
        <f t="shared" ref="AV34:AV54" si="186">+AU34*3.3058</f>
        <v>191075.04165199996</v>
      </c>
      <c r="AW34" s="60">
        <f t="shared" ref="AW34:AW54" si="187">+I34*BW34</f>
        <v>55904.859999999986</v>
      </c>
      <c r="AX34" s="59">
        <f t="shared" ref="AX34:AX54" si="188">+AW34*3.3058</f>
        <v>184810.28618799997</v>
      </c>
      <c r="AY34" s="55">
        <f t="shared" ref="AY34:AY54" si="189">+I34*BX34</f>
        <v>54009.779999999984</v>
      </c>
      <c r="AZ34" s="59">
        <f t="shared" ref="AZ34:AZ54" si="190">+AY34*3.3058</f>
        <v>178545.53072399995</v>
      </c>
      <c r="BC34" s="55">
        <v>1</v>
      </c>
      <c r="BD34" s="55">
        <v>0.97</v>
      </c>
      <c r="BE34" s="55">
        <v>0.95</v>
      </c>
      <c r="BF34" s="55">
        <v>0.93</v>
      </c>
      <c r="BG34" s="55">
        <f t="shared" si="143"/>
        <v>0.91</v>
      </c>
      <c r="BH34" s="55">
        <f t="shared" si="143"/>
        <v>0.89</v>
      </c>
      <c r="BI34" s="55">
        <f t="shared" si="143"/>
        <v>0.87</v>
      </c>
      <c r="BJ34" s="55">
        <f t="shared" si="143"/>
        <v>0.85</v>
      </c>
      <c r="BK34" s="55">
        <f t="shared" si="143"/>
        <v>0.83</v>
      </c>
      <c r="BL34" s="55">
        <f t="shared" si="143"/>
        <v>0.80999999999999994</v>
      </c>
      <c r="BM34" s="55">
        <f t="shared" si="143"/>
        <v>0.78999999999999992</v>
      </c>
      <c r="BN34" s="55">
        <f t="shared" si="143"/>
        <v>0.76999999999999991</v>
      </c>
      <c r="BO34" s="55">
        <f t="shared" si="143"/>
        <v>0.74999999999999989</v>
      </c>
      <c r="BP34" s="55">
        <f t="shared" si="143"/>
        <v>0.72999999999999987</v>
      </c>
      <c r="BQ34" s="55">
        <f t="shared" si="143"/>
        <v>0.70999999999999985</v>
      </c>
      <c r="BR34" s="55">
        <f t="shared" si="143"/>
        <v>0.68999999999999984</v>
      </c>
      <c r="BS34" s="55">
        <f t="shared" si="143"/>
        <v>0.66999999999999982</v>
      </c>
      <c r="BT34" s="55">
        <f t="shared" si="143"/>
        <v>0.6499999999999998</v>
      </c>
      <c r="BU34" s="55">
        <f t="shared" si="143"/>
        <v>0.62999999999999978</v>
      </c>
      <c r="BV34" s="55">
        <f t="shared" si="143"/>
        <v>0.60999999999999976</v>
      </c>
      <c r="BW34" s="55">
        <f t="shared" si="143"/>
        <v>0.58999999999999975</v>
      </c>
      <c r="BX34" s="55">
        <f t="shared" si="143"/>
        <v>0.56999999999999973</v>
      </c>
      <c r="BZ34" s="55">
        <f t="shared" si="88"/>
        <v>86226.140000000014</v>
      </c>
      <c r="CA34" s="55">
        <f t="shared" si="89"/>
        <v>86226.140000000014</v>
      </c>
      <c r="CB34" s="59">
        <f t="shared" ref="CB34:CB54" si="191">+CA34*3.3058</f>
        <v>285046.37361200002</v>
      </c>
      <c r="CC34" s="55">
        <f t="shared" ref="CC34:CC54" si="192">+CA34*DV34</f>
        <v>83639.355800000005</v>
      </c>
      <c r="CD34" s="59">
        <f t="shared" ref="CD34:CD54" si="193">+CC34*3.3058</f>
        <v>276494.98240364</v>
      </c>
      <c r="CE34" s="55">
        <f t="shared" ref="CE34:CE54" si="194">+CA34*DW34</f>
        <v>81914.833000000013</v>
      </c>
      <c r="CF34" s="59">
        <f t="shared" ref="CF34:CF54" si="195">+CE34*3.3058</f>
        <v>270794.05493140005</v>
      </c>
      <c r="CG34" s="55">
        <f t="shared" ref="CG34:CG54" si="196">+CA34*DX34</f>
        <v>80190.310200000022</v>
      </c>
      <c r="CH34" s="59">
        <f t="shared" ref="CH34:CH54" si="197">+CG34*3.3058</f>
        <v>265093.12745916005</v>
      </c>
      <c r="CI34" s="57">
        <f t="shared" ref="CI34:CI54" si="198">+CA34*DY34</f>
        <v>78465.787400000016</v>
      </c>
      <c r="CJ34" s="59">
        <f t="shared" ref="CJ34:CJ54" si="199">+CI34*3.3058</f>
        <v>259392.19998692005</v>
      </c>
      <c r="CK34" s="55">
        <f t="shared" ref="CK34:CK54" si="200">+CA34*DZ34</f>
        <v>76741.26460000001</v>
      </c>
      <c r="CL34" s="59">
        <f t="shared" ref="CL34:CL54" si="201">+CK34*3.3058</f>
        <v>253691.27251468005</v>
      </c>
      <c r="CM34" s="57">
        <f t="shared" ref="CM34:CM54" si="202">+CA34*EA34</f>
        <v>75016.741800000018</v>
      </c>
      <c r="CN34" s="59">
        <f t="shared" ref="CN34:CN54" si="203">+CM34*3.3058</f>
        <v>247990.34504244005</v>
      </c>
      <c r="CO34" s="60">
        <f t="shared" ref="CO34:CO54" si="204">+CA34*EB34</f>
        <v>73292.219000000012</v>
      </c>
      <c r="CP34" s="59">
        <f t="shared" ref="CP34:CP54" si="205">+CO34*3.3058</f>
        <v>242289.41757020005</v>
      </c>
      <c r="CQ34" s="57">
        <f t="shared" ref="CQ34:CQ54" si="206">+CA34*EC34</f>
        <v>71567.696200000006</v>
      </c>
      <c r="CR34" s="59">
        <f t="shared" ref="CR34:CR54" si="207">+CQ34*3.3058</f>
        <v>236588.49009796002</v>
      </c>
      <c r="CS34" s="55">
        <f t="shared" ref="CS34:CS54" si="208">+CA34*ED34</f>
        <v>69843.1734</v>
      </c>
      <c r="CT34" s="59">
        <f t="shared" ref="CT34:CT54" si="209">+CS34*3.3058</f>
        <v>230887.56262571999</v>
      </c>
      <c r="CU34" s="60">
        <f t="shared" ref="CU34:CU54" si="210">+CA34*EE34</f>
        <v>68118.650600000008</v>
      </c>
      <c r="CV34" s="59">
        <f t="shared" ref="CV34:CV54" si="211">+CU34*3.3058</f>
        <v>225186.63515348002</v>
      </c>
      <c r="CW34" s="60">
        <f t="shared" ref="CW34:CW54" si="212">+CA34*EF34</f>
        <v>66394.127800000002</v>
      </c>
      <c r="CX34" s="59">
        <f t="shared" ref="CX34:CX54" si="213">+CW34*3.3058</f>
        <v>219485.70768124002</v>
      </c>
      <c r="CY34" s="60">
        <f t="shared" ref="CY34:CY54" si="214">+CA34*EG34</f>
        <v>64669.605000000003</v>
      </c>
      <c r="CZ34" s="59">
        <f t="shared" ref="CZ34:CZ54" si="215">+CY34*3.3058</f>
        <v>213784.78020900002</v>
      </c>
      <c r="DA34" s="55">
        <f t="shared" ref="DA34:DA54" si="216">+CA34*EH34</f>
        <v>62945.082199999997</v>
      </c>
      <c r="DB34" s="59">
        <f t="shared" ref="DB34:DB54" si="217">+DA34*3.3058</f>
        <v>208083.85273675999</v>
      </c>
      <c r="DC34" s="60">
        <f t="shared" ref="DC34:DC54" si="218">+CA34*EI34</f>
        <v>61220.559399999998</v>
      </c>
      <c r="DD34" s="59">
        <f t="shared" ref="DD34:DD54" si="219">+DC34*3.3058</f>
        <v>202382.92526451999</v>
      </c>
      <c r="DE34" s="60">
        <f t="shared" ref="DE34:DE54" si="220">+CA34*EJ34</f>
        <v>59496.036599999992</v>
      </c>
      <c r="DF34" s="59">
        <f t="shared" ref="DF34:DF54" si="221">+DE34*3.3058</f>
        <v>196681.99779227999</v>
      </c>
      <c r="DG34" s="60">
        <f t="shared" ref="DG34:DG54" si="222">+CA34*EK34</f>
        <v>57771.513799999993</v>
      </c>
      <c r="DH34" s="59">
        <f t="shared" ref="DH34:DH54" si="223">+DG34*3.3058</f>
        <v>190981.07032003999</v>
      </c>
      <c r="DI34" s="60">
        <f t="shared" ref="DI34:DI54" si="224">+CA34*EL34</f>
        <v>56046.990999999995</v>
      </c>
      <c r="DJ34" s="59">
        <f t="shared" ref="DJ34:DJ54" si="225">+DI34*3.3058</f>
        <v>185280.14284779999</v>
      </c>
      <c r="DK34" s="55">
        <f t="shared" ref="DK34:DK54" si="226">+CA34*EM34</f>
        <v>54322.468199999988</v>
      </c>
      <c r="DL34" s="59">
        <f t="shared" ref="DL34:DL54" si="227">+DK34*3.3058</f>
        <v>179579.21537555996</v>
      </c>
      <c r="DM34" s="60">
        <f t="shared" ref="DM34:DM54" si="228">+CA34*EN34</f>
        <v>52597.94539999999</v>
      </c>
      <c r="DN34" s="59">
        <f t="shared" ref="DN34:DN54" si="229">+DM34*3.3058</f>
        <v>173878.28790331996</v>
      </c>
      <c r="DO34" s="60">
        <f t="shared" ref="DO34:DO54" si="230">+CA34*EO34</f>
        <v>50873.422599999984</v>
      </c>
      <c r="DP34" s="59">
        <f t="shared" ref="DP34:DP54" si="231">+DO34*3.3058</f>
        <v>168177.36043107996</v>
      </c>
      <c r="DQ34" s="55">
        <f t="shared" ref="DQ34:DQ54" si="232">+CA34*EP34</f>
        <v>49148.899799999985</v>
      </c>
      <c r="DR34" s="59">
        <f t="shared" ref="DR34:DR54" si="233">+DQ34*3.3058</f>
        <v>162476.43295883996</v>
      </c>
      <c r="DU34" s="55">
        <v>1</v>
      </c>
      <c r="DV34" s="55">
        <v>0.97</v>
      </c>
      <c r="DW34" s="55">
        <v>0.95</v>
      </c>
      <c r="DX34" s="55">
        <v>0.93</v>
      </c>
      <c r="DY34" s="55">
        <f t="shared" ref="DY34:EP48" si="234">+DX34-0.02</f>
        <v>0.91</v>
      </c>
      <c r="DZ34" s="55">
        <f t="shared" si="234"/>
        <v>0.89</v>
      </c>
      <c r="EA34" s="55">
        <f t="shared" si="234"/>
        <v>0.87</v>
      </c>
      <c r="EB34" s="55">
        <f t="shared" si="234"/>
        <v>0.85</v>
      </c>
      <c r="EC34" s="55">
        <f t="shared" si="234"/>
        <v>0.83</v>
      </c>
      <c r="ED34" s="55">
        <f t="shared" si="234"/>
        <v>0.80999999999999994</v>
      </c>
      <c r="EE34" s="55">
        <f t="shared" si="234"/>
        <v>0.78999999999999992</v>
      </c>
      <c r="EF34" s="55">
        <f t="shared" si="234"/>
        <v>0.76999999999999991</v>
      </c>
      <c r="EG34" s="55">
        <f t="shared" si="234"/>
        <v>0.74999999999999989</v>
      </c>
      <c r="EH34" s="55">
        <f t="shared" si="234"/>
        <v>0.72999999999999987</v>
      </c>
      <c r="EI34" s="55">
        <f t="shared" si="234"/>
        <v>0.70999999999999985</v>
      </c>
      <c r="EJ34" s="55">
        <f t="shared" si="234"/>
        <v>0.68999999999999984</v>
      </c>
      <c r="EK34" s="55">
        <f t="shared" si="234"/>
        <v>0.66999999999999982</v>
      </c>
      <c r="EL34" s="55">
        <f t="shared" si="234"/>
        <v>0.6499999999999998</v>
      </c>
      <c r="EM34" s="55">
        <f t="shared" si="234"/>
        <v>0.62999999999999978</v>
      </c>
      <c r="EN34" s="55">
        <f t="shared" si="234"/>
        <v>0.60999999999999976</v>
      </c>
      <c r="EO34" s="55">
        <f t="shared" si="234"/>
        <v>0.58999999999999975</v>
      </c>
      <c r="EP34" s="55">
        <f t="shared" si="234"/>
        <v>0.56999999999999973</v>
      </c>
      <c r="ER34" s="55">
        <f t="shared" si="142"/>
        <v>78465.787400000016</v>
      </c>
      <c r="ES34" s="55">
        <f t="shared" si="116"/>
        <v>78465.787400000016</v>
      </c>
      <c r="ET34" s="59">
        <f t="shared" ref="ET34:ET54" si="235">+ES34*3.3058</f>
        <v>259392.19998692005</v>
      </c>
      <c r="EU34" s="55">
        <f t="shared" ref="EU34:EU54" si="236">+ES34*GN34</f>
        <v>76111.813778000011</v>
      </c>
      <c r="EV34" s="59">
        <f t="shared" ref="EV34:EV54" si="237">+EU34*3.3058</f>
        <v>251610.43398731243</v>
      </c>
      <c r="EW34" s="55">
        <f t="shared" ref="EW34:EW54" si="238">+ES34*GO34</f>
        <v>74542.498030000017</v>
      </c>
      <c r="EX34" s="59">
        <f t="shared" ref="EX34:EX54" si="239">+EW34*3.3058</f>
        <v>246422.58998757406</v>
      </c>
      <c r="EY34" s="55">
        <f t="shared" ref="EY34:EY54" si="240">+ES34*GP34</f>
        <v>72973.182282000023</v>
      </c>
      <c r="EZ34" s="59">
        <f t="shared" ref="EZ34:EZ54" si="241">+EY34*3.3058</f>
        <v>241234.74598783569</v>
      </c>
      <c r="FA34" s="57">
        <f t="shared" ref="FA34:FA54" si="242">+ES34*GQ34</f>
        <v>71403.866534000015</v>
      </c>
      <c r="FB34" s="59">
        <f t="shared" ref="FB34:FB54" si="243">+FA34*3.3058</f>
        <v>236046.90198809726</v>
      </c>
      <c r="FC34" s="55">
        <f t="shared" ref="FC34:FC54" si="244">+ES34*GR34</f>
        <v>69834.550786000022</v>
      </c>
      <c r="FD34" s="59">
        <f t="shared" ref="FD34:FD54" si="245">+FC34*3.3058</f>
        <v>230859.05798835887</v>
      </c>
      <c r="FE34" s="57">
        <f t="shared" ref="FE34:FE54" si="246">+ES34*GS34</f>
        <v>68265.235038000013</v>
      </c>
      <c r="FF34" s="59">
        <f t="shared" ref="FF34:FF54" si="247">+FE34*3.3058</f>
        <v>225671.21398862044</v>
      </c>
      <c r="FG34" s="60">
        <f t="shared" ref="FG34:FG54" si="248">+ES34*GT34</f>
        <v>66695.919290000005</v>
      </c>
      <c r="FH34" s="59">
        <f t="shared" ref="FH34:FH54" si="249">+FG34*3.3058</f>
        <v>220483.36998888201</v>
      </c>
      <c r="FI34" s="57">
        <f t="shared" ref="FI34:FI54" si="250">+ES34*GU34</f>
        <v>65126.603542000012</v>
      </c>
      <c r="FJ34" s="59">
        <f t="shared" ref="FJ34:FJ54" si="251">+FI34*3.3058</f>
        <v>215295.52598914364</v>
      </c>
      <c r="FK34" s="55">
        <f t="shared" ref="FK34:FK54" si="252">+ES34*GV34</f>
        <v>63557.287794000011</v>
      </c>
      <c r="FL34" s="59">
        <f t="shared" ref="FL34:FL54" si="253">+FK34*3.3058</f>
        <v>210107.68198940525</v>
      </c>
      <c r="FM34" s="60">
        <f t="shared" ref="FM34:FM54" si="254">+ES34*GW34</f>
        <v>61987.97204600001</v>
      </c>
      <c r="FN34" s="59">
        <f t="shared" ref="FN34:FN54" si="255">+FM34*3.3058</f>
        <v>204919.83798966685</v>
      </c>
      <c r="FO34" s="60">
        <f t="shared" ref="FO34:FO54" si="256">+ES34*GX34</f>
        <v>60418.656298000002</v>
      </c>
      <c r="FP34" s="59">
        <f t="shared" ref="FP34:FP54" si="257">+FO34*3.3058</f>
        <v>199731.99398992842</v>
      </c>
      <c r="FQ34" s="60">
        <f t="shared" ref="FQ34:FQ54" si="258">+ES34*GY34</f>
        <v>58849.340550000001</v>
      </c>
      <c r="FR34" s="59">
        <f t="shared" ref="FR34:FR54" si="259">+FQ34*3.3058</f>
        <v>194544.14999019</v>
      </c>
      <c r="FS34" s="55">
        <f t="shared" ref="FS34:FS54" si="260">+ES34*GZ34</f>
        <v>57280.024802</v>
      </c>
      <c r="FT34" s="59">
        <f t="shared" ref="FT34:FT54" si="261">+FS34*3.3058</f>
        <v>189356.3059904516</v>
      </c>
      <c r="FU34" s="60">
        <f t="shared" ref="FU34:FU54" si="262">+ES34*HA34</f>
        <v>55710.709053999999</v>
      </c>
      <c r="FV34" s="59">
        <f t="shared" ref="FV34:FV54" si="263">+FU34*3.3058</f>
        <v>184168.4619907132</v>
      </c>
      <c r="FW34" s="60">
        <f t="shared" ref="FW34:FW54" si="264">+ES34*HB34</f>
        <v>54141.393305999998</v>
      </c>
      <c r="FX34" s="59">
        <f t="shared" ref="FX34:FX54" si="265">+FW34*3.3058</f>
        <v>178980.6179909748</v>
      </c>
      <c r="FY34" s="60">
        <f t="shared" ref="FY34:FY54" si="266">+ES34*HC34</f>
        <v>52572.077557999997</v>
      </c>
      <c r="FZ34" s="59">
        <f t="shared" ref="FZ34:FZ54" si="267">+FY34*3.3058</f>
        <v>173792.7739912364</v>
      </c>
      <c r="GA34" s="60">
        <f t="shared" ref="GA34:GA54" si="268">+ES34*HD34</f>
        <v>51002.761809999996</v>
      </c>
      <c r="GB34" s="59">
        <f t="shared" ref="GB34:GB54" si="269">+GA34*3.3058</f>
        <v>168604.92999149798</v>
      </c>
      <c r="GC34" s="55">
        <f t="shared" ref="GC34:GC54" si="270">+ES34*HE34</f>
        <v>49433.446061999995</v>
      </c>
      <c r="GD34" s="59">
        <f t="shared" ref="GD34:GD54" si="271">+GC34*3.3058</f>
        <v>163417.08599175958</v>
      </c>
      <c r="GE34" s="60">
        <f t="shared" ref="GE34:GE54" si="272">+ES34*HF34</f>
        <v>47864.130313999995</v>
      </c>
      <c r="GF34" s="59">
        <f t="shared" ref="GF34:GF54" si="273">+GE34*3.3058</f>
        <v>158229.24199202118</v>
      </c>
      <c r="GG34" s="60">
        <f t="shared" ref="GG34:GG54" si="274">+ES34*HG34</f>
        <v>46294.814565999986</v>
      </c>
      <c r="GH34" s="59">
        <f t="shared" ref="GH34:GH54" si="275">+GG34*3.3058</f>
        <v>153041.39799228276</v>
      </c>
      <c r="GI34" s="55">
        <f t="shared" ref="GI34:GI54" si="276">+ES34*HH34</f>
        <v>44725.498817999985</v>
      </c>
      <c r="GJ34" s="59">
        <f t="shared" ref="GJ34:GJ54" si="277">+GI34*3.3058</f>
        <v>147853.55399254436</v>
      </c>
      <c r="GK34" s="55"/>
      <c r="GL34" s="55"/>
      <c r="GM34" s="55">
        <v>1</v>
      </c>
      <c r="GN34" s="55">
        <v>0.97</v>
      </c>
      <c r="GO34" s="55">
        <v>0.95</v>
      </c>
      <c r="GP34" s="55">
        <v>0.93</v>
      </c>
      <c r="GQ34" s="55">
        <f t="shared" ref="GQ34:HH48" si="278">+GP34-0.02</f>
        <v>0.91</v>
      </c>
      <c r="GR34" s="55">
        <f t="shared" si="278"/>
        <v>0.89</v>
      </c>
      <c r="GS34" s="55">
        <f t="shared" si="278"/>
        <v>0.87</v>
      </c>
      <c r="GT34" s="55">
        <f t="shared" si="278"/>
        <v>0.85</v>
      </c>
      <c r="GU34" s="55">
        <f t="shared" si="278"/>
        <v>0.83</v>
      </c>
      <c r="GV34" s="55">
        <f t="shared" si="278"/>
        <v>0.80999999999999994</v>
      </c>
      <c r="GW34" s="55">
        <f t="shared" si="278"/>
        <v>0.78999999999999992</v>
      </c>
      <c r="GX34" s="55">
        <f t="shared" si="278"/>
        <v>0.76999999999999991</v>
      </c>
      <c r="GY34" s="55">
        <f t="shared" si="278"/>
        <v>0.74999999999999989</v>
      </c>
      <c r="GZ34" s="55">
        <f t="shared" si="278"/>
        <v>0.72999999999999987</v>
      </c>
      <c r="HA34" s="55">
        <f t="shared" si="278"/>
        <v>0.70999999999999985</v>
      </c>
      <c r="HB34" s="55">
        <f t="shared" si="278"/>
        <v>0.68999999999999984</v>
      </c>
      <c r="HC34" s="55">
        <f t="shared" si="278"/>
        <v>0.66999999999999982</v>
      </c>
      <c r="HD34" s="55">
        <f t="shared" si="278"/>
        <v>0.6499999999999998</v>
      </c>
      <c r="HE34" s="55">
        <f t="shared" si="278"/>
        <v>0.62999999999999978</v>
      </c>
      <c r="HF34" s="55">
        <f t="shared" si="278"/>
        <v>0.60999999999999976</v>
      </c>
      <c r="HG34" s="55">
        <f t="shared" si="278"/>
        <v>0.58999999999999975</v>
      </c>
      <c r="HH34" s="55">
        <f t="shared" si="278"/>
        <v>0.56999999999999973</v>
      </c>
    </row>
    <row r="35" spans="1:216" x14ac:dyDescent="0.3">
      <c r="A35" s="2">
        <v>2</v>
      </c>
      <c r="C35" s="38" t="s">
        <v>13</v>
      </c>
      <c r="D35" s="42">
        <f>TRUNC(63785.2288627175,-1)</f>
        <v>63780</v>
      </c>
      <c r="E35" s="71">
        <f t="shared" si="148"/>
        <v>210840</v>
      </c>
      <c r="H35" s="55">
        <f t="shared" si="61"/>
        <v>231924.00000000003</v>
      </c>
      <c r="I35" s="55">
        <f t="shared" si="62"/>
        <v>231924.00000000003</v>
      </c>
      <c r="J35" s="59">
        <f t="shared" si="63"/>
        <v>766694.35920000006</v>
      </c>
      <c r="K35" s="55">
        <f t="shared" si="149"/>
        <v>224966.28000000003</v>
      </c>
      <c r="L35" s="59">
        <f t="shared" si="150"/>
        <v>743693.52842400013</v>
      </c>
      <c r="M35" s="55">
        <f t="shared" si="151"/>
        <v>220327.80000000002</v>
      </c>
      <c r="N35" s="59">
        <f t="shared" si="152"/>
        <v>728359.64124000003</v>
      </c>
      <c r="O35" s="55">
        <f t="shared" si="153"/>
        <v>215689.32000000004</v>
      </c>
      <c r="P35" s="59">
        <f t="shared" si="154"/>
        <v>713025.75405600015</v>
      </c>
      <c r="Q35" s="57">
        <f t="shared" si="155"/>
        <v>211050.84000000003</v>
      </c>
      <c r="R35" s="59">
        <f t="shared" si="156"/>
        <v>697691.86687200004</v>
      </c>
      <c r="S35" s="55">
        <f t="shared" si="157"/>
        <v>206412.36000000002</v>
      </c>
      <c r="T35" s="59">
        <f t="shared" si="158"/>
        <v>682357.97968800005</v>
      </c>
      <c r="U35" s="57">
        <f t="shared" si="159"/>
        <v>201773.88000000003</v>
      </c>
      <c r="V35" s="59">
        <f t="shared" si="160"/>
        <v>667024.09250400017</v>
      </c>
      <c r="W35" s="60">
        <f t="shared" si="161"/>
        <v>197135.40000000002</v>
      </c>
      <c r="X35" s="59">
        <f t="shared" si="162"/>
        <v>651690.20532000007</v>
      </c>
      <c r="Y35" s="57">
        <f t="shared" si="163"/>
        <v>192496.92</v>
      </c>
      <c r="Z35" s="59">
        <f t="shared" si="164"/>
        <v>636356.31813600007</v>
      </c>
      <c r="AA35" s="55">
        <f t="shared" si="165"/>
        <v>187858.44</v>
      </c>
      <c r="AB35" s="59">
        <f t="shared" si="166"/>
        <v>621022.43095199997</v>
      </c>
      <c r="AC35" s="60">
        <f t="shared" si="167"/>
        <v>183219.96</v>
      </c>
      <c r="AD35" s="59">
        <f t="shared" si="168"/>
        <v>605688.54376799997</v>
      </c>
      <c r="AE35" s="60">
        <f t="shared" si="169"/>
        <v>178581.48</v>
      </c>
      <c r="AF35" s="59">
        <f t="shared" si="170"/>
        <v>590354.6565840001</v>
      </c>
      <c r="AG35" s="60">
        <f t="shared" si="171"/>
        <v>173943</v>
      </c>
      <c r="AH35" s="59">
        <f t="shared" si="172"/>
        <v>575020.76939999999</v>
      </c>
      <c r="AI35" s="55">
        <f t="shared" si="173"/>
        <v>169304.52</v>
      </c>
      <c r="AJ35" s="59">
        <f t="shared" si="174"/>
        <v>559686.882216</v>
      </c>
      <c r="AK35" s="60">
        <f t="shared" si="175"/>
        <v>164666.03999999998</v>
      </c>
      <c r="AL35" s="59">
        <f t="shared" si="176"/>
        <v>544352.99503199989</v>
      </c>
      <c r="AM35" s="60">
        <f t="shared" si="177"/>
        <v>160027.55999999997</v>
      </c>
      <c r="AN35" s="59">
        <f t="shared" si="178"/>
        <v>529019.1078479999</v>
      </c>
      <c r="AO35" s="60">
        <f t="shared" si="179"/>
        <v>155389.07999999999</v>
      </c>
      <c r="AP35" s="59">
        <f t="shared" si="180"/>
        <v>513685.22066399996</v>
      </c>
      <c r="AQ35" s="60">
        <f t="shared" si="181"/>
        <v>150750.59999999998</v>
      </c>
      <c r="AR35" s="59">
        <f t="shared" si="182"/>
        <v>498351.33347999991</v>
      </c>
      <c r="AS35" s="55">
        <f t="shared" si="183"/>
        <v>146112.11999999997</v>
      </c>
      <c r="AT35" s="59">
        <f t="shared" si="184"/>
        <v>483017.44629599992</v>
      </c>
      <c r="AU35" s="60">
        <f t="shared" si="185"/>
        <v>141473.63999999996</v>
      </c>
      <c r="AV35" s="59">
        <f t="shared" si="186"/>
        <v>467683.55911199987</v>
      </c>
      <c r="AW35" s="60">
        <f t="shared" si="187"/>
        <v>136835.15999999995</v>
      </c>
      <c r="AX35" s="59">
        <f t="shared" si="188"/>
        <v>452349.67192799982</v>
      </c>
      <c r="AY35" s="55">
        <f t="shared" si="189"/>
        <v>132196.67999999996</v>
      </c>
      <c r="AZ35" s="59">
        <f t="shared" si="190"/>
        <v>437015.78474399989</v>
      </c>
      <c r="BC35" s="55">
        <v>1</v>
      </c>
      <c r="BD35" s="55">
        <v>0.97</v>
      </c>
      <c r="BE35" s="55">
        <v>0.95</v>
      </c>
      <c r="BF35" s="55">
        <v>0.93</v>
      </c>
      <c r="BG35" s="55">
        <f t="shared" si="143"/>
        <v>0.91</v>
      </c>
      <c r="BH35" s="55">
        <f t="shared" si="143"/>
        <v>0.89</v>
      </c>
      <c r="BI35" s="55">
        <f t="shared" si="143"/>
        <v>0.87</v>
      </c>
      <c r="BJ35" s="55">
        <f t="shared" si="143"/>
        <v>0.85</v>
      </c>
      <c r="BK35" s="55">
        <f t="shared" si="143"/>
        <v>0.83</v>
      </c>
      <c r="BL35" s="55">
        <f t="shared" si="143"/>
        <v>0.80999999999999994</v>
      </c>
      <c r="BM35" s="55">
        <f t="shared" si="143"/>
        <v>0.78999999999999992</v>
      </c>
      <c r="BN35" s="55">
        <f t="shared" si="143"/>
        <v>0.76999999999999991</v>
      </c>
      <c r="BO35" s="55">
        <f t="shared" si="143"/>
        <v>0.74999999999999989</v>
      </c>
      <c r="BP35" s="55">
        <f t="shared" si="143"/>
        <v>0.72999999999999987</v>
      </c>
      <c r="BQ35" s="55">
        <f t="shared" si="143"/>
        <v>0.70999999999999985</v>
      </c>
      <c r="BR35" s="55">
        <f t="shared" si="143"/>
        <v>0.68999999999999984</v>
      </c>
      <c r="BS35" s="55">
        <f t="shared" si="143"/>
        <v>0.66999999999999982</v>
      </c>
      <c r="BT35" s="55">
        <f t="shared" si="143"/>
        <v>0.6499999999999998</v>
      </c>
      <c r="BU35" s="55">
        <f t="shared" si="143"/>
        <v>0.62999999999999978</v>
      </c>
      <c r="BV35" s="55">
        <f t="shared" si="143"/>
        <v>0.60999999999999976</v>
      </c>
      <c r="BW35" s="55">
        <f t="shared" si="143"/>
        <v>0.58999999999999975</v>
      </c>
      <c r="BX35" s="55">
        <f t="shared" si="143"/>
        <v>0.56999999999999973</v>
      </c>
      <c r="BZ35" s="55">
        <f t="shared" si="88"/>
        <v>211050.84000000003</v>
      </c>
      <c r="CA35" s="55">
        <f t="shared" si="89"/>
        <v>211050.84000000003</v>
      </c>
      <c r="CB35" s="59">
        <f t="shared" si="191"/>
        <v>697691.86687200004</v>
      </c>
      <c r="CC35" s="55">
        <f t="shared" si="192"/>
        <v>204719.31480000002</v>
      </c>
      <c r="CD35" s="59">
        <f t="shared" si="193"/>
        <v>676761.11086584011</v>
      </c>
      <c r="CE35" s="55">
        <f t="shared" si="194"/>
        <v>200498.29800000001</v>
      </c>
      <c r="CF35" s="59">
        <f t="shared" si="195"/>
        <v>662807.27352839999</v>
      </c>
      <c r="CG35" s="55">
        <f t="shared" si="196"/>
        <v>196277.28120000003</v>
      </c>
      <c r="CH35" s="59">
        <f t="shared" si="197"/>
        <v>648853.43619096011</v>
      </c>
      <c r="CI35" s="57">
        <f t="shared" si="198"/>
        <v>192056.26440000004</v>
      </c>
      <c r="CJ35" s="59">
        <f t="shared" si="199"/>
        <v>634899.59885352012</v>
      </c>
      <c r="CK35" s="55">
        <f t="shared" si="200"/>
        <v>187835.24760000003</v>
      </c>
      <c r="CL35" s="59">
        <f t="shared" si="201"/>
        <v>620945.76151608012</v>
      </c>
      <c r="CM35" s="57">
        <f t="shared" si="202"/>
        <v>183614.23080000002</v>
      </c>
      <c r="CN35" s="59">
        <f t="shared" si="203"/>
        <v>606991.92417864013</v>
      </c>
      <c r="CO35" s="60">
        <f t="shared" si="204"/>
        <v>179393.21400000001</v>
      </c>
      <c r="CP35" s="59">
        <f t="shared" si="205"/>
        <v>593038.08684120001</v>
      </c>
      <c r="CQ35" s="57">
        <f t="shared" si="206"/>
        <v>175172.19720000002</v>
      </c>
      <c r="CR35" s="59">
        <f t="shared" si="207"/>
        <v>579084.24950376013</v>
      </c>
      <c r="CS35" s="55">
        <f t="shared" si="208"/>
        <v>170951.18040000001</v>
      </c>
      <c r="CT35" s="59">
        <f t="shared" si="209"/>
        <v>565130.41216632002</v>
      </c>
      <c r="CU35" s="60">
        <f t="shared" si="210"/>
        <v>166730.1636</v>
      </c>
      <c r="CV35" s="59">
        <f t="shared" si="211"/>
        <v>551176.57482888002</v>
      </c>
      <c r="CW35" s="60">
        <f t="shared" si="212"/>
        <v>162509.14679999999</v>
      </c>
      <c r="CX35" s="59">
        <f t="shared" si="213"/>
        <v>537222.73749144003</v>
      </c>
      <c r="CY35" s="60">
        <f t="shared" si="214"/>
        <v>158288.13</v>
      </c>
      <c r="CZ35" s="59">
        <f t="shared" si="215"/>
        <v>523268.90015400003</v>
      </c>
      <c r="DA35" s="55">
        <f t="shared" si="216"/>
        <v>154067.11319999999</v>
      </c>
      <c r="DB35" s="59">
        <f t="shared" si="217"/>
        <v>509315.06281655998</v>
      </c>
      <c r="DC35" s="60">
        <f t="shared" si="218"/>
        <v>149846.09639999998</v>
      </c>
      <c r="DD35" s="59">
        <f t="shared" si="219"/>
        <v>495361.22547911992</v>
      </c>
      <c r="DE35" s="60">
        <f t="shared" si="220"/>
        <v>145625.0796</v>
      </c>
      <c r="DF35" s="59">
        <f t="shared" si="221"/>
        <v>481407.38814167998</v>
      </c>
      <c r="DG35" s="60">
        <f t="shared" si="222"/>
        <v>141404.06279999999</v>
      </c>
      <c r="DH35" s="59">
        <f t="shared" si="223"/>
        <v>467453.55080423999</v>
      </c>
      <c r="DI35" s="60">
        <f t="shared" si="224"/>
        <v>137183.04599999997</v>
      </c>
      <c r="DJ35" s="59">
        <f t="shared" si="225"/>
        <v>453499.71346679993</v>
      </c>
      <c r="DK35" s="55">
        <f t="shared" si="226"/>
        <v>132962.02919999996</v>
      </c>
      <c r="DL35" s="59">
        <f t="shared" si="227"/>
        <v>439545.87612935988</v>
      </c>
      <c r="DM35" s="60">
        <f t="shared" si="228"/>
        <v>128741.01239999996</v>
      </c>
      <c r="DN35" s="59">
        <f t="shared" si="229"/>
        <v>425592.03879191988</v>
      </c>
      <c r="DO35" s="60">
        <f t="shared" si="230"/>
        <v>124519.99559999997</v>
      </c>
      <c r="DP35" s="59">
        <f t="shared" si="231"/>
        <v>411638.20145447989</v>
      </c>
      <c r="DQ35" s="55">
        <f t="shared" si="232"/>
        <v>120298.97879999995</v>
      </c>
      <c r="DR35" s="59">
        <f t="shared" si="233"/>
        <v>397684.36411703983</v>
      </c>
      <c r="DU35" s="55">
        <v>1</v>
      </c>
      <c r="DV35" s="55">
        <v>0.97</v>
      </c>
      <c r="DW35" s="55">
        <v>0.95</v>
      </c>
      <c r="DX35" s="55">
        <v>0.93</v>
      </c>
      <c r="DY35" s="55">
        <f t="shared" si="234"/>
        <v>0.91</v>
      </c>
      <c r="DZ35" s="55">
        <f t="shared" si="234"/>
        <v>0.89</v>
      </c>
      <c r="EA35" s="55">
        <f t="shared" si="234"/>
        <v>0.87</v>
      </c>
      <c r="EB35" s="55">
        <f t="shared" si="234"/>
        <v>0.85</v>
      </c>
      <c r="EC35" s="55">
        <f t="shared" si="234"/>
        <v>0.83</v>
      </c>
      <c r="ED35" s="55">
        <f t="shared" si="234"/>
        <v>0.80999999999999994</v>
      </c>
      <c r="EE35" s="55">
        <f t="shared" si="234"/>
        <v>0.78999999999999992</v>
      </c>
      <c r="EF35" s="55">
        <f t="shared" si="234"/>
        <v>0.76999999999999991</v>
      </c>
      <c r="EG35" s="55">
        <f t="shared" si="234"/>
        <v>0.74999999999999989</v>
      </c>
      <c r="EH35" s="55">
        <f t="shared" si="234"/>
        <v>0.72999999999999987</v>
      </c>
      <c r="EI35" s="55">
        <f t="shared" si="234"/>
        <v>0.70999999999999985</v>
      </c>
      <c r="EJ35" s="55">
        <f t="shared" si="234"/>
        <v>0.68999999999999984</v>
      </c>
      <c r="EK35" s="55">
        <f t="shared" si="234"/>
        <v>0.66999999999999982</v>
      </c>
      <c r="EL35" s="55">
        <f t="shared" si="234"/>
        <v>0.6499999999999998</v>
      </c>
      <c r="EM35" s="55">
        <f t="shared" si="234"/>
        <v>0.62999999999999978</v>
      </c>
      <c r="EN35" s="55">
        <f t="shared" si="234"/>
        <v>0.60999999999999976</v>
      </c>
      <c r="EO35" s="55">
        <f t="shared" si="234"/>
        <v>0.58999999999999975</v>
      </c>
      <c r="EP35" s="55">
        <f t="shared" si="234"/>
        <v>0.56999999999999973</v>
      </c>
      <c r="ER35" s="55">
        <f t="shared" si="142"/>
        <v>192056.26440000004</v>
      </c>
      <c r="ES35" s="55">
        <f t="shared" si="116"/>
        <v>192056.26440000004</v>
      </c>
      <c r="ET35" s="59">
        <f t="shared" si="235"/>
        <v>634899.59885352012</v>
      </c>
      <c r="EU35" s="55">
        <f t="shared" si="236"/>
        <v>186294.57646800004</v>
      </c>
      <c r="EV35" s="59">
        <f t="shared" si="237"/>
        <v>615852.61088791455</v>
      </c>
      <c r="EW35" s="55">
        <f t="shared" si="238"/>
        <v>182453.45118000003</v>
      </c>
      <c r="EX35" s="59">
        <f t="shared" si="239"/>
        <v>603154.61891084409</v>
      </c>
      <c r="EY35" s="55">
        <f t="shared" si="240"/>
        <v>178612.32589200005</v>
      </c>
      <c r="EZ35" s="59">
        <f t="shared" si="241"/>
        <v>590456.62693377375</v>
      </c>
      <c r="FA35" s="57">
        <f t="shared" si="242"/>
        <v>174771.20060400004</v>
      </c>
      <c r="FB35" s="59">
        <f t="shared" si="243"/>
        <v>577758.6349567034</v>
      </c>
      <c r="FC35" s="55">
        <f t="shared" si="244"/>
        <v>170930.07531600003</v>
      </c>
      <c r="FD35" s="59">
        <f t="shared" si="245"/>
        <v>565060.64297963295</v>
      </c>
      <c r="FE35" s="57">
        <f t="shared" si="246"/>
        <v>167088.95002800005</v>
      </c>
      <c r="FF35" s="59">
        <f t="shared" si="247"/>
        <v>552362.6510025626</v>
      </c>
      <c r="FG35" s="60">
        <f t="shared" si="248"/>
        <v>163247.82474000004</v>
      </c>
      <c r="FH35" s="59">
        <f t="shared" si="249"/>
        <v>539664.65902549215</v>
      </c>
      <c r="FI35" s="57">
        <f t="shared" si="250"/>
        <v>159406.69945200003</v>
      </c>
      <c r="FJ35" s="59">
        <f t="shared" si="251"/>
        <v>526966.66704842169</v>
      </c>
      <c r="FK35" s="55">
        <f t="shared" si="252"/>
        <v>155565.57416400002</v>
      </c>
      <c r="FL35" s="59">
        <f t="shared" si="253"/>
        <v>514268.67507135129</v>
      </c>
      <c r="FM35" s="60">
        <f t="shared" si="254"/>
        <v>151724.44887600001</v>
      </c>
      <c r="FN35" s="59">
        <f t="shared" si="255"/>
        <v>501570.68309428083</v>
      </c>
      <c r="FO35" s="60">
        <f t="shared" si="256"/>
        <v>147883.32358800003</v>
      </c>
      <c r="FP35" s="59">
        <f t="shared" si="257"/>
        <v>488872.69111721049</v>
      </c>
      <c r="FQ35" s="60">
        <f t="shared" si="258"/>
        <v>144042.19830000002</v>
      </c>
      <c r="FR35" s="59">
        <f t="shared" si="259"/>
        <v>476174.69914014009</v>
      </c>
      <c r="FS35" s="55">
        <f t="shared" si="260"/>
        <v>140201.07301200001</v>
      </c>
      <c r="FT35" s="59">
        <f t="shared" si="261"/>
        <v>463476.70716306963</v>
      </c>
      <c r="FU35" s="60">
        <f t="shared" si="262"/>
        <v>136359.947724</v>
      </c>
      <c r="FV35" s="59">
        <f t="shared" si="263"/>
        <v>450778.71518599923</v>
      </c>
      <c r="FW35" s="60">
        <f t="shared" si="264"/>
        <v>132518.82243599999</v>
      </c>
      <c r="FX35" s="59">
        <f t="shared" si="265"/>
        <v>438080.72320892877</v>
      </c>
      <c r="FY35" s="60">
        <f t="shared" si="266"/>
        <v>128677.69714799999</v>
      </c>
      <c r="FZ35" s="59">
        <f t="shared" si="267"/>
        <v>425382.73123185837</v>
      </c>
      <c r="GA35" s="60">
        <f t="shared" si="268"/>
        <v>124836.57186</v>
      </c>
      <c r="GB35" s="59">
        <f t="shared" si="269"/>
        <v>412684.73925478797</v>
      </c>
      <c r="GC35" s="55">
        <f t="shared" si="270"/>
        <v>120995.44657199999</v>
      </c>
      <c r="GD35" s="59">
        <f t="shared" si="271"/>
        <v>399986.74727771757</v>
      </c>
      <c r="GE35" s="60">
        <f t="shared" si="272"/>
        <v>117154.32128399998</v>
      </c>
      <c r="GF35" s="59">
        <f t="shared" si="273"/>
        <v>387288.75530064711</v>
      </c>
      <c r="GG35" s="60">
        <f t="shared" si="274"/>
        <v>113313.19599599998</v>
      </c>
      <c r="GH35" s="59">
        <f t="shared" si="275"/>
        <v>374590.76332357677</v>
      </c>
      <c r="GI35" s="55">
        <f t="shared" si="276"/>
        <v>109472.07070799997</v>
      </c>
      <c r="GJ35" s="59">
        <f t="shared" si="277"/>
        <v>361892.77134650631</v>
      </c>
      <c r="GK35" s="55"/>
      <c r="GL35" s="55"/>
      <c r="GM35" s="55">
        <v>1</v>
      </c>
      <c r="GN35" s="55">
        <v>0.97</v>
      </c>
      <c r="GO35" s="55">
        <v>0.95</v>
      </c>
      <c r="GP35" s="55">
        <v>0.93</v>
      </c>
      <c r="GQ35" s="55">
        <f t="shared" si="278"/>
        <v>0.91</v>
      </c>
      <c r="GR35" s="55">
        <f t="shared" si="278"/>
        <v>0.89</v>
      </c>
      <c r="GS35" s="55">
        <f t="shared" si="278"/>
        <v>0.87</v>
      </c>
      <c r="GT35" s="55">
        <f t="shared" si="278"/>
        <v>0.85</v>
      </c>
      <c r="GU35" s="55">
        <f t="shared" si="278"/>
        <v>0.83</v>
      </c>
      <c r="GV35" s="55">
        <f t="shared" si="278"/>
        <v>0.80999999999999994</v>
      </c>
      <c r="GW35" s="55">
        <f t="shared" si="278"/>
        <v>0.78999999999999992</v>
      </c>
      <c r="GX35" s="55">
        <f t="shared" si="278"/>
        <v>0.76999999999999991</v>
      </c>
      <c r="GY35" s="55">
        <f t="shared" si="278"/>
        <v>0.74999999999999989</v>
      </c>
      <c r="GZ35" s="55">
        <f t="shared" si="278"/>
        <v>0.72999999999999987</v>
      </c>
      <c r="HA35" s="55">
        <f t="shared" si="278"/>
        <v>0.70999999999999985</v>
      </c>
      <c r="HB35" s="55">
        <f t="shared" si="278"/>
        <v>0.68999999999999984</v>
      </c>
      <c r="HC35" s="55">
        <f t="shared" si="278"/>
        <v>0.66999999999999982</v>
      </c>
      <c r="HD35" s="55">
        <f t="shared" si="278"/>
        <v>0.6499999999999998</v>
      </c>
      <c r="HE35" s="55">
        <f t="shared" si="278"/>
        <v>0.62999999999999978</v>
      </c>
      <c r="HF35" s="55">
        <f t="shared" si="278"/>
        <v>0.60999999999999976</v>
      </c>
      <c r="HG35" s="55">
        <f t="shared" si="278"/>
        <v>0.58999999999999975</v>
      </c>
      <c r="HH35" s="55">
        <f t="shared" si="278"/>
        <v>0.56999999999999973</v>
      </c>
    </row>
    <row r="36" spans="1:216" x14ac:dyDescent="0.3">
      <c r="A36" s="2">
        <v>3</v>
      </c>
      <c r="C36" s="38" t="s">
        <v>14</v>
      </c>
      <c r="D36" s="42">
        <f>TRUNC(103068.951573211,-1)</f>
        <v>103060</v>
      </c>
      <c r="E36" s="71">
        <f t="shared" si="148"/>
        <v>340690</v>
      </c>
      <c r="H36" s="55">
        <f t="shared" si="61"/>
        <v>374759.00000000006</v>
      </c>
      <c r="I36" s="55">
        <f t="shared" si="62"/>
        <v>374759.00000000006</v>
      </c>
      <c r="J36" s="59">
        <f t="shared" si="63"/>
        <v>1238878.3022000003</v>
      </c>
      <c r="K36" s="55">
        <f t="shared" si="149"/>
        <v>363516.23000000004</v>
      </c>
      <c r="L36" s="59">
        <f t="shared" si="150"/>
        <v>1201711.9531340001</v>
      </c>
      <c r="M36" s="55">
        <f t="shared" si="151"/>
        <v>356021.05000000005</v>
      </c>
      <c r="N36" s="59">
        <f t="shared" si="152"/>
        <v>1176934.3870900001</v>
      </c>
      <c r="O36" s="55">
        <f t="shared" si="153"/>
        <v>348525.87000000005</v>
      </c>
      <c r="P36" s="59">
        <f t="shared" si="154"/>
        <v>1152156.8210460001</v>
      </c>
      <c r="Q36" s="57">
        <f t="shared" si="155"/>
        <v>341030.69000000006</v>
      </c>
      <c r="R36" s="59">
        <f t="shared" si="156"/>
        <v>1127379.2550020001</v>
      </c>
      <c r="S36" s="55">
        <f t="shared" si="157"/>
        <v>333535.51000000007</v>
      </c>
      <c r="T36" s="59">
        <f t="shared" si="158"/>
        <v>1102601.6889580002</v>
      </c>
      <c r="U36" s="57">
        <f t="shared" si="159"/>
        <v>326040.33000000007</v>
      </c>
      <c r="V36" s="59">
        <f t="shared" si="160"/>
        <v>1077824.1229140002</v>
      </c>
      <c r="W36" s="60">
        <f t="shared" si="161"/>
        <v>318545.15000000002</v>
      </c>
      <c r="X36" s="59">
        <f t="shared" si="162"/>
        <v>1053046.5568700002</v>
      </c>
      <c r="Y36" s="57">
        <f t="shared" si="163"/>
        <v>311049.97000000003</v>
      </c>
      <c r="Z36" s="59">
        <f t="shared" si="164"/>
        <v>1028268.9908260001</v>
      </c>
      <c r="AA36" s="55">
        <f t="shared" si="165"/>
        <v>303554.79000000004</v>
      </c>
      <c r="AB36" s="59">
        <f t="shared" si="166"/>
        <v>1003491.4247820001</v>
      </c>
      <c r="AC36" s="60">
        <f t="shared" si="167"/>
        <v>296059.61000000004</v>
      </c>
      <c r="AD36" s="59">
        <f t="shared" si="168"/>
        <v>978713.85873800016</v>
      </c>
      <c r="AE36" s="60">
        <f t="shared" si="169"/>
        <v>288564.43</v>
      </c>
      <c r="AF36" s="59">
        <f t="shared" si="170"/>
        <v>953936.29269399995</v>
      </c>
      <c r="AG36" s="60">
        <f t="shared" si="171"/>
        <v>281069.25</v>
      </c>
      <c r="AH36" s="59">
        <f t="shared" si="172"/>
        <v>929158.72664999997</v>
      </c>
      <c r="AI36" s="55">
        <f t="shared" si="173"/>
        <v>273574.07</v>
      </c>
      <c r="AJ36" s="59">
        <f t="shared" si="174"/>
        <v>904381.16060599999</v>
      </c>
      <c r="AK36" s="60">
        <f t="shared" si="175"/>
        <v>266078.89</v>
      </c>
      <c r="AL36" s="59">
        <f t="shared" si="176"/>
        <v>879603.59456200001</v>
      </c>
      <c r="AM36" s="60">
        <f t="shared" si="177"/>
        <v>258583.71</v>
      </c>
      <c r="AN36" s="59">
        <f t="shared" si="178"/>
        <v>854826.02851800004</v>
      </c>
      <c r="AO36" s="60">
        <f t="shared" si="179"/>
        <v>251088.52999999997</v>
      </c>
      <c r="AP36" s="59">
        <f t="shared" si="180"/>
        <v>830048.46247399994</v>
      </c>
      <c r="AQ36" s="60">
        <f t="shared" si="181"/>
        <v>243593.34999999998</v>
      </c>
      <c r="AR36" s="59">
        <f t="shared" si="182"/>
        <v>805270.89642999996</v>
      </c>
      <c r="AS36" s="55">
        <f t="shared" si="183"/>
        <v>236098.16999999995</v>
      </c>
      <c r="AT36" s="59">
        <f t="shared" si="184"/>
        <v>780493.33038599987</v>
      </c>
      <c r="AU36" s="60">
        <f t="shared" si="185"/>
        <v>228602.98999999996</v>
      </c>
      <c r="AV36" s="59">
        <f t="shared" si="186"/>
        <v>755715.76434199989</v>
      </c>
      <c r="AW36" s="60">
        <f t="shared" si="187"/>
        <v>221107.80999999994</v>
      </c>
      <c r="AX36" s="59">
        <f t="shared" si="188"/>
        <v>730938.1982979998</v>
      </c>
      <c r="AY36" s="55">
        <f t="shared" si="189"/>
        <v>213612.62999999992</v>
      </c>
      <c r="AZ36" s="59">
        <f t="shared" si="190"/>
        <v>706160.63225399971</v>
      </c>
      <c r="BC36" s="55">
        <v>1</v>
      </c>
      <c r="BD36" s="55">
        <v>0.97</v>
      </c>
      <c r="BE36" s="55">
        <v>0.95</v>
      </c>
      <c r="BF36" s="55">
        <v>0.93</v>
      </c>
      <c r="BG36" s="55">
        <f t="shared" si="143"/>
        <v>0.91</v>
      </c>
      <c r="BH36" s="55">
        <f t="shared" si="143"/>
        <v>0.89</v>
      </c>
      <c r="BI36" s="55">
        <f t="shared" si="143"/>
        <v>0.87</v>
      </c>
      <c r="BJ36" s="55">
        <f t="shared" si="143"/>
        <v>0.85</v>
      </c>
      <c r="BK36" s="55">
        <f t="shared" si="143"/>
        <v>0.83</v>
      </c>
      <c r="BL36" s="55">
        <f t="shared" si="143"/>
        <v>0.80999999999999994</v>
      </c>
      <c r="BM36" s="55">
        <f t="shared" si="143"/>
        <v>0.78999999999999992</v>
      </c>
      <c r="BN36" s="55">
        <f t="shared" si="143"/>
        <v>0.76999999999999991</v>
      </c>
      <c r="BO36" s="55">
        <f t="shared" si="143"/>
        <v>0.74999999999999989</v>
      </c>
      <c r="BP36" s="55">
        <f t="shared" si="143"/>
        <v>0.72999999999999987</v>
      </c>
      <c r="BQ36" s="55">
        <f t="shared" si="143"/>
        <v>0.70999999999999985</v>
      </c>
      <c r="BR36" s="55">
        <f t="shared" si="143"/>
        <v>0.68999999999999984</v>
      </c>
      <c r="BS36" s="55">
        <f t="shared" si="143"/>
        <v>0.66999999999999982</v>
      </c>
      <c r="BT36" s="55">
        <f t="shared" si="143"/>
        <v>0.6499999999999998</v>
      </c>
      <c r="BU36" s="55">
        <f t="shared" si="143"/>
        <v>0.62999999999999978</v>
      </c>
      <c r="BV36" s="55">
        <f t="shared" si="143"/>
        <v>0.60999999999999976</v>
      </c>
      <c r="BW36" s="55">
        <f t="shared" si="143"/>
        <v>0.58999999999999975</v>
      </c>
      <c r="BX36" s="55">
        <f t="shared" si="143"/>
        <v>0.56999999999999973</v>
      </c>
      <c r="BZ36" s="55">
        <f t="shared" si="88"/>
        <v>341030.69000000006</v>
      </c>
      <c r="CA36" s="55">
        <f t="shared" si="89"/>
        <v>341030.69000000006</v>
      </c>
      <c r="CB36" s="59">
        <f t="shared" si="191"/>
        <v>1127379.2550020001</v>
      </c>
      <c r="CC36" s="55">
        <f t="shared" si="192"/>
        <v>330799.76930000004</v>
      </c>
      <c r="CD36" s="59">
        <f t="shared" si="193"/>
        <v>1093557.8773519401</v>
      </c>
      <c r="CE36" s="55">
        <f t="shared" si="194"/>
        <v>323979.15550000005</v>
      </c>
      <c r="CF36" s="59">
        <f t="shared" si="195"/>
        <v>1071010.2922519003</v>
      </c>
      <c r="CG36" s="55">
        <f t="shared" si="196"/>
        <v>317158.54170000006</v>
      </c>
      <c r="CH36" s="59">
        <f t="shared" si="197"/>
        <v>1048462.7071518602</v>
      </c>
      <c r="CI36" s="57">
        <f t="shared" si="198"/>
        <v>310337.92790000007</v>
      </c>
      <c r="CJ36" s="59">
        <f t="shared" si="199"/>
        <v>1025915.1220518203</v>
      </c>
      <c r="CK36" s="55">
        <f t="shared" si="200"/>
        <v>303517.31410000008</v>
      </c>
      <c r="CL36" s="59">
        <f t="shared" si="201"/>
        <v>1003367.5369517803</v>
      </c>
      <c r="CM36" s="57">
        <f t="shared" si="202"/>
        <v>296696.70030000003</v>
      </c>
      <c r="CN36" s="59">
        <f t="shared" si="203"/>
        <v>980819.95185174013</v>
      </c>
      <c r="CO36" s="60">
        <f t="shared" si="204"/>
        <v>289876.08650000003</v>
      </c>
      <c r="CP36" s="59">
        <f t="shared" si="205"/>
        <v>958272.36675170017</v>
      </c>
      <c r="CQ36" s="57">
        <f t="shared" si="206"/>
        <v>283055.47270000004</v>
      </c>
      <c r="CR36" s="59">
        <f t="shared" si="207"/>
        <v>935724.7816516601</v>
      </c>
      <c r="CS36" s="55">
        <f t="shared" si="208"/>
        <v>276234.85890000005</v>
      </c>
      <c r="CT36" s="59">
        <f t="shared" si="209"/>
        <v>913177.19655162015</v>
      </c>
      <c r="CU36" s="60">
        <f t="shared" si="210"/>
        <v>269414.2451</v>
      </c>
      <c r="CV36" s="59">
        <f t="shared" si="211"/>
        <v>890629.61145158007</v>
      </c>
      <c r="CW36" s="60">
        <f t="shared" si="212"/>
        <v>262593.63130000001</v>
      </c>
      <c r="CX36" s="59">
        <f t="shared" si="213"/>
        <v>868082.02635154</v>
      </c>
      <c r="CY36" s="60">
        <f t="shared" si="214"/>
        <v>255773.01750000002</v>
      </c>
      <c r="CZ36" s="59">
        <f t="shared" si="215"/>
        <v>845534.44125150004</v>
      </c>
      <c r="DA36" s="55">
        <f t="shared" si="216"/>
        <v>248952.4037</v>
      </c>
      <c r="DB36" s="59">
        <f t="shared" si="217"/>
        <v>822986.85615145997</v>
      </c>
      <c r="DC36" s="60">
        <f t="shared" si="218"/>
        <v>242131.7899</v>
      </c>
      <c r="DD36" s="59">
        <f t="shared" si="219"/>
        <v>800439.27105142002</v>
      </c>
      <c r="DE36" s="60">
        <f t="shared" si="220"/>
        <v>235311.17609999998</v>
      </c>
      <c r="DF36" s="59">
        <f t="shared" si="221"/>
        <v>777891.68595137994</v>
      </c>
      <c r="DG36" s="60">
        <f t="shared" si="222"/>
        <v>228490.56229999999</v>
      </c>
      <c r="DH36" s="59">
        <f t="shared" si="223"/>
        <v>755344.10085133999</v>
      </c>
      <c r="DI36" s="60">
        <f t="shared" si="224"/>
        <v>221669.94849999997</v>
      </c>
      <c r="DJ36" s="59">
        <f t="shared" si="225"/>
        <v>732796.51575129991</v>
      </c>
      <c r="DK36" s="55">
        <f t="shared" si="226"/>
        <v>214849.33469999998</v>
      </c>
      <c r="DL36" s="59">
        <f t="shared" si="227"/>
        <v>710248.93065125996</v>
      </c>
      <c r="DM36" s="60">
        <f t="shared" si="228"/>
        <v>208028.72089999996</v>
      </c>
      <c r="DN36" s="59">
        <f t="shared" si="229"/>
        <v>687701.34555121989</v>
      </c>
      <c r="DO36" s="60">
        <f t="shared" si="230"/>
        <v>201208.10709999994</v>
      </c>
      <c r="DP36" s="59">
        <f t="shared" si="231"/>
        <v>665153.76045117981</v>
      </c>
      <c r="DQ36" s="55">
        <f t="shared" si="232"/>
        <v>194387.49329999994</v>
      </c>
      <c r="DR36" s="59">
        <f t="shared" si="233"/>
        <v>642606.17535113986</v>
      </c>
      <c r="DU36" s="55">
        <v>1</v>
      </c>
      <c r="DV36" s="55">
        <v>0.97</v>
      </c>
      <c r="DW36" s="55">
        <v>0.95</v>
      </c>
      <c r="DX36" s="55">
        <v>0.93</v>
      </c>
      <c r="DY36" s="55">
        <f t="shared" si="234"/>
        <v>0.91</v>
      </c>
      <c r="DZ36" s="55">
        <f t="shared" si="234"/>
        <v>0.89</v>
      </c>
      <c r="EA36" s="55">
        <f t="shared" si="234"/>
        <v>0.87</v>
      </c>
      <c r="EB36" s="55">
        <f t="shared" si="234"/>
        <v>0.85</v>
      </c>
      <c r="EC36" s="55">
        <f t="shared" si="234"/>
        <v>0.83</v>
      </c>
      <c r="ED36" s="55">
        <f t="shared" si="234"/>
        <v>0.80999999999999994</v>
      </c>
      <c r="EE36" s="55">
        <f t="shared" si="234"/>
        <v>0.78999999999999992</v>
      </c>
      <c r="EF36" s="55">
        <f t="shared" si="234"/>
        <v>0.76999999999999991</v>
      </c>
      <c r="EG36" s="55">
        <f t="shared" si="234"/>
        <v>0.74999999999999989</v>
      </c>
      <c r="EH36" s="55">
        <f t="shared" si="234"/>
        <v>0.72999999999999987</v>
      </c>
      <c r="EI36" s="55">
        <f t="shared" si="234"/>
        <v>0.70999999999999985</v>
      </c>
      <c r="EJ36" s="55">
        <f t="shared" si="234"/>
        <v>0.68999999999999984</v>
      </c>
      <c r="EK36" s="55">
        <f t="shared" si="234"/>
        <v>0.66999999999999982</v>
      </c>
      <c r="EL36" s="55">
        <f t="shared" si="234"/>
        <v>0.6499999999999998</v>
      </c>
      <c r="EM36" s="55">
        <f t="shared" si="234"/>
        <v>0.62999999999999978</v>
      </c>
      <c r="EN36" s="55">
        <f t="shared" si="234"/>
        <v>0.60999999999999976</v>
      </c>
      <c r="EO36" s="55">
        <f t="shared" si="234"/>
        <v>0.58999999999999975</v>
      </c>
      <c r="EP36" s="55">
        <f t="shared" si="234"/>
        <v>0.56999999999999973</v>
      </c>
      <c r="ER36" s="55">
        <f t="shared" si="142"/>
        <v>310337.92790000007</v>
      </c>
      <c r="ES36" s="55">
        <f t="shared" si="116"/>
        <v>310337.92790000007</v>
      </c>
      <c r="ET36" s="59">
        <f t="shared" si="235"/>
        <v>1025915.1220518203</v>
      </c>
      <c r="EU36" s="55">
        <f t="shared" si="236"/>
        <v>301027.79006300005</v>
      </c>
      <c r="EV36" s="59">
        <f t="shared" si="237"/>
        <v>995137.66839026555</v>
      </c>
      <c r="EW36" s="55">
        <f t="shared" si="238"/>
        <v>294821.03150500008</v>
      </c>
      <c r="EX36" s="59">
        <f t="shared" si="239"/>
        <v>974619.36594922934</v>
      </c>
      <c r="EY36" s="55">
        <f t="shared" si="240"/>
        <v>288614.27294700011</v>
      </c>
      <c r="EZ36" s="59">
        <f t="shared" si="241"/>
        <v>954101.06350819301</v>
      </c>
      <c r="FA36" s="57">
        <f t="shared" si="242"/>
        <v>282407.51438900008</v>
      </c>
      <c r="FB36" s="59">
        <f t="shared" si="243"/>
        <v>933582.76106715645</v>
      </c>
      <c r="FC36" s="55">
        <f t="shared" si="244"/>
        <v>276200.75583100005</v>
      </c>
      <c r="FD36" s="59">
        <f t="shared" si="245"/>
        <v>913064.45862612</v>
      </c>
      <c r="FE36" s="57">
        <f t="shared" si="246"/>
        <v>269993.99727300007</v>
      </c>
      <c r="FF36" s="59">
        <f t="shared" si="247"/>
        <v>892546.15618508367</v>
      </c>
      <c r="FG36" s="60">
        <f t="shared" si="248"/>
        <v>263787.23871500004</v>
      </c>
      <c r="FH36" s="59">
        <f t="shared" si="249"/>
        <v>872027.85374404711</v>
      </c>
      <c r="FI36" s="57">
        <f t="shared" si="250"/>
        <v>257580.48015700004</v>
      </c>
      <c r="FJ36" s="59">
        <f t="shared" si="251"/>
        <v>851509.55130301078</v>
      </c>
      <c r="FK36" s="55">
        <f t="shared" si="252"/>
        <v>251373.72159900004</v>
      </c>
      <c r="FL36" s="59">
        <f t="shared" si="253"/>
        <v>830991.24886197434</v>
      </c>
      <c r="FM36" s="60">
        <f t="shared" si="254"/>
        <v>245166.96304100004</v>
      </c>
      <c r="FN36" s="59">
        <f t="shared" si="255"/>
        <v>810472.94642093789</v>
      </c>
      <c r="FO36" s="60">
        <f t="shared" si="256"/>
        <v>238960.20448300004</v>
      </c>
      <c r="FP36" s="59">
        <f t="shared" si="257"/>
        <v>789954.64397990156</v>
      </c>
      <c r="FQ36" s="60">
        <f t="shared" si="258"/>
        <v>232753.44592500001</v>
      </c>
      <c r="FR36" s="59">
        <f t="shared" si="259"/>
        <v>769436.341538865</v>
      </c>
      <c r="FS36" s="55">
        <f t="shared" si="260"/>
        <v>226546.68736700001</v>
      </c>
      <c r="FT36" s="59">
        <f t="shared" si="261"/>
        <v>748918.03909782867</v>
      </c>
      <c r="FU36" s="60">
        <f t="shared" si="262"/>
        <v>220339.928809</v>
      </c>
      <c r="FV36" s="59">
        <f t="shared" si="263"/>
        <v>728399.73665679223</v>
      </c>
      <c r="FW36" s="60">
        <f t="shared" si="264"/>
        <v>214133.170251</v>
      </c>
      <c r="FX36" s="59">
        <f t="shared" si="265"/>
        <v>707881.43421575578</v>
      </c>
      <c r="FY36" s="60">
        <f t="shared" si="266"/>
        <v>207926.411693</v>
      </c>
      <c r="FZ36" s="59">
        <f t="shared" si="267"/>
        <v>687363.13177471946</v>
      </c>
      <c r="GA36" s="60">
        <f t="shared" si="268"/>
        <v>201719.65313499997</v>
      </c>
      <c r="GB36" s="59">
        <f t="shared" si="269"/>
        <v>666844.82933368289</v>
      </c>
      <c r="GC36" s="55">
        <f t="shared" si="270"/>
        <v>195512.89457699997</v>
      </c>
      <c r="GD36" s="59">
        <f t="shared" si="271"/>
        <v>646326.52689264657</v>
      </c>
      <c r="GE36" s="60">
        <f t="shared" si="272"/>
        <v>189306.13601899997</v>
      </c>
      <c r="GF36" s="59">
        <f t="shared" si="273"/>
        <v>625808.22445161012</v>
      </c>
      <c r="GG36" s="60">
        <f t="shared" si="274"/>
        <v>183099.37746099997</v>
      </c>
      <c r="GH36" s="59">
        <f t="shared" si="275"/>
        <v>605289.92201057367</v>
      </c>
      <c r="GI36" s="55">
        <f t="shared" si="276"/>
        <v>176892.61890299997</v>
      </c>
      <c r="GJ36" s="59">
        <f t="shared" si="277"/>
        <v>584771.61956953735</v>
      </c>
      <c r="GK36" s="55"/>
      <c r="GL36" s="55"/>
      <c r="GM36" s="55">
        <v>1</v>
      </c>
      <c r="GN36" s="55">
        <v>0.97</v>
      </c>
      <c r="GO36" s="55">
        <v>0.95</v>
      </c>
      <c r="GP36" s="55">
        <v>0.93</v>
      </c>
      <c r="GQ36" s="55">
        <f t="shared" si="278"/>
        <v>0.91</v>
      </c>
      <c r="GR36" s="55">
        <f t="shared" si="278"/>
        <v>0.89</v>
      </c>
      <c r="GS36" s="55">
        <f t="shared" si="278"/>
        <v>0.87</v>
      </c>
      <c r="GT36" s="55">
        <f t="shared" si="278"/>
        <v>0.85</v>
      </c>
      <c r="GU36" s="55">
        <f t="shared" si="278"/>
        <v>0.83</v>
      </c>
      <c r="GV36" s="55">
        <f t="shared" si="278"/>
        <v>0.80999999999999994</v>
      </c>
      <c r="GW36" s="55">
        <f t="shared" si="278"/>
        <v>0.78999999999999992</v>
      </c>
      <c r="GX36" s="55">
        <f t="shared" si="278"/>
        <v>0.76999999999999991</v>
      </c>
      <c r="GY36" s="55">
        <f t="shared" si="278"/>
        <v>0.74999999999999989</v>
      </c>
      <c r="GZ36" s="55">
        <f t="shared" si="278"/>
        <v>0.72999999999999987</v>
      </c>
      <c r="HA36" s="55">
        <f t="shared" si="278"/>
        <v>0.70999999999999985</v>
      </c>
      <c r="HB36" s="55">
        <f t="shared" si="278"/>
        <v>0.68999999999999984</v>
      </c>
      <c r="HC36" s="55">
        <f t="shared" si="278"/>
        <v>0.66999999999999982</v>
      </c>
      <c r="HD36" s="55">
        <f t="shared" si="278"/>
        <v>0.6499999999999998</v>
      </c>
      <c r="HE36" s="55">
        <f t="shared" si="278"/>
        <v>0.62999999999999978</v>
      </c>
      <c r="HF36" s="55">
        <f t="shared" si="278"/>
        <v>0.60999999999999976</v>
      </c>
      <c r="HG36" s="55">
        <f t="shared" si="278"/>
        <v>0.58999999999999975</v>
      </c>
      <c r="HH36" s="55">
        <f t="shared" si="278"/>
        <v>0.56999999999999973</v>
      </c>
    </row>
    <row r="37" spans="1:216" x14ac:dyDescent="0.3">
      <c r="A37" s="2">
        <v>4</v>
      </c>
      <c r="C37" s="38" t="s">
        <v>16</v>
      </c>
      <c r="D37" s="42">
        <f>TRUNC(10084.4461240991,-1)</f>
        <v>10080</v>
      </c>
      <c r="E37" s="71">
        <f t="shared" si="148"/>
        <v>33320</v>
      </c>
      <c r="H37" s="55">
        <f t="shared" si="61"/>
        <v>36652</v>
      </c>
      <c r="I37" s="55">
        <f t="shared" si="62"/>
        <v>36652</v>
      </c>
      <c r="J37" s="59">
        <f t="shared" si="63"/>
        <v>121164.1816</v>
      </c>
      <c r="K37" s="55">
        <f t="shared" si="149"/>
        <v>35552.44</v>
      </c>
      <c r="L37" s="59">
        <f t="shared" si="150"/>
        <v>117529.25615200002</v>
      </c>
      <c r="M37" s="55">
        <f t="shared" si="151"/>
        <v>34819.4</v>
      </c>
      <c r="N37" s="59">
        <f t="shared" si="152"/>
        <v>115105.97252000001</v>
      </c>
      <c r="O37" s="55">
        <f t="shared" si="153"/>
        <v>34086.36</v>
      </c>
      <c r="P37" s="59">
        <f t="shared" si="154"/>
        <v>112682.688888</v>
      </c>
      <c r="Q37" s="57">
        <f t="shared" si="155"/>
        <v>33353.32</v>
      </c>
      <c r="R37" s="59">
        <f t="shared" si="156"/>
        <v>110259.405256</v>
      </c>
      <c r="S37" s="55">
        <f t="shared" si="157"/>
        <v>32620.28</v>
      </c>
      <c r="T37" s="59">
        <f t="shared" si="158"/>
        <v>107836.12162399999</v>
      </c>
      <c r="U37" s="57">
        <f t="shared" si="159"/>
        <v>31887.24</v>
      </c>
      <c r="V37" s="59">
        <f t="shared" si="160"/>
        <v>105412.837992</v>
      </c>
      <c r="W37" s="60">
        <f t="shared" si="161"/>
        <v>31154.2</v>
      </c>
      <c r="X37" s="59">
        <f t="shared" si="162"/>
        <v>102989.55436000001</v>
      </c>
      <c r="Y37" s="57">
        <f t="shared" si="163"/>
        <v>30421.16</v>
      </c>
      <c r="Z37" s="59">
        <f t="shared" si="164"/>
        <v>100566.270728</v>
      </c>
      <c r="AA37" s="55">
        <f t="shared" si="165"/>
        <v>29688.12</v>
      </c>
      <c r="AB37" s="59">
        <f t="shared" si="166"/>
        <v>98142.987095999997</v>
      </c>
      <c r="AC37" s="60">
        <f t="shared" si="167"/>
        <v>28955.079999999998</v>
      </c>
      <c r="AD37" s="59">
        <f t="shared" si="168"/>
        <v>95719.703463999991</v>
      </c>
      <c r="AE37" s="60">
        <f t="shared" si="169"/>
        <v>28222.039999999997</v>
      </c>
      <c r="AF37" s="59">
        <f t="shared" si="170"/>
        <v>93296.419832</v>
      </c>
      <c r="AG37" s="60">
        <f t="shared" si="171"/>
        <v>27488.999999999996</v>
      </c>
      <c r="AH37" s="59">
        <f t="shared" si="172"/>
        <v>90873.136199999994</v>
      </c>
      <c r="AI37" s="55">
        <f t="shared" si="173"/>
        <v>26755.959999999995</v>
      </c>
      <c r="AJ37" s="59">
        <f t="shared" si="174"/>
        <v>88449.852567999988</v>
      </c>
      <c r="AK37" s="60">
        <f t="shared" si="175"/>
        <v>26022.919999999995</v>
      </c>
      <c r="AL37" s="59">
        <f t="shared" si="176"/>
        <v>86026.568935999981</v>
      </c>
      <c r="AM37" s="60">
        <f t="shared" si="177"/>
        <v>25289.879999999994</v>
      </c>
      <c r="AN37" s="59">
        <f t="shared" si="178"/>
        <v>83603.285303999975</v>
      </c>
      <c r="AO37" s="60">
        <f t="shared" si="179"/>
        <v>24556.839999999993</v>
      </c>
      <c r="AP37" s="59">
        <f t="shared" si="180"/>
        <v>81180.001671999984</v>
      </c>
      <c r="AQ37" s="60">
        <f t="shared" si="181"/>
        <v>23823.799999999992</v>
      </c>
      <c r="AR37" s="59">
        <f t="shared" si="182"/>
        <v>78756.718039999978</v>
      </c>
      <c r="AS37" s="55">
        <f t="shared" si="183"/>
        <v>23090.759999999991</v>
      </c>
      <c r="AT37" s="59">
        <f t="shared" si="184"/>
        <v>76333.434407999972</v>
      </c>
      <c r="AU37" s="60">
        <f t="shared" si="185"/>
        <v>22357.71999999999</v>
      </c>
      <c r="AV37" s="59">
        <f t="shared" si="186"/>
        <v>73910.150775999966</v>
      </c>
      <c r="AW37" s="60">
        <f t="shared" si="187"/>
        <v>21624.679999999989</v>
      </c>
      <c r="AX37" s="59">
        <f t="shared" si="188"/>
        <v>71486.86714399996</v>
      </c>
      <c r="AY37" s="55">
        <f t="shared" si="189"/>
        <v>20891.639999999989</v>
      </c>
      <c r="AZ37" s="59">
        <f t="shared" si="190"/>
        <v>69063.583511999968</v>
      </c>
      <c r="BC37" s="55">
        <v>1</v>
      </c>
      <c r="BD37" s="55">
        <v>0.97</v>
      </c>
      <c r="BE37" s="55">
        <v>0.95</v>
      </c>
      <c r="BF37" s="55">
        <v>0.93</v>
      </c>
      <c r="BG37" s="55">
        <f t="shared" si="143"/>
        <v>0.91</v>
      </c>
      <c r="BH37" s="55">
        <f t="shared" si="143"/>
        <v>0.89</v>
      </c>
      <c r="BI37" s="55">
        <f t="shared" si="143"/>
        <v>0.87</v>
      </c>
      <c r="BJ37" s="55">
        <f t="shared" si="143"/>
        <v>0.85</v>
      </c>
      <c r="BK37" s="55">
        <f t="shared" si="143"/>
        <v>0.83</v>
      </c>
      <c r="BL37" s="55">
        <f t="shared" si="143"/>
        <v>0.80999999999999994</v>
      </c>
      <c r="BM37" s="55">
        <f t="shared" si="143"/>
        <v>0.78999999999999992</v>
      </c>
      <c r="BN37" s="55">
        <f t="shared" si="143"/>
        <v>0.76999999999999991</v>
      </c>
      <c r="BO37" s="55">
        <f t="shared" si="143"/>
        <v>0.74999999999999989</v>
      </c>
      <c r="BP37" s="55">
        <f t="shared" si="143"/>
        <v>0.72999999999999987</v>
      </c>
      <c r="BQ37" s="55">
        <f t="shared" si="143"/>
        <v>0.70999999999999985</v>
      </c>
      <c r="BR37" s="55">
        <f t="shared" si="143"/>
        <v>0.68999999999999984</v>
      </c>
      <c r="BS37" s="55">
        <f t="shared" si="143"/>
        <v>0.66999999999999982</v>
      </c>
      <c r="BT37" s="55">
        <f t="shared" si="143"/>
        <v>0.6499999999999998</v>
      </c>
      <c r="BU37" s="55">
        <f t="shared" si="143"/>
        <v>0.62999999999999978</v>
      </c>
      <c r="BV37" s="55">
        <f t="shared" si="143"/>
        <v>0.60999999999999976</v>
      </c>
      <c r="BW37" s="55">
        <f t="shared" si="143"/>
        <v>0.58999999999999975</v>
      </c>
      <c r="BX37" s="55">
        <f t="shared" si="143"/>
        <v>0.56999999999999973</v>
      </c>
      <c r="BZ37" s="55">
        <f t="shared" si="88"/>
        <v>33353.32</v>
      </c>
      <c r="CA37" s="55">
        <f t="shared" si="89"/>
        <v>33353.32</v>
      </c>
      <c r="CB37" s="59">
        <f t="shared" si="191"/>
        <v>110259.405256</v>
      </c>
      <c r="CC37" s="55">
        <f t="shared" si="192"/>
        <v>32352.720399999998</v>
      </c>
      <c r="CD37" s="59">
        <f t="shared" si="193"/>
        <v>106951.62309831999</v>
      </c>
      <c r="CE37" s="55">
        <f t="shared" si="194"/>
        <v>31685.653999999999</v>
      </c>
      <c r="CF37" s="59">
        <f t="shared" si="195"/>
        <v>104746.4349932</v>
      </c>
      <c r="CG37" s="55">
        <f t="shared" si="196"/>
        <v>31018.587600000003</v>
      </c>
      <c r="CH37" s="59">
        <f t="shared" si="197"/>
        <v>102541.24688808002</v>
      </c>
      <c r="CI37" s="57">
        <f t="shared" si="198"/>
        <v>30351.521199999999</v>
      </c>
      <c r="CJ37" s="59">
        <f t="shared" si="199"/>
        <v>100336.05878296</v>
      </c>
      <c r="CK37" s="55">
        <f t="shared" si="200"/>
        <v>29684.4548</v>
      </c>
      <c r="CL37" s="59">
        <f t="shared" si="201"/>
        <v>98130.870677839994</v>
      </c>
      <c r="CM37" s="57">
        <f t="shared" si="202"/>
        <v>29017.3884</v>
      </c>
      <c r="CN37" s="59">
        <f t="shared" si="203"/>
        <v>95925.682572720005</v>
      </c>
      <c r="CO37" s="60">
        <f t="shared" si="204"/>
        <v>28350.322</v>
      </c>
      <c r="CP37" s="59">
        <f t="shared" si="205"/>
        <v>93720.494467600001</v>
      </c>
      <c r="CQ37" s="57">
        <f t="shared" si="206"/>
        <v>27683.255599999997</v>
      </c>
      <c r="CR37" s="59">
        <f t="shared" si="207"/>
        <v>91515.306362479998</v>
      </c>
      <c r="CS37" s="55">
        <f t="shared" si="208"/>
        <v>27016.189199999997</v>
      </c>
      <c r="CT37" s="59">
        <f t="shared" si="209"/>
        <v>89310.118257359994</v>
      </c>
      <c r="CU37" s="60">
        <f t="shared" si="210"/>
        <v>26349.122799999997</v>
      </c>
      <c r="CV37" s="59">
        <f t="shared" si="211"/>
        <v>87104.930152239991</v>
      </c>
      <c r="CW37" s="60">
        <f t="shared" si="212"/>
        <v>25682.056399999998</v>
      </c>
      <c r="CX37" s="59">
        <f t="shared" si="213"/>
        <v>84899.742047119988</v>
      </c>
      <c r="CY37" s="60">
        <f t="shared" si="214"/>
        <v>25014.989999999994</v>
      </c>
      <c r="CZ37" s="59">
        <f t="shared" si="215"/>
        <v>82694.553941999984</v>
      </c>
      <c r="DA37" s="55">
        <f t="shared" si="216"/>
        <v>24347.923599999995</v>
      </c>
      <c r="DB37" s="59">
        <f t="shared" si="217"/>
        <v>80489.365836879981</v>
      </c>
      <c r="DC37" s="60">
        <f t="shared" si="218"/>
        <v>23680.857199999995</v>
      </c>
      <c r="DD37" s="59">
        <f t="shared" si="219"/>
        <v>78284.177731759992</v>
      </c>
      <c r="DE37" s="60">
        <f t="shared" si="220"/>
        <v>23013.790799999995</v>
      </c>
      <c r="DF37" s="59">
        <f t="shared" si="221"/>
        <v>76078.989626639988</v>
      </c>
      <c r="DG37" s="60">
        <f t="shared" si="222"/>
        <v>22346.724399999996</v>
      </c>
      <c r="DH37" s="59">
        <f t="shared" si="223"/>
        <v>73873.801521519985</v>
      </c>
      <c r="DI37" s="60">
        <f t="shared" si="224"/>
        <v>21679.657999999992</v>
      </c>
      <c r="DJ37" s="59">
        <f t="shared" si="225"/>
        <v>71668.613416399981</v>
      </c>
      <c r="DK37" s="55">
        <f t="shared" si="226"/>
        <v>21012.591599999992</v>
      </c>
      <c r="DL37" s="59">
        <f t="shared" si="227"/>
        <v>69463.425311279978</v>
      </c>
      <c r="DM37" s="60">
        <f t="shared" si="228"/>
        <v>20345.525199999993</v>
      </c>
      <c r="DN37" s="59">
        <f t="shared" si="229"/>
        <v>67258.237206159974</v>
      </c>
      <c r="DO37" s="60">
        <f t="shared" si="230"/>
        <v>19678.458799999993</v>
      </c>
      <c r="DP37" s="59">
        <f t="shared" si="231"/>
        <v>65053.049101039978</v>
      </c>
      <c r="DQ37" s="55">
        <f t="shared" si="232"/>
        <v>19011.39239999999</v>
      </c>
      <c r="DR37" s="59">
        <f t="shared" si="233"/>
        <v>62847.860995919968</v>
      </c>
      <c r="DU37" s="55">
        <v>1</v>
      </c>
      <c r="DV37" s="55">
        <v>0.97</v>
      </c>
      <c r="DW37" s="55">
        <v>0.95</v>
      </c>
      <c r="DX37" s="55">
        <v>0.93</v>
      </c>
      <c r="DY37" s="55">
        <f t="shared" si="234"/>
        <v>0.91</v>
      </c>
      <c r="DZ37" s="55">
        <f t="shared" si="234"/>
        <v>0.89</v>
      </c>
      <c r="EA37" s="55">
        <f t="shared" si="234"/>
        <v>0.87</v>
      </c>
      <c r="EB37" s="55">
        <f t="shared" si="234"/>
        <v>0.85</v>
      </c>
      <c r="EC37" s="55">
        <f t="shared" si="234"/>
        <v>0.83</v>
      </c>
      <c r="ED37" s="55">
        <f t="shared" si="234"/>
        <v>0.80999999999999994</v>
      </c>
      <c r="EE37" s="55">
        <f t="shared" si="234"/>
        <v>0.78999999999999992</v>
      </c>
      <c r="EF37" s="55">
        <f t="shared" si="234"/>
        <v>0.76999999999999991</v>
      </c>
      <c r="EG37" s="55">
        <f t="shared" si="234"/>
        <v>0.74999999999999989</v>
      </c>
      <c r="EH37" s="55">
        <f t="shared" si="234"/>
        <v>0.72999999999999987</v>
      </c>
      <c r="EI37" s="55">
        <f t="shared" si="234"/>
        <v>0.70999999999999985</v>
      </c>
      <c r="EJ37" s="55">
        <f t="shared" si="234"/>
        <v>0.68999999999999984</v>
      </c>
      <c r="EK37" s="55">
        <f t="shared" si="234"/>
        <v>0.66999999999999982</v>
      </c>
      <c r="EL37" s="55">
        <f t="shared" si="234"/>
        <v>0.6499999999999998</v>
      </c>
      <c r="EM37" s="55">
        <f t="shared" si="234"/>
        <v>0.62999999999999978</v>
      </c>
      <c r="EN37" s="55">
        <f t="shared" si="234"/>
        <v>0.60999999999999976</v>
      </c>
      <c r="EO37" s="55">
        <f t="shared" si="234"/>
        <v>0.58999999999999975</v>
      </c>
      <c r="EP37" s="55">
        <f t="shared" si="234"/>
        <v>0.56999999999999973</v>
      </c>
      <c r="ER37" s="55">
        <f t="shared" si="142"/>
        <v>30351.521199999999</v>
      </c>
      <c r="ES37" s="55">
        <f t="shared" si="116"/>
        <v>30351.521199999999</v>
      </c>
      <c r="ET37" s="59">
        <f t="shared" si="235"/>
        <v>100336.05878296</v>
      </c>
      <c r="EU37" s="55">
        <f t="shared" si="236"/>
        <v>29440.975563999997</v>
      </c>
      <c r="EV37" s="59">
        <f t="shared" si="237"/>
        <v>97325.977019471189</v>
      </c>
      <c r="EW37" s="55">
        <f t="shared" si="238"/>
        <v>28833.945139999996</v>
      </c>
      <c r="EX37" s="59">
        <f t="shared" si="239"/>
        <v>95319.255843811989</v>
      </c>
      <c r="EY37" s="55">
        <f t="shared" si="240"/>
        <v>28226.914715999999</v>
      </c>
      <c r="EZ37" s="59">
        <f t="shared" si="241"/>
        <v>93312.534668152803</v>
      </c>
      <c r="FA37" s="57">
        <f t="shared" si="242"/>
        <v>27619.884291999999</v>
      </c>
      <c r="FB37" s="59">
        <f t="shared" si="243"/>
        <v>91305.813492493602</v>
      </c>
      <c r="FC37" s="55">
        <f t="shared" si="244"/>
        <v>27012.853867999998</v>
      </c>
      <c r="FD37" s="59">
        <f t="shared" si="245"/>
        <v>89299.092316834402</v>
      </c>
      <c r="FE37" s="57">
        <f t="shared" si="246"/>
        <v>26405.823443999998</v>
      </c>
      <c r="FF37" s="59">
        <f t="shared" si="247"/>
        <v>87292.371141175201</v>
      </c>
      <c r="FG37" s="60">
        <f t="shared" si="248"/>
        <v>25798.793019999997</v>
      </c>
      <c r="FH37" s="59">
        <f t="shared" si="249"/>
        <v>85285.649965515986</v>
      </c>
      <c r="FI37" s="57">
        <f t="shared" si="250"/>
        <v>25191.762595999997</v>
      </c>
      <c r="FJ37" s="59">
        <f t="shared" si="251"/>
        <v>83278.928789856785</v>
      </c>
      <c r="FK37" s="55">
        <f t="shared" si="252"/>
        <v>24584.732171999996</v>
      </c>
      <c r="FL37" s="59">
        <f t="shared" si="253"/>
        <v>81272.207614197585</v>
      </c>
      <c r="FM37" s="60">
        <f t="shared" si="254"/>
        <v>23977.701747999996</v>
      </c>
      <c r="FN37" s="59">
        <f t="shared" si="255"/>
        <v>79265.486438538384</v>
      </c>
      <c r="FO37" s="60">
        <f t="shared" si="256"/>
        <v>23370.671323999995</v>
      </c>
      <c r="FP37" s="59">
        <f t="shared" si="257"/>
        <v>77258.765262879184</v>
      </c>
      <c r="FQ37" s="60">
        <f t="shared" si="258"/>
        <v>22763.640899999995</v>
      </c>
      <c r="FR37" s="59">
        <f t="shared" si="259"/>
        <v>75252.044087219983</v>
      </c>
      <c r="FS37" s="55">
        <f t="shared" si="260"/>
        <v>22156.610475999994</v>
      </c>
      <c r="FT37" s="59">
        <f t="shared" si="261"/>
        <v>73245.322911560783</v>
      </c>
      <c r="FU37" s="60">
        <f t="shared" si="262"/>
        <v>21549.580051999994</v>
      </c>
      <c r="FV37" s="59">
        <f t="shared" si="263"/>
        <v>71238.601735901582</v>
      </c>
      <c r="FW37" s="60">
        <f t="shared" si="264"/>
        <v>20942.549627999993</v>
      </c>
      <c r="FX37" s="59">
        <f t="shared" si="265"/>
        <v>69231.880560242382</v>
      </c>
      <c r="FY37" s="60">
        <f t="shared" si="266"/>
        <v>20335.519203999993</v>
      </c>
      <c r="FZ37" s="59">
        <f t="shared" si="267"/>
        <v>67225.159384583181</v>
      </c>
      <c r="GA37" s="60">
        <f t="shared" si="268"/>
        <v>19728.488779999992</v>
      </c>
      <c r="GB37" s="59">
        <f t="shared" si="269"/>
        <v>65218.438208923973</v>
      </c>
      <c r="GC37" s="55">
        <f t="shared" si="270"/>
        <v>19121.458355999992</v>
      </c>
      <c r="GD37" s="59">
        <f t="shared" si="271"/>
        <v>63211.717033264773</v>
      </c>
      <c r="GE37" s="60">
        <f t="shared" si="272"/>
        <v>18514.427931999991</v>
      </c>
      <c r="GF37" s="59">
        <f t="shared" si="273"/>
        <v>61204.995857605572</v>
      </c>
      <c r="GG37" s="60">
        <f t="shared" si="274"/>
        <v>17907.397507999991</v>
      </c>
      <c r="GH37" s="59">
        <f t="shared" si="275"/>
        <v>59198.274681946372</v>
      </c>
      <c r="GI37" s="55">
        <f t="shared" si="276"/>
        <v>17300.36708399999</v>
      </c>
      <c r="GJ37" s="59">
        <f t="shared" si="277"/>
        <v>57191.553506287171</v>
      </c>
      <c r="GK37" s="55"/>
      <c r="GL37" s="55"/>
      <c r="GM37" s="55">
        <v>1</v>
      </c>
      <c r="GN37" s="55">
        <v>0.97</v>
      </c>
      <c r="GO37" s="55">
        <v>0.95</v>
      </c>
      <c r="GP37" s="55">
        <v>0.93</v>
      </c>
      <c r="GQ37" s="55">
        <f t="shared" si="278"/>
        <v>0.91</v>
      </c>
      <c r="GR37" s="55">
        <f t="shared" si="278"/>
        <v>0.89</v>
      </c>
      <c r="GS37" s="55">
        <f t="shared" si="278"/>
        <v>0.87</v>
      </c>
      <c r="GT37" s="55">
        <f t="shared" si="278"/>
        <v>0.85</v>
      </c>
      <c r="GU37" s="55">
        <f t="shared" si="278"/>
        <v>0.83</v>
      </c>
      <c r="GV37" s="55">
        <f t="shared" si="278"/>
        <v>0.80999999999999994</v>
      </c>
      <c r="GW37" s="55">
        <f t="shared" si="278"/>
        <v>0.78999999999999992</v>
      </c>
      <c r="GX37" s="55">
        <f t="shared" si="278"/>
        <v>0.76999999999999991</v>
      </c>
      <c r="GY37" s="55">
        <f t="shared" si="278"/>
        <v>0.74999999999999989</v>
      </c>
      <c r="GZ37" s="55">
        <f t="shared" si="278"/>
        <v>0.72999999999999987</v>
      </c>
      <c r="HA37" s="55">
        <f t="shared" si="278"/>
        <v>0.70999999999999985</v>
      </c>
      <c r="HB37" s="55">
        <f t="shared" si="278"/>
        <v>0.68999999999999984</v>
      </c>
      <c r="HC37" s="55">
        <f t="shared" si="278"/>
        <v>0.66999999999999982</v>
      </c>
      <c r="HD37" s="55">
        <f t="shared" si="278"/>
        <v>0.6499999999999998</v>
      </c>
      <c r="HE37" s="55">
        <f t="shared" si="278"/>
        <v>0.62999999999999978</v>
      </c>
      <c r="HF37" s="55">
        <f t="shared" si="278"/>
        <v>0.60999999999999976</v>
      </c>
      <c r="HG37" s="55">
        <f t="shared" si="278"/>
        <v>0.58999999999999975</v>
      </c>
      <c r="HH37" s="55">
        <f t="shared" si="278"/>
        <v>0.56999999999999973</v>
      </c>
    </row>
    <row r="38" spans="1:216" x14ac:dyDescent="0.3">
      <c r="A38" s="2">
        <v>5</v>
      </c>
      <c r="C38" s="38" t="s">
        <v>17</v>
      </c>
      <c r="D38" s="42">
        <f>TRUNC(11825.3709790824,-1)</f>
        <v>11820</v>
      </c>
      <c r="E38" s="71">
        <f t="shared" si="148"/>
        <v>39070</v>
      </c>
      <c r="H38" s="55">
        <f t="shared" si="61"/>
        <v>42977</v>
      </c>
      <c r="I38" s="55">
        <f t="shared" si="62"/>
        <v>42977</v>
      </c>
      <c r="J38" s="59">
        <f t="shared" si="63"/>
        <v>142073.36660000001</v>
      </c>
      <c r="K38" s="55">
        <f t="shared" si="149"/>
        <v>41687.69</v>
      </c>
      <c r="L38" s="59">
        <f t="shared" si="150"/>
        <v>137811.16560200002</v>
      </c>
      <c r="M38" s="55">
        <f t="shared" si="151"/>
        <v>40828.15</v>
      </c>
      <c r="N38" s="59">
        <f t="shared" si="152"/>
        <v>134969.69826999999</v>
      </c>
      <c r="O38" s="55">
        <f t="shared" si="153"/>
        <v>39968.61</v>
      </c>
      <c r="P38" s="59">
        <f t="shared" si="154"/>
        <v>132128.23093799999</v>
      </c>
      <c r="Q38" s="57">
        <f t="shared" si="155"/>
        <v>39109.07</v>
      </c>
      <c r="R38" s="59">
        <f t="shared" si="156"/>
        <v>129286.76360600001</v>
      </c>
      <c r="S38" s="55">
        <f t="shared" si="157"/>
        <v>38249.53</v>
      </c>
      <c r="T38" s="59">
        <f t="shared" si="158"/>
        <v>126445.29627399999</v>
      </c>
      <c r="U38" s="57">
        <f t="shared" si="159"/>
        <v>37389.99</v>
      </c>
      <c r="V38" s="59">
        <f t="shared" si="160"/>
        <v>123603.82894199999</v>
      </c>
      <c r="W38" s="60">
        <f t="shared" si="161"/>
        <v>36530.449999999997</v>
      </c>
      <c r="X38" s="59">
        <f t="shared" si="162"/>
        <v>120762.36160999999</v>
      </c>
      <c r="Y38" s="57">
        <f t="shared" si="163"/>
        <v>35670.909999999996</v>
      </c>
      <c r="Z38" s="59">
        <f t="shared" si="164"/>
        <v>117920.89427799999</v>
      </c>
      <c r="AA38" s="55">
        <f t="shared" si="165"/>
        <v>34811.369999999995</v>
      </c>
      <c r="AB38" s="59">
        <f t="shared" si="166"/>
        <v>115079.42694599999</v>
      </c>
      <c r="AC38" s="60">
        <f t="shared" si="167"/>
        <v>33951.829999999994</v>
      </c>
      <c r="AD38" s="59">
        <f t="shared" si="168"/>
        <v>112237.95961399998</v>
      </c>
      <c r="AE38" s="60">
        <f t="shared" si="169"/>
        <v>33092.289999999994</v>
      </c>
      <c r="AF38" s="59">
        <f t="shared" si="170"/>
        <v>109396.49228199998</v>
      </c>
      <c r="AG38" s="60">
        <f t="shared" si="171"/>
        <v>32232.749999999996</v>
      </c>
      <c r="AH38" s="59">
        <f t="shared" si="172"/>
        <v>106555.02494999999</v>
      </c>
      <c r="AI38" s="55">
        <f t="shared" si="173"/>
        <v>31373.209999999995</v>
      </c>
      <c r="AJ38" s="59">
        <f t="shared" si="174"/>
        <v>103713.55761799999</v>
      </c>
      <c r="AK38" s="60">
        <f t="shared" si="175"/>
        <v>30513.669999999995</v>
      </c>
      <c r="AL38" s="59">
        <f t="shared" si="176"/>
        <v>100872.09028599999</v>
      </c>
      <c r="AM38" s="60">
        <f t="shared" si="177"/>
        <v>29654.129999999994</v>
      </c>
      <c r="AN38" s="59">
        <f t="shared" si="178"/>
        <v>98030.622953999977</v>
      </c>
      <c r="AO38" s="60">
        <f t="shared" si="179"/>
        <v>28794.589999999993</v>
      </c>
      <c r="AP38" s="59">
        <f t="shared" si="180"/>
        <v>95189.155621999977</v>
      </c>
      <c r="AQ38" s="60">
        <f t="shared" si="181"/>
        <v>27935.049999999992</v>
      </c>
      <c r="AR38" s="59">
        <f t="shared" si="182"/>
        <v>92347.688289999976</v>
      </c>
      <c r="AS38" s="55">
        <f t="shared" si="183"/>
        <v>27075.509999999991</v>
      </c>
      <c r="AT38" s="59">
        <f t="shared" si="184"/>
        <v>89506.220957999976</v>
      </c>
      <c r="AU38" s="60">
        <f t="shared" si="185"/>
        <v>26215.96999999999</v>
      </c>
      <c r="AV38" s="59">
        <f t="shared" si="186"/>
        <v>86664.753625999976</v>
      </c>
      <c r="AW38" s="60">
        <f t="shared" si="187"/>
        <v>25356.429999999989</v>
      </c>
      <c r="AX38" s="59">
        <f t="shared" si="188"/>
        <v>83823.286293999961</v>
      </c>
      <c r="AY38" s="55">
        <f t="shared" si="189"/>
        <v>24496.889999999989</v>
      </c>
      <c r="AZ38" s="59">
        <f t="shared" si="190"/>
        <v>80981.818961999961</v>
      </c>
      <c r="BC38" s="55">
        <v>1</v>
      </c>
      <c r="BD38" s="55">
        <v>0.97</v>
      </c>
      <c r="BE38" s="55">
        <v>0.95</v>
      </c>
      <c r="BF38" s="55">
        <v>0.93</v>
      </c>
      <c r="BG38" s="55">
        <f t="shared" si="143"/>
        <v>0.91</v>
      </c>
      <c r="BH38" s="55">
        <f t="shared" si="143"/>
        <v>0.89</v>
      </c>
      <c r="BI38" s="55">
        <f t="shared" si="143"/>
        <v>0.87</v>
      </c>
      <c r="BJ38" s="55">
        <f t="shared" si="143"/>
        <v>0.85</v>
      </c>
      <c r="BK38" s="55">
        <f t="shared" si="143"/>
        <v>0.83</v>
      </c>
      <c r="BL38" s="55">
        <f t="shared" si="143"/>
        <v>0.80999999999999994</v>
      </c>
      <c r="BM38" s="55">
        <f t="shared" si="143"/>
        <v>0.78999999999999992</v>
      </c>
      <c r="BN38" s="55">
        <f t="shared" si="143"/>
        <v>0.76999999999999991</v>
      </c>
      <c r="BO38" s="55">
        <f t="shared" si="143"/>
        <v>0.74999999999999989</v>
      </c>
      <c r="BP38" s="55">
        <f t="shared" si="143"/>
        <v>0.72999999999999987</v>
      </c>
      <c r="BQ38" s="55">
        <f t="shared" si="143"/>
        <v>0.70999999999999985</v>
      </c>
      <c r="BR38" s="55">
        <f t="shared" si="143"/>
        <v>0.68999999999999984</v>
      </c>
      <c r="BS38" s="55">
        <f t="shared" si="143"/>
        <v>0.66999999999999982</v>
      </c>
      <c r="BT38" s="55">
        <f t="shared" si="143"/>
        <v>0.6499999999999998</v>
      </c>
      <c r="BU38" s="55">
        <f t="shared" si="143"/>
        <v>0.62999999999999978</v>
      </c>
      <c r="BV38" s="55">
        <f t="shared" si="143"/>
        <v>0.60999999999999976</v>
      </c>
      <c r="BW38" s="55">
        <f t="shared" si="143"/>
        <v>0.58999999999999975</v>
      </c>
      <c r="BX38" s="55">
        <f t="shared" si="143"/>
        <v>0.56999999999999973</v>
      </c>
      <c r="BZ38" s="55">
        <f t="shared" si="88"/>
        <v>39109.07</v>
      </c>
      <c r="CA38" s="55">
        <f t="shared" si="89"/>
        <v>39109.07</v>
      </c>
      <c r="CB38" s="59">
        <f t="shared" si="191"/>
        <v>129286.76360600001</v>
      </c>
      <c r="CC38" s="55">
        <f t="shared" si="192"/>
        <v>37935.797899999998</v>
      </c>
      <c r="CD38" s="59">
        <f t="shared" si="193"/>
        <v>125408.16069782</v>
      </c>
      <c r="CE38" s="55">
        <f t="shared" si="194"/>
        <v>37153.616499999996</v>
      </c>
      <c r="CF38" s="59">
        <f t="shared" si="195"/>
        <v>122822.42542569998</v>
      </c>
      <c r="CG38" s="55">
        <f t="shared" si="196"/>
        <v>36371.435100000002</v>
      </c>
      <c r="CH38" s="59">
        <f t="shared" si="197"/>
        <v>120236.69015358001</v>
      </c>
      <c r="CI38" s="57">
        <f t="shared" si="198"/>
        <v>35589.253700000001</v>
      </c>
      <c r="CJ38" s="59">
        <f t="shared" si="199"/>
        <v>117650.95488146001</v>
      </c>
      <c r="CK38" s="55">
        <f t="shared" si="200"/>
        <v>34807.0723</v>
      </c>
      <c r="CL38" s="59">
        <f t="shared" si="201"/>
        <v>115065.21960934</v>
      </c>
      <c r="CM38" s="57">
        <f t="shared" si="202"/>
        <v>34024.890899999999</v>
      </c>
      <c r="CN38" s="59">
        <f t="shared" si="203"/>
        <v>112479.48433722</v>
      </c>
      <c r="CO38" s="60">
        <f t="shared" si="204"/>
        <v>33242.709499999997</v>
      </c>
      <c r="CP38" s="59">
        <f t="shared" si="205"/>
        <v>109893.7490651</v>
      </c>
      <c r="CQ38" s="57">
        <f t="shared" si="206"/>
        <v>32460.5281</v>
      </c>
      <c r="CR38" s="59">
        <f t="shared" si="207"/>
        <v>107308.01379298</v>
      </c>
      <c r="CS38" s="55">
        <f t="shared" si="208"/>
        <v>31678.346699999998</v>
      </c>
      <c r="CT38" s="59">
        <f t="shared" si="209"/>
        <v>104722.27852086</v>
      </c>
      <c r="CU38" s="60">
        <f t="shared" si="210"/>
        <v>30896.165299999997</v>
      </c>
      <c r="CV38" s="59">
        <f t="shared" si="211"/>
        <v>102136.54324874</v>
      </c>
      <c r="CW38" s="60">
        <f t="shared" si="212"/>
        <v>30113.983899999996</v>
      </c>
      <c r="CX38" s="59">
        <f t="shared" si="213"/>
        <v>99550.807976619981</v>
      </c>
      <c r="CY38" s="60">
        <f t="shared" si="214"/>
        <v>29331.802499999994</v>
      </c>
      <c r="CZ38" s="59">
        <f t="shared" si="215"/>
        <v>96965.07270449998</v>
      </c>
      <c r="DA38" s="55">
        <f t="shared" si="216"/>
        <v>28549.621099999993</v>
      </c>
      <c r="DB38" s="59">
        <f t="shared" si="217"/>
        <v>94379.33743237998</v>
      </c>
      <c r="DC38" s="60">
        <f t="shared" si="218"/>
        <v>27767.439699999995</v>
      </c>
      <c r="DD38" s="59">
        <f t="shared" si="219"/>
        <v>91793.602160259979</v>
      </c>
      <c r="DE38" s="60">
        <f t="shared" si="220"/>
        <v>26985.258299999994</v>
      </c>
      <c r="DF38" s="59">
        <f t="shared" si="221"/>
        <v>89207.866888139979</v>
      </c>
      <c r="DG38" s="60">
        <f t="shared" si="222"/>
        <v>26203.076899999993</v>
      </c>
      <c r="DH38" s="59">
        <f t="shared" si="223"/>
        <v>86622.131616019979</v>
      </c>
      <c r="DI38" s="60">
        <f t="shared" si="224"/>
        <v>25420.895499999991</v>
      </c>
      <c r="DJ38" s="59">
        <f t="shared" si="225"/>
        <v>84036.396343899978</v>
      </c>
      <c r="DK38" s="55">
        <f t="shared" si="226"/>
        <v>24638.71409999999</v>
      </c>
      <c r="DL38" s="59">
        <f t="shared" si="227"/>
        <v>81450.661071779963</v>
      </c>
      <c r="DM38" s="60">
        <f t="shared" si="228"/>
        <v>23856.532699999989</v>
      </c>
      <c r="DN38" s="59">
        <f t="shared" si="229"/>
        <v>78864.925799659963</v>
      </c>
      <c r="DO38" s="60">
        <f t="shared" si="230"/>
        <v>23074.351299999991</v>
      </c>
      <c r="DP38" s="59">
        <f t="shared" si="231"/>
        <v>76279.190527539977</v>
      </c>
      <c r="DQ38" s="55">
        <f t="shared" si="232"/>
        <v>22292.16989999999</v>
      </c>
      <c r="DR38" s="59">
        <f t="shared" si="233"/>
        <v>73693.455255419962</v>
      </c>
      <c r="DU38" s="55">
        <v>1</v>
      </c>
      <c r="DV38" s="55">
        <v>0.97</v>
      </c>
      <c r="DW38" s="55">
        <v>0.95</v>
      </c>
      <c r="DX38" s="55">
        <v>0.93</v>
      </c>
      <c r="DY38" s="55">
        <f t="shared" si="234"/>
        <v>0.91</v>
      </c>
      <c r="DZ38" s="55">
        <f t="shared" si="234"/>
        <v>0.89</v>
      </c>
      <c r="EA38" s="55">
        <f t="shared" si="234"/>
        <v>0.87</v>
      </c>
      <c r="EB38" s="55">
        <f t="shared" si="234"/>
        <v>0.85</v>
      </c>
      <c r="EC38" s="55">
        <f t="shared" si="234"/>
        <v>0.83</v>
      </c>
      <c r="ED38" s="55">
        <f t="shared" si="234"/>
        <v>0.80999999999999994</v>
      </c>
      <c r="EE38" s="55">
        <f t="shared" si="234"/>
        <v>0.78999999999999992</v>
      </c>
      <c r="EF38" s="55">
        <f t="shared" si="234"/>
        <v>0.76999999999999991</v>
      </c>
      <c r="EG38" s="55">
        <f t="shared" si="234"/>
        <v>0.74999999999999989</v>
      </c>
      <c r="EH38" s="55">
        <f t="shared" si="234"/>
        <v>0.72999999999999987</v>
      </c>
      <c r="EI38" s="55">
        <f t="shared" si="234"/>
        <v>0.70999999999999985</v>
      </c>
      <c r="EJ38" s="55">
        <f t="shared" si="234"/>
        <v>0.68999999999999984</v>
      </c>
      <c r="EK38" s="55">
        <f t="shared" si="234"/>
        <v>0.66999999999999982</v>
      </c>
      <c r="EL38" s="55">
        <f t="shared" si="234"/>
        <v>0.6499999999999998</v>
      </c>
      <c r="EM38" s="55">
        <f t="shared" si="234"/>
        <v>0.62999999999999978</v>
      </c>
      <c r="EN38" s="55">
        <f t="shared" si="234"/>
        <v>0.60999999999999976</v>
      </c>
      <c r="EO38" s="55">
        <f t="shared" si="234"/>
        <v>0.58999999999999975</v>
      </c>
      <c r="EP38" s="55">
        <f t="shared" si="234"/>
        <v>0.56999999999999973</v>
      </c>
      <c r="ER38" s="55">
        <f t="shared" si="142"/>
        <v>35589.253700000001</v>
      </c>
      <c r="ES38" s="55">
        <f t="shared" si="116"/>
        <v>35589.253700000001</v>
      </c>
      <c r="ET38" s="59">
        <f t="shared" si="235"/>
        <v>117650.95488146001</v>
      </c>
      <c r="EU38" s="55">
        <f t="shared" si="236"/>
        <v>34521.576089000002</v>
      </c>
      <c r="EV38" s="59">
        <f t="shared" si="237"/>
        <v>114121.4262350162</v>
      </c>
      <c r="EW38" s="55">
        <f t="shared" si="238"/>
        <v>33809.791015000003</v>
      </c>
      <c r="EX38" s="59">
        <f t="shared" si="239"/>
        <v>111768.40713738701</v>
      </c>
      <c r="EY38" s="55">
        <f t="shared" si="240"/>
        <v>33098.005941000003</v>
      </c>
      <c r="EZ38" s="59">
        <f t="shared" si="241"/>
        <v>109415.38803975782</v>
      </c>
      <c r="FA38" s="57">
        <f t="shared" si="242"/>
        <v>32386.220867000004</v>
      </c>
      <c r="FB38" s="59">
        <f t="shared" si="243"/>
        <v>107062.36894212861</v>
      </c>
      <c r="FC38" s="55">
        <f t="shared" si="244"/>
        <v>31674.435793000001</v>
      </c>
      <c r="FD38" s="59">
        <f t="shared" si="245"/>
        <v>104709.3498444994</v>
      </c>
      <c r="FE38" s="57">
        <f t="shared" si="246"/>
        <v>30962.650719000001</v>
      </c>
      <c r="FF38" s="59">
        <f t="shared" si="247"/>
        <v>102356.33074687021</v>
      </c>
      <c r="FG38" s="60">
        <f t="shared" si="248"/>
        <v>30250.865645000002</v>
      </c>
      <c r="FH38" s="59">
        <f t="shared" si="249"/>
        <v>100003.311649241</v>
      </c>
      <c r="FI38" s="57">
        <f t="shared" si="250"/>
        <v>29539.080570999999</v>
      </c>
      <c r="FJ38" s="59">
        <f t="shared" si="251"/>
        <v>97650.292551611798</v>
      </c>
      <c r="FK38" s="55">
        <f t="shared" si="252"/>
        <v>28827.295496999999</v>
      </c>
      <c r="FL38" s="59">
        <f t="shared" si="253"/>
        <v>95297.273453982605</v>
      </c>
      <c r="FM38" s="60">
        <f t="shared" si="254"/>
        <v>28115.510423</v>
      </c>
      <c r="FN38" s="59">
        <f t="shared" si="255"/>
        <v>92944.254356353398</v>
      </c>
      <c r="FO38" s="60">
        <f t="shared" si="256"/>
        <v>27403.725348999997</v>
      </c>
      <c r="FP38" s="59">
        <f t="shared" si="257"/>
        <v>90591.235258724191</v>
      </c>
      <c r="FQ38" s="60">
        <f t="shared" si="258"/>
        <v>26691.940274999997</v>
      </c>
      <c r="FR38" s="59">
        <f t="shared" si="259"/>
        <v>88238.216161094999</v>
      </c>
      <c r="FS38" s="55">
        <f t="shared" si="260"/>
        <v>25980.155200999998</v>
      </c>
      <c r="FT38" s="59">
        <f t="shared" si="261"/>
        <v>85885.197063465792</v>
      </c>
      <c r="FU38" s="60">
        <f t="shared" si="262"/>
        <v>25268.370126999995</v>
      </c>
      <c r="FV38" s="59">
        <f t="shared" si="263"/>
        <v>83532.177965836585</v>
      </c>
      <c r="FW38" s="60">
        <f t="shared" si="264"/>
        <v>24556.585052999995</v>
      </c>
      <c r="FX38" s="59">
        <f t="shared" si="265"/>
        <v>81179.158868207393</v>
      </c>
      <c r="FY38" s="60">
        <f t="shared" si="266"/>
        <v>23844.799978999996</v>
      </c>
      <c r="FZ38" s="59">
        <f t="shared" si="267"/>
        <v>78826.139770578186</v>
      </c>
      <c r="GA38" s="60">
        <f t="shared" si="268"/>
        <v>23133.014904999993</v>
      </c>
      <c r="GB38" s="59">
        <f t="shared" si="269"/>
        <v>76473.120672948979</v>
      </c>
      <c r="GC38" s="55">
        <f t="shared" si="270"/>
        <v>22421.229830999993</v>
      </c>
      <c r="GD38" s="59">
        <f t="shared" si="271"/>
        <v>74120.101575319786</v>
      </c>
      <c r="GE38" s="60">
        <f t="shared" si="272"/>
        <v>21709.444756999994</v>
      </c>
      <c r="GF38" s="59">
        <f t="shared" si="273"/>
        <v>71767.082477690579</v>
      </c>
      <c r="GG38" s="60">
        <f t="shared" si="274"/>
        <v>20997.659682999991</v>
      </c>
      <c r="GH38" s="59">
        <f t="shared" si="275"/>
        <v>69414.063380061372</v>
      </c>
      <c r="GI38" s="55">
        <f t="shared" si="276"/>
        <v>20285.874608999991</v>
      </c>
      <c r="GJ38" s="59">
        <f t="shared" si="277"/>
        <v>67061.04428243218</v>
      </c>
      <c r="GK38" s="55"/>
      <c r="GL38" s="55"/>
      <c r="GM38" s="55">
        <v>1</v>
      </c>
      <c r="GN38" s="55">
        <v>0.97</v>
      </c>
      <c r="GO38" s="55">
        <v>0.95</v>
      </c>
      <c r="GP38" s="55">
        <v>0.93</v>
      </c>
      <c r="GQ38" s="55">
        <f t="shared" si="278"/>
        <v>0.91</v>
      </c>
      <c r="GR38" s="55">
        <f t="shared" si="278"/>
        <v>0.89</v>
      </c>
      <c r="GS38" s="55">
        <f t="shared" si="278"/>
        <v>0.87</v>
      </c>
      <c r="GT38" s="55">
        <f t="shared" si="278"/>
        <v>0.85</v>
      </c>
      <c r="GU38" s="55">
        <f t="shared" si="278"/>
        <v>0.83</v>
      </c>
      <c r="GV38" s="55">
        <f t="shared" si="278"/>
        <v>0.80999999999999994</v>
      </c>
      <c r="GW38" s="55">
        <f t="shared" si="278"/>
        <v>0.78999999999999992</v>
      </c>
      <c r="GX38" s="55">
        <f t="shared" si="278"/>
        <v>0.76999999999999991</v>
      </c>
      <c r="GY38" s="55">
        <f t="shared" si="278"/>
        <v>0.74999999999999989</v>
      </c>
      <c r="GZ38" s="55">
        <f t="shared" si="278"/>
        <v>0.72999999999999987</v>
      </c>
      <c r="HA38" s="55">
        <f t="shared" si="278"/>
        <v>0.70999999999999985</v>
      </c>
      <c r="HB38" s="55">
        <f t="shared" si="278"/>
        <v>0.68999999999999984</v>
      </c>
      <c r="HC38" s="55">
        <f t="shared" si="278"/>
        <v>0.66999999999999982</v>
      </c>
      <c r="HD38" s="55">
        <f t="shared" si="278"/>
        <v>0.6499999999999998</v>
      </c>
      <c r="HE38" s="55">
        <f t="shared" si="278"/>
        <v>0.62999999999999978</v>
      </c>
      <c r="HF38" s="55">
        <f t="shared" si="278"/>
        <v>0.60999999999999976</v>
      </c>
      <c r="HG38" s="55">
        <f t="shared" si="278"/>
        <v>0.58999999999999975</v>
      </c>
      <c r="HH38" s="55">
        <f t="shared" si="278"/>
        <v>0.56999999999999973</v>
      </c>
    </row>
    <row r="39" spans="1:216" x14ac:dyDescent="0.3">
      <c r="A39" s="2">
        <v>6</v>
      </c>
      <c r="C39" s="38" t="s">
        <v>18</v>
      </c>
      <c r="D39" s="42">
        <f>TRUNC(4455.63543680787,-1)</f>
        <v>4450</v>
      </c>
      <c r="E39" s="71">
        <f t="shared" si="148"/>
        <v>14710</v>
      </c>
      <c r="H39" s="55">
        <f t="shared" si="61"/>
        <v>16181.000000000002</v>
      </c>
      <c r="I39" s="55">
        <f t="shared" si="62"/>
        <v>16181.000000000002</v>
      </c>
      <c r="J39" s="59">
        <f t="shared" si="63"/>
        <v>53491.149800000007</v>
      </c>
      <c r="K39" s="55">
        <f t="shared" si="149"/>
        <v>15695.570000000002</v>
      </c>
      <c r="L39" s="59">
        <f t="shared" si="150"/>
        <v>51886.415306000003</v>
      </c>
      <c r="M39" s="55">
        <f t="shared" si="151"/>
        <v>15371.95</v>
      </c>
      <c r="N39" s="59">
        <f t="shared" si="152"/>
        <v>50816.59231</v>
      </c>
      <c r="O39" s="55">
        <f t="shared" si="153"/>
        <v>15048.330000000002</v>
      </c>
      <c r="P39" s="59">
        <f t="shared" si="154"/>
        <v>49746.769314000005</v>
      </c>
      <c r="Q39" s="57">
        <f t="shared" si="155"/>
        <v>14724.710000000003</v>
      </c>
      <c r="R39" s="59">
        <f t="shared" si="156"/>
        <v>48676.946318000009</v>
      </c>
      <c r="S39" s="55">
        <f t="shared" si="157"/>
        <v>14401.090000000002</v>
      </c>
      <c r="T39" s="59">
        <f t="shared" si="158"/>
        <v>47607.123322000007</v>
      </c>
      <c r="U39" s="57">
        <f t="shared" si="159"/>
        <v>14077.470000000001</v>
      </c>
      <c r="V39" s="59">
        <f t="shared" si="160"/>
        <v>46537.300326000004</v>
      </c>
      <c r="W39" s="60">
        <f t="shared" si="161"/>
        <v>13753.85</v>
      </c>
      <c r="X39" s="59">
        <f t="shared" si="162"/>
        <v>45467.477330000002</v>
      </c>
      <c r="Y39" s="57">
        <f t="shared" si="163"/>
        <v>13430.230000000001</v>
      </c>
      <c r="Z39" s="59">
        <f t="shared" si="164"/>
        <v>44397.654334000006</v>
      </c>
      <c r="AA39" s="55">
        <f t="shared" si="165"/>
        <v>13106.61</v>
      </c>
      <c r="AB39" s="59">
        <f t="shared" si="166"/>
        <v>43327.831338000004</v>
      </c>
      <c r="AC39" s="60">
        <f t="shared" si="167"/>
        <v>12782.99</v>
      </c>
      <c r="AD39" s="59">
        <f t="shared" si="168"/>
        <v>42258.008342000001</v>
      </c>
      <c r="AE39" s="60">
        <f t="shared" si="169"/>
        <v>12459.37</v>
      </c>
      <c r="AF39" s="59">
        <f t="shared" si="170"/>
        <v>41188.185346000006</v>
      </c>
      <c r="AG39" s="60">
        <f t="shared" si="171"/>
        <v>12135.75</v>
      </c>
      <c r="AH39" s="59">
        <f t="shared" si="172"/>
        <v>40118.362350000003</v>
      </c>
      <c r="AI39" s="55">
        <f t="shared" si="173"/>
        <v>11812.13</v>
      </c>
      <c r="AJ39" s="59">
        <f t="shared" si="174"/>
        <v>39048.539354</v>
      </c>
      <c r="AK39" s="60">
        <f t="shared" si="175"/>
        <v>11488.509999999998</v>
      </c>
      <c r="AL39" s="59">
        <f t="shared" si="176"/>
        <v>37978.716357999998</v>
      </c>
      <c r="AM39" s="60">
        <f t="shared" si="177"/>
        <v>11164.89</v>
      </c>
      <c r="AN39" s="59">
        <f t="shared" si="178"/>
        <v>36908.893361999995</v>
      </c>
      <c r="AO39" s="60">
        <f t="shared" si="179"/>
        <v>10841.269999999999</v>
      </c>
      <c r="AP39" s="59">
        <f t="shared" si="180"/>
        <v>35839.070365999993</v>
      </c>
      <c r="AQ39" s="60">
        <f t="shared" si="181"/>
        <v>10517.649999999998</v>
      </c>
      <c r="AR39" s="59">
        <f t="shared" si="182"/>
        <v>34769.24736999999</v>
      </c>
      <c r="AS39" s="55">
        <f t="shared" si="183"/>
        <v>10194.029999999997</v>
      </c>
      <c r="AT39" s="59">
        <f t="shared" si="184"/>
        <v>33699.424373999987</v>
      </c>
      <c r="AU39" s="60">
        <f t="shared" si="185"/>
        <v>9870.409999999998</v>
      </c>
      <c r="AV39" s="59">
        <f t="shared" si="186"/>
        <v>32629.601377999996</v>
      </c>
      <c r="AW39" s="60">
        <f t="shared" si="187"/>
        <v>9546.7899999999972</v>
      </c>
      <c r="AX39" s="59">
        <f t="shared" si="188"/>
        <v>31559.778381999993</v>
      </c>
      <c r="AY39" s="55">
        <f t="shared" si="189"/>
        <v>9223.1699999999964</v>
      </c>
      <c r="AZ39" s="59">
        <f t="shared" si="190"/>
        <v>30489.955385999991</v>
      </c>
      <c r="BC39" s="55">
        <v>1</v>
      </c>
      <c r="BD39" s="55">
        <v>0.97</v>
      </c>
      <c r="BE39" s="55">
        <v>0.95</v>
      </c>
      <c r="BF39" s="55">
        <v>0.93</v>
      </c>
      <c r="BG39" s="55">
        <f t="shared" si="143"/>
        <v>0.91</v>
      </c>
      <c r="BH39" s="55">
        <f t="shared" si="143"/>
        <v>0.89</v>
      </c>
      <c r="BI39" s="55">
        <f t="shared" si="143"/>
        <v>0.87</v>
      </c>
      <c r="BJ39" s="55">
        <f t="shared" si="143"/>
        <v>0.85</v>
      </c>
      <c r="BK39" s="55">
        <f t="shared" si="143"/>
        <v>0.83</v>
      </c>
      <c r="BL39" s="55">
        <f t="shared" si="143"/>
        <v>0.80999999999999994</v>
      </c>
      <c r="BM39" s="55">
        <f t="shared" si="143"/>
        <v>0.78999999999999992</v>
      </c>
      <c r="BN39" s="55">
        <f t="shared" si="143"/>
        <v>0.76999999999999991</v>
      </c>
      <c r="BO39" s="55">
        <f t="shared" si="143"/>
        <v>0.74999999999999989</v>
      </c>
      <c r="BP39" s="55">
        <f t="shared" si="143"/>
        <v>0.72999999999999987</v>
      </c>
      <c r="BQ39" s="55">
        <f t="shared" si="143"/>
        <v>0.70999999999999985</v>
      </c>
      <c r="BR39" s="55">
        <f t="shared" si="143"/>
        <v>0.68999999999999984</v>
      </c>
      <c r="BS39" s="55">
        <f t="shared" si="143"/>
        <v>0.66999999999999982</v>
      </c>
      <c r="BT39" s="55">
        <f t="shared" si="143"/>
        <v>0.6499999999999998</v>
      </c>
      <c r="BU39" s="55">
        <f t="shared" si="143"/>
        <v>0.62999999999999978</v>
      </c>
      <c r="BV39" s="55">
        <f t="shared" si="143"/>
        <v>0.60999999999999976</v>
      </c>
      <c r="BW39" s="55">
        <f t="shared" si="143"/>
        <v>0.58999999999999975</v>
      </c>
      <c r="BX39" s="55">
        <f t="shared" si="143"/>
        <v>0.56999999999999973</v>
      </c>
      <c r="BZ39" s="55">
        <f t="shared" si="88"/>
        <v>14724.710000000003</v>
      </c>
      <c r="CA39" s="55">
        <f t="shared" si="89"/>
        <v>14724.710000000003</v>
      </c>
      <c r="CB39" s="59">
        <f t="shared" si="191"/>
        <v>48676.946318000009</v>
      </c>
      <c r="CC39" s="55">
        <f t="shared" si="192"/>
        <v>14282.968700000003</v>
      </c>
      <c r="CD39" s="59">
        <f t="shared" si="193"/>
        <v>47216.637928460012</v>
      </c>
      <c r="CE39" s="55">
        <f t="shared" si="194"/>
        <v>13988.474500000002</v>
      </c>
      <c r="CF39" s="59">
        <f t="shared" si="195"/>
        <v>46243.099002100011</v>
      </c>
      <c r="CG39" s="55">
        <f t="shared" si="196"/>
        <v>13693.980300000003</v>
      </c>
      <c r="CH39" s="59">
        <f t="shared" si="197"/>
        <v>45269.56007574001</v>
      </c>
      <c r="CI39" s="57">
        <f t="shared" si="198"/>
        <v>13399.486100000004</v>
      </c>
      <c r="CJ39" s="59">
        <f t="shared" si="199"/>
        <v>44296.021149380016</v>
      </c>
      <c r="CK39" s="55">
        <f t="shared" si="200"/>
        <v>13104.991900000003</v>
      </c>
      <c r="CL39" s="59">
        <f t="shared" si="201"/>
        <v>43322.482223020008</v>
      </c>
      <c r="CM39" s="57">
        <f t="shared" si="202"/>
        <v>12810.497700000002</v>
      </c>
      <c r="CN39" s="59">
        <f t="shared" si="203"/>
        <v>42348.943296660007</v>
      </c>
      <c r="CO39" s="60">
        <f t="shared" si="204"/>
        <v>12516.003500000003</v>
      </c>
      <c r="CP39" s="59">
        <f t="shared" si="205"/>
        <v>41375.404370300006</v>
      </c>
      <c r="CQ39" s="57">
        <f t="shared" si="206"/>
        <v>12221.509300000002</v>
      </c>
      <c r="CR39" s="59">
        <f t="shared" si="207"/>
        <v>40401.865443940005</v>
      </c>
      <c r="CS39" s="55">
        <f t="shared" si="208"/>
        <v>11927.015100000001</v>
      </c>
      <c r="CT39" s="59">
        <f t="shared" si="209"/>
        <v>39428.326517580004</v>
      </c>
      <c r="CU39" s="60">
        <f t="shared" si="210"/>
        <v>11632.520900000001</v>
      </c>
      <c r="CV39" s="59">
        <f t="shared" si="211"/>
        <v>38454.787591220003</v>
      </c>
      <c r="CW39" s="60">
        <f t="shared" si="212"/>
        <v>11338.0267</v>
      </c>
      <c r="CX39" s="59">
        <f t="shared" si="213"/>
        <v>37481.248664860002</v>
      </c>
      <c r="CY39" s="60">
        <f t="shared" si="214"/>
        <v>11043.532500000001</v>
      </c>
      <c r="CZ39" s="59">
        <f t="shared" si="215"/>
        <v>36507.709738500002</v>
      </c>
      <c r="DA39" s="55">
        <f t="shared" si="216"/>
        <v>10749.0383</v>
      </c>
      <c r="DB39" s="59">
        <f t="shared" si="217"/>
        <v>35534.170812140001</v>
      </c>
      <c r="DC39" s="60">
        <f t="shared" si="218"/>
        <v>10454.544099999999</v>
      </c>
      <c r="DD39" s="59">
        <f t="shared" si="219"/>
        <v>34560.63188578</v>
      </c>
      <c r="DE39" s="60">
        <f t="shared" si="220"/>
        <v>10160.0499</v>
      </c>
      <c r="DF39" s="59">
        <f t="shared" si="221"/>
        <v>33587.092959419999</v>
      </c>
      <c r="DG39" s="60">
        <f t="shared" si="222"/>
        <v>9865.555699999999</v>
      </c>
      <c r="DH39" s="59">
        <f t="shared" si="223"/>
        <v>32613.554033059998</v>
      </c>
      <c r="DI39" s="60">
        <f t="shared" si="224"/>
        <v>9571.061499999998</v>
      </c>
      <c r="DJ39" s="59">
        <f t="shared" si="225"/>
        <v>31640.015106699993</v>
      </c>
      <c r="DK39" s="55">
        <f t="shared" si="226"/>
        <v>9276.5672999999988</v>
      </c>
      <c r="DL39" s="59">
        <f t="shared" si="227"/>
        <v>30666.476180339996</v>
      </c>
      <c r="DM39" s="60">
        <f t="shared" si="228"/>
        <v>8982.0730999999978</v>
      </c>
      <c r="DN39" s="59">
        <f t="shared" si="229"/>
        <v>29692.937253979995</v>
      </c>
      <c r="DO39" s="60">
        <f t="shared" si="230"/>
        <v>8687.5788999999986</v>
      </c>
      <c r="DP39" s="59">
        <f t="shared" si="231"/>
        <v>28719.398327619994</v>
      </c>
      <c r="DQ39" s="55">
        <f t="shared" si="232"/>
        <v>8393.0846999999976</v>
      </c>
      <c r="DR39" s="59">
        <f t="shared" si="233"/>
        <v>27745.859401259993</v>
      </c>
      <c r="DU39" s="55">
        <v>1</v>
      </c>
      <c r="DV39" s="55">
        <v>0.97</v>
      </c>
      <c r="DW39" s="55">
        <v>0.95</v>
      </c>
      <c r="DX39" s="55">
        <v>0.93</v>
      </c>
      <c r="DY39" s="55">
        <f t="shared" si="234"/>
        <v>0.91</v>
      </c>
      <c r="DZ39" s="55">
        <f t="shared" si="234"/>
        <v>0.89</v>
      </c>
      <c r="EA39" s="55">
        <f t="shared" si="234"/>
        <v>0.87</v>
      </c>
      <c r="EB39" s="55">
        <f t="shared" si="234"/>
        <v>0.85</v>
      </c>
      <c r="EC39" s="55">
        <f t="shared" si="234"/>
        <v>0.83</v>
      </c>
      <c r="ED39" s="55">
        <f t="shared" si="234"/>
        <v>0.80999999999999994</v>
      </c>
      <c r="EE39" s="55">
        <f t="shared" si="234"/>
        <v>0.78999999999999992</v>
      </c>
      <c r="EF39" s="55">
        <f t="shared" si="234"/>
        <v>0.76999999999999991</v>
      </c>
      <c r="EG39" s="55">
        <f t="shared" si="234"/>
        <v>0.74999999999999989</v>
      </c>
      <c r="EH39" s="55">
        <f t="shared" si="234"/>
        <v>0.72999999999999987</v>
      </c>
      <c r="EI39" s="55">
        <f t="shared" si="234"/>
        <v>0.70999999999999985</v>
      </c>
      <c r="EJ39" s="55">
        <f t="shared" si="234"/>
        <v>0.68999999999999984</v>
      </c>
      <c r="EK39" s="55">
        <f t="shared" si="234"/>
        <v>0.66999999999999982</v>
      </c>
      <c r="EL39" s="55">
        <f t="shared" si="234"/>
        <v>0.6499999999999998</v>
      </c>
      <c r="EM39" s="55">
        <f t="shared" si="234"/>
        <v>0.62999999999999978</v>
      </c>
      <c r="EN39" s="55">
        <f t="shared" si="234"/>
        <v>0.60999999999999976</v>
      </c>
      <c r="EO39" s="55">
        <f t="shared" si="234"/>
        <v>0.58999999999999975</v>
      </c>
      <c r="EP39" s="55">
        <f t="shared" si="234"/>
        <v>0.56999999999999973</v>
      </c>
      <c r="ER39" s="55">
        <f t="shared" si="142"/>
        <v>13399.486100000004</v>
      </c>
      <c r="ES39" s="55">
        <f t="shared" si="116"/>
        <v>13399.486100000004</v>
      </c>
      <c r="ET39" s="59">
        <f t="shared" si="235"/>
        <v>44296.021149380016</v>
      </c>
      <c r="EU39" s="55">
        <f t="shared" si="236"/>
        <v>12997.501517000002</v>
      </c>
      <c r="EV39" s="59">
        <f t="shared" si="237"/>
        <v>42967.140514898609</v>
      </c>
      <c r="EW39" s="55">
        <f t="shared" si="238"/>
        <v>12729.511795000002</v>
      </c>
      <c r="EX39" s="59">
        <f t="shared" si="239"/>
        <v>42081.220091911011</v>
      </c>
      <c r="EY39" s="55">
        <f t="shared" si="240"/>
        <v>12461.522073000004</v>
      </c>
      <c r="EZ39" s="59">
        <f t="shared" si="241"/>
        <v>41195.299668923413</v>
      </c>
      <c r="FA39" s="57">
        <f t="shared" si="242"/>
        <v>12193.532351000003</v>
      </c>
      <c r="FB39" s="59">
        <f t="shared" si="243"/>
        <v>40309.379245935816</v>
      </c>
      <c r="FC39" s="55">
        <f t="shared" si="244"/>
        <v>11925.542629000003</v>
      </c>
      <c r="FD39" s="59">
        <f t="shared" si="245"/>
        <v>39423.458822948211</v>
      </c>
      <c r="FE39" s="57">
        <f t="shared" si="246"/>
        <v>11657.552907000003</v>
      </c>
      <c r="FF39" s="59">
        <f t="shared" si="247"/>
        <v>38537.538399960613</v>
      </c>
      <c r="FG39" s="60">
        <f t="shared" si="248"/>
        <v>11389.563185000003</v>
      </c>
      <c r="FH39" s="59">
        <f t="shared" si="249"/>
        <v>37651.617976973008</v>
      </c>
      <c r="FI39" s="57">
        <f t="shared" si="250"/>
        <v>11121.573463000002</v>
      </c>
      <c r="FJ39" s="59">
        <f t="shared" si="251"/>
        <v>36765.69755398541</v>
      </c>
      <c r="FK39" s="55">
        <f t="shared" si="252"/>
        <v>10853.583741000002</v>
      </c>
      <c r="FL39" s="59">
        <f t="shared" si="253"/>
        <v>35879.777130997805</v>
      </c>
      <c r="FM39" s="60">
        <f t="shared" si="254"/>
        <v>10585.594019000002</v>
      </c>
      <c r="FN39" s="59">
        <f t="shared" si="255"/>
        <v>34993.856708010208</v>
      </c>
      <c r="FO39" s="60">
        <f t="shared" si="256"/>
        <v>10317.604297000002</v>
      </c>
      <c r="FP39" s="59">
        <f t="shared" si="257"/>
        <v>34107.93628502261</v>
      </c>
      <c r="FQ39" s="60">
        <f t="shared" si="258"/>
        <v>10049.614575000001</v>
      </c>
      <c r="FR39" s="59">
        <f t="shared" si="259"/>
        <v>33222.015862035005</v>
      </c>
      <c r="FS39" s="55">
        <f t="shared" si="260"/>
        <v>9781.6248530000012</v>
      </c>
      <c r="FT39" s="59">
        <f t="shared" si="261"/>
        <v>32336.095439047403</v>
      </c>
      <c r="FU39" s="60">
        <f t="shared" si="262"/>
        <v>9513.6351310000009</v>
      </c>
      <c r="FV39" s="59">
        <f t="shared" si="263"/>
        <v>31450.175016059802</v>
      </c>
      <c r="FW39" s="60">
        <f t="shared" si="264"/>
        <v>9245.6454090000007</v>
      </c>
      <c r="FX39" s="59">
        <f t="shared" si="265"/>
        <v>30564.254593072204</v>
      </c>
      <c r="FY39" s="60">
        <f t="shared" si="266"/>
        <v>8977.6556870000004</v>
      </c>
      <c r="FZ39" s="59">
        <f t="shared" si="267"/>
        <v>29678.334170084603</v>
      </c>
      <c r="GA39" s="60">
        <f t="shared" si="268"/>
        <v>8709.6659650000001</v>
      </c>
      <c r="GB39" s="59">
        <f t="shared" si="269"/>
        <v>28792.413747097002</v>
      </c>
      <c r="GC39" s="55">
        <f t="shared" si="270"/>
        <v>8441.6762429999999</v>
      </c>
      <c r="GD39" s="59">
        <f t="shared" si="271"/>
        <v>27906.4933241094</v>
      </c>
      <c r="GE39" s="60">
        <f t="shared" si="272"/>
        <v>8173.6865209999987</v>
      </c>
      <c r="GF39" s="59">
        <f t="shared" si="273"/>
        <v>27020.572901121795</v>
      </c>
      <c r="GG39" s="60">
        <f t="shared" si="274"/>
        <v>7905.6967989999985</v>
      </c>
      <c r="GH39" s="59">
        <f t="shared" si="275"/>
        <v>26134.652478134194</v>
      </c>
      <c r="GI39" s="55">
        <f t="shared" si="276"/>
        <v>7637.7070769999982</v>
      </c>
      <c r="GJ39" s="59">
        <f t="shared" si="277"/>
        <v>25248.732055146596</v>
      </c>
      <c r="GK39" s="55"/>
      <c r="GL39" s="55"/>
      <c r="GM39" s="55">
        <v>1</v>
      </c>
      <c r="GN39" s="55">
        <v>0.97</v>
      </c>
      <c r="GO39" s="55">
        <v>0.95</v>
      </c>
      <c r="GP39" s="55">
        <v>0.93</v>
      </c>
      <c r="GQ39" s="55">
        <f t="shared" si="278"/>
        <v>0.91</v>
      </c>
      <c r="GR39" s="55">
        <f t="shared" si="278"/>
        <v>0.89</v>
      </c>
      <c r="GS39" s="55">
        <f t="shared" si="278"/>
        <v>0.87</v>
      </c>
      <c r="GT39" s="55">
        <f t="shared" si="278"/>
        <v>0.85</v>
      </c>
      <c r="GU39" s="55">
        <f t="shared" si="278"/>
        <v>0.83</v>
      </c>
      <c r="GV39" s="55">
        <f t="shared" si="278"/>
        <v>0.80999999999999994</v>
      </c>
      <c r="GW39" s="55">
        <f t="shared" si="278"/>
        <v>0.78999999999999992</v>
      </c>
      <c r="GX39" s="55">
        <f t="shared" si="278"/>
        <v>0.76999999999999991</v>
      </c>
      <c r="GY39" s="55">
        <f t="shared" si="278"/>
        <v>0.74999999999999989</v>
      </c>
      <c r="GZ39" s="55">
        <f t="shared" si="278"/>
        <v>0.72999999999999987</v>
      </c>
      <c r="HA39" s="55">
        <f t="shared" si="278"/>
        <v>0.70999999999999985</v>
      </c>
      <c r="HB39" s="55">
        <f t="shared" si="278"/>
        <v>0.68999999999999984</v>
      </c>
      <c r="HC39" s="55">
        <f t="shared" si="278"/>
        <v>0.66999999999999982</v>
      </c>
      <c r="HD39" s="55">
        <f t="shared" si="278"/>
        <v>0.6499999999999998</v>
      </c>
      <c r="HE39" s="55">
        <f t="shared" si="278"/>
        <v>0.62999999999999978</v>
      </c>
      <c r="HF39" s="55">
        <f t="shared" si="278"/>
        <v>0.60999999999999976</v>
      </c>
      <c r="HG39" s="55">
        <f t="shared" si="278"/>
        <v>0.58999999999999975</v>
      </c>
      <c r="HH39" s="55">
        <f t="shared" si="278"/>
        <v>0.56999999999999973</v>
      </c>
    </row>
    <row r="40" spans="1:216" x14ac:dyDescent="0.3">
      <c r="A40" s="2">
        <v>7</v>
      </c>
      <c r="C40" s="38" t="s">
        <v>19</v>
      </c>
      <c r="D40" s="42">
        <f>TRUNC(39812.6315696959,-1)</f>
        <v>39810</v>
      </c>
      <c r="E40" s="71">
        <f t="shared" si="148"/>
        <v>131600</v>
      </c>
      <c r="H40" s="55">
        <f t="shared" si="61"/>
        <v>144760</v>
      </c>
      <c r="I40" s="55">
        <f t="shared" si="62"/>
        <v>144760</v>
      </c>
      <c r="J40" s="59">
        <f t="shared" si="63"/>
        <v>478547.60800000001</v>
      </c>
      <c r="K40" s="55">
        <f t="shared" si="149"/>
        <v>140417.19999999998</v>
      </c>
      <c r="L40" s="59">
        <f t="shared" si="150"/>
        <v>464191.17975999997</v>
      </c>
      <c r="M40" s="55">
        <f t="shared" si="151"/>
        <v>137522</v>
      </c>
      <c r="N40" s="59">
        <f t="shared" si="152"/>
        <v>454620.22759999998</v>
      </c>
      <c r="O40" s="55">
        <f t="shared" si="153"/>
        <v>134626.80000000002</v>
      </c>
      <c r="P40" s="59">
        <f t="shared" si="154"/>
        <v>445049.27544000006</v>
      </c>
      <c r="Q40" s="57">
        <f t="shared" si="155"/>
        <v>131731.6</v>
      </c>
      <c r="R40" s="59">
        <f t="shared" si="156"/>
        <v>435478.32328000001</v>
      </c>
      <c r="S40" s="55">
        <f t="shared" si="157"/>
        <v>128836.40000000001</v>
      </c>
      <c r="T40" s="59">
        <f t="shared" si="158"/>
        <v>425907.37112000003</v>
      </c>
      <c r="U40" s="57">
        <f t="shared" si="159"/>
        <v>125941.2</v>
      </c>
      <c r="V40" s="59">
        <f t="shared" si="160"/>
        <v>416336.41895999998</v>
      </c>
      <c r="W40" s="60">
        <f t="shared" si="161"/>
        <v>123046</v>
      </c>
      <c r="X40" s="59">
        <f t="shared" si="162"/>
        <v>406765.46679999999</v>
      </c>
      <c r="Y40" s="57">
        <f t="shared" si="163"/>
        <v>120150.79999999999</v>
      </c>
      <c r="Z40" s="59">
        <f t="shared" si="164"/>
        <v>397194.51463999995</v>
      </c>
      <c r="AA40" s="55">
        <f t="shared" si="165"/>
        <v>117255.59999999999</v>
      </c>
      <c r="AB40" s="59">
        <f t="shared" si="166"/>
        <v>387623.56247999996</v>
      </c>
      <c r="AC40" s="60">
        <f t="shared" si="167"/>
        <v>114360.4</v>
      </c>
      <c r="AD40" s="59">
        <f t="shared" si="168"/>
        <v>378052.61031999998</v>
      </c>
      <c r="AE40" s="60">
        <f t="shared" si="169"/>
        <v>111465.19999999998</v>
      </c>
      <c r="AF40" s="59">
        <f t="shared" si="170"/>
        <v>368481.65815999993</v>
      </c>
      <c r="AG40" s="60">
        <f t="shared" si="171"/>
        <v>108569.99999999999</v>
      </c>
      <c r="AH40" s="59">
        <f t="shared" si="172"/>
        <v>358910.70599999995</v>
      </c>
      <c r="AI40" s="55">
        <f t="shared" si="173"/>
        <v>105674.79999999999</v>
      </c>
      <c r="AJ40" s="59">
        <f t="shared" si="174"/>
        <v>349339.75383999996</v>
      </c>
      <c r="AK40" s="60">
        <f t="shared" si="175"/>
        <v>102779.59999999998</v>
      </c>
      <c r="AL40" s="59">
        <f t="shared" si="176"/>
        <v>339768.80167999992</v>
      </c>
      <c r="AM40" s="60">
        <f t="shared" si="177"/>
        <v>99884.39999999998</v>
      </c>
      <c r="AN40" s="59">
        <f t="shared" si="178"/>
        <v>330197.84951999993</v>
      </c>
      <c r="AO40" s="60">
        <f t="shared" si="179"/>
        <v>96989.199999999968</v>
      </c>
      <c r="AP40" s="59">
        <f t="shared" si="180"/>
        <v>320626.89735999989</v>
      </c>
      <c r="AQ40" s="60">
        <f t="shared" si="181"/>
        <v>94093.999999999971</v>
      </c>
      <c r="AR40" s="59">
        <f t="shared" si="182"/>
        <v>311055.9451999999</v>
      </c>
      <c r="AS40" s="55">
        <f t="shared" si="183"/>
        <v>91198.799999999974</v>
      </c>
      <c r="AT40" s="59">
        <f t="shared" si="184"/>
        <v>301484.99303999991</v>
      </c>
      <c r="AU40" s="60">
        <f t="shared" si="185"/>
        <v>88303.599999999962</v>
      </c>
      <c r="AV40" s="59">
        <f t="shared" si="186"/>
        <v>291914.04087999987</v>
      </c>
      <c r="AW40" s="60">
        <f t="shared" si="187"/>
        <v>85408.399999999965</v>
      </c>
      <c r="AX40" s="59">
        <f t="shared" si="188"/>
        <v>282343.08871999988</v>
      </c>
      <c r="AY40" s="55">
        <f t="shared" si="189"/>
        <v>82513.199999999968</v>
      </c>
      <c r="AZ40" s="59">
        <f t="shared" si="190"/>
        <v>272772.1365599999</v>
      </c>
      <c r="BC40" s="55">
        <v>1</v>
      </c>
      <c r="BD40" s="55">
        <v>0.97</v>
      </c>
      <c r="BE40" s="55">
        <v>0.95</v>
      </c>
      <c r="BF40" s="55">
        <v>0.93</v>
      </c>
      <c r="BG40" s="55">
        <f t="shared" si="143"/>
        <v>0.91</v>
      </c>
      <c r="BH40" s="55">
        <f t="shared" si="143"/>
        <v>0.89</v>
      </c>
      <c r="BI40" s="55">
        <f t="shared" si="143"/>
        <v>0.87</v>
      </c>
      <c r="BJ40" s="55">
        <f t="shared" si="143"/>
        <v>0.85</v>
      </c>
      <c r="BK40" s="55">
        <f t="shared" si="143"/>
        <v>0.83</v>
      </c>
      <c r="BL40" s="55">
        <f t="shared" si="143"/>
        <v>0.80999999999999994</v>
      </c>
      <c r="BM40" s="55">
        <f t="shared" si="143"/>
        <v>0.78999999999999992</v>
      </c>
      <c r="BN40" s="55">
        <f t="shared" si="143"/>
        <v>0.76999999999999991</v>
      </c>
      <c r="BO40" s="55">
        <f t="shared" si="143"/>
        <v>0.74999999999999989</v>
      </c>
      <c r="BP40" s="55">
        <f t="shared" si="143"/>
        <v>0.72999999999999987</v>
      </c>
      <c r="BQ40" s="55">
        <f t="shared" si="143"/>
        <v>0.70999999999999985</v>
      </c>
      <c r="BR40" s="55">
        <f t="shared" si="143"/>
        <v>0.68999999999999984</v>
      </c>
      <c r="BS40" s="55">
        <f t="shared" si="143"/>
        <v>0.66999999999999982</v>
      </c>
      <c r="BT40" s="55">
        <f t="shared" si="143"/>
        <v>0.6499999999999998</v>
      </c>
      <c r="BU40" s="55">
        <f t="shared" si="143"/>
        <v>0.62999999999999978</v>
      </c>
      <c r="BV40" s="55">
        <f t="shared" si="143"/>
        <v>0.60999999999999976</v>
      </c>
      <c r="BW40" s="55">
        <f t="shared" si="143"/>
        <v>0.58999999999999975</v>
      </c>
      <c r="BX40" s="55">
        <f t="shared" si="143"/>
        <v>0.56999999999999973</v>
      </c>
      <c r="BZ40" s="55">
        <f t="shared" si="88"/>
        <v>131731.6</v>
      </c>
      <c r="CA40" s="55">
        <f t="shared" si="89"/>
        <v>131731.6</v>
      </c>
      <c r="CB40" s="59">
        <f t="shared" si="191"/>
        <v>435478.32328000001</v>
      </c>
      <c r="CC40" s="55">
        <f t="shared" si="192"/>
        <v>127779.652</v>
      </c>
      <c r="CD40" s="59">
        <f t="shared" si="193"/>
        <v>422413.9735816</v>
      </c>
      <c r="CE40" s="55">
        <f t="shared" si="194"/>
        <v>125145.02</v>
      </c>
      <c r="CF40" s="59">
        <f t="shared" si="195"/>
        <v>413704.40711600002</v>
      </c>
      <c r="CG40" s="55">
        <f t="shared" si="196"/>
        <v>122510.38800000001</v>
      </c>
      <c r="CH40" s="59">
        <f t="shared" si="197"/>
        <v>404994.84065040003</v>
      </c>
      <c r="CI40" s="57">
        <f t="shared" si="198"/>
        <v>119875.75600000001</v>
      </c>
      <c r="CJ40" s="59">
        <f t="shared" si="199"/>
        <v>396285.27418480004</v>
      </c>
      <c r="CK40" s="55">
        <f t="shared" si="200"/>
        <v>117241.12400000001</v>
      </c>
      <c r="CL40" s="59">
        <f t="shared" si="201"/>
        <v>387575.70771920006</v>
      </c>
      <c r="CM40" s="57">
        <f t="shared" si="202"/>
        <v>114606.492</v>
      </c>
      <c r="CN40" s="59">
        <f t="shared" si="203"/>
        <v>378866.14125360001</v>
      </c>
      <c r="CO40" s="60">
        <f t="shared" si="204"/>
        <v>111971.86</v>
      </c>
      <c r="CP40" s="59">
        <f t="shared" si="205"/>
        <v>370156.57478800003</v>
      </c>
      <c r="CQ40" s="57">
        <f t="shared" si="206"/>
        <v>109337.228</v>
      </c>
      <c r="CR40" s="59">
        <f t="shared" si="207"/>
        <v>361447.00832240004</v>
      </c>
      <c r="CS40" s="55">
        <f t="shared" si="208"/>
        <v>106702.59599999999</v>
      </c>
      <c r="CT40" s="59">
        <f t="shared" si="209"/>
        <v>352737.4418568</v>
      </c>
      <c r="CU40" s="60">
        <f t="shared" si="210"/>
        <v>104067.96399999999</v>
      </c>
      <c r="CV40" s="59">
        <f t="shared" si="211"/>
        <v>344027.87539120001</v>
      </c>
      <c r="CW40" s="60">
        <f t="shared" si="212"/>
        <v>101433.33199999999</v>
      </c>
      <c r="CX40" s="59">
        <f t="shared" si="213"/>
        <v>335318.30892559997</v>
      </c>
      <c r="CY40" s="60">
        <f t="shared" si="214"/>
        <v>98798.699999999983</v>
      </c>
      <c r="CZ40" s="59">
        <f t="shared" si="215"/>
        <v>326608.74245999992</v>
      </c>
      <c r="DA40" s="55">
        <f t="shared" si="216"/>
        <v>96164.067999999985</v>
      </c>
      <c r="DB40" s="59">
        <f t="shared" si="217"/>
        <v>317899.17599439994</v>
      </c>
      <c r="DC40" s="60">
        <f t="shared" si="218"/>
        <v>93529.435999999987</v>
      </c>
      <c r="DD40" s="59">
        <f t="shared" si="219"/>
        <v>309189.60952879995</v>
      </c>
      <c r="DE40" s="60">
        <f t="shared" si="220"/>
        <v>90894.803999999989</v>
      </c>
      <c r="DF40" s="59">
        <f t="shared" si="221"/>
        <v>300480.04306319996</v>
      </c>
      <c r="DG40" s="60">
        <f t="shared" si="222"/>
        <v>88260.171999999977</v>
      </c>
      <c r="DH40" s="59">
        <f t="shared" si="223"/>
        <v>291770.47659759992</v>
      </c>
      <c r="DI40" s="60">
        <f t="shared" si="224"/>
        <v>85625.539999999979</v>
      </c>
      <c r="DJ40" s="59">
        <f t="shared" si="225"/>
        <v>283060.91013199993</v>
      </c>
      <c r="DK40" s="55">
        <f t="shared" si="226"/>
        <v>82990.907999999981</v>
      </c>
      <c r="DL40" s="59">
        <f t="shared" si="227"/>
        <v>274351.34366639995</v>
      </c>
      <c r="DM40" s="60">
        <f t="shared" si="228"/>
        <v>80356.275999999969</v>
      </c>
      <c r="DN40" s="59">
        <f t="shared" si="229"/>
        <v>265641.7772007999</v>
      </c>
      <c r="DO40" s="60">
        <f t="shared" si="230"/>
        <v>77721.643999999971</v>
      </c>
      <c r="DP40" s="59">
        <f t="shared" si="231"/>
        <v>256932.21073519991</v>
      </c>
      <c r="DQ40" s="55">
        <f t="shared" si="232"/>
        <v>75087.011999999973</v>
      </c>
      <c r="DR40" s="59">
        <f t="shared" si="233"/>
        <v>248222.64426959993</v>
      </c>
      <c r="DU40" s="55">
        <v>1</v>
      </c>
      <c r="DV40" s="55">
        <v>0.97</v>
      </c>
      <c r="DW40" s="55">
        <v>0.95</v>
      </c>
      <c r="DX40" s="55">
        <v>0.93</v>
      </c>
      <c r="DY40" s="55">
        <f t="shared" si="234"/>
        <v>0.91</v>
      </c>
      <c r="DZ40" s="55">
        <f t="shared" si="234"/>
        <v>0.89</v>
      </c>
      <c r="EA40" s="55">
        <f t="shared" si="234"/>
        <v>0.87</v>
      </c>
      <c r="EB40" s="55">
        <f t="shared" si="234"/>
        <v>0.85</v>
      </c>
      <c r="EC40" s="55">
        <f t="shared" si="234"/>
        <v>0.83</v>
      </c>
      <c r="ED40" s="55">
        <f t="shared" si="234"/>
        <v>0.80999999999999994</v>
      </c>
      <c r="EE40" s="55">
        <f t="shared" si="234"/>
        <v>0.78999999999999992</v>
      </c>
      <c r="EF40" s="55">
        <f t="shared" si="234"/>
        <v>0.76999999999999991</v>
      </c>
      <c r="EG40" s="55">
        <f t="shared" si="234"/>
        <v>0.74999999999999989</v>
      </c>
      <c r="EH40" s="55">
        <f t="shared" si="234"/>
        <v>0.72999999999999987</v>
      </c>
      <c r="EI40" s="55">
        <f t="shared" si="234"/>
        <v>0.70999999999999985</v>
      </c>
      <c r="EJ40" s="55">
        <f t="shared" si="234"/>
        <v>0.68999999999999984</v>
      </c>
      <c r="EK40" s="55">
        <f t="shared" si="234"/>
        <v>0.66999999999999982</v>
      </c>
      <c r="EL40" s="55">
        <f t="shared" si="234"/>
        <v>0.6499999999999998</v>
      </c>
      <c r="EM40" s="55">
        <f t="shared" si="234"/>
        <v>0.62999999999999978</v>
      </c>
      <c r="EN40" s="55">
        <f t="shared" si="234"/>
        <v>0.60999999999999976</v>
      </c>
      <c r="EO40" s="55">
        <f t="shared" si="234"/>
        <v>0.58999999999999975</v>
      </c>
      <c r="EP40" s="55">
        <f t="shared" si="234"/>
        <v>0.56999999999999973</v>
      </c>
      <c r="ER40" s="55">
        <f t="shared" si="142"/>
        <v>119875.75600000001</v>
      </c>
      <c r="ES40" s="55">
        <f t="shared" si="116"/>
        <v>119875.75600000001</v>
      </c>
      <c r="ET40" s="59">
        <f t="shared" si="235"/>
        <v>396285.27418480004</v>
      </c>
      <c r="EU40" s="55">
        <f t="shared" si="236"/>
        <v>116279.48332</v>
      </c>
      <c r="EV40" s="59">
        <f t="shared" si="237"/>
        <v>384396.71595925599</v>
      </c>
      <c r="EW40" s="55">
        <f t="shared" si="238"/>
        <v>113881.9682</v>
      </c>
      <c r="EX40" s="59">
        <f t="shared" si="239"/>
        <v>376471.01047556003</v>
      </c>
      <c r="EY40" s="55">
        <f t="shared" si="240"/>
        <v>111484.45308000001</v>
      </c>
      <c r="EZ40" s="59">
        <f t="shared" si="241"/>
        <v>368545.30499186402</v>
      </c>
      <c r="FA40" s="57">
        <f t="shared" si="242"/>
        <v>109086.93796000001</v>
      </c>
      <c r="FB40" s="59">
        <f t="shared" si="243"/>
        <v>360619.59950816806</v>
      </c>
      <c r="FC40" s="55">
        <f t="shared" si="244"/>
        <v>106689.42284000001</v>
      </c>
      <c r="FD40" s="59">
        <f t="shared" si="245"/>
        <v>352693.89402447204</v>
      </c>
      <c r="FE40" s="57">
        <f t="shared" si="246"/>
        <v>104291.90772</v>
      </c>
      <c r="FF40" s="59">
        <f t="shared" si="247"/>
        <v>344768.18854077603</v>
      </c>
      <c r="FG40" s="60">
        <f t="shared" si="248"/>
        <v>101894.39260000001</v>
      </c>
      <c r="FH40" s="59">
        <f t="shared" si="249"/>
        <v>336842.48305708001</v>
      </c>
      <c r="FI40" s="57">
        <f t="shared" si="250"/>
        <v>99496.877479999996</v>
      </c>
      <c r="FJ40" s="59">
        <f t="shared" si="251"/>
        <v>328916.777573384</v>
      </c>
      <c r="FK40" s="55">
        <f t="shared" si="252"/>
        <v>97099.362359999999</v>
      </c>
      <c r="FL40" s="59">
        <f t="shared" si="253"/>
        <v>320991.07208968798</v>
      </c>
      <c r="FM40" s="60">
        <f t="shared" si="254"/>
        <v>94701.847240000003</v>
      </c>
      <c r="FN40" s="59">
        <f t="shared" si="255"/>
        <v>313065.36660599202</v>
      </c>
      <c r="FO40" s="60">
        <f t="shared" si="256"/>
        <v>92304.332119999992</v>
      </c>
      <c r="FP40" s="59">
        <f t="shared" si="257"/>
        <v>305139.66112229601</v>
      </c>
      <c r="FQ40" s="60">
        <f t="shared" si="258"/>
        <v>89906.816999999995</v>
      </c>
      <c r="FR40" s="59">
        <f t="shared" si="259"/>
        <v>297213.95563859999</v>
      </c>
      <c r="FS40" s="55">
        <f t="shared" si="260"/>
        <v>87509.301879999985</v>
      </c>
      <c r="FT40" s="59">
        <f t="shared" si="261"/>
        <v>289288.25015490397</v>
      </c>
      <c r="FU40" s="60">
        <f t="shared" si="262"/>
        <v>85111.786759999988</v>
      </c>
      <c r="FV40" s="59">
        <f t="shared" si="263"/>
        <v>281362.54467120796</v>
      </c>
      <c r="FW40" s="60">
        <f t="shared" si="264"/>
        <v>82714.271639999992</v>
      </c>
      <c r="FX40" s="59">
        <f t="shared" si="265"/>
        <v>273436.839187512</v>
      </c>
      <c r="FY40" s="60">
        <f t="shared" si="266"/>
        <v>80316.756519999981</v>
      </c>
      <c r="FZ40" s="59">
        <f t="shared" si="267"/>
        <v>265511.13370381593</v>
      </c>
      <c r="GA40" s="60">
        <f t="shared" si="268"/>
        <v>77919.241399999984</v>
      </c>
      <c r="GB40" s="59">
        <f t="shared" si="269"/>
        <v>257585.42822011997</v>
      </c>
      <c r="GC40" s="55">
        <f t="shared" si="270"/>
        <v>75521.726279999973</v>
      </c>
      <c r="GD40" s="59">
        <f t="shared" si="271"/>
        <v>249659.72273642392</v>
      </c>
      <c r="GE40" s="60">
        <f t="shared" si="272"/>
        <v>73124.211159999977</v>
      </c>
      <c r="GF40" s="59">
        <f t="shared" si="273"/>
        <v>241734.01725272794</v>
      </c>
      <c r="GG40" s="60">
        <f t="shared" si="274"/>
        <v>70726.696039999981</v>
      </c>
      <c r="GH40" s="59">
        <f t="shared" si="275"/>
        <v>233808.31176903195</v>
      </c>
      <c r="GI40" s="55">
        <f t="shared" si="276"/>
        <v>68329.18091999997</v>
      </c>
      <c r="GJ40" s="59">
        <f t="shared" si="277"/>
        <v>225882.6062853359</v>
      </c>
      <c r="GK40" s="55"/>
      <c r="GL40" s="55"/>
      <c r="GM40" s="55">
        <v>1</v>
      </c>
      <c r="GN40" s="55">
        <v>0.97</v>
      </c>
      <c r="GO40" s="55">
        <v>0.95</v>
      </c>
      <c r="GP40" s="55">
        <v>0.93</v>
      </c>
      <c r="GQ40" s="55">
        <f t="shared" si="278"/>
        <v>0.91</v>
      </c>
      <c r="GR40" s="55">
        <f t="shared" si="278"/>
        <v>0.89</v>
      </c>
      <c r="GS40" s="55">
        <f t="shared" si="278"/>
        <v>0.87</v>
      </c>
      <c r="GT40" s="55">
        <f t="shared" si="278"/>
        <v>0.85</v>
      </c>
      <c r="GU40" s="55">
        <f t="shared" si="278"/>
        <v>0.83</v>
      </c>
      <c r="GV40" s="55">
        <f t="shared" si="278"/>
        <v>0.80999999999999994</v>
      </c>
      <c r="GW40" s="55">
        <f t="shared" si="278"/>
        <v>0.78999999999999992</v>
      </c>
      <c r="GX40" s="55">
        <f t="shared" si="278"/>
        <v>0.76999999999999991</v>
      </c>
      <c r="GY40" s="55">
        <f t="shared" si="278"/>
        <v>0.74999999999999989</v>
      </c>
      <c r="GZ40" s="55">
        <f t="shared" si="278"/>
        <v>0.72999999999999987</v>
      </c>
      <c r="HA40" s="55">
        <f t="shared" si="278"/>
        <v>0.70999999999999985</v>
      </c>
      <c r="HB40" s="55">
        <f t="shared" si="278"/>
        <v>0.68999999999999984</v>
      </c>
      <c r="HC40" s="55">
        <f t="shared" si="278"/>
        <v>0.66999999999999982</v>
      </c>
      <c r="HD40" s="55">
        <f t="shared" si="278"/>
        <v>0.6499999999999998</v>
      </c>
      <c r="HE40" s="55">
        <f t="shared" si="278"/>
        <v>0.62999999999999978</v>
      </c>
      <c r="HF40" s="55">
        <f t="shared" si="278"/>
        <v>0.60999999999999976</v>
      </c>
      <c r="HG40" s="55">
        <f t="shared" si="278"/>
        <v>0.58999999999999975</v>
      </c>
      <c r="HH40" s="55">
        <f t="shared" si="278"/>
        <v>0.56999999999999973</v>
      </c>
    </row>
    <row r="41" spans="1:216" x14ac:dyDescent="0.3">
      <c r="A41" s="2">
        <v>8</v>
      </c>
      <c r="C41" s="38" t="s">
        <v>20</v>
      </c>
      <c r="D41" s="42">
        <f>TRUNC(5364.4833011074,-1)</f>
        <v>5360</v>
      </c>
      <c r="E41" s="71">
        <f t="shared" si="148"/>
        <v>17710</v>
      </c>
      <c r="H41" s="55">
        <f t="shared" si="61"/>
        <v>19481</v>
      </c>
      <c r="I41" s="55">
        <f t="shared" si="62"/>
        <v>19481</v>
      </c>
      <c r="J41" s="59">
        <f t="shared" si="63"/>
        <v>64400.289799999999</v>
      </c>
      <c r="K41" s="55">
        <f t="shared" si="149"/>
        <v>18896.57</v>
      </c>
      <c r="L41" s="59">
        <f t="shared" si="150"/>
        <v>62468.281106000002</v>
      </c>
      <c r="M41" s="55">
        <f t="shared" si="151"/>
        <v>18506.95</v>
      </c>
      <c r="N41" s="59">
        <f t="shared" si="152"/>
        <v>61180.275310000005</v>
      </c>
      <c r="O41" s="55">
        <f t="shared" si="153"/>
        <v>18117.330000000002</v>
      </c>
      <c r="P41" s="59">
        <f t="shared" si="154"/>
        <v>59892.269514000007</v>
      </c>
      <c r="Q41" s="57">
        <f t="shared" si="155"/>
        <v>17727.71</v>
      </c>
      <c r="R41" s="59">
        <f t="shared" si="156"/>
        <v>58604.263718000002</v>
      </c>
      <c r="S41" s="55">
        <f t="shared" si="157"/>
        <v>17338.09</v>
      </c>
      <c r="T41" s="59">
        <f t="shared" si="158"/>
        <v>57316.257922000004</v>
      </c>
      <c r="U41" s="57">
        <f t="shared" si="159"/>
        <v>16948.47</v>
      </c>
      <c r="V41" s="59">
        <f t="shared" si="160"/>
        <v>56028.252126000007</v>
      </c>
      <c r="W41" s="60">
        <f t="shared" si="161"/>
        <v>16558.849999999999</v>
      </c>
      <c r="X41" s="59">
        <f t="shared" si="162"/>
        <v>54740.246329999994</v>
      </c>
      <c r="Y41" s="57">
        <f t="shared" si="163"/>
        <v>16169.23</v>
      </c>
      <c r="Z41" s="59">
        <f t="shared" si="164"/>
        <v>53452.240533999997</v>
      </c>
      <c r="AA41" s="55">
        <f t="shared" si="165"/>
        <v>15779.609999999999</v>
      </c>
      <c r="AB41" s="59">
        <f t="shared" si="166"/>
        <v>52164.234737999999</v>
      </c>
      <c r="AC41" s="60">
        <f t="shared" si="167"/>
        <v>15389.989999999998</v>
      </c>
      <c r="AD41" s="59">
        <f t="shared" si="168"/>
        <v>50876.228941999994</v>
      </c>
      <c r="AE41" s="60">
        <f t="shared" si="169"/>
        <v>15000.369999999999</v>
      </c>
      <c r="AF41" s="59">
        <f t="shared" si="170"/>
        <v>49588.223145999997</v>
      </c>
      <c r="AG41" s="60">
        <f t="shared" si="171"/>
        <v>14610.749999999998</v>
      </c>
      <c r="AH41" s="59">
        <f t="shared" si="172"/>
        <v>48300.217349999992</v>
      </c>
      <c r="AI41" s="55">
        <f t="shared" si="173"/>
        <v>14221.129999999997</v>
      </c>
      <c r="AJ41" s="59">
        <f t="shared" si="174"/>
        <v>47012.211553999994</v>
      </c>
      <c r="AK41" s="60">
        <f t="shared" si="175"/>
        <v>13831.509999999997</v>
      </c>
      <c r="AL41" s="59">
        <f t="shared" si="176"/>
        <v>45724.205757999989</v>
      </c>
      <c r="AM41" s="60">
        <f t="shared" si="177"/>
        <v>13441.889999999998</v>
      </c>
      <c r="AN41" s="59">
        <f t="shared" si="178"/>
        <v>44436.199961999992</v>
      </c>
      <c r="AO41" s="60">
        <f t="shared" si="179"/>
        <v>13052.269999999997</v>
      </c>
      <c r="AP41" s="59">
        <f t="shared" si="180"/>
        <v>43148.194165999994</v>
      </c>
      <c r="AQ41" s="60">
        <f t="shared" si="181"/>
        <v>12662.649999999996</v>
      </c>
      <c r="AR41" s="59">
        <f t="shared" si="182"/>
        <v>41860.188369999989</v>
      </c>
      <c r="AS41" s="55">
        <f t="shared" si="183"/>
        <v>12273.029999999995</v>
      </c>
      <c r="AT41" s="59">
        <f t="shared" si="184"/>
        <v>40572.182573999984</v>
      </c>
      <c r="AU41" s="60">
        <f t="shared" si="185"/>
        <v>11883.409999999996</v>
      </c>
      <c r="AV41" s="59">
        <f t="shared" si="186"/>
        <v>39284.176777999986</v>
      </c>
      <c r="AW41" s="60">
        <f t="shared" si="187"/>
        <v>11493.789999999995</v>
      </c>
      <c r="AX41" s="59">
        <f t="shared" si="188"/>
        <v>37996.170981999989</v>
      </c>
      <c r="AY41" s="55">
        <f t="shared" si="189"/>
        <v>11104.169999999995</v>
      </c>
      <c r="AZ41" s="59">
        <f t="shared" si="190"/>
        <v>36708.165185999984</v>
      </c>
      <c r="BC41" s="55">
        <v>1</v>
      </c>
      <c r="BD41" s="55">
        <v>0.97</v>
      </c>
      <c r="BE41" s="55">
        <v>0.95</v>
      </c>
      <c r="BF41" s="55">
        <v>0.93</v>
      </c>
      <c r="BG41" s="55">
        <f t="shared" si="143"/>
        <v>0.91</v>
      </c>
      <c r="BH41" s="55">
        <f t="shared" si="143"/>
        <v>0.89</v>
      </c>
      <c r="BI41" s="55">
        <f t="shared" si="143"/>
        <v>0.87</v>
      </c>
      <c r="BJ41" s="55">
        <f t="shared" si="143"/>
        <v>0.85</v>
      </c>
      <c r="BK41" s="55">
        <f t="shared" si="143"/>
        <v>0.83</v>
      </c>
      <c r="BL41" s="55">
        <f t="shared" si="143"/>
        <v>0.80999999999999994</v>
      </c>
      <c r="BM41" s="55">
        <f t="shared" si="143"/>
        <v>0.78999999999999992</v>
      </c>
      <c r="BN41" s="55">
        <f t="shared" si="143"/>
        <v>0.76999999999999991</v>
      </c>
      <c r="BO41" s="55">
        <f t="shared" si="143"/>
        <v>0.74999999999999989</v>
      </c>
      <c r="BP41" s="55">
        <f t="shared" si="143"/>
        <v>0.72999999999999987</v>
      </c>
      <c r="BQ41" s="55">
        <f t="shared" si="143"/>
        <v>0.70999999999999985</v>
      </c>
      <c r="BR41" s="55">
        <f t="shared" si="143"/>
        <v>0.68999999999999984</v>
      </c>
      <c r="BS41" s="55">
        <f t="shared" si="143"/>
        <v>0.66999999999999982</v>
      </c>
      <c r="BT41" s="55">
        <f t="shared" si="143"/>
        <v>0.6499999999999998</v>
      </c>
      <c r="BU41" s="55">
        <f t="shared" si="143"/>
        <v>0.62999999999999978</v>
      </c>
      <c r="BV41" s="55">
        <f t="shared" si="143"/>
        <v>0.60999999999999976</v>
      </c>
      <c r="BW41" s="55">
        <f t="shared" si="143"/>
        <v>0.58999999999999975</v>
      </c>
      <c r="BX41" s="55">
        <f t="shared" si="143"/>
        <v>0.56999999999999973</v>
      </c>
      <c r="BZ41" s="55">
        <f t="shared" si="88"/>
        <v>17727.71</v>
      </c>
      <c r="CA41" s="55">
        <f t="shared" si="89"/>
        <v>17727.71</v>
      </c>
      <c r="CB41" s="59">
        <f t="shared" si="191"/>
        <v>58604.263718000002</v>
      </c>
      <c r="CC41" s="55">
        <f t="shared" si="192"/>
        <v>17195.878699999997</v>
      </c>
      <c r="CD41" s="59">
        <f t="shared" si="193"/>
        <v>56846.135806459992</v>
      </c>
      <c r="CE41" s="55">
        <f t="shared" si="194"/>
        <v>16841.324499999999</v>
      </c>
      <c r="CF41" s="59">
        <f t="shared" si="195"/>
        <v>55674.050532099995</v>
      </c>
      <c r="CG41" s="55">
        <f t="shared" si="196"/>
        <v>16486.7703</v>
      </c>
      <c r="CH41" s="59">
        <f t="shared" si="197"/>
        <v>54501.965257740005</v>
      </c>
      <c r="CI41" s="57">
        <f t="shared" si="198"/>
        <v>16132.2161</v>
      </c>
      <c r="CJ41" s="59">
        <f t="shared" si="199"/>
        <v>53329.87998338</v>
      </c>
      <c r="CK41" s="55">
        <f t="shared" si="200"/>
        <v>15777.661899999999</v>
      </c>
      <c r="CL41" s="59">
        <f t="shared" si="201"/>
        <v>52157.794709019996</v>
      </c>
      <c r="CM41" s="57">
        <f t="shared" si="202"/>
        <v>15423.107699999999</v>
      </c>
      <c r="CN41" s="59">
        <f t="shared" si="203"/>
        <v>50985.709434659999</v>
      </c>
      <c r="CO41" s="60">
        <f t="shared" si="204"/>
        <v>15068.553499999998</v>
      </c>
      <c r="CP41" s="59">
        <f t="shared" si="205"/>
        <v>49813.624160299994</v>
      </c>
      <c r="CQ41" s="57">
        <f t="shared" si="206"/>
        <v>14713.999299999998</v>
      </c>
      <c r="CR41" s="59">
        <f t="shared" si="207"/>
        <v>48641.53888593999</v>
      </c>
      <c r="CS41" s="55">
        <f t="shared" si="208"/>
        <v>14359.445099999999</v>
      </c>
      <c r="CT41" s="59">
        <f t="shared" si="209"/>
        <v>47469.45361158</v>
      </c>
      <c r="CU41" s="60">
        <f t="shared" si="210"/>
        <v>14004.890899999999</v>
      </c>
      <c r="CV41" s="59">
        <f t="shared" si="211"/>
        <v>46297.368337219996</v>
      </c>
      <c r="CW41" s="60">
        <f t="shared" si="212"/>
        <v>13650.336699999998</v>
      </c>
      <c r="CX41" s="59">
        <f t="shared" si="213"/>
        <v>45125.283062859991</v>
      </c>
      <c r="CY41" s="60">
        <f t="shared" si="214"/>
        <v>13295.782499999998</v>
      </c>
      <c r="CZ41" s="59">
        <f t="shared" si="215"/>
        <v>43953.197788499994</v>
      </c>
      <c r="DA41" s="55">
        <f t="shared" si="216"/>
        <v>12941.228299999997</v>
      </c>
      <c r="DB41" s="59">
        <f t="shared" si="217"/>
        <v>42781.11251413999</v>
      </c>
      <c r="DC41" s="60">
        <f t="shared" si="218"/>
        <v>12586.674099999997</v>
      </c>
      <c r="DD41" s="59">
        <f t="shared" si="219"/>
        <v>41609.027239779993</v>
      </c>
      <c r="DE41" s="60">
        <f t="shared" si="220"/>
        <v>12232.119899999996</v>
      </c>
      <c r="DF41" s="59">
        <f t="shared" si="221"/>
        <v>40436.941965419988</v>
      </c>
      <c r="DG41" s="60">
        <f t="shared" si="222"/>
        <v>11877.565699999996</v>
      </c>
      <c r="DH41" s="59">
        <f t="shared" si="223"/>
        <v>39264.856691059984</v>
      </c>
      <c r="DI41" s="60">
        <f t="shared" si="224"/>
        <v>11523.011499999995</v>
      </c>
      <c r="DJ41" s="59">
        <f t="shared" si="225"/>
        <v>38092.771416699987</v>
      </c>
      <c r="DK41" s="55">
        <f t="shared" si="226"/>
        <v>11168.457299999996</v>
      </c>
      <c r="DL41" s="59">
        <f t="shared" si="227"/>
        <v>36920.68614233999</v>
      </c>
      <c r="DM41" s="60">
        <f t="shared" si="228"/>
        <v>10813.903099999996</v>
      </c>
      <c r="DN41" s="59">
        <f t="shared" si="229"/>
        <v>35748.600867979985</v>
      </c>
      <c r="DO41" s="60">
        <f t="shared" si="230"/>
        <v>10459.348899999995</v>
      </c>
      <c r="DP41" s="59">
        <f t="shared" si="231"/>
        <v>34576.515593619988</v>
      </c>
      <c r="DQ41" s="55">
        <f t="shared" si="232"/>
        <v>10104.794699999995</v>
      </c>
      <c r="DR41" s="59">
        <f t="shared" si="233"/>
        <v>33404.430319259984</v>
      </c>
      <c r="DU41" s="55">
        <v>1</v>
      </c>
      <c r="DV41" s="55">
        <v>0.97</v>
      </c>
      <c r="DW41" s="55">
        <v>0.95</v>
      </c>
      <c r="DX41" s="55">
        <v>0.93</v>
      </c>
      <c r="DY41" s="55">
        <f t="shared" si="234"/>
        <v>0.91</v>
      </c>
      <c r="DZ41" s="55">
        <f t="shared" si="234"/>
        <v>0.89</v>
      </c>
      <c r="EA41" s="55">
        <f t="shared" si="234"/>
        <v>0.87</v>
      </c>
      <c r="EB41" s="55">
        <f t="shared" si="234"/>
        <v>0.85</v>
      </c>
      <c r="EC41" s="55">
        <f t="shared" si="234"/>
        <v>0.83</v>
      </c>
      <c r="ED41" s="55">
        <f t="shared" si="234"/>
        <v>0.80999999999999994</v>
      </c>
      <c r="EE41" s="55">
        <f t="shared" si="234"/>
        <v>0.78999999999999992</v>
      </c>
      <c r="EF41" s="55">
        <f t="shared" si="234"/>
        <v>0.76999999999999991</v>
      </c>
      <c r="EG41" s="55">
        <f t="shared" si="234"/>
        <v>0.74999999999999989</v>
      </c>
      <c r="EH41" s="55">
        <f t="shared" si="234"/>
        <v>0.72999999999999987</v>
      </c>
      <c r="EI41" s="55">
        <f t="shared" si="234"/>
        <v>0.70999999999999985</v>
      </c>
      <c r="EJ41" s="55">
        <f t="shared" si="234"/>
        <v>0.68999999999999984</v>
      </c>
      <c r="EK41" s="55">
        <f t="shared" si="234"/>
        <v>0.66999999999999982</v>
      </c>
      <c r="EL41" s="55">
        <f t="shared" si="234"/>
        <v>0.6499999999999998</v>
      </c>
      <c r="EM41" s="55">
        <f t="shared" si="234"/>
        <v>0.62999999999999978</v>
      </c>
      <c r="EN41" s="55">
        <f t="shared" si="234"/>
        <v>0.60999999999999976</v>
      </c>
      <c r="EO41" s="55">
        <f t="shared" si="234"/>
        <v>0.58999999999999975</v>
      </c>
      <c r="EP41" s="55">
        <f t="shared" si="234"/>
        <v>0.56999999999999973</v>
      </c>
      <c r="ER41" s="55">
        <f t="shared" si="142"/>
        <v>16132.2161</v>
      </c>
      <c r="ES41" s="55">
        <f t="shared" si="116"/>
        <v>16132.2161</v>
      </c>
      <c r="ET41" s="59">
        <f t="shared" si="235"/>
        <v>53329.87998338</v>
      </c>
      <c r="EU41" s="55">
        <f t="shared" si="236"/>
        <v>15648.249616999999</v>
      </c>
      <c r="EV41" s="59">
        <f t="shared" si="237"/>
        <v>51729.983583878602</v>
      </c>
      <c r="EW41" s="55">
        <f t="shared" si="238"/>
        <v>15325.605294999999</v>
      </c>
      <c r="EX41" s="59">
        <f t="shared" si="239"/>
        <v>50663.385984210996</v>
      </c>
      <c r="EY41" s="55">
        <f t="shared" si="240"/>
        <v>15002.960973000001</v>
      </c>
      <c r="EZ41" s="59">
        <f t="shared" si="241"/>
        <v>49596.788384543404</v>
      </c>
      <c r="FA41" s="57">
        <f t="shared" si="242"/>
        <v>14680.316651000001</v>
      </c>
      <c r="FB41" s="59">
        <f t="shared" si="243"/>
        <v>48530.190784875806</v>
      </c>
      <c r="FC41" s="55">
        <f t="shared" si="244"/>
        <v>14357.672328999999</v>
      </c>
      <c r="FD41" s="59">
        <f t="shared" si="245"/>
        <v>47463.593185208199</v>
      </c>
      <c r="FE41" s="57">
        <f t="shared" si="246"/>
        <v>14035.028006999999</v>
      </c>
      <c r="FF41" s="59">
        <f t="shared" si="247"/>
        <v>46396.995585540601</v>
      </c>
      <c r="FG41" s="60">
        <f t="shared" si="248"/>
        <v>13712.383684999999</v>
      </c>
      <c r="FH41" s="59">
        <f t="shared" si="249"/>
        <v>45330.397985872994</v>
      </c>
      <c r="FI41" s="57">
        <f t="shared" si="250"/>
        <v>13389.739362999999</v>
      </c>
      <c r="FJ41" s="59">
        <f t="shared" si="251"/>
        <v>44263.800386205396</v>
      </c>
      <c r="FK41" s="55">
        <f t="shared" si="252"/>
        <v>13067.095040999999</v>
      </c>
      <c r="FL41" s="59">
        <f t="shared" si="253"/>
        <v>43197.202786537797</v>
      </c>
      <c r="FM41" s="60">
        <f t="shared" si="254"/>
        <v>12744.450718999999</v>
      </c>
      <c r="FN41" s="59">
        <f t="shared" si="255"/>
        <v>42130.605186870198</v>
      </c>
      <c r="FO41" s="60">
        <f t="shared" si="256"/>
        <v>12421.806396999998</v>
      </c>
      <c r="FP41" s="59">
        <f t="shared" si="257"/>
        <v>41064.007587202599</v>
      </c>
      <c r="FQ41" s="60">
        <f t="shared" si="258"/>
        <v>12099.162074999998</v>
      </c>
      <c r="FR41" s="59">
        <f t="shared" si="259"/>
        <v>39997.409987534993</v>
      </c>
      <c r="FS41" s="55">
        <f t="shared" si="260"/>
        <v>11776.517752999998</v>
      </c>
      <c r="FT41" s="59">
        <f t="shared" si="261"/>
        <v>38930.812387867394</v>
      </c>
      <c r="FU41" s="60">
        <f t="shared" si="262"/>
        <v>11453.873430999998</v>
      </c>
      <c r="FV41" s="59">
        <f t="shared" si="263"/>
        <v>37864.214788199795</v>
      </c>
      <c r="FW41" s="60">
        <f t="shared" si="264"/>
        <v>11131.229108999996</v>
      </c>
      <c r="FX41" s="59">
        <f t="shared" si="265"/>
        <v>36797.617188532189</v>
      </c>
      <c r="FY41" s="60">
        <f t="shared" si="266"/>
        <v>10808.584786999996</v>
      </c>
      <c r="FZ41" s="59">
        <f t="shared" si="267"/>
        <v>35731.01958886459</v>
      </c>
      <c r="GA41" s="60">
        <f t="shared" si="268"/>
        <v>10485.940464999996</v>
      </c>
      <c r="GB41" s="59">
        <f t="shared" si="269"/>
        <v>34664.421989196984</v>
      </c>
      <c r="GC41" s="55">
        <f t="shared" si="270"/>
        <v>10163.296142999996</v>
      </c>
      <c r="GD41" s="59">
        <f t="shared" si="271"/>
        <v>33597.824389529385</v>
      </c>
      <c r="GE41" s="60">
        <f t="shared" si="272"/>
        <v>9840.6518209999958</v>
      </c>
      <c r="GF41" s="59">
        <f t="shared" si="273"/>
        <v>32531.226789861787</v>
      </c>
      <c r="GG41" s="60">
        <f t="shared" si="274"/>
        <v>9518.0074989999957</v>
      </c>
      <c r="GH41" s="59">
        <f t="shared" si="275"/>
        <v>31464.629190194188</v>
      </c>
      <c r="GI41" s="55">
        <f t="shared" si="276"/>
        <v>9195.3631769999956</v>
      </c>
      <c r="GJ41" s="59">
        <f t="shared" si="277"/>
        <v>30398.031590526585</v>
      </c>
      <c r="GK41" s="55"/>
      <c r="GL41" s="55"/>
      <c r="GM41" s="55">
        <v>1</v>
      </c>
      <c r="GN41" s="55">
        <v>0.97</v>
      </c>
      <c r="GO41" s="55">
        <v>0.95</v>
      </c>
      <c r="GP41" s="55">
        <v>0.93</v>
      </c>
      <c r="GQ41" s="55">
        <f t="shared" si="278"/>
        <v>0.91</v>
      </c>
      <c r="GR41" s="55">
        <f t="shared" si="278"/>
        <v>0.89</v>
      </c>
      <c r="GS41" s="55">
        <f t="shared" si="278"/>
        <v>0.87</v>
      </c>
      <c r="GT41" s="55">
        <f t="shared" si="278"/>
        <v>0.85</v>
      </c>
      <c r="GU41" s="55">
        <f t="shared" si="278"/>
        <v>0.83</v>
      </c>
      <c r="GV41" s="55">
        <f t="shared" si="278"/>
        <v>0.80999999999999994</v>
      </c>
      <c r="GW41" s="55">
        <f t="shared" si="278"/>
        <v>0.78999999999999992</v>
      </c>
      <c r="GX41" s="55">
        <f t="shared" si="278"/>
        <v>0.76999999999999991</v>
      </c>
      <c r="GY41" s="55">
        <f t="shared" si="278"/>
        <v>0.74999999999999989</v>
      </c>
      <c r="GZ41" s="55">
        <f t="shared" si="278"/>
        <v>0.72999999999999987</v>
      </c>
      <c r="HA41" s="55">
        <f t="shared" si="278"/>
        <v>0.70999999999999985</v>
      </c>
      <c r="HB41" s="55">
        <f t="shared" si="278"/>
        <v>0.68999999999999984</v>
      </c>
      <c r="HC41" s="55">
        <f t="shared" si="278"/>
        <v>0.66999999999999982</v>
      </c>
      <c r="HD41" s="55">
        <f t="shared" si="278"/>
        <v>0.6499999999999998</v>
      </c>
      <c r="HE41" s="55">
        <f t="shared" si="278"/>
        <v>0.62999999999999978</v>
      </c>
      <c r="HF41" s="55">
        <f t="shared" si="278"/>
        <v>0.60999999999999976</v>
      </c>
      <c r="HG41" s="55">
        <f t="shared" si="278"/>
        <v>0.58999999999999975</v>
      </c>
      <c r="HH41" s="55">
        <f t="shared" si="278"/>
        <v>0.56999999999999973</v>
      </c>
    </row>
    <row r="42" spans="1:216" x14ac:dyDescent="0.3">
      <c r="A42" s="2">
        <v>9</v>
      </c>
      <c r="C42" s="38" t="s">
        <v>21</v>
      </c>
      <c r="D42" s="42">
        <f>TRUNC(109271.3985762,-1)</f>
        <v>109270</v>
      </c>
      <c r="E42" s="71">
        <f t="shared" si="148"/>
        <v>361220</v>
      </c>
      <c r="H42" s="55">
        <f t="shared" si="61"/>
        <v>397342.00000000006</v>
      </c>
      <c r="I42" s="55">
        <f t="shared" si="62"/>
        <v>397342.00000000006</v>
      </c>
      <c r="J42" s="59">
        <f t="shared" si="63"/>
        <v>1313533.1836000001</v>
      </c>
      <c r="K42" s="55">
        <f t="shared" si="149"/>
        <v>385421.74000000005</v>
      </c>
      <c r="L42" s="59">
        <f t="shared" si="150"/>
        <v>1274127.1880920001</v>
      </c>
      <c r="M42" s="55">
        <f t="shared" si="151"/>
        <v>377474.9</v>
      </c>
      <c r="N42" s="59">
        <f t="shared" si="152"/>
        <v>1247856.5244200001</v>
      </c>
      <c r="O42" s="55">
        <f t="shared" si="153"/>
        <v>369528.06000000006</v>
      </c>
      <c r="P42" s="59">
        <f t="shared" si="154"/>
        <v>1221585.8607480002</v>
      </c>
      <c r="Q42" s="57">
        <f t="shared" si="155"/>
        <v>361581.22000000009</v>
      </c>
      <c r="R42" s="59">
        <f t="shared" si="156"/>
        <v>1195315.1970760003</v>
      </c>
      <c r="S42" s="55">
        <f t="shared" si="157"/>
        <v>353634.38000000006</v>
      </c>
      <c r="T42" s="59">
        <f t="shared" si="158"/>
        <v>1169044.5334040003</v>
      </c>
      <c r="U42" s="57">
        <f t="shared" si="159"/>
        <v>345687.54000000004</v>
      </c>
      <c r="V42" s="59">
        <f t="shared" si="160"/>
        <v>1142773.8697320002</v>
      </c>
      <c r="W42" s="60">
        <f t="shared" si="161"/>
        <v>337740.7</v>
      </c>
      <c r="X42" s="59">
        <f t="shared" si="162"/>
        <v>1116503.20606</v>
      </c>
      <c r="Y42" s="57">
        <f t="shared" si="163"/>
        <v>329793.86000000004</v>
      </c>
      <c r="Z42" s="59">
        <f t="shared" si="164"/>
        <v>1090232.5423880001</v>
      </c>
      <c r="AA42" s="55">
        <f t="shared" si="165"/>
        <v>321847.02</v>
      </c>
      <c r="AB42" s="59">
        <f t="shared" si="166"/>
        <v>1063961.8787160001</v>
      </c>
      <c r="AC42" s="60">
        <f t="shared" si="167"/>
        <v>313900.18</v>
      </c>
      <c r="AD42" s="59">
        <f t="shared" si="168"/>
        <v>1037691.215044</v>
      </c>
      <c r="AE42" s="60">
        <f t="shared" si="169"/>
        <v>305953.34000000003</v>
      </c>
      <c r="AF42" s="59">
        <f t="shared" si="170"/>
        <v>1011420.5513720001</v>
      </c>
      <c r="AG42" s="60">
        <f t="shared" si="171"/>
        <v>298006.5</v>
      </c>
      <c r="AH42" s="59">
        <f t="shared" si="172"/>
        <v>985149.88770000008</v>
      </c>
      <c r="AI42" s="55">
        <f t="shared" si="173"/>
        <v>290059.65999999997</v>
      </c>
      <c r="AJ42" s="59">
        <f t="shared" si="174"/>
        <v>958879.22402799991</v>
      </c>
      <c r="AK42" s="60">
        <f t="shared" si="175"/>
        <v>282112.82</v>
      </c>
      <c r="AL42" s="59">
        <f t="shared" si="176"/>
        <v>932608.56035600009</v>
      </c>
      <c r="AM42" s="60">
        <f t="shared" si="177"/>
        <v>274165.98</v>
      </c>
      <c r="AN42" s="59">
        <f t="shared" si="178"/>
        <v>906337.89668399992</v>
      </c>
      <c r="AO42" s="60">
        <f t="shared" si="179"/>
        <v>266219.13999999996</v>
      </c>
      <c r="AP42" s="59">
        <f t="shared" si="180"/>
        <v>880067.23301199987</v>
      </c>
      <c r="AQ42" s="60">
        <f t="shared" si="181"/>
        <v>258272.29999999996</v>
      </c>
      <c r="AR42" s="59">
        <f t="shared" si="182"/>
        <v>853796.56933999993</v>
      </c>
      <c r="AS42" s="55">
        <f t="shared" si="183"/>
        <v>250325.45999999996</v>
      </c>
      <c r="AT42" s="59">
        <f t="shared" si="184"/>
        <v>827525.90566799988</v>
      </c>
      <c r="AU42" s="60">
        <f t="shared" si="185"/>
        <v>242378.61999999994</v>
      </c>
      <c r="AV42" s="59">
        <f t="shared" si="186"/>
        <v>801255.24199599982</v>
      </c>
      <c r="AW42" s="60">
        <f t="shared" si="187"/>
        <v>234431.77999999994</v>
      </c>
      <c r="AX42" s="59">
        <f t="shared" si="188"/>
        <v>774984.57832399977</v>
      </c>
      <c r="AY42" s="55">
        <f t="shared" si="189"/>
        <v>226484.93999999992</v>
      </c>
      <c r="AZ42" s="59">
        <f t="shared" si="190"/>
        <v>748713.91465199972</v>
      </c>
      <c r="BC42" s="55">
        <v>1</v>
      </c>
      <c r="BD42" s="55">
        <v>0.97</v>
      </c>
      <c r="BE42" s="55">
        <v>0.95</v>
      </c>
      <c r="BF42" s="55">
        <v>0.93</v>
      </c>
      <c r="BG42" s="55">
        <f t="shared" si="143"/>
        <v>0.91</v>
      </c>
      <c r="BH42" s="55">
        <f t="shared" si="143"/>
        <v>0.89</v>
      </c>
      <c r="BI42" s="55">
        <f t="shared" si="143"/>
        <v>0.87</v>
      </c>
      <c r="BJ42" s="55">
        <f t="shared" si="143"/>
        <v>0.85</v>
      </c>
      <c r="BK42" s="55">
        <f t="shared" si="143"/>
        <v>0.83</v>
      </c>
      <c r="BL42" s="55">
        <f t="shared" si="143"/>
        <v>0.80999999999999994</v>
      </c>
      <c r="BM42" s="55">
        <f t="shared" si="143"/>
        <v>0.78999999999999992</v>
      </c>
      <c r="BN42" s="55">
        <f t="shared" si="143"/>
        <v>0.76999999999999991</v>
      </c>
      <c r="BO42" s="55">
        <f t="shared" si="143"/>
        <v>0.74999999999999989</v>
      </c>
      <c r="BP42" s="55">
        <f t="shared" si="143"/>
        <v>0.72999999999999987</v>
      </c>
      <c r="BQ42" s="55">
        <f t="shared" si="143"/>
        <v>0.70999999999999985</v>
      </c>
      <c r="BR42" s="55">
        <f t="shared" si="143"/>
        <v>0.68999999999999984</v>
      </c>
      <c r="BS42" s="55">
        <f t="shared" si="143"/>
        <v>0.66999999999999982</v>
      </c>
      <c r="BT42" s="55">
        <f t="shared" si="143"/>
        <v>0.6499999999999998</v>
      </c>
      <c r="BU42" s="55">
        <f t="shared" si="143"/>
        <v>0.62999999999999978</v>
      </c>
      <c r="BV42" s="55">
        <f t="shared" si="143"/>
        <v>0.60999999999999976</v>
      </c>
      <c r="BW42" s="55">
        <f t="shared" si="143"/>
        <v>0.58999999999999975</v>
      </c>
      <c r="BX42" s="55">
        <f t="shared" si="143"/>
        <v>0.56999999999999973</v>
      </c>
      <c r="BZ42" s="55">
        <f t="shared" si="88"/>
        <v>361581.22000000009</v>
      </c>
      <c r="CA42" s="55">
        <f t="shared" si="89"/>
        <v>361581.22000000009</v>
      </c>
      <c r="CB42" s="59">
        <f t="shared" si="191"/>
        <v>1195315.1970760003</v>
      </c>
      <c r="CC42" s="55">
        <f t="shared" si="192"/>
        <v>350733.78340000007</v>
      </c>
      <c r="CD42" s="59">
        <f t="shared" si="193"/>
        <v>1159455.7411637204</v>
      </c>
      <c r="CE42" s="55">
        <f t="shared" si="194"/>
        <v>343502.15900000004</v>
      </c>
      <c r="CF42" s="59">
        <f t="shared" si="195"/>
        <v>1135549.4372222002</v>
      </c>
      <c r="CG42" s="55">
        <f t="shared" si="196"/>
        <v>336270.53460000007</v>
      </c>
      <c r="CH42" s="59">
        <f t="shared" si="197"/>
        <v>1111643.1332806803</v>
      </c>
      <c r="CI42" s="57">
        <f t="shared" si="198"/>
        <v>329038.9102000001</v>
      </c>
      <c r="CJ42" s="59">
        <f t="shared" si="199"/>
        <v>1087736.8293391604</v>
      </c>
      <c r="CK42" s="55">
        <f t="shared" si="200"/>
        <v>321807.28580000007</v>
      </c>
      <c r="CL42" s="59">
        <f t="shared" si="201"/>
        <v>1063830.5253976402</v>
      </c>
      <c r="CM42" s="57">
        <f t="shared" si="202"/>
        <v>314575.6614000001</v>
      </c>
      <c r="CN42" s="59">
        <f t="shared" si="203"/>
        <v>1039924.2214561204</v>
      </c>
      <c r="CO42" s="60">
        <f t="shared" si="204"/>
        <v>307344.03700000007</v>
      </c>
      <c r="CP42" s="59">
        <f t="shared" si="205"/>
        <v>1016017.9175146002</v>
      </c>
      <c r="CQ42" s="57">
        <f t="shared" si="206"/>
        <v>300112.41260000004</v>
      </c>
      <c r="CR42" s="59">
        <f t="shared" si="207"/>
        <v>992111.61357308016</v>
      </c>
      <c r="CS42" s="55">
        <f t="shared" si="208"/>
        <v>292880.78820000007</v>
      </c>
      <c r="CT42" s="59">
        <f t="shared" si="209"/>
        <v>968205.30963156023</v>
      </c>
      <c r="CU42" s="60">
        <f t="shared" si="210"/>
        <v>285649.16380000004</v>
      </c>
      <c r="CV42" s="59">
        <f t="shared" si="211"/>
        <v>944299.00569004018</v>
      </c>
      <c r="CW42" s="60">
        <f t="shared" si="212"/>
        <v>278417.53940000001</v>
      </c>
      <c r="CX42" s="59">
        <f t="shared" si="213"/>
        <v>920392.70174852002</v>
      </c>
      <c r="CY42" s="60">
        <f t="shared" si="214"/>
        <v>271185.91500000004</v>
      </c>
      <c r="CZ42" s="59">
        <f t="shared" si="215"/>
        <v>896486.39780700009</v>
      </c>
      <c r="DA42" s="55">
        <f t="shared" si="216"/>
        <v>263954.29060000001</v>
      </c>
      <c r="DB42" s="59">
        <f t="shared" si="217"/>
        <v>872580.09386548004</v>
      </c>
      <c r="DC42" s="60">
        <f t="shared" si="218"/>
        <v>256722.66620000001</v>
      </c>
      <c r="DD42" s="59">
        <f t="shared" si="219"/>
        <v>848673.78992395999</v>
      </c>
      <c r="DE42" s="60">
        <f t="shared" si="220"/>
        <v>249491.04180000001</v>
      </c>
      <c r="DF42" s="59">
        <f t="shared" si="221"/>
        <v>824767.48598244006</v>
      </c>
      <c r="DG42" s="60">
        <f t="shared" si="222"/>
        <v>242259.41740000001</v>
      </c>
      <c r="DH42" s="59">
        <f t="shared" si="223"/>
        <v>800861.18204092002</v>
      </c>
      <c r="DI42" s="60">
        <f t="shared" si="224"/>
        <v>235027.79299999998</v>
      </c>
      <c r="DJ42" s="59">
        <f t="shared" si="225"/>
        <v>776954.87809939997</v>
      </c>
      <c r="DK42" s="55">
        <f t="shared" si="226"/>
        <v>227796.16859999998</v>
      </c>
      <c r="DL42" s="59">
        <f t="shared" si="227"/>
        <v>753048.57415787992</v>
      </c>
      <c r="DM42" s="60">
        <f t="shared" si="228"/>
        <v>220564.54419999997</v>
      </c>
      <c r="DN42" s="59">
        <f t="shared" si="229"/>
        <v>729142.27021635999</v>
      </c>
      <c r="DO42" s="60">
        <f t="shared" si="230"/>
        <v>213332.91979999997</v>
      </c>
      <c r="DP42" s="59">
        <f t="shared" si="231"/>
        <v>705235.96627483994</v>
      </c>
      <c r="DQ42" s="55">
        <f t="shared" si="232"/>
        <v>206101.29539999994</v>
      </c>
      <c r="DR42" s="59">
        <f t="shared" si="233"/>
        <v>681329.66233331978</v>
      </c>
      <c r="DU42" s="55">
        <v>1</v>
      </c>
      <c r="DV42" s="55">
        <v>0.97</v>
      </c>
      <c r="DW42" s="55">
        <v>0.95</v>
      </c>
      <c r="DX42" s="55">
        <v>0.93</v>
      </c>
      <c r="DY42" s="55">
        <f t="shared" si="234"/>
        <v>0.91</v>
      </c>
      <c r="DZ42" s="55">
        <f t="shared" si="234"/>
        <v>0.89</v>
      </c>
      <c r="EA42" s="55">
        <f t="shared" si="234"/>
        <v>0.87</v>
      </c>
      <c r="EB42" s="55">
        <f t="shared" si="234"/>
        <v>0.85</v>
      </c>
      <c r="EC42" s="55">
        <f t="shared" si="234"/>
        <v>0.83</v>
      </c>
      <c r="ED42" s="55">
        <f t="shared" si="234"/>
        <v>0.80999999999999994</v>
      </c>
      <c r="EE42" s="55">
        <f t="shared" si="234"/>
        <v>0.78999999999999992</v>
      </c>
      <c r="EF42" s="55">
        <f t="shared" si="234"/>
        <v>0.76999999999999991</v>
      </c>
      <c r="EG42" s="55">
        <f t="shared" si="234"/>
        <v>0.74999999999999989</v>
      </c>
      <c r="EH42" s="55">
        <f t="shared" si="234"/>
        <v>0.72999999999999987</v>
      </c>
      <c r="EI42" s="55">
        <f t="shared" si="234"/>
        <v>0.70999999999999985</v>
      </c>
      <c r="EJ42" s="55">
        <f t="shared" si="234"/>
        <v>0.68999999999999984</v>
      </c>
      <c r="EK42" s="55">
        <f t="shared" si="234"/>
        <v>0.66999999999999982</v>
      </c>
      <c r="EL42" s="55">
        <f t="shared" si="234"/>
        <v>0.6499999999999998</v>
      </c>
      <c r="EM42" s="55">
        <f t="shared" si="234"/>
        <v>0.62999999999999978</v>
      </c>
      <c r="EN42" s="55">
        <f t="shared" si="234"/>
        <v>0.60999999999999976</v>
      </c>
      <c r="EO42" s="55">
        <f t="shared" si="234"/>
        <v>0.58999999999999975</v>
      </c>
      <c r="EP42" s="55">
        <f t="shared" si="234"/>
        <v>0.56999999999999973</v>
      </c>
      <c r="ER42" s="55">
        <f t="shared" si="142"/>
        <v>329038.9102000001</v>
      </c>
      <c r="ES42" s="55">
        <f t="shared" si="116"/>
        <v>329038.9102000001</v>
      </c>
      <c r="ET42" s="59">
        <f t="shared" si="235"/>
        <v>1087736.8293391604</v>
      </c>
      <c r="EU42" s="55">
        <f t="shared" si="236"/>
        <v>319167.74289400008</v>
      </c>
      <c r="EV42" s="59">
        <f t="shared" si="237"/>
        <v>1055104.7244589855</v>
      </c>
      <c r="EW42" s="55">
        <f t="shared" si="238"/>
        <v>312586.96469000005</v>
      </c>
      <c r="EX42" s="59">
        <f t="shared" si="239"/>
        <v>1033349.9878722022</v>
      </c>
      <c r="EY42" s="55">
        <f t="shared" si="240"/>
        <v>306006.18648600014</v>
      </c>
      <c r="EZ42" s="59">
        <f t="shared" si="241"/>
        <v>1011595.2512854192</v>
      </c>
      <c r="FA42" s="57">
        <f t="shared" si="242"/>
        <v>299425.40828200011</v>
      </c>
      <c r="FB42" s="59">
        <f t="shared" si="243"/>
        <v>989840.51469863602</v>
      </c>
      <c r="FC42" s="55">
        <f t="shared" si="244"/>
        <v>292844.63007800007</v>
      </c>
      <c r="FD42" s="59">
        <f t="shared" si="245"/>
        <v>968085.77811185271</v>
      </c>
      <c r="FE42" s="57">
        <f t="shared" si="246"/>
        <v>286263.8518740001</v>
      </c>
      <c r="FF42" s="59">
        <f t="shared" si="247"/>
        <v>946331.04152506951</v>
      </c>
      <c r="FG42" s="60">
        <f t="shared" si="248"/>
        <v>279683.07367000007</v>
      </c>
      <c r="FH42" s="59">
        <f t="shared" si="249"/>
        <v>924576.30493828631</v>
      </c>
      <c r="FI42" s="57">
        <f t="shared" si="250"/>
        <v>273102.2954660001</v>
      </c>
      <c r="FJ42" s="59">
        <f t="shared" si="251"/>
        <v>902821.56835150311</v>
      </c>
      <c r="FK42" s="55">
        <f t="shared" si="252"/>
        <v>266521.51726200007</v>
      </c>
      <c r="FL42" s="59">
        <f t="shared" si="253"/>
        <v>881066.8317647198</v>
      </c>
      <c r="FM42" s="60">
        <f t="shared" si="254"/>
        <v>259940.73905800006</v>
      </c>
      <c r="FN42" s="59">
        <f t="shared" si="255"/>
        <v>859312.0951779366</v>
      </c>
      <c r="FO42" s="60">
        <f t="shared" si="256"/>
        <v>253359.96085400003</v>
      </c>
      <c r="FP42" s="59">
        <f t="shared" si="257"/>
        <v>837557.35859115329</v>
      </c>
      <c r="FQ42" s="60">
        <f t="shared" si="258"/>
        <v>246779.18265000003</v>
      </c>
      <c r="FR42" s="59">
        <f t="shared" si="259"/>
        <v>815802.62200437009</v>
      </c>
      <c r="FS42" s="55">
        <f t="shared" si="260"/>
        <v>240198.40444600003</v>
      </c>
      <c r="FT42" s="59">
        <f t="shared" si="261"/>
        <v>794047.88541758689</v>
      </c>
      <c r="FU42" s="60">
        <f t="shared" si="262"/>
        <v>233617.62624200003</v>
      </c>
      <c r="FV42" s="59">
        <f t="shared" si="263"/>
        <v>772293.14883080369</v>
      </c>
      <c r="FW42" s="60">
        <f t="shared" si="264"/>
        <v>227036.84803800003</v>
      </c>
      <c r="FX42" s="59">
        <f t="shared" si="265"/>
        <v>750538.4122440205</v>
      </c>
      <c r="FY42" s="60">
        <f t="shared" si="266"/>
        <v>220456.06983399999</v>
      </c>
      <c r="FZ42" s="59">
        <f t="shared" si="267"/>
        <v>728783.67565723718</v>
      </c>
      <c r="GA42" s="60">
        <f t="shared" si="268"/>
        <v>213875.29162999999</v>
      </c>
      <c r="GB42" s="59">
        <f t="shared" si="269"/>
        <v>707028.93907045398</v>
      </c>
      <c r="GC42" s="55">
        <f t="shared" si="270"/>
        <v>207294.51342599999</v>
      </c>
      <c r="GD42" s="59">
        <f t="shared" si="271"/>
        <v>685274.20248367079</v>
      </c>
      <c r="GE42" s="60">
        <f t="shared" si="272"/>
        <v>200713.73522199999</v>
      </c>
      <c r="GF42" s="59">
        <f t="shared" si="273"/>
        <v>663519.46589688759</v>
      </c>
      <c r="GG42" s="60">
        <f t="shared" si="274"/>
        <v>194132.95701799999</v>
      </c>
      <c r="GH42" s="59">
        <f t="shared" si="275"/>
        <v>641764.72931010439</v>
      </c>
      <c r="GI42" s="55">
        <f t="shared" si="276"/>
        <v>187552.17881399996</v>
      </c>
      <c r="GJ42" s="59">
        <f t="shared" si="277"/>
        <v>620009.99272332108</v>
      </c>
      <c r="GK42" s="55"/>
      <c r="GL42" s="55"/>
      <c r="GM42" s="55">
        <v>1</v>
      </c>
      <c r="GN42" s="55">
        <v>0.97</v>
      </c>
      <c r="GO42" s="55">
        <v>0.95</v>
      </c>
      <c r="GP42" s="55">
        <v>0.93</v>
      </c>
      <c r="GQ42" s="55">
        <f t="shared" si="278"/>
        <v>0.91</v>
      </c>
      <c r="GR42" s="55">
        <f t="shared" si="278"/>
        <v>0.89</v>
      </c>
      <c r="GS42" s="55">
        <f t="shared" si="278"/>
        <v>0.87</v>
      </c>
      <c r="GT42" s="55">
        <f t="shared" si="278"/>
        <v>0.85</v>
      </c>
      <c r="GU42" s="55">
        <f t="shared" si="278"/>
        <v>0.83</v>
      </c>
      <c r="GV42" s="55">
        <f t="shared" si="278"/>
        <v>0.80999999999999994</v>
      </c>
      <c r="GW42" s="55">
        <f t="shared" si="278"/>
        <v>0.78999999999999992</v>
      </c>
      <c r="GX42" s="55">
        <f t="shared" si="278"/>
        <v>0.76999999999999991</v>
      </c>
      <c r="GY42" s="55">
        <f t="shared" si="278"/>
        <v>0.74999999999999989</v>
      </c>
      <c r="GZ42" s="55">
        <f t="shared" si="278"/>
        <v>0.72999999999999987</v>
      </c>
      <c r="HA42" s="55">
        <f t="shared" si="278"/>
        <v>0.70999999999999985</v>
      </c>
      <c r="HB42" s="55">
        <f t="shared" si="278"/>
        <v>0.68999999999999984</v>
      </c>
      <c r="HC42" s="55">
        <f t="shared" si="278"/>
        <v>0.66999999999999982</v>
      </c>
      <c r="HD42" s="55">
        <f t="shared" si="278"/>
        <v>0.6499999999999998</v>
      </c>
      <c r="HE42" s="55">
        <f t="shared" si="278"/>
        <v>0.62999999999999978</v>
      </c>
      <c r="HF42" s="55">
        <f t="shared" si="278"/>
        <v>0.60999999999999976</v>
      </c>
      <c r="HG42" s="55">
        <f t="shared" si="278"/>
        <v>0.58999999999999975</v>
      </c>
      <c r="HH42" s="55">
        <f t="shared" si="278"/>
        <v>0.56999999999999973</v>
      </c>
    </row>
    <row r="43" spans="1:216" x14ac:dyDescent="0.3">
      <c r="A43" s="2">
        <v>10</v>
      </c>
      <c r="C43" s="38" t="s">
        <v>22</v>
      </c>
      <c r="D43" s="42">
        <f>TRUNC(15487.8271225171,-1)</f>
        <v>15480</v>
      </c>
      <c r="E43" s="71">
        <f t="shared" si="148"/>
        <v>51170</v>
      </c>
      <c r="H43" s="55">
        <f t="shared" si="61"/>
        <v>56287.000000000007</v>
      </c>
      <c r="I43" s="55">
        <f t="shared" si="62"/>
        <v>56287.000000000007</v>
      </c>
      <c r="J43" s="59">
        <f t="shared" si="63"/>
        <v>186073.56460000004</v>
      </c>
      <c r="K43" s="55">
        <f t="shared" si="149"/>
        <v>54598.390000000007</v>
      </c>
      <c r="L43" s="59">
        <f t="shared" si="150"/>
        <v>180491.35766200002</v>
      </c>
      <c r="M43" s="55">
        <f t="shared" si="151"/>
        <v>53472.65</v>
      </c>
      <c r="N43" s="59">
        <f t="shared" si="152"/>
        <v>176769.88637000002</v>
      </c>
      <c r="O43" s="55">
        <f t="shared" si="153"/>
        <v>52346.910000000011</v>
      </c>
      <c r="P43" s="59">
        <f t="shared" si="154"/>
        <v>173048.41507800005</v>
      </c>
      <c r="Q43" s="57">
        <f t="shared" si="155"/>
        <v>51221.170000000006</v>
      </c>
      <c r="R43" s="59">
        <f t="shared" si="156"/>
        <v>169326.94378600002</v>
      </c>
      <c r="S43" s="55">
        <f t="shared" si="157"/>
        <v>50095.430000000008</v>
      </c>
      <c r="T43" s="59">
        <f t="shared" si="158"/>
        <v>165605.47249400002</v>
      </c>
      <c r="U43" s="57">
        <f t="shared" si="159"/>
        <v>48969.69000000001</v>
      </c>
      <c r="V43" s="59">
        <f t="shared" si="160"/>
        <v>161884.00120200004</v>
      </c>
      <c r="W43" s="60">
        <f t="shared" si="161"/>
        <v>47843.950000000004</v>
      </c>
      <c r="X43" s="59">
        <f t="shared" si="162"/>
        <v>158162.52991000001</v>
      </c>
      <c r="Y43" s="57">
        <f t="shared" si="163"/>
        <v>46718.210000000006</v>
      </c>
      <c r="Z43" s="59">
        <f t="shared" si="164"/>
        <v>154441.05861800001</v>
      </c>
      <c r="AA43" s="55">
        <f t="shared" si="165"/>
        <v>45592.47</v>
      </c>
      <c r="AB43" s="59">
        <f t="shared" si="166"/>
        <v>150719.58732600001</v>
      </c>
      <c r="AC43" s="60">
        <f t="shared" si="167"/>
        <v>44466.73</v>
      </c>
      <c r="AD43" s="59">
        <f t="shared" si="168"/>
        <v>146998.11603400001</v>
      </c>
      <c r="AE43" s="60">
        <f t="shared" si="169"/>
        <v>43340.99</v>
      </c>
      <c r="AF43" s="59">
        <f t="shared" si="170"/>
        <v>143276.644742</v>
      </c>
      <c r="AG43" s="60">
        <f t="shared" si="171"/>
        <v>42215.25</v>
      </c>
      <c r="AH43" s="59">
        <f t="shared" si="172"/>
        <v>139555.17345</v>
      </c>
      <c r="AI43" s="55">
        <f t="shared" si="173"/>
        <v>41089.509999999995</v>
      </c>
      <c r="AJ43" s="59">
        <f t="shared" si="174"/>
        <v>135833.702158</v>
      </c>
      <c r="AK43" s="60">
        <f t="shared" si="175"/>
        <v>39963.769999999997</v>
      </c>
      <c r="AL43" s="59">
        <f t="shared" si="176"/>
        <v>132112.230866</v>
      </c>
      <c r="AM43" s="60">
        <f t="shared" si="177"/>
        <v>38838.03</v>
      </c>
      <c r="AN43" s="59">
        <f t="shared" si="178"/>
        <v>128390.759574</v>
      </c>
      <c r="AO43" s="60">
        <f t="shared" si="179"/>
        <v>37712.289999999994</v>
      </c>
      <c r="AP43" s="59">
        <f t="shared" si="180"/>
        <v>124669.28828199998</v>
      </c>
      <c r="AQ43" s="60">
        <f t="shared" si="181"/>
        <v>36586.549999999996</v>
      </c>
      <c r="AR43" s="59">
        <f t="shared" si="182"/>
        <v>120947.81698999999</v>
      </c>
      <c r="AS43" s="55">
        <f t="shared" si="183"/>
        <v>35460.80999999999</v>
      </c>
      <c r="AT43" s="59">
        <f t="shared" si="184"/>
        <v>117226.34569799998</v>
      </c>
      <c r="AU43" s="60">
        <f t="shared" si="185"/>
        <v>34335.069999999992</v>
      </c>
      <c r="AV43" s="59">
        <f t="shared" si="186"/>
        <v>113504.87440599997</v>
      </c>
      <c r="AW43" s="60">
        <f t="shared" si="187"/>
        <v>33209.329999999987</v>
      </c>
      <c r="AX43" s="59">
        <f t="shared" si="188"/>
        <v>109783.40311399996</v>
      </c>
      <c r="AY43" s="55">
        <f t="shared" si="189"/>
        <v>32083.589999999989</v>
      </c>
      <c r="AZ43" s="59">
        <f t="shared" si="190"/>
        <v>106061.93182199997</v>
      </c>
      <c r="BC43" s="55">
        <v>1</v>
      </c>
      <c r="BD43" s="55">
        <v>0.97</v>
      </c>
      <c r="BE43" s="55">
        <v>0.95</v>
      </c>
      <c r="BF43" s="55">
        <v>0.93</v>
      </c>
      <c r="BG43" s="55">
        <f t="shared" si="143"/>
        <v>0.91</v>
      </c>
      <c r="BH43" s="55">
        <f t="shared" si="143"/>
        <v>0.89</v>
      </c>
      <c r="BI43" s="55">
        <f t="shared" si="143"/>
        <v>0.87</v>
      </c>
      <c r="BJ43" s="55">
        <f t="shared" si="143"/>
        <v>0.85</v>
      </c>
      <c r="BK43" s="55">
        <f t="shared" si="143"/>
        <v>0.83</v>
      </c>
      <c r="BL43" s="55">
        <f t="shared" si="143"/>
        <v>0.80999999999999994</v>
      </c>
      <c r="BM43" s="55">
        <f t="shared" si="143"/>
        <v>0.78999999999999992</v>
      </c>
      <c r="BN43" s="55">
        <f t="shared" si="143"/>
        <v>0.76999999999999991</v>
      </c>
      <c r="BO43" s="55">
        <f t="shared" si="143"/>
        <v>0.74999999999999989</v>
      </c>
      <c r="BP43" s="55">
        <f t="shared" si="143"/>
        <v>0.72999999999999987</v>
      </c>
      <c r="BQ43" s="55">
        <f t="shared" si="143"/>
        <v>0.70999999999999985</v>
      </c>
      <c r="BR43" s="55">
        <f t="shared" si="143"/>
        <v>0.68999999999999984</v>
      </c>
      <c r="BS43" s="55">
        <f t="shared" si="143"/>
        <v>0.66999999999999982</v>
      </c>
      <c r="BT43" s="55">
        <f t="shared" si="143"/>
        <v>0.6499999999999998</v>
      </c>
      <c r="BU43" s="55">
        <f t="shared" si="143"/>
        <v>0.62999999999999978</v>
      </c>
      <c r="BV43" s="55">
        <f t="shared" si="143"/>
        <v>0.60999999999999976</v>
      </c>
      <c r="BW43" s="55">
        <f t="shared" si="143"/>
        <v>0.58999999999999975</v>
      </c>
      <c r="BX43" s="55">
        <f t="shared" si="143"/>
        <v>0.56999999999999973</v>
      </c>
      <c r="BZ43" s="55">
        <f t="shared" si="88"/>
        <v>51221.170000000006</v>
      </c>
      <c r="CA43" s="55">
        <f t="shared" si="89"/>
        <v>51221.170000000006</v>
      </c>
      <c r="CB43" s="59">
        <f t="shared" si="191"/>
        <v>169326.94378600002</v>
      </c>
      <c r="CC43" s="55">
        <f t="shared" si="192"/>
        <v>49684.534900000006</v>
      </c>
      <c r="CD43" s="59">
        <f t="shared" si="193"/>
        <v>164247.13547242002</v>
      </c>
      <c r="CE43" s="55">
        <f t="shared" si="194"/>
        <v>48660.111500000006</v>
      </c>
      <c r="CF43" s="59">
        <f t="shared" si="195"/>
        <v>160860.59659670002</v>
      </c>
      <c r="CG43" s="55">
        <f t="shared" si="196"/>
        <v>47635.688100000007</v>
      </c>
      <c r="CH43" s="59">
        <f t="shared" si="197"/>
        <v>157474.05772098002</v>
      </c>
      <c r="CI43" s="57">
        <f t="shared" si="198"/>
        <v>46611.264700000007</v>
      </c>
      <c r="CJ43" s="59">
        <f t="shared" si="199"/>
        <v>154087.51884526003</v>
      </c>
      <c r="CK43" s="55">
        <f t="shared" si="200"/>
        <v>45586.841300000007</v>
      </c>
      <c r="CL43" s="59">
        <f t="shared" si="201"/>
        <v>150700.97996954003</v>
      </c>
      <c r="CM43" s="57">
        <f t="shared" si="202"/>
        <v>44562.417900000008</v>
      </c>
      <c r="CN43" s="59">
        <f t="shared" si="203"/>
        <v>147314.44109382003</v>
      </c>
      <c r="CO43" s="60">
        <f t="shared" si="204"/>
        <v>43537.994500000001</v>
      </c>
      <c r="CP43" s="59">
        <f t="shared" si="205"/>
        <v>143927.9022181</v>
      </c>
      <c r="CQ43" s="57">
        <f t="shared" si="206"/>
        <v>42513.571100000001</v>
      </c>
      <c r="CR43" s="59">
        <f t="shared" si="207"/>
        <v>140541.36334238001</v>
      </c>
      <c r="CS43" s="55">
        <f t="shared" si="208"/>
        <v>41489.147700000001</v>
      </c>
      <c r="CT43" s="59">
        <f t="shared" si="209"/>
        <v>137154.82446666001</v>
      </c>
      <c r="CU43" s="60">
        <f t="shared" si="210"/>
        <v>40464.724300000002</v>
      </c>
      <c r="CV43" s="59">
        <f t="shared" si="211"/>
        <v>133768.28559094001</v>
      </c>
      <c r="CW43" s="60">
        <f t="shared" si="212"/>
        <v>39440.300900000002</v>
      </c>
      <c r="CX43" s="59">
        <f t="shared" si="213"/>
        <v>130381.74671522001</v>
      </c>
      <c r="CY43" s="60">
        <f t="shared" si="214"/>
        <v>38415.877499999995</v>
      </c>
      <c r="CZ43" s="59">
        <f t="shared" si="215"/>
        <v>126995.20783949998</v>
      </c>
      <c r="DA43" s="55">
        <f t="shared" si="216"/>
        <v>37391.454099999995</v>
      </c>
      <c r="DB43" s="59">
        <f t="shared" si="217"/>
        <v>123608.66896377999</v>
      </c>
      <c r="DC43" s="60">
        <f t="shared" si="218"/>
        <v>36367.030699999996</v>
      </c>
      <c r="DD43" s="59">
        <f t="shared" si="219"/>
        <v>120222.13008805999</v>
      </c>
      <c r="DE43" s="60">
        <f t="shared" si="220"/>
        <v>35342.607299999996</v>
      </c>
      <c r="DF43" s="59">
        <f t="shared" si="221"/>
        <v>116835.59121233999</v>
      </c>
      <c r="DG43" s="60">
        <f t="shared" si="222"/>
        <v>34318.183899999996</v>
      </c>
      <c r="DH43" s="59">
        <f t="shared" si="223"/>
        <v>113449.05233661999</v>
      </c>
      <c r="DI43" s="60">
        <f t="shared" si="224"/>
        <v>33293.760499999997</v>
      </c>
      <c r="DJ43" s="59">
        <f t="shared" si="225"/>
        <v>110062.51346089999</v>
      </c>
      <c r="DK43" s="55">
        <f t="shared" si="226"/>
        <v>32269.337099999993</v>
      </c>
      <c r="DL43" s="59">
        <f t="shared" si="227"/>
        <v>106675.97458517998</v>
      </c>
      <c r="DM43" s="60">
        <f t="shared" si="228"/>
        <v>31244.91369999999</v>
      </c>
      <c r="DN43" s="59">
        <f t="shared" si="229"/>
        <v>103289.43570945997</v>
      </c>
      <c r="DO43" s="60">
        <f t="shared" si="230"/>
        <v>30220.49029999999</v>
      </c>
      <c r="DP43" s="59">
        <f t="shared" si="231"/>
        <v>99902.896833739971</v>
      </c>
      <c r="DQ43" s="55">
        <f t="shared" si="232"/>
        <v>29196.066899999991</v>
      </c>
      <c r="DR43" s="59">
        <f t="shared" si="233"/>
        <v>96516.357958019973</v>
      </c>
      <c r="DU43" s="55">
        <v>1</v>
      </c>
      <c r="DV43" s="55">
        <v>0.97</v>
      </c>
      <c r="DW43" s="55">
        <v>0.95</v>
      </c>
      <c r="DX43" s="55">
        <v>0.93</v>
      </c>
      <c r="DY43" s="55">
        <f t="shared" si="234"/>
        <v>0.91</v>
      </c>
      <c r="DZ43" s="55">
        <f t="shared" si="234"/>
        <v>0.89</v>
      </c>
      <c r="EA43" s="55">
        <f t="shared" si="234"/>
        <v>0.87</v>
      </c>
      <c r="EB43" s="55">
        <f t="shared" si="234"/>
        <v>0.85</v>
      </c>
      <c r="EC43" s="55">
        <f t="shared" si="234"/>
        <v>0.83</v>
      </c>
      <c r="ED43" s="55">
        <f t="shared" si="234"/>
        <v>0.80999999999999994</v>
      </c>
      <c r="EE43" s="55">
        <f t="shared" si="234"/>
        <v>0.78999999999999992</v>
      </c>
      <c r="EF43" s="55">
        <f t="shared" si="234"/>
        <v>0.76999999999999991</v>
      </c>
      <c r="EG43" s="55">
        <f t="shared" si="234"/>
        <v>0.74999999999999989</v>
      </c>
      <c r="EH43" s="55">
        <f t="shared" si="234"/>
        <v>0.72999999999999987</v>
      </c>
      <c r="EI43" s="55">
        <f t="shared" si="234"/>
        <v>0.70999999999999985</v>
      </c>
      <c r="EJ43" s="55">
        <f t="shared" si="234"/>
        <v>0.68999999999999984</v>
      </c>
      <c r="EK43" s="55">
        <f t="shared" si="234"/>
        <v>0.66999999999999982</v>
      </c>
      <c r="EL43" s="55">
        <f t="shared" si="234"/>
        <v>0.6499999999999998</v>
      </c>
      <c r="EM43" s="55">
        <f t="shared" si="234"/>
        <v>0.62999999999999978</v>
      </c>
      <c r="EN43" s="55">
        <f t="shared" si="234"/>
        <v>0.60999999999999976</v>
      </c>
      <c r="EO43" s="55">
        <f t="shared" si="234"/>
        <v>0.58999999999999975</v>
      </c>
      <c r="EP43" s="55">
        <f t="shared" si="234"/>
        <v>0.56999999999999973</v>
      </c>
      <c r="ER43" s="55">
        <f t="shared" si="142"/>
        <v>46611.264700000007</v>
      </c>
      <c r="ES43" s="55">
        <f t="shared" si="116"/>
        <v>46611.264700000007</v>
      </c>
      <c r="ET43" s="59">
        <f t="shared" si="235"/>
        <v>154087.51884526003</v>
      </c>
      <c r="EU43" s="55">
        <f t="shared" si="236"/>
        <v>45212.926759000009</v>
      </c>
      <c r="EV43" s="59">
        <f t="shared" si="237"/>
        <v>149464.89327990223</v>
      </c>
      <c r="EW43" s="55">
        <f t="shared" si="238"/>
        <v>44280.701465000006</v>
      </c>
      <c r="EX43" s="59">
        <f t="shared" si="239"/>
        <v>146383.14290299703</v>
      </c>
      <c r="EY43" s="55">
        <f t="shared" si="240"/>
        <v>43348.476171000009</v>
      </c>
      <c r="EZ43" s="59">
        <f t="shared" si="241"/>
        <v>143301.39252609183</v>
      </c>
      <c r="FA43" s="57">
        <f t="shared" si="242"/>
        <v>42416.250877000006</v>
      </c>
      <c r="FB43" s="59">
        <f t="shared" si="243"/>
        <v>140219.64214918663</v>
      </c>
      <c r="FC43" s="55">
        <f t="shared" si="244"/>
        <v>41484.02558300001</v>
      </c>
      <c r="FD43" s="59">
        <f t="shared" si="245"/>
        <v>137137.89177228144</v>
      </c>
      <c r="FE43" s="57">
        <f t="shared" si="246"/>
        <v>40551.800289000006</v>
      </c>
      <c r="FF43" s="59">
        <f t="shared" si="247"/>
        <v>134056.14139537621</v>
      </c>
      <c r="FG43" s="60">
        <f t="shared" si="248"/>
        <v>39619.574995000003</v>
      </c>
      <c r="FH43" s="59">
        <f t="shared" si="249"/>
        <v>130974.39101847101</v>
      </c>
      <c r="FI43" s="57">
        <f t="shared" si="250"/>
        <v>38687.349701000006</v>
      </c>
      <c r="FJ43" s="59">
        <f t="shared" si="251"/>
        <v>127892.64064156583</v>
      </c>
      <c r="FK43" s="55">
        <f t="shared" si="252"/>
        <v>37755.124407000003</v>
      </c>
      <c r="FL43" s="59">
        <f t="shared" si="253"/>
        <v>124810.89026466061</v>
      </c>
      <c r="FM43" s="60">
        <f t="shared" si="254"/>
        <v>36822.899112999999</v>
      </c>
      <c r="FN43" s="59">
        <f t="shared" si="255"/>
        <v>121729.1398877554</v>
      </c>
      <c r="FO43" s="60">
        <f t="shared" si="256"/>
        <v>35890.673819000003</v>
      </c>
      <c r="FP43" s="59">
        <f t="shared" si="257"/>
        <v>118647.38951085022</v>
      </c>
      <c r="FQ43" s="60">
        <f t="shared" si="258"/>
        <v>34958.448525</v>
      </c>
      <c r="FR43" s="59">
        <f t="shared" si="259"/>
        <v>115565.63913394501</v>
      </c>
      <c r="FS43" s="55">
        <f t="shared" si="260"/>
        <v>34026.223230999996</v>
      </c>
      <c r="FT43" s="59">
        <f t="shared" si="261"/>
        <v>112483.88875703979</v>
      </c>
      <c r="FU43" s="60">
        <f t="shared" si="262"/>
        <v>33093.997937</v>
      </c>
      <c r="FV43" s="59">
        <f t="shared" si="263"/>
        <v>109402.13838013461</v>
      </c>
      <c r="FW43" s="60">
        <f t="shared" si="264"/>
        <v>32161.772642999997</v>
      </c>
      <c r="FX43" s="59">
        <f t="shared" si="265"/>
        <v>106320.3880032294</v>
      </c>
      <c r="FY43" s="60">
        <f t="shared" si="266"/>
        <v>31229.547348999997</v>
      </c>
      <c r="FZ43" s="59">
        <f t="shared" si="267"/>
        <v>103238.6376263242</v>
      </c>
      <c r="GA43" s="60">
        <f t="shared" si="268"/>
        <v>30297.322054999997</v>
      </c>
      <c r="GB43" s="59">
        <f t="shared" si="269"/>
        <v>100156.88724941899</v>
      </c>
      <c r="GC43" s="55">
        <f t="shared" si="270"/>
        <v>29365.096760999993</v>
      </c>
      <c r="GD43" s="59">
        <f t="shared" si="271"/>
        <v>97075.136872513787</v>
      </c>
      <c r="GE43" s="60">
        <f t="shared" si="272"/>
        <v>28432.871466999994</v>
      </c>
      <c r="GF43" s="59">
        <f t="shared" si="273"/>
        <v>93993.386495608574</v>
      </c>
      <c r="GG43" s="60">
        <f t="shared" si="274"/>
        <v>27500.646172999994</v>
      </c>
      <c r="GH43" s="59">
        <f t="shared" si="275"/>
        <v>90911.636118703376</v>
      </c>
      <c r="GI43" s="55">
        <f t="shared" si="276"/>
        <v>26568.42087899999</v>
      </c>
      <c r="GJ43" s="59">
        <f t="shared" si="277"/>
        <v>87829.885741798164</v>
      </c>
      <c r="GK43" s="55"/>
      <c r="GL43" s="55"/>
      <c r="GM43" s="55">
        <v>1</v>
      </c>
      <c r="GN43" s="55">
        <v>0.97</v>
      </c>
      <c r="GO43" s="55">
        <v>0.95</v>
      </c>
      <c r="GP43" s="55">
        <v>0.93</v>
      </c>
      <c r="GQ43" s="55">
        <f t="shared" si="278"/>
        <v>0.91</v>
      </c>
      <c r="GR43" s="55">
        <f t="shared" si="278"/>
        <v>0.89</v>
      </c>
      <c r="GS43" s="55">
        <f t="shared" si="278"/>
        <v>0.87</v>
      </c>
      <c r="GT43" s="55">
        <f t="shared" si="278"/>
        <v>0.85</v>
      </c>
      <c r="GU43" s="55">
        <f t="shared" si="278"/>
        <v>0.83</v>
      </c>
      <c r="GV43" s="55">
        <f t="shared" si="278"/>
        <v>0.80999999999999994</v>
      </c>
      <c r="GW43" s="55">
        <f t="shared" si="278"/>
        <v>0.78999999999999992</v>
      </c>
      <c r="GX43" s="55">
        <f t="shared" si="278"/>
        <v>0.76999999999999991</v>
      </c>
      <c r="GY43" s="55">
        <f t="shared" si="278"/>
        <v>0.74999999999999989</v>
      </c>
      <c r="GZ43" s="55">
        <f t="shared" si="278"/>
        <v>0.72999999999999987</v>
      </c>
      <c r="HA43" s="55">
        <f t="shared" si="278"/>
        <v>0.70999999999999985</v>
      </c>
      <c r="HB43" s="55">
        <f t="shared" si="278"/>
        <v>0.68999999999999984</v>
      </c>
      <c r="HC43" s="55">
        <f t="shared" si="278"/>
        <v>0.66999999999999982</v>
      </c>
      <c r="HD43" s="55">
        <f t="shared" si="278"/>
        <v>0.6499999999999998</v>
      </c>
      <c r="HE43" s="55">
        <f t="shared" si="278"/>
        <v>0.62999999999999978</v>
      </c>
      <c r="HF43" s="55">
        <f t="shared" si="278"/>
        <v>0.60999999999999976</v>
      </c>
      <c r="HG43" s="55">
        <f t="shared" si="278"/>
        <v>0.58999999999999975</v>
      </c>
      <c r="HH43" s="55">
        <f t="shared" si="278"/>
        <v>0.56999999999999973</v>
      </c>
    </row>
    <row r="44" spans="1:216" x14ac:dyDescent="0.3">
      <c r="A44" s="2">
        <v>11</v>
      </c>
      <c r="C44" s="38" t="s">
        <v>157</v>
      </c>
      <c r="D44" s="42">
        <f>TRUNC(47614.2996132888,-1)</f>
        <v>47610</v>
      </c>
      <c r="E44" s="71">
        <f t="shared" si="148"/>
        <v>157380</v>
      </c>
      <c r="H44" s="55">
        <f t="shared" si="61"/>
        <v>173118</v>
      </c>
      <c r="I44" s="55">
        <f t="shared" si="62"/>
        <v>173118</v>
      </c>
      <c r="J44" s="59">
        <f t="shared" si="63"/>
        <v>572293.48439999996</v>
      </c>
      <c r="K44" s="55">
        <f t="shared" si="149"/>
        <v>167924.46</v>
      </c>
      <c r="L44" s="59">
        <f t="shared" si="150"/>
        <v>555124.67986799998</v>
      </c>
      <c r="M44" s="55">
        <f t="shared" si="151"/>
        <v>164462.1</v>
      </c>
      <c r="N44" s="59">
        <f t="shared" si="152"/>
        <v>543678.81018000003</v>
      </c>
      <c r="O44" s="55">
        <f t="shared" si="153"/>
        <v>160999.74000000002</v>
      </c>
      <c r="P44" s="59">
        <f t="shared" si="154"/>
        <v>532232.94049200008</v>
      </c>
      <c r="Q44" s="57">
        <f t="shared" si="155"/>
        <v>157537.38</v>
      </c>
      <c r="R44" s="59">
        <f t="shared" si="156"/>
        <v>520787.07080400002</v>
      </c>
      <c r="S44" s="55">
        <f t="shared" si="157"/>
        <v>154075.01999999999</v>
      </c>
      <c r="T44" s="59">
        <f t="shared" si="158"/>
        <v>509341.20111599995</v>
      </c>
      <c r="U44" s="57">
        <f t="shared" si="159"/>
        <v>150612.66</v>
      </c>
      <c r="V44" s="59">
        <f t="shared" si="160"/>
        <v>497895.331428</v>
      </c>
      <c r="W44" s="60">
        <f t="shared" si="161"/>
        <v>147150.29999999999</v>
      </c>
      <c r="X44" s="59">
        <f t="shared" si="162"/>
        <v>486449.46174</v>
      </c>
      <c r="Y44" s="57">
        <f t="shared" si="163"/>
        <v>143687.94</v>
      </c>
      <c r="Z44" s="59">
        <f t="shared" si="164"/>
        <v>475003.59205199999</v>
      </c>
      <c r="AA44" s="55">
        <f t="shared" si="165"/>
        <v>140225.57999999999</v>
      </c>
      <c r="AB44" s="59">
        <f t="shared" si="166"/>
        <v>463557.72236399999</v>
      </c>
      <c r="AC44" s="60">
        <f t="shared" si="167"/>
        <v>136763.22</v>
      </c>
      <c r="AD44" s="59">
        <f t="shared" si="168"/>
        <v>452111.85267600004</v>
      </c>
      <c r="AE44" s="60">
        <f t="shared" si="169"/>
        <v>133300.85999999999</v>
      </c>
      <c r="AF44" s="59">
        <f t="shared" si="170"/>
        <v>440665.98298799997</v>
      </c>
      <c r="AG44" s="60">
        <f t="shared" si="171"/>
        <v>129838.49999999999</v>
      </c>
      <c r="AH44" s="59">
        <f t="shared" si="172"/>
        <v>429220.11329999997</v>
      </c>
      <c r="AI44" s="55">
        <f t="shared" si="173"/>
        <v>126376.13999999998</v>
      </c>
      <c r="AJ44" s="59">
        <f t="shared" si="174"/>
        <v>417774.24361199996</v>
      </c>
      <c r="AK44" s="60">
        <f t="shared" si="175"/>
        <v>122913.77999999997</v>
      </c>
      <c r="AL44" s="59">
        <f t="shared" si="176"/>
        <v>406328.3739239999</v>
      </c>
      <c r="AM44" s="60">
        <f t="shared" si="177"/>
        <v>119451.41999999997</v>
      </c>
      <c r="AN44" s="59">
        <f t="shared" si="178"/>
        <v>394882.50423599989</v>
      </c>
      <c r="AO44" s="60">
        <f t="shared" si="179"/>
        <v>115989.05999999997</v>
      </c>
      <c r="AP44" s="59">
        <f t="shared" si="180"/>
        <v>383436.63454799989</v>
      </c>
      <c r="AQ44" s="60">
        <f t="shared" si="181"/>
        <v>112526.69999999997</v>
      </c>
      <c r="AR44" s="59">
        <f t="shared" si="182"/>
        <v>371990.76485999988</v>
      </c>
      <c r="AS44" s="55">
        <f t="shared" si="183"/>
        <v>109064.33999999997</v>
      </c>
      <c r="AT44" s="59">
        <f t="shared" si="184"/>
        <v>360544.89517199987</v>
      </c>
      <c r="AU44" s="60">
        <f t="shared" si="185"/>
        <v>105601.97999999995</v>
      </c>
      <c r="AV44" s="59">
        <f t="shared" si="186"/>
        <v>349099.02548399987</v>
      </c>
      <c r="AW44" s="60">
        <f t="shared" si="187"/>
        <v>102139.61999999995</v>
      </c>
      <c r="AX44" s="59">
        <f t="shared" si="188"/>
        <v>337653.15579599986</v>
      </c>
      <c r="AY44" s="55">
        <f t="shared" si="189"/>
        <v>98677.259999999951</v>
      </c>
      <c r="AZ44" s="59">
        <f t="shared" si="190"/>
        <v>326207.28610799985</v>
      </c>
      <c r="BC44" s="55">
        <v>1</v>
      </c>
      <c r="BD44" s="55">
        <v>0.97</v>
      </c>
      <c r="BE44" s="55">
        <v>0.95</v>
      </c>
      <c r="BF44" s="55">
        <v>0.93</v>
      </c>
      <c r="BG44" s="55">
        <f t="shared" si="143"/>
        <v>0.91</v>
      </c>
      <c r="BH44" s="55">
        <f t="shared" si="143"/>
        <v>0.89</v>
      </c>
      <c r="BI44" s="55">
        <f t="shared" si="143"/>
        <v>0.87</v>
      </c>
      <c r="BJ44" s="55">
        <f t="shared" si="143"/>
        <v>0.85</v>
      </c>
      <c r="BK44" s="55">
        <f t="shared" si="143"/>
        <v>0.83</v>
      </c>
      <c r="BL44" s="55">
        <f t="shared" si="143"/>
        <v>0.80999999999999994</v>
      </c>
      <c r="BM44" s="55">
        <f t="shared" si="143"/>
        <v>0.78999999999999992</v>
      </c>
      <c r="BN44" s="55">
        <f t="shared" si="143"/>
        <v>0.76999999999999991</v>
      </c>
      <c r="BO44" s="55">
        <f t="shared" si="143"/>
        <v>0.74999999999999989</v>
      </c>
      <c r="BP44" s="55">
        <f t="shared" si="143"/>
        <v>0.72999999999999987</v>
      </c>
      <c r="BQ44" s="55">
        <f t="shared" si="143"/>
        <v>0.70999999999999985</v>
      </c>
      <c r="BR44" s="55">
        <f t="shared" si="143"/>
        <v>0.68999999999999984</v>
      </c>
      <c r="BS44" s="55">
        <f t="shared" si="143"/>
        <v>0.66999999999999982</v>
      </c>
      <c r="BT44" s="55">
        <f t="shared" si="143"/>
        <v>0.6499999999999998</v>
      </c>
      <c r="BU44" s="55">
        <f t="shared" si="143"/>
        <v>0.62999999999999978</v>
      </c>
      <c r="BV44" s="55">
        <f t="shared" si="143"/>
        <v>0.60999999999999976</v>
      </c>
      <c r="BW44" s="55">
        <f t="shared" si="143"/>
        <v>0.58999999999999975</v>
      </c>
      <c r="BX44" s="55">
        <f t="shared" si="143"/>
        <v>0.56999999999999973</v>
      </c>
      <c r="BZ44" s="55">
        <f t="shared" si="88"/>
        <v>157537.38</v>
      </c>
      <c r="CA44" s="55">
        <f t="shared" si="89"/>
        <v>157537.38</v>
      </c>
      <c r="CB44" s="59">
        <f t="shared" si="191"/>
        <v>520787.07080400002</v>
      </c>
      <c r="CC44" s="55">
        <f t="shared" si="192"/>
        <v>152811.2586</v>
      </c>
      <c r="CD44" s="59">
        <f t="shared" si="193"/>
        <v>505163.45867988002</v>
      </c>
      <c r="CE44" s="55">
        <f t="shared" si="194"/>
        <v>149660.511</v>
      </c>
      <c r="CF44" s="59">
        <f t="shared" si="195"/>
        <v>494747.71726380003</v>
      </c>
      <c r="CG44" s="55">
        <f t="shared" si="196"/>
        <v>146509.76340000003</v>
      </c>
      <c r="CH44" s="59">
        <f t="shared" si="197"/>
        <v>484331.97584772011</v>
      </c>
      <c r="CI44" s="57">
        <f t="shared" si="198"/>
        <v>143359.01580000002</v>
      </c>
      <c r="CJ44" s="59">
        <f t="shared" si="199"/>
        <v>473916.23443164007</v>
      </c>
      <c r="CK44" s="55">
        <f t="shared" si="200"/>
        <v>140208.26820000002</v>
      </c>
      <c r="CL44" s="59">
        <f t="shared" si="201"/>
        <v>463500.49301556009</v>
      </c>
      <c r="CM44" s="57">
        <f t="shared" si="202"/>
        <v>137057.52059999999</v>
      </c>
      <c r="CN44" s="59">
        <f t="shared" si="203"/>
        <v>453084.75159947999</v>
      </c>
      <c r="CO44" s="60">
        <f t="shared" si="204"/>
        <v>133906.77299999999</v>
      </c>
      <c r="CP44" s="59">
        <f t="shared" si="205"/>
        <v>442669.01018339995</v>
      </c>
      <c r="CQ44" s="57">
        <f t="shared" si="206"/>
        <v>130756.0254</v>
      </c>
      <c r="CR44" s="59">
        <f t="shared" si="207"/>
        <v>432253.26876732003</v>
      </c>
      <c r="CS44" s="55">
        <f t="shared" si="208"/>
        <v>127605.2778</v>
      </c>
      <c r="CT44" s="59">
        <f t="shared" si="209"/>
        <v>421837.52735123999</v>
      </c>
      <c r="CU44" s="60">
        <f t="shared" si="210"/>
        <v>124454.53019999999</v>
      </c>
      <c r="CV44" s="59">
        <f t="shared" si="211"/>
        <v>411421.78593516001</v>
      </c>
      <c r="CW44" s="60">
        <f t="shared" si="212"/>
        <v>121303.78259999999</v>
      </c>
      <c r="CX44" s="59">
        <f t="shared" si="213"/>
        <v>401006.04451907997</v>
      </c>
      <c r="CY44" s="60">
        <f t="shared" si="214"/>
        <v>118153.03499999999</v>
      </c>
      <c r="CZ44" s="59">
        <f t="shared" si="215"/>
        <v>390590.30310299998</v>
      </c>
      <c r="DA44" s="55">
        <f t="shared" si="216"/>
        <v>115002.28739999999</v>
      </c>
      <c r="DB44" s="59">
        <f t="shared" si="217"/>
        <v>380174.56168691994</v>
      </c>
      <c r="DC44" s="60">
        <f t="shared" si="218"/>
        <v>111851.53979999998</v>
      </c>
      <c r="DD44" s="59">
        <f t="shared" si="219"/>
        <v>369758.82027083996</v>
      </c>
      <c r="DE44" s="60">
        <f t="shared" si="220"/>
        <v>108700.79219999998</v>
      </c>
      <c r="DF44" s="59">
        <f t="shared" si="221"/>
        <v>359343.07885475992</v>
      </c>
      <c r="DG44" s="60">
        <f t="shared" si="222"/>
        <v>105550.04459999998</v>
      </c>
      <c r="DH44" s="59">
        <f t="shared" si="223"/>
        <v>348927.33743867994</v>
      </c>
      <c r="DI44" s="60">
        <f t="shared" si="224"/>
        <v>102399.29699999998</v>
      </c>
      <c r="DJ44" s="59">
        <f t="shared" si="225"/>
        <v>338511.59602259996</v>
      </c>
      <c r="DK44" s="55">
        <f t="shared" si="226"/>
        <v>99248.549399999974</v>
      </c>
      <c r="DL44" s="59">
        <f t="shared" si="227"/>
        <v>328095.85460651992</v>
      </c>
      <c r="DM44" s="60">
        <f t="shared" si="228"/>
        <v>96097.801799999972</v>
      </c>
      <c r="DN44" s="59">
        <f t="shared" si="229"/>
        <v>317680.11319043994</v>
      </c>
      <c r="DO44" s="60">
        <f t="shared" si="230"/>
        <v>92947.05419999997</v>
      </c>
      <c r="DP44" s="59">
        <f t="shared" si="231"/>
        <v>307264.3717743599</v>
      </c>
      <c r="DQ44" s="55">
        <f t="shared" si="232"/>
        <v>89796.306599999967</v>
      </c>
      <c r="DR44" s="59">
        <f t="shared" si="233"/>
        <v>296848.63035827992</v>
      </c>
      <c r="DU44" s="55">
        <v>1</v>
      </c>
      <c r="DV44" s="55">
        <v>0.97</v>
      </c>
      <c r="DW44" s="55">
        <v>0.95</v>
      </c>
      <c r="DX44" s="55">
        <v>0.93</v>
      </c>
      <c r="DY44" s="55">
        <f t="shared" si="234"/>
        <v>0.91</v>
      </c>
      <c r="DZ44" s="55">
        <f t="shared" si="234"/>
        <v>0.89</v>
      </c>
      <c r="EA44" s="55">
        <f t="shared" si="234"/>
        <v>0.87</v>
      </c>
      <c r="EB44" s="55">
        <f t="shared" si="234"/>
        <v>0.85</v>
      </c>
      <c r="EC44" s="55">
        <f t="shared" si="234"/>
        <v>0.83</v>
      </c>
      <c r="ED44" s="55">
        <f t="shared" si="234"/>
        <v>0.80999999999999994</v>
      </c>
      <c r="EE44" s="55">
        <f t="shared" si="234"/>
        <v>0.78999999999999992</v>
      </c>
      <c r="EF44" s="55">
        <f t="shared" si="234"/>
        <v>0.76999999999999991</v>
      </c>
      <c r="EG44" s="55">
        <f t="shared" si="234"/>
        <v>0.74999999999999989</v>
      </c>
      <c r="EH44" s="55">
        <f t="shared" si="234"/>
        <v>0.72999999999999987</v>
      </c>
      <c r="EI44" s="55">
        <f t="shared" si="234"/>
        <v>0.70999999999999985</v>
      </c>
      <c r="EJ44" s="55">
        <f t="shared" si="234"/>
        <v>0.68999999999999984</v>
      </c>
      <c r="EK44" s="55">
        <f t="shared" si="234"/>
        <v>0.66999999999999982</v>
      </c>
      <c r="EL44" s="55">
        <f t="shared" si="234"/>
        <v>0.6499999999999998</v>
      </c>
      <c r="EM44" s="55">
        <f t="shared" si="234"/>
        <v>0.62999999999999978</v>
      </c>
      <c r="EN44" s="55">
        <f t="shared" si="234"/>
        <v>0.60999999999999976</v>
      </c>
      <c r="EO44" s="55">
        <f t="shared" si="234"/>
        <v>0.58999999999999975</v>
      </c>
      <c r="EP44" s="55">
        <f t="shared" si="234"/>
        <v>0.56999999999999973</v>
      </c>
      <c r="ER44" s="55">
        <f t="shared" si="142"/>
        <v>143359.01580000002</v>
      </c>
      <c r="ES44" s="55">
        <f t="shared" si="116"/>
        <v>143359.01580000002</v>
      </c>
      <c r="ET44" s="59">
        <f t="shared" si="235"/>
        <v>473916.23443164007</v>
      </c>
      <c r="EU44" s="55">
        <f t="shared" si="236"/>
        <v>139058.245326</v>
      </c>
      <c r="EV44" s="59">
        <f t="shared" si="237"/>
        <v>459698.74739869084</v>
      </c>
      <c r="EW44" s="55">
        <f t="shared" si="238"/>
        <v>136191.06501000002</v>
      </c>
      <c r="EX44" s="59">
        <f t="shared" si="239"/>
        <v>450220.4227100581</v>
      </c>
      <c r="EY44" s="55">
        <f t="shared" si="240"/>
        <v>133323.88469400004</v>
      </c>
      <c r="EZ44" s="59">
        <f t="shared" si="241"/>
        <v>440742.09802142531</v>
      </c>
      <c r="FA44" s="57">
        <f t="shared" si="242"/>
        <v>130456.70437800002</v>
      </c>
      <c r="FB44" s="59">
        <f t="shared" si="243"/>
        <v>431263.77333279251</v>
      </c>
      <c r="FC44" s="55">
        <f t="shared" si="244"/>
        <v>127589.52406200003</v>
      </c>
      <c r="FD44" s="59">
        <f t="shared" si="245"/>
        <v>421785.44864415971</v>
      </c>
      <c r="FE44" s="57">
        <f t="shared" si="246"/>
        <v>124722.34374600001</v>
      </c>
      <c r="FF44" s="59">
        <f t="shared" si="247"/>
        <v>412307.12395552685</v>
      </c>
      <c r="FG44" s="60">
        <f t="shared" si="248"/>
        <v>121855.16343000002</v>
      </c>
      <c r="FH44" s="59">
        <f t="shared" si="249"/>
        <v>402828.79926689406</v>
      </c>
      <c r="FI44" s="57">
        <f t="shared" si="250"/>
        <v>118987.98311400002</v>
      </c>
      <c r="FJ44" s="59">
        <f t="shared" si="251"/>
        <v>393350.47457826126</v>
      </c>
      <c r="FK44" s="55">
        <f t="shared" si="252"/>
        <v>116120.802798</v>
      </c>
      <c r="FL44" s="59">
        <f t="shared" si="253"/>
        <v>383872.1498896284</v>
      </c>
      <c r="FM44" s="60">
        <f t="shared" si="254"/>
        <v>113253.62248200001</v>
      </c>
      <c r="FN44" s="59">
        <f t="shared" si="255"/>
        <v>374393.8252009956</v>
      </c>
      <c r="FO44" s="60">
        <f t="shared" si="256"/>
        <v>110386.44216600001</v>
      </c>
      <c r="FP44" s="59">
        <f t="shared" si="257"/>
        <v>364915.50051236281</v>
      </c>
      <c r="FQ44" s="60">
        <f t="shared" si="258"/>
        <v>107519.26185</v>
      </c>
      <c r="FR44" s="59">
        <f t="shared" si="259"/>
        <v>355437.17582373001</v>
      </c>
      <c r="FS44" s="55">
        <f t="shared" si="260"/>
        <v>104652.081534</v>
      </c>
      <c r="FT44" s="59">
        <f t="shared" si="261"/>
        <v>345958.85113509721</v>
      </c>
      <c r="FU44" s="60">
        <f t="shared" si="262"/>
        <v>101784.901218</v>
      </c>
      <c r="FV44" s="59">
        <f t="shared" si="263"/>
        <v>336480.52644646441</v>
      </c>
      <c r="FW44" s="60">
        <f t="shared" si="264"/>
        <v>98917.720901999986</v>
      </c>
      <c r="FX44" s="59">
        <f t="shared" si="265"/>
        <v>327002.20175783156</v>
      </c>
      <c r="FY44" s="60">
        <f t="shared" si="266"/>
        <v>96050.540585999988</v>
      </c>
      <c r="FZ44" s="59">
        <f t="shared" si="267"/>
        <v>317523.87706919876</v>
      </c>
      <c r="GA44" s="60">
        <f t="shared" si="268"/>
        <v>93183.36026999999</v>
      </c>
      <c r="GB44" s="59">
        <f t="shared" si="269"/>
        <v>308045.55238056596</v>
      </c>
      <c r="GC44" s="55">
        <f t="shared" si="270"/>
        <v>90316.179953999977</v>
      </c>
      <c r="GD44" s="59">
        <f t="shared" si="271"/>
        <v>298567.22769193311</v>
      </c>
      <c r="GE44" s="60">
        <f t="shared" si="272"/>
        <v>87448.999637999979</v>
      </c>
      <c r="GF44" s="59">
        <f t="shared" si="273"/>
        <v>289088.90300330037</v>
      </c>
      <c r="GG44" s="60">
        <f t="shared" si="274"/>
        <v>84581.819321999981</v>
      </c>
      <c r="GH44" s="59">
        <f t="shared" si="275"/>
        <v>279610.57831466757</v>
      </c>
      <c r="GI44" s="55">
        <f t="shared" si="276"/>
        <v>81714.639005999969</v>
      </c>
      <c r="GJ44" s="59">
        <f t="shared" si="277"/>
        <v>270132.25362603471</v>
      </c>
      <c r="GK44" s="55"/>
      <c r="GL44" s="55"/>
      <c r="GM44" s="55">
        <v>1</v>
      </c>
      <c r="GN44" s="55">
        <v>0.97</v>
      </c>
      <c r="GO44" s="55">
        <v>0.95</v>
      </c>
      <c r="GP44" s="55">
        <v>0.93</v>
      </c>
      <c r="GQ44" s="55">
        <f t="shared" si="278"/>
        <v>0.91</v>
      </c>
      <c r="GR44" s="55">
        <f t="shared" si="278"/>
        <v>0.89</v>
      </c>
      <c r="GS44" s="55">
        <f t="shared" si="278"/>
        <v>0.87</v>
      </c>
      <c r="GT44" s="55">
        <f t="shared" si="278"/>
        <v>0.85</v>
      </c>
      <c r="GU44" s="55">
        <f t="shared" si="278"/>
        <v>0.83</v>
      </c>
      <c r="GV44" s="55">
        <f t="shared" si="278"/>
        <v>0.80999999999999994</v>
      </c>
      <c r="GW44" s="55">
        <f t="shared" si="278"/>
        <v>0.78999999999999992</v>
      </c>
      <c r="GX44" s="55">
        <f t="shared" si="278"/>
        <v>0.76999999999999991</v>
      </c>
      <c r="GY44" s="55">
        <f t="shared" si="278"/>
        <v>0.74999999999999989</v>
      </c>
      <c r="GZ44" s="55">
        <f t="shared" si="278"/>
        <v>0.72999999999999987</v>
      </c>
      <c r="HA44" s="55">
        <f t="shared" si="278"/>
        <v>0.70999999999999985</v>
      </c>
      <c r="HB44" s="55">
        <f t="shared" si="278"/>
        <v>0.68999999999999984</v>
      </c>
      <c r="HC44" s="55">
        <f t="shared" si="278"/>
        <v>0.66999999999999982</v>
      </c>
      <c r="HD44" s="55">
        <f t="shared" si="278"/>
        <v>0.6499999999999998</v>
      </c>
      <c r="HE44" s="55">
        <f t="shared" si="278"/>
        <v>0.62999999999999978</v>
      </c>
      <c r="HF44" s="55">
        <f t="shared" si="278"/>
        <v>0.60999999999999976</v>
      </c>
      <c r="HG44" s="55">
        <f t="shared" si="278"/>
        <v>0.58999999999999975</v>
      </c>
      <c r="HH44" s="55">
        <f t="shared" si="278"/>
        <v>0.56999999999999973</v>
      </c>
    </row>
    <row r="45" spans="1:216" x14ac:dyDescent="0.3">
      <c r="A45" s="2">
        <v>12</v>
      </c>
      <c r="C45" s="38" t="s">
        <v>23</v>
      </c>
      <c r="D45" s="42">
        <f>TRUNC(10730.9890138864,-1)</f>
        <v>10730</v>
      </c>
      <c r="E45" s="71">
        <f t="shared" si="148"/>
        <v>35470</v>
      </c>
      <c r="H45" s="55">
        <f t="shared" si="61"/>
        <v>39017</v>
      </c>
      <c r="I45" s="55">
        <f t="shared" si="62"/>
        <v>39017</v>
      </c>
      <c r="J45" s="59">
        <f t="shared" si="63"/>
        <v>128982.3986</v>
      </c>
      <c r="K45" s="55">
        <f t="shared" si="149"/>
        <v>37846.49</v>
      </c>
      <c r="L45" s="59">
        <f t="shared" si="150"/>
        <v>125112.92664199999</v>
      </c>
      <c r="M45" s="55">
        <f t="shared" si="151"/>
        <v>37066.15</v>
      </c>
      <c r="N45" s="59">
        <f t="shared" si="152"/>
        <v>122533.27867000001</v>
      </c>
      <c r="O45" s="55">
        <f t="shared" si="153"/>
        <v>36285.810000000005</v>
      </c>
      <c r="P45" s="59">
        <f t="shared" si="154"/>
        <v>119953.63069800002</v>
      </c>
      <c r="Q45" s="57">
        <f t="shared" si="155"/>
        <v>35505.47</v>
      </c>
      <c r="R45" s="59">
        <f t="shared" si="156"/>
        <v>117373.982726</v>
      </c>
      <c r="S45" s="55">
        <f t="shared" si="157"/>
        <v>34725.129999999997</v>
      </c>
      <c r="T45" s="59">
        <f t="shared" si="158"/>
        <v>114794.334754</v>
      </c>
      <c r="U45" s="57">
        <f t="shared" si="159"/>
        <v>33944.79</v>
      </c>
      <c r="V45" s="59">
        <f t="shared" si="160"/>
        <v>112214.686782</v>
      </c>
      <c r="W45" s="60">
        <f t="shared" si="161"/>
        <v>33164.449999999997</v>
      </c>
      <c r="X45" s="59">
        <f t="shared" si="162"/>
        <v>109635.03881</v>
      </c>
      <c r="Y45" s="57">
        <f t="shared" si="163"/>
        <v>32384.109999999997</v>
      </c>
      <c r="Z45" s="59">
        <f t="shared" si="164"/>
        <v>107055.39083799999</v>
      </c>
      <c r="AA45" s="55">
        <f t="shared" si="165"/>
        <v>31603.769999999997</v>
      </c>
      <c r="AB45" s="59">
        <f t="shared" si="166"/>
        <v>104475.74286599999</v>
      </c>
      <c r="AC45" s="60">
        <f t="shared" si="167"/>
        <v>30823.429999999997</v>
      </c>
      <c r="AD45" s="59">
        <f t="shared" si="168"/>
        <v>101896.09489399999</v>
      </c>
      <c r="AE45" s="60">
        <f t="shared" si="169"/>
        <v>30043.089999999997</v>
      </c>
      <c r="AF45" s="59">
        <f t="shared" si="170"/>
        <v>99316.446921999988</v>
      </c>
      <c r="AG45" s="60">
        <f t="shared" si="171"/>
        <v>29262.749999999996</v>
      </c>
      <c r="AH45" s="59">
        <f t="shared" si="172"/>
        <v>96736.798949999997</v>
      </c>
      <c r="AI45" s="55">
        <f t="shared" si="173"/>
        <v>28482.409999999996</v>
      </c>
      <c r="AJ45" s="59">
        <f t="shared" si="174"/>
        <v>94157.150977999991</v>
      </c>
      <c r="AK45" s="60">
        <f t="shared" si="175"/>
        <v>27702.069999999996</v>
      </c>
      <c r="AL45" s="59">
        <f t="shared" si="176"/>
        <v>91577.503005999984</v>
      </c>
      <c r="AM45" s="60">
        <f t="shared" si="177"/>
        <v>26921.729999999992</v>
      </c>
      <c r="AN45" s="59">
        <f t="shared" si="178"/>
        <v>88997.855033999978</v>
      </c>
      <c r="AO45" s="60">
        <f t="shared" si="179"/>
        <v>26141.389999999992</v>
      </c>
      <c r="AP45" s="59">
        <f t="shared" si="180"/>
        <v>86418.207061999972</v>
      </c>
      <c r="AQ45" s="60">
        <f t="shared" si="181"/>
        <v>25361.049999999992</v>
      </c>
      <c r="AR45" s="59">
        <f t="shared" si="182"/>
        <v>83838.559089999981</v>
      </c>
      <c r="AS45" s="55">
        <f t="shared" si="183"/>
        <v>24580.709999999992</v>
      </c>
      <c r="AT45" s="59">
        <f t="shared" si="184"/>
        <v>81258.911117999975</v>
      </c>
      <c r="AU45" s="60">
        <f t="shared" si="185"/>
        <v>23800.369999999992</v>
      </c>
      <c r="AV45" s="59">
        <f t="shared" si="186"/>
        <v>78679.263145999968</v>
      </c>
      <c r="AW45" s="60">
        <f t="shared" si="187"/>
        <v>23020.029999999992</v>
      </c>
      <c r="AX45" s="59">
        <f t="shared" si="188"/>
        <v>76099.615173999977</v>
      </c>
      <c r="AY45" s="55">
        <f t="shared" si="189"/>
        <v>22239.689999999988</v>
      </c>
      <c r="AZ45" s="59">
        <f t="shared" si="190"/>
        <v>73519.967201999956</v>
      </c>
      <c r="BC45" s="55">
        <v>1</v>
      </c>
      <c r="BD45" s="55">
        <v>0.97</v>
      </c>
      <c r="BE45" s="55">
        <v>0.95</v>
      </c>
      <c r="BF45" s="55">
        <v>0.93</v>
      </c>
      <c r="BG45" s="55">
        <f t="shared" si="143"/>
        <v>0.91</v>
      </c>
      <c r="BH45" s="55">
        <f t="shared" si="143"/>
        <v>0.89</v>
      </c>
      <c r="BI45" s="55">
        <f t="shared" si="143"/>
        <v>0.87</v>
      </c>
      <c r="BJ45" s="55">
        <f t="shared" ref="BJ45:BX45" si="279">+BI45-0.02</f>
        <v>0.85</v>
      </c>
      <c r="BK45" s="55">
        <f t="shared" si="279"/>
        <v>0.83</v>
      </c>
      <c r="BL45" s="55">
        <f t="shared" si="279"/>
        <v>0.80999999999999994</v>
      </c>
      <c r="BM45" s="55">
        <f t="shared" si="279"/>
        <v>0.78999999999999992</v>
      </c>
      <c r="BN45" s="55">
        <f t="shared" si="279"/>
        <v>0.76999999999999991</v>
      </c>
      <c r="BO45" s="55">
        <f t="shared" si="279"/>
        <v>0.74999999999999989</v>
      </c>
      <c r="BP45" s="55">
        <f t="shared" si="279"/>
        <v>0.72999999999999987</v>
      </c>
      <c r="BQ45" s="55">
        <f t="shared" si="279"/>
        <v>0.70999999999999985</v>
      </c>
      <c r="BR45" s="55">
        <f t="shared" si="279"/>
        <v>0.68999999999999984</v>
      </c>
      <c r="BS45" s="55">
        <f t="shared" si="279"/>
        <v>0.66999999999999982</v>
      </c>
      <c r="BT45" s="55">
        <f t="shared" si="279"/>
        <v>0.6499999999999998</v>
      </c>
      <c r="BU45" s="55">
        <f t="shared" si="279"/>
        <v>0.62999999999999978</v>
      </c>
      <c r="BV45" s="55">
        <f t="shared" si="279"/>
        <v>0.60999999999999976</v>
      </c>
      <c r="BW45" s="55">
        <f t="shared" si="279"/>
        <v>0.58999999999999975</v>
      </c>
      <c r="BX45" s="55">
        <f t="shared" si="279"/>
        <v>0.56999999999999973</v>
      </c>
      <c r="BZ45" s="55">
        <f t="shared" si="88"/>
        <v>35505.47</v>
      </c>
      <c r="CA45" s="55">
        <f t="shared" si="89"/>
        <v>35505.47</v>
      </c>
      <c r="CB45" s="59">
        <f t="shared" si="191"/>
        <v>117373.982726</v>
      </c>
      <c r="CC45" s="55">
        <f t="shared" si="192"/>
        <v>34440.305899999999</v>
      </c>
      <c r="CD45" s="59">
        <f t="shared" si="193"/>
        <v>113852.76324422</v>
      </c>
      <c r="CE45" s="55">
        <f t="shared" si="194"/>
        <v>33730.196499999998</v>
      </c>
      <c r="CF45" s="59">
        <f t="shared" si="195"/>
        <v>111505.28358969999</v>
      </c>
      <c r="CG45" s="55">
        <f t="shared" si="196"/>
        <v>33020.087100000004</v>
      </c>
      <c r="CH45" s="59">
        <f t="shared" si="197"/>
        <v>109157.80393518001</v>
      </c>
      <c r="CI45" s="57">
        <f t="shared" si="198"/>
        <v>32309.977700000003</v>
      </c>
      <c r="CJ45" s="59">
        <f t="shared" si="199"/>
        <v>106810.32428066002</v>
      </c>
      <c r="CK45" s="55">
        <f t="shared" si="200"/>
        <v>31599.868300000002</v>
      </c>
      <c r="CL45" s="59">
        <f t="shared" si="201"/>
        <v>104462.84462614001</v>
      </c>
      <c r="CM45" s="57">
        <f t="shared" si="202"/>
        <v>30889.758900000001</v>
      </c>
      <c r="CN45" s="59">
        <f t="shared" si="203"/>
        <v>102115.36497162</v>
      </c>
      <c r="CO45" s="60">
        <f t="shared" si="204"/>
        <v>30179.6495</v>
      </c>
      <c r="CP45" s="59">
        <f t="shared" si="205"/>
        <v>99767.885317099994</v>
      </c>
      <c r="CQ45" s="57">
        <f t="shared" si="206"/>
        <v>29469.540099999998</v>
      </c>
      <c r="CR45" s="59">
        <f t="shared" si="207"/>
        <v>97420.40566258</v>
      </c>
      <c r="CS45" s="55">
        <f t="shared" si="208"/>
        <v>28759.430699999997</v>
      </c>
      <c r="CT45" s="59">
        <f t="shared" si="209"/>
        <v>95072.926008059992</v>
      </c>
      <c r="CU45" s="60">
        <f t="shared" si="210"/>
        <v>28049.3213</v>
      </c>
      <c r="CV45" s="59">
        <f t="shared" si="211"/>
        <v>92725.446353539999</v>
      </c>
      <c r="CW45" s="60">
        <f t="shared" si="212"/>
        <v>27339.211899999998</v>
      </c>
      <c r="CX45" s="59">
        <f t="shared" si="213"/>
        <v>90377.966699019991</v>
      </c>
      <c r="CY45" s="60">
        <f t="shared" si="214"/>
        <v>26629.102499999997</v>
      </c>
      <c r="CZ45" s="59">
        <f t="shared" si="215"/>
        <v>88030.487044499998</v>
      </c>
      <c r="DA45" s="55">
        <f t="shared" si="216"/>
        <v>25918.993099999996</v>
      </c>
      <c r="DB45" s="59">
        <f t="shared" si="217"/>
        <v>85683.00738997999</v>
      </c>
      <c r="DC45" s="60">
        <f t="shared" si="218"/>
        <v>25208.883699999995</v>
      </c>
      <c r="DD45" s="59">
        <f t="shared" si="219"/>
        <v>83335.527735459982</v>
      </c>
      <c r="DE45" s="60">
        <f t="shared" si="220"/>
        <v>24498.774299999994</v>
      </c>
      <c r="DF45" s="59">
        <f t="shared" si="221"/>
        <v>80988.048080939974</v>
      </c>
      <c r="DG45" s="60">
        <f t="shared" si="222"/>
        <v>23788.664899999996</v>
      </c>
      <c r="DH45" s="59">
        <f t="shared" si="223"/>
        <v>78640.568426419995</v>
      </c>
      <c r="DI45" s="60">
        <f t="shared" si="224"/>
        <v>23078.555499999995</v>
      </c>
      <c r="DJ45" s="59">
        <f t="shared" si="225"/>
        <v>76293.088771899987</v>
      </c>
      <c r="DK45" s="55">
        <f t="shared" si="226"/>
        <v>22368.446099999994</v>
      </c>
      <c r="DL45" s="59">
        <f t="shared" si="227"/>
        <v>73945.60911737998</v>
      </c>
      <c r="DM45" s="60">
        <f t="shared" si="228"/>
        <v>21658.336699999993</v>
      </c>
      <c r="DN45" s="59">
        <f t="shared" si="229"/>
        <v>71598.129462859972</v>
      </c>
      <c r="DO45" s="60">
        <f t="shared" si="230"/>
        <v>20948.227299999991</v>
      </c>
      <c r="DP45" s="59">
        <f t="shared" si="231"/>
        <v>69250.649808339978</v>
      </c>
      <c r="DQ45" s="55">
        <f t="shared" si="232"/>
        <v>20238.11789999999</v>
      </c>
      <c r="DR45" s="59">
        <f t="shared" si="233"/>
        <v>66903.17015381997</v>
      </c>
      <c r="DU45" s="55">
        <v>1</v>
      </c>
      <c r="DV45" s="55">
        <v>0.97</v>
      </c>
      <c r="DW45" s="55">
        <v>0.95</v>
      </c>
      <c r="DX45" s="55">
        <v>0.93</v>
      </c>
      <c r="DY45" s="55">
        <f t="shared" si="234"/>
        <v>0.91</v>
      </c>
      <c r="DZ45" s="55">
        <f t="shared" si="234"/>
        <v>0.89</v>
      </c>
      <c r="EA45" s="55">
        <f t="shared" si="234"/>
        <v>0.87</v>
      </c>
      <c r="EB45" s="55">
        <f t="shared" si="234"/>
        <v>0.85</v>
      </c>
      <c r="EC45" s="55">
        <f t="shared" si="234"/>
        <v>0.83</v>
      </c>
      <c r="ED45" s="55">
        <f t="shared" si="234"/>
        <v>0.80999999999999994</v>
      </c>
      <c r="EE45" s="55">
        <f t="shared" si="234"/>
        <v>0.78999999999999992</v>
      </c>
      <c r="EF45" s="55">
        <f t="shared" si="234"/>
        <v>0.76999999999999991</v>
      </c>
      <c r="EG45" s="55">
        <f t="shared" si="234"/>
        <v>0.74999999999999989</v>
      </c>
      <c r="EH45" s="55">
        <f t="shared" si="234"/>
        <v>0.72999999999999987</v>
      </c>
      <c r="EI45" s="55">
        <f t="shared" si="234"/>
        <v>0.70999999999999985</v>
      </c>
      <c r="EJ45" s="55">
        <f t="shared" si="234"/>
        <v>0.68999999999999984</v>
      </c>
      <c r="EK45" s="55">
        <f t="shared" si="234"/>
        <v>0.66999999999999982</v>
      </c>
      <c r="EL45" s="55">
        <f t="shared" si="234"/>
        <v>0.6499999999999998</v>
      </c>
      <c r="EM45" s="55">
        <f t="shared" si="234"/>
        <v>0.62999999999999978</v>
      </c>
      <c r="EN45" s="55">
        <f t="shared" si="234"/>
        <v>0.60999999999999976</v>
      </c>
      <c r="EO45" s="55">
        <f t="shared" si="234"/>
        <v>0.58999999999999975</v>
      </c>
      <c r="EP45" s="55">
        <f t="shared" si="234"/>
        <v>0.56999999999999973</v>
      </c>
      <c r="ER45" s="55">
        <f t="shared" si="142"/>
        <v>32309.977700000003</v>
      </c>
      <c r="ES45" s="55">
        <f t="shared" si="116"/>
        <v>32309.977700000003</v>
      </c>
      <c r="ET45" s="59">
        <f t="shared" si="235"/>
        <v>106810.32428066002</v>
      </c>
      <c r="EU45" s="55">
        <f t="shared" si="236"/>
        <v>31340.678369000001</v>
      </c>
      <c r="EV45" s="59">
        <f t="shared" si="237"/>
        <v>103606.0145522402</v>
      </c>
      <c r="EW45" s="55">
        <f t="shared" si="238"/>
        <v>30694.478815000002</v>
      </c>
      <c r="EX45" s="59">
        <f t="shared" si="239"/>
        <v>101469.80806662701</v>
      </c>
      <c r="EY45" s="55">
        <f t="shared" si="240"/>
        <v>30048.279261000003</v>
      </c>
      <c r="EZ45" s="59">
        <f t="shared" si="241"/>
        <v>99333.60158101382</v>
      </c>
      <c r="FA45" s="57">
        <f t="shared" si="242"/>
        <v>29402.079707000004</v>
      </c>
      <c r="FB45" s="59">
        <f t="shared" si="243"/>
        <v>97197.395095400614</v>
      </c>
      <c r="FC45" s="55">
        <f t="shared" si="244"/>
        <v>28755.880153000002</v>
      </c>
      <c r="FD45" s="59">
        <f t="shared" si="245"/>
        <v>95061.188609787408</v>
      </c>
      <c r="FE45" s="57">
        <f t="shared" si="246"/>
        <v>28109.680599000003</v>
      </c>
      <c r="FF45" s="59">
        <f t="shared" si="247"/>
        <v>92924.982124174217</v>
      </c>
      <c r="FG45" s="60">
        <f t="shared" si="248"/>
        <v>27463.481045</v>
      </c>
      <c r="FH45" s="59">
        <f t="shared" si="249"/>
        <v>90788.775638560997</v>
      </c>
      <c r="FI45" s="57">
        <f t="shared" si="250"/>
        <v>26817.281491000002</v>
      </c>
      <c r="FJ45" s="59">
        <f t="shared" si="251"/>
        <v>88652.569152947806</v>
      </c>
      <c r="FK45" s="55">
        <f t="shared" si="252"/>
        <v>26171.081936999999</v>
      </c>
      <c r="FL45" s="59">
        <f t="shared" si="253"/>
        <v>86516.362667334601</v>
      </c>
      <c r="FM45" s="60">
        <f t="shared" si="254"/>
        <v>25524.882383</v>
      </c>
      <c r="FN45" s="59">
        <f t="shared" si="255"/>
        <v>84380.156181721395</v>
      </c>
      <c r="FO45" s="60">
        <f t="shared" si="256"/>
        <v>24878.682828999998</v>
      </c>
      <c r="FP45" s="59">
        <f t="shared" si="257"/>
        <v>82243.94969610819</v>
      </c>
      <c r="FQ45" s="60">
        <f t="shared" si="258"/>
        <v>24232.483274999999</v>
      </c>
      <c r="FR45" s="59">
        <f t="shared" si="259"/>
        <v>80107.743210494998</v>
      </c>
      <c r="FS45" s="55">
        <f t="shared" si="260"/>
        <v>23586.283721</v>
      </c>
      <c r="FT45" s="59">
        <f t="shared" si="261"/>
        <v>77971.536724881807</v>
      </c>
      <c r="FU45" s="60">
        <f t="shared" si="262"/>
        <v>22940.084166999997</v>
      </c>
      <c r="FV45" s="59">
        <f t="shared" si="263"/>
        <v>75835.330239268587</v>
      </c>
      <c r="FW45" s="60">
        <f t="shared" si="264"/>
        <v>22293.884612999998</v>
      </c>
      <c r="FX45" s="59">
        <f t="shared" si="265"/>
        <v>73699.123753655396</v>
      </c>
      <c r="FY45" s="60">
        <f t="shared" si="266"/>
        <v>21647.685058999996</v>
      </c>
      <c r="FZ45" s="59">
        <f t="shared" si="267"/>
        <v>71562.917268042191</v>
      </c>
      <c r="GA45" s="60">
        <f t="shared" si="268"/>
        <v>21001.485504999997</v>
      </c>
      <c r="GB45" s="59">
        <f t="shared" si="269"/>
        <v>69426.710782428985</v>
      </c>
      <c r="GC45" s="55">
        <f t="shared" si="270"/>
        <v>20355.285950999994</v>
      </c>
      <c r="GD45" s="59">
        <f t="shared" si="271"/>
        <v>67290.50429681578</v>
      </c>
      <c r="GE45" s="60">
        <f t="shared" si="272"/>
        <v>19709.086396999995</v>
      </c>
      <c r="GF45" s="59">
        <f t="shared" si="273"/>
        <v>65154.297811202588</v>
      </c>
      <c r="GG45" s="60">
        <f t="shared" si="274"/>
        <v>19062.886842999993</v>
      </c>
      <c r="GH45" s="59">
        <f t="shared" si="275"/>
        <v>63018.091325589376</v>
      </c>
      <c r="GI45" s="55">
        <f t="shared" si="276"/>
        <v>18416.687288999994</v>
      </c>
      <c r="GJ45" s="59">
        <f t="shared" si="277"/>
        <v>60881.884839976185</v>
      </c>
      <c r="GK45" s="55"/>
      <c r="GL45" s="55"/>
      <c r="GM45" s="55">
        <v>1</v>
      </c>
      <c r="GN45" s="55">
        <v>0.97</v>
      </c>
      <c r="GO45" s="55">
        <v>0.95</v>
      </c>
      <c r="GP45" s="55">
        <v>0.93</v>
      </c>
      <c r="GQ45" s="55">
        <f t="shared" si="278"/>
        <v>0.91</v>
      </c>
      <c r="GR45" s="55">
        <f t="shared" si="278"/>
        <v>0.89</v>
      </c>
      <c r="GS45" s="55">
        <f t="shared" si="278"/>
        <v>0.87</v>
      </c>
      <c r="GT45" s="55">
        <f t="shared" si="278"/>
        <v>0.85</v>
      </c>
      <c r="GU45" s="55">
        <f t="shared" si="278"/>
        <v>0.83</v>
      </c>
      <c r="GV45" s="55">
        <f t="shared" si="278"/>
        <v>0.80999999999999994</v>
      </c>
      <c r="GW45" s="55">
        <f t="shared" si="278"/>
        <v>0.78999999999999992</v>
      </c>
      <c r="GX45" s="55">
        <f t="shared" si="278"/>
        <v>0.76999999999999991</v>
      </c>
      <c r="GY45" s="55">
        <f t="shared" si="278"/>
        <v>0.74999999999999989</v>
      </c>
      <c r="GZ45" s="55">
        <f t="shared" si="278"/>
        <v>0.72999999999999987</v>
      </c>
      <c r="HA45" s="55">
        <f t="shared" si="278"/>
        <v>0.70999999999999985</v>
      </c>
      <c r="HB45" s="55">
        <f t="shared" si="278"/>
        <v>0.68999999999999984</v>
      </c>
      <c r="HC45" s="55">
        <f t="shared" si="278"/>
        <v>0.66999999999999982</v>
      </c>
      <c r="HD45" s="55">
        <f t="shared" si="278"/>
        <v>0.6499999999999998</v>
      </c>
      <c r="HE45" s="55">
        <f t="shared" si="278"/>
        <v>0.62999999999999978</v>
      </c>
      <c r="HF45" s="55">
        <f t="shared" si="278"/>
        <v>0.60999999999999976</v>
      </c>
      <c r="HG45" s="55">
        <f t="shared" si="278"/>
        <v>0.58999999999999975</v>
      </c>
      <c r="HH45" s="55">
        <f t="shared" si="278"/>
        <v>0.56999999999999973</v>
      </c>
    </row>
    <row r="46" spans="1:216" x14ac:dyDescent="0.3">
      <c r="A46" s="2">
        <v>13</v>
      </c>
      <c r="C46" s="38" t="s">
        <v>24</v>
      </c>
      <c r="D46" s="42">
        <f>TRUNC(6315.92265776059,-1)</f>
        <v>6310</v>
      </c>
      <c r="E46" s="71">
        <f t="shared" si="148"/>
        <v>20850</v>
      </c>
      <c r="H46" s="55">
        <f t="shared" si="61"/>
        <v>22935.000000000004</v>
      </c>
      <c r="I46" s="55">
        <f t="shared" si="62"/>
        <v>22935.000000000004</v>
      </c>
      <c r="J46" s="59">
        <f t="shared" si="63"/>
        <v>75818.523000000016</v>
      </c>
      <c r="K46" s="55">
        <f t="shared" si="149"/>
        <v>22246.950000000004</v>
      </c>
      <c r="L46" s="59">
        <f t="shared" si="150"/>
        <v>73543.967310000022</v>
      </c>
      <c r="M46" s="55">
        <f t="shared" si="151"/>
        <v>21788.250000000004</v>
      </c>
      <c r="N46" s="59">
        <f t="shared" si="152"/>
        <v>72027.596850000016</v>
      </c>
      <c r="O46" s="55">
        <f t="shared" si="153"/>
        <v>21329.550000000003</v>
      </c>
      <c r="P46" s="59">
        <f t="shared" si="154"/>
        <v>70511.226390000011</v>
      </c>
      <c r="Q46" s="57">
        <f t="shared" si="155"/>
        <v>20870.850000000006</v>
      </c>
      <c r="R46" s="59">
        <f t="shared" si="156"/>
        <v>68994.85593000002</v>
      </c>
      <c r="S46" s="55">
        <f t="shared" si="157"/>
        <v>20412.150000000005</v>
      </c>
      <c r="T46" s="59">
        <f t="shared" si="158"/>
        <v>67478.485470000014</v>
      </c>
      <c r="U46" s="57">
        <f t="shared" si="159"/>
        <v>19953.450000000004</v>
      </c>
      <c r="V46" s="59">
        <f t="shared" si="160"/>
        <v>65962.115010000009</v>
      </c>
      <c r="W46" s="60">
        <f t="shared" si="161"/>
        <v>19494.750000000004</v>
      </c>
      <c r="X46" s="59">
        <f t="shared" si="162"/>
        <v>64445.74455000001</v>
      </c>
      <c r="Y46" s="57">
        <f t="shared" si="163"/>
        <v>19036.050000000003</v>
      </c>
      <c r="Z46" s="59">
        <f t="shared" si="164"/>
        <v>62929.374090000012</v>
      </c>
      <c r="AA46" s="55">
        <f t="shared" si="165"/>
        <v>18577.350000000002</v>
      </c>
      <c r="AB46" s="59">
        <f t="shared" si="166"/>
        <v>61413.003630000007</v>
      </c>
      <c r="AC46" s="60">
        <f t="shared" si="167"/>
        <v>18118.650000000001</v>
      </c>
      <c r="AD46" s="59">
        <f t="shared" si="168"/>
        <v>59896.633170000008</v>
      </c>
      <c r="AE46" s="60">
        <f t="shared" si="169"/>
        <v>17659.95</v>
      </c>
      <c r="AF46" s="59">
        <f t="shared" si="170"/>
        <v>58380.262710000003</v>
      </c>
      <c r="AG46" s="60">
        <f t="shared" si="171"/>
        <v>17201.25</v>
      </c>
      <c r="AH46" s="59">
        <f t="shared" si="172"/>
        <v>56863.892250000004</v>
      </c>
      <c r="AI46" s="55">
        <f t="shared" si="173"/>
        <v>16742.55</v>
      </c>
      <c r="AJ46" s="59">
        <f t="shared" si="174"/>
        <v>55347.521789999999</v>
      </c>
      <c r="AK46" s="60">
        <f t="shared" si="175"/>
        <v>16283.849999999999</v>
      </c>
      <c r="AL46" s="59">
        <f t="shared" si="176"/>
        <v>53831.151329999993</v>
      </c>
      <c r="AM46" s="60">
        <f t="shared" si="177"/>
        <v>15825.15</v>
      </c>
      <c r="AN46" s="59">
        <f t="shared" si="178"/>
        <v>52314.780870000002</v>
      </c>
      <c r="AO46" s="60">
        <f t="shared" si="179"/>
        <v>15366.449999999999</v>
      </c>
      <c r="AP46" s="59">
        <f t="shared" si="180"/>
        <v>50798.410409999997</v>
      </c>
      <c r="AQ46" s="60">
        <f t="shared" si="181"/>
        <v>14907.749999999998</v>
      </c>
      <c r="AR46" s="59">
        <f t="shared" si="182"/>
        <v>49282.039949999998</v>
      </c>
      <c r="AS46" s="55">
        <f t="shared" si="183"/>
        <v>14449.049999999997</v>
      </c>
      <c r="AT46" s="59">
        <f t="shared" si="184"/>
        <v>47765.669489999993</v>
      </c>
      <c r="AU46" s="60">
        <f t="shared" si="185"/>
        <v>13990.349999999997</v>
      </c>
      <c r="AV46" s="59">
        <f t="shared" si="186"/>
        <v>46249.299029999987</v>
      </c>
      <c r="AW46" s="60">
        <f t="shared" si="187"/>
        <v>13531.649999999996</v>
      </c>
      <c r="AX46" s="59">
        <f t="shared" si="188"/>
        <v>44732.928569999989</v>
      </c>
      <c r="AY46" s="55">
        <f t="shared" si="189"/>
        <v>13072.949999999995</v>
      </c>
      <c r="AZ46" s="59">
        <f t="shared" si="190"/>
        <v>43216.558109999984</v>
      </c>
      <c r="BC46" s="55">
        <v>1</v>
      </c>
      <c r="BD46" s="55">
        <v>0.97</v>
      </c>
      <c r="BE46" s="55">
        <v>0.95</v>
      </c>
      <c r="BF46" s="55">
        <v>0.93</v>
      </c>
      <c r="BG46" s="55">
        <f t="shared" ref="BG46:BX54" si="280">+BF46-0.02</f>
        <v>0.91</v>
      </c>
      <c r="BH46" s="55">
        <f t="shared" si="280"/>
        <v>0.89</v>
      </c>
      <c r="BI46" s="55">
        <f t="shared" si="280"/>
        <v>0.87</v>
      </c>
      <c r="BJ46" s="55">
        <f t="shared" si="280"/>
        <v>0.85</v>
      </c>
      <c r="BK46" s="55">
        <f t="shared" si="280"/>
        <v>0.83</v>
      </c>
      <c r="BL46" s="55">
        <f t="shared" si="280"/>
        <v>0.80999999999999994</v>
      </c>
      <c r="BM46" s="55">
        <f t="shared" si="280"/>
        <v>0.78999999999999992</v>
      </c>
      <c r="BN46" s="55">
        <f t="shared" si="280"/>
        <v>0.76999999999999991</v>
      </c>
      <c r="BO46" s="55">
        <f t="shared" si="280"/>
        <v>0.74999999999999989</v>
      </c>
      <c r="BP46" s="55">
        <f t="shared" si="280"/>
        <v>0.72999999999999987</v>
      </c>
      <c r="BQ46" s="55">
        <f t="shared" si="280"/>
        <v>0.70999999999999985</v>
      </c>
      <c r="BR46" s="55">
        <f t="shared" si="280"/>
        <v>0.68999999999999984</v>
      </c>
      <c r="BS46" s="55">
        <f t="shared" si="280"/>
        <v>0.66999999999999982</v>
      </c>
      <c r="BT46" s="55">
        <f t="shared" si="280"/>
        <v>0.6499999999999998</v>
      </c>
      <c r="BU46" s="55">
        <f t="shared" si="280"/>
        <v>0.62999999999999978</v>
      </c>
      <c r="BV46" s="55">
        <f t="shared" si="280"/>
        <v>0.60999999999999976</v>
      </c>
      <c r="BW46" s="55">
        <f t="shared" si="280"/>
        <v>0.58999999999999975</v>
      </c>
      <c r="BX46" s="55">
        <f t="shared" si="280"/>
        <v>0.56999999999999973</v>
      </c>
      <c r="BZ46" s="55">
        <f t="shared" si="88"/>
        <v>20870.850000000006</v>
      </c>
      <c r="CA46" s="55">
        <f t="shared" si="89"/>
        <v>20870.850000000006</v>
      </c>
      <c r="CB46" s="59">
        <f t="shared" si="191"/>
        <v>68994.85593000002</v>
      </c>
      <c r="CC46" s="55">
        <f t="shared" si="192"/>
        <v>20244.724500000004</v>
      </c>
      <c r="CD46" s="59">
        <f t="shared" si="193"/>
        <v>66925.010252100008</v>
      </c>
      <c r="CE46" s="55">
        <f t="shared" si="194"/>
        <v>19827.307500000006</v>
      </c>
      <c r="CF46" s="59">
        <f t="shared" si="195"/>
        <v>65545.113133500025</v>
      </c>
      <c r="CG46" s="55">
        <f t="shared" si="196"/>
        <v>19409.890500000005</v>
      </c>
      <c r="CH46" s="59">
        <f t="shared" si="197"/>
        <v>64165.216014900019</v>
      </c>
      <c r="CI46" s="57">
        <f t="shared" si="198"/>
        <v>18992.473500000007</v>
      </c>
      <c r="CJ46" s="59">
        <f t="shared" si="199"/>
        <v>62785.318896300028</v>
      </c>
      <c r="CK46" s="55">
        <f t="shared" si="200"/>
        <v>18575.056500000006</v>
      </c>
      <c r="CL46" s="59">
        <f t="shared" si="201"/>
        <v>61405.421777700023</v>
      </c>
      <c r="CM46" s="57">
        <f t="shared" si="202"/>
        <v>18157.639500000005</v>
      </c>
      <c r="CN46" s="59">
        <f t="shared" si="203"/>
        <v>60025.524659100018</v>
      </c>
      <c r="CO46" s="60">
        <f t="shared" si="204"/>
        <v>17740.222500000003</v>
      </c>
      <c r="CP46" s="59">
        <f t="shared" si="205"/>
        <v>58645.627540500012</v>
      </c>
      <c r="CQ46" s="57">
        <f t="shared" si="206"/>
        <v>17322.805500000002</v>
      </c>
      <c r="CR46" s="59">
        <f t="shared" si="207"/>
        <v>57265.730421900007</v>
      </c>
      <c r="CS46" s="55">
        <f t="shared" si="208"/>
        <v>16905.388500000005</v>
      </c>
      <c r="CT46" s="59">
        <f t="shared" si="209"/>
        <v>55885.833303300016</v>
      </c>
      <c r="CU46" s="60">
        <f t="shared" si="210"/>
        <v>16487.971500000003</v>
      </c>
      <c r="CV46" s="59">
        <f t="shared" si="211"/>
        <v>54505.936184700011</v>
      </c>
      <c r="CW46" s="60">
        <f t="shared" si="212"/>
        <v>16070.554500000002</v>
      </c>
      <c r="CX46" s="59">
        <f t="shared" si="213"/>
        <v>53126.039066100006</v>
      </c>
      <c r="CY46" s="60">
        <f t="shared" si="214"/>
        <v>15653.137500000003</v>
      </c>
      <c r="CZ46" s="59">
        <f t="shared" si="215"/>
        <v>51746.141947500008</v>
      </c>
      <c r="DA46" s="55">
        <f t="shared" si="216"/>
        <v>15235.720500000001</v>
      </c>
      <c r="DB46" s="59">
        <f t="shared" si="217"/>
        <v>50366.244828900002</v>
      </c>
      <c r="DC46" s="60">
        <f t="shared" si="218"/>
        <v>14818.303500000002</v>
      </c>
      <c r="DD46" s="59">
        <f t="shared" si="219"/>
        <v>48986.347710300004</v>
      </c>
      <c r="DE46" s="60">
        <f t="shared" si="220"/>
        <v>14400.886500000001</v>
      </c>
      <c r="DF46" s="59">
        <f t="shared" si="221"/>
        <v>47606.450591700006</v>
      </c>
      <c r="DG46" s="60">
        <f t="shared" si="222"/>
        <v>13983.469499999999</v>
      </c>
      <c r="DH46" s="59">
        <f t="shared" si="223"/>
        <v>46226.553473100001</v>
      </c>
      <c r="DI46" s="60">
        <f t="shared" si="224"/>
        <v>13566.0525</v>
      </c>
      <c r="DJ46" s="59">
        <f t="shared" si="225"/>
        <v>44846.656354500003</v>
      </c>
      <c r="DK46" s="55">
        <f t="shared" si="226"/>
        <v>13148.635499999999</v>
      </c>
      <c r="DL46" s="59">
        <f t="shared" si="227"/>
        <v>43466.759235899997</v>
      </c>
      <c r="DM46" s="60">
        <f t="shared" si="228"/>
        <v>12731.218499999999</v>
      </c>
      <c r="DN46" s="59">
        <f t="shared" si="229"/>
        <v>42086.862117299999</v>
      </c>
      <c r="DO46" s="60">
        <f t="shared" si="230"/>
        <v>12313.801499999998</v>
      </c>
      <c r="DP46" s="59">
        <f t="shared" si="231"/>
        <v>40706.964998699994</v>
      </c>
      <c r="DQ46" s="55">
        <f t="shared" si="232"/>
        <v>11896.384499999998</v>
      </c>
      <c r="DR46" s="59">
        <f t="shared" si="233"/>
        <v>39327.067880099996</v>
      </c>
      <c r="DU46" s="55">
        <v>1</v>
      </c>
      <c r="DV46" s="55">
        <v>0.97</v>
      </c>
      <c r="DW46" s="55">
        <v>0.95</v>
      </c>
      <c r="DX46" s="55">
        <v>0.93</v>
      </c>
      <c r="DY46" s="55">
        <f t="shared" si="234"/>
        <v>0.91</v>
      </c>
      <c r="DZ46" s="55">
        <f t="shared" si="234"/>
        <v>0.89</v>
      </c>
      <c r="EA46" s="55">
        <f t="shared" si="234"/>
        <v>0.87</v>
      </c>
      <c r="EB46" s="55">
        <f t="shared" si="234"/>
        <v>0.85</v>
      </c>
      <c r="EC46" s="55">
        <f t="shared" si="234"/>
        <v>0.83</v>
      </c>
      <c r="ED46" s="55">
        <f t="shared" si="234"/>
        <v>0.80999999999999994</v>
      </c>
      <c r="EE46" s="55">
        <f t="shared" si="234"/>
        <v>0.78999999999999992</v>
      </c>
      <c r="EF46" s="55">
        <f t="shared" si="234"/>
        <v>0.76999999999999991</v>
      </c>
      <c r="EG46" s="55">
        <f t="shared" si="234"/>
        <v>0.74999999999999989</v>
      </c>
      <c r="EH46" s="55">
        <f t="shared" si="234"/>
        <v>0.72999999999999987</v>
      </c>
      <c r="EI46" s="55">
        <f t="shared" si="234"/>
        <v>0.70999999999999985</v>
      </c>
      <c r="EJ46" s="55">
        <f t="shared" si="234"/>
        <v>0.68999999999999984</v>
      </c>
      <c r="EK46" s="55">
        <f t="shared" si="234"/>
        <v>0.66999999999999982</v>
      </c>
      <c r="EL46" s="55">
        <f t="shared" si="234"/>
        <v>0.6499999999999998</v>
      </c>
      <c r="EM46" s="55">
        <f t="shared" si="234"/>
        <v>0.62999999999999978</v>
      </c>
      <c r="EN46" s="55">
        <f t="shared" si="234"/>
        <v>0.60999999999999976</v>
      </c>
      <c r="EO46" s="55">
        <f t="shared" si="234"/>
        <v>0.58999999999999975</v>
      </c>
      <c r="EP46" s="55">
        <f t="shared" si="234"/>
        <v>0.56999999999999973</v>
      </c>
      <c r="ER46" s="55">
        <f t="shared" si="142"/>
        <v>18992.473500000007</v>
      </c>
      <c r="ES46" s="55">
        <f t="shared" si="116"/>
        <v>18992.473500000007</v>
      </c>
      <c r="ET46" s="59">
        <f t="shared" si="235"/>
        <v>62785.318896300028</v>
      </c>
      <c r="EU46" s="55">
        <f t="shared" si="236"/>
        <v>18422.699295000006</v>
      </c>
      <c r="EV46" s="59">
        <f t="shared" si="237"/>
        <v>60901.759329411019</v>
      </c>
      <c r="EW46" s="55">
        <f t="shared" si="238"/>
        <v>18042.849825000005</v>
      </c>
      <c r="EX46" s="59">
        <f t="shared" si="239"/>
        <v>59646.05295148502</v>
      </c>
      <c r="EY46" s="55">
        <f t="shared" si="240"/>
        <v>17663.000355000007</v>
      </c>
      <c r="EZ46" s="59">
        <f t="shared" si="241"/>
        <v>58390.346573559029</v>
      </c>
      <c r="FA46" s="57">
        <f t="shared" si="242"/>
        <v>17283.150885000006</v>
      </c>
      <c r="FB46" s="59">
        <f t="shared" si="243"/>
        <v>57134.640195633023</v>
      </c>
      <c r="FC46" s="55">
        <f t="shared" si="244"/>
        <v>16903.301415000005</v>
      </c>
      <c r="FD46" s="59">
        <f t="shared" si="245"/>
        <v>55878.933817707017</v>
      </c>
      <c r="FE46" s="57">
        <f t="shared" si="246"/>
        <v>16523.451945000008</v>
      </c>
      <c r="FF46" s="59">
        <f t="shared" si="247"/>
        <v>54623.227439781025</v>
      </c>
      <c r="FG46" s="60">
        <f t="shared" si="248"/>
        <v>16143.602475000005</v>
      </c>
      <c r="FH46" s="59">
        <f t="shared" si="249"/>
        <v>53367.521061855019</v>
      </c>
      <c r="FI46" s="57">
        <f t="shared" si="250"/>
        <v>15763.753005000006</v>
      </c>
      <c r="FJ46" s="59">
        <f t="shared" si="251"/>
        <v>52111.81468392902</v>
      </c>
      <c r="FK46" s="55">
        <f t="shared" si="252"/>
        <v>15383.903535000005</v>
      </c>
      <c r="FL46" s="59">
        <f t="shared" si="253"/>
        <v>50856.108306003014</v>
      </c>
      <c r="FM46" s="60">
        <f t="shared" si="254"/>
        <v>15004.054065000004</v>
      </c>
      <c r="FN46" s="59">
        <f t="shared" si="255"/>
        <v>49600.401928077015</v>
      </c>
      <c r="FO46" s="60">
        <f t="shared" si="256"/>
        <v>14624.204595000005</v>
      </c>
      <c r="FP46" s="59">
        <f t="shared" si="257"/>
        <v>48344.695550151017</v>
      </c>
      <c r="FQ46" s="60">
        <f t="shared" si="258"/>
        <v>14244.355125000004</v>
      </c>
      <c r="FR46" s="59">
        <f t="shared" si="259"/>
        <v>47088.98917222501</v>
      </c>
      <c r="FS46" s="55">
        <f t="shared" si="260"/>
        <v>13864.505655000003</v>
      </c>
      <c r="FT46" s="59">
        <f t="shared" si="261"/>
        <v>45833.282794299012</v>
      </c>
      <c r="FU46" s="60">
        <f t="shared" si="262"/>
        <v>13484.656185000002</v>
      </c>
      <c r="FV46" s="59">
        <f t="shared" si="263"/>
        <v>44577.576416373005</v>
      </c>
      <c r="FW46" s="60">
        <f t="shared" si="264"/>
        <v>13104.806715000002</v>
      </c>
      <c r="FX46" s="59">
        <f t="shared" si="265"/>
        <v>43321.870038447007</v>
      </c>
      <c r="FY46" s="60">
        <f t="shared" si="266"/>
        <v>12724.957245000001</v>
      </c>
      <c r="FZ46" s="59">
        <f t="shared" si="267"/>
        <v>42066.163660521008</v>
      </c>
      <c r="GA46" s="60">
        <f t="shared" si="268"/>
        <v>12345.107775</v>
      </c>
      <c r="GB46" s="59">
        <f t="shared" si="269"/>
        <v>40810.457282595002</v>
      </c>
      <c r="GC46" s="55">
        <f t="shared" si="270"/>
        <v>11965.258305000001</v>
      </c>
      <c r="GD46" s="59">
        <f t="shared" si="271"/>
        <v>39554.750904669003</v>
      </c>
      <c r="GE46" s="60">
        <f t="shared" si="272"/>
        <v>11585.408835</v>
      </c>
      <c r="GF46" s="59">
        <f t="shared" si="273"/>
        <v>38299.044526743004</v>
      </c>
      <c r="GG46" s="60">
        <f t="shared" si="274"/>
        <v>11205.559364999999</v>
      </c>
      <c r="GH46" s="59">
        <f t="shared" si="275"/>
        <v>37043.338148816998</v>
      </c>
      <c r="GI46" s="55">
        <f t="shared" si="276"/>
        <v>10825.709894999998</v>
      </c>
      <c r="GJ46" s="59">
        <f t="shared" si="277"/>
        <v>35787.631770890992</v>
      </c>
      <c r="GK46" s="55"/>
      <c r="GL46" s="55"/>
      <c r="GM46" s="55">
        <v>1</v>
      </c>
      <c r="GN46" s="55">
        <v>0.97</v>
      </c>
      <c r="GO46" s="55">
        <v>0.95</v>
      </c>
      <c r="GP46" s="55">
        <v>0.93</v>
      </c>
      <c r="GQ46" s="55">
        <f t="shared" si="278"/>
        <v>0.91</v>
      </c>
      <c r="GR46" s="55">
        <f t="shared" si="278"/>
        <v>0.89</v>
      </c>
      <c r="GS46" s="55">
        <f t="shared" si="278"/>
        <v>0.87</v>
      </c>
      <c r="GT46" s="55">
        <f t="shared" si="278"/>
        <v>0.85</v>
      </c>
      <c r="GU46" s="55">
        <f t="shared" si="278"/>
        <v>0.83</v>
      </c>
      <c r="GV46" s="55">
        <f t="shared" si="278"/>
        <v>0.80999999999999994</v>
      </c>
      <c r="GW46" s="55">
        <f t="shared" si="278"/>
        <v>0.78999999999999992</v>
      </c>
      <c r="GX46" s="55">
        <f t="shared" si="278"/>
        <v>0.76999999999999991</v>
      </c>
      <c r="GY46" s="55">
        <f t="shared" si="278"/>
        <v>0.74999999999999989</v>
      </c>
      <c r="GZ46" s="55">
        <f t="shared" si="278"/>
        <v>0.72999999999999987</v>
      </c>
      <c r="HA46" s="55">
        <f t="shared" si="278"/>
        <v>0.70999999999999985</v>
      </c>
      <c r="HB46" s="55">
        <f t="shared" si="278"/>
        <v>0.68999999999999984</v>
      </c>
      <c r="HC46" s="55">
        <f t="shared" si="278"/>
        <v>0.66999999999999982</v>
      </c>
      <c r="HD46" s="55">
        <f t="shared" si="278"/>
        <v>0.6499999999999998</v>
      </c>
      <c r="HE46" s="55">
        <f t="shared" si="278"/>
        <v>0.62999999999999978</v>
      </c>
      <c r="HF46" s="55">
        <f t="shared" si="278"/>
        <v>0.60999999999999976</v>
      </c>
      <c r="HG46" s="55">
        <f t="shared" si="278"/>
        <v>0.58999999999999975</v>
      </c>
      <c r="HH46" s="55">
        <f t="shared" si="278"/>
        <v>0.56999999999999973</v>
      </c>
    </row>
    <row r="47" spans="1:216" x14ac:dyDescent="0.3">
      <c r="A47" s="2">
        <v>14</v>
      </c>
      <c r="C47" s="38" t="s">
        <v>25</v>
      </c>
      <c r="D47" s="42">
        <f>TRUNC(19038.1058182457,-1)</f>
        <v>19030</v>
      </c>
      <c r="E47" s="71">
        <f t="shared" si="148"/>
        <v>62900</v>
      </c>
      <c r="H47" s="55">
        <f t="shared" si="61"/>
        <v>69190</v>
      </c>
      <c r="I47" s="55">
        <f t="shared" si="62"/>
        <v>69190</v>
      </c>
      <c r="J47" s="59">
        <f t="shared" si="63"/>
        <v>228728.302</v>
      </c>
      <c r="K47" s="55">
        <f t="shared" si="149"/>
        <v>67114.3</v>
      </c>
      <c r="L47" s="59">
        <f t="shared" si="150"/>
        <v>221866.45294000002</v>
      </c>
      <c r="M47" s="55">
        <f t="shared" si="151"/>
        <v>65730.5</v>
      </c>
      <c r="N47" s="59">
        <f t="shared" si="152"/>
        <v>217291.88690000001</v>
      </c>
      <c r="O47" s="55">
        <f t="shared" si="153"/>
        <v>64346.700000000004</v>
      </c>
      <c r="P47" s="59">
        <f t="shared" si="154"/>
        <v>212717.32086000001</v>
      </c>
      <c r="Q47" s="57">
        <f t="shared" si="155"/>
        <v>62962.9</v>
      </c>
      <c r="R47" s="59">
        <f t="shared" si="156"/>
        <v>208142.75482</v>
      </c>
      <c r="S47" s="55">
        <f t="shared" si="157"/>
        <v>61579.1</v>
      </c>
      <c r="T47" s="59">
        <f t="shared" si="158"/>
        <v>203568.18878</v>
      </c>
      <c r="U47" s="57">
        <f t="shared" si="159"/>
        <v>60195.3</v>
      </c>
      <c r="V47" s="59">
        <f t="shared" si="160"/>
        <v>198993.62274000002</v>
      </c>
      <c r="W47" s="60">
        <f t="shared" si="161"/>
        <v>58811.5</v>
      </c>
      <c r="X47" s="59">
        <f t="shared" si="162"/>
        <v>194419.05670000002</v>
      </c>
      <c r="Y47" s="57">
        <f t="shared" si="163"/>
        <v>57427.7</v>
      </c>
      <c r="Z47" s="59">
        <f t="shared" si="164"/>
        <v>189844.49065999998</v>
      </c>
      <c r="AA47" s="55">
        <f t="shared" si="165"/>
        <v>56043.899999999994</v>
      </c>
      <c r="AB47" s="59">
        <f t="shared" si="166"/>
        <v>185269.92461999998</v>
      </c>
      <c r="AC47" s="60">
        <f t="shared" si="167"/>
        <v>54660.099999999991</v>
      </c>
      <c r="AD47" s="59">
        <f t="shared" si="168"/>
        <v>180695.35857999997</v>
      </c>
      <c r="AE47" s="60">
        <f t="shared" si="169"/>
        <v>53276.299999999996</v>
      </c>
      <c r="AF47" s="59">
        <f t="shared" si="170"/>
        <v>176120.79253999999</v>
      </c>
      <c r="AG47" s="60">
        <f t="shared" si="171"/>
        <v>51892.499999999993</v>
      </c>
      <c r="AH47" s="59">
        <f t="shared" si="172"/>
        <v>171546.22649999999</v>
      </c>
      <c r="AI47" s="55">
        <f t="shared" si="173"/>
        <v>50508.69999999999</v>
      </c>
      <c r="AJ47" s="59">
        <f t="shared" si="174"/>
        <v>166971.66045999996</v>
      </c>
      <c r="AK47" s="60">
        <f t="shared" si="175"/>
        <v>49124.899999999987</v>
      </c>
      <c r="AL47" s="59">
        <f t="shared" si="176"/>
        <v>162397.09441999995</v>
      </c>
      <c r="AM47" s="60">
        <f t="shared" si="177"/>
        <v>47741.099999999991</v>
      </c>
      <c r="AN47" s="59">
        <f t="shared" si="178"/>
        <v>157822.52837999997</v>
      </c>
      <c r="AO47" s="60">
        <f t="shared" si="179"/>
        <v>46357.299999999988</v>
      </c>
      <c r="AP47" s="59">
        <f t="shared" si="180"/>
        <v>153247.96233999997</v>
      </c>
      <c r="AQ47" s="60">
        <f t="shared" si="181"/>
        <v>44973.499999999985</v>
      </c>
      <c r="AR47" s="59">
        <f t="shared" si="182"/>
        <v>148673.39629999996</v>
      </c>
      <c r="AS47" s="55">
        <f t="shared" si="183"/>
        <v>43589.699999999983</v>
      </c>
      <c r="AT47" s="59">
        <f t="shared" si="184"/>
        <v>144098.83025999996</v>
      </c>
      <c r="AU47" s="60">
        <f t="shared" si="185"/>
        <v>42205.899999999987</v>
      </c>
      <c r="AV47" s="59">
        <f t="shared" si="186"/>
        <v>139524.26421999995</v>
      </c>
      <c r="AW47" s="60">
        <f t="shared" si="187"/>
        <v>40822.099999999984</v>
      </c>
      <c r="AX47" s="59">
        <f t="shared" si="188"/>
        <v>134949.69817999995</v>
      </c>
      <c r="AY47" s="55">
        <f t="shared" si="189"/>
        <v>39438.299999999981</v>
      </c>
      <c r="AZ47" s="59">
        <f t="shared" si="190"/>
        <v>130375.13213999994</v>
      </c>
      <c r="BC47" s="55">
        <v>1</v>
      </c>
      <c r="BD47" s="55">
        <v>0.97</v>
      </c>
      <c r="BE47" s="55">
        <v>0.95</v>
      </c>
      <c r="BF47" s="55">
        <v>0.93</v>
      </c>
      <c r="BG47" s="55">
        <f t="shared" si="280"/>
        <v>0.91</v>
      </c>
      <c r="BH47" s="55">
        <f t="shared" si="280"/>
        <v>0.89</v>
      </c>
      <c r="BI47" s="55">
        <f t="shared" si="280"/>
        <v>0.87</v>
      </c>
      <c r="BJ47" s="55">
        <f t="shared" si="280"/>
        <v>0.85</v>
      </c>
      <c r="BK47" s="55">
        <f t="shared" si="280"/>
        <v>0.83</v>
      </c>
      <c r="BL47" s="55">
        <f t="shared" si="280"/>
        <v>0.80999999999999994</v>
      </c>
      <c r="BM47" s="55">
        <f t="shared" si="280"/>
        <v>0.78999999999999992</v>
      </c>
      <c r="BN47" s="55">
        <f t="shared" si="280"/>
        <v>0.76999999999999991</v>
      </c>
      <c r="BO47" s="55">
        <f t="shared" si="280"/>
        <v>0.74999999999999989</v>
      </c>
      <c r="BP47" s="55">
        <f t="shared" si="280"/>
        <v>0.72999999999999987</v>
      </c>
      <c r="BQ47" s="55">
        <f t="shared" si="280"/>
        <v>0.70999999999999985</v>
      </c>
      <c r="BR47" s="55">
        <f t="shared" si="280"/>
        <v>0.68999999999999984</v>
      </c>
      <c r="BS47" s="55">
        <f t="shared" si="280"/>
        <v>0.66999999999999982</v>
      </c>
      <c r="BT47" s="55">
        <f t="shared" si="280"/>
        <v>0.6499999999999998</v>
      </c>
      <c r="BU47" s="55">
        <f t="shared" si="280"/>
        <v>0.62999999999999978</v>
      </c>
      <c r="BV47" s="55">
        <f t="shared" si="280"/>
        <v>0.60999999999999976</v>
      </c>
      <c r="BW47" s="55">
        <f t="shared" si="280"/>
        <v>0.58999999999999975</v>
      </c>
      <c r="BX47" s="55">
        <f t="shared" si="280"/>
        <v>0.56999999999999973</v>
      </c>
      <c r="BZ47" s="55">
        <f t="shared" si="88"/>
        <v>62962.9</v>
      </c>
      <c r="CA47" s="55">
        <f t="shared" si="89"/>
        <v>62962.9</v>
      </c>
      <c r="CB47" s="59">
        <f t="shared" si="191"/>
        <v>208142.75482</v>
      </c>
      <c r="CC47" s="55">
        <f t="shared" si="192"/>
        <v>61074.012999999999</v>
      </c>
      <c r="CD47" s="59">
        <f t="shared" si="193"/>
        <v>201898.47217540001</v>
      </c>
      <c r="CE47" s="55">
        <f t="shared" si="194"/>
        <v>59814.754999999997</v>
      </c>
      <c r="CF47" s="59">
        <f t="shared" si="195"/>
        <v>197735.61707899999</v>
      </c>
      <c r="CG47" s="55">
        <f t="shared" si="196"/>
        <v>58555.497000000003</v>
      </c>
      <c r="CH47" s="59">
        <f t="shared" si="197"/>
        <v>193572.7619826</v>
      </c>
      <c r="CI47" s="57">
        <f t="shared" si="198"/>
        <v>57296.239000000001</v>
      </c>
      <c r="CJ47" s="59">
        <f t="shared" si="199"/>
        <v>189409.90688620001</v>
      </c>
      <c r="CK47" s="55">
        <f t="shared" si="200"/>
        <v>56036.981</v>
      </c>
      <c r="CL47" s="59">
        <f t="shared" si="201"/>
        <v>185247.0517898</v>
      </c>
      <c r="CM47" s="57">
        <f t="shared" si="202"/>
        <v>54777.722999999998</v>
      </c>
      <c r="CN47" s="59">
        <f t="shared" si="203"/>
        <v>181084.19669340001</v>
      </c>
      <c r="CO47" s="60">
        <f t="shared" si="204"/>
        <v>53518.464999999997</v>
      </c>
      <c r="CP47" s="59">
        <f t="shared" si="205"/>
        <v>176921.34159699999</v>
      </c>
      <c r="CQ47" s="57">
        <f t="shared" si="206"/>
        <v>52259.207000000002</v>
      </c>
      <c r="CR47" s="59">
        <f t="shared" si="207"/>
        <v>172758.4865006</v>
      </c>
      <c r="CS47" s="55">
        <f t="shared" si="208"/>
        <v>50999.949000000001</v>
      </c>
      <c r="CT47" s="59">
        <f t="shared" si="209"/>
        <v>168595.63140420002</v>
      </c>
      <c r="CU47" s="60">
        <f t="shared" si="210"/>
        <v>49740.690999999999</v>
      </c>
      <c r="CV47" s="59">
        <f t="shared" si="211"/>
        <v>164432.7763078</v>
      </c>
      <c r="CW47" s="60">
        <f t="shared" si="212"/>
        <v>48481.432999999997</v>
      </c>
      <c r="CX47" s="59">
        <f t="shared" si="213"/>
        <v>160269.92121139998</v>
      </c>
      <c r="CY47" s="60">
        <f t="shared" si="214"/>
        <v>47222.174999999996</v>
      </c>
      <c r="CZ47" s="59">
        <f t="shared" si="215"/>
        <v>156107.06611499999</v>
      </c>
      <c r="DA47" s="55">
        <f t="shared" si="216"/>
        <v>45962.916999999994</v>
      </c>
      <c r="DB47" s="59">
        <f t="shared" si="217"/>
        <v>151944.21101859998</v>
      </c>
      <c r="DC47" s="60">
        <f t="shared" si="218"/>
        <v>44703.658999999992</v>
      </c>
      <c r="DD47" s="59">
        <f t="shared" si="219"/>
        <v>147781.35592219999</v>
      </c>
      <c r="DE47" s="60">
        <f t="shared" si="220"/>
        <v>43444.400999999991</v>
      </c>
      <c r="DF47" s="59">
        <f t="shared" si="221"/>
        <v>143618.50082579997</v>
      </c>
      <c r="DG47" s="60">
        <f t="shared" si="222"/>
        <v>42185.142999999989</v>
      </c>
      <c r="DH47" s="59">
        <f t="shared" si="223"/>
        <v>139455.64572939996</v>
      </c>
      <c r="DI47" s="60">
        <f t="shared" si="224"/>
        <v>40925.884999999987</v>
      </c>
      <c r="DJ47" s="59">
        <f t="shared" si="225"/>
        <v>135292.79063299997</v>
      </c>
      <c r="DK47" s="55">
        <f t="shared" si="226"/>
        <v>39666.626999999986</v>
      </c>
      <c r="DL47" s="59">
        <f t="shared" si="227"/>
        <v>131129.93553659995</v>
      </c>
      <c r="DM47" s="60">
        <f t="shared" si="228"/>
        <v>38407.368999999984</v>
      </c>
      <c r="DN47" s="59">
        <f t="shared" si="229"/>
        <v>126967.08044019995</v>
      </c>
      <c r="DO47" s="60">
        <f t="shared" si="230"/>
        <v>37148.110999999983</v>
      </c>
      <c r="DP47" s="59">
        <f t="shared" si="231"/>
        <v>122804.22534379995</v>
      </c>
      <c r="DQ47" s="55">
        <f t="shared" si="232"/>
        <v>35888.852999999981</v>
      </c>
      <c r="DR47" s="59">
        <f t="shared" si="233"/>
        <v>118641.37024739994</v>
      </c>
      <c r="DU47" s="55">
        <v>1</v>
      </c>
      <c r="DV47" s="55">
        <v>0.97</v>
      </c>
      <c r="DW47" s="55">
        <v>0.95</v>
      </c>
      <c r="DX47" s="55">
        <v>0.93</v>
      </c>
      <c r="DY47" s="55">
        <f t="shared" si="234"/>
        <v>0.91</v>
      </c>
      <c r="DZ47" s="55">
        <f t="shared" si="234"/>
        <v>0.89</v>
      </c>
      <c r="EA47" s="55">
        <f t="shared" si="234"/>
        <v>0.87</v>
      </c>
      <c r="EB47" s="55">
        <f t="shared" si="234"/>
        <v>0.85</v>
      </c>
      <c r="EC47" s="55">
        <f t="shared" si="234"/>
        <v>0.83</v>
      </c>
      <c r="ED47" s="55">
        <f t="shared" si="234"/>
        <v>0.80999999999999994</v>
      </c>
      <c r="EE47" s="55">
        <f t="shared" si="234"/>
        <v>0.78999999999999992</v>
      </c>
      <c r="EF47" s="55">
        <f t="shared" si="234"/>
        <v>0.76999999999999991</v>
      </c>
      <c r="EG47" s="55">
        <f t="shared" si="234"/>
        <v>0.74999999999999989</v>
      </c>
      <c r="EH47" s="55">
        <f t="shared" si="234"/>
        <v>0.72999999999999987</v>
      </c>
      <c r="EI47" s="55">
        <f t="shared" si="234"/>
        <v>0.70999999999999985</v>
      </c>
      <c r="EJ47" s="55">
        <f t="shared" si="234"/>
        <v>0.68999999999999984</v>
      </c>
      <c r="EK47" s="55">
        <f t="shared" si="234"/>
        <v>0.66999999999999982</v>
      </c>
      <c r="EL47" s="55">
        <f t="shared" si="234"/>
        <v>0.6499999999999998</v>
      </c>
      <c r="EM47" s="55">
        <f t="shared" si="234"/>
        <v>0.62999999999999978</v>
      </c>
      <c r="EN47" s="55">
        <f t="shared" si="234"/>
        <v>0.60999999999999976</v>
      </c>
      <c r="EO47" s="55">
        <f t="shared" si="234"/>
        <v>0.58999999999999975</v>
      </c>
      <c r="EP47" s="55">
        <f t="shared" si="234"/>
        <v>0.56999999999999973</v>
      </c>
      <c r="ER47" s="55">
        <f t="shared" si="142"/>
        <v>57296.239000000001</v>
      </c>
      <c r="ES47" s="55">
        <f t="shared" si="116"/>
        <v>57296.239000000001</v>
      </c>
      <c r="ET47" s="59">
        <f t="shared" si="235"/>
        <v>189409.90688620001</v>
      </c>
      <c r="EU47" s="55">
        <f t="shared" si="236"/>
        <v>55577.35183</v>
      </c>
      <c r="EV47" s="59">
        <f t="shared" si="237"/>
        <v>183727.60967961399</v>
      </c>
      <c r="EW47" s="55">
        <f t="shared" si="238"/>
        <v>54431.427049999998</v>
      </c>
      <c r="EX47" s="59">
        <f t="shared" si="239"/>
        <v>179939.41154189</v>
      </c>
      <c r="EY47" s="55">
        <f t="shared" si="240"/>
        <v>53285.502270000005</v>
      </c>
      <c r="EZ47" s="59">
        <f t="shared" si="241"/>
        <v>176151.21340416602</v>
      </c>
      <c r="FA47" s="57">
        <f t="shared" si="242"/>
        <v>52139.577490000003</v>
      </c>
      <c r="FB47" s="59">
        <f t="shared" si="243"/>
        <v>172363.015266442</v>
      </c>
      <c r="FC47" s="55">
        <f t="shared" si="244"/>
        <v>50993.652710000002</v>
      </c>
      <c r="FD47" s="59">
        <f t="shared" si="245"/>
        <v>168574.81712871802</v>
      </c>
      <c r="FE47" s="57">
        <f t="shared" si="246"/>
        <v>49847.727930000001</v>
      </c>
      <c r="FF47" s="59">
        <f t="shared" si="247"/>
        <v>164786.618990994</v>
      </c>
      <c r="FG47" s="60">
        <f t="shared" si="248"/>
        <v>48701.80315</v>
      </c>
      <c r="FH47" s="59">
        <f t="shared" si="249"/>
        <v>160998.42085327001</v>
      </c>
      <c r="FI47" s="57">
        <f t="shared" si="250"/>
        <v>47555.878369999999</v>
      </c>
      <c r="FJ47" s="59">
        <f t="shared" si="251"/>
        <v>157210.222715546</v>
      </c>
      <c r="FK47" s="55">
        <f t="shared" si="252"/>
        <v>46409.953589999997</v>
      </c>
      <c r="FL47" s="59">
        <f t="shared" si="253"/>
        <v>153422.02457782198</v>
      </c>
      <c r="FM47" s="60">
        <f t="shared" si="254"/>
        <v>45264.028809999996</v>
      </c>
      <c r="FN47" s="59">
        <f t="shared" si="255"/>
        <v>149633.826440098</v>
      </c>
      <c r="FO47" s="60">
        <f t="shared" si="256"/>
        <v>44118.104029999995</v>
      </c>
      <c r="FP47" s="59">
        <f t="shared" si="257"/>
        <v>145845.62830237398</v>
      </c>
      <c r="FQ47" s="60">
        <f t="shared" si="258"/>
        <v>42972.179249999994</v>
      </c>
      <c r="FR47" s="59">
        <f t="shared" si="259"/>
        <v>142057.43016465</v>
      </c>
      <c r="FS47" s="55">
        <f t="shared" si="260"/>
        <v>41826.254469999993</v>
      </c>
      <c r="FT47" s="59">
        <f t="shared" si="261"/>
        <v>138269.23202692598</v>
      </c>
      <c r="FU47" s="60">
        <f t="shared" si="262"/>
        <v>40680.329689999991</v>
      </c>
      <c r="FV47" s="59">
        <f t="shared" si="263"/>
        <v>134481.03388920196</v>
      </c>
      <c r="FW47" s="60">
        <f t="shared" si="264"/>
        <v>39534.40490999999</v>
      </c>
      <c r="FX47" s="59">
        <f t="shared" si="265"/>
        <v>130692.83575147796</v>
      </c>
      <c r="FY47" s="60">
        <f t="shared" si="266"/>
        <v>38388.480129999989</v>
      </c>
      <c r="FZ47" s="59">
        <f t="shared" si="267"/>
        <v>126904.63761375396</v>
      </c>
      <c r="GA47" s="60">
        <f t="shared" si="268"/>
        <v>37242.555349999988</v>
      </c>
      <c r="GB47" s="59">
        <f t="shared" si="269"/>
        <v>123116.43947602996</v>
      </c>
      <c r="GC47" s="55">
        <f t="shared" si="270"/>
        <v>36096.630569999987</v>
      </c>
      <c r="GD47" s="59">
        <f t="shared" si="271"/>
        <v>119328.24133830596</v>
      </c>
      <c r="GE47" s="60">
        <f t="shared" si="272"/>
        <v>34950.705789999985</v>
      </c>
      <c r="GF47" s="59">
        <f t="shared" si="273"/>
        <v>115540.04320058196</v>
      </c>
      <c r="GG47" s="60">
        <f t="shared" si="274"/>
        <v>33804.781009999984</v>
      </c>
      <c r="GH47" s="59">
        <f t="shared" si="275"/>
        <v>111751.84506285794</v>
      </c>
      <c r="GI47" s="55">
        <f t="shared" si="276"/>
        <v>32658.856229999987</v>
      </c>
      <c r="GJ47" s="59">
        <f t="shared" si="277"/>
        <v>107963.64692513396</v>
      </c>
      <c r="GK47" s="55"/>
      <c r="GL47" s="55"/>
      <c r="GM47" s="55">
        <v>1</v>
      </c>
      <c r="GN47" s="55">
        <v>0.97</v>
      </c>
      <c r="GO47" s="55">
        <v>0.95</v>
      </c>
      <c r="GP47" s="55">
        <v>0.93</v>
      </c>
      <c r="GQ47" s="55">
        <f t="shared" si="278"/>
        <v>0.91</v>
      </c>
      <c r="GR47" s="55">
        <f t="shared" si="278"/>
        <v>0.89</v>
      </c>
      <c r="GS47" s="55">
        <f t="shared" si="278"/>
        <v>0.87</v>
      </c>
      <c r="GT47" s="55">
        <f t="shared" si="278"/>
        <v>0.85</v>
      </c>
      <c r="GU47" s="55">
        <f t="shared" si="278"/>
        <v>0.83</v>
      </c>
      <c r="GV47" s="55">
        <f t="shared" si="278"/>
        <v>0.80999999999999994</v>
      </c>
      <c r="GW47" s="55">
        <f t="shared" si="278"/>
        <v>0.78999999999999992</v>
      </c>
      <c r="GX47" s="55">
        <f t="shared" si="278"/>
        <v>0.76999999999999991</v>
      </c>
      <c r="GY47" s="55">
        <f t="shared" si="278"/>
        <v>0.74999999999999989</v>
      </c>
      <c r="GZ47" s="55">
        <f t="shared" si="278"/>
        <v>0.72999999999999987</v>
      </c>
      <c r="HA47" s="55">
        <f t="shared" si="278"/>
        <v>0.70999999999999985</v>
      </c>
      <c r="HB47" s="55">
        <f t="shared" si="278"/>
        <v>0.68999999999999984</v>
      </c>
      <c r="HC47" s="55">
        <f t="shared" si="278"/>
        <v>0.66999999999999982</v>
      </c>
      <c r="HD47" s="55">
        <f t="shared" si="278"/>
        <v>0.6499999999999998</v>
      </c>
      <c r="HE47" s="55">
        <f t="shared" si="278"/>
        <v>0.62999999999999978</v>
      </c>
      <c r="HF47" s="55">
        <f t="shared" si="278"/>
        <v>0.60999999999999976</v>
      </c>
      <c r="HG47" s="55">
        <f t="shared" si="278"/>
        <v>0.58999999999999975</v>
      </c>
      <c r="HH47" s="55">
        <f t="shared" si="278"/>
        <v>0.56999999999999973</v>
      </c>
    </row>
    <row r="48" spans="1:216" x14ac:dyDescent="0.3">
      <c r="A48" s="2">
        <v>15</v>
      </c>
      <c r="C48" s="38" t="s">
        <v>149</v>
      </c>
      <c r="D48" s="42">
        <v>0</v>
      </c>
      <c r="E48" s="71">
        <f t="shared" si="148"/>
        <v>0</v>
      </c>
      <c r="H48" s="55">
        <f t="shared" si="61"/>
        <v>0</v>
      </c>
      <c r="I48" s="55">
        <f t="shared" si="62"/>
        <v>0</v>
      </c>
      <c r="J48" s="59">
        <f t="shared" si="63"/>
        <v>0</v>
      </c>
      <c r="K48" s="55">
        <f t="shared" si="149"/>
        <v>0</v>
      </c>
      <c r="L48" s="59">
        <f t="shared" si="150"/>
        <v>0</v>
      </c>
      <c r="M48" s="55">
        <f t="shared" si="151"/>
        <v>0</v>
      </c>
      <c r="N48" s="59">
        <f t="shared" si="152"/>
        <v>0</v>
      </c>
      <c r="O48" s="55">
        <f t="shared" si="153"/>
        <v>0</v>
      </c>
      <c r="P48" s="59">
        <f t="shared" si="154"/>
        <v>0</v>
      </c>
      <c r="Q48" s="57">
        <f t="shared" si="155"/>
        <v>0</v>
      </c>
      <c r="R48" s="59">
        <f t="shared" si="156"/>
        <v>0</v>
      </c>
      <c r="S48" s="55">
        <f t="shared" si="157"/>
        <v>0</v>
      </c>
      <c r="T48" s="59">
        <f t="shared" si="158"/>
        <v>0</v>
      </c>
      <c r="U48" s="57">
        <f t="shared" si="159"/>
        <v>0</v>
      </c>
      <c r="V48" s="59">
        <f t="shared" si="160"/>
        <v>0</v>
      </c>
      <c r="W48" s="60">
        <f t="shared" si="161"/>
        <v>0</v>
      </c>
      <c r="X48" s="59">
        <f t="shared" si="162"/>
        <v>0</v>
      </c>
      <c r="Y48" s="57">
        <f t="shared" si="163"/>
        <v>0</v>
      </c>
      <c r="Z48" s="59">
        <f t="shared" si="164"/>
        <v>0</v>
      </c>
      <c r="AA48" s="55">
        <f t="shared" si="165"/>
        <v>0</v>
      </c>
      <c r="AB48" s="59">
        <f t="shared" si="166"/>
        <v>0</v>
      </c>
      <c r="AC48" s="60">
        <f t="shared" si="167"/>
        <v>0</v>
      </c>
      <c r="AD48" s="59">
        <f t="shared" si="168"/>
        <v>0</v>
      </c>
      <c r="AE48" s="60">
        <f t="shared" si="169"/>
        <v>0</v>
      </c>
      <c r="AF48" s="59">
        <f t="shared" si="170"/>
        <v>0</v>
      </c>
      <c r="AG48" s="60">
        <f t="shared" si="171"/>
        <v>0</v>
      </c>
      <c r="AH48" s="59">
        <f t="shared" si="172"/>
        <v>0</v>
      </c>
      <c r="AI48" s="55">
        <f t="shared" si="173"/>
        <v>0</v>
      </c>
      <c r="AJ48" s="59">
        <f t="shared" si="174"/>
        <v>0</v>
      </c>
      <c r="AK48" s="60">
        <f t="shared" si="175"/>
        <v>0</v>
      </c>
      <c r="AL48" s="59">
        <f t="shared" si="176"/>
        <v>0</v>
      </c>
      <c r="AM48" s="60">
        <f t="shared" si="177"/>
        <v>0</v>
      </c>
      <c r="AN48" s="59">
        <f t="shared" si="178"/>
        <v>0</v>
      </c>
      <c r="AO48" s="60">
        <f t="shared" si="179"/>
        <v>0</v>
      </c>
      <c r="AP48" s="59">
        <f t="shared" si="180"/>
        <v>0</v>
      </c>
      <c r="AQ48" s="60">
        <f t="shared" si="181"/>
        <v>0</v>
      </c>
      <c r="AR48" s="59">
        <f t="shared" si="182"/>
        <v>0</v>
      </c>
      <c r="AS48" s="55">
        <f t="shared" si="183"/>
        <v>0</v>
      </c>
      <c r="AT48" s="59">
        <f t="shared" si="184"/>
        <v>0</v>
      </c>
      <c r="AU48" s="60">
        <f t="shared" si="185"/>
        <v>0</v>
      </c>
      <c r="AV48" s="59">
        <f t="shared" si="186"/>
        <v>0</v>
      </c>
      <c r="AW48" s="60">
        <f t="shared" si="187"/>
        <v>0</v>
      </c>
      <c r="AX48" s="59">
        <f t="shared" si="188"/>
        <v>0</v>
      </c>
      <c r="AY48" s="55">
        <f t="shared" si="189"/>
        <v>0</v>
      </c>
      <c r="AZ48" s="59">
        <f t="shared" si="190"/>
        <v>0</v>
      </c>
      <c r="BC48" s="55">
        <v>1</v>
      </c>
      <c r="BD48" s="55">
        <v>0.97</v>
      </c>
      <c r="BE48" s="55">
        <v>0.95</v>
      </c>
      <c r="BF48" s="55">
        <v>0.93</v>
      </c>
      <c r="BG48" s="55">
        <f t="shared" si="280"/>
        <v>0.91</v>
      </c>
      <c r="BH48" s="55">
        <f t="shared" si="280"/>
        <v>0.89</v>
      </c>
      <c r="BI48" s="55">
        <f t="shared" si="280"/>
        <v>0.87</v>
      </c>
      <c r="BJ48" s="55">
        <f t="shared" si="280"/>
        <v>0.85</v>
      </c>
      <c r="BK48" s="55">
        <f t="shared" si="280"/>
        <v>0.83</v>
      </c>
      <c r="BL48" s="55">
        <f t="shared" si="280"/>
        <v>0.80999999999999994</v>
      </c>
      <c r="BM48" s="55">
        <f t="shared" si="280"/>
        <v>0.78999999999999992</v>
      </c>
      <c r="BN48" s="55">
        <f t="shared" si="280"/>
        <v>0.76999999999999991</v>
      </c>
      <c r="BO48" s="55">
        <f t="shared" si="280"/>
        <v>0.74999999999999989</v>
      </c>
      <c r="BP48" s="55">
        <f t="shared" si="280"/>
        <v>0.72999999999999987</v>
      </c>
      <c r="BQ48" s="55">
        <f t="shared" si="280"/>
        <v>0.70999999999999985</v>
      </c>
      <c r="BR48" s="55">
        <f t="shared" si="280"/>
        <v>0.68999999999999984</v>
      </c>
      <c r="BS48" s="55">
        <f t="shared" si="280"/>
        <v>0.66999999999999982</v>
      </c>
      <c r="BT48" s="55">
        <f t="shared" si="280"/>
        <v>0.6499999999999998</v>
      </c>
      <c r="BU48" s="55">
        <f t="shared" si="280"/>
        <v>0.62999999999999978</v>
      </c>
      <c r="BV48" s="55">
        <f t="shared" si="280"/>
        <v>0.60999999999999976</v>
      </c>
      <c r="BW48" s="55">
        <f t="shared" si="280"/>
        <v>0.58999999999999975</v>
      </c>
      <c r="BX48" s="55">
        <f t="shared" si="280"/>
        <v>0.56999999999999973</v>
      </c>
      <c r="BZ48" s="55">
        <f t="shared" si="88"/>
        <v>0</v>
      </c>
      <c r="CA48" s="55">
        <f t="shared" si="89"/>
        <v>0</v>
      </c>
      <c r="CB48" s="59">
        <f t="shared" si="191"/>
        <v>0</v>
      </c>
      <c r="CC48" s="55">
        <f t="shared" si="192"/>
        <v>0</v>
      </c>
      <c r="CD48" s="59">
        <f t="shared" si="193"/>
        <v>0</v>
      </c>
      <c r="CE48" s="55">
        <f t="shared" si="194"/>
        <v>0</v>
      </c>
      <c r="CF48" s="59">
        <f t="shared" si="195"/>
        <v>0</v>
      </c>
      <c r="CG48" s="55">
        <f t="shared" si="196"/>
        <v>0</v>
      </c>
      <c r="CH48" s="59">
        <f t="shared" si="197"/>
        <v>0</v>
      </c>
      <c r="CI48" s="57">
        <f t="shared" si="198"/>
        <v>0</v>
      </c>
      <c r="CJ48" s="59">
        <f t="shared" si="199"/>
        <v>0</v>
      </c>
      <c r="CK48" s="55">
        <f t="shared" si="200"/>
        <v>0</v>
      </c>
      <c r="CL48" s="59">
        <f t="shared" si="201"/>
        <v>0</v>
      </c>
      <c r="CM48" s="57">
        <f t="shared" si="202"/>
        <v>0</v>
      </c>
      <c r="CN48" s="59">
        <f t="shared" si="203"/>
        <v>0</v>
      </c>
      <c r="CO48" s="60">
        <f t="shared" si="204"/>
        <v>0</v>
      </c>
      <c r="CP48" s="59">
        <f t="shared" si="205"/>
        <v>0</v>
      </c>
      <c r="CQ48" s="57">
        <f t="shared" si="206"/>
        <v>0</v>
      </c>
      <c r="CR48" s="59">
        <f t="shared" si="207"/>
        <v>0</v>
      </c>
      <c r="CS48" s="55">
        <f t="shared" si="208"/>
        <v>0</v>
      </c>
      <c r="CT48" s="59">
        <f t="shared" si="209"/>
        <v>0</v>
      </c>
      <c r="CU48" s="60">
        <f t="shared" si="210"/>
        <v>0</v>
      </c>
      <c r="CV48" s="59">
        <f t="shared" si="211"/>
        <v>0</v>
      </c>
      <c r="CW48" s="60">
        <f t="shared" si="212"/>
        <v>0</v>
      </c>
      <c r="CX48" s="59">
        <f t="shared" si="213"/>
        <v>0</v>
      </c>
      <c r="CY48" s="60">
        <f t="shared" si="214"/>
        <v>0</v>
      </c>
      <c r="CZ48" s="59">
        <f t="shared" si="215"/>
        <v>0</v>
      </c>
      <c r="DA48" s="55">
        <f t="shared" si="216"/>
        <v>0</v>
      </c>
      <c r="DB48" s="59">
        <f t="shared" si="217"/>
        <v>0</v>
      </c>
      <c r="DC48" s="60">
        <f t="shared" si="218"/>
        <v>0</v>
      </c>
      <c r="DD48" s="59">
        <f t="shared" si="219"/>
        <v>0</v>
      </c>
      <c r="DE48" s="60">
        <f t="shared" si="220"/>
        <v>0</v>
      </c>
      <c r="DF48" s="59">
        <f t="shared" si="221"/>
        <v>0</v>
      </c>
      <c r="DG48" s="60">
        <f t="shared" si="222"/>
        <v>0</v>
      </c>
      <c r="DH48" s="59">
        <f t="shared" si="223"/>
        <v>0</v>
      </c>
      <c r="DI48" s="60">
        <f t="shared" si="224"/>
        <v>0</v>
      </c>
      <c r="DJ48" s="59">
        <f t="shared" si="225"/>
        <v>0</v>
      </c>
      <c r="DK48" s="55">
        <f t="shared" si="226"/>
        <v>0</v>
      </c>
      <c r="DL48" s="59">
        <f t="shared" si="227"/>
        <v>0</v>
      </c>
      <c r="DM48" s="60">
        <f t="shared" si="228"/>
        <v>0</v>
      </c>
      <c r="DN48" s="59">
        <f t="shared" si="229"/>
        <v>0</v>
      </c>
      <c r="DO48" s="60">
        <f t="shared" si="230"/>
        <v>0</v>
      </c>
      <c r="DP48" s="59">
        <f t="shared" si="231"/>
        <v>0</v>
      </c>
      <c r="DQ48" s="55">
        <f t="shared" si="232"/>
        <v>0</v>
      </c>
      <c r="DR48" s="59">
        <f t="shared" si="233"/>
        <v>0</v>
      </c>
      <c r="DU48" s="55">
        <v>1</v>
      </c>
      <c r="DV48" s="55">
        <v>0.97</v>
      </c>
      <c r="DW48" s="55">
        <v>0.95</v>
      </c>
      <c r="DX48" s="55">
        <v>0.93</v>
      </c>
      <c r="DY48" s="55">
        <f t="shared" si="234"/>
        <v>0.91</v>
      </c>
      <c r="DZ48" s="55">
        <f t="shared" si="234"/>
        <v>0.89</v>
      </c>
      <c r="EA48" s="55">
        <f t="shared" si="234"/>
        <v>0.87</v>
      </c>
      <c r="EB48" s="55">
        <f t="shared" ref="EB48:EP48" si="281">+EA48-0.02</f>
        <v>0.85</v>
      </c>
      <c r="EC48" s="55">
        <f t="shared" si="281"/>
        <v>0.83</v>
      </c>
      <c r="ED48" s="55">
        <f t="shared" si="281"/>
        <v>0.80999999999999994</v>
      </c>
      <c r="EE48" s="55">
        <f t="shared" si="281"/>
        <v>0.78999999999999992</v>
      </c>
      <c r="EF48" s="55">
        <f t="shared" si="281"/>
        <v>0.76999999999999991</v>
      </c>
      <c r="EG48" s="55">
        <f t="shared" si="281"/>
        <v>0.74999999999999989</v>
      </c>
      <c r="EH48" s="55">
        <f t="shared" si="281"/>
        <v>0.72999999999999987</v>
      </c>
      <c r="EI48" s="55">
        <f t="shared" si="281"/>
        <v>0.70999999999999985</v>
      </c>
      <c r="EJ48" s="55">
        <f t="shared" si="281"/>
        <v>0.68999999999999984</v>
      </c>
      <c r="EK48" s="55">
        <f t="shared" si="281"/>
        <v>0.66999999999999982</v>
      </c>
      <c r="EL48" s="55">
        <f t="shared" si="281"/>
        <v>0.6499999999999998</v>
      </c>
      <c r="EM48" s="55">
        <f t="shared" si="281"/>
        <v>0.62999999999999978</v>
      </c>
      <c r="EN48" s="55">
        <f t="shared" si="281"/>
        <v>0.60999999999999976</v>
      </c>
      <c r="EO48" s="55">
        <f t="shared" si="281"/>
        <v>0.58999999999999975</v>
      </c>
      <c r="EP48" s="55">
        <f t="shared" si="281"/>
        <v>0.56999999999999973</v>
      </c>
      <c r="ER48" s="55">
        <f t="shared" si="142"/>
        <v>0</v>
      </c>
      <c r="ES48" s="55">
        <f t="shared" si="116"/>
        <v>0</v>
      </c>
      <c r="ET48" s="59">
        <f t="shared" si="235"/>
        <v>0</v>
      </c>
      <c r="EU48" s="55">
        <f t="shared" si="236"/>
        <v>0</v>
      </c>
      <c r="EV48" s="59">
        <f t="shared" si="237"/>
        <v>0</v>
      </c>
      <c r="EW48" s="55">
        <f t="shared" si="238"/>
        <v>0</v>
      </c>
      <c r="EX48" s="59">
        <f t="shared" si="239"/>
        <v>0</v>
      </c>
      <c r="EY48" s="55">
        <f t="shared" si="240"/>
        <v>0</v>
      </c>
      <c r="EZ48" s="59">
        <f t="shared" si="241"/>
        <v>0</v>
      </c>
      <c r="FA48" s="57">
        <f t="shared" si="242"/>
        <v>0</v>
      </c>
      <c r="FB48" s="59">
        <f t="shared" si="243"/>
        <v>0</v>
      </c>
      <c r="FC48" s="55">
        <f t="shared" si="244"/>
        <v>0</v>
      </c>
      <c r="FD48" s="59">
        <f t="shared" si="245"/>
        <v>0</v>
      </c>
      <c r="FE48" s="57">
        <f t="shared" si="246"/>
        <v>0</v>
      </c>
      <c r="FF48" s="59">
        <f t="shared" si="247"/>
        <v>0</v>
      </c>
      <c r="FG48" s="60">
        <f t="shared" si="248"/>
        <v>0</v>
      </c>
      <c r="FH48" s="59">
        <f t="shared" si="249"/>
        <v>0</v>
      </c>
      <c r="FI48" s="57">
        <f t="shared" si="250"/>
        <v>0</v>
      </c>
      <c r="FJ48" s="59">
        <f t="shared" si="251"/>
        <v>0</v>
      </c>
      <c r="FK48" s="55">
        <f t="shared" si="252"/>
        <v>0</v>
      </c>
      <c r="FL48" s="59">
        <f t="shared" si="253"/>
        <v>0</v>
      </c>
      <c r="FM48" s="60">
        <f t="shared" si="254"/>
        <v>0</v>
      </c>
      <c r="FN48" s="59">
        <f t="shared" si="255"/>
        <v>0</v>
      </c>
      <c r="FO48" s="60">
        <f t="shared" si="256"/>
        <v>0</v>
      </c>
      <c r="FP48" s="59">
        <f t="shared" si="257"/>
        <v>0</v>
      </c>
      <c r="FQ48" s="60">
        <f t="shared" si="258"/>
        <v>0</v>
      </c>
      <c r="FR48" s="59">
        <f t="shared" si="259"/>
        <v>0</v>
      </c>
      <c r="FS48" s="55">
        <f t="shared" si="260"/>
        <v>0</v>
      </c>
      <c r="FT48" s="59">
        <f t="shared" si="261"/>
        <v>0</v>
      </c>
      <c r="FU48" s="60">
        <f t="shared" si="262"/>
        <v>0</v>
      </c>
      <c r="FV48" s="59">
        <f t="shared" si="263"/>
        <v>0</v>
      </c>
      <c r="FW48" s="60">
        <f t="shared" si="264"/>
        <v>0</v>
      </c>
      <c r="FX48" s="59">
        <f t="shared" si="265"/>
        <v>0</v>
      </c>
      <c r="FY48" s="60">
        <f t="shared" si="266"/>
        <v>0</v>
      </c>
      <c r="FZ48" s="59">
        <f t="shared" si="267"/>
        <v>0</v>
      </c>
      <c r="GA48" s="60">
        <f t="shared" si="268"/>
        <v>0</v>
      </c>
      <c r="GB48" s="59">
        <f t="shared" si="269"/>
        <v>0</v>
      </c>
      <c r="GC48" s="55">
        <f t="shared" si="270"/>
        <v>0</v>
      </c>
      <c r="GD48" s="59">
        <f t="shared" si="271"/>
        <v>0</v>
      </c>
      <c r="GE48" s="60">
        <f t="shared" si="272"/>
        <v>0</v>
      </c>
      <c r="GF48" s="59">
        <f t="shared" si="273"/>
        <v>0</v>
      </c>
      <c r="GG48" s="60">
        <f t="shared" si="274"/>
        <v>0</v>
      </c>
      <c r="GH48" s="59">
        <f t="shared" si="275"/>
        <v>0</v>
      </c>
      <c r="GI48" s="55">
        <f t="shared" si="276"/>
        <v>0</v>
      </c>
      <c r="GJ48" s="59">
        <f t="shared" si="277"/>
        <v>0</v>
      </c>
      <c r="GK48" s="55"/>
      <c r="GL48" s="55"/>
      <c r="GM48" s="55">
        <v>1</v>
      </c>
      <c r="GN48" s="55">
        <v>0.97</v>
      </c>
      <c r="GO48" s="55">
        <v>0.95</v>
      </c>
      <c r="GP48" s="55">
        <v>0.93</v>
      </c>
      <c r="GQ48" s="55">
        <f t="shared" si="278"/>
        <v>0.91</v>
      </c>
      <c r="GR48" s="55">
        <f t="shared" si="278"/>
        <v>0.89</v>
      </c>
      <c r="GS48" s="55">
        <f t="shared" si="278"/>
        <v>0.87</v>
      </c>
      <c r="GT48" s="55">
        <f t="shared" ref="GT48:HH48" si="282">+GS48-0.02</f>
        <v>0.85</v>
      </c>
      <c r="GU48" s="55">
        <f t="shared" si="282"/>
        <v>0.83</v>
      </c>
      <c r="GV48" s="55">
        <f t="shared" si="282"/>
        <v>0.80999999999999994</v>
      </c>
      <c r="GW48" s="55">
        <f t="shared" si="282"/>
        <v>0.78999999999999992</v>
      </c>
      <c r="GX48" s="55">
        <f t="shared" si="282"/>
        <v>0.76999999999999991</v>
      </c>
      <c r="GY48" s="55">
        <f t="shared" si="282"/>
        <v>0.74999999999999989</v>
      </c>
      <c r="GZ48" s="55">
        <f t="shared" si="282"/>
        <v>0.72999999999999987</v>
      </c>
      <c r="HA48" s="55">
        <f t="shared" si="282"/>
        <v>0.70999999999999985</v>
      </c>
      <c r="HB48" s="55">
        <f t="shared" si="282"/>
        <v>0.68999999999999984</v>
      </c>
      <c r="HC48" s="55">
        <f t="shared" si="282"/>
        <v>0.66999999999999982</v>
      </c>
      <c r="HD48" s="55">
        <f t="shared" si="282"/>
        <v>0.6499999999999998</v>
      </c>
      <c r="HE48" s="55">
        <f t="shared" si="282"/>
        <v>0.62999999999999978</v>
      </c>
      <c r="HF48" s="55">
        <f t="shared" si="282"/>
        <v>0.60999999999999976</v>
      </c>
      <c r="HG48" s="55">
        <f t="shared" si="282"/>
        <v>0.58999999999999975</v>
      </c>
      <c r="HH48" s="55">
        <f t="shared" si="282"/>
        <v>0.56999999999999973</v>
      </c>
    </row>
    <row r="49" spans="1:216" x14ac:dyDescent="0.3">
      <c r="A49" s="2">
        <v>16</v>
      </c>
      <c r="C49" s="38" t="s">
        <v>146</v>
      </c>
      <c r="D49" s="42">
        <f>TRUNC(559.241606609246,-1)</f>
        <v>550</v>
      </c>
      <c r="E49" s="71">
        <f t="shared" si="148"/>
        <v>1810</v>
      </c>
      <c r="H49" s="55">
        <f t="shared" si="61"/>
        <v>1991.0000000000002</v>
      </c>
      <c r="I49" s="55">
        <f t="shared" si="62"/>
        <v>1991.0000000000002</v>
      </c>
      <c r="J49" s="59">
        <f t="shared" si="63"/>
        <v>6581.8478000000005</v>
      </c>
      <c r="K49" s="55">
        <f t="shared" si="149"/>
        <v>1931.2700000000002</v>
      </c>
      <c r="L49" s="59">
        <f t="shared" si="150"/>
        <v>6384.3923660000009</v>
      </c>
      <c r="M49" s="55">
        <f t="shared" si="151"/>
        <v>1891.45</v>
      </c>
      <c r="N49" s="59">
        <f t="shared" si="152"/>
        <v>6252.7554100000007</v>
      </c>
      <c r="O49" s="55">
        <f t="shared" si="153"/>
        <v>1851.6300000000003</v>
      </c>
      <c r="P49" s="59">
        <f t="shared" si="154"/>
        <v>6121.1184540000013</v>
      </c>
      <c r="Q49" s="57">
        <f t="shared" si="155"/>
        <v>1811.8100000000002</v>
      </c>
      <c r="R49" s="59">
        <f t="shared" si="156"/>
        <v>5989.481498000001</v>
      </c>
      <c r="S49" s="55">
        <f t="shared" si="157"/>
        <v>1771.9900000000002</v>
      </c>
      <c r="T49" s="59">
        <f t="shared" si="158"/>
        <v>5857.8445420000007</v>
      </c>
      <c r="U49" s="57">
        <f t="shared" si="159"/>
        <v>1732.1700000000003</v>
      </c>
      <c r="V49" s="59">
        <f t="shared" si="160"/>
        <v>5726.2075860000014</v>
      </c>
      <c r="W49" s="60">
        <f t="shared" si="161"/>
        <v>1692.3500000000001</v>
      </c>
      <c r="X49" s="59">
        <f t="shared" si="162"/>
        <v>5594.5706300000002</v>
      </c>
      <c r="Y49" s="57">
        <f t="shared" si="163"/>
        <v>1652.5300000000002</v>
      </c>
      <c r="Z49" s="59">
        <f t="shared" si="164"/>
        <v>5462.9336740000008</v>
      </c>
      <c r="AA49" s="55">
        <f t="shared" si="165"/>
        <v>1612.71</v>
      </c>
      <c r="AB49" s="59">
        <f t="shared" si="166"/>
        <v>5331.2967180000005</v>
      </c>
      <c r="AC49" s="60">
        <f t="shared" si="167"/>
        <v>1572.89</v>
      </c>
      <c r="AD49" s="59">
        <f t="shared" si="168"/>
        <v>5199.6597620000002</v>
      </c>
      <c r="AE49" s="60">
        <f t="shared" si="169"/>
        <v>1533.07</v>
      </c>
      <c r="AF49" s="59">
        <f t="shared" si="170"/>
        <v>5068.0228059999999</v>
      </c>
      <c r="AG49" s="60">
        <f t="shared" si="171"/>
        <v>1493.25</v>
      </c>
      <c r="AH49" s="59">
        <f t="shared" si="172"/>
        <v>4936.3858499999997</v>
      </c>
      <c r="AI49" s="55">
        <f t="shared" si="173"/>
        <v>1453.4299999999998</v>
      </c>
      <c r="AJ49" s="59">
        <f t="shared" si="174"/>
        <v>4804.7488939999994</v>
      </c>
      <c r="AK49" s="60">
        <f t="shared" si="175"/>
        <v>1413.61</v>
      </c>
      <c r="AL49" s="59">
        <f t="shared" si="176"/>
        <v>4673.111938</v>
      </c>
      <c r="AM49" s="60">
        <f t="shared" si="177"/>
        <v>1373.7899999999997</v>
      </c>
      <c r="AN49" s="59">
        <f t="shared" si="178"/>
        <v>4541.4749819999988</v>
      </c>
      <c r="AO49" s="60">
        <f t="shared" si="179"/>
        <v>1333.9699999999998</v>
      </c>
      <c r="AP49" s="59">
        <f t="shared" si="180"/>
        <v>4409.8380259999994</v>
      </c>
      <c r="AQ49" s="60">
        <f t="shared" si="181"/>
        <v>1294.1499999999996</v>
      </c>
      <c r="AR49" s="59">
        <f t="shared" si="182"/>
        <v>4278.2010699999992</v>
      </c>
      <c r="AS49" s="55">
        <f t="shared" si="183"/>
        <v>1254.3299999999997</v>
      </c>
      <c r="AT49" s="59">
        <f t="shared" si="184"/>
        <v>4146.5641139999989</v>
      </c>
      <c r="AU49" s="60">
        <f t="shared" si="185"/>
        <v>1214.5099999999998</v>
      </c>
      <c r="AV49" s="59">
        <f t="shared" si="186"/>
        <v>4014.9271579999995</v>
      </c>
      <c r="AW49" s="60">
        <f t="shared" si="187"/>
        <v>1174.6899999999996</v>
      </c>
      <c r="AX49" s="59">
        <f t="shared" si="188"/>
        <v>3883.2902019999988</v>
      </c>
      <c r="AY49" s="55">
        <f t="shared" si="189"/>
        <v>1134.8699999999997</v>
      </c>
      <c r="AZ49" s="59">
        <f t="shared" si="190"/>
        <v>3751.6532459999989</v>
      </c>
      <c r="BC49" s="55">
        <v>1</v>
      </c>
      <c r="BD49" s="55">
        <v>0.97</v>
      </c>
      <c r="BE49" s="55">
        <v>0.95</v>
      </c>
      <c r="BF49" s="55">
        <v>0.93</v>
      </c>
      <c r="BG49" s="55">
        <f t="shared" si="280"/>
        <v>0.91</v>
      </c>
      <c r="BH49" s="55">
        <f t="shared" si="280"/>
        <v>0.89</v>
      </c>
      <c r="BI49" s="55">
        <f t="shared" si="280"/>
        <v>0.87</v>
      </c>
      <c r="BJ49" s="55">
        <f t="shared" si="280"/>
        <v>0.85</v>
      </c>
      <c r="BK49" s="55">
        <f t="shared" si="280"/>
        <v>0.83</v>
      </c>
      <c r="BL49" s="55">
        <f t="shared" si="280"/>
        <v>0.80999999999999994</v>
      </c>
      <c r="BM49" s="55">
        <f t="shared" si="280"/>
        <v>0.78999999999999992</v>
      </c>
      <c r="BN49" s="55">
        <f t="shared" si="280"/>
        <v>0.76999999999999991</v>
      </c>
      <c r="BO49" s="55">
        <f t="shared" si="280"/>
        <v>0.74999999999999989</v>
      </c>
      <c r="BP49" s="55">
        <f t="shared" si="280"/>
        <v>0.72999999999999987</v>
      </c>
      <c r="BQ49" s="55">
        <f t="shared" si="280"/>
        <v>0.70999999999999985</v>
      </c>
      <c r="BR49" s="55">
        <f t="shared" si="280"/>
        <v>0.68999999999999984</v>
      </c>
      <c r="BS49" s="55">
        <f t="shared" si="280"/>
        <v>0.66999999999999982</v>
      </c>
      <c r="BT49" s="55">
        <f t="shared" si="280"/>
        <v>0.6499999999999998</v>
      </c>
      <c r="BU49" s="55">
        <f t="shared" si="280"/>
        <v>0.62999999999999978</v>
      </c>
      <c r="BV49" s="55">
        <f t="shared" si="280"/>
        <v>0.60999999999999976</v>
      </c>
      <c r="BW49" s="55">
        <f t="shared" si="280"/>
        <v>0.58999999999999975</v>
      </c>
      <c r="BX49" s="55">
        <f t="shared" si="280"/>
        <v>0.56999999999999973</v>
      </c>
      <c r="BZ49" s="55">
        <f t="shared" si="88"/>
        <v>1811.8100000000002</v>
      </c>
      <c r="CA49" s="55">
        <f t="shared" si="89"/>
        <v>1811.8100000000002</v>
      </c>
      <c r="CB49" s="59">
        <f t="shared" si="191"/>
        <v>5989.481498000001</v>
      </c>
      <c r="CC49" s="55">
        <f t="shared" si="192"/>
        <v>1757.4557000000002</v>
      </c>
      <c r="CD49" s="59">
        <f t="shared" si="193"/>
        <v>5809.7970530600005</v>
      </c>
      <c r="CE49" s="55">
        <f t="shared" si="194"/>
        <v>1721.2195000000002</v>
      </c>
      <c r="CF49" s="59">
        <f t="shared" si="195"/>
        <v>5690.0074231000008</v>
      </c>
      <c r="CG49" s="55">
        <f t="shared" si="196"/>
        <v>1684.9833000000003</v>
      </c>
      <c r="CH49" s="59">
        <f t="shared" si="197"/>
        <v>5570.217793140001</v>
      </c>
      <c r="CI49" s="57">
        <f t="shared" si="198"/>
        <v>1648.7471000000003</v>
      </c>
      <c r="CJ49" s="59">
        <f t="shared" si="199"/>
        <v>5450.4281631800013</v>
      </c>
      <c r="CK49" s="55">
        <f t="shared" si="200"/>
        <v>1612.5109000000002</v>
      </c>
      <c r="CL49" s="59">
        <f t="shared" si="201"/>
        <v>5330.6385332200007</v>
      </c>
      <c r="CM49" s="57">
        <f t="shared" si="202"/>
        <v>1576.2747000000002</v>
      </c>
      <c r="CN49" s="59">
        <f t="shared" si="203"/>
        <v>5210.848903260001</v>
      </c>
      <c r="CO49" s="60">
        <f t="shared" si="204"/>
        <v>1540.0385000000001</v>
      </c>
      <c r="CP49" s="59">
        <f t="shared" si="205"/>
        <v>5091.0592733000003</v>
      </c>
      <c r="CQ49" s="57">
        <f t="shared" si="206"/>
        <v>1503.8023000000001</v>
      </c>
      <c r="CR49" s="59">
        <f t="shared" si="207"/>
        <v>4971.2696433400006</v>
      </c>
      <c r="CS49" s="55">
        <f t="shared" si="208"/>
        <v>1467.5661</v>
      </c>
      <c r="CT49" s="59">
        <f t="shared" si="209"/>
        <v>4851.4800133799999</v>
      </c>
      <c r="CU49" s="60">
        <f t="shared" si="210"/>
        <v>1431.3299</v>
      </c>
      <c r="CV49" s="59">
        <f t="shared" si="211"/>
        <v>4731.6903834200002</v>
      </c>
      <c r="CW49" s="60">
        <f t="shared" si="212"/>
        <v>1395.0936999999999</v>
      </c>
      <c r="CX49" s="59">
        <f t="shared" si="213"/>
        <v>4611.9007534599996</v>
      </c>
      <c r="CY49" s="60">
        <f t="shared" si="214"/>
        <v>1358.8574999999998</v>
      </c>
      <c r="CZ49" s="59">
        <f t="shared" si="215"/>
        <v>4492.1111234999998</v>
      </c>
      <c r="DA49" s="55">
        <f t="shared" si="216"/>
        <v>1322.6212999999998</v>
      </c>
      <c r="DB49" s="59">
        <f t="shared" si="217"/>
        <v>4372.3214935399992</v>
      </c>
      <c r="DC49" s="60">
        <f t="shared" si="218"/>
        <v>1286.3851</v>
      </c>
      <c r="DD49" s="59">
        <f t="shared" si="219"/>
        <v>4252.5318635800004</v>
      </c>
      <c r="DE49" s="60">
        <f t="shared" si="220"/>
        <v>1250.1488999999999</v>
      </c>
      <c r="DF49" s="59">
        <f t="shared" si="221"/>
        <v>4132.7422336199998</v>
      </c>
      <c r="DG49" s="60">
        <f t="shared" si="222"/>
        <v>1213.9126999999999</v>
      </c>
      <c r="DH49" s="59">
        <f t="shared" si="223"/>
        <v>4012.9526036599996</v>
      </c>
      <c r="DI49" s="60">
        <f t="shared" si="224"/>
        <v>1177.6764999999998</v>
      </c>
      <c r="DJ49" s="59">
        <f t="shared" si="225"/>
        <v>3893.1629736999994</v>
      </c>
      <c r="DK49" s="55">
        <f t="shared" si="226"/>
        <v>1141.4402999999998</v>
      </c>
      <c r="DL49" s="59">
        <f t="shared" si="227"/>
        <v>3773.3733437399992</v>
      </c>
      <c r="DM49" s="60">
        <f t="shared" si="228"/>
        <v>1105.2040999999997</v>
      </c>
      <c r="DN49" s="59">
        <f t="shared" si="229"/>
        <v>3653.583713779999</v>
      </c>
      <c r="DO49" s="60">
        <f t="shared" si="230"/>
        <v>1068.9678999999996</v>
      </c>
      <c r="DP49" s="59">
        <f t="shared" si="231"/>
        <v>3533.7940838199988</v>
      </c>
      <c r="DQ49" s="55">
        <f t="shared" si="232"/>
        <v>1032.7316999999996</v>
      </c>
      <c r="DR49" s="59">
        <f t="shared" si="233"/>
        <v>3414.0044538599986</v>
      </c>
      <c r="DU49" s="55">
        <v>1</v>
      </c>
      <c r="DV49" s="55">
        <v>0.97</v>
      </c>
      <c r="DW49" s="55">
        <v>0.95</v>
      </c>
      <c r="DX49" s="55">
        <v>0.93</v>
      </c>
      <c r="DY49" s="55">
        <f t="shared" ref="DY49:EP63" si="283">+DX49-0.02</f>
        <v>0.91</v>
      </c>
      <c r="DZ49" s="55">
        <f t="shared" si="283"/>
        <v>0.89</v>
      </c>
      <c r="EA49" s="55">
        <f t="shared" si="283"/>
        <v>0.87</v>
      </c>
      <c r="EB49" s="55">
        <f t="shared" si="283"/>
        <v>0.85</v>
      </c>
      <c r="EC49" s="55">
        <f t="shared" si="283"/>
        <v>0.83</v>
      </c>
      <c r="ED49" s="55">
        <f t="shared" si="283"/>
        <v>0.80999999999999994</v>
      </c>
      <c r="EE49" s="55">
        <f t="shared" si="283"/>
        <v>0.78999999999999992</v>
      </c>
      <c r="EF49" s="55">
        <f t="shared" si="283"/>
        <v>0.76999999999999991</v>
      </c>
      <c r="EG49" s="55">
        <f t="shared" si="283"/>
        <v>0.74999999999999989</v>
      </c>
      <c r="EH49" s="55">
        <f t="shared" si="283"/>
        <v>0.72999999999999987</v>
      </c>
      <c r="EI49" s="55">
        <f t="shared" si="283"/>
        <v>0.70999999999999985</v>
      </c>
      <c r="EJ49" s="55">
        <f t="shared" si="283"/>
        <v>0.68999999999999984</v>
      </c>
      <c r="EK49" s="55">
        <f t="shared" si="283"/>
        <v>0.66999999999999982</v>
      </c>
      <c r="EL49" s="55">
        <f t="shared" si="283"/>
        <v>0.6499999999999998</v>
      </c>
      <c r="EM49" s="55">
        <f t="shared" si="283"/>
        <v>0.62999999999999978</v>
      </c>
      <c r="EN49" s="55">
        <f t="shared" si="283"/>
        <v>0.60999999999999976</v>
      </c>
      <c r="EO49" s="55">
        <f t="shared" si="283"/>
        <v>0.58999999999999975</v>
      </c>
      <c r="EP49" s="55">
        <f t="shared" si="283"/>
        <v>0.56999999999999973</v>
      </c>
      <c r="ER49" s="55">
        <f t="shared" si="142"/>
        <v>1648.7471000000003</v>
      </c>
      <c r="ES49" s="55">
        <f t="shared" si="116"/>
        <v>1648.7471000000003</v>
      </c>
      <c r="ET49" s="59">
        <f t="shared" si="235"/>
        <v>5450.4281631800013</v>
      </c>
      <c r="EU49" s="55">
        <f t="shared" si="236"/>
        <v>1599.2846870000003</v>
      </c>
      <c r="EV49" s="59">
        <f t="shared" si="237"/>
        <v>5286.9153182846012</v>
      </c>
      <c r="EW49" s="55">
        <f t="shared" si="238"/>
        <v>1566.3097450000002</v>
      </c>
      <c r="EX49" s="59">
        <f t="shared" si="239"/>
        <v>5177.9067550210011</v>
      </c>
      <c r="EY49" s="55">
        <f t="shared" si="240"/>
        <v>1533.3348030000004</v>
      </c>
      <c r="EZ49" s="59">
        <f t="shared" si="241"/>
        <v>5068.8981917574019</v>
      </c>
      <c r="FA49" s="57">
        <f t="shared" si="242"/>
        <v>1500.3598610000004</v>
      </c>
      <c r="FB49" s="59">
        <f t="shared" si="243"/>
        <v>4959.889628493801</v>
      </c>
      <c r="FC49" s="55">
        <f t="shared" si="244"/>
        <v>1467.3849190000003</v>
      </c>
      <c r="FD49" s="59">
        <f t="shared" si="245"/>
        <v>4850.8810652302009</v>
      </c>
      <c r="FE49" s="57">
        <f t="shared" si="246"/>
        <v>1434.4099770000003</v>
      </c>
      <c r="FF49" s="59">
        <f t="shared" si="247"/>
        <v>4741.8725019666008</v>
      </c>
      <c r="FG49" s="60">
        <f t="shared" si="248"/>
        <v>1401.4350350000002</v>
      </c>
      <c r="FH49" s="59">
        <f t="shared" si="249"/>
        <v>4632.8639387030007</v>
      </c>
      <c r="FI49" s="57">
        <f t="shared" si="250"/>
        <v>1368.4600930000001</v>
      </c>
      <c r="FJ49" s="59">
        <f t="shared" si="251"/>
        <v>4523.8553754394006</v>
      </c>
      <c r="FK49" s="55">
        <f t="shared" si="252"/>
        <v>1335.4851510000001</v>
      </c>
      <c r="FL49" s="59">
        <f t="shared" si="253"/>
        <v>4414.8468121758006</v>
      </c>
      <c r="FM49" s="60">
        <f t="shared" si="254"/>
        <v>1302.510209</v>
      </c>
      <c r="FN49" s="59">
        <f t="shared" si="255"/>
        <v>4305.8382489122005</v>
      </c>
      <c r="FO49" s="60">
        <f t="shared" si="256"/>
        <v>1269.535267</v>
      </c>
      <c r="FP49" s="59">
        <f t="shared" si="257"/>
        <v>4196.8296856486004</v>
      </c>
      <c r="FQ49" s="60">
        <f t="shared" si="258"/>
        <v>1236.5603249999999</v>
      </c>
      <c r="FR49" s="59">
        <f t="shared" si="259"/>
        <v>4087.8211223849999</v>
      </c>
      <c r="FS49" s="55">
        <f t="shared" si="260"/>
        <v>1203.5853830000001</v>
      </c>
      <c r="FT49" s="59">
        <f t="shared" si="261"/>
        <v>3978.8125591214002</v>
      </c>
      <c r="FU49" s="60">
        <f t="shared" si="262"/>
        <v>1170.610441</v>
      </c>
      <c r="FV49" s="59">
        <f t="shared" si="263"/>
        <v>3869.8039958578001</v>
      </c>
      <c r="FW49" s="60">
        <f t="shared" si="264"/>
        <v>1137.635499</v>
      </c>
      <c r="FX49" s="59">
        <f t="shared" si="265"/>
        <v>3760.7954325942001</v>
      </c>
      <c r="FY49" s="60">
        <f t="shared" si="266"/>
        <v>1104.6605569999999</v>
      </c>
      <c r="FZ49" s="59">
        <f t="shared" si="267"/>
        <v>3651.7868693306</v>
      </c>
      <c r="GA49" s="60">
        <f t="shared" si="268"/>
        <v>1071.6856149999999</v>
      </c>
      <c r="GB49" s="59">
        <f t="shared" si="269"/>
        <v>3542.7783060669994</v>
      </c>
      <c r="GC49" s="55">
        <f t="shared" si="270"/>
        <v>1038.7106729999998</v>
      </c>
      <c r="GD49" s="59">
        <f t="shared" si="271"/>
        <v>3433.7697428033994</v>
      </c>
      <c r="GE49" s="60">
        <f t="shared" si="272"/>
        <v>1005.7357309999998</v>
      </c>
      <c r="GF49" s="59">
        <f t="shared" si="273"/>
        <v>3324.7611795397993</v>
      </c>
      <c r="GG49" s="60">
        <f t="shared" si="274"/>
        <v>972.7607889999997</v>
      </c>
      <c r="GH49" s="59">
        <f t="shared" si="275"/>
        <v>3215.7526162761992</v>
      </c>
      <c r="GI49" s="55">
        <f t="shared" si="276"/>
        <v>939.78584699999976</v>
      </c>
      <c r="GJ49" s="59">
        <f t="shared" si="277"/>
        <v>3106.7440530125991</v>
      </c>
      <c r="GK49" s="55"/>
      <c r="GL49" s="55"/>
      <c r="GM49" s="55">
        <v>1</v>
      </c>
      <c r="GN49" s="55">
        <v>0.97</v>
      </c>
      <c r="GO49" s="55">
        <v>0.95</v>
      </c>
      <c r="GP49" s="55">
        <v>0.93</v>
      </c>
      <c r="GQ49" s="55">
        <f t="shared" ref="GQ49:HH63" si="284">+GP49-0.02</f>
        <v>0.91</v>
      </c>
      <c r="GR49" s="55">
        <f t="shared" si="284"/>
        <v>0.89</v>
      </c>
      <c r="GS49" s="55">
        <f t="shared" si="284"/>
        <v>0.87</v>
      </c>
      <c r="GT49" s="55">
        <f t="shared" si="284"/>
        <v>0.85</v>
      </c>
      <c r="GU49" s="55">
        <f t="shared" si="284"/>
        <v>0.83</v>
      </c>
      <c r="GV49" s="55">
        <f t="shared" si="284"/>
        <v>0.80999999999999994</v>
      </c>
      <c r="GW49" s="55">
        <f t="shared" si="284"/>
        <v>0.78999999999999992</v>
      </c>
      <c r="GX49" s="55">
        <f t="shared" si="284"/>
        <v>0.76999999999999991</v>
      </c>
      <c r="GY49" s="55">
        <f t="shared" si="284"/>
        <v>0.74999999999999989</v>
      </c>
      <c r="GZ49" s="55">
        <f t="shared" si="284"/>
        <v>0.72999999999999987</v>
      </c>
      <c r="HA49" s="55">
        <f t="shared" si="284"/>
        <v>0.70999999999999985</v>
      </c>
      <c r="HB49" s="55">
        <f t="shared" si="284"/>
        <v>0.68999999999999984</v>
      </c>
      <c r="HC49" s="55">
        <f t="shared" si="284"/>
        <v>0.66999999999999982</v>
      </c>
      <c r="HD49" s="55">
        <f t="shared" si="284"/>
        <v>0.6499999999999998</v>
      </c>
      <c r="HE49" s="55">
        <f t="shared" si="284"/>
        <v>0.62999999999999978</v>
      </c>
      <c r="HF49" s="55">
        <f t="shared" si="284"/>
        <v>0.60999999999999976</v>
      </c>
      <c r="HG49" s="55">
        <f t="shared" si="284"/>
        <v>0.58999999999999975</v>
      </c>
      <c r="HH49" s="55">
        <f t="shared" si="284"/>
        <v>0.56999999999999973</v>
      </c>
    </row>
    <row r="50" spans="1:216" x14ac:dyDescent="0.3">
      <c r="A50" s="2">
        <v>17</v>
      </c>
      <c r="C50" s="38" t="s">
        <v>147</v>
      </c>
      <c r="D50" s="42">
        <v>0</v>
      </c>
      <c r="E50" s="71">
        <f t="shared" si="148"/>
        <v>0</v>
      </c>
      <c r="H50" s="55">
        <f t="shared" si="61"/>
        <v>0</v>
      </c>
      <c r="I50" s="55">
        <f t="shared" si="62"/>
        <v>0</v>
      </c>
      <c r="J50" s="59">
        <f t="shared" si="63"/>
        <v>0</v>
      </c>
      <c r="K50" s="55">
        <f t="shared" si="149"/>
        <v>0</v>
      </c>
      <c r="L50" s="59">
        <f t="shared" si="150"/>
        <v>0</v>
      </c>
      <c r="M50" s="55">
        <f t="shared" si="151"/>
        <v>0</v>
      </c>
      <c r="N50" s="59">
        <f t="shared" si="152"/>
        <v>0</v>
      </c>
      <c r="O50" s="55">
        <f t="shared" si="153"/>
        <v>0</v>
      </c>
      <c r="P50" s="59">
        <f t="shared" si="154"/>
        <v>0</v>
      </c>
      <c r="Q50" s="57">
        <f t="shared" si="155"/>
        <v>0</v>
      </c>
      <c r="R50" s="59">
        <f t="shared" si="156"/>
        <v>0</v>
      </c>
      <c r="S50" s="55">
        <f t="shared" si="157"/>
        <v>0</v>
      </c>
      <c r="T50" s="59">
        <f t="shared" si="158"/>
        <v>0</v>
      </c>
      <c r="U50" s="57">
        <f t="shared" si="159"/>
        <v>0</v>
      </c>
      <c r="V50" s="59">
        <f t="shared" si="160"/>
        <v>0</v>
      </c>
      <c r="W50" s="60">
        <f t="shared" si="161"/>
        <v>0</v>
      </c>
      <c r="X50" s="59">
        <f t="shared" si="162"/>
        <v>0</v>
      </c>
      <c r="Y50" s="57">
        <f t="shared" si="163"/>
        <v>0</v>
      </c>
      <c r="Z50" s="59">
        <f t="shared" si="164"/>
        <v>0</v>
      </c>
      <c r="AA50" s="55">
        <f t="shared" si="165"/>
        <v>0</v>
      </c>
      <c r="AB50" s="59">
        <f t="shared" si="166"/>
        <v>0</v>
      </c>
      <c r="AC50" s="60">
        <f t="shared" si="167"/>
        <v>0</v>
      </c>
      <c r="AD50" s="59">
        <f t="shared" si="168"/>
        <v>0</v>
      </c>
      <c r="AE50" s="60">
        <f t="shared" si="169"/>
        <v>0</v>
      </c>
      <c r="AF50" s="59">
        <f t="shared" si="170"/>
        <v>0</v>
      </c>
      <c r="AG50" s="60">
        <f t="shared" si="171"/>
        <v>0</v>
      </c>
      <c r="AH50" s="59">
        <f t="shared" si="172"/>
        <v>0</v>
      </c>
      <c r="AI50" s="55">
        <f t="shared" si="173"/>
        <v>0</v>
      </c>
      <c r="AJ50" s="59">
        <f t="shared" si="174"/>
        <v>0</v>
      </c>
      <c r="AK50" s="60">
        <f t="shared" si="175"/>
        <v>0</v>
      </c>
      <c r="AL50" s="59">
        <f t="shared" si="176"/>
        <v>0</v>
      </c>
      <c r="AM50" s="60">
        <f t="shared" si="177"/>
        <v>0</v>
      </c>
      <c r="AN50" s="59">
        <f t="shared" si="178"/>
        <v>0</v>
      </c>
      <c r="AO50" s="60">
        <f t="shared" si="179"/>
        <v>0</v>
      </c>
      <c r="AP50" s="59">
        <f t="shared" si="180"/>
        <v>0</v>
      </c>
      <c r="AQ50" s="60">
        <f t="shared" si="181"/>
        <v>0</v>
      </c>
      <c r="AR50" s="59">
        <f t="shared" si="182"/>
        <v>0</v>
      </c>
      <c r="AS50" s="55">
        <f t="shared" si="183"/>
        <v>0</v>
      </c>
      <c r="AT50" s="59">
        <f t="shared" si="184"/>
        <v>0</v>
      </c>
      <c r="AU50" s="60">
        <f t="shared" si="185"/>
        <v>0</v>
      </c>
      <c r="AV50" s="59">
        <f t="shared" si="186"/>
        <v>0</v>
      </c>
      <c r="AW50" s="60">
        <f t="shared" si="187"/>
        <v>0</v>
      </c>
      <c r="AX50" s="59">
        <f t="shared" si="188"/>
        <v>0</v>
      </c>
      <c r="AY50" s="55">
        <f t="shared" si="189"/>
        <v>0</v>
      </c>
      <c r="AZ50" s="59">
        <f t="shared" si="190"/>
        <v>0</v>
      </c>
      <c r="BC50" s="55">
        <v>1</v>
      </c>
      <c r="BD50" s="55">
        <v>0.97</v>
      </c>
      <c r="BE50" s="55">
        <v>0.95</v>
      </c>
      <c r="BF50" s="55">
        <v>0.93</v>
      </c>
      <c r="BG50" s="55">
        <f t="shared" si="280"/>
        <v>0.91</v>
      </c>
      <c r="BH50" s="55">
        <f t="shared" si="280"/>
        <v>0.89</v>
      </c>
      <c r="BI50" s="55">
        <f t="shared" si="280"/>
        <v>0.87</v>
      </c>
      <c r="BJ50" s="55">
        <f t="shared" si="280"/>
        <v>0.85</v>
      </c>
      <c r="BK50" s="55">
        <f t="shared" si="280"/>
        <v>0.83</v>
      </c>
      <c r="BL50" s="55">
        <f t="shared" si="280"/>
        <v>0.80999999999999994</v>
      </c>
      <c r="BM50" s="55">
        <f t="shared" si="280"/>
        <v>0.78999999999999992</v>
      </c>
      <c r="BN50" s="55">
        <f t="shared" si="280"/>
        <v>0.76999999999999991</v>
      </c>
      <c r="BO50" s="55">
        <f t="shared" si="280"/>
        <v>0.74999999999999989</v>
      </c>
      <c r="BP50" s="55">
        <f t="shared" si="280"/>
        <v>0.72999999999999987</v>
      </c>
      <c r="BQ50" s="55">
        <f t="shared" si="280"/>
        <v>0.70999999999999985</v>
      </c>
      <c r="BR50" s="55">
        <f t="shared" si="280"/>
        <v>0.68999999999999984</v>
      </c>
      <c r="BS50" s="55">
        <f t="shared" si="280"/>
        <v>0.66999999999999982</v>
      </c>
      <c r="BT50" s="55">
        <f t="shared" si="280"/>
        <v>0.6499999999999998</v>
      </c>
      <c r="BU50" s="55">
        <f t="shared" si="280"/>
        <v>0.62999999999999978</v>
      </c>
      <c r="BV50" s="55">
        <f t="shared" si="280"/>
        <v>0.60999999999999976</v>
      </c>
      <c r="BW50" s="55">
        <f t="shared" si="280"/>
        <v>0.58999999999999975</v>
      </c>
      <c r="BX50" s="55">
        <f t="shared" si="280"/>
        <v>0.56999999999999973</v>
      </c>
      <c r="BZ50" s="55">
        <f t="shared" si="88"/>
        <v>0</v>
      </c>
      <c r="CA50" s="55">
        <f t="shared" si="89"/>
        <v>0</v>
      </c>
      <c r="CB50" s="59">
        <f t="shared" si="191"/>
        <v>0</v>
      </c>
      <c r="CC50" s="55">
        <f t="shared" si="192"/>
        <v>0</v>
      </c>
      <c r="CD50" s="59">
        <f t="shared" si="193"/>
        <v>0</v>
      </c>
      <c r="CE50" s="55">
        <f t="shared" si="194"/>
        <v>0</v>
      </c>
      <c r="CF50" s="59">
        <f t="shared" si="195"/>
        <v>0</v>
      </c>
      <c r="CG50" s="55">
        <f t="shared" si="196"/>
        <v>0</v>
      </c>
      <c r="CH50" s="59">
        <f t="shared" si="197"/>
        <v>0</v>
      </c>
      <c r="CI50" s="57">
        <f t="shared" si="198"/>
        <v>0</v>
      </c>
      <c r="CJ50" s="59">
        <f t="shared" si="199"/>
        <v>0</v>
      </c>
      <c r="CK50" s="55">
        <f t="shared" si="200"/>
        <v>0</v>
      </c>
      <c r="CL50" s="59">
        <f t="shared" si="201"/>
        <v>0</v>
      </c>
      <c r="CM50" s="57">
        <f t="shared" si="202"/>
        <v>0</v>
      </c>
      <c r="CN50" s="59">
        <f t="shared" si="203"/>
        <v>0</v>
      </c>
      <c r="CO50" s="60">
        <f t="shared" si="204"/>
        <v>0</v>
      </c>
      <c r="CP50" s="59">
        <f t="shared" si="205"/>
        <v>0</v>
      </c>
      <c r="CQ50" s="57">
        <f t="shared" si="206"/>
        <v>0</v>
      </c>
      <c r="CR50" s="59">
        <f t="shared" si="207"/>
        <v>0</v>
      </c>
      <c r="CS50" s="55">
        <f t="shared" si="208"/>
        <v>0</v>
      </c>
      <c r="CT50" s="59">
        <f t="shared" si="209"/>
        <v>0</v>
      </c>
      <c r="CU50" s="60">
        <f t="shared" si="210"/>
        <v>0</v>
      </c>
      <c r="CV50" s="59">
        <f t="shared" si="211"/>
        <v>0</v>
      </c>
      <c r="CW50" s="60">
        <f t="shared" si="212"/>
        <v>0</v>
      </c>
      <c r="CX50" s="59">
        <f t="shared" si="213"/>
        <v>0</v>
      </c>
      <c r="CY50" s="60">
        <f t="shared" si="214"/>
        <v>0</v>
      </c>
      <c r="CZ50" s="59">
        <f t="shared" si="215"/>
        <v>0</v>
      </c>
      <c r="DA50" s="55">
        <f t="shared" si="216"/>
        <v>0</v>
      </c>
      <c r="DB50" s="59">
        <f t="shared" si="217"/>
        <v>0</v>
      </c>
      <c r="DC50" s="60">
        <f t="shared" si="218"/>
        <v>0</v>
      </c>
      <c r="DD50" s="59">
        <f t="shared" si="219"/>
        <v>0</v>
      </c>
      <c r="DE50" s="60">
        <f t="shared" si="220"/>
        <v>0</v>
      </c>
      <c r="DF50" s="59">
        <f t="shared" si="221"/>
        <v>0</v>
      </c>
      <c r="DG50" s="60">
        <f t="shared" si="222"/>
        <v>0</v>
      </c>
      <c r="DH50" s="59">
        <f t="shared" si="223"/>
        <v>0</v>
      </c>
      <c r="DI50" s="60">
        <f t="shared" si="224"/>
        <v>0</v>
      </c>
      <c r="DJ50" s="59">
        <f t="shared" si="225"/>
        <v>0</v>
      </c>
      <c r="DK50" s="55">
        <f t="shared" si="226"/>
        <v>0</v>
      </c>
      <c r="DL50" s="59">
        <f t="shared" si="227"/>
        <v>0</v>
      </c>
      <c r="DM50" s="60">
        <f t="shared" si="228"/>
        <v>0</v>
      </c>
      <c r="DN50" s="59">
        <f t="shared" si="229"/>
        <v>0</v>
      </c>
      <c r="DO50" s="60">
        <f t="shared" si="230"/>
        <v>0</v>
      </c>
      <c r="DP50" s="59">
        <f t="shared" si="231"/>
        <v>0</v>
      </c>
      <c r="DQ50" s="55">
        <f t="shared" si="232"/>
        <v>0</v>
      </c>
      <c r="DR50" s="59">
        <f t="shared" si="233"/>
        <v>0</v>
      </c>
      <c r="DU50" s="55">
        <v>1</v>
      </c>
      <c r="DV50" s="55">
        <v>0.97</v>
      </c>
      <c r="DW50" s="55">
        <v>0.95</v>
      </c>
      <c r="DX50" s="55">
        <v>0.93</v>
      </c>
      <c r="DY50" s="55">
        <f t="shared" si="283"/>
        <v>0.91</v>
      </c>
      <c r="DZ50" s="55">
        <f t="shared" si="283"/>
        <v>0.89</v>
      </c>
      <c r="EA50" s="55">
        <f t="shared" si="283"/>
        <v>0.87</v>
      </c>
      <c r="EB50" s="55">
        <f t="shared" si="283"/>
        <v>0.85</v>
      </c>
      <c r="EC50" s="55">
        <f t="shared" si="283"/>
        <v>0.83</v>
      </c>
      <c r="ED50" s="55">
        <f t="shared" si="283"/>
        <v>0.80999999999999994</v>
      </c>
      <c r="EE50" s="55">
        <f t="shared" si="283"/>
        <v>0.78999999999999992</v>
      </c>
      <c r="EF50" s="55">
        <f t="shared" si="283"/>
        <v>0.76999999999999991</v>
      </c>
      <c r="EG50" s="55">
        <f t="shared" si="283"/>
        <v>0.74999999999999989</v>
      </c>
      <c r="EH50" s="55">
        <f t="shared" si="283"/>
        <v>0.72999999999999987</v>
      </c>
      <c r="EI50" s="55">
        <f t="shared" si="283"/>
        <v>0.70999999999999985</v>
      </c>
      <c r="EJ50" s="55">
        <f t="shared" si="283"/>
        <v>0.68999999999999984</v>
      </c>
      <c r="EK50" s="55">
        <f t="shared" si="283"/>
        <v>0.66999999999999982</v>
      </c>
      <c r="EL50" s="55">
        <f t="shared" si="283"/>
        <v>0.6499999999999998</v>
      </c>
      <c r="EM50" s="55">
        <f t="shared" si="283"/>
        <v>0.62999999999999978</v>
      </c>
      <c r="EN50" s="55">
        <f t="shared" si="283"/>
        <v>0.60999999999999976</v>
      </c>
      <c r="EO50" s="55">
        <f t="shared" si="283"/>
        <v>0.58999999999999975</v>
      </c>
      <c r="EP50" s="55">
        <f t="shared" si="283"/>
        <v>0.56999999999999973</v>
      </c>
      <c r="ER50" s="55">
        <f t="shared" si="142"/>
        <v>0</v>
      </c>
      <c r="ES50" s="55">
        <f t="shared" si="116"/>
        <v>0</v>
      </c>
      <c r="ET50" s="59">
        <f t="shared" si="235"/>
        <v>0</v>
      </c>
      <c r="EU50" s="55">
        <f t="shared" si="236"/>
        <v>0</v>
      </c>
      <c r="EV50" s="59">
        <f t="shared" si="237"/>
        <v>0</v>
      </c>
      <c r="EW50" s="55">
        <f t="shared" si="238"/>
        <v>0</v>
      </c>
      <c r="EX50" s="59">
        <f t="shared" si="239"/>
        <v>0</v>
      </c>
      <c r="EY50" s="55">
        <f t="shared" si="240"/>
        <v>0</v>
      </c>
      <c r="EZ50" s="59">
        <f t="shared" si="241"/>
        <v>0</v>
      </c>
      <c r="FA50" s="57">
        <f t="shared" si="242"/>
        <v>0</v>
      </c>
      <c r="FB50" s="59">
        <f t="shared" si="243"/>
        <v>0</v>
      </c>
      <c r="FC50" s="55">
        <f t="shared" si="244"/>
        <v>0</v>
      </c>
      <c r="FD50" s="59">
        <f t="shared" si="245"/>
        <v>0</v>
      </c>
      <c r="FE50" s="57">
        <f t="shared" si="246"/>
        <v>0</v>
      </c>
      <c r="FF50" s="59">
        <f t="shared" si="247"/>
        <v>0</v>
      </c>
      <c r="FG50" s="60">
        <f t="shared" si="248"/>
        <v>0</v>
      </c>
      <c r="FH50" s="59">
        <f t="shared" si="249"/>
        <v>0</v>
      </c>
      <c r="FI50" s="57">
        <f t="shared" si="250"/>
        <v>0</v>
      </c>
      <c r="FJ50" s="59">
        <f t="shared" si="251"/>
        <v>0</v>
      </c>
      <c r="FK50" s="55">
        <f t="shared" si="252"/>
        <v>0</v>
      </c>
      <c r="FL50" s="59">
        <f t="shared" si="253"/>
        <v>0</v>
      </c>
      <c r="FM50" s="60">
        <f t="shared" si="254"/>
        <v>0</v>
      </c>
      <c r="FN50" s="59">
        <f t="shared" si="255"/>
        <v>0</v>
      </c>
      <c r="FO50" s="60">
        <f t="shared" si="256"/>
        <v>0</v>
      </c>
      <c r="FP50" s="59">
        <f t="shared" si="257"/>
        <v>0</v>
      </c>
      <c r="FQ50" s="60">
        <f t="shared" si="258"/>
        <v>0</v>
      </c>
      <c r="FR50" s="59">
        <f t="shared" si="259"/>
        <v>0</v>
      </c>
      <c r="FS50" s="55">
        <f t="shared" si="260"/>
        <v>0</v>
      </c>
      <c r="FT50" s="59">
        <f t="shared" si="261"/>
        <v>0</v>
      </c>
      <c r="FU50" s="60">
        <f t="shared" si="262"/>
        <v>0</v>
      </c>
      <c r="FV50" s="59">
        <f t="shared" si="263"/>
        <v>0</v>
      </c>
      <c r="FW50" s="60">
        <f t="shared" si="264"/>
        <v>0</v>
      </c>
      <c r="FX50" s="59">
        <f t="shared" si="265"/>
        <v>0</v>
      </c>
      <c r="FY50" s="60">
        <f t="shared" si="266"/>
        <v>0</v>
      </c>
      <c r="FZ50" s="59">
        <f t="shared" si="267"/>
        <v>0</v>
      </c>
      <c r="GA50" s="60">
        <f t="shared" si="268"/>
        <v>0</v>
      </c>
      <c r="GB50" s="59">
        <f t="shared" si="269"/>
        <v>0</v>
      </c>
      <c r="GC50" s="55">
        <f t="shared" si="270"/>
        <v>0</v>
      </c>
      <c r="GD50" s="59">
        <f t="shared" si="271"/>
        <v>0</v>
      </c>
      <c r="GE50" s="60">
        <f t="shared" si="272"/>
        <v>0</v>
      </c>
      <c r="GF50" s="59">
        <f t="shared" si="273"/>
        <v>0</v>
      </c>
      <c r="GG50" s="60">
        <f t="shared" si="274"/>
        <v>0</v>
      </c>
      <c r="GH50" s="59">
        <f t="shared" si="275"/>
        <v>0</v>
      </c>
      <c r="GI50" s="55">
        <f t="shared" si="276"/>
        <v>0</v>
      </c>
      <c r="GJ50" s="59">
        <f t="shared" si="277"/>
        <v>0</v>
      </c>
      <c r="GK50" s="55"/>
      <c r="GL50" s="55"/>
      <c r="GM50" s="55">
        <v>1</v>
      </c>
      <c r="GN50" s="55">
        <v>0.97</v>
      </c>
      <c r="GO50" s="55">
        <v>0.95</v>
      </c>
      <c r="GP50" s="55">
        <v>0.93</v>
      </c>
      <c r="GQ50" s="55">
        <f t="shared" si="284"/>
        <v>0.91</v>
      </c>
      <c r="GR50" s="55">
        <f t="shared" si="284"/>
        <v>0.89</v>
      </c>
      <c r="GS50" s="55">
        <f t="shared" si="284"/>
        <v>0.87</v>
      </c>
      <c r="GT50" s="55">
        <f t="shared" si="284"/>
        <v>0.85</v>
      </c>
      <c r="GU50" s="55">
        <f t="shared" si="284"/>
        <v>0.83</v>
      </c>
      <c r="GV50" s="55">
        <f t="shared" si="284"/>
        <v>0.80999999999999994</v>
      </c>
      <c r="GW50" s="55">
        <f t="shared" si="284"/>
        <v>0.78999999999999992</v>
      </c>
      <c r="GX50" s="55">
        <f t="shared" si="284"/>
        <v>0.76999999999999991</v>
      </c>
      <c r="GY50" s="55">
        <f t="shared" si="284"/>
        <v>0.74999999999999989</v>
      </c>
      <c r="GZ50" s="55">
        <f t="shared" si="284"/>
        <v>0.72999999999999987</v>
      </c>
      <c r="HA50" s="55">
        <f t="shared" si="284"/>
        <v>0.70999999999999985</v>
      </c>
      <c r="HB50" s="55">
        <f t="shared" si="284"/>
        <v>0.68999999999999984</v>
      </c>
      <c r="HC50" s="55">
        <f t="shared" si="284"/>
        <v>0.66999999999999982</v>
      </c>
      <c r="HD50" s="55">
        <f t="shared" si="284"/>
        <v>0.6499999999999998</v>
      </c>
      <c r="HE50" s="55">
        <f t="shared" si="284"/>
        <v>0.62999999999999978</v>
      </c>
      <c r="HF50" s="55">
        <f t="shared" si="284"/>
        <v>0.60999999999999976</v>
      </c>
      <c r="HG50" s="55">
        <f t="shared" si="284"/>
        <v>0.58999999999999975</v>
      </c>
      <c r="HH50" s="55">
        <f t="shared" si="284"/>
        <v>0.56999999999999973</v>
      </c>
    </row>
    <row r="51" spans="1:216" x14ac:dyDescent="0.3">
      <c r="A51" s="2">
        <v>18</v>
      </c>
      <c r="C51" s="38" t="s">
        <v>148</v>
      </c>
      <c r="D51" s="42">
        <v>0</v>
      </c>
      <c r="E51" s="71">
        <f t="shared" si="148"/>
        <v>0</v>
      </c>
      <c r="H51" s="55">
        <f t="shared" si="61"/>
        <v>0</v>
      </c>
      <c r="I51" s="55">
        <f t="shared" si="62"/>
        <v>0</v>
      </c>
      <c r="J51" s="59">
        <f t="shared" si="63"/>
        <v>0</v>
      </c>
      <c r="K51" s="55">
        <f t="shared" si="149"/>
        <v>0</v>
      </c>
      <c r="L51" s="59">
        <f t="shared" si="150"/>
        <v>0</v>
      </c>
      <c r="M51" s="55">
        <f t="shared" si="151"/>
        <v>0</v>
      </c>
      <c r="N51" s="59">
        <f t="shared" si="152"/>
        <v>0</v>
      </c>
      <c r="O51" s="55">
        <f t="shared" si="153"/>
        <v>0</v>
      </c>
      <c r="P51" s="59">
        <f t="shared" si="154"/>
        <v>0</v>
      </c>
      <c r="Q51" s="57">
        <f t="shared" si="155"/>
        <v>0</v>
      </c>
      <c r="R51" s="59">
        <f t="shared" si="156"/>
        <v>0</v>
      </c>
      <c r="S51" s="55">
        <f t="shared" si="157"/>
        <v>0</v>
      </c>
      <c r="T51" s="59">
        <f t="shared" si="158"/>
        <v>0</v>
      </c>
      <c r="U51" s="57">
        <f t="shared" si="159"/>
        <v>0</v>
      </c>
      <c r="V51" s="59">
        <f t="shared" si="160"/>
        <v>0</v>
      </c>
      <c r="W51" s="60">
        <f t="shared" si="161"/>
        <v>0</v>
      </c>
      <c r="X51" s="59">
        <f t="shared" si="162"/>
        <v>0</v>
      </c>
      <c r="Y51" s="57">
        <f t="shared" si="163"/>
        <v>0</v>
      </c>
      <c r="Z51" s="59">
        <f t="shared" si="164"/>
        <v>0</v>
      </c>
      <c r="AA51" s="55">
        <f t="shared" si="165"/>
        <v>0</v>
      </c>
      <c r="AB51" s="59">
        <f t="shared" si="166"/>
        <v>0</v>
      </c>
      <c r="AC51" s="60">
        <f t="shared" si="167"/>
        <v>0</v>
      </c>
      <c r="AD51" s="59">
        <f t="shared" si="168"/>
        <v>0</v>
      </c>
      <c r="AE51" s="60">
        <f t="shared" si="169"/>
        <v>0</v>
      </c>
      <c r="AF51" s="59">
        <f t="shared" si="170"/>
        <v>0</v>
      </c>
      <c r="AG51" s="60">
        <f t="shared" si="171"/>
        <v>0</v>
      </c>
      <c r="AH51" s="59">
        <f t="shared" si="172"/>
        <v>0</v>
      </c>
      <c r="AI51" s="55">
        <f t="shared" si="173"/>
        <v>0</v>
      </c>
      <c r="AJ51" s="59">
        <f t="shared" si="174"/>
        <v>0</v>
      </c>
      <c r="AK51" s="60">
        <f t="shared" si="175"/>
        <v>0</v>
      </c>
      <c r="AL51" s="59">
        <f t="shared" si="176"/>
        <v>0</v>
      </c>
      <c r="AM51" s="60">
        <f t="shared" si="177"/>
        <v>0</v>
      </c>
      <c r="AN51" s="59">
        <f t="shared" si="178"/>
        <v>0</v>
      </c>
      <c r="AO51" s="60">
        <f t="shared" si="179"/>
        <v>0</v>
      </c>
      <c r="AP51" s="59">
        <f t="shared" si="180"/>
        <v>0</v>
      </c>
      <c r="AQ51" s="60">
        <f t="shared" si="181"/>
        <v>0</v>
      </c>
      <c r="AR51" s="59">
        <f t="shared" si="182"/>
        <v>0</v>
      </c>
      <c r="AS51" s="55">
        <f t="shared" si="183"/>
        <v>0</v>
      </c>
      <c r="AT51" s="59">
        <f t="shared" si="184"/>
        <v>0</v>
      </c>
      <c r="AU51" s="60">
        <f t="shared" si="185"/>
        <v>0</v>
      </c>
      <c r="AV51" s="59">
        <f t="shared" si="186"/>
        <v>0</v>
      </c>
      <c r="AW51" s="60">
        <f t="shared" si="187"/>
        <v>0</v>
      </c>
      <c r="AX51" s="59">
        <f t="shared" si="188"/>
        <v>0</v>
      </c>
      <c r="AY51" s="55">
        <f t="shared" si="189"/>
        <v>0</v>
      </c>
      <c r="AZ51" s="59">
        <f t="shared" si="190"/>
        <v>0</v>
      </c>
      <c r="BC51" s="55">
        <v>1</v>
      </c>
      <c r="BD51" s="55">
        <v>0.97</v>
      </c>
      <c r="BE51" s="55">
        <v>0.95</v>
      </c>
      <c r="BF51" s="55">
        <v>0.93</v>
      </c>
      <c r="BG51" s="55">
        <f t="shared" si="280"/>
        <v>0.91</v>
      </c>
      <c r="BH51" s="55">
        <f t="shared" si="280"/>
        <v>0.89</v>
      </c>
      <c r="BI51" s="55">
        <f t="shared" si="280"/>
        <v>0.87</v>
      </c>
      <c r="BJ51" s="55">
        <f t="shared" si="280"/>
        <v>0.85</v>
      </c>
      <c r="BK51" s="55">
        <f t="shared" si="280"/>
        <v>0.83</v>
      </c>
      <c r="BL51" s="55">
        <f t="shared" si="280"/>
        <v>0.80999999999999994</v>
      </c>
      <c r="BM51" s="55">
        <f t="shared" si="280"/>
        <v>0.78999999999999992</v>
      </c>
      <c r="BN51" s="55">
        <f t="shared" si="280"/>
        <v>0.76999999999999991</v>
      </c>
      <c r="BO51" s="55">
        <f t="shared" si="280"/>
        <v>0.74999999999999989</v>
      </c>
      <c r="BP51" s="55">
        <f t="shared" si="280"/>
        <v>0.72999999999999987</v>
      </c>
      <c r="BQ51" s="55">
        <f t="shared" si="280"/>
        <v>0.70999999999999985</v>
      </c>
      <c r="BR51" s="55">
        <f t="shared" si="280"/>
        <v>0.68999999999999984</v>
      </c>
      <c r="BS51" s="55">
        <f t="shared" si="280"/>
        <v>0.66999999999999982</v>
      </c>
      <c r="BT51" s="55">
        <f t="shared" si="280"/>
        <v>0.6499999999999998</v>
      </c>
      <c r="BU51" s="55">
        <f t="shared" si="280"/>
        <v>0.62999999999999978</v>
      </c>
      <c r="BV51" s="55">
        <f t="shared" si="280"/>
        <v>0.60999999999999976</v>
      </c>
      <c r="BW51" s="55">
        <f t="shared" si="280"/>
        <v>0.58999999999999975</v>
      </c>
      <c r="BX51" s="55">
        <f t="shared" si="280"/>
        <v>0.56999999999999973</v>
      </c>
      <c r="BZ51" s="55">
        <f t="shared" si="88"/>
        <v>0</v>
      </c>
      <c r="CA51" s="55">
        <f t="shared" si="89"/>
        <v>0</v>
      </c>
      <c r="CB51" s="59">
        <f t="shared" si="191"/>
        <v>0</v>
      </c>
      <c r="CC51" s="55">
        <f t="shared" si="192"/>
        <v>0</v>
      </c>
      <c r="CD51" s="59">
        <f t="shared" si="193"/>
        <v>0</v>
      </c>
      <c r="CE51" s="55">
        <f t="shared" si="194"/>
        <v>0</v>
      </c>
      <c r="CF51" s="59">
        <f t="shared" si="195"/>
        <v>0</v>
      </c>
      <c r="CG51" s="55">
        <f t="shared" si="196"/>
        <v>0</v>
      </c>
      <c r="CH51" s="59">
        <f t="shared" si="197"/>
        <v>0</v>
      </c>
      <c r="CI51" s="57">
        <f t="shared" si="198"/>
        <v>0</v>
      </c>
      <c r="CJ51" s="59">
        <f t="shared" si="199"/>
        <v>0</v>
      </c>
      <c r="CK51" s="55">
        <f t="shared" si="200"/>
        <v>0</v>
      </c>
      <c r="CL51" s="59">
        <f t="shared" si="201"/>
        <v>0</v>
      </c>
      <c r="CM51" s="57">
        <f t="shared" si="202"/>
        <v>0</v>
      </c>
      <c r="CN51" s="59">
        <f t="shared" si="203"/>
        <v>0</v>
      </c>
      <c r="CO51" s="60">
        <f t="shared" si="204"/>
        <v>0</v>
      </c>
      <c r="CP51" s="59">
        <f t="shared" si="205"/>
        <v>0</v>
      </c>
      <c r="CQ51" s="57">
        <f t="shared" si="206"/>
        <v>0</v>
      </c>
      <c r="CR51" s="59">
        <f t="shared" si="207"/>
        <v>0</v>
      </c>
      <c r="CS51" s="55">
        <f t="shared" si="208"/>
        <v>0</v>
      </c>
      <c r="CT51" s="59">
        <f t="shared" si="209"/>
        <v>0</v>
      </c>
      <c r="CU51" s="60">
        <f t="shared" si="210"/>
        <v>0</v>
      </c>
      <c r="CV51" s="59">
        <f t="shared" si="211"/>
        <v>0</v>
      </c>
      <c r="CW51" s="60">
        <f t="shared" si="212"/>
        <v>0</v>
      </c>
      <c r="CX51" s="59">
        <f t="shared" si="213"/>
        <v>0</v>
      </c>
      <c r="CY51" s="60">
        <f t="shared" si="214"/>
        <v>0</v>
      </c>
      <c r="CZ51" s="59">
        <f t="shared" si="215"/>
        <v>0</v>
      </c>
      <c r="DA51" s="55">
        <f t="shared" si="216"/>
        <v>0</v>
      </c>
      <c r="DB51" s="59">
        <f t="shared" si="217"/>
        <v>0</v>
      </c>
      <c r="DC51" s="60">
        <f t="shared" si="218"/>
        <v>0</v>
      </c>
      <c r="DD51" s="59">
        <f t="shared" si="219"/>
        <v>0</v>
      </c>
      <c r="DE51" s="60">
        <f t="shared" si="220"/>
        <v>0</v>
      </c>
      <c r="DF51" s="59">
        <f t="shared" si="221"/>
        <v>0</v>
      </c>
      <c r="DG51" s="60">
        <f t="shared" si="222"/>
        <v>0</v>
      </c>
      <c r="DH51" s="59">
        <f t="shared" si="223"/>
        <v>0</v>
      </c>
      <c r="DI51" s="60">
        <f t="shared" si="224"/>
        <v>0</v>
      </c>
      <c r="DJ51" s="59">
        <f t="shared" si="225"/>
        <v>0</v>
      </c>
      <c r="DK51" s="55">
        <f t="shared" si="226"/>
        <v>0</v>
      </c>
      <c r="DL51" s="59">
        <f t="shared" si="227"/>
        <v>0</v>
      </c>
      <c r="DM51" s="60">
        <f t="shared" si="228"/>
        <v>0</v>
      </c>
      <c r="DN51" s="59">
        <f t="shared" si="229"/>
        <v>0</v>
      </c>
      <c r="DO51" s="60">
        <f t="shared" si="230"/>
        <v>0</v>
      </c>
      <c r="DP51" s="59">
        <f t="shared" si="231"/>
        <v>0</v>
      </c>
      <c r="DQ51" s="55">
        <f t="shared" si="232"/>
        <v>0</v>
      </c>
      <c r="DR51" s="59">
        <f t="shared" si="233"/>
        <v>0</v>
      </c>
      <c r="DU51" s="55">
        <v>1</v>
      </c>
      <c r="DV51" s="55">
        <v>0.97</v>
      </c>
      <c r="DW51" s="55">
        <v>0.95</v>
      </c>
      <c r="DX51" s="55">
        <v>0.93</v>
      </c>
      <c r="DY51" s="55">
        <f t="shared" si="283"/>
        <v>0.91</v>
      </c>
      <c r="DZ51" s="55">
        <f t="shared" si="283"/>
        <v>0.89</v>
      </c>
      <c r="EA51" s="55">
        <f t="shared" si="283"/>
        <v>0.87</v>
      </c>
      <c r="EB51" s="55">
        <f t="shared" si="283"/>
        <v>0.85</v>
      </c>
      <c r="EC51" s="55">
        <f t="shared" si="283"/>
        <v>0.83</v>
      </c>
      <c r="ED51" s="55">
        <f t="shared" si="283"/>
        <v>0.80999999999999994</v>
      </c>
      <c r="EE51" s="55">
        <f t="shared" si="283"/>
        <v>0.78999999999999992</v>
      </c>
      <c r="EF51" s="55">
        <f t="shared" si="283"/>
        <v>0.76999999999999991</v>
      </c>
      <c r="EG51" s="55">
        <f t="shared" si="283"/>
        <v>0.74999999999999989</v>
      </c>
      <c r="EH51" s="55">
        <f t="shared" si="283"/>
        <v>0.72999999999999987</v>
      </c>
      <c r="EI51" s="55">
        <f t="shared" si="283"/>
        <v>0.70999999999999985</v>
      </c>
      <c r="EJ51" s="55">
        <f t="shared" si="283"/>
        <v>0.68999999999999984</v>
      </c>
      <c r="EK51" s="55">
        <f t="shared" si="283"/>
        <v>0.66999999999999982</v>
      </c>
      <c r="EL51" s="55">
        <f t="shared" si="283"/>
        <v>0.6499999999999998</v>
      </c>
      <c r="EM51" s="55">
        <f t="shared" si="283"/>
        <v>0.62999999999999978</v>
      </c>
      <c r="EN51" s="55">
        <f t="shared" si="283"/>
        <v>0.60999999999999976</v>
      </c>
      <c r="EO51" s="55">
        <f t="shared" si="283"/>
        <v>0.58999999999999975</v>
      </c>
      <c r="EP51" s="55">
        <f t="shared" si="283"/>
        <v>0.56999999999999973</v>
      </c>
      <c r="ER51" s="55">
        <f t="shared" si="142"/>
        <v>0</v>
      </c>
      <c r="ES51" s="55">
        <f t="shared" si="116"/>
        <v>0</v>
      </c>
      <c r="ET51" s="59">
        <f t="shared" si="235"/>
        <v>0</v>
      </c>
      <c r="EU51" s="55">
        <f t="shared" si="236"/>
        <v>0</v>
      </c>
      <c r="EV51" s="59">
        <f t="shared" si="237"/>
        <v>0</v>
      </c>
      <c r="EW51" s="55">
        <f t="shared" si="238"/>
        <v>0</v>
      </c>
      <c r="EX51" s="59">
        <f t="shared" si="239"/>
        <v>0</v>
      </c>
      <c r="EY51" s="55">
        <f t="shared" si="240"/>
        <v>0</v>
      </c>
      <c r="EZ51" s="59">
        <f t="shared" si="241"/>
        <v>0</v>
      </c>
      <c r="FA51" s="57">
        <f t="shared" si="242"/>
        <v>0</v>
      </c>
      <c r="FB51" s="59">
        <f t="shared" si="243"/>
        <v>0</v>
      </c>
      <c r="FC51" s="55">
        <f t="shared" si="244"/>
        <v>0</v>
      </c>
      <c r="FD51" s="59">
        <f t="shared" si="245"/>
        <v>0</v>
      </c>
      <c r="FE51" s="57">
        <f t="shared" si="246"/>
        <v>0</v>
      </c>
      <c r="FF51" s="59">
        <f t="shared" si="247"/>
        <v>0</v>
      </c>
      <c r="FG51" s="60">
        <f t="shared" si="248"/>
        <v>0</v>
      </c>
      <c r="FH51" s="59">
        <f t="shared" si="249"/>
        <v>0</v>
      </c>
      <c r="FI51" s="57">
        <f t="shared" si="250"/>
        <v>0</v>
      </c>
      <c r="FJ51" s="59">
        <f t="shared" si="251"/>
        <v>0</v>
      </c>
      <c r="FK51" s="55">
        <f t="shared" si="252"/>
        <v>0</v>
      </c>
      <c r="FL51" s="59">
        <f t="shared" si="253"/>
        <v>0</v>
      </c>
      <c r="FM51" s="60">
        <f t="shared" si="254"/>
        <v>0</v>
      </c>
      <c r="FN51" s="59">
        <f t="shared" si="255"/>
        <v>0</v>
      </c>
      <c r="FO51" s="60">
        <f t="shared" si="256"/>
        <v>0</v>
      </c>
      <c r="FP51" s="59">
        <f t="shared" si="257"/>
        <v>0</v>
      </c>
      <c r="FQ51" s="60">
        <f t="shared" si="258"/>
        <v>0</v>
      </c>
      <c r="FR51" s="59">
        <f t="shared" si="259"/>
        <v>0</v>
      </c>
      <c r="FS51" s="55">
        <f t="shared" si="260"/>
        <v>0</v>
      </c>
      <c r="FT51" s="59">
        <f t="shared" si="261"/>
        <v>0</v>
      </c>
      <c r="FU51" s="60">
        <f t="shared" si="262"/>
        <v>0</v>
      </c>
      <c r="FV51" s="59">
        <f t="shared" si="263"/>
        <v>0</v>
      </c>
      <c r="FW51" s="60">
        <f t="shared" si="264"/>
        <v>0</v>
      </c>
      <c r="FX51" s="59">
        <f t="shared" si="265"/>
        <v>0</v>
      </c>
      <c r="FY51" s="60">
        <f t="shared" si="266"/>
        <v>0</v>
      </c>
      <c r="FZ51" s="59">
        <f t="shared" si="267"/>
        <v>0</v>
      </c>
      <c r="GA51" s="60">
        <f t="shared" si="268"/>
        <v>0</v>
      </c>
      <c r="GB51" s="59">
        <f t="shared" si="269"/>
        <v>0</v>
      </c>
      <c r="GC51" s="55">
        <f t="shared" si="270"/>
        <v>0</v>
      </c>
      <c r="GD51" s="59">
        <f t="shared" si="271"/>
        <v>0</v>
      </c>
      <c r="GE51" s="60">
        <f t="shared" si="272"/>
        <v>0</v>
      </c>
      <c r="GF51" s="59">
        <f t="shared" si="273"/>
        <v>0</v>
      </c>
      <c r="GG51" s="60">
        <f t="shared" si="274"/>
        <v>0</v>
      </c>
      <c r="GH51" s="59">
        <f t="shared" si="275"/>
        <v>0</v>
      </c>
      <c r="GI51" s="55">
        <f t="shared" si="276"/>
        <v>0</v>
      </c>
      <c r="GJ51" s="59">
        <f t="shared" si="277"/>
        <v>0</v>
      </c>
      <c r="GK51" s="55"/>
      <c r="GL51" s="55"/>
      <c r="GM51" s="55">
        <v>1</v>
      </c>
      <c r="GN51" s="55">
        <v>0.97</v>
      </c>
      <c r="GO51" s="55">
        <v>0.95</v>
      </c>
      <c r="GP51" s="55">
        <v>0.93</v>
      </c>
      <c r="GQ51" s="55">
        <f t="shared" si="284"/>
        <v>0.91</v>
      </c>
      <c r="GR51" s="55">
        <f t="shared" si="284"/>
        <v>0.89</v>
      </c>
      <c r="GS51" s="55">
        <f t="shared" si="284"/>
        <v>0.87</v>
      </c>
      <c r="GT51" s="55">
        <f t="shared" si="284"/>
        <v>0.85</v>
      </c>
      <c r="GU51" s="55">
        <f t="shared" si="284"/>
        <v>0.83</v>
      </c>
      <c r="GV51" s="55">
        <f t="shared" si="284"/>
        <v>0.80999999999999994</v>
      </c>
      <c r="GW51" s="55">
        <f t="shared" si="284"/>
        <v>0.78999999999999992</v>
      </c>
      <c r="GX51" s="55">
        <f t="shared" si="284"/>
        <v>0.76999999999999991</v>
      </c>
      <c r="GY51" s="55">
        <f t="shared" si="284"/>
        <v>0.74999999999999989</v>
      </c>
      <c r="GZ51" s="55">
        <f t="shared" si="284"/>
        <v>0.72999999999999987</v>
      </c>
      <c r="HA51" s="55">
        <f t="shared" si="284"/>
        <v>0.70999999999999985</v>
      </c>
      <c r="HB51" s="55">
        <f t="shared" si="284"/>
        <v>0.68999999999999984</v>
      </c>
      <c r="HC51" s="55">
        <f t="shared" si="284"/>
        <v>0.66999999999999982</v>
      </c>
      <c r="HD51" s="55">
        <f t="shared" si="284"/>
        <v>0.6499999999999998</v>
      </c>
      <c r="HE51" s="55">
        <f t="shared" si="284"/>
        <v>0.62999999999999978</v>
      </c>
      <c r="HF51" s="55">
        <f t="shared" si="284"/>
        <v>0.60999999999999976</v>
      </c>
      <c r="HG51" s="55">
        <f t="shared" si="284"/>
        <v>0.58999999999999975</v>
      </c>
      <c r="HH51" s="55">
        <f t="shared" si="284"/>
        <v>0.56999999999999973</v>
      </c>
    </row>
    <row r="52" spans="1:216" x14ac:dyDescent="0.3">
      <c r="A52" s="2">
        <v>19</v>
      </c>
      <c r="C52" s="38" t="s">
        <v>26</v>
      </c>
      <c r="D52" s="42">
        <f>TRUNC(28937.9136930919+2853.31859729302+10245.9325892072-1348.64343469854,-1)</f>
        <v>40680</v>
      </c>
      <c r="E52" s="71">
        <f t="shared" si="148"/>
        <v>134470</v>
      </c>
      <c r="F52" s="2" t="s">
        <v>319</v>
      </c>
      <c r="H52" s="55">
        <f t="shared" si="61"/>
        <v>147917</v>
      </c>
      <c r="I52" s="55">
        <f t="shared" si="62"/>
        <v>147917</v>
      </c>
      <c r="J52" s="59">
        <f t="shared" si="63"/>
        <v>488984.01860000001</v>
      </c>
      <c r="K52" s="55">
        <f t="shared" si="149"/>
        <v>143479.49</v>
      </c>
      <c r="L52" s="59">
        <f t="shared" si="150"/>
        <v>474314.49804199999</v>
      </c>
      <c r="M52" s="55">
        <f t="shared" si="151"/>
        <v>140521.15</v>
      </c>
      <c r="N52" s="59">
        <f t="shared" si="152"/>
        <v>464534.81767000002</v>
      </c>
      <c r="O52" s="55">
        <f t="shared" si="153"/>
        <v>137562.81</v>
      </c>
      <c r="P52" s="59">
        <f t="shared" si="154"/>
        <v>454755.13729799999</v>
      </c>
      <c r="Q52" s="57">
        <f t="shared" si="155"/>
        <v>134604.47</v>
      </c>
      <c r="R52" s="59">
        <f t="shared" si="156"/>
        <v>444975.45692600001</v>
      </c>
      <c r="S52" s="55">
        <f t="shared" si="157"/>
        <v>131646.13</v>
      </c>
      <c r="T52" s="59">
        <f t="shared" si="158"/>
        <v>435195.77655400004</v>
      </c>
      <c r="U52" s="57">
        <f t="shared" si="159"/>
        <v>128687.79</v>
      </c>
      <c r="V52" s="59">
        <f t="shared" si="160"/>
        <v>425416.09618200001</v>
      </c>
      <c r="W52" s="60">
        <f t="shared" si="161"/>
        <v>125729.45</v>
      </c>
      <c r="X52" s="59">
        <f t="shared" si="162"/>
        <v>415636.41580999998</v>
      </c>
      <c r="Y52" s="57">
        <f t="shared" si="163"/>
        <v>122771.11</v>
      </c>
      <c r="Z52" s="59">
        <f t="shared" si="164"/>
        <v>405856.735438</v>
      </c>
      <c r="AA52" s="55">
        <f t="shared" si="165"/>
        <v>119812.76999999999</v>
      </c>
      <c r="AB52" s="59">
        <f t="shared" si="166"/>
        <v>396077.05506599997</v>
      </c>
      <c r="AC52" s="60">
        <f t="shared" si="167"/>
        <v>116854.43</v>
      </c>
      <c r="AD52" s="59">
        <f t="shared" si="168"/>
        <v>386297.374694</v>
      </c>
      <c r="AE52" s="60">
        <f t="shared" si="169"/>
        <v>113896.08999999998</v>
      </c>
      <c r="AF52" s="59">
        <f t="shared" si="170"/>
        <v>376517.69432199997</v>
      </c>
      <c r="AG52" s="60">
        <f t="shared" si="171"/>
        <v>110937.74999999999</v>
      </c>
      <c r="AH52" s="59">
        <f t="shared" si="172"/>
        <v>366738.01394999993</v>
      </c>
      <c r="AI52" s="55">
        <f t="shared" si="173"/>
        <v>107979.40999999997</v>
      </c>
      <c r="AJ52" s="59">
        <f t="shared" si="174"/>
        <v>356958.3335779999</v>
      </c>
      <c r="AK52" s="60">
        <f t="shared" si="175"/>
        <v>105021.06999999998</v>
      </c>
      <c r="AL52" s="59">
        <f t="shared" si="176"/>
        <v>347178.65320599993</v>
      </c>
      <c r="AM52" s="60">
        <f t="shared" si="177"/>
        <v>102062.72999999998</v>
      </c>
      <c r="AN52" s="59">
        <f t="shared" si="178"/>
        <v>337398.97283399996</v>
      </c>
      <c r="AO52" s="60">
        <f t="shared" si="179"/>
        <v>99104.38999999997</v>
      </c>
      <c r="AP52" s="59">
        <f t="shared" si="180"/>
        <v>327619.29246199992</v>
      </c>
      <c r="AQ52" s="60">
        <f t="shared" si="181"/>
        <v>96146.049999999974</v>
      </c>
      <c r="AR52" s="59">
        <f t="shared" si="182"/>
        <v>317839.61208999989</v>
      </c>
      <c r="AS52" s="55">
        <f t="shared" si="183"/>
        <v>93187.709999999963</v>
      </c>
      <c r="AT52" s="59">
        <f t="shared" si="184"/>
        <v>308059.93171799986</v>
      </c>
      <c r="AU52" s="60">
        <f t="shared" si="185"/>
        <v>90229.369999999966</v>
      </c>
      <c r="AV52" s="59">
        <f t="shared" si="186"/>
        <v>298280.25134599989</v>
      </c>
      <c r="AW52" s="60">
        <f t="shared" si="187"/>
        <v>87271.02999999997</v>
      </c>
      <c r="AX52" s="59">
        <f t="shared" si="188"/>
        <v>288500.57097399991</v>
      </c>
      <c r="AY52" s="55">
        <f t="shared" si="189"/>
        <v>84312.689999999959</v>
      </c>
      <c r="AZ52" s="59">
        <f t="shared" si="190"/>
        <v>278720.89060199988</v>
      </c>
      <c r="BC52" s="55">
        <v>1</v>
      </c>
      <c r="BD52" s="55">
        <v>0.97</v>
      </c>
      <c r="BE52" s="55">
        <v>0.95</v>
      </c>
      <c r="BF52" s="55">
        <v>0.93</v>
      </c>
      <c r="BG52" s="55">
        <f t="shared" si="280"/>
        <v>0.91</v>
      </c>
      <c r="BH52" s="55">
        <f t="shared" si="280"/>
        <v>0.89</v>
      </c>
      <c r="BI52" s="55">
        <f t="shared" si="280"/>
        <v>0.87</v>
      </c>
      <c r="BJ52" s="55">
        <f t="shared" si="280"/>
        <v>0.85</v>
      </c>
      <c r="BK52" s="55">
        <f t="shared" si="280"/>
        <v>0.83</v>
      </c>
      <c r="BL52" s="55">
        <f t="shared" si="280"/>
        <v>0.80999999999999994</v>
      </c>
      <c r="BM52" s="55">
        <f t="shared" si="280"/>
        <v>0.78999999999999992</v>
      </c>
      <c r="BN52" s="55">
        <f t="shared" si="280"/>
        <v>0.76999999999999991</v>
      </c>
      <c r="BO52" s="55">
        <f t="shared" si="280"/>
        <v>0.74999999999999989</v>
      </c>
      <c r="BP52" s="55">
        <f t="shared" si="280"/>
        <v>0.72999999999999987</v>
      </c>
      <c r="BQ52" s="55">
        <f t="shared" si="280"/>
        <v>0.70999999999999985</v>
      </c>
      <c r="BR52" s="55">
        <f t="shared" si="280"/>
        <v>0.68999999999999984</v>
      </c>
      <c r="BS52" s="55">
        <f t="shared" si="280"/>
        <v>0.66999999999999982</v>
      </c>
      <c r="BT52" s="55">
        <f t="shared" si="280"/>
        <v>0.6499999999999998</v>
      </c>
      <c r="BU52" s="55">
        <f t="shared" si="280"/>
        <v>0.62999999999999978</v>
      </c>
      <c r="BV52" s="55">
        <f t="shared" si="280"/>
        <v>0.60999999999999976</v>
      </c>
      <c r="BW52" s="55">
        <f t="shared" si="280"/>
        <v>0.58999999999999975</v>
      </c>
      <c r="BX52" s="55">
        <f t="shared" si="280"/>
        <v>0.56999999999999973</v>
      </c>
      <c r="BZ52" s="55">
        <f t="shared" si="88"/>
        <v>134604.47</v>
      </c>
      <c r="CA52" s="55">
        <f t="shared" si="89"/>
        <v>134604.47</v>
      </c>
      <c r="CB52" s="59">
        <f t="shared" si="191"/>
        <v>444975.45692600001</v>
      </c>
      <c r="CC52" s="55">
        <f t="shared" si="192"/>
        <v>130566.33589999999</v>
      </c>
      <c r="CD52" s="59">
        <f t="shared" si="193"/>
        <v>431626.19321821997</v>
      </c>
      <c r="CE52" s="55">
        <f t="shared" si="194"/>
        <v>127874.24649999999</v>
      </c>
      <c r="CF52" s="59">
        <f t="shared" si="195"/>
        <v>422726.68407969997</v>
      </c>
      <c r="CG52" s="55">
        <f t="shared" si="196"/>
        <v>125182.15710000001</v>
      </c>
      <c r="CH52" s="59">
        <f t="shared" si="197"/>
        <v>413827.17494118004</v>
      </c>
      <c r="CI52" s="57">
        <f t="shared" si="198"/>
        <v>122490.0677</v>
      </c>
      <c r="CJ52" s="59">
        <f t="shared" si="199"/>
        <v>404927.66580265999</v>
      </c>
      <c r="CK52" s="55">
        <f t="shared" si="200"/>
        <v>119797.9783</v>
      </c>
      <c r="CL52" s="59">
        <f t="shared" si="201"/>
        <v>396028.15666414</v>
      </c>
      <c r="CM52" s="57">
        <f t="shared" si="202"/>
        <v>117105.88890000001</v>
      </c>
      <c r="CN52" s="59">
        <f t="shared" si="203"/>
        <v>387128.64752562001</v>
      </c>
      <c r="CO52" s="60">
        <f t="shared" si="204"/>
        <v>114413.79949999999</v>
      </c>
      <c r="CP52" s="59">
        <f t="shared" si="205"/>
        <v>378229.13838710001</v>
      </c>
      <c r="CQ52" s="57">
        <f t="shared" si="206"/>
        <v>111721.7101</v>
      </c>
      <c r="CR52" s="59">
        <f t="shared" si="207"/>
        <v>369329.62924858002</v>
      </c>
      <c r="CS52" s="55">
        <f t="shared" si="208"/>
        <v>109029.6207</v>
      </c>
      <c r="CT52" s="59">
        <f t="shared" si="209"/>
        <v>360430.12011006003</v>
      </c>
      <c r="CU52" s="60">
        <f t="shared" si="210"/>
        <v>106337.53129999999</v>
      </c>
      <c r="CV52" s="59">
        <f t="shared" si="211"/>
        <v>351530.61097153998</v>
      </c>
      <c r="CW52" s="60">
        <f t="shared" si="212"/>
        <v>103645.44189999999</v>
      </c>
      <c r="CX52" s="59">
        <f t="shared" si="213"/>
        <v>342631.10183301999</v>
      </c>
      <c r="CY52" s="60">
        <f t="shared" si="214"/>
        <v>100953.35249999998</v>
      </c>
      <c r="CZ52" s="59">
        <f t="shared" si="215"/>
        <v>333731.59269449994</v>
      </c>
      <c r="DA52" s="55">
        <f t="shared" si="216"/>
        <v>98261.263099999982</v>
      </c>
      <c r="DB52" s="59">
        <f t="shared" si="217"/>
        <v>324832.08355597995</v>
      </c>
      <c r="DC52" s="60">
        <f t="shared" si="218"/>
        <v>95569.173699999985</v>
      </c>
      <c r="DD52" s="59">
        <f t="shared" si="219"/>
        <v>315932.57441745995</v>
      </c>
      <c r="DE52" s="60">
        <f t="shared" si="220"/>
        <v>92877.084299999973</v>
      </c>
      <c r="DF52" s="59">
        <f t="shared" si="221"/>
        <v>307033.0652789399</v>
      </c>
      <c r="DG52" s="60">
        <f t="shared" si="222"/>
        <v>90184.994899999976</v>
      </c>
      <c r="DH52" s="59">
        <f t="shared" si="223"/>
        <v>298133.55614041991</v>
      </c>
      <c r="DI52" s="60">
        <f t="shared" si="224"/>
        <v>87492.905499999979</v>
      </c>
      <c r="DJ52" s="59">
        <f t="shared" si="225"/>
        <v>289234.04700189992</v>
      </c>
      <c r="DK52" s="55">
        <f t="shared" si="226"/>
        <v>84800.816099999967</v>
      </c>
      <c r="DL52" s="59">
        <f t="shared" si="227"/>
        <v>280334.53786337993</v>
      </c>
      <c r="DM52" s="60">
        <f t="shared" si="228"/>
        <v>82108.72669999997</v>
      </c>
      <c r="DN52" s="59">
        <f t="shared" si="229"/>
        <v>271435.02872485993</v>
      </c>
      <c r="DO52" s="60">
        <f t="shared" si="230"/>
        <v>79416.637299999973</v>
      </c>
      <c r="DP52" s="59">
        <f t="shared" si="231"/>
        <v>262535.51958633994</v>
      </c>
      <c r="DQ52" s="55">
        <f t="shared" si="232"/>
        <v>76724.547899999961</v>
      </c>
      <c r="DR52" s="59">
        <f t="shared" si="233"/>
        <v>253636.01044781989</v>
      </c>
      <c r="DU52" s="55">
        <v>1</v>
      </c>
      <c r="DV52" s="55">
        <v>0.97</v>
      </c>
      <c r="DW52" s="55">
        <v>0.95</v>
      </c>
      <c r="DX52" s="55">
        <v>0.93</v>
      </c>
      <c r="DY52" s="55">
        <f t="shared" si="283"/>
        <v>0.91</v>
      </c>
      <c r="DZ52" s="55">
        <f t="shared" si="283"/>
        <v>0.89</v>
      </c>
      <c r="EA52" s="55">
        <f t="shared" si="283"/>
        <v>0.87</v>
      </c>
      <c r="EB52" s="55">
        <f t="shared" si="283"/>
        <v>0.85</v>
      </c>
      <c r="EC52" s="55">
        <f t="shared" si="283"/>
        <v>0.83</v>
      </c>
      <c r="ED52" s="55">
        <f t="shared" si="283"/>
        <v>0.80999999999999994</v>
      </c>
      <c r="EE52" s="55">
        <f t="shared" si="283"/>
        <v>0.78999999999999992</v>
      </c>
      <c r="EF52" s="55">
        <f t="shared" si="283"/>
        <v>0.76999999999999991</v>
      </c>
      <c r="EG52" s="55">
        <f t="shared" si="283"/>
        <v>0.74999999999999989</v>
      </c>
      <c r="EH52" s="55">
        <f t="shared" si="283"/>
        <v>0.72999999999999987</v>
      </c>
      <c r="EI52" s="55">
        <f t="shared" si="283"/>
        <v>0.70999999999999985</v>
      </c>
      <c r="EJ52" s="55">
        <f t="shared" si="283"/>
        <v>0.68999999999999984</v>
      </c>
      <c r="EK52" s="55">
        <f t="shared" si="283"/>
        <v>0.66999999999999982</v>
      </c>
      <c r="EL52" s="55">
        <f t="shared" si="283"/>
        <v>0.6499999999999998</v>
      </c>
      <c r="EM52" s="55">
        <f t="shared" si="283"/>
        <v>0.62999999999999978</v>
      </c>
      <c r="EN52" s="55">
        <f t="shared" si="283"/>
        <v>0.60999999999999976</v>
      </c>
      <c r="EO52" s="55">
        <f t="shared" si="283"/>
        <v>0.58999999999999975</v>
      </c>
      <c r="EP52" s="55">
        <f t="shared" si="283"/>
        <v>0.56999999999999973</v>
      </c>
      <c r="ER52" s="55">
        <f t="shared" si="142"/>
        <v>122490.0677</v>
      </c>
      <c r="ES52" s="55">
        <f t="shared" si="116"/>
        <v>122490.0677</v>
      </c>
      <c r="ET52" s="59">
        <f t="shared" si="235"/>
        <v>404927.66580265999</v>
      </c>
      <c r="EU52" s="55">
        <f t="shared" si="236"/>
        <v>118815.36566899999</v>
      </c>
      <c r="EV52" s="59">
        <f t="shared" si="237"/>
        <v>392779.8358285802</v>
      </c>
      <c r="EW52" s="55">
        <f t="shared" si="238"/>
        <v>116365.564315</v>
      </c>
      <c r="EX52" s="59">
        <f t="shared" si="239"/>
        <v>384681.28251252702</v>
      </c>
      <c r="EY52" s="55">
        <f t="shared" si="240"/>
        <v>113915.762961</v>
      </c>
      <c r="EZ52" s="59">
        <f t="shared" si="241"/>
        <v>376582.72919647378</v>
      </c>
      <c r="FA52" s="57">
        <f t="shared" si="242"/>
        <v>111465.961607</v>
      </c>
      <c r="FB52" s="59">
        <f t="shared" si="243"/>
        <v>368484.1758804206</v>
      </c>
      <c r="FC52" s="55">
        <f t="shared" si="244"/>
        <v>109016.16025299999</v>
      </c>
      <c r="FD52" s="59">
        <f t="shared" si="245"/>
        <v>360385.62256436737</v>
      </c>
      <c r="FE52" s="57">
        <f t="shared" si="246"/>
        <v>106566.358899</v>
      </c>
      <c r="FF52" s="59">
        <f t="shared" si="247"/>
        <v>352287.06924831419</v>
      </c>
      <c r="FG52" s="60">
        <f t="shared" si="248"/>
        <v>104116.557545</v>
      </c>
      <c r="FH52" s="59">
        <f t="shared" si="249"/>
        <v>344188.51593226101</v>
      </c>
      <c r="FI52" s="57">
        <f t="shared" si="250"/>
        <v>101666.75619099999</v>
      </c>
      <c r="FJ52" s="59">
        <f t="shared" si="251"/>
        <v>336089.96261620778</v>
      </c>
      <c r="FK52" s="55">
        <f t="shared" si="252"/>
        <v>99216.954836999997</v>
      </c>
      <c r="FL52" s="59">
        <f t="shared" si="253"/>
        <v>327991.4093001546</v>
      </c>
      <c r="FM52" s="60">
        <f t="shared" si="254"/>
        <v>96767.153482999987</v>
      </c>
      <c r="FN52" s="59">
        <f t="shared" si="255"/>
        <v>319892.85598410136</v>
      </c>
      <c r="FO52" s="60">
        <f t="shared" si="256"/>
        <v>94317.352128999992</v>
      </c>
      <c r="FP52" s="59">
        <f t="shared" si="257"/>
        <v>311794.30266804819</v>
      </c>
      <c r="FQ52" s="60">
        <f t="shared" si="258"/>
        <v>91867.550774999982</v>
      </c>
      <c r="FR52" s="59">
        <f t="shared" si="259"/>
        <v>303695.74935199495</v>
      </c>
      <c r="FS52" s="55">
        <f t="shared" si="260"/>
        <v>89417.749420999986</v>
      </c>
      <c r="FT52" s="59">
        <f t="shared" si="261"/>
        <v>295597.19603594177</v>
      </c>
      <c r="FU52" s="60">
        <f t="shared" si="262"/>
        <v>86967.948066999976</v>
      </c>
      <c r="FV52" s="59">
        <f t="shared" si="263"/>
        <v>287498.64271988854</v>
      </c>
      <c r="FW52" s="60">
        <f t="shared" si="264"/>
        <v>84518.14671299998</v>
      </c>
      <c r="FX52" s="59">
        <f t="shared" si="265"/>
        <v>279400.08940383536</v>
      </c>
      <c r="FY52" s="60">
        <f t="shared" si="266"/>
        <v>82068.345358999984</v>
      </c>
      <c r="FZ52" s="59">
        <f t="shared" si="267"/>
        <v>271301.53608778218</v>
      </c>
      <c r="GA52" s="60">
        <f t="shared" si="268"/>
        <v>79618.544004999974</v>
      </c>
      <c r="GB52" s="59">
        <f t="shared" si="269"/>
        <v>263202.98277172894</v>
      </c>
      <c r="GC52" s="55">
        <f t="shared" si="270"/>
        <v>77168.742650999979</v>
      </c>
      <c r="GD52" s="59">
        <f t="shared" si="271"/>
        <v>255104.42945567574</v>
      </c>
      <c r="GE52" s="60">
        <f t="shared" si="272"/>
        <v>74718.941296999968</v>
      </c>
      <c r="GF52" s="59">
        <f t="shared" si="273"/>
        <v>247005.8761396225</v>
      </c>
      <c r="GG52" s="60">
        <f t="shared" si="274"/>
        <v>72269.139942999973</v>
      </c>
      <c r="GH52" s="59">
        <f t="shared" si="275"/>
        <v>238907.32282356932</v>
      </c>
      <c r="GI52" s="55">
        <f t="shared" si="276"/>
        <v>69819.338588999963</v>
      </c>
      <c r="GJ52" s="59">
        <f t="shared" si="277"/>
        <v>230808.76950751609</v>
      </c>
      <c r="GK52" s="55"/>
      <c r="GL52" s="55"/>
      <c r="GM52" s="55">
        <v>1</v>
      </c>
      <c r="GN52" s="55">
        <v>0.97</v>
      </c>
      <c r="GO52" s="55">
        <v>0.95</v>
      </c>
      <c r="GP52" s="55">
        <v>0.93</v>
      </c>
      <c r="GQ52" s="55">
        <f t="shared" si="284"/>
        <v>0.91</v>
      </c>
      <c r="GR52" s="55">
        <f t="shared" si="284"/>
        <v>0.89</v>
      </c>
      <c r="GS52" s="55">
        <f t="shared" si="284"/>
        <v>0.87</v>
      </c>
      <c r="GT52" s="55">
        <f t="shared" si="284"/>
        <v>0.85</v>
      </c>
      <c r="GU52" s="55">
        <f t="shared" si="284"/>
        <v>0.83</v>
      </c>
      <c r="GV52" s="55">
        <f t="shared" si="284"/>
        <v>0.80999999999999994</v>
      </c>
      <c r="GW52" s="55">
        <f t="shared" si="284"/>
        <v>0.78999999999999992</v>
      </c>
      <c r="GX52" s="55">
        <f t="shared" si="284"/>
        <v>0.76999999999999991</v>
      </c>
      <c r="GY52" s="55">
        <f t="shared" si="284"/>
        <v>0.74999999999999989</v>
      </c>
      <c r="GZ52" s="55">
        <f t="shared" si="284"/>
        <v>0.72999999999999987</v>
      </c>
      <c r="HA52" s="55">
        <f t="shared" si="284"/>
        <v>0.70999999999999985</v>
      </c>
      <c r="HB52" s="55">
        <f t="shared" si="284"/>
        <v>0.68999999999999984</v>
      </c>
      <c r="HC52" s="55">
        <f t="shared" si="284"/>
        <v>0.66999999999999982</v>
      </c>
      <c r="HD52" s="55">
        <f t="shared" si="284"/>
        <v>0.6499999999999998</v>
      </c>
      <c r="HE52" s="55">
        <f t="shared" si="284"/>
        <v>0.62999999999999978</v>
      </c>
      <c r="HF52" s="55">
        <f t="shared" si="284"/>
        <v>0.60999999999999976</v>
      </c>
      <c r="HG52" s="55">
        <f t="shared" si="284"/>
        <v>0.58999999999999975</v>
      </c>
      <c r="HH52" s="55">
        <f t="shared" si="284"/>
        <v>0.56999999999999973</v>
      </c>
    </row>
    <row r="53" spans="1:216" ht="17.25" thickBot="1" x14ac:dyDescent="0.35">
      <c r="A53" s="2">
        <v>20</v>
      </c>
      <c r="C53" s="38" t="s">
        <v>150</v>
      </c>
      <c r="D53" s="43">
        <f>TRUNC(218273.020390227+22332.5716294604+10245.9325892072,-1)</f>
        <v>250850</v>
      </c>
      <c r="E53" s="72">
        <f t="shared" si="148"/>
        <v>829250</v>
      </c>
      <c r="H53" s="55">
        <f t="shared" si="61"/>
        <v>912175.00000000012</v>
      </c>
      <c r="I53" s="55">
        <f t="shared" si="62"/>
        <v>912175.00000000012</v>
      </c>
      <c r="J53" s="59">
        <f t="shared" si="63"/>
        <v>3015468.1150000002</v>
      </c>
      <c r="K53" s="55">
        <f t="shared" si="149"/>
        <v>884809.75000000012</v>
      </c>
      <c r="L53" s="59">
        <f t="shared" si="150"/>
        <v>2925004.0715500005</v>
      </c>
      <c r="M53" s="55">
        <f t="shared" si="151"/>
        <v>866566.25000000012</v>
      </c>
      <c r="N53" s="59">
        <f t="shared" si="152"/>
        <v>2864694.7092500003</v>
      </c>
      <c r="O53" s="55">
        <f t="shared" si="153"/>
        <v>848322.75000000012</v>
      </c>
      <c r="P53" s="59">
        <f t="shared" si="154"/>
        <v>2804385.3469500006</v>
      </c>
      <c r="Q53" s="57">
        <f t="shared" si="155"/>
        <v>830079.25000000012</v>
      </c>
      <c r="R53" s="59">
        <f t="shared" si="156"/>
        <v>2744075.9846500005</v>
      </c>
      <c r="S53" s="55">
        <f t="shared" si="157"/>
        <v>811835.75000000012</v>
      </c>
      <c r="T53" s="59">
        <f t="shared" si="158"/>
        <v>2683766.6223500003</v>
      </c>
      <c r="U53" s="57">
        <f t="shared" si="159"/>
        <v>793592.25000000012</v>
      </c>
      <c r="V53" s="59">
        <f t="shared" si="160"/>
        <v>2623457.2600500006</v>
      </c>
      <c r="W53" s="60">
        <f t="shared" si="161"/>
        <v>775348.75000000012</v>
      </c>
      <c r="X53" s="59">
        <f t="shared" si="162"/>
        <v>2563147.8977500005</v>
      </c>
      <c r="Y53" s="57">
        <f t="shared" si="163"/>
        <v>757105.25000000012</v>
      </c>
      <c r="Z53" s="59">
        <f t="shared" si="164"/>
        <v>2502838.5354500003</v>
      </c>
      <c r="AA53" s="55">
        <f t="shared" si="165"/>
        <v>738861.75</v>
      </c>
      <c r="AB53" s="59">
        <f t="shared" si="166"/>
        <v>2442529.1731500002</v>
      </c>
      <c r="AC53" s="60">
        <f t="shared" si="167"/>
        <v>720618.25</v>
      </c>
      <c r="AD53" s="59">
        <f t="shared" si="168"/>
        <v>2382219.81085</v>
      </c>
      <c r="AE53" s="60">
        <f t="shared" si="169"/>
        <v>702374.75</v>
      </c>
      <c r="AF53" s="59">
        <f t="shared" si="170"/>
        <v>2321910.4485499999</v>
      </c>
      <c r="AG53" s="60">
        <f t="shared" si="171"/>
        <v>684131.25</v>
      </c>
      <c r="AH53" s="59">
        <f t="shared" si="172"/>
        <v>2261601.0862500002</v>
      </c>
      <c r="AI53" s="55">
        <f t="shared" si="173"/>
        <v>665887.75</v>
      </c>
      <c r="AJ53" s="59">
        <f t="shared" si="174"/>
        <v>2201291.72395</v>
      </c>
      <c r="AK53" s="60">
        <f t="shared" si="175"/>
        <v>647644.25</v>
      </c>
      <c r="AL53" s="59">
        <f t="shared" si="176"/>
        <v>2140982.3616499999</v>
      </c>
      <c r="AM53" s="60">
        <f t="shared" si="177"/>
        <v>629400.74999999988</v>
      </c>
      <c r="AN53" s="59">
        <f t="shared" si="178"/>
        <v>2080672.9993499997</v>
      </c>
      <c r="AO53" s="60">
        <f t="shared" si="179"/>
        <v>611157.24999999988</v>
      </c>
      <c r="AP53" s="59">
        <f t="shared" si="180"/>
        <v>2020363.6370499996</v>
      </c>
      <c r="AQ53" s="60">
        <f t="shared" si="181"/>
        <v>592913.74999999988</v>
      </c>
      <c r="AR53" s="59">
        <f t="shared" si="182"/>
        <v>1960054.2747499996</v>
      </c>
      <c r="AS53" s="55">
        <f t="shared" si="183"/>
        <v>574670.24999999988</v>
      </c>
      <c r="AT53" s="59">
        <f t="shared" si="184"/>
        <v>1899744.9124499997</v>
      </c>
      <c r="AU53" s="60">
        <f t="shared" si="185"/>
        <v>556426.74999999988</v>
      </c>
      <c r="AV53" s="59">
        <f t="shared" si="186"/>
        <v>1839435.5501499996</v>
      </c>
      <c r="AW53" s="60">
        <f t="shared" si="187"/>
        <v>538183.24999999988</v>
      </c>
      <c r="AX53" s="59">
        <f t="shared" si="188"/>
        <v>1779126.1878499996</v>
      </c>
      <c r="AY53" s="55">
        <f t="shared" si="189"/>
        <v>519939.74999999983</v>
      </c>
      <c r="AZ53" s="59">
        <f t="shared" si="190"/>
        <v>1718816.8255499995</v>
      </c>
      <c r="BC53" s="55">
        <v>1</v>
      </c>
      <c r="BD53" s="55">
        <v>0.97</v>
      </c>
      <c r="BE53" s="55">
        <v>0.95</v>
      </c>
      <c r="BF53" s="55">
        <v>0.93</v>
      </c>
      <c r="BG53" s="55">
        <f t="shared" si="280"/>
        <v>0.91</v>
      </c>
      <c r="BH53" s="55">
        <f t="shared" si="280"/>
        <v>0.89</v>
      </c>
      <c r="BI53" s="55">
        <f t="shared" si="280"/>
        <v>0.87</v>
      </c>
      <c r="BJ53" s="55">
        <f t="shared" si="280"/>
        <v>0.85</v>
      </c>
      <c r="BK53" s="55">
        <f t="shared" si="280"/>
        <v>0.83</v>
      </c>
      <c r="BL53" s="55">
        <f t="shared" si="280"/>
        <v>0.80999999999999994</v>
      </c>
      <c r="BM53" s="55">
        <f t="shared" si="280"/>
        <v>0.78999999999999992</v>
      </c>
      <c r="BN53" s="55">
        <f t="shared" si="280"/>
        <v>0.76999999999999991</v>
      </c>
      <c r="BO53" s="55">
        <f t="shared" si="280"/>
        <v>0.74999999999999989</v>
      </c>
      <c r="BP53" s="55">
        <f t="shared" si="280"/>
        <v>0.72999999999999987</v>
      </c>
      <c r="BQ53" s="55">
        <f t="shared" si="280"/>
        <v>0.70999999999999985</v>
      </c>
      <c r="BR53" s="55">
        <f t="shared" si="280"/>
        <v>0.68999999999999984</v>
      </c>
      <c r="BS53" s="55">
        <f t="shared" si="280"/>
        <v>0.66999999999999982</v>
      </c>
      <c r="BT53" s="55">
        <f t="shared" si="280"/>
        <v>0.6499999999999998</v>
      </c>
      <c r="BU53" s="55">
        <f t="shared" si="280"/>
        <v>0.62999999999999978</v>
      </c>
      <c r="BV53" s="55">
        <f t="shared" si="280"/>
        <v>0.60999999999999976</v>
      </c>
      <c r="BW53" s="55">
        <f t="shared" si="280"/>
        <v>0.58999999999999975</v>
      </c>
      <c r="BX53" s="55">
        <f t="shared" si="280"/>
        <v>0.56999999999999973</v>
      </c>
      <c r="BZ53" s="55">
        <f t="shared" si="88"/>
        <v>830079.25000000012</v>
      </c>
      <c r="CA53" s="55">
        <f t="shared" si="89"/>
        <v>830079.25000000012</v>
      </c>
      <c r="CB53" s="59">
        <f t="shared" si="191"/>
        <v>2744075.9846500005</v>
      </c>
      <c r="CC53" s="55">
        <f t="shared" si="192"/>
        <v>805176.87250000006</v>
      </c>
      <c r="CD53" s="59">
        <f t="shared" si="193"/>
        <v>2661753.7051105001</v>
      </c>
      <c r="CE53" s="55">
        <f t="shared" si="194"/>
        <v>788575.28750000009</v>
      </c>
      <c r="CF53" s="59">
        <f t="shared" si="195"/>
        <v>2606872.1854175003</v>
      </c>
      <c r="CG53" s="55">
        <f t="shared" si="196"/>
        <v>771973.70250000013</v>
      </c>
      <c r="CH53" s="59">
        <f t="shared" si="197"/>
        <v>2551990.6657245005</v>
      </c>
      <c r="CI53" s="57">
        <f t="shared" si="198"/>
        <v>755372.11750000017</v>
      </c>
      <c r="CJ53" s="59">
        <f t="shared" si="199"/>
        <v>2497109.1460315008</v>
      </c>
      <c r="CK53" s="55">
        <f t="shared" si="200"/>
        <v>738770.53250000009</v>
      </c>
      <c r="CL53" s="59">
        <f t="shared" si="201"/>
        <v>2442227.6263385005</v>
      </c>
      <c r="CM53" s="57">
        <f t="shared" si="202"/>
        <v>722168.94750000013</v>
      </c>
      <c r="CN53" s="59">
        <f t="shared" si="203"/>
        <v>2387346.1066455003</v>
      </c>
      <c r="CO53" s="60">
        <f t="shared" si="204"/>
        <v>705567.36250000005</v>
      </c>
      <c r="CP53" s="59">
        <f t="shared" si="205"/>
        <v>2332464.5869525</v>
      </c>
      <c r="CQ53" s="57">
        <f t="shared" si="206"/>
        <v>688965.77750000008</v>
      </c>
      <c r="CR53" s="59">
        <f t="shared" si="207"/>
        <v>2277583.0672595003</v>
      </c>
      <c r="CS53" s="55">
        <f t="shared" si="208"/>
        <v>672364.1925</v>
      </c>
      <c r="CT53" s="59">
        <f t="shared" si="209"/>
        <v>2222701.5475665</v>
      </c>
      <c r="CU53" s="60">
        <f t="shared" si="210"/>
        <v>655762.60750000004</v>
      </c>
      <c r="CV53" s="59">
        <f t="shared" si="211"/>
        <v>2167820.0278735003</v>
      </c>
      <c r="CW53" s="60">
        <f t="shared" si="212"/>
        <v>639161.02249999996</v>
      </c>
      <c r="CX53" s="59">
        <f t="shared" si="213"/>
        <v>2112938.5081805</v>
      </c>
      <c r="CY53" s="60">
        <f t="shared" si="214"/>
        <v>622559.4375</v>
      </c>
      <c r="CZ53" s="59">
        <f t="shared" si="215"/>
        <v>2058056.9884875</v>
      </c>
      <c r="DA53" s="55">
        <f t="shared" si="216"/>
        <v>605957.85249999992</v>
      </c>
      <c r="DB53" s="59">
        <f t="shared" si="217"/>
        <v>2003175.4687944998</v>
      </c>
      <c r="DC53" s="60">
        <f t="shared" si="218"/>
        <v>589356.26749999996</v>
      </c>
      <c r="DD53" s="59">
        <f t="shared" si="219"/>
        <v>1948293.9491015</v>
      </c>
      <c r="DE53" s="60">
        <f t="shared" si="220"/>
        <v>572754.6825</v>
      </c>
      <c r="DF53" s="59">
        <f t="shared" si="221"/>
        <v>1893412.4294085</v>
      </c>
      <c r="DG53" s="60">
        <f t="shared" si="222"/>
        <v>556153.09749999992</v>
      </c>
      <c r="DH53" s="59">
        <f t="shared" si="223"/>
        <v>1838530.9097154997</v>
      </c>
      <c r="DI53" s="60">
        <f t="shared" si="224"/>
        <v>539551.51249999995</v>
      </c>
      <c r="DJ53" s="59">
        <f t="shared" si="225"/>
        <v>1783649.3900225</v>
      </c>
      <c r="DK53" s="55">
        <f t="shared" si="226"/>
        <v>522949.92749999987</v>
      </c>
      <c r="DL53" s="59">
        <f t="shared" si="227"/>
        <v>1728767.8703294997</v>
      </c>
      <c r="DM53" s="60">
        <f t="shared" si="228"/>
        <v>506348.34249999985</v>
      </c>
      <c r="DN53" s="59">
        <f t="shared" si="229"/>
        <v>1673886.3506364995</v>
      </c>
      <c r="DO53" s="60">
        <f t="shared" si="230"/>
        <v>489746.75749999983</v>
      </c>
      <c r="DP53" s="59">
        <f t="shared" si="231"/>
        <v>1619004.8309434995</v>
      </c>
      <c r="DQ53" s="55">
        <f t="shared" si="232"/>
        <v>473145.17249999987</v>
      </c>
      <c r="DR53" s="59">
        <f t="shared" si="233"/>
        <v>1564123.3112504997</v>
      </c>
      <c r="DU53" s="55">
        <v>1</v>
      </c>
      <c r="DV53" s="55">
        <v>0.97</v>
      </c>
      <c r="DW53" s="55">
        <v>0.95</v>
      </c>
      <c r="DX53" s="55">
        <v>0.93</v>
      </c>
      <c r="DY53" s="55">
        <f t="shared" si="283"/>
        <v>0.91</v>
      </c>
      <c r="DZ53" s="55">
        <f t="shared" si="283"/>
        <v>0.89</v>
      </c>
      <c r="EA53" s="55">
        <f t="shared" si="283"/>
        <v>0.87</v>
      </c>
      <c r="EB53" s="55">
        <f t="shared" si="283"/>
        <v>0.85</v>
      </c>
      <c r="EC53" s="55">
        <f t="shared" si="283"/>
        <v>0.83</v>
      </c>
      <c r="ED53" s="55">
        <f t="shared" si="283"/>
        <v>0.80999999999999994</v>
      </c>
      <c r="EE53" s="55">
        <f t="shared" si="283"/>
        <v>0.78999999999999992</v>
      </c>
      <c r="EF53" s="55">
        <f t="shared" si="283"/>
        <v>0.76999999999999991</v>
      </c>
      <c r="EG53" s="55">
        <f t="shared" si="283"/>
        <v>0.74999999999999989</v>
      </c>
      <c r="EH53" s="55">
        <f t="shared" si="283"/>
        <v>0.72999999999999987</v>
      </c>
      <c r="EI53" s="55">
        <f t="shared" si="283"/>
        <v>0.70999999999999985</v>
      </c>
      <c r="EJ53" s="55">
        <f t="shared" si="283"/>
        <v>0.68999999999999984</v>
      </c>
      <c r="EK53" s="55">
        <f t="shared" si="283"/>
        <v>0.66999999999999982</v>
      </c>
      <c r="EL53" s="55">
        <f t="shared" si="283"/>
        <v>0.6499999999999998</v>
      </c>
      <c r="EM53" s="55">
        <f t="shared" si="283"/>
        <v>0.62999999999999978</v>
      </c>
      <c r="EN53" s="55">
        <f t="shared" si="283"/>
        <v>0.60999999999999976</v>
      </c>
      <c r="EO53" s="55">
        <f t="shared" si="283"/>
        <v>0.58999999999999975</v>
      </c>
      <c r="EP53" s="55">
        <f t="shared" si="283"/>
        <v>0.56999999999999973</v>
      </c>
      <c r="ER53" s="55">
        <f t="shared" si="142"/>
        <v>755372.11750000017</v>
      </c>
      <c r="ES53" s="55">
        <f t="shared" si="116"/>
        <v>755372.11750000017</v>
      </c>
      <c r="ET53" s="59">
        <f t="shared" si="235"/>
        <v>2497109.1460315008</v>
      </c>
      <c r="EU53" s="55">
        <f t="shared" si="236"/>
        <v>732710.95397500019</v>
      </c>
      <c r="EV53" s="59">
        <f t="shared" si="237"/>
        <v>2422195.8716505556</v>
      </c>
      <c r="EW53" s="55">
        <f t="shared" si="238"/>
        <v>717603.51162500016</v>
      </c>
      <c r="EX53" s="59">
        <f t="shared" si="239"/>
        <v>2372253.6887299255</v>
      </c>
      <c r="EY53" s="55">
        <f t="shared" si="240"/>
        <v>702496.06927500025</v>
      </c>
      <c r="EZ53" s="59">
        <f t="shared" si="241"/>
        <v>2322311.5058092959</v>
      </c>
      <c r="FA53" s="57">
        <f t="shared" si="242"/>
        <v>687388.62692500022</v>
      </c>
      <c r="FB53" s="59">
        <f t="shared" si="243"/>
        <v>2272369.3228886658</v>
      </c>
      <c r="FC53" s="55">
        <f t="shared" si="244"/>
        <v>672281.1845750002</v>
      </c>
      <c r="FD53" s="59">
        <f t="shared" si="245"/>
        <v>2222427.1399680357</v>
      </c>
      <c r="FE53" s="57">
        <f t="shared" si="246"/>
        <v>657173.74222500017</v>
      </c>
      <c r="FF53" s="59">
        <f t="shared" si="247"/>
        <v>2172484.9570474057</v>
      </c>
      <c r="FG53" s="60">
        <f t="shared" si="248"/>
        <v>642066.29987500014</v>
      </c>
      <c r="FH53" s="59">
        <f t="shared" si="249"/>
        <v>2122542.7741267756</v>
      </c>
      <c r="FI53" s="57">
        <f t="shared" si="250"/>
        <v>626958.85752500012</v>
      </c>
      <c r="FJ53" s="59">
        <f t="shared" si="251"/>
        <v>2072600.5912061455</v>
      </c>
      <c r="FK53" s="55">
        <f t="shared" si="252"/>
        <v>611851.41517500009</v>
      </c>
      <c r="FL53" s="59">
        <f t="shared" si="253"/>
        <v>2022658.4082855154</v>
      </c>
      <c r="FM53" s="60">
        <f t="shared" si="254"/>
        <v>596743.97282500006</v>
      </c>
      <c r="FN53" s="59">
        <f t="shared" si="255"/>
        <v>1972716.2253648853</v>
      </c>
      <c r="FO53" s="60">
        <f t="shared" si="256"/>
        <v>581636.53047500004</v>
      </c>
      <c r="FP53" s="59">
        <f t="shared" si="257"/>
        <v>1922774.0424442552</v>
      </c>
      <c r="FQ53" s="60">
        <f t="shared" si="258"/>
        <v>566529.08812500001</v>
      </c>
      <c r="FR53" s="59">
        <f t="shared" si="259"/>
        <v>1872831.8595236251</v>
      </c>
      <c r="FS53" s="55">
        <f t="shared" si="260"/>
        <v>551421.64577499998</v>
      </c>
      <c r="FT53" s="59">
        <f t="shared" si="261"/>
        <v>1822889.676602995</v>
      </c>
      <c r="FU53" s="60">
        <f t="shared" si="262"/>
        <v>536314.20342499996</v>
      </c>
      <c r="FV53" s="59">
        <f t="shared" si="263"/>
        <v>1772947.4936823649</v>
      </c>
      <c r="FW53" s="60">
        <f t="shared" si="264"/>
        <v>521206.76107499999</v>
      </c>
      <c r="FX53" s="59">
        <f t="shared" si="265"/>
        <v>1723005.3107617351</v>
      </c>
      <c r="FY53" s="60">
        <f t="shared" si="266"/>
        <v>506099.31872499996</v>
      </c>
      <c r="FZ53" s="59">
        <f t="shared" si="267"/>
        <v>1673063.127841105</v>
      </c>
      <c r="GA53" s="60">
        <f t="shared" si="268"/>
        <v>490991.87637499993</v>
      </c>
      <c r="GB53" s="59">
        <f t="shared" si="269"/>
        <v>1623120.9449204749</v>
      </c>
      <c r="GC53" s="55">
        <f t="shared" si="270"/>
        <v>475884.43402499997</v>
      </c>
      <c r="GD53" s="59">
        <f t="shared" si="271"/>
        <v>1573178.7619998448</v>
      </c>
      <c r="GE53" s="60">
        <f t="shared" si="272"/>
        <v>460776.99167499994</v>
      </c>
      <c r="GF53" s="59">
        <f t="shared" si="273"/>
        <v>1523236.5790792147</v>
      </c>
      <c r="GG53" s="60">
        <f t="shared" si="274"/>
        <v>445669.54932499991</v>
      </c>
      <c r="GH53" s="59">
        <f t="shared" si="275"/>
        <v>1473294.3961585849</v>
      </c>
      <c r="GI53" s="55">
        <f t="shared" si="276"/>
        <v>430562.10697499989</v>
      </c>
      <c r="GJ53" s="59">
        <f t="shared" si="277"/>
        <v>1423352.2132379548</v>
      </c>
      <c r="GK53" s="55"/>
      <c r="GL53" s="55"/>
      <c r="GM53" s="55">
        <v>1</v>
      </c>
      <c r="GN53" s="55">
        <v>0.97</v>
      </c>
      <c r="GO53" s="55">
        <v>0.95</v>
      </c>
      <c r="GP53" s="55">
        <v>0.93</v>
      </c>
      <c r="GQ53" s="55">
        <f t="shared" si="284"/>
        <v>0.91</v>
      </c>
      <c r="GR53" s="55">
        <f t="shared" si="284"/>
        <v>0.89</v>
      </c>
      <c r="GS53" s="55">
        <f t="shared" si="284"/>
        <v>0.87</v>
      </c>
      <c r="GT53" s="55">
        <f t="shared" si="284"/>
        <v>0.85</v>
      </c>
      <c r="GU53" s="55">
        <f t="shared" si="284"/>
        <v>0.83</v>
      </c>
      <c r="GV53" s="55">
        <f t="shared" si="284"/>
        <v>0.80999999999999994</v>
      </c>
      <c r="GW53" s="55">
        <f t="shared" si="284"/>
        <v>0.78999999999999992</v>
      </c>
      <c r="GX53" s="55">
        <f t="shared" si="284"/>
        <v>0.76999999999999991</v>
      </c>
      <c r="GY53" s="55">
        <f t="shared" si="284"/>
        <v>0.74999999999999989</v>
      </c>
      <c r="GZ53" s="55">
        <f t="shared" si="284"/>
        <v>0.72999999999999987</v>
      </c>
      <c r="HA53" s="55">
        <f t="shared" si="284"/>
        <v>0.70999999999999985</v>
      </c>
      <c r="HB53" s="55">
        <f t="shared" si="284"/>
        <v>0.68999999999999984</v>
      </c>
      <c r="HC53" s="55">
        <f t="shared" si="284"/>
        <v>0.66999999999999982</v>
      </c>
      <c r="HD53" s="55">
        <f t="shared" si="284"/>
        <v>0.6499999999999998</v>
      </c>
      <c r="HE53" s="55">
        <f t="shared" si="284"/>
        <v>0.62999999999999978</v>
      </c>
      <c r="HF53" s="55">
        <f t="shared" si="284"/>
        <v>0.60999999999999976</v>
      </c>
      <c r="HG53" s="55">
        <f t="shared" si="284"/>
        <v>0.58999999999999975</v>
      </c>
      <c r="HH53" s="55">
        <f t="shared" si="284"/>
        <v>0.56999999999999973</v>
      </c>
    </row>
    <row r="54" spans="1:216" x14ac:dyDescent="0.3">
      <c r="A54" s="2">
        <v>21</v>
      </c>
      <c r="C54" s="27" t="s">
        <v>113</v>
      </c>
      <c r="D54" s="39">
        <f>SUM(D34:D53)</f>
        <v>764930</v>
      </c>
      <c r="E54" s="39">
        <f>SUM(E34:E53)</f>
        <v>2528600</v>
      </c>
      <c r="H54" s="55">
        <f t="shared" si="61"/>
        <v>2781460</v>
      </c>
      <c r="I54" s="55">
        <f t="shared" si="62"/>
        <v>2781460</v>
      </c>
      <c r="J54" s="59">
        <f t="shared" si="63"/>
        <v>9194950.4680000003</v>
      </c>
      <c r="K54" s="55">
        <f t="shared" si="149"/>
        <v>2698016.1999999997</v>
      </c>
      <c r="L54" s="59">
        <f t="shared" si="150"/>
        <v>8919101.9539599996</v>
      </c>
      <c r="M54" s="55">
        <f t="shared" si="151"/>
        <v>2642387</v>
      </c>
      <c r="N54" s="59">
        <f t="shared" si="152"/>
        <v>8735202.944600001</v>
      </c>
      <c r="O54" s="55">
        <f t="shared" si="153"/>
        <v>2586757.8000000003</v>
      </c>
      <c r="P54" s="59">
        <f t="shared" si="154"/>
        <v>8551303.9352400005</v>
      </c>
      <c r="Q54" s="57">
        <f t="shared" si="155"/>
        <v>2531128.6</v>
      </c>
      <c r="R54" s="59">
        <f t="shared" si="156"/>
        <v>8367404.9258800009</v>
      </c>
      <c r="S54" s="55">
        <f t="shared" si="157"/>
        <v>2475499.4</v>
      </c>
      <c r="T54" s="59">
        <f t="shared" si="158"/>
        <v>8183505.9165199995</v>
      </c>
      <c r="U54" s="57">
        <f t="shared" si="159"/>
        <v>2419870.2000000002</v>
      </c>
      <c r="V54" s="59">
        <f t="shared" si="160"/>
        <v>7999606.9071600009</v>
      </c>
      <c r="W54" s="60">
        <f t="shared" si="161"/>
        <v>2364241</v>
      </c>
      <c r="X54" s="59">
        <f t="shared" si="162"/>
        <v>7815707.8978000004</v>
      </c>
      <c r="Y54" s="57">
        <f t="shared" si="163"/>
        <v>2308611.7999999998</v>
      </c>
      <c r="Z54" s="59">
        <f t="shared" si="164"/>
        <v>7631808.8884399999</v>
      </c>
      <c r="AA54" s="55">
        <f t="shared" si="165"/>
        <v>2252982.5999999996</v>
      </c>
      <c r="AB54" s="59">
        <f t="shared" si="166"/>
        <v>7447909.8790799985</v>
      </c>
      <c r="AC54" s="60">
        <f t="shared" si="167"/>
        <v>2197353.4</v>
      </c>
      <c r="AD54" s="59">
        <f t="shared" si="168"/>
        <v>7264010.8697199998</v>
      </c>
      <c r="AE54" s="60">
        <f t="shared" si="169"/>
        <v>2141724.1999999997</v>
      </c>
      <c r="AF54" s="59">
        <f t="shared" si="170"/>
        <v>7080111.8603599994</v>
      </c>
      <c r="AG54" s="60">
        <f t="shared" si="171"/>
        <v>2086094.9999999998</v>
      </c>
      <c r="AH54" s="59">
        <f t="shared" si="172"/>
        <v>6896212.8509999998</v>
      </c>
      <c r="AI54" s="55">
        <f t="shared" si="173"/>
        <v>2030465.7999999996</v>
      </c>
      <c r="AJ54" s="59">
        <f t="shared" si="174"/>
        <v>6712313.8416399984</v>
      </c>
      <c r="AK54" s="60">
        <f t="shared" si="175"/>
        <v>1974836.5999999996</v>
      </c>
      <c r="AL54" s="59">
        <f t="shared" si="176"/>
        <v>6528414.8322799988</v>
      </c>
      <c r="AM54" s="60">
        <f t="shared" si="177"/>
        <v>1919207.3999999994</v>
      </c>
      <c r="AN54" s="59">
        <f t="shared" si="178"/>
        <v>6344515.8229199983</v>
      </c>
      <c r="AO54" s="60">
        <f t="shared" si="179"/>
        <v>1863578.1999999995</v>
      </c>
      <c r="AP54" s="59">
        <f t="shared" si="180"/>
        <v>6160616.8135599988</v>
      </c>
      <c r="AQ54" s="60">
        <f t="shared" si="181"/>
        <v>1807948.9999999995</v>
      </c>
      <c r="AR54" s="59">
        <f t="shared" si="182"/>
        <v>5976717.8041999983</v>
      </c>
      <c r="AS54" s="55">
        <f t="shared" si="183"/>
        <v>1752319.7999999993</v>
      </c>
      <c r="AT54" s="59">
        <f t="shared" si="184"/>
        <v>5792818.7948399978</v>
      </c>
      <c r="AU54" s="60">
        <f t="shared" si="185"/>
        <v>1696690.5999999994</v>
      </c>
      <c r="AV54" s="59">
        <f t="shared" si="186"/>
        <v>5608919.7854799982</v>
      </c>
      <c r="AW54" s="60">
        <f t="shared" si="187"/>
        <v>1641061.3999999992</v>
      </c>
      <c r="AX54" s="59">
        <f t="shared" si="188"/>
        <v>5425020.7761199977</v>
      </c>
      <c r="AY54" s="55">
        <f t="shared" si="189"/>
        <v>1585432.1999999993</v>
      </c>
      <c r="AZ54" s="59">
        <f t="shared" si="190"/>
        <v>5241121.7667599972</v>
      </c>
      <c r="BC54" s="55">
        <v>1</v>
      </c>
      <c r="BD54" s="55">
        <v>0.97</v>
      </c>
      <c r="BE54" s="55">
        <v>0.95</v>
      </c>
      <c r="BF54" s="55">
        <v>0.93</v>
      </c>
      <c r="BG54" s="55">
        <f t="shared" si="280"/>
        <v>0.91</v>
      </c>
      <c r="BH54" s="55">
        <f t="shared" si="280"/>
        <v>0.89</v>
      </c>
      <c r="BI54" s="55">
        <f t="shared" si="280"/>
        <v>0.87</v>
      </c>
      <c r="BJ54" s="55">
        <f t="shared" si="280"/>
        <v>0.85</v>
      </c>
      <c r="BK54" s="55">
        <f t="shared" si="280"/>
        <v>0.83</v>
      </c>
      <c r="BL54" s="55">
        <f t="shared" si="280"/>
        <v>0.80999999999999994</v>
      </c>
      <c r="BM54" s="55">
        <f t="shared" si="280"/>
        <v>0.78999999999999992</v>
      </c>
      <c r="BN54" s="55">
        <f t="shared" si="280"/>
        <v>0.76999999999999991</v>
      </c>
      <c r="BO54" s="55">
        <f t="shared" si="280"/>
        <v>0.74999999999999989</v>
      </c>
      <c r="BP54" s="55">
        <f t="shared" si="280"/>
        <v>0.72999999999999987</v>
      </c>
      <c r="BQ54" s="55">
        <f t="shared" si="280"/>
        <v>0.70999999999999985</v>
      </c>
      <c r="BR54" s="55">
        <f t="shared" si="280"/>
        <v>0.68999999999999984</v>
      </c>
      <c r="BS54" s="55">
        <f t="shared" si="280"/>
        <v>0.66999999999999982</v>
      </c>
      <c r="BT54" s="55">
        <f t="shared" si="280"/>
        <v>0.6499999999999998</v>
      </c>
      <c r="BU54" s="55">
        <f t="shared" si="280"/>
        <v>0.62999999999999978</v>
      </c>
      <c r="BV54" s="55">
        <f t="shared" si="280"/>
        <v>0.60999999999999976</v>
      </c>
      <c r="BW54" s="55">
        <f t="shared" si="280"/>
        <v>0.58999999999999975</v>
      </c>
      <c r="BX54" s="55">
        <f t="shared" si="280"/>
        <v>0.56999999999999973</v>
      </c>
      <c r="BZ54" s="55">
        <f t="shared" si="88"/>
        <v>2531128.6</v>
      </c>
      <c r="CA54" s="55">
        <f t="shared" si="89"/>
        <v>2531128.6</v>
      </c>
      <c r="CB54" s="59">
        <f t="shared" si="191"/>
        <v>8367404.9258800009</v>
      </c>
      <c r="CC54" s="55">
        <f t="shared" si="192"/>
        <v>2455194.7420000001</v>
      </c>
      <c r="CD54" s="59">
        <f t="shared" si="193"/>
        <v>8116382.7781036003</v>
      </c>
      <c r="CE54" s="55">
        <f t="shared" si="194"/>
        <v>2404572.17</v>
      </c>
      <c r="CF54" s="59">
        <f t="shared" si="195"/>
        <v>7949034.6795859998</v>
      </c>
      <c r="CG54" s="55">
        <f t="shared" si="196"/>
        <v>2353949.5980000002</v>
      </c>
      <c r="CH54" s="59">
        <f t="shared" si="197"/>
        <v>7781686.5810684012</v>
      </c>
      <c r="CI54" s="57">
        <f t="shared" si="198"/>
        <v>2303327.0260000001</v>
      </c>
      <c r="CJ54" s="59">
        <f t="shared" si="199"/>
        <v>7614338.4825508008</v>
      </c>
      <c r="CK54" s="55">
        <f t="shared" si="200"/>
        <v>2252704.4539999999</v>
      </c>
      <c r="CL54" s="59">
        <f t="shared" si="201"/>
        <v>7446990.3840332003</v>
      </c>
      <c r="CM54" s="57">
        <f t="shared" si="202"/>
        <v>2202081.8820000002</v>
      </c>
      <c r="CN54" s="59">
        <f t="shared" si="203"/>
        <v>7279642.2855156008</v>
      </c>
      <c r="CO54" s="60">
        <f t="shared" si="204"/>
        <v>2151459.31</v>
      </c>
      <c r="CP54" s="59">
        <f t="shared" si="205"/>
        <v>7112294.1869980004</v>
      </c>
      <c r="CQ54" s="57">
        <f t="shared" si="206"/>
        <v>2100836.7379999999</v>
      </c>
      <c r="CR54" s="59">
        <f t="shared" si="207"/>
        <v>6944946.0884803999</v>
      </c>
      <c r="CS54" s="55">
        <f t="shared" si="208"/>
        <v>2050214.166</v>
      </c>
      <c r="CT54" s="59">
        <f t="shared" si="209"/>
        <v>6777597.9899628004</v>
      </c>
      <c r="CU54" s="60">
        <f t="shared" si="210"/>
        <v>1999591.5939999998</v>
      </c>
      <c r="CV54" s="59">
        <f t="shared" si="211"/>
        <v>6610249.8914452</v>
      </c>
      <c r="CW54" s="60">
        <f t="shared" si="212"/>
        <v>1948969.0219999999</v>
      </c>
      <c r="CX54" s="59">
        <f t="shared" si="213"/>
        <v>6442901.7929275995</v>
      </c>
      <c r="CY54" s="60">
        <f t="shared" si="214"/>
        <v>1898346.4499999997</v>
      </c>
      <c r="CZ54" s="59">
        <f t="shared" si="215"/>
        <v>6275553.6944099991</v>
      </c>
      <c r="DA54" s="55">
        <f t="shared" si="216"/>
        <v>1847723.8779999998</v>
      </c>
      <c r="DB54" s="59">
        <f t="shared" si="217"/>
        <v>6108205.5958923995</v>
      </c>
      <c r="DC54" s="60">
        <f t="shared" si="218"/>
        <v>1797101.3059999996</v>
      </c>
      <c r="DD54" s="59">
        <f t="shared" si="219"/>
        <v>5940857.4973747991</v>
      </c>
      <c r="DE54" s="60">
        <f t="shared" si="220"/>
        <v>1746478.7339999997</v>
      </c>
      <c r="DF54" s="59">
        <f t="shared" si="221"/>
        <v>5773509.3988571996</v>
      </c>
      <c r="DG54" s="60">
        <f t="shared" si="222"/>
        <v>1695856.1619999995</v>
      </c>
      <c r="DH54" s="59">
        <f t="shared" si="223"/>
        <v>5606161.3003395982</v>
      </c>
      <c r="DI54" s="60">
        <f t="shared" si="224"/>
        <v>1645233.5899999996</v>
      </c>
      <c r="DJ54" s="59">
        <f t="shared" si="225"/>
        <v>5438813.2018219987</v>
      </c>
      <c r="DK54" s="55">
        <f t="shared" si="226"/>
        <v>1594611.0179999995</v>
      </c>
      <c r="DL54" s="59">
        <f t="shared" si="227"/>
        <v>5271465.1033043982</v>
      </c>
      <c r="DM54" s="60">
        <f t="shared" si="228"/>
        <v>1543988.4459999995</v>
      </c>
      <c r="DN54" s="59">
        <f t="shared" si="229"/>
        <v>5104117.0047867987</v>
      </c>
      <c r="DO54" s="60">
        <f t="shared" si="230"/>
        <v>1493365.8739999994</v>
      </c>
      <c r="DP54" s="59">
        <f t="shared" si="231"/>
        <v>4936768.9062691983</v>
      </c>
      <c r="DQ54" s="55">
        <f t="shared" si="232"/>
        <v>1442743.3019999994</v>
      </c>
      <c r="DR54" s="59">
        <f t="shared" si="233"/>
        <v>4769420.8077515978</v>
      </c>
      <c r="DU54" s="55">
        <v>1</v>
      </c>
      <c r="DV54" s="55">
        <v>0.97</v>
      </c>
      <c r="DW54" s="55">
        <v>0.95</v>
      </c>
      <c r="DX54" s="55">
        <v>0.93</v>
      </c>
      <c r="DY54" s="55">
        <f t="shared" si="283"/>
        <v>0.91</v>
      </c>
      <c r="DZ54" s="55">
        <f t="shared" si="283"/>
        <v>0.89</v>
      </c>
      <c r="EA54" s="55">
        <f t="shared" si="283"/>
        <v>0.87</v>
      </c>
      <c r="EB54" s="55">
        <f t="shared" si="283"/>
        <v>0.85</v>
      </c>
      <c r="EC54" s="55">
        <f t="shared" si="283"/>
        <v>0.83</v>
      </c>
      <c r="ED54" s="55">
        <f t="shared" si="283"/>
        <v>0.80999999999999994</v>
      </c>
      <c r="EE54" s="55">
        <f t="shared" si="283"/>
        <v>0.78999999999999992</v>
      </c>
      <c r="EF54" s="55">
        <f t="shared" si="283"/>
        <v>0.76999999999999991</v>
      </c>
      <c r="EG54" s="55">
        <f t="shared" si="283"/>
        <v>0.74999999999999989</v>
      </c>
      <c r="EH54" s="55">
        <f t="shared" si="283"/>
        <v>0.72999999999999987</v>
      </c>
      <c r="EI54" s="55">
        <f t="shared" si="283"/>
        <v>0.70999999999999985</v>
      </c>
      <c r="EJ54" s="55">
        <f t="shared" si="283"/>
        <v>0.68999999999999984</v>
      </c>
      <c r="EK54" s="55">
        <f t="shared" si="283"/>
        <v>0.66999999999999982</v>
      </c>
      <c r="EL54" s="55">
        <f t="shared" si="283"/>
        <v>0.6499999999999998</v>
      </c>
      <c r="EM54" s="55">
        <f t="shared" si="283"/>
        <v>0.62999999999999978</v>
      </c>
      <c r="EN54" s="55">
        <f t="shared" si="283"/>
        <v>0.60999999999999976</v>
      </c>
      <c r="EO54" s="55">
        <f t="shared" si="283"/>
        <v>0.58999999999999975</v>
      </c>
      <c r="EP54" s="55">
        <f t="shared" si="283"/>
        <v>0.56999999999999973</v>
      </c>
      <c r="ER54" s="55">
        <f t="shared" si="142"/>
        <v>2303327.0260000001</v>
      </c>
      <c r="ES54" s="55">
        <f t="shared" si="116"/>
        <v>2303327.0260000001</v>
      </c>
      <c r="ET54" s="59">
        <f t="shared" si="235"/>
        <v>7614338.4825508008</v>
      </c>
      <c r="EU54" s="55">
        <f t="shared" si="236"/>
        <v>2234227.2152200001</v>
      </c>
      <c r="EV54" s="59">
        <f t="shared" si="237"/>
        <v>7385908.3280742764</v>
      </c>
      <c r="EW54" s="55">
        <f t="shared" si="238"/>
        <v>2188160.6746999999</v>
      </c>
      <c r="EX54" s="59">
        <f t="shared" si="239"/>
        <v>7233621.5584232593</v>
      </c>
      <c r="EY54" s="55">
        <f t="shared" si="240"/>
        <v>2142094.1341800001</v>
      </c>
      <c r="EZ54" s="59">
        <f t="shared" si="241"/>
        <v>7081334.788772244</v>
      </c>
      <c r="FA54" s="57">
        <f t="shared" si="242"/>
        <v>2096027.5936600002</v>
      </c>
      <c r="FB54" s="59">
        <f t="shared" si="243"/>
        <v>6929048.0191212287</v>
      </c>
      <c r="FC54" s="55">
        <f t="shared" si="244"/>
        <v>2049961.0531400002</v>
      </c>
      <c r="FD54" s="59">
        <f t="shared" si="245"/>
        <v>6776761.2494702125</v>
      </c>
      <c r="FE54" s="57">
        <f t="shared" si="246"/>
        <v>2003894.5126199999</v>
      </c>
      <c r="FF54" s="59">
        <f t="shared" si="247"/>
        <v>6624474.4798191963</v>
      </c>
      <c r="FG54" s="60">
        <f t="shared" si="248"/>
        <v>1957827.9720999999</v>
      </c>
      <c r="FH54" s="59">
        <f t="shared" si="249"/>
        <v>6472187.7101681801</v>
      </c>
      <c r="FI54" s="57">
        <f t="shared" si="250"/>
        <v>1911761.4315799999</v>
      </c>
      <c r="FJ54" s="59">
        <f t="shared" si="251"/>
        <v>6319900.9405171638</v>
      </c>
      <c r="FK54" s="55">
        <f t="shared" si="252"/>
        <v>1865694.8910599998</v>
      </c>
      <c r="FL54" s="59">
        <f t="shared" si="253"/>
        <v>6167614.1708661476</v>
      </c>
      <c r="FM54" s="60">
        <f t="shared" si="254"/>
        <v>1819628.3505399998</v>
      </c>
      <c r="FN54" s="59">
        <f t="shared" si="255"/>
        <v>6015327.4012151314</v>
      </c>
      <c r="FO54" s="60">
        <f t="shared" si="256"/>
        <v>1773561.8100199997</v>
      </c>
      <c r="FP54" s="59">
        <f t="shared" si="257"/>
        <v>5863040.6315641152</v>
      </c>
      <c r="FQ54" s="60">
        <f t="shared" si="258"/>
        <v>1727495.2694999997</v>
      </c>
      <c r="FR54" s="59">
        <f t="shared" si="259"/>
        <v>5710753.861913099</v>
      </c>
      <c r="FS54" s="55">
        <f t="shared" si="260"/>
        <v>1681428.7289799997</v>
      </c>
      <c r="FT54" s="59">
        <f t="shared" si="261"/>
        <v>5558467.0922620827</v>
      </c>
      <c r="FU54" s="60">
        <f t="shared" si="262"/>
        <v>1635362.1884599996</v>
      </c>
      <c r="FV54" s="59">
        <f t="shared" si="263"/>
        <v>5406180.3226110665</v>
      </c>
      <c r="FW54" s="60">
        <f t="shared" si="264"/>
        <v>1589295.6479399996</v>
      </c>
      <c r="FX54" s="59">
        <f t="shared" si="265"/>
        <v>5253893.5529600503</v>
      </c>
      <c r="FY54" s="60">
        <f t="shared" si="266"/>
        <v>1543229.1074199995</v>
      </c>
      <c r="FZ54" s="59">
        <f t="shared" si="267"/>
        <v>5101606.783309035</v>
      </c>
      <c r="GA54" s="60">
        <f t="shared" si="268"/>
        <v>1497162.5668999995</v>
      </c>
      <c r="GB54" s="59">
        <f t="shared" si="269"/>
        <v>4949320.0136580188</v>
      </c>
      <c r="GC54" s="55">
        <f t="shared" si="270"/>
        <v>1451096.0263799995</v>
      </c>
      <c r="GD54" s="59">
        <f t="shared" si="271"/>
        <v>4797033.2440070026</v>
      </c>
      <c r="GE54" s="60">
        <f t="shared" si="272"/>
        <v>1405029.4858599994</v>
      </c>
      <c r="GF54" s="59">
        <f t="shared" si="273"/>
        <v>4644746.4743559863</v>
      </c>
      <c r="GG54" s="60">
        <f t="shared" si="274"/>
        <v>1358962.9453399994</v>
      </c>
      <c r="GH54" s="59">
        <f t="shared" si="275"/>
        <v>4492459.7047049701</v>
      </c>
      <c r="GI54" s="55">
        <f t="shared" si="276"/>
        <v>1312896.4048199994</v>
      </c>
      <c r="GJ54" s="59">
        <f t="shared" si="277"/>
        <v>4340172.9350539539</v>
      </c>
      <c r="GK54" s="55"/>
      <c r="GL54" s="55"/>
      <c r="GM54" s="55">
        <v>1</v>
      </c>
      <c r="GN54" s="55">
        <v>0.97</v>
      </c>
      <c r="GO54" s="55">
        <v>0.95</v>
      </c>
      <c r="GP54" s="55">
        <v>0.93</v>
      </c>
      <c r="GQ54" s="55">
        <f t="shared" si="284"/>
        <v>0.91</v>
      </c>
      <c r="GR54" s="55">
        <f t="shared" si="284"/>
        <v>0.89</v>
      </c>
      <c r="GS54" s="55">
        <f t="shared" si="284"/>
        <v>0.87</v>
      </c>
      <c r="GT54" s="55">
        <f t="shared" si="284"/>
        <v>0.85</v>
      </c>
      <c r="GU54" s="55">
        <f t="shared" si="284"/>
        <v>0.83</v>
      </c>
      <c r="GV54" s="55">
        <f t="shared" si="284"/>
        <v>0.80999999999999994</v>
      </c>
      <c r="GW54" s="55">
        <f t="shared" si="284"/>
        <v>0.78999999999999992</v>
      </c>
      <c r="GX54" s="55">
        <f t="shared" si="284"/>
        <v>0.76999999999999991</v>
      </c>
      <c r="GY54" s="55">
        <f t="shared" si="284"/>
        <v>0.74999999999999989</v>
      </c>
      <c r="GZ54" s="55">
        <f t="shared" si="284"/>
        <v>0.72999999999999987</v>
      </c>
      <c r="HA54" s="55">
        <f t="shared" si="284"/>
        <v>0.70999999999999985</v>
      </c>
      <c r="HB54" s="55">
        <f t="shared" si="284"/>
        <v>0.68999999999999984</v>
      </c>
      <c r="HC54" s="55">
        <f t="shared" si="284"/>
        <v>0.66999999999999982</v>
      </c>
      <c r="HD54" s="55">
        <f t="shared" si="284"/>
        <v>0.6499999999999998</v>
      </c>
      <c r="HE54" s="55">
        <f t="shared" si="284"/>
        <v>0.62999999999999978</v>
      </c>
      <c r="HF54" s="55">
        <f t="shared" si="284"/>
        <v>0.60999999999999976</v>
      </c>
      <c r="HG54" s="55">
        <f t="shared" si="284"/>
        <v>0.58999999999999975</v>
      </c>
      <c r="HH54" s="55">
        <f t="shared" si="284"/>
        <v>0.56999999999999973</v>
      </c>
    </row>
    <row r="55" spans="1:216" s="64" customFormat="1" x14ac:dyDescent="0.3">
      <c r="C55" s="65"/>
      <c r="D55" s="65"/>
      <c r="E55" s="65"/>
      <c r="G55" s="61"/>
      <c r="H55" s="61"/>
      <c r="I55" s="61"/>
      <c r="J55" s="61"/>
      <c r="K55" s="61"/>
      <c r="L55" s="61"/>
      <c r="M55" s="61"/>
      <c r="N55" s="61"/>
      <c r="O55" s="61"/>
      <c r="P55" s="62"/>
      <c r="Q55" s="61"/>
      <c r="R55" s="61"/>
      <c r="S55" s="61"/>
      <c r="T55" s="62"/>
      <c r="U55" s="61"/>
      <c r="V55" s="63"/>
      <c r="W55" s="61"/>
      <c r="X55" s="62"/>
      <c r="Y55" s="61"/>
      <c r="Z55" s="61"/>
      <c r="AA55" s="61"/>
      <c r="AB55" s="63"/>
      <c r="AC55" s="61"/>
      <c r="AD55" s="63"/>
      <c r="AE55" s="61"/>
      <c r="AF55" s="63"/>
      <c r="AG55" s="61"/>
      <c r="AH55" s="61"/>
      <c r="AI55" s="61"/>
      <c r="AJ55" s="63"/>
      <c r="AK55" s="61"/>
      <c r="AL55" s="63"/>
      <c r="AM55" s="61"/>
      <c r="AN55" s="63"/>
      <c r="AO55" s="61"/>
      <c r="AP55" s="63"/>
      <c r="AQ55" s="61"/>
      <c r="AR55" s="61"/>
      <c r="AS55" s="61"/>
      <c r="AT55" s="63"/>
      <c r="AU55" s="61"/>
      <c r="AV55" s="63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>
        <f t="shared" ref="BY55:BY56" si="285">+G55*0.91</f>
        <v>0</v>
      </c>
      <c r="BZ55" s="61"/>
      <c r="CA55" s="61"/>
      <c r="CB55" s="61"/>
      <c r="CC55" s="61"/>
      <c r="CD55" s="61"/>
      <c r="CE55" s="61"/>
      <c r="CF55" s="61"/>
      <c r="CG55" s="61"/>
      <c r="CH55" s="62"/>
      <c r="CI55" s="61"/>
      <c r="CJ55" s="61"/>
      <c r="CK55" s="61"/>
      <c r="CL55" s="62"/>
      <c r="CM55" s="61"/>
      <c r="CN55" s="63"/>
      <c r="CO55" s="61"/>
      <c r="CP55" s="62"/>
      <c r="CQ55" s="61"/>
      <c r="CR55" s="61"/>
      <c r="CS55" s="61"/>
      <c r="CT55" s="63"/>
      <c r="CU55" s="61"/>
      <c r="CV55" s="63"/>
      <c r="CW55" s="61"/>
      <c r="CX55" s="63"/>
      <c r="CY55" s="61"/>
      <c r="CZ55" s="61"/>
      <c r="DA55" s="61"/>
      <c r="DB55" s="63"/>
      <c r="DC55" s="61"/>
      <c r="DD55" s="63"/>
      <c r="DE55" s="61"/>
      <c r="DF55" s="63"/>
      <c r="DG55" s="61"/>
      <c r="DH55" s="63"/>
      <c r="DI55" s="61"/>
      <c r="DJ55" s="61"/>
      <c r="DK55" s="61"/>
      <c r="DL55" s="63"/>
      <c r="DM55" s="61"/>
      <c r="DN55" s="63"/>
      <c r="DO55" s="61"/>
      <c r="DP55" s="61"/>
      <c r="DQ55" s="61"/>
      <c r="DR55" s="61"/>
      <c r="DS55" s="61"/>
      <c r="DT55" s="61">
        <v>1</v>
      </c>
      <c r="DU55" s="61">
        <v>0.97</v>
      </c>
      <c r="DV55" s="61">
        <v>0.95</v>
      </c>
      <c r="DW55" s="61">
        <v>0.93</v>
      </c>
      <c r="DX55" s="61">
        <f t="shared" ref="DX55:EO56" si="286">+DW55-0.02</f>
        <v>0.91</v>
      </c>
      <c r="DY55" s="61">
        <f t="shared" si="286"/>
        <v>0.89</v>
      </c>
      <c r="DZ55" s="61">
        <f t="shared" si="286"/>
        <v>0.87</v>
      </c>
      <c r="EA55" s="61">
        <f t="shared" si="286"/>
        <v>0.85</v>
      </c>
      <c r="EB55" s="61">
        <f t="shared" si="286"/>
        <v>0.83</v>
      </c>
      <c r="EC55" s="61">
        <f t="shared" si="286"/>
        <v>0.80999999999999994</v>
      </c>
      <c r="ED55" s="61">
        <f t="shared" si="286"/>
        <v>0.78999999999999992</v>
      </c>
      <c r="EE55" s="61">
        <f t="shared" si="286"/>
        <v>0.76999999999999991</v>
      </c>
      <c r="EF55" s="61">
        <f t="shared" si="286"/>
        <v>0.74999999999999989</v>
      </c>
      <c r="EG55" s="61">
        <f t="shared" si="286"/>
        <v>0.72999999999999987</v>
      </c>
      <c r="EH55" s="61">
        <f t="shared" si="286"/>
        <v>0.70999999999999985</v>
      </c>
      <c r="EI55" s="61">
        <f t="shared" si="286"/>
        <v>0.68999999999999984</v>
      </c>
      <c r="EJ55" s="61">
        <f t="shared" si="286"/>
        <v>0.66999999999999982</v>
      </c>
      <c r="EK55" s="61">
        <f t="shared" si="286"/>
        <v>0.6499999999999998</v>
      </c>
      <c r="EL55" s="61">
        <f t="shared" si="286"/>
        <v>0.62999999999999978</v>
      </c>
      <c r="EM55" s="61">
        <f t="shared" si="286"/>
        <v>0.60999999999999976</v>
      </c>
      <c r="EN55" s="61">
        <f t="shared" si="286"/>
        <v>0.58999999999999975</v>
      </c>
      <c r="EO55" s="61">
        <f t="shared" si="286"/>
        <v>0.56999999999999973</v>
      </c>
      <c r="EQ55" s="61">
        <f t="shared" ref="EQ55:EQ56" si="287">+BY55*0.91</f>
        <v>0</v>
      </c>
      <c r="ER55" s="61"/>
      <c r="ES55" s="61"/>
      <c r="ET55" s="61"/>
      <c r="EU55" s="61"/>
      <c r="EV55" s="61"/>
      <c r="EW55" s="61"/>
      <c r="EX55" s="61"/>
      <c r="EY55" s="61"/>
      <c r="EZ55" s="62"/>
      <c r="FA55" s="61"/>
      <c r="FB55" s="61"/>
      <c r="FC55" s="61"/>
      <c r="FD55" s="62"/>
      <c r="FE55" s="61"/>
      <c r="FF55" s="63"/>
      <c r="FG55" s="61"/>
      <c r="FH55" s="62"/>
      <c r="FI55" s="61"/>
      <c r="FJ55" s="61"/>
      <c r="FK55" s="61"/>
      <c r="FL55" s="63"/>
      <c r="FM55" s="61"/>
      <c r="FN55" s="63"/>
      <c r="FO55" s="61"/>
      <c r="FP55" s="63"/>
      <c r="FQ55" s="61"/>
      <c r="FR55" s="61"/>
      <c r="FS55" s="61"/>
      <c r="FT55" s="63"/>
      <c r="FU55" s="61"/>
      <c r="FV55" s="63"/>
      <c r="FW55" s="61"/>
      <c r="FX55" s="63"/>
      <c r="FY55" s="61"/>
      <c r="FZ55" s="63"/>
      <c r="GA55" s="61"/>
      <c r="GB55" s="61"/>
      <c r="GC55" s="61"/>
      <c r="GD55" s="63"/>
      <c r="GE55" s="61"/>
      <c r="GF55" s="63"/>
      <c r="GG55" s="61"/>
      <c r="GH55" s="61"/>
      <c r="GI55" s="61"/>
      <c r="GJ55" s="61"/>
      <c r="GK55" s="61"/>
      <c r="GL55" s="61">
        <v>1</v>
      </c>
      <c r="GM55" s="61">
        <v>0.97</v>
      </c>
      <c r="GN55" s="61">
        <v>0.95</v>
      </c>
      <c r="GO55" s="61">
        <v>0.93</v>
      </c>
      <c r="GP55" s="61">
        <f t="shared" ref="GP55:HG56" si="288">+GO55-0.02</f>
        <v>0.91</v>
      </c>
      <c r="GQ55" s="61">
        <f t="shared" si="288"/>
        <v>0.89</v>
      </c>
      <c r="GR55" s="61">
        <f t="shared" si="288"/>
        <v>0.87</v>
      </c>
      <c r="GS55" s="61">
        <f t="shared" si="288"/>
        <v>0.85</v>
      </c>
      <c r="GT55" s="61">
        <f t="shared" si="288"/>
        <v>0.83</v>
      </c>
      <c r="GU55" s="61">
        <f t="shared" si="288"/>
        <v>0.80999999999999994</v>
      </c>
      <c r="GV55" s="61">
        <f t="shared" si="288"/>
        <v>0.78999999999999992</v>
      </c>
      <c r="GW55" s="61">
        <f t="shared" si="288"/>
        <v>0.76999999999999991</v>
      </c>
      <c r="GX55" s="61">
        <f t="shared" si="288"/>
        <v>0.74999999999999989</v>
      </c>
      <c r="GY55" s="61">
        <f t="shared" si="288"/>
        <v>0.72999999999999987</v>
      </c>
      <c r="GZ55" s="61">
        <f t="shared" si="288"/>
        <v>0.70999999999999985</v>
      </c>
      <c r="HA55" s="61">
        <f t="shared" si="288"/>
        <v>0.68999999999999984</v>
      </c>
      <c r="HB55" s="61">
        <f t="shared" si="288"/>
        <v>0.66999999999999982</v>
      </c>
      <c r="HC55" s="61">
        <f t="shared" si="288"/>
        <v>0.6499999999999998</v>
      </c>
      <c r="HD55" s="61">
        <f t="shared" si="288"/>
        <v>0.62999999999999978</v>
      </c>
      <c r="HE55" s="61">
        <f t="shared" si="288"/>
        <v>0.60999999999999976</v>
      </c>
      <c r="HF55" s="61">
        <f t="shared" si="288"/>
        <v>0.58999999999999975</v>
      </c>
      <c r="HG55" s="61">
        <f t="shared" si="288"/>
        <v>0.56999999999999973</v>
      </c>
    </row>
    <row r="56" spans="1:216" s="64" customFormat="1" ht="17.25" thickBot="1" x14ac:dyDescent="0.35">
      <c r="B56" s="64" t="s">
        <v>295</v>
      </c>
      <c r="C56" s="64" t="s">
        <v>296</v>
      </c>
      <c r="D56" s="65" t="s">
        <v>293</v>
      </c>
      <c r="E56" s="65" t="s">
        <v>155</v>
      </c>
      <c r="G56" s="61"/>
      <c r="H56" s="61"/>
      <c r="I56" s="61"/>
      <c r="J56" s="61"/>
      <c r="K56" s="61"/>
      <c r="L56" s="61"/>
      <c r="M56" s="61"/>
      <c r="N56" s="61"/>
      <c r="O56" s="61"/>
      <c r="P56" s="62"/>
      <c r="Q56" s="61"/>
      <c r="R56" s="61"/>
      <c r="S56" s="61"/>
      <c r="T56" s="62"/>
      <c r="U56" s="61"/>
      <c r="V56" s="63"/>
      <c r="W56" s="61"/>
      <c r="X56" s="62"/>
      <c r="Y56" s="61"/>
      <c r="Z56" s="61"/>
      <c r="AA56" s="61"/>
      <c r="AB56" s="63"/>
      <c r="AC56" s="61"/>
      <c r="AD56" s="63"/>
      <c r="AE56" s="61"/>
      <c r="AF56" s="63"/>
      <c r="AG56" s="61"/>
      <c r="AH56" s="61"/>
      <c r="AI56" s="61"/>
      <c r="AJ56" s="63"/>
      <c r="AK56" s="61"/>
      <c r="AL56" s="63"/>
      <c r="AM56" s="61"/>
      <c r="AN56" s="63"/>
      <c r="AO56" s="61"/>
      <c r="AP56" s="63"/>
      <c r="AQ56" s="61"/>
      <c r="AR56" s="61"/>
      <c r="AS56" s="61"/>
      <c r="AT56" s="63"/>
      <c r="AU56" s="61"/>
      <c r="AV56" s="63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>
        <f t="shared" si="285"/>
        <v>0</v>
      </c>
      <c r="BZ56" s="61"/>
      <c r="CA56" s="61"/>
      <c r="CB56" s="61"/>
      <c r="CC56" s="61"/>
      <c r="CD56" s="61"/>
      <c r="CE56" s="61"/>
      <c r="CF56" s="61"/>
      <c r="CG56" s="61"/>
      <c r="CH56" s="62"/>
      <c r="CI56" s="61"/>
      <c r="CJ56" s="61"/>
      <c r="CK56" s="61"/>
      <c r="CL56" s="62"/>
      <c r="CM56" s="61"/>
      <c r="CN56" s="63"/>
      <c r="CO56" s="61"/>
      <c r="CP56" s="62"/>
      <c r="CQ56" s="61"/>
      <c r="CR56" s="61"/>
      <c r="CS56" s="61"/>
      <c r="CT56" s="63"/>
      <c r="CU56" s="61"/>
      <c r="CV56" s="63"/>
      <c r="CW56" s="61"/>
      <c r="CX56" s="63"/>
      <c r="CY56" s="61"/>
      <c r="CZ56" s="61"/>
      <c r="DA56" s="61"/>
      <c r="DB56" s="63"/>
      <c r="DC56" s="61"/>
      <c r="DD56" s="63"/>
      <c r="DE56" s="61"/>
      <c r="DF56" s="63"/>
      <c r="DG56" s="61"/>
      <c r="DH56" s="63"/>
      <c r="DI56" s="61"/>
      <c r="DJ56" s="61"/>
      <c r="DK56" s="61"/>
      <c r="DL56" s="63"/>
      <c r="DM56" s="61"/>
      <c r="DN56" s="63"/>
      <c r="DO56" s="61"/>
      <c r="DP56" s="61"/>
      <c r="DQ56" s="61"/>
      <c r="DR56" s="61"/>
      <c r="DS56" s="61"/>
      <c r="DT56" s="61">
        <v>1</v>
      </c>
      <c r="DU56" s="61">
        <v>0.97</v>
      </c>
      <c r="DV56" s="61">
        <v>0.95</v>
      </c>
      <c r="DW56" s="61">
        <v>0.93</v>
      </c>
      <c r="DX56" s="61">
        <f t="shared" si="286"/>
        <v>0.91</v>
      </c>
      <c r="DY56" s="61">
        <f t="shared" si="286"/>
        <v>0.89</v>
      </c>
      <c r="DZ56" s="61">
        <f t="shared" si="286"/>
        <v>0.87</v>
      </c>
      <c r="EA56" s="61">
        <f t="shared" si="286"/>
        <v>0.85</v>
      </c>
      <c r="EB56" s="61">
        <f t="shared" si="286"/>
        <v>0.83</v>
      </c>
      <c r="EC56" s="61">
        <f t="shared" si="286"/>
        <v>0.80999999999999994</v>
      </c>
      <c r="ED56" s="61">
        <f t="shared" si="286"/>
        <v>0.78999999999999992</v>
      </c>
      <c r="EE56" s="61">
        <f t="shared" si="286"/>
        <v>0.76999999999999991</v>
      </c>
      <c r="EF56" s="61">
        <f t="shared" si="286"/>
        <v>0.74999999999999989</v>
      </c>
      <c r="EG56" s="61">
        <f t="shared" si="286"/>
        <v>0.72999999999999987</v>
      </c>
      <c r="EH56" s="61">
        <f t="shared" si="286"/>
        <v>0.70999999999999985</v>
      </c>
      <c r="EI56" s="61">
        <f t="shared" si="286"/>
        <v>0.68999999999999984</v>
      </c>
      <c r="EJ56" s="61">
        <f t="shared" si="286"/>
        <v>0.66999999999999982</v>
      </c>
      <c r="EK56" s="61">
        <f t="shared" si="286"/>
        <v>0.6499999999999998</v>
      </c>
      <c r="EL56" s="61">
        <f t="shared" si="286"/>
        <v>0.62999999999999978</v>
      </c>
      <c r="EM56" s="61">
        <f t="shared" si="286"/>
        <v>0.60999999999999976</v>
      </c>
      <c r="EN56" s="61">
        <f t="shared" si="286"/>
        <v>0.58999999999999975</v>
      </c>
      <c r="EO56" s="61">
        <f t="shared" si="286"/>
        <v>0.56999999999999973</v>
      </c>
      <c r="EQ56" s="61">
        <f t="shared" si="287"/>
        <v>0</v>
      </c>
      <c r="ER56" s="61"/>
      <c r="ES56" s="61"/>
      <c r="ET56" s="61"/>
      <c r="EU56" s="61"/>
      <c r="EV56" s="61"/>
      <c r="EW56" s="61"/>
      <c r="EX56" s="61"/>
      <c r="EY56" s="61"/>
      <c r="EZ56" s="62"/>
      <c r="FA56" s="61"/>
      <c r="FB56" s="61"/>
      <c r="FC56" s="61"/>
      <c r="FD56" s="62"/>
      <c r="FE56" s="61"/>
      <c r="FF56" s="63"/>
      <c r="FG56" s="61"/>
      <c r="FH56" s="62"/>
      <c r="FI56" s="61"/>
      <c r="FJ56" s="61"/>
      <c r="FK56" s="61"/>
      <c r="FL56" s="63"/>
      <c r="FM56" s="61"/>
      <c r="FN56" s="63"/>
      <c r="FO56" s="61"/>
      <c r="FP56" s="63"/>
      <c r="FQ56" s="61"/>
      <c r="FR56" s="61"/>
      <c r="FS56" s="61"/>
      <c r="FT56" s="63"/>
      <c r="FU56" s="61"/>
      <c r="FV56" s="63"/>
      <c r="FW56" s="61"/>
      <c r="FX56" s="63"/>
      <c r="FY56" s="61"/>
      <c r="FZ56" s="63"/>
      <c r="GA56" s="61"/>
      <c r="GB56" s="61"/>
      <c r="GC56" s="61"/>
      <c r="GD56" s="63"/>
      <c r="GE56" s="61"/>
      <c r="GF56" s="63"/>
      <c r="GG56" s="61"/>
      <c r="GH56" s="61"/>
      <c r="GI56" s="61"/>
      <c r="GJ56" s="61"/>
      <c r="GK56" s="61"/>
      <c r="GL56" s="61">
        <v>1</v>
      </c>
      <c r="GM56" s="61">
        <v>0.97</v>
      </c>
      <c r="GN56" s="61">
        <v>0.95</v>
      </c>
      <c r="GO56" s="61">
        <v>0.93</v>
      </c>
      <c r="GP56" s="61">
        <f t="shared" si="288"/>
        <v>0.91</v>
      </c>
      <c r="GQ56" s="61">
        <f t="shared" si="288"/>
        <v>0.89</v>
      </c>
      <c r="GR56" s="61">
        <f t="shared" si="288"/>
        <v>0.87</v>
      </c>
      <c r="GS56" s="61">
        <f t="shared" si="288"/>
        <v>0.85</v>
      </c>
      <c r="GT56" s="61">
        <f t="shared" si="288"/>
        <v>0.83</v>
      </c>
      <c r="GU56" s="61">
        <f t="shared" si="288"/>
        <v>0.80999999999999994</v>
      </c>
      <c r="GV56" s="61">
        <f t="shared" si="288"/>
        <v>0.78999999999999992</v>
      </c>
      <c r="GW56" s="61">
        <f t="shared" si="288"/>
        <v>0.76999999999999991</v>
      </c>
      <c r="GX56" s="61">
        <f t="shared" si="288"/>
        <v>0.74999999999999989</v>
      </c>
      <c r="GY56" s="61">
        <f t="shared" si="288"/>
        <v>0.72999999999999987</v>
      </c>
      <c r="GZ56" s="61">
        <f t="shared" si="288"/>
        <v>0.70999999999999985</v>
      </c>
      <c r="HA56" s="61">
        <f t="shared" si="288"/>
        <v>0.68999999999999984</v>
      </c>
      <c r="HB56" s="61">
        <f t="shared" si="288"/>
        <v>0.66999999999999982</v>
      </c>
      <c r="HC56" s="61">
        <f t="shared" si="288"/>
        <v>0.6499999999999998</v>
      </c>
      <c r="HD56" s="61">
        <f t="shared" si="288"/>
        <v>0.62999999999999978</v>
      </c>
      <c r="HE56" s="61">
        <f t="shared" si="288"/>
        <v>0.60999999999999976</v>
      </c>
      <c r="HF56" s="61">
        <f t="shared" si="288"/>
        <v>0.58999999999999975</v>
      </c>
      <c r="HG56" s="61">
        <f t="shared" si="288"/>
        <v>0.56999999999999973</v>
      </c>
    </row>
    <row r="57" spans="1:216" x14ac:dyDescent="0.3">
      <c r="A57" s="2">
        <v>1</v>
      </c>
      <c r="C57" s="38" t="s">
        <v>27</v>
      </c>
      <c r="D57" s="40">
        <f>TRUNC(123205.982949552,-1)</f>
        <v>123200</v>
      </c>
      <c r="E57" s="70">
        <f>TRUNC(+D57*3.3058,-1)</f>
        <v>407270</v>
      </c>
      <c r="H57" s="55">
        <f t="shared" si="61"/>
        <v>447997.00000000006</v>
      </c>
      <c r="I57" s="55">
        <f t="shared" si="62"/>
        <v>447997.00000000006</v>
      </c>
      <c r="J57" s="59">
        <f t="shared" si="63"/>
        <v>1480988.4826000002</v>
      </c>
      <c r="K57" s="55">
        <f t="shared" ref="K57:K60" si="289">+I57*BD57</f>
        <v>434557.09</v>
      </c>
      <c r="L57" s="59">
        <f t="shared" ref="L57:L60" si="290">+K57*3.3058</f>
        <v>1436558.8281220002</v>
      </c>
      <c r="M57" s="55">
        <f t="shared" ref="M57:M60" si="291">+I57*BE57</f>
        <v>425597.15</v>
      </c>
      <c r="N57" s="59">
        <f t="shared" ref="N57:N60" si="292">+M57*3.3058</f>
        <v>1406939.05847</v>
      </c>
      <c r="O57" s="55">
        <f>+I57*BF57</f>
        <v>416637.21000000008</v>
      </c>
      <c r="P57" s="59">
        <f t="shared" ref="P57:P60" si="293">+O57*3.3058</f>
        <v>1377319.2888180004</v>
      </c>
      <c r="Q57" s="57">
        <f>+I57*BG57</f>
        <v>407677.27000000008</v>
      </c>
      <c r="R57" s="59">
        <f t="shared" ref="R57:R60" si="294">+Q57*3.3058</f>
        <v>1347699.5191660002</v>
      </c>
      <c r="S57" s="55">
        <f>+I57*BH57</f>
        <v>398717.33000000007</v>
      </c>
      <c r="T57" s="59">
        <f t="shared" ref="T57:T60" si="295">+S57*3.3058</f>
        <v>1318079.7495140003</v>
      </c>
      <c r="U57" s="57">
        <f>+I57*BI57</f>
        <v>389757.39000000007</v>
      </c>
      <c r="V57" s="59">
        <f t="shared" ref="V57:V60" si="296">+U57*3.3058</f>
        <v>1288459.9798620003</v>
      </c>
      <c r="W57" s="60">
        <f>+I57*BJ57</f>
        <v>380797.45</v>
      </c>
      <c r="X57" s="59">
        <f t="shared" ref="X57:X60" si="297">+W57*3.3058</f>
        <v>1258840.2102100002</v>
      </c>
      <c r="Y57" s="57">
        <f>+I57*BK57</f>
        <v>371837.51</v>
      </c>
      <c r="Z57" s="59">
        <f t="shared" ref="Z57:Z60" si="298">+Y57*3.3058</f>
        <v>1229220.440558</v>
      </c>
      <c r="AA57" s="55">
        <f>+I57*BL57</f>
        <v>362877.57</v>
      </c>
      <c r="AB57" s="59">
        <f t="shared" ref="AB57:AB60" si="299">+AA57*3.3058</f>
        <v>1199600.6709060001</v>
      </c>
      <c r="AC57" s="60">
        <f>+I57*BM57</f>
        <v>353917.63</v>
      </c>
      <c r="AD57" s="59">
        <f t="shared" ref="AD57:AD60" si="300">+AC57*3.3058</f>
        <v>1169980.9012540001</v>
      </c>
      <c r="AE57" s="60">
        <f>+I57*BN57</f>
        <v>344957.69</v>
      </c>
      <c r="AF57" s="59">
        <f t="shared" ref="AF57:AF60" si="301">+AE57*3.3058</f>
        <v>1140361.131602</v>
      </c>
      <c r="AG57" s="60">
        <f>+I57*BO57</f>
        <v>335997.75</v>
      </c>
      <c r="AH57" s="59">
        <f t="shared" ref="AH57:AH60" si="302">+AG57*3.3058</f>
        <v>1110741.36195</v>
      </c>
      <c r="AI57" s="55">
        <f>+I57*BP57</f>
        <v>327037.81</v>
      </c>
      <c r="AJ57" s="59">
        <f t="shared" ref="AJ57:AJ60" si="303">+AI57*3.3058</f>
        <v>1081121.5922980001</v>
      </c>
      <c r="AK57" s="60">
        <f>+I57*BQ57</f>
        <v>318077.87</v>
      </c>
      <c r="AL57" s="59">
        <f t="shared" ref="AL57:AL60" si="304">+AK57*3.3058</f>
        <v>1051501.822646</v>
      </c>
      <c r="AM57" s="60">
        <f>+I57*BR57</f>
        <v>309117.93</v>
      </c>
      <c r="AN57" s="59">
        <f t="shared" ref="AN57:AN60" si="305">+AM57*3.3058</f>
        <v>1021882.052994</v>
      </c>
      <c r="AO57" s="60">
        <f>+I57*BS57</f>
        <v>300157.98999999993</v>
      </c>
      <c r="AP57" s="59">
        <f t="shared" ref="AP57:AP60" si="306">+AO57*3.3058</f>
        <v>992262.28334199975</v>
      </c>
      <c r="AQ57" s="60">
        <f>+I57*BT57</f>
        <v>291198.04999999993</v>
      </c>
      <c r="AR57" s="59">
        <f t="shared" ref="AR57:AR60" si="307">+AQ57*3.3058</f>
        <v>962642.51368999982</v>
      </c>
      <c r="AS57" s="55">
        <f>+I57*BU57</f>
        <v>282238.10999999993</v>
      </c>
      <c r="AT57" s="59">
        <f t="shared" ref="AT57:AT60" si="308">+AS57*3.3058</f>
        <v>933022.74403799977</v>
      </c>
      <c r="AU57" s="60">
        <f>+I57*BV57</f>
        <v>273278.16999999993</v>
      </c>
      <c r="AV57" s="59">
        <f t="shared" ref="AV57:AV60" si="309">+AU57*3.3058</f>
        <v>903402.97438599973</v>
      </c>
      <c r="AW57" s="60">
        <f>+I57*BW57</f>
        <v>264318.22999999992</v>
      </c>
      <c r="AX57" s="59">
        <f t="shared" ref="AX57:AX60" si="310">+AW57*3.3058</f>
        <v>873783.2047339998</v>
      </c>
      <c r="AY57" s="55">
        <f>+I57*BX57</f>
        <v>255358.28999999992</v>
      </c>
      <c r="AZ57" s="59">
        <f t="shared" ref="AZ57:AZ60" si="311">+AY57*3.3058</f>
        <v>844163.43508199975</v>
      </c>
      <c r="BC57" s="55">
        <v>1</v>
      </c>
      <c r="BD57" s="55">
        <v>0.97</v>
      </c>
      <c r="BE57" s="55">
        <v>0.95</v>
      </c>
      <c r="BF57" s="55">
        <v>0.93</v>
      </c>
      <c r="BG57" s="55">
        <f t="shared" ref="BG57:BX60" si="312">+BF57-0.02</f>
        <v>0.91</v>
      </c>
      <c r="BH57" s="55">
        <f t="shared" si="312"/>
        <v>0.89</v>
      </c>
      <c r="BI57" s="55">
        <f t="shared" si="312"/>
        <v>0.87</v>
      </c>
      <c r="BJ57" s="55">
        <f t="shared" si="312"/>
        <v>0.85</v>
      </c>
      <c r="BK57" s="55">
        <f t="shared" si="312"/>
        <v>0.83</v>
      </c>
      <c r="BL57" s="55">
        <f t="shared" si="312"/>
        <v>0.80999999999999994</v>
      </c>
      <c r="BM57" s="55">
        <f t="shared" si="312"/>
        <v>0.78999999999999992</v>
      </c>
      <c r="BN57" s="55">
        <f t="shared" si="312"/>
        <v>0.76999999999999991</v>
      </c>
      <c r="BO57" s="55">
        <f t="shared" si="312"/>
        <v>0.74999999999999989</v>
      </c>
      <c r="BP57" s="55">
        <f t="shared" si="312"/>
        <v>0.72999999999999987</v>
      </c>
      <c r="BQ57" s="55">
        <f t="shared" si="312"/>
        <v>0.70999999999999985</v>
      </c>
      <c r="BR57" s="55">
        <f t="shared" si="312"/>
        <v>0.68999999999999984</v>
      </c>
      <c r="BS57" s="55">
        <f t="shared" si="312"/>
        <v>0.66999999999999982</v>
      </c>
      <c r="BT57" s="55">
        <f t="shared" si="312"/>
        <v>0.6499999999999998</v>
      </c>
      <c r="BU57" s="55">
        <f t="shared" si="312"/>
        <v>0.62999999999999978</v>
      </c>
      <c r="BV57" s="55">
        <f t="shared" si="312"/>
        <v>0.60999999999999976</v>
      </c>
      <c r="BW57" s="55">
        <f t="shared" si="312"/>
        <v>0.58999999999999975</v>
      </c>
      <c r="BX57" s="55">
        <f t="shared" si="312"/>
        <v>0.56999999999999973</v>
      </c>
      <c r="BZ57" s="55">
        <f t="shared" si="88"/>
        <v>407677.27000000008</v>
      </c>
      <c r="CA57" s="55">
        <f t="shared" si="89"/>
        <v>407677.27000000008</v>
      </c>
      <c r="CB57" s="59">
        <f t="shared" ref="CB57:CB60" si="313">+CA57*3.3058</f>
        <v>1347699.5191660002</v>
      </c>
      <c r="CC57" s="55">
        <f t="shared" ref="CC57:CC60" si="314">+CA57*DV57</f>
        <v>395446.95190000004</v>
      </c>
      <c r="CD57" s="59">
        <f t="shared" ref="CD57:CD60" si="315">+CC57*3.3058</f>
        <v>1307268.5335910202</v>
      </c>
      <c r="CE57" s="55">
        <f t="shared" ref="CE57:CE60" si="316">+CA57*DW57</f>
        <v>387293.40650000004</v>
      </c>
      <c r="CF57" s="59">
        <f t="shared" ref="CF57:CF60" si="317">+CE57*3.3058</f>
        <v>1280314.5432077001</v>
      </c>
      <c r="CG57" s="55">
        <f>+CA57*DX57</f>
        <v>379139.8611000001</v>
      </c>
      <c r="CH57" s="59">
        <f t="shared" ref="CH57:CH60" si="318">+CG57*3.3058</f>
        <v>1253360.5528243803</v>
      </c>
      <c r="CI57" s="57">
        <f>+CA57*DY57</f>
        <v>370986.31570000009</v>
      </c>
      <c r="CJ57" s="59">
        <f t="shared" ref="CJ57:CJ60" si="319">+CI57*3.3058</f>
        <v>1226406.5624410603</v>
      </c>
      <c r="CK57" s="55">
        <f>+CA57*DZ57</f>
        <v>362832.77030000009</v>
      </c>
      <c r="CL57" s="59">
        <f t="shared" ref="CL57:CL60" si="320">+CK57*3.3058</f>
        <v>1199452.5720577403</v>
      </c>
      <c r="CM57" s="57">
        <f>+CA57*EA57</f>
        <v>354679.22490000009</v>
      </c>
      <c r="CN57" s="59">
        <f t="shared" ref="CN57:CN60" si="321">+CM57*3.3058</f>
        <v>1172498.5816744203</v>
      </c>
      <c r="CO57" s="60">
        <f>+CA57*EB57</f>
        <v>346525.67950000003</v>
      </c>
      <c r="CP57" s="59">
        <f t="shared" ref="CP57:CP60" si="322">+CO57*3.3058</f>
        <v>1145544.5912911</v>
      </c>
      <c r="CQ57" s="57">
        <f>+CA57*EC57</f>
        <v>338372.13410000002</v>
      </c>
      <c r="CR57" s="59">
        <f t="shared" ref="CR57:CR60" si="323">+CQ57*3.3058</f>
        <v>1118590.60090778</v>
      </c>
      <c r="CS57" s="55">
        <f>+CA57*ED57</f>
        <v>330218.58870000002</v>
      </c>
      <c r="CT57" s="59">
        <f t="shared" ref="CT57:CT60" si="324">+CS57*3.3058</f>
        <v>1091636.6105244602</v>
      </c>
      <c r="CU57" s="60">
        <f>+CA57*EE57</f>
        <v>322065.04330000002</v>
      </c>
      <c r="CV57" s="59">
        <f t="shared" ref="CV57:CV60" si="325">+CU57*3.3058</f>
        <v>1064682.6201411402</v>
      </c>
      <c r="CW57" s="60">
        <f>+CA57*EF57</f>
        <v>313911.49790000002</v>
      </c>
      <c r="CX57" s="59">
        <f t="shared" ref="CX57:CX60" si="326">+CW57*3.3058</f>
        <v>1037728.62975782</v>
      </c>
      <c r="CY57" s="60">
        <f>+CA57*EG57</f>
        <v>305757.95250000001</v>
      </c>
      <c r="CZ57" s="59">
        <f t="shared" ref="CZ57:CZ60" si="327">+CY57*3.3058</f>
        <v>1010774.6393745</v>
      </c>
      <c r="DA57" s="55">
        <f>+CA57*EH57</f>
        <v>297604.40710000001</v>
      </c>
      <c r="DB57" s="59">
        <f t="shared" ref="DB57:DB60" si="328">+DA57*3.3058</f>
        <v>983820.64899118</v>
      </c>
      <c r="DC57" s="60">
        <f>+CA57*EI57</f>
        <v>289450.86170000001</v>
      </c>
      <c r="DD57" s="59">
        <f t="shared" ref="DD57:DD60" si="329">+DC57*3.3058</f>
        <v>956866.6586078601</v>
      </c>
      <c r="DE57" s="60">
        <f>+CA57*EJ57</f>
        <v>281297.31630000001</v>
      </c>
      <c r="DF57" s="59">
        <f t="shared" ref="DF57:DF60" si="330">+DE57*3.3058</f>
        <v>929912.66822454007</v>
      </c>
      <c r="DG57" s="60">
        <f>+CA57*EK57</f>
        <v>273143.7709</v>
      </c>
      <c r="DH57" s="59">
        <f t="shared" ref="DH57:DH60" si="331">+DG57*3.3058</f>
        <v>902958.67784122005</v>
      </c>
      <c r="DI57" s="60">
        <f>+CA57*EL57</f>
        <v>264990.22549999994</v>
      </c>
      <c r="DJ57" s="59">
        <f t="shared" ref="DJ57:DJ60" si="332">+DI57*3.3058</f>
        <v>876004.6874578998</v>
      </c>
      <c r="DK57" s="55">
        <f>+CA57*EM57</f>
        <v>256836.68009999997</v>
      </c>
      <c r="DL57" s="59">
        <f t="shared" ref="DL57:DL60" si="333">+DK57*3.3058</f>
        <v>849050.69707457989</v>
      </c>
      <c r="DM57" s="60">
        <f>+CA57*EN57</f>
        <v>248683.13469999994</v>
      </c>
      <c r="DN57" s="59">
        <f t="shared" ref="DN57:DN60" si="334">+DM57*3.3058</f>
        <v>822096.70669125975</v>
      </c>
      <c r="DO57" s="60">
        <f>+CA57*EO57</f>
        <v>240529.58929999993</v>
      </c>
      <c r="DP57" s="59">
        <f t="shared" ref="DP57:DP60" si="335">+DO57*3.3058</f>
        <v>795142.71630793985</v>
      </c>
      <c r="DQ57" s="55">
        <f>+CA57*EP57</f>
        <v>232376.04389999993</v>
      </c>
      <c r="DR57" s="59">
        <f t="shared" ref="DR57:DR60" si="336">+DQ57*3.3058</f>
        <v>768188.72592461982</v>
      </c>
      <c r="DU57" s="55">
        <v>1</v>
      </c>
      <c r="DV57" s="55">
        <v>0.97</v>
      </c>
      <c r="DW57" s="55">
        <v>0.95</v>
      </c>
      <c r="DX57" s="55">
        <v>0.93</v>
      </c>
      <c r="DY57" s="55">
        <f t="shared" si="283"/>
        <v>0.91</v>
      </c>
      <c r="DZ57" s="55">
        <f t="shared" si="283"/>
        <v>0.89</v>
      </c>
      <c r="EA57" s="55">
        <f t="shared" si="283"/>
        <v>0.87</v>
      </c>
      <c r="EB57" s="55">
        <f t="shared" si="283"/>
        <v>0.85</v>
      </c>
      <c r="EC57" s="55">
        <f t="shared" si="283"/>
        <v>0.83</v>
      </c>
      <c r="ED57" s="55">
        <f t="shared" si="283"/>
        <v>0.80999999999999994</v>
      </c>
      <c r="EE57" s="55">
        <f t="shared" si="283"/>
        <v>0.78999999999999992</v>
      </c>
      <c r="EF57" s="55">
        <f t="shared" si="283"/>
        <v>0.76999999999999991</v>
      </c>
      <c r="EG57" s="55">
        <f t="shared" si="283"/>
        <v>0.74999999999999989</v>
      </c>
      <c r="EH57" s="55">
        <f t="shared" si="283"/>
        <v>0.72999999999999987</v>
      </c>
      <c r="EI57" s="55">
        <f t="shared" si="283"/>
        <v>0.70999999999999985</v>
      </c>
      <c r="EJ57" s="55">
        <f t="shared" si="283"/>
        <v>0.68999999999999984</v>
      </c>
      <c r="EK57" s="55">
        <f t="shared" si="283"/>
        <v>0.66999999999999982</v>
      </c>
      <c r="EL57" s="55">
        <f t="shared" si="283"/>
        <v>0.6499999999999998</v>
      </c>
      <c r="EM57" s="55">
        <f t="shared" si="283"/>
        <v>0.62999999999999978</v>
      </c>
      <c r="EN57" s="55">
        <f t="shared" si="283"/>
        <v>0.60999999999999976</v>
      </c>
      <c r="EO57" s="55">
        <f t="shared" si="283"/>
        <v>0.58999999999999975</v>
      </c>
      <c r="EP57" s="55">
        <f t="shared" si="283"/>
        <v>0.56999999999999973</v>
      </c>
      <c r="ER57" s="55">
        <f t="shared" si="142"/>
        <v>370986.31570000009</v>
      </c>
      <c r="ES57" s="55">
        <f t="shared" si="116"/>
        <v>370986.31570000009</v>
      </c>
      <c r="ET57" s="59">
        <f t="shared" ref="ET57:ET60" si="337">+ES57*3.3058</f>
        <v>1226406.5624410603</v>
      </c>
      <c r="EU57" s="55">
        <f t="shared" ref="EU57:EU60" si="338">+ES57*GN57</f>
        <v>359856.72622900008</v>
      </c>
      <c r="EV57" s="59">
        <f t="shared" ref="EV57:EV60" si="339">+EU57*3.3058</f>
        <v>1189614.3655678285</v>
      </c>
      <c r="EW57" s="55">
        <f t="shared" ref="EW57:EW60" si="340">+ES57*GO57</f>
        <v>352436.99991500005</v>
      </c>
      <c r="EX57" s="59">
        <f t="shared" ref="EX57:EX60" si="341">+EW57*3.3058</f>
        <v>1165086.2343190073</v>
      </c>
      <c r="EY57" s="55">
        <f>+ES57*GP57</f>
        <v>345017.27360100008</v>
      </c>
      <c r="EZ57" s="59">
        <f t="shared" ref="EZ57:EZ60" si="342">+EY57*3.3058</f>
        <v>1140558.103070186</v>
      </c>
      <c r="FA57" s="57">
        <f>+ES57*GQ57</f>
        <v>337597.54728700011</v>
      </c>
      <c r="FB57" s="59">
        <f t="shared" ref="FB57:FB60" si="343">+FA57*3.3058</f>
        <v>1116029.9718213649</v>
      </c>
      <c r="FC57" s="55">
        <f>+ES57*GR57</f>
        <v>330177.82097300008</v>
      </c>
      <c r="FD57" s="59">
        <f t="shared" ref="FD57:FD60" si="344">+FC57*3.3058</f>
        <v>1091501.8405725437</v>
      </c>
      <c r="FE57" s="57">
        <f>+ES57*GS57</f>
        <v>322758.09465900005</v>
      </c>
      <c r="FF57" s="59">
        <f t="shared" ref="FF57:FF60" si="345">+FE57*3.3058</f>
        <v>1066973.7093237224</v>
      </c>
      <c r="FG57" s="60">
        <f>+ES57*GT57</f>
        <v>315338.36834500008</v>
      </c>
      <c r="FH57" s="59">
        <f t="shared" ref="FH57:FH60" si="346">+FG57*3.3058</f>
        <v>1042445.5780749012</v>
      </c>
      <c r="FI57" s="57">
        <f>+ES57*GU57</f>
        <v>307918.64203100005</v>
      </c>
      <c r="FJ57" s="59">
        <f t="shared" ref="FJ57:FJ60" si="347">+FI57*3.3058</f>
        <v>1017917.44682608</v>
      </c>
      <c r="FK57" s="55">
        <f>+ES57*GV57</f>
        <v>300498.91571700008</v>
      </c>
      <c r="FL57" s="59">
        <f t="shared" ref="FL57:FL60" si="348">+FK57*3.3058</f>
        <v>993389.31557725894</v>
      </c>
      <c r="FM57" s="60">
        <f>+ES57*GW57</f>
        <v>293079.18940300005</v>
      </c>
      <c r="FN57" s="59">
        <f t="shared" ref="FN57:FN60" si="349">+FM57*3.3058</f>
        <v>968861.18432843755</v>
      </c>
      <c r="FO57" s="60">
        <f>+ES57*GX57</f>
        <v>285659.46308900003</v>
      </c>
      <c r="FP57" s="59">
        <f t="shared" ref="FP57:FP60" si="350">+FO57*3.3058</f>
        <v>944333.05307961628</v>
      </c>
      <c r="FQ57" s="60">
        <f>+ES57*GY57</f>
        <v>278239.73677500006</v>
      </c>
      <c r="FR57" s="59">
        <f t="shared" ref="FR57:FR60" si="351">+FQ57*3.3058</f>
        <v>919804.92183079524</v>
      </c>
      <c r="FS57" s="55">
        <f>+ES57*GZ57</f>
        <v>270820.01046100003</v>
      </c>
      <c r="FT57" s="59">
        <f t="shared" ref="FT57:FT60" si="352">+FS57*3.3058</f>
        <v>895276.79058197385</v>
      </c>
      <c r="FU57" s="60">
        <f>+ES57*HA57</f>
        <v>263400.284147</v>
      </c>
      <c r="FV57" s="59">
        <f t="shared" ref="FV57:FV60" si="353">+FU57*3.3058</f>
        <v>870748.65933315258</v>
      </c>
      <c r="FW57" s="60">
        <f>+ES57*HB57</f>
        <v>255980.557833</v>
      </c>
      <c r="FX57" s="59">
        <f t="shared" ref="FX57:FX60" si="354">+FW57*3.3058</f>
        <v>846220.52808433142</v>
      </c>
      <c r="FY57" s="60">
        <f>+ES57*HC57</f>
        <v>248560.831519</v>
      </c>
      <c r="FZ57" s="59">
        <f t="shared" ref="FZ57:FZ60" si="355">+FY57*3.3058</f>
        <v>821692.39683551027</v>
      </c>
      <c r="GA57" s="60">
        <f>+ES57*HD57</f>
        <v>241141.105205</v>
      </c>
      <c r="GB57" s="59">
        <f t="shared" ref="GB57:GB60" si="356">+GA57*3.3058</f>
        <v>797164.265586689</v>
      </c>
      <c r="GC57" s="55">
        <f>+ES57*HE57</f>
        <v>233721.37889099997</v>
      </c>
      <c r="GD57" s="59">
        <f t="shared" ref="GD57:GD60" si="357">+GC57*3.3058</f>
        <v>772636.13433786773</v>
      </c>
      <c r="GE57" s="60">
        <f>+ES57*HF57</f>
        <v>226301.65257699997</v>
      </c>
      <c r="GF57" s="59">
        <f t="shared" ref="GF57:GF60" si="358">+GE57*3.3058</f>
        <v>748108.00308904657</v>
      </c>
      <c r="GG57" s="60">
        <f>+ES57*HG57</f>
        <v>218881.92626299997</v>
      </c>
      <c r="GH57" s="59">
        <f t="shared" ref="GH57:GH60" si="359">+GG57*3.3058</f>
        <v>723579.8718402253</v>
      </c>
      <c r="GI57" s="55">
        <f>+ES57*HH57</f>
        <v>211462.19994899994</v>
      </c>
      <c r="GJ57" s="59">
        <f t="shared" ref="GJ57:GJ60" si="360">+GI57*3.3058</f>
        <v>699051.74059140403</v>
      </c>
      <c r="GK57" s="55"/>
      <c r="GL57" s="55"/>
      <c r="GM57" s="55">
        <v>1</v>
      </c>
      <c r="GN57" s="55">
        <v>0.97</v>
      </c>
      <c r="GO57" s="55">
        <v>0.95</v>
      </c>
      <c r="GP57" s="55">
        <v>0.93</v>
      </c>
      <c r="GQ57" s="55">
        <f t="shared" si="284"/>
        <v>0.91</v>
      </c>
      <c r="GR57" s="55">
        <f t="shared" si="284"/>
        <v>0.89</v>
      </c>
      <c r="GS57" s="55">
        <f t="shared" si="284"/>
        <v>0.87</v>
      </c>
      <c r="GT57" s="55">
        <f t="shared" si="284"/>
        <v>0.85</v>
      </c>
      <c r="GU57" s="55">
        <f t="shared" si="284"/>
        <v>0.83</v>
      </c>
      <c r="GV57" s="55">
        <f t="shared" si="284"/>
        <v>0.80999999999999994</v>
      </c>
      <c r="GW57" s="55">
        <f t="shared" si="284"/>
        <v>0.78999999999999992</v>
      </c>
      <c r="GX57" s="55">
        <f t="shared" si="284"/>
        <v>0.76999999999999991</v>
      </c>
      <c r="GY57" s="55">
        <f t="shared" si="284"/>
        <v>0.74999999999999989</v>
      </c>
      <c r="GZ57" s="55">
        <f t="shared" si="284"/>
        <v>0.72999999999999987</v>
      </c>
      <c r="HA57" s="55">
        <f t="shared" si="284"/>
        <v>0.70999999999999985</v>
      </c>
      <c r="HB57" s="55">
        <f t="shared" si="284"/>
        <v>0.68999999999999984</v>
      </c>
      <c r="HC57" s="55">
        <f t="shared" si="284"/>
        <v>0.66999999999999982</v>
      </c>
      <c r="HD57" s="55">
        <f t="shared" si="284"/>
        <v>0.6499999999999998</v>
      </c>
      <c r="HE57" s="55">
        <f t="shared" si="284"/>
        <v>0.62999999999999978</v>
      </c>
      <c r="HF57" s="55">
        <f t="shared" si="284"/>
        <v>0.60999999999999976</v>
      </c>
      <c r="HG57" s="55">
        <f t="shared" si="284"/>
        <v>0.58999999999999975</v>
      </c>
      <c r="HH57" s="55">
        <f t="shared" si="284"/>
        <v>0.56999999999999973</v>
      </c>
    </row>
    <row r="58" spans="1:216" x14ac:dyDescent="0.3">
      <c r="A58" s="2">
        <v>2</v>
      </c>
      <c r="C58" s="38" t="s">
        <v>29</v>
      </c>
      <c r="D58" s="42">
        <v>0</v>
      </c>
      <c r="E58" s="71">
        <f>TRUNC(+D58*3.3058,-1)</f>
        <v>0</v>
      </c>
      <c r="H58" s="55">
        <f t="shared" si="61"/>
        <v>0</v>
      </c>
      <c r="I58" s="55">
        <f t="shared" si="62"/>
        <v>0</v>
      </c>
      <c r="J58" s="59">
        <f t="shared" si="63"/>
        <v>0</v>
      </c>
      <c r="K58" s="55">
        <f t="shared" si="289"/>
        <v>0</v>
      </c>
      <c r="L58" s="59">
        <f t="shared" si="290"/>
        <v>0</v>
      </c>
      <c r="M58" s="55">
        <f t="shared" si="291"/>
        <v>0</v>
      </c>
      <c r="N58" s="59">
        <f t="shared" si="292"/>
        <v>0</v>
      </c>
      <c r="O58" s="55">
        <f>+I58*BF58</f>
        <v>0</v>
      </c>
      <c r="P58" s="59">
        <f t="shared" si="293"/>
        <v>0</v>
      </c>
      <c r="Q58" s="57">
        <f>+I58*BG58</f>
        <v>0</v>
      </c>
      <c r="R58" s="59">
        <f t="shared" si="294"/>
        <v>0</v>
      </c>
      <c r="S58" s="55">
        <f>+I58*BH58</f>
        <v>0</v>
      </c>
      <c r="T58" s="59">
        <f t="shared" si="295"/>
        <v>0</v>
      </c>
      <c r="U58" s="57">
        <f>+I58*BI58</f>
        <v>0</v>
      </c>
      <c r="V58" s="59">
        <f t="shared" si="296"/>
        <v>0</v>
      </c>
      <c r="W58" s="60">
        <f>+I58*BJ58</f>
        <v>0</v>
      </c>
      <c r="X58" s="59">
        <f t="shared" si="297"/>
        <v>0</v>
      </c>
      <c r="Y58" s="57">
        <f>+I58*BK58</f>
        <v>0</v>
      </c>
      <c r="Z58" s="59">
        <f t="shared" si="298"/>
        <v>0</v>
      </c>
      <c r="AA58" s="55">
        <f>+I58*BL58</f>
        <v>0</v>
      </c>
      <c r="AB58" s="59">
        <f t="shared" si="299"/>
        <v>0</v>
      </c>
      <c r="AC58" s="60">
        <f>+I58*BM58</f>
        <v>0</v>
      </c>
      <c r="AD58" s="59">
        <f t="shared" si="300"/>
        <v>0</v>
      </c>
      <c r="AE58" s="60">
        <f>+I58*BN58</f>
        <v>0</v>
      </c>
      <c r="AF58" s="59">
        <f t="shared" si="301"/>
        <v>0</v>
      </c>
      <c r="AG58" s="60">
        <f>+I58*BO58</f>
        <v>0</v>
      </c>
      <c r="AH58" s="59">
        <f t="shared" si="302"/>
        <v>0</v>
      </c>
      <c r="AI58" s="55">
        <f>+I58*BP58</f>
        <v>0</v>
      </c>
      <c r="AJ58" s="59">
        <f t="shared" si="303"/>
        <v>0</v>
      </c>
      <c r="AK58" s="60">
        <f>+I58*BQ58</f>
        <v>0</v>
      </c>
      <c r="AL58" s="59">
        <f t="shared" si="304"/>
        <v>0</v>
      </c>
      <c r="AM58" s="60">
        <f>+I58*BR58</f>
        <v>0</v>
      </c>
      <c r="AN58" s="59">
        <f t="shared" si="305"/>
        <v>0</v>
      </c>
      <c r="AO58" s="60">
        <f>+I58*BS58</f>
        <v>0</v>
      </c>
      <c r="AP58" s="59">
        <f t="shared" si="306"/>
        <v>0</v>
      </c>
      <c r="AQ58" s="60">
        <f>+I58*BT58</f>
        <v>0</v>
      </c>
      <c r="AR58" s="59">
        <f t="shared" si="307"/>
        <v>0</v>
      </c>
      <c r="AS58" s="55">
        <f>+I58*BU58</f>
        <v>0</v>
      </c>
      <c r="AT58" s="59">
        <f t="shared" si="308"/>
        <v>0</v>
      </c>
      <c r="AU58" s="60">
        <f>+I58*BV58</f>
        <v>0</v>
      </c>
      <c r="AV58" s="59">
        <f t="shared" si="309"/>
        <v>0</v>
      </c>
      <c r="AW58" s="60">
        <f>+I58*BW58</f>
        <v>0</v>
      </c>
      <c r="AX58" s="59">
        <f t="shared" si="310"/>
        <v>0</v>
      </c>
      <c r="AY58" s="55">
        <f>+I58*BX58</f>
        <v>0</v>
      </c>
      <c r="AZ58" s="59">
        <f t="shared" si="311"/>
        <v>0</v>
      </c>
      <c r="BC58" s="55">
        <v>1</v>
      </c>
      <c r="BD58" s="55">
        <v>0.97</v>
      </c>
      <c r="BE58" s="55">
        <v>0.95</v>
      </c>
      <c r="BF58" s="55">
        <v>0.93</v>
      </c>
      <c r="BG58" s="55">
        <f t="shared" si="312"/>
        <v>0.91</v>
      </c>
      <c r="BH58" s="55">
        <f t="shared" si="312"/>
        <v>0.89</v>
      </c>
      <c r="BI58" s="55">
        <f t="shared" si="312"/>
        <v>0.87</v>
      </c>
      <c r="BJ58" s="55">
        <f t="shared" si="312"/>
        <v>0.85</v>
      </c>
      <c r="BK58" s="55">
        <f t="shared" si="312"/>
        <v>0.83</v>
      </c>
      <c r="BL58" s="55">
        <f t="shared" si="312"/>
        <v>0.80999999999999994</v>
      </c>
      <c r="BM58" s="55">
        <f t="shared" si="312"/>
        <v>0.78999999999999992</v>
      </c>
      <c r="BN58" s="55">
        <f t="shared" si="312"/>
        <v>0.76999999999999991</v>
      </c>
      <c r="BO58" s="55">
        <f t="shared" si="312"/>
        <v>0.74999999999999989</v>
      </c>
      <c r="BP58" s="55">
        <f t="shared" si="312"/>
        <v>0.72999999999999987</v>
      </c>
      <c r="BQ58" s="55">
        <f t="shared" si="312"/>
        <v>0.70999999999999985</v>
      </c>
      <c r="BR58" s="55">
        <f t="shared" si="312"/>
        <v>0.68999999999999984</v>
      </c>
      <c r="BS58" s="55">
        <f t="shared" si="312"/>
        <v>0.66999999999999982</v>
      </c>
      <c r="BT58" s="55">
        <f t="shared" si="312"/>
        <v>0.6499999999999998</v>
      </c>
      <c r="BU58" s="55">
        <f t="shared" si="312"/>
        <v>0.62999999999999978</v>
      </c>
      <c r="BV58" s="55">
        <f t="shared" si="312"/>
        <v>0.60999999999999976</v>
      </c>
      <c r="BW58" s="55">
        <f t="shared" si="312"/>
        <v>0.58999999999999975</v>
      </c>
      <c r="BX58" s="55">
        <f t="shared" si="312"/>
        <v>0.56999999999999973</v>
      </c>
      <c r="BZ58" s="55">
        <f t="shared" si="88"/>
        <v>0</v>
      </c>
      <c r="CA58" s="55">
        <f t="shared" si="89"/>
        <v>0</v>
      </c>
      <c r="CB58" s="59">
        <f t="shared" si="313"/>
        <v>0</v>
      </c>
      <c r="CC58" s="55">
        <f t="shared" si="314"/>
        <v>0</v>
      </c>
      <c r="CD58" s="59">
        <f t="shared" si="315"/>
        <v>0</v>
      </c>
      <c r="CE58" s="55">
        <f t="shared" si="316"/>
        <v>0</v>
      </c>
      <c r="CF58" s="59">
        <f t="shared" si="317"/>
        <v>0</v>
      </c>
      <c r="CG58" s="55">
        <f>+CA58*DX58</f>
        <v>0</v>
      </c>
      <c r="CH58" s="59">
        <f t="shared" si="318"/>
        <v>0</v>
      </c>
      <c r="CI58" s="57">
        <f>+CA58*DY58</f>
        <v>0</v>
      </c>
      <c r="CJ58" s="59">
        <f t="shared" si="319"/>
        <v>0</v>
      </c>
      <c r="CK58" s="55">
        <f>+CA58*DZ58</f>
        <v>0</v>
      </c>
      <c r="CL58" s="59">
        <f t="shared" si="320"/>
        <v>0</v>
      </c>
      <c r="CM58" s="57">
        <f>+CA58*EA58</f>
        <v>0</v>
      </c>
      <c r="CN58" s="59">
        <f t="shared" si="321"/>
        <v>0</v>
      </c>
      <c r="CO58" s="60">
        <f>+CA58*EB58</f>
        <v>0</v>
      </c>
      <c r="CP58" s="59">
        <f t="shared" si="322"/>
        <v>0</v>
      </c>
      <c r="CQ58" s="57">
        <f>+CA58*EC58</f>
        <v>0</v>
      </c>
      <c r="CR58" s="59">
        <f t="shared" si="323"/>
        <v>0</v>
      </c>
      <c r="CS58" s="55">
        <f>+CA58*ED58</f>
        <v>0</v>
      </c>
      <c r="CT58" s="59">
        <f t="shared" si="324"/>
        <v>0</v>
      </c>
      <c r="CU58" s="60">
        <f>+CA58*EE58</f>
        <v>0</v>
      </c>
      <c r="CV58" s="59">
        <f t="shared" si="325"/>
        <v>0</v>
      </c>
      <c r="CW58" s="60">
        <f>+CA58*EF58</f>
        <v>0</v>
      </c>
      <c r="CX58" s="59">
        <f t="shared" si="326"/>
        <v>0</v>
      </c>
      <c r="CY58" s="60">
        <f>+CA58*EG58</f>
        <v>0</v>
      </c>
      <c r="CZ58" s="59">
        <f t="shared" si="327"/>
        <v>0</v>
      </c>
      <c r="DA58" s="55">
        <f>+CA58*EH58</f>
        <v>0</v>
      </c>
      <c r="DB58" s="59">
        <f t="shared" si="328"/>
        <v>0</v>
      </c>
      <c r="DC58" s="60">
        <f>+CA58*EI58</f>
        <v>0</v>
      </c>
      <c r="DD58" s="59">
        <f t="shared" si="329"/>
        <v>0</v>
      </c>
      <c r="DE58" s="60">
        <f>+CA58*EJ58</f>
        <v>0</v>
      </c>
      <c r="DF58" s="59">
        <f t="shared" si="330"/>
        <v>0</v>
      </c>
      <c r="DG58" s="60">
        <f>+CA58*EK58</f>
        <v>0</v>
      </c>
      <c r="DH58" s="59">
        <f t="shared" si="331"/>
        <v>0</v>
      </c>
      <c r="DI58" s="60">
        <f>+CA58*EL58</f>
        <v>0</v>
      </c>
      <c r="DJ58" s="59">
        <f t="shared" si="332"/>
        <v>0</v>
      </c>
      <c r="DK58" s="55">
        <f>+CA58*EM58</f>
        <v>0</v>
      </c>
      <c r="DL58" s="59">
        <f t="shared" si="333"/>
        <v>0</v>
      </c>
      <c r="DM58" s="60">
        <f>+CA58*EN58</f>
        <v>0</v>
      </c>
      <c r="DN58" s="59">
        <f t="shared" si="334"/>
        <v>0</v>
      </c>
      <c r="DO58" s="60">
        <f>+CA58*EO58</f>
        <v>0</v>
      </c>
      <c r="DP58" s="59">
        <f t="shared" si="335"/>
        <v>0</v>
      </c>
      <c r="DQ58" s="55">
        <f>+CA58*EP58</f>
        <v>0</v>
      </c>
      <c r="DR58" s="59">
        <f t="shared" si="336"/>
        <v>0</v>
      </c>
      <c r="DU58" s="55">
        <v>1</v>
      </c>
      <c r="DV58" s="55">
        <v>0.97</v>
      </c>
      <c r="DW58" s="55">
        <v>0.95</v>
      </c>
      <c r="DX58" s="55">
        <v>0.93</v>
      </c>
      <c r="DY58" s="55">
        <f t="shared" si="283"/>
        <v>0.91</v>
      </c>
      <c r="DZ58" s="55">
        <f t="shared" si="283"/>
        <v>0.89</v>
      </c>
      <c r="EA58" s="55">
        <f t="shared" si="283"/>
        <v>0.87</v>
      </c>
      <c r="EB58" s="55">
        <f t="shared" si="283"/>
        <v>0.85</v>
      </c>
      <c r="EC58" s="55">
        <f t="shared" si="283"/>
        <v>0.83</v>
      </c>
      <c r="ED58" s="55">
        <f t="shared" si="283"/>
        <v>0.80999999999999994</v>
      </c>
      <c r="EE58" s="55">
        <f t="shared" si="283"/>
        <v>0.78999999999999992</v>
      </c>
      <c r="EF58" s="55">
        <f t="shared" si="283"/>
        <v>0.76999999999999991</v>
      </c>
      <c r="EG58" s="55">
        <f t="shared" si="283"/>
        <v>0.74999999999999989</v>
      </c>
      <c r="EH58" s="55">
        <f t="shared" si="283"/>
        <v>0.72999999999999987</v>
      </c>
      <c r="EI58" s="55">
        <f t="shared" si="283"/>
        <v>0.70999999999999985</v>
      </c>
      <c r="EJ58" s="55">
        <f t="shared" si="283"/>
        <v>0.68999999999999984</v>
      </c>
      <c r="EK58" s="55">
        <f t="shared" si="283"/>
        <v>0.66999999999999982</v>
      </c>
      <c r="EL58" s="55">
        <f t="shared" si="283"/>
        <v>0.6499999999999998</v>
      </c>
      <c r="EM58" s="55">
        <f t="shared" si="283"/>
        <v>0.62999999999999978</v>
      </c>
      <c r="EN58" s="55">
        <f t="shared" si="283"/>
        <v>0.60999999999999976</v>
      </c>
      <c r="EO58" s="55">
        <f t="shared" si="283"/>
        <v>0.58999999999999975</v>
      </c>
      <c r="EP58" s="55">
        <f t="shared" si="283"/>
        <v>0.56999999999999973</v>
      </c>
      <c r="ER58" s="55">
        <f t="shared" si="142"/>
        <v>0</v>
      </c>
      <c r="ES58" s="55">
        <f t="shared" si="116"/>
        <v>0</v>
      </c>
      <c r="ET58" s="59">
        <f t="shared" si="337"/>
        <v>0</v>
      </c>
      <c r="EU58" s="55">
        <f t="shared" si="338"/>
        <v>0</v>
      </c>
      <c r="EV58" s="59">
        <f t="shared" si="339"/>
        <v>0</v>
      </c>
      <c r="EW58" s="55">
        <f t="shared" si="340"/>
        <v>0</v>
      </c>
      <c r="EX58" s="59">
        <f t="shared" si="341"/>
        <v>0</v>
      </c>
      <c r="EY58" s="55">
        <f>+ES58*GP58</f>
        <v>0</v>
      </c>
      <c r="EZ58" s="59">
        <f t="shared" si="342"/>
        <v>0</v>
      </c>
      <c r="FA58" s="57">
        <f>+ES58*GQ58</f>
        <v>0</v>
      </c>
      <c r="FB58" s="59">
        <f t="shared" si="343"/>
        <v>0</v>
      </c>
      <c r="FC58" s="55">
        <f>+ES58*GR58</f>
        <v>0</v>
      </c>
      <c r="FD58" s="59">
        <f t="shared" si="344"/>
        <v>0</v>
      </c>
      <c r="FE58" s="57">
        <f>+ES58*GS58</f>
        <v>0</v>
      </c>
      <c r="FF58" s="59">
        <f t="shared" si="345"/>
        <v>0</v>
      </c>
      <c r="FG58" s="60">
        <f>+ES58*GT58</f>
        <v>0</v>
      </c>
      <c r="FH58" s="59">
        <f t="shared" si="346"/>
        <v>0</v>
      </c>
      <c r="FI58" s="57">
        <f>+ES58*GU58</f>
        <v>0</v>
      </c>
      <c r="FJ58" s="59">
        <f t="shared" si="347"/>
        <v>0</v>
      </c>
      <c r="FK58" s="55">
        <f>+ES58*GV58</f>
        <v>0</v>
      </c>
      <c r="FL58" s="59">
        <f t="shared" si="348"/>
        <v>0</v>
      </c>
      <c r="FM58" s="60">
        <f>+ES58*GW58</f>
        <v>0</v>
      </c>
      <c r="FN58" s="59">
        <f t="shared" si="349"/>
        <v>0</v>
      </c>
      <c r="FO58" s="60">
        <f>+ES58*GX58</f>
        <v>0</v>
      </c>
      <c r="FP58" s="59">
        <f t="shared" si="350"/>
        <v>0</v>
      </c>
      <c r="FQ58" s="60">
        <f>+ES58*GY58</f>
        <v>0</v>
      </c>
      <c r="FR58" s="59">
        <f t="shared" si="351"/>
        <v>0</v>
      </c>
      <c r="FS58" s="55">
        <f>+ES58*GZ58</f>
        <v>0</v>
      </c>
      <c r="FT58" s="59">
        <f t="shared" si="352"/>
        <v>0</v>
      </c>
      <c r="FU58" s="60">
        <f>+ES58*HA58</f>
        <v>0</v>
      </c>
      <c r="FV58" s="59">
        <f t="shared" si="353"/>
        <v>0</v>
      </c>
      <c r="FW58" s="60">
        <f>+ES58*HB58</f>
        <v>0</v>
      </c>
      <c r="FX58" s="59">
        <f t="shared" si="354"/>
        <v>0</v>
      </c>
      <c r="FY58" s="60">
        <f>+ES58*HC58</f>
        <v>0</v>
      </c>
      <c r="FZ58" s="59">
        <f t="shared" si="355"/>
        <v>0</v>
      </c>
      <c r="GA58" s="60">
        <f>+ES58*HD58</f>
        <v>0</v>
      </c>
      <c r="GB58" s="59">
        <f t="shared" si="356"/>
        <v>0</v>
      </c>
      <c r="GC58" s="55">
        <f>+ES58*HE58</f>
        <v>0</v>
      </c>
      <c r="GD58" s="59">
        <f t="shared" si="357"/>
        <v>0</v>
      </c>
      <c r="GE58" s="60">
        <f>+ES58*HF58</f>
        <v>0</v>
      </c>
      <c r="GF58" s="59">
        <f t="shared" si="358"/>
        <v>0</v>
      </c>
      <c r="GG58" s="60">
        <f>+ES58*HG58</f>
        <v>0</v>
      </c>
      <c r="GH58" s="59">
        <f t="shared" si="359"/>
        <v>0</v>
      </c>
      <c r="GI58" s="55">
        <f>+ES58*HH58</f>
        <v>0</v>
      </c>
      <c r="GJ58" s="59">
        <f t="shared" si="360"/>
        <v>0</v>
      </c>
      <c r="GK58" s="55"/>
      <c r="GL58" s="55"/>
      <c r="GM58" s="55">
        <v>1</v>
      </c>
      <c r="GN58" s="55">
        <v>0.97</v>
      </c>
      <c r="GO58" s="55">
        <v>0.95</v>
      </c>
      <c r="GP58" s="55">
        <v>0.93</v>
      </c>
      <c r="GQ58" s="55">
        <f t="shared" si="284"/>
        <v>0.91</v>
      </c>
      <c r="GR58" s="55">
        <f t="shared" si="284"/>
        <v>0.89</v>
      </c>
      <c r="GS58" s="55">
        <f t="shared" si="284"/>
        <v>0.87</v>
      </c>
      <c r="GT58" s="55">
        <f t="shared" si="284"/>
        <v>0.85</v>
      </c>
      <c r="GU58" s="55">
        <f t="shared" si="284"/>
        <v>0.83</v>
      </c>
      <c r="GV58" s="55">
        <f t="shared" si="284"/>
        <v>0.80999999999999994</v>
      </c>
      <c r="GW58" s="55">
        <f t="shared" si="284"/>
        <v>0.78999999999999992</v>
      </c>
      <c r="GX58" s="55">
        <f t="shared" si="284"/>
        <v>0.76999999999999991</v>
      </c>
      <c r="GY58" s="55">
        <f t="shared" si="284"/>
        <v>0.74999999999999989</v>
      </c>
      <c r="GZ58" s="55">
        <f t="shared" si="284"/>
        <v>0.72999999999999987</v>
      </c>
      <c r="HA58" s="55">
        <f t="shared" si="284"/>
        <v>0.70999999999999985</v>
      </c>
      <c r="HB58" s="55">
        <f t="shared" si="284"/>
        <v>0.68999999999999984</v>
      </c>
      <c r="HC58" s="55">
        <f t="shared" si="284"/>
        <v>0.66999999999999982</v>
      </c>
      <c r="HD58" s="55">
        <f t="shared" si="284"/>
        <v>0.6499999999999998</v>
      </c>
      <c r="HE58" s="55">
        <f t="shared" si="284"/>
        <v>0.62999999999999978</v>
      </c>
      <c r="HF58" s="55">
        <f t="shared" si="284"/>
        <v>0.60999999999999976</v>
      </c>
      <c r="HG58" s="55">
        <f t="shared" si="284"/>
        <v>0.58999999999999975</v>
      </c>
      <c r="HH58" s="55">
        <f t="shared" si="284"/>
        <v>0.56999999999999973</v>
      </c>
    </row>
    <row r="59" spans="1:216" ht="17.25" thickBot="1" x14ac:dyDescent="0.35">
      <c r="A59" s="2">
        <v>3</v>
      </c>
      <c r="C59" s="38" t="s">
        <v>28</v>
      </c>
      <c r="D59" s="43">
        <v>0</v>
      </c>
      <c r="E59" s="72">
        <f>TRUNC(+D59*3.3058,-1)</f>
        <v>0</v>
      </c>
      <c r="H59" s="55">
        <f t="shared" si="61"/>
        <v>0</v>
      </c>
      <c r="I59" s="55">
        <f t="shared" si="62"/>
        <v>0</v>
      </c>
      <c r="J59" s="59">
        <f t="shared" si="63"/>
        <v>0</v>
      </c>
      <c r="K59" s="55">
        <f t="shared" si="289"/>
        <v>0</v>
      </c>
      <c r="L59" s="59">
        <f t="shared" si="290"/>
        <v>0</v>
      </c>
      <c r="M59" s="55">
        <f t="shared" si="291"/>
        <v>0</v>
      </c>
      <c r="N59" s="59">
        <f t="shared" si="292"/>
        <v>0</v>
      </c>
      <c r="O59" s="55">
        <f>+I59*BF59</f>
        <v>0</v>
      </c>
      <c r="P59" s="59">
        <f t="shared" si="293"/>
        <v>0</v>
      </c>
      <c r="Q59" s="57">
        <f>+I59*BG59</f>
        <v>0</v>
      </c>
      <c r="R59" s="59">
        <f t="shared" si="294"/>
        <v>0</v>
      </c>
      <c r="S59" s="55">
        <f>+I59*BH59</f>
        <v>0</v>
      </c>
      <c r="T59" s="59">
        <f t="shared" si="295"/>
        <v>0</v>
      </c>
      <c r="U59" s="57">
        <f>+I59*BI59</f>
        <v>0</v>
      </c>
      <c r="V59" s="59">
        <f t="shared" si="296"/>
        <v>0</v>
      </c>
      <c r="W59" s="60">
        <f>+I59*BJ59</f>
        <v>0</v>
      </c>
      <c r="X59" s="59">
        <f t="shared" si="297"/>
        <v>0</v>
      </c>
      <c r="Y59" s="57">
        <f>+I59*BK59</f>
        <v>0</v>
      </c>
      <c r="Z59" s="59">
        <f t="shared" si="298"/>
        <v>0</v>
      </c>
      <c r="AA59" s="55">
        <f>+I59*BL59</f>
        <v>0</v>
      </c>
      <c r="AB59" s="59">
        <f t="shared" si="299"/>
        <v>0</v>
      </c>
      <c r="AC59" s="60">
        <f>+I59*BM59</f>
        <v>0</v>
      </c>
      <c r="AD59" s="59">
        <f t="shared" si="300"/>
        <v>0</v>
      </c>
      <c r="AE59" s="60">
        <f>+I59*BN59</f>
        <v>0</v>
      </c>
      <c r="AF59" s="59">
        <f t="shared" si="301"/>
        <v>0</v>
      </c>
      <c r="AG59" s="60">
        <f>+I59*BO59</f>
        <v>0</v>
      </c>
      <c r="AH59" s="59">
        <f t="shared" si="302"/>
        <v>0</v>
      </c>
      <c r="AI59" s="55">
        <f>+I59*BP59</f>
        <v>0</v>
      </c>
      <c r="AJ59" s="59">
        <f t="shared" si="303"/>
        <v>0</v>
      </c>
      <c r="AK59" s="60">
        <f>+I59*BQ59</f>
        <v>0</v>
      </c>
      <c r="AL59" s="59">
        <f t="shared" si="304"/>
        <v>0</v>
      </c>
      <c r="AM59" s="60">
        <f>+I59*BR59</f>
        <v>0</v>
      </c>
      <c r="AN59" s="59">
        <f t="shared" si="305"/>
        <v>0</v>
      </c>
      <c r="AO59" s="60">
        <f>+I59*BS59</f>
        <v>0</v>
      </c>
      <c r="AP59" s="59">
        <f t="shared" si="306"/>
        <v>0</v>
      </c>
      <c r="AQ59" s="60">
        <f>+I59*BT59</f>
        <v>0</v>
      </c>
      <c r="AR59" s="59">
        <f t="shared" si="307"/>
        <v>0</v>
      </c>
      <c r="AS59" s="55">
        <f>+I59*BU59</f>
        <v>0</v>
      </c>
      <c r="AT59" s="59">
        <f t="shared" si="308"/>
        <v>0</v>
      </c>
      <c r="AU59" s="60">
        <f>+I59*BV59</f>
        <v>0</v>
      </c>
      <c r="AV59" s="59">
        <f t="shared" si="309"/>
        <v>0</v>
      </c>
      <c r="AW59" s="60">
        <f>+I59*BW59</f>
        <v>0</v>
      </c>
      <c r="AX59" s="59">
        <f t="shared" si="310"/>
        <v>0</v>
      </c>
      <c r="AY59" s="55">
        <f>+I59*BX59</f>
        <v>0</v>
      </c>
      <c r="AZ59" s="59">
        <f t="shared" si="311"/>
        <v>0</v>
      </c>
      <c r="BC59" s="55">
        <v>1</v>
      </c>
      <c r="BD59" s="55">
        <v>0.97</v>
      </c>
      <c r="BE59" s="55">
        <v>0.95</v>
      </c>
      <c r="BF59" s="55">
        <v>0.93</v>
      </c>
      <c r="BG59" s="55">
        <f t="shared" si="312"/>
        <v>0.91</v>
      </c>
      <c r="BH59" s="55">
        <f t="shared" si="312"/>
        <v>0.89</v>
      </c>
      <c r="BI59" s="55">
        <f t="shared" si="312"/>
        <v>0.87</v>
      </c>
      <c r="BJ59" s="55">
        <f t="shared" si="312"/>
        <v>0.85</v>
      </c>
      <c r="BK59" s="55">
        <f t="shared" si="312"/>
        <v>0.83</v>
      </c>
      <c r="BL59" s="55">
        <f t="shared" si="312"/>
        <v>0.80999999999999994</v>
      </c>
      <c r="BM59" s="55">
        <f t="shared" si="312"/>
        <v>0.78999999999999992</v>
      </c>
      <c r="BN59" s="55">
        <f t="shared" si="312"/>
        <v>0.76999999999999991</v>
      </c>
      <c r="BO59" s="55">
        <f t="shared" si="312"/>
        <v>0.74999999999999989</v>
      </c>
      <c r="BP59" s="55">
        <f t="shared" si="312"/>
        <v>0.72999999999999987</v>
      </c>
      <c r="BQ59" s="55">
        <f t="shared" si="312"/>
        <v>0.70999999999999985</v>
      </c>
      <c r="BR59" s="55">
        <f t="shared" si="312"/>
        <v>0.68999999999999984</v>
      </c>
      <c r="BS59" s="55">
        <f t="shared" si="312"/>
        <v>0.66999999999999982</v>
      </c>
      <c r="BT59" s="55">
        <f t="shared" si="312"/>
        <v>0.6499999999999998</v>
      </c>
      <c r="BU59" s="55">
        <f t="shared" si="312"/>
        <v>0.62999999999999978</v>
      </c>
      <c r="BV59" s="55">
        <f t="shared" si="312"/>
        <v>0.60999999999999976</v>
      </c>
      <c r="BW59" s="55">
        <f t="shared" si="312"/>
        <v>0.58999999999999975</v>
      </c>
      <c r="BX59" s="55">
        <f t="shared" si="312"/>
        <v>0.56999999999999973</v>
      </c>
      <c r="BZ59" s="55">
        <f t="shared" si="88"/>
        <v>0</v>
      </c>
      <c r="CA59" s="55">
        <f t="shared" si="89"/>
        <v>0</v>
      </c>
      <c r="CB59" s="59">
        <f t="shared" si="313"/>
        <v>0</v>
      </c>
      <c r="CC59" s="55">
        <f t="shared" si="314"/>
        <v>0</v>
      </c>
      <c r="CD59" s="59">
        <f t="shared" si="315"/>
        <v>0</v>
      </c>
      <c r="CE59" s="55">
        <f t="shared" si="316"/>
        <v>0</v>
      </c>
      <c r="CF59" s="59">
        <f t="shared" si="317"/>
        <v>0</v>
      </c>
      <c r="CG59" s="55">
        <f>+CA59*DX59</f>
        <v>0</v>
      </c>
      <c r="CH59" s="59">
        <f t="shared" si="318"/>
        <v>0</v>
      </c>
      <c r="CI59" s="57">
        <f>+CA59*DY59</f>
        <v>0</v>
      </c>
      <c r="CJ59" s="59">
        <f t="shared" si="319"/>
        <v>0</v>
      </c>
      <c r="CK59" s="55">
        <f>+CA59*DZ59</f>
        <v>0</v>
      </c>
      <c r="CL59" s="59">
        <f t="shared" si="320"/>
        <v>0</v>
      </c>
      <c r="CM59" s="57">
        <f>+CA59*EA59</f>
        <v>0</v>
      </c>
      <c r="CN59" s="59">
        <f t="shared" si="321"/>
        <v>0</v>
      </c>
      <c r="CO59" s="60">
        <f>+CA59*EB59</f>
        <v>0</v>
      </c>
      <c r="CP59" s="59">
        <f t="shared" si="322"/>
        <v>0</v>
      </c>
      <c r="CQ59" s="57">
        <f>+CA59*EC59</f>
        <v>0</v>
      </c>
      <c r="CR59" s="59">
        <f t="shared" si="323"/>
        <v>0</v>
      </c>
      <c r="CS59" s="55">
        <f>+CA59*ED59</f>
        <v>0</v>
      </c>
      <c r="CT59" s="59">
        <f t="shared" si="324"/>
        <v>0</v>
      </c>
      <c r="CU59" s="60">
        <f>+CA59*EE59</f>
        <v>0</v>
      </c>
      <c r="CV59" s="59">
        <f t="shared" si="325"/>
        <v>0</v>
      </c>
      <c r="CW59" s="60">
        <f>+CA59*EF59</f>
        <v>0</v>
      </c>
      <c r="CX59" s="59">
        <f t="shared" si="326"/>
        <v>0</v>
      </c>
      <c r="CY59" s="60">
        <f>+CA59*EG59</f>
        <v>0</v>
      </c>
      <c r="CZ59" s="59">
        <f t="shared" si="327"/>
        <v>0</v>
      </c>
      <c r="DA59" s="55">
        <f>+CA59*EH59</f>
        <v>0</v>
      </c>
      <c r="DB59" s="59">
        <f t="shared" si="328"/>
        <v>0</v>
      </c>
      <c r="DC59" s="60">
        <f>+CA59*EI59</f>
        <v>0</v>
      </c>
      <c r="DD59" s="59">
        <f t="shared" si="329"/>
        <v>0</v>
      </c>
      <c r="DE59" s="60">
        <f>+CA59*EJ59</f>
        <v>0</v>
      </c>
      <c r="DF59" s="59">
        <f t="shared" si="330"/>
        <v>0</v>
      </c>
      <c r="DG59" s="60">
        <f>+CA59*EK59</f>
        <v>0</v>
      </c>
      <c r="DH59" s="59">
        <f t="shared" si="331"/>
        <v>0</v>
      </c>
      <c r="DI59" s="60">
        <f>+CA59*EL59</f>
        <v>0</v>
      </c>
      <c r="DJ59" s="59">
        <f t="shared" si="332"/>
        <v>0</v>
      </c>
      <c r="DK59" s="55">
        <f>+CA59*EM59</f>
        <v>0</v>
      </c>
      <c r="DL59" s="59">
        <f t="shared" si="333"/>
        <v>0</v>
      </c>
      <c r="DM59" s="60">
        <f>+CA59*EN59</f>
        <v>0</v>
      </c>
      <c r="DN59" s="59">
        <f t="shared" si="334"/>
        <v>0</v>
      </c>
      <c r="DO59" s="60">
        <f>+CA59*EO59</f>
        <v>0</v>
      </c>
      <c r="DP59" s="59">
        <f t="shared" si="335"/>
        <v>0</v>
      </c>
      <c r="DQ59" s="55">
        <f>+CA59*EP59</f>
        <v>0</v>
      </c>
      <c r="DR59" s="59">
        <f t="shared" si="336"/>
        <v>0</v>
      </c>
      <c r="DU59" s="55">
        <v>1</v>
      </c>
      <c r="DV59" s="55">
        <v>0.97</v>
      </c>
      <c r="DW59" s="55">
        <v>0.95</v>
      </c>
      <c r="DX59" s="55">
        <v>0.93</v>
      </c>
      <c r="DY59" s="55">
        <f t="shared" si="283"/>
        <v>0.91</v>
      </c>
      <c r="DZ59" s="55">
        <f t="shared" si="283"/>
        <v>0.89</v>
      </c>
      <c r="EA59" s="55">
        <f t="shared" si="283"/>
        <v>0.87</v>
      </c>
      <c r="EB59" s="55">
        <f t="shared" si="283"/>
        <v>0.85</v>
      </c>
      <c r="EC59" s="55">
        <f t="shared" si="283"/>
        <v>0.83</v>
      </c>
      <c r="ED59" s="55">
        <f t="shared" si="283"/>
        <v>0.80999999999999994</v>
      </c>
      <c r="EE59" s="55">
        <f t="shared" si="283"/>
        <v>0.78999999999999992</v>
      </c>
      <c r="EF59" s="55">
        <f t="shared" si="283"/>
        <v>0.76999999999999991</v>
      </c>
      <c r="EG59" s="55">
        <f t="shared" si="283"/>
        <v>0.74999999999999989</v>
      </c>
      <c r="EH59" s="55">
        <f t="shared" si="283"/>
        <v>0.72999999999999987</v>
      </c>
      <c r="EI59" s="55">
        <f t="shared" si="283"/>
        <v>0.70999999999999985</v>
      </c>
      <c r="EJ59" s="55">
        <f t="shared" si="283"/>
        <v>0.68999999999999984</v>
      </c>
      <c r="EK59" s="55">
        <f t="shared" si="283"/>
        <v>0.66999999999999982</v>
      </c>
      <c r="EL59" s="55">
        <f t="shared" si="283"/>
        <v>0.6499999999999998</v>
      </c>
      <c r="EM59" s="55">
        <f t="shared" si="283"/>
        <v>0.62999999999999978</v>
      </c>
      <c r="EN59" s="55">
        <f t="shared" si="283"/>
        <v>0.60999999999999976</v>
      </c>
      <c r="EO59" s="55">
        <f t="shared" si="283"/>
        <v>0.58999999999999975</v>
      </c>
      <c r="EP59" s="55">
        <f t="shared" si="283"/>
        <v>0.56999999999999973</v>
      </c>
      <c r="ER59" s="55">
        <f t="shared" si="142"/>
        <v>0</v>
      </c>
      <c r="ES59" s="55">
        <f t="shared" si="116"/>
        <v>0</v>
      </c>
      <c r="ET59" s="59">
        <f t="shared" si="337"/>
        <v>0</v>
      </c>
      <c r="EU59" s="55">
        <f t="shared" si="338"/>
        <v>0</v>
      </c>
      <c r="EV59" s="59">
        <f t="shared" si="339"/>
        <v>0</v>
      </c>
      <c r="EW59" s="55">
        <f t="shared" si="340"/>
        <v>0</v>
      </c>
      <c r="EX59" s="59">
        <f t="shared" si="341"/>
        <v>0</v>
      </c>
      <c r="EY59" s="55">
        <f>+ES59*GP59</f>
        <v>0</v>
      </c>
      <c r="EZ59" s="59">
        <f t="shared" si="342"/>
        <v>0</v>
      </c>
      <c r="FA59" s="57">
        <f>+ES59*GQ59</f>
        <v>0</v>
      </c>
      <c r="FB59" s="59">
        <f t="shared" si="343"/>
        <v>0</v>
      </c>
      <c r="FC59" s="55">
        <f>+ES59*GR59</f>
        <v>0</v>
      </c>
      <c r="FD59" s="59">
        <f t="shared" si="344"/>
        <v>0</v>
      </c>
      <c r="FE59" s="57">
        <f>+ES59*GS59</f>
        <v>0</v>
      </c>
      <c r="FF59" s="59">
        <f t="shared" si="345"/>
        <v>0</v>
      </c>
      <c r="FG59" s="60">
        <f>+ES59*GT59</f>
        <v>0</v>
      </c>
      <c r="FH59" s="59">
        <f t="shared" si="346"/>
        <v>0</v>
      </c>
      <c r="FI59" s="57">
        <f>+ES59*GU59</f>
        <v>0</v>
      </c>
      <c r="FJ59" s="59">
        <f t="shared" si="347"/>
        <v>0</v>
      </c>
      <c r="FK59" s="55">
        <f>+ES59*GV59</f>
        <v>0</v>
      </c>
      <c r="FL59" s="59">
        <f t="shared" si="348"/>
        <v>0</v>
      </c>
      <c r="FM59" s="60">
        <f>+ES59*GW59</f>
        <v>0</v>
      </c>
      <c r="FN59" s="59">
        <f t="shared" si="349"/>
        <v>0</v>
      </c>
      <c r="FO59" s="60">
        <f>+ES59*GX59</f>
        <v>0</v>
      </c>
      <c r="FP59" s="59">
        <f t="shared" si="350"/>
        <v>0</v>
      </c>
      <c r="FQ59" s="60">
        <f>+ES59*GY59</f>
        <v>0</v>
      </c>
      <c r="FR59" s="59">
        <f t="shared" si="351"/>
        <v>0</v>
      </c>
      <c r="FS59" s="55">
        <f>+ES59*GZ59</f>
        <v>0</v>
      </c>
      <c r="FT59" s="59">
        <f t="shared" si="352"/>
        <v>0</v>
      </c>
      <c r="FU59" s="60">
        <f>+ES59*HA59</f>
        <v>0</v>
      </c>
      <c r="FV59" s="59">
        <f t="shared" si="353"/>
        <v>0</v>
      </c>
      <c r="FW59" s="60">
        <f>+ES59*HB59</f>
        <v>0</v>
      </c>
      <c r="FX59" s="59">
        <f t="shared" si="354"/>
        <v>0</v>
      </c>
      <c r="FY59" s="60">
        <f>+ES59*HC59</f>
        <v>0</v>
      </c>
      <c r="FZ59" s="59">
        <f t="shared" si="355"/>
        <v>0</v>
      </c>
      <c r="GA59" s="60">
        <f>+ES59*HD59</f>
        <v>0</v>
      </c>
      <c r="GB59" s="59">
        <f t="shared" si="356"/>
        <v>0</v>
      </c>
      <c r="GC59" s="55">
        <f>+ES59*HE59</f>
        <v>0</v>
      </c>
      <c r="GD59" s="59">
        <f t="shared" si="357"/>
        <v>0</v>
      </c>
      <c r="GE59" s="60">
        <f>+ES59*HF59</f>
        <v>0</v>
      </c>
      <c r="GF59" s="59">
        <f t="shared" si="358"/>
        <v>0</v>
      </c>
      <c r="GG59" s="60">
        <f>+ES59*HG59</f>
        <v>0</v>
      </c>
      <c r="GH59" s="59">
        <f t="shared" si="359"/>
        <v>0</v>
      </c>
      <c r="GI59" s="55">
        <f>+ES59*HH59</f>
        <v>0</v>
      </c>
      <c r="GJ59" s="59">
        <f t="shared" si="360"/>
        <v>0</v>
      </c>
      <c r="GK59" s="55"/>
      <c r="GL59" s="55"/>
      <c r="GM59" s="55">
        <v>1</v>
      </c>
      <c r="GN59" s="55">
        <v>0.97</v>
      </c>
      <c r="GO59" s="55">
        <v>0.95</v>
      </c>
      <c r="GP59" s="55">
        <v>0.93</v>
      </c>
      <c r="GQ59" s="55">
        <f t="shared" si="284"/>
        <v>0.91</v>
      </c>
      <c r="GR59" s="55">
        <f t="shared" si="284"/>
        <v>0.89</v>
      </c>
      <c r="GS59" s="55">
        <f t="shared" si="284"/>
        <v>0.87</v>
      </c>
      <c r="GT59" s="55">
        <f t="shared" si="284"/>
        <v>0.85</v>
      </c>
      <c r="GU59" s="55">
        <f t="shared" si="284"/>
        <v>0.83</v>
      </c>
      <c r="GV59" s="55">
        <f t="shared" si="284"/>
        <v>0.80999999999999994</v>
      </c>
      <c r="GW59" s="55">
        <f t="shared" si="284"/>
        <v>0.78999999999999992</v>
      </c>
      <c r="GX59" s="55">
        <f t="shared" si="284"/>
        <v>0.76999999999999991</v>
      </c>
      <c r="GY59" s="55">
        <f t="shared" si="284"/>
        <v>0.74999999999999989</v>
      </c>
      <c r="GZ59" s="55">
        <f t="shared" si="284"/>
        <v>0.72999999999999987</v>
      </c>
      <c r="HA59" s="55">
        <f t="shared" si="284"/>
        <v>0.70999999999999985</v>
      </c>
      <c r="HB59" s="55">
        <f t="shared" si="284"/>
        <v>0.68999999999999984</v>
      </c>
      <c r="HC59" s="55">
        <f t="shared" si="284"/>
        <v>0.66999999999999982</v>
      </c>
      <c r="HD59" s="55">
        <f t="shared" si="284"/>
        <v>0.6499999999999998</v>
      </c>
      <c r="HE59" s="55">
        <f t="shared" si="284"/>
        <v>0.62999999999999978</v>
      </c>
      <c r="HF59" s="55">
        <f t="shared" si="284"/>
        <v>0.60999999999999976</v>
      </c>
      <c r="HG59" s="55">
        <f t="shared" si="284"/>
        <v>0.58999999999999975</v>
      </c>
      <c r="HH59" s="55">
        <f t="shared" si="284"/>
        <v>0.56999999999999973</v>
      </c>
    </row>
    <row r="60" spans="1:216" x14ac:dyDescent="0.3">
      <c r="A60" s="2">
        <v>4</v>
      </c>
      <c r="C60" s="27" t="s">
        <v>113</v>
      </c>
      <c r="D60" s="39">
        <f>SUM(D57:D59)</f>
        <v>123200</v>
      </c>
      <c r="E60" s="73">
        <f>SUM(E57:E59)</f>
        <v>407270</v>
      </c>
      <c r="H60" s="55">
        <f t="shared" si="61"/>
        <v>447997.00000000006</v>
      </c>
      <c r="I60" s="55">
        <f t="shared" si="62"/>
        <v>447997.00000000006</v>
      </c>
      <c r="J60" s="59">
        <f t="shared" si="63"/>
        <v>1480988.4826000002</v>
      </c>
      <c r="K60" s="55">
        <f t="shared" si="289"/>
        <v>434557.09</v>
      </c>
      <c r="L60" s="59">
        <f t="shared" si="290"/>
        <v>1436558.8281220002</v>
      </c>
      <c r="M60" s="55">
        <f t="shared" si="291"/>
        <v>425597.15</v>
      </c>
      <c r="N60" s="59">
        <f t="shared" si="292"/>
        <v>1406939.05847</v>
      </c>
      <c r="O60" s="55">
        <f>+I60*BF60</f>
        <v>416637.21000000008</v>
      </c>
      <c r="P60" s="59">
        <f t="shared" si="293"/>
        <v>1377319.2888180004</v>
      </c>
      <c r="Q60" s="57">
        <f>+I60*BG60</f>
        <v>407677.27000000008</v>
      </c>
      <c r="R60" s="59">
        <f t="shared" si="294"/>
        <v>1347699.5191660002</v>
      </c>
      <c r="S60" s="55">
        <f>+I60*BH60</f>
        <v>398717.33000000007</v>
      </c>
      <c r="T60" s="59">
        <f t="shared" si="295"/>
        <v>1318079.7495140003</v>
      </c>
      <c r="U60" s="57">
        <f>+I60*BI60</f>
        <v>389757.39000000007</v>
      </c>
      <c r="V60" s="59">
        <f t="shared" si="296"/>
        <v>1288459.9798620003</v>
      </c>
      <c r="W60" s="60">
        <f>+I60*BJ60</f>
        <v>380797.45</v>
      </c>
      <c r="X60" s="59">
        <f t="shared" si="297"/>
        <v>1258840.2102100002</v>
      </c>
      <c r="Y60" s="57">
        <f>+I60*BK60</f>
        <v>371837.51</v>
      </c>
      <c r="Z60" s="59">
        <f t="shared" si="298"/>
        <v>1229220.440558</v>
      </c>
      <c r="AA60" s="55">
        <f>+I60*BL60</f>
        <v>362877.57</v>
      </c>
      <c r="AB60" s="59">
        <f t="shared" si="299"/>
        <v>1199600.6709060001</v>
      </c>
      <c r="AC60" s="60">
        <f>+I60*BM60</f>
        <v>353917.63</v>
      </c>
      <c r="AD60" s="59">
        <f t="shared" si="300"/>
        <v>1169980.9012540001</v>
      </c>
      <c r="AE60" s="60">
        <f>+I60*BN60</f>
        <v>344957.69</v>
      </c>
      <c r="AF60" s="59">
        <f t="shared" si="301"/>
        <v>1140361.131602</v>
      </c>
      <c r="AG60" s="60">
        <f>+I60*BO60</f>
        <v>335997.75</v>
      </c>
      <c r="AH60" s="59">
        <f t="shared" si="302"/>
        <v>1110741.36195</v>
      </c>
      <c r="AI60" s="55">
        <f>+I60*BP60</f>
        <v>327037.81</v>
      </c>
      <c r="AJ60" s="59">
        <f t="shared" si="303"/>
        <v>1081121.5922980001</v>
      </c>
      <c r="AK60" s="60">
        <f>+I60*BQ60</f>
        <v>318077.87</v>
      </c>
      <c r="AL60" s="59">
        <f t="shared" si="304"/>
        <v>1051501.822646</v>
      </c>
      <c r="AM60" s="60">
        <f>+I60*BR60</f>
        <v>309117.93</v>
      </c>
      <c r="AN60" s="59">
        <f t="shared" si="305"/>
        <v>1021882.052994</v>
      </c>
      <c r="AO60" s="60">
        <f>+I60*BS60</f>
        <v>300157.98999999993</v>
      </c>
      <c r="AP60" s="59">
        <f t="shared" si="306"/>
        <v>992262.28334199975</v>
      </c>
      <c r="AQ60" s="60">
        <f>+I60*BT60</f>
        <v>291198.04999999993</v>
      </c>
      <c r="AR60" s="59">
        <f t="shared" si="307"/>
        <v>962642.51368999982</v>
      </c>
      <c r="AS60" s="55">
        <f>+I60*BU60</f>
        <v>282238.10999999993</v>
      </c>
      <c r="AT60" s="59">
        <f t="shared" si="308"/>
        <v>933022.74403799977</v>
      </c>
      <c r="AU60" s="60">
        <f>+I60*BV60</f>
        <v>273278.16999999993</v>
      </c>
      <c r="AV60" s="59">
        <f t="shared" si="309"/>
        <v>903402.97438599973</v>
      </c>
      <c r="AW60" s="60">
        <f>+I60*BW60</f>
        <v>264318.22999999992</v>
      </c>
      <c r="AX60" s="59">
        <f t="shared" si="310"/>
        <v>873783.2047339998</v>
      </c>
      <c r="AY60" s="55">
        <f>+I60*BX60</f>
        <v>255358.28999999992</v>
      </c>
      <c r="AZ60" s="59">
        <f t="shared" si="311"/>
        <v>844163.43508199975</v>
      </c>
      <c r="BC60" s="55">
        <v>1</v>
      </c>
      <c r="BD60" s="55">
        <v>0.97</v>
      </c>
      <c r="BE60" s="55">
        <v>0.95</v>
      </c>
      <c r="BF60" s="55">
        <v>0.93</v>
      </c>
      <c r="BG60" s="55">
        <f t="shared" si="312"/>
        <v>0.91</v>
      </c>
      <c r="BH60" s="55">
        <f t="shared" si="312"/>
        <v>0.89</v>
      </c>
      <c r="BI60" s="55">
        <f t="shared" si="312"/>
        <v>0.87</v>
      </c>
      <c r="BJ60" s="55">
        <f t="shared" si="312"/>
        <v>0.85</v>
      </c>
      <c r="BK60" s="55">
        <f t="shared" si="312"/>
        <v>0.83</v>
      </c>
      <c r="BL60" s="55">
        <f t="shared" si="312"/>
        <v>0.80999999999999994</v>
      </c>
      <c r="BM60" s="55">
        <f t="shared" si="312"/>
        <v>0.78999999999999992</v>
      </c>
      <c r="BN60" s="55">
        <f t="shared" si="312"/>
        <v>0.76999999999999991</v>
      </c>
      <c r="BO60" s="55">
        <f t="shared" si="312"/>
        <v>0.74999999999999989</v>
      </c>
      <c r="BP60" s="55">
        <f t="shared" si="312"/>
        <v>0.72999999999999987</v>
      </c>
      <c r="BQ60" s="55">
        <f t="shared" si="312"/>
        <v>0.70999999999999985</v>
      </c>
      <c r="BR60" s="55">
        <f t="shared" si="312"/>
        <v>0.68999999999999984</v>
      </c>
      <c r="BS60" s="55">
        <f t="shared" si="312"/>
        <v>0.66999999999999982</v>
      </c>
      <c r="BT60" s="55">
        <f t="shared" si="312"/>
        <v>0.6499999999999998</v>
      </c>
      <c r="BU60" s="55">
        <f t="shared" si="312"/>
        <v>0.62999999999999978</v>
      </c>
      <c r="BV60" s="55">
        <f t="shared" si="312"/>
        <v>0.60999999999999976</v>
      </c>
      <c r="BW60" s="55">
        <f t="shared" si="312"/>
        <v>0.58999999999999975</v>
      </c>
      <c r="BX60" s="55">
        <f t="shared" si="312"/>
        <v>0.56999999999999973</v>
      </c>
      <c r="BZ60" s="55">
        <f t="shared" si="88"/>
        <v>407677.27000000008</v>
      </c>
      <c r="CA60" s="55">
        <f t="shared" si="89"/>
        <v>407677.27000000008</v>
      </c>
      <c r="CB60" s="59">
        <f t="shared" si="313"/>
        <v>1347699.5191660002</v>
      </c>
      <c r="CC60" s="55">
        <f t="shared" si="314"/>
        <v>395446.95190000004</v>
      </c>
      <c r="CD60" s="59">
        <f t="shared" si="315"/>
        <v>1307268.5335910202</v>
      </c>
      <c r="CE60" s="55">
        <f t="shared" si="316"/>
        <v>387293.40650000004</v>
      </c>
      <c r="CF60" s="59">
        <f t="shared" si="317"/>
        <v>1280314.5432077001</v>
      </c>
      <c r="CG60" s="55">
        <f>+CA60*DX60</f>
        <v>379139.8611000001</v>
      </c>
      <c r="CH60" s="59">
        <f t="shared" si="318"/>
        <v>1253360.5528243803</v>
      </c>
      <c r="CI60" s="57">
        <f>+CA60*DY60</f>
        <v>370986.31570000009</v>
      </c>
      <c r="CJ60" s="59">
        <f t="shared" si="319"/>
        <v>1226406.5624410603</v>
      </c>
      <c r="CK60" s="55">
        <f>+CA60*DZ60</f>
        <v>362832.77030000009</v>
      </c>
      <c r="CL60" s="59">
        <f t="shared" si="320"/>
        <v>1199452.5720577403</v>
      </c>
      <c r="CM60" s="57">
        <f>+CA60*EA60</f>
        <v>354679.22490000009</v>
      </c>
      <c r="CN60" s="59">
        <f t="shared" si="321"/>
        <v>1172498.5816744203</v>
      </c>
      <c r="CO60" s="60">
        <f>+CA60*EB60</f>
        <v>346525.67950000003</v>
      </c>
      <c r="CP60" s="59">
        <f t="shared" si="322"/>
        <v>1145544.5912911</v>
      </c>
      <c r="CQ60" s="57">
        <f>+CA60*EC60</f>
        <v>338372.13410000002</v>
      </c>
      <c r="CR60" s="59">
        <f t="shared" si="323"/>
        <v>1118590.60090778</v>
      </c>
      <c r="CS60" s="55">
        <f>+CA60*ED60</f>
        <v>330218.58870000002</v>
      </c>
      <c r="CT60" s="59">
        <f t="shared" si="324"/>
        <v>1091636.6105244602</v>
      </c>
      <c r="CU60" s="60">
        <f>+CA60*EE60</f>
        <v>322065.04330000002</v>
      </c>
      <c r="CV60" s="59">
        <f t="shared" si="325"/>
        <v>1064682.6201411402</v>
      </c>
      <c r="CW60" s="60">
        <f>+CA60*EF60</f>
        <v>313911.49790000002</v>
      </c>
      <c r="CX60" s="59">
        <f t="shared" si="326"/>
        <v>1037728.62975782</v>
      </c>
      <c r="CY60" s="60">
        <f>+CA60*EG60</f>
        <v>305757.95250000001</v>
      </c>
      <c r="CZ60" s="59">
        <f t="shared" si="327"/>
        <v>1010774.6393745</v>
      </c>
      <c r="DA60" s="55">
        <f>+CA60*EH60</f>
        <v>297604.40710000001</v>
      </c>
      <c r="DB60" s="59">
        <f t="shared" si="328"/>
        <v>983820.64899118</v>
      </c>
      <c r="DC60" s="60">
        <f>+CA60*EI60</f>
        <v>289450.86170000001</v>
      </c>
      <c r="DD60" s="59">
        <f t="shared" si="329"/>
        <v>956866.6586078601</v>
      </c>
      <c r="DE60" s="60">
        <f>+CA60*EJ60</f>
        <v>281297.31630000001</v>
      </c>
      <c r="DF60" s="59">
        <f t="shared" si="330"/>
        <v>929912.66822454007</v>
      </c>
      <c r="DG60" s="60">
        <f>+CA60*EK60</f>
        <v>273143.7709</v>
      </c>
      <c r="DH60" s="59">
        <f t="shared" si="331"/>
        <v>902958.67784122005</v>
      </c>
      <c r="DI60" s="60">
        <f>+CA60*EL60</f>
        <v>264990.22549999994</v>
      </c>
      <c r="DJ60" s="59">
        <f t="shared" si="332"/>
        <v>876004.6874578998</v>
      </c>
      <c r="DK60" s="55">
        <f>+CA60*EM60</f>
        <v>256836.68009999997</v>
      </c>
      <c r="DL60" s="59">
        <f t="shared" si="333"/>
        <v>849050.69707457989</v>
      </c>
      <c r="DM60" s="60">
        <f>+CA60*EN60</f>
        <v>248683.13469999994</v>
      </c>
      <c r="DN60" s="59">
        <f t="shared" si="334"/>
        <v>822096.70669125975</v>
      </c>
      <c r="DO60" s="60">
        <f>+CA60*EO60</f>
        <v>240529.58929999993</v>
      </c>
      <c r="DP60" s="59">
        <f t="shared" si="335"/>
        <v>795142.71630793985</v>
      </c>
      <c r="DQ60" s="55">
        <f>+CA60*EP60</f>
        <v>232376.04389999993</v>
      </c>
      <c r="DR60" s="59">
        <f t="shared" si="336"/>
        <v>768188.72592461982</v>
      </c>
      <c r="DU60" s="55">
        <v>1</v>
      </c>
      <c r="DV60" s="55">
        <v>0.97</v>
      </c>
      <c r="DW60" s="55">
        <v>0.95</v>
      </c>
      <c r="DX60" s="55">
        <v>0.93</v>
      </c>
      <c r="DY60" s="55">
        <f t="shared" si="283"/>
        <v>0.91</v>
      </c>
      <c r="DZ60" s="55">
        <f t="shared" si="283"/>
        <v>0.89</v>
      </c>
      <c r="EA60" s="55">
        <f t="shared" si="283"/>
        <v>0.87</v>
      </c>
      <c r="EB60" s="55">
        <f t="shared" si="283"/>
        <v>0.85</v>
      </c>
      <c r="EC60" s="55">
        <f t="shared" si="283"/>
        <v>0.83</v>
      </c>
      <c r="ED60" s="55">
        <f t="shared" si="283"/>
        <v>0.80999999999999994</v>
      </c>
      <c r="EE60" s="55">
        <f t="shared" si="283"/>
        <v>0.78999999999999992</v>
      </c>
      <c r="EF60" s="55">
        <f t="shared" si="283"/>
        <v>0.76999999999999991</v>
      </c>
      <c r="EG60" s="55">
        <f t="shared" si="283"/>
        <v>0.74999999999999989</v>
      </c>
      <c r="EH60" s="55">
        <f t="shared" si="283"/>
        <v>0.72999999999999987</v>
      </c>
      <c r="EI60" s="55">
        <f t="shared" si="283"/>
        <v>0.70999999999999985</v>
      </c>
      <c r="EJ60" s="55">
        <f t="shared" si="283"/>
        <v>0.68999999999999984</v>
      </c>
      <c r="EK60" s="55">
        <f t="shared" si="283"/>
        <v>0.66999999999999982</v>
      </c>
      <c r="EL60" s="55">
        <f t="shared" si="283"/>
        <v>0.6499999999999998</v>
      </c>
      <c r="EM60" s="55">
        <f t="shared" si="283"/>
        <v>0.62999999999999978</v>
      </c>
      <c r="EN60" s="55">
        <f t="shared" si="283"/>
        <v>0.60999999999999976</v>
      </c>
      <c r="EO60" s="55">
        <f t="shared" si="283"/>
        <v>0.58999999999999975</v>
      </c>
      <c r="EP60" s="55">
        <f t="shared" si="283"/>
        <v>0.56999999999999973</v>
      </c>
      <c r="ER60" s="55">
        <f t="shared" si="142"/>
        <v>370986.31570000009</v>
      </c>
      <c r="ES60" s="55">
        <f t="shared" si="116"/>
        <v>370986.31570000009</v>
      </c>
      <c r="ET60" s="59">
        <f t="shared" si="337"/>
        <v>1226406.5624410603</v>
      </c>
      <c r="EU60" s="55">
        <f t="shared" si="338"/>
        <v>359856.72622900008</v>
      </c>
      <c r="EV60" s="59">
        <f t="shared" si="339"/>
        <v>1189614.3655678285</v>
      </c>
      <c r="EW60" s="55">
        <f t="shared" si="340"/>
        <v>352436.99991500005</v>
      </c>
      <c r="EX60" s="59">
        <f t="shared" si="341"/>
        <v>1165086.2343190073</v>
      </c>
      <c r="EY60" s="55">
        <f>+ES60*GP60</f>
        <v>345017.27360100008</v>
      </c>
      <c r="EZ60" s="59">
        <f t="shared" si="342"/>
        <v>1140558.103070186</v>
      </c>
      <c r="FA60" s="57">
        <f>+ES60*GQ60</f>
        <v>337597.54728700011</v>
      </c>
      <c r="FB60" s="59">
        <f t="shared" si="343"/>
        <v>1116029.9718213649</v>
      </c>
      <c r="FC60" s="55">
        <f>+ES60*GR60</f>
        <v>330177.82097300008</v>
      </c>
      <c r="FD60" s="59">
        <f t="shared" si="344"/>
        <v>1091501.8405725437</v>
      </c>
      <c r="FE60" s="57">
        <f>+ES60*GS60</f>
        <v>322758.09465900005</v>
      </c>
      <c r="FF60" s="59">
        <f t="shared" si="345"/>
        <v>1066973.7093237224</v>
      </c>
      <c r="FG60" s="60">
        <f>+ES60*GT60</f>
        <v>315338.36834500008</v>
      </c>
      <c r="FH60" s="59">
        <f t="shared" si="346"/>
        <v>1042445.5780749012</v>
      </c>
      <c r="FI60" s="57">
        <f>+ES60*GU60</f>
        <v>307918.64203100005</v>
      </c>
      <c r="FJ60" s="59">
        <f t="shared" si="347"/>
        <v>1017917.44682608</v>
      </c>
      <c r="FK60" s="55">
        <f>+ES60*GV60</f>
        <v>300498.91571700008</v>
      </c>
      <c r="FL60" s="59">
        <f t="shared" si="348"/>
        <v>993389.31557725894</v>
      </c>
      <c r="FM60" s="60">
        <f>+ES60*GW60</f>
        <v>293079.18940300005</v>
      </c>
      <c r="FN60" s="59">
        <f t="shared" si="349"/>
        <v>968861.18432843755</v>
      </c>
      <c r="FO60" s="60">
        <f>+ES60*GX60</f>
        <v>285659.46308900003</v>
      </c>
      <c r="FP60" s="59">
        <f t="shared" si="350"/>
        <v>944333.05307961628</v>
      </c>
      <c r="FQ60" s="60">
        <f>+ES60*GY60</f>
        <v>278239.73677500006</v>
      </c>
      <c r="FR60" s="59">
        <f t="shared" si="351"/>
        <v>919804.92183079524</v>
      </c>
      <c r="FS60" s="55">
        <f>+ES60*GZ60</f>
        <v>270820.01046100003</v>
      </c>
      <c r="FT60" s="59">
        <f t="shared" si="352"/>
        <v>895276.79058197385</v>
      </c>
      <c r="FU60" s="60">
        <f>+ES60*HA60</f>
        <v>263400.284147</v>
      </c>
      <c r="FV60" s="59">
        <f t="shared" si="353"/>
        <v>870748.65933315258</v>
      </c>
      <c r="FW60" s="60">
        <f>+ES60*HB60</f>
        <v>255980.557833</v>
      </c>
      <c r="FX60" s="59">
        <f t="shared" si="354"/>
        <v>846220.52808433142</v>
      </c>
      <c r="FY60" s="60">
        <f>+ES60*HC60</f>
        <v>248560.831519</v>
      </c>
      <c r="FZ60" s="59">
        <f t="shared" si="355"/>
        <v>821692.39683551027</v>
      </c>
      <c r="GA60" s="60">
        <f>+ES60*HD60</f>
        <v>241141.105205</v>
      </c>
      <c r="GB60" s="59">
        <f t="shared" si="356"/>
        <v>797164.265586689</v>
      </c>
      <c r="GC60" s="55">
        <f>+ES60*HE60</f>
        <v>233721.37889099997</v>
      </c>
      <c r="GD60" s="59">
        <f t="shared" si="357"/>
        <v>772636.13433786773</v>
      </c>
      <c r="GE60" s="60">
        <f>+ES60*HF60</f>
        <v>226301.65257699997</v>
      </c>
      <c r="GF60" s="59">
        <f t="shared" si="358"/>
        <v>748108.00308904657</v>
      </c>
      <c r="GG60" s="60">
        <f>+ES60*HG60</f>
        <v>218881.92626299997</v>
      </c>
      <c r="GH60" s="59">
        <f t="shared" si="359"/>
        <v>723579.8718402253</v>
      </c>
      <c r="GI60" s="55">
        <f>+ES60*HH60</f>
        <v>211462.19994899994</v>
      </c>
      <c r="GJ60" s="59">
        <f t="shared" si="360"/>
        <v>699051.74059140403</v>
      </c>
      <c r="GK60" s="55"/>
      <c r="GL60" s="55"/>
      <c r="GM60" s="55">
        <v>1</v>
      </c>
      <c r="GN60" s="55">
        <v>0.97</v>
      </c>
      <c r="GO60" s="55">
        <v>0.95</v>
      </c>
      <c r="GP60" s="55">
        <v>0.93</v>
      </c>
      <c r="GQ60" s="55">
        <f t="shared" si="284"/>
        <v>0.91</v>
      </c>
      <c r="GR60" s="55">
        <f t="shared" si="284"/>
        <v>0.89</v>
      </c>
      <c r="GS60" s="55">
        <f t="shared" si="284"/>
        <v>0.87</v>
      </c>
      <c r="GT60" s="55">
        <f t="shared" si="284"/>
        <v>0.85</v>
      </c>
      <c r="GU60" s="55">
        <f t="shared" si="284"/>
        <v>0.83</v>
      </c>
      <c r="GV60" s="55">
        <f t="shared" si="284"/>
        <v>0.80999999999999994</v>
      </c>
      <c r="GW60" s="55">
        <f t="shared" si="284"/>
        <v>0.78999999999999992</v>
      </c>
      <c r="GX60" s="55">
        <f t="shared" si="284"/>
        <v>0.76999999999999991</v>
      </c>
      <c r="GY60" s="55">
        <f t="shared" si="284"/>
        <v>0.74999999999999989</v>
      </c>
      <c r="GZ60" s="55">
        <f t="shared" si="284"/>
        <v>0.72999999999999987</v>
      </c>
      <c r="HA60" s="55">
        <f t="shared" si="284"/>
        <v>0.70999999999999985</v>
      </c>
      <c r="HB60" s="55">
        <f t="shared" si="284"/>
        <v>0.68999999999999984</v>
      </c>
      <c r="HC60" s="55">
        <f t="shared" si="284"/>
        <v>0.66999999999999982</v>
      </c>
      <c r="HD60" s="55">
        <f t="shared" si="284"/>
        <v>0.6499999999999998</v>
      </c>
      <c r="HE60" s="55">
        <f t="shared" si="284"/>
        <v>0.62999999999999978</v>
      </c>
      <c r="HF60" s="55">
        <f t="shared" si="284"/>
        <v>0.60999999999999976</v>
      </c>
      <c r="HG60" s="55">
        <f t="shared" si="284"/>
        <v>0.58999999999999975</v>
      </c>
      <c r="HH60" s="55">
        <f t="shared" si="284"/>
        <v>0.56999999999999973</v>
      </c>
    </row>
    <row r="61" spans="1:216" s="64" customFormat="1" x14ac:dyDescent="0.3">
      <c r="C61" s="65"/>
      <c r="D61" s="65"/>
      <c r="E61" s="65"/>
      <c r="G61" s="61"/>
      <c r="H61" s="61"/>
      <c r="I61" s="61"/>
      <c r="J61" s="61"/>
      <c r="K61" s="61"/>
      <c r="L61" s="61"/>
      <c r="M61" s="61"/>
      <c r="N61" s="61"/>
      <c r="O61" s="61"/>
      <c r="P61" s="62"/>
      <c r="Q61" s="61"/>
      <c r="R61" s="61"/>
      <c r="S61" s="61"/>
      <c r="T61" s="62"/>
      <c r="U61" s="61"/>
      <c r="V61" s="63"/>
      <c r="W61" s="61"/>
      <c r="X61" s="62"/>
      <c r="Y61" s="61"/>
      <c r="Z61" s="61"/>
      <c r="AA61" s="61"/>
      <c r="AB61" s="63"/>
      <c r="AC61" s="61"/>
      <c r="AD61" s="63"/>
      <c r="AE61" s="61"/>
      <c r="AF61" s="63"/>
      <c r="AG61" s="61"/>
      <c r="AH61" s="61"/>
      <c r="AI61" s="61"/>
      <c r="AJ61" s="63"/>
      <c r="AK61" s="61"/>
      <c r="AL61" s="63"/>
      <c r="AM61" s="61"/>
      <c r="AN61" s="63"/>
      <c r="AO61" s="61"/>
      <c r="AP61" s="63"/>
      <c r="AQ61" s="61"/>
      <c r="AR61" s="61"/>
      <c r="AS61" s="61"/>
      <c r="AT61" s="63"/>
      <c r="AU61" s="61"/>
      <c r="AV61" s="63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>
        <f t="shared" ref="BY61:BY62" si="361">+G61*0.91</f>
        <v>0</v>
      </c>
      <c r="BZ61" s="61"/>
      <c r="CA61" s="61"/>
      <c r="CB61" s="61"/>
      <c r="CC61" s="61"/>
      <c r="CD61" s="61"/>
      <c r="CE61" s="61"/>
      <c r="CF61" s="61"/>
      <c r="CG61" s="61"/>
      <c r="CH61" s="62"/>
      <c r="CI61" s="61"/>
      <c r="CJ61" s="61"/>
      <c r="CK61" s="61"/>
      <c r="CL61" s="62"/>
      <c r="CM61" s="61"/>
      <c r="CN61" s="63"/>
      <c r="CO61" s="61"/>
      <c r="CP61" s="62"/>
      <c r="CQ61" s="61"/>
      <c r="CR61" s="61"/>
      <c r="CS61" s="61"/>
      <c r="CT61" s="63"/>
      <c r="CU61" s="61"/>
      <c r="CV61" s="63"/>
      <c r="CW61" s="61"/>
      <c r="CX61" s="63"/>
      <c r="CY61" s="61"/>
      <c r="CZ61" s="61"/>
      <c r="DA61" s="61"/>
      <c r="DB61" s="63"/>
      <c r="DC61" s="61"/>
      <c r="DD61" s="63"/>
      <c r="DE61" s="61"/>
      <c r="DF61" s="63"/>
      <c r="DG61" s="61"/>
      <c r="DH61" s="63"/>
      <c r="DI61" s="61"/>
      <c r="DJ61" s="61"/>
      <c r="DK61" s="61"/>
      <c r="DL61" s="63"/>
      <c r="DM61" s="61"/>
      <c r="DN61" s="63"/>
      <c r="DO61" s="61"/>
      <c r="DP61" s="61"/>
      <c r="DQ61" s="61"/>
      <c r="DR61" s="61"/>
      <c r="DS61" s="61"/>
      <c r="DT61" s="61">
        <v>1</v>
      </c>
      <c r="DU61" s="61">
        <v>0.97</v>
      </c>
      <c r="DV61" s="61">
        <v>0.95</v>
      </c>
      <c r="DW61" s="61">
        <v>0.93</v>
      </c>
      <c r="DX61" s="61">
        <f t="shared" ref="DX61:EO62" si="362">+DW61-0.02</f>
        <v>0.91</v>
      </c>
      <c r="DY61" s="61">
        <f t="shared" si="362"/>
        <v>0.89</v>
      </c>
      <c r="DZ61" s="61">
        <f t="shared" si="362"/>
        <v>0.87</v>
      </c>
      <c r="EA61" s="61">
        <f t="shared" si="362"/>
        <v>0.85</v>
      </c>
      <c r="EB61" s="61">
        <f t="shared" si="362"/>
        <v>0.83</v>
      </c>
      <c r="EC61" s="61">
        <f t="shared" si="362"/>
        <v>0.80999999999999994</v>
      </c>
      <c r="ED61" s="61">
        <f t="shared" si="362"/>
        <v>0.78999999999999992</v>
      </c>
      <c r="EE61" s="61">
        <f t="shared" si="362"/>
        <v>0.76999999999999991</v>
      </c>
      <c r="EF61" s="61">
        <f t="shared" si="362"/>
        <v>0.74999999999999989</v>
      </c>
      <c r="EG61" s="61">
        <f t="shared" si="362"/>
        <v>0.72999999999999987</v>
      </c>
      <c r="EH61" s="61">
        <f t="shared" si="362"/>
        <v>0.70999999999999985</v>
      </c>
      <c r="EI61" s="61">
        <f t="shared" si="362"/>
        <v>0.68999999999999984</v>
      </c>
      <c r="EJ61" s="61">
        <f t="shared" si="362"/>
        <v>0.66999999999999982</v>
      </c>
      <c r="EK61" s="61">
        <f t="shared" si="362"/>
        <v>0.6499999999999998</v>
      </c>
      <c r="EL61" s="61">
        <f t="shared" si="362"/>
        <v>0.62999999999999978</v>
      </c>
      <c r="EM61" s="61">
        <f t="shared" si="362"/>
        <v>0.60999999999999976</v>
      </c>
      <c r="EN61" s="61">
        <f t="shared" si="362"/>
        <v>0.58999999999999975</v>
      </c>
      <c r="EO61" s="61">
        <f t="shared" si="362"/>
        <v>0.56999999999999973</v>
      </c>
      <c r="EQ61" s="61">
        <f t="shared" ref="EQ61:EQ62" si="363">+BY61*0.91</f>
        <v>0</v>
      </c>
      <c r="ER61" s="61"/>
      <c r="ES61" s="61"/>
      <c r="ET61" s="61"/>
      <c r="EU61" s="61"/>
      <c r="EV61" s="61"/>
      <c r="EW61" s="61"/>
      <c r="EX61" s="61"/>
      <c r="EY61" s="61"/>
      <c r="EZ61" s="62"/>
      <c r="FA61" s="61"/>
      <c r="FB61" s="61"/>
      <c r="FC61" s="61"/>
      <c r="FD61" s="62"/>
      <c r="FE61" s="61"/>
      <c r="FF61" s="63"/>
      <c r="FG61" s="61"/>
      <c r="FH61" s="62"/>
      <c r="FI61" s="61"/>
      <c r="FJ61" s="61"/>
      <c r="FK61" s="61"/>
      <c r="FL61" s="63"/>
      <c r="FM61" s="61"/>
      <c r="FN61" s="63"/>
      <c r="FO61" s="61"/>
      <c r="FP61" s="63"/>
      <c r="FQ61" s="61"/>
      <c r="FR61" s="61"/>
      <c r="FS61" s="61"/>
      <c r="FT61" s="63"/>
      <c r="FU61" s="61"/>
      <c r="FV61" s="63"/>
      <c r="FW61" s="61"/>
      <c r="FX61" s="63"/>
      <c r="FY61" s="61"/>
      <c r="FZ61" s="63"/>
      <c r="GA61" s="61"/>
      <c r="GB61" s="61"/>
      <c r="GC61" s="61"/>
      <c r="GD61" s="63"/>
      <c r="GE61" s="61"/>
      <c r="GF61" s="63"/>
      <c r="GG61" s="61"/>
      <c r="GH61" s="61"/>
      <c r="GI61" s="61"/>
      <c r="GJ61" s="61"/>
      <c r="GK61" s="61"/>
      <c r="GL61" s="61">
        <v>1</v>
      </c>
      <c r="GM61" s="61">
        <v>0.97</v>
      </c>
      <c r="GN61" s="61">
        <v>0.95</v>
      </c>
      <c r="GO61" s="61">
        <v>0.93</v>
      </c>
      <c r="GP61" s="61">
        <f t="shared" ref="GP61:HG62" si="364">+GO61-0.02</f>
        <v>0.91</v>
      </c>
      <c r="GQ61" s="61">
        <f t="shared" si="364"/>
        <v>0.89</v>
      </c>
      <c r="GR61" s="61">
        <f t="shared" si="364"/>
        <v>0.87</v>
      </c>
      <c r="GS61" s="61">
        <f t="shared" si="364"/>
        <v>0.85</v>
      </c>
      <c r="GT61" s="61">
        <f t="shared" si="364"/>
        <v>0.83</v>
      </c>
      <c r="GU61" s="61">
        <f t="shared" si="364"/>
        <v>0.80999999999999994</v>
      </c>
      <c r="GV61" s="61">
        <f t="shared" si="364"/>
        <v>0.78999999999999992</v>
      </c>
      <c r="GW61" s="61">
        <f t="shared" si="364"/>
        <v>0.76999999999999991</v>
      </c>
      <c r="GX61" s="61">
        <f t="shared" si="364"/>
        <v>0.74999999999999989</v>
      </c>
      <c r="GY61" s="61">
        <f t="shared" si="364"/>
        <v>0.72999999999999987</v>
      </c>
      <c r="GZ61" s="61">
        <f t="shared" si="364"/>
        <v>0.70999999999999985</v>
      </c>
      <c r="HA61" s="61">
        <f t="shared" si="364"/>
        <v>0.68999999999999984</v>
      </c>
      <c r="HB61" s="61">
        <f t="shared" si="364"/>
        <v>0.66999999999999982</v>
      </c>
      <c r="HC61" s="61">
        <f t="shared" si="364"/>
        <v>0.6499999999999998</v>
      </c>
      <c r="HD61" s="61">
        <f t="shared" si="364"/>
        <v>0.62999999999999978</v>
      </c>
      <c r="HE61" s="61">
        <f t="shared" si="364"/>
        <v>0.60999999999999976</v>
      </c>
      <c r="HF61" s="61">
        <f t="shared" si="364"/>
        <v>0.58999999999999975</v>
      </c>
      <c r="HG61" s="61">
        <f t="shared" si="364"/>
        <v>0.56999999999999973</v>
      </c>
    </row>
    <row r="62" spans="1:216" s="64" customFormat="1" ht="17.25" thickBot="1" x14ac:dyDescent="0.35">
      <c r="B62" s="64" t="s">
        <v>297</v>
      </c>
      <c r="C62" s="64" t="s">
        <v>298</v>
      </c>
      <c r="D62" s="65" t="s">
        <v>272</v>
      </c>
      <c r="E62" s="65" t="s">
        <v>155</v>
      </c>
      <c r="G62" s="61"/>
      <c r="H62" s="61"/>
      <c r="I62" s="61"/>
      <c r="J62" s="61"/>
      <c r="K62" s="61"/>
      <c r="L62" s="61"/>
      <c r="M62" s="61"/>
      <c r="N62" s="61"/>
      <c r="O62" s="61"/>
      <c r="P62" s="62"/>
      <c r="Q62" s="61"/>
      <c r="R62" s="61"/>
      <c r="S62" s="61"/>
      <c r="T62" s="62"/>
      <c r="U62" s="61"/>
      <c r="V62" s="63"/>
      <c r="W62" s="61"/>
      <c r="X62" s="62"/>
      <c r="Y62" s="61"/>
      <c r="Z62" s="61"/>
      <c r="AA62" s="61"/>
      <c r="AB62" s="63"/>
      <c r="AC62" s="61"/>
      <c r="AD62" s="63"/>
      <c r="AE62" s="61"/>
      <c r="AF62" s="63"/>
      <c r="AG62" s="61"/>
      <c r="AH62" s="61"/>
      <c r="AI62" s="61"/>
      <c r="AJ62" s="63"/>
      <c r="AK62" s="61"/>
      <c r="AL62" s="63"/>
      <c r="AM62" s="61"/>
      <c r="AN62" s="63"/>
      <c r="AO62" s="61"/>
      <c r="AP62" s="63"/>
      <c r="AQ62" s="61"/>
      <c r="AR62" s="61"/>
      <c r="AS62" s="61"/>
      <c r="AT62" s="63"/>
      <c r="AU62" s="61"/>
      <c r="AV62" s="63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>
        <f t="shared" si="361"/>
        <v>0</v>
      </c>
      <c r="BZ62" s="61"/>
      <c r="CA62" s="61"/>
      <c r="CB62" s="61"/>
      <c r="CC62" s="61"/>
      <c r="CD62" s="61"/>
      <c r="CE62" s="61"/>
      <c r="CF62" s="61"/>
      <c r="CG62" s="61"/>
      <c r="CH62" s="62"/>
      <c r="CI62" s="61"/>
      <c r="CJ62" s="61"/>
      <c r="CK62" s="61"/>
      <c r="CL62" s="62"/>
      <c r="CM62" s="61"/>
      <c r="CN62" s="63"/>
      <c r="CO62" s="61"/>
      <c r="CP62" s="62"/>
      <c r="CQ62" s="61"/>
      <c r="CR62" s="61"/>
      <c r="CS62" s="61"/>
      <c r="CT62" s="63"/>
      <c r="CU62" s="61"/>
      <c r="CV62" s="63"/>
      <c r="CW62" s="61"/>
      <c r="CX62" s="63"/>
      <c r="CY62" s="61"/>
      <c r="CZ62" s="61"/>
      <c r="DA62" s="61"/>
      <c r="DB62" s="63"/>
      <c r="DC62" s="61"/>
      <c r="DD62" s="63"/>
      <c r="DE62" s="61"/>
      <c r="DF62" s="63"/>
      <c r="DG62" s="61"/>
      <c r="DH62" s="63"/>
      <c r="DI62" s="61"/>
      <c r="DJ62" s="61"/>
      <c r="DK62" s="61"/>
      <c r="DL62" s="63"/>
      <c r="DM62" s="61"/>
      <c r="DN62" s="63"/>
      <c r="DO62" s="61"/>
      <c r="DP62" s="61"/>
      <c r="DQ62" s="61"/>
      <c r="DR62" s="61"/>
      <c r="DS62" s="61"/>
      <c r="DT62" s="61">
        <v>1</v>
      </c>
      <c r="DU62" s="61">
        <v>0.97</v>
      </c>
      <c r="DV62" s="61">
        <v>0.95</v>
      </c>
      <c r="DW62" s="61">
        <v>0.93</v>
      </c>
      <c r="DX62" s="61">
        <f t="shared" si="362"/>
        <v>0.91</v>
      </c>
      <c r="DY62" s="61">
        <f t="shared" si="362"/>
        <v>0.89</v>
      </c>
      <c r="DZ62" s="61">
        <f t="shared" si="362"/>
        <v>0.87</v>
      </c>
      <c r="EA62" s="61">
        <f t="shared" si="362"/>
        <v>0.85</v>
      </c>
      <c r="EB62" s="61">
        <f t="shared" si="362"/>
        <v>0.83</v>
      </c>
      <c r="EC62" s="61">
        <f t="shared" si="362"/>
        <v>0.80999999999999994</v>
      </c>
      <c r="ED62" s="61">
        <f t="shared" si="362"/>
        <v>0.78999999999999992</v>
      </c>
      <c r="EE62" s="61">
        <f t="shared" si="362"/>
        <v>0.76999999999999991</v>
      </c>
      <c r="EF62" s="61">
        <f t="shared" si="362"/>
        <v>0.74999999999999989</v>
      </c>
      <c r="EG62" s="61">
        <f t="shared" si="362"/>
        <v>0.72999999999999987</v>
      </c>
      <c r="EH62" s="61">
        <f t="shared" si="362"/>
        <v>0.70999999999999985</v>
      </c>
      <c r="EI62" s="61">
        <f t="shared" si="362"/>
        <v>0.68999999999999984</v>
      </c>
      <c r="EJ62" s="61">
        <f t="shared" si="362"/>
        <v>0.66999999999999982</v>
      </c>
      <c r="EK62" s="61">
        <f t="shared" si="362"/>
        <v>0.6499999999999998</v>
      </c>
      <c r="EL62" s="61">
        <f t="shared" si="362"/>
        <v>0.62999999999999978</v>
      </c>
      <c r="EM62" s="61">
        <f t="shared" si="362"/>
        <v>0.60999999999999976</v>
      </c>
      <c r="EN62" s="61">
        <f t="shared" si="362"/>
        <v>0.58999999999999975</v>
      </c>
      <c r="EO62" s="61">
        <f t="shared" si="362"/>
        <v>0.56999999999999973</v>
      </c>
      <c r="EQ62" s="61">
        <f t="shared" si="363"/>
        <v>0</v>
      </c>
      <c r="ER62" s="61"/>
      <c r="ES62" s="61"/>
      <c r="ET62" s="61"/>
      <c r="EU62" s="61"/>
      <c r="EV62" s="61"/>
      <c r="EW62" s="61"/>
      <c r="EX62" s="61"/>
      <c r="EY62" s="61"/>
      <c r="EZ62" s="62"/>
      <c r="FA62" s="61"/>
      <c r="FB62" s="61"/>
      <c r="FC62" s="61"/>
      <c r="FD62" s="62"/>
      <c r="FE62" s="61"/>
      <c r="FF62" s="63"/>
      <c r="FG62" s="61"/>
      <c r="FH62" s="62"/>
      <c r="FI62" s="61"/>
      <c r="FJ62" s="61"/>
      <c r="FK62" s="61"/>
      <c r="FL62" s="63"/>
      <c r="FM62" s="61"/>
      <c r="FN62" s="63"/>
      <c r="FO62" s="61"/>
      <c r="FP62" s="63"/>
      <c r="FQ62" s="61"/>
      <c r="FR62" s="61"/>
      <c r="FS62" s="61"/>
      <c r="FT62" s="63"/>
      <c r="FU62" s="61"/>
      <c r="FV62" s="63"/>
      <c r="FW62" s="61"/>
      <c r="FX62" s="63"/>
      <c r="FY62" s="61"/>
      <c r="FZ62" s="63"/>
      <c r="GA62" s="61"/>
      <c r="GB62" s="61"/>
      <c r="GC62" s="61"/>
      <c r="GD62" s="63"/>
      <c r="GE62" s="61"/>
      <c r="GF62" s="63"/>
      <c r="GG62" s="61"/>
      <c r="GH62" s="61"/>
      <c r="GI62" s="61"/>
      <c r="GJ62" s="61"/>
      <c r="GK62" s="61"/>
      <c r="GL62" s="61">
        <v>1</v>
      </c>
      <c r="GM62" s="61">
        <v>0.97</v>
      </c>
      <c r="GN62" s="61">
        <v>0.95</v>
      </c>
      <c r="GO62" s="61">
        <v>0.93</v>
      </c>
      <c r="GP62" s="61">
        <f t="shared" si="364"/>
        <v>0.91</v>
      </c>
      <c r="GQ62" s="61">
        <f t="shared" si="364"/>
        <v>0.89</v>
      </c>
      <c r="GR62" s="61">
        <f t="shared" si="364"/>
        <v>0.87</v>
      </c>
      <c r="GS62" s="61">
        <f t="shared" si="364"/>
        <v>0.85</v>
      </c>
      <c r="GT62" s="61">
        <f t="shared" si="364"/>
        <v>0.83</v>
      </c>
      <c r="GU62" s="61">
        <f t="shared" si="364"/>
        <v>0.80999999999999994</v>
      </c>
      <c r="GV62" s="61">
        <f t="shared" si="364"/>
        <v>0.78999999999999992</v>
      </c>
      <c r="GW62" s="61">
        <f t="shared" si="364"/>
        <v>0.76999999999999991</v>
      </c>
      <c r="GX62" s="61">
        <f t="shared" si="364"/>
        <v>0.74999999999999989</v>
      </c>
      <c r="GY62" s="61">
        <f t="shared" si="364"/>
        <v>0.72999999999999987</v>
      </c>
      <c r="GZ62" s="61">
        <f t="shared" si="364"/>
        <v>0.70999999999999985</v>
      </c>
      <c r="HA62" s="61">
        <f t="shared" si="364"/>
        <v>0.68999999999999984</v>
      </c>
      <c r="HB62" s="61">
        <f t="shared" si="364"/>
        <v>0.66999999999999982</v>
      </c>
      <c r="HC62" s="61">
        <f t="shared" si="364"/>
        <v>0.6499999999999998</v>
      </c>
      <c r="HD62" s="61">
        <f t="shared" si="364"/>
        <v>0.62999999999999978</v>
      </c>
      <c r="HE62" s="61">
        <f t="shared" si="364"/>
        <v>0.60999999999999976</v>
      </c>
      <c r="HF62" s="61">
        <f t="shared" si="364"/>
        <v>0.58999999999999975</v>
      </c>
      <c r="HG62" s="61">
        <f t="shared" si="364"/>
        <v>0.56999999999999973</v>
      </c>
    </row>
    <row r="63" spans="1:216" x14ac:dyDescent="0.3">
      <c r="A63" s="2">
        <v>1</v>
      </c>
      <c r="C63" s="38" t="s">
        <v>30</v>
      </c>
      <c r="D63" s="40">
        <f>TRUNC(8074.34566707681,-1)</f>
        <v>8070</v>
      </c>
      <c r="E63" s="70">
        <f t="shared" ref="E63:E88" si="365">TRUNC(+D63*3.3058,-1)</f>
        <v>26670</v>
      </c>
      <c r="H63" s="55">
        <f t="shared" si="61"/>
        <v>29337.000000000004</v>
      </c>
      <c r="I63" s="55">
        <f t="shared" si="62"/>
        <v>29337.000000000004</v>
      </c>
      <c r="J63" s="59">
        <f t="shared" si="63"/>
        <v>96982.254600000015</v>
      </c>
      <c r="K63" s="55">
        <f t="shared" ref="K63:K89" si="366">+I63*BD63</f>
        <v>28456.890000000003</v>
      </c>
      <c r="L63" s="59">
        <f t="shared" ref="L63:L89" si="367">+K63*3.3058</f>
        <v>94072.786962000013</v>
      </c>
      <c r="M63" s="55">
        <f t="shared" ref="M63:M89" si="368">+I63*BE63</f>
        <v>27870.15</v>
      </c>
      <c r="N63" s="59">
        <f t="shared" ref="N63:N89" si="369">+M63*3.3058</f>
        <v>92133.141870000007</v>
      </c>
      <c r="O63" s="55">
        <f t="shared" ref="O63:O89" si="370">+I63*BF63</f>
        <v>27283.410000000003</v>
      </c>
      <c r="P63" s="59">
        <f t="shared" ref="P63:P89" si="371">+O63*3.3058</f>
        <v>90193.496778000015</v>
      </c>
      <c r="Q63" s="57">
        <f t="shared" ref="Q63:Q89" si="372">+I63*BG63</f>
        <v>26696.670000000006</v>
      </c>
      <c r="R63" s="59">
        <f t="shared" ref="R63:R89" si="373">+Q63*3.3058</f>
        <v>88253.851686000024</v>
      </c>
      <c r="S63" s="55">
        <f t="shared" ref="S63:S89" si="374">+I63*BH63</f>
        <v>26109.930000000004</v>
      </c>
      <c r="T63" s="59">
        <f t="shared" ref="T63:T89" si="375">+S63*3.3058</f>
        <v>86314.206594000018</v>
      </c>
      <c r="U63" s="57">
        <f t="shared" ref="U63:U89" si="376">+I63*BI63</f>
        <v>25523.190000000002</v>
      </c>
      <c r="V63" s="59">
        <f t="shared" ref="V63:V89" si="377">+U63*3.3058</f>
        <v>84374.561502000011</v>
      </c>
      <c r="W63" s="60">
        <f t="shared" ref="W63:W89" si="378">+I63*BJ63</f>
        <v>24936.45</v>
      </c>
      <c r="X63" s="59">
        <f t="shared" ref="X63:X89" si="379">+W63*3.3058</f>
        <v>82434.916410000005</v>
      </c>
      <c r="Y63" s="57">
        <f t="shared" ref="Y63:Y89" si="380">+I63*BK63</f>
        <v>24349.710000000003</v>
      </c>
      <c r="Z63" s="59">
        <f t="shared" ref="Z63:Z89" si="381">+Y63*3.3058</f>
        <v>80495.271318000014</v>
      </c>
      <c r="AA63" s="55">
        <f t="shared" ref="AA63:AA89" si="382">+I63*BL63</f>
        <v>23762.97</v>
      </c>
      <c r="AB63" s="59">
        <f t="shared" ref="AB63:AB89" si="383">+AA63*3.3058</f>
        <v>78555.626226000008</v>
      </c>
      <c r="AC63" s="60">
        <f t="shared" ref="AC63:AC89" si="384">+I63*BM63</f>
        <v>23176.23</v>
      </c>
      <c r="AD63" s="59">
        <f t="shared" ref="AD63:AD89" si="385">+AC63*3.3058</f>
        <v>76615.981134000001</v>
      </c>
      <c r="AE63" s="60">
        <f t="shared" ref="AE63:AE89" si="386">+I63*BN63</f>
        <v>22589.49</v>
      </c>
      <c r="AF63" s="59">
        <f t="shared" ref="AF63:AF89" si="387">+AE63*3.3058</f>
        <v>74676.33604200001</v>
      </c>
      <c r="AG63" s="60">
        <f t="shared" ref="AG63:AG89" si="388">+I63*BO63</f>
        <v>22002.75</v>
      </c>
      <c r="AH63" s="59">
        <f t="shared" ref="AH63:AH89" si="389">+AG63*3.3058</f>
        <v>72736.690950000004</v>
      </c>
      <c r="AI63" s="55">
        <f t="shared" ref="AI63:AI89" si="390">+I63*BP63</f>
        <v>21416.01</v>
      </c>
      <c r="AJ63" s="59">
        <f t="shared" ref="AJ63:AJ89" si="391">+AI63*3.3058</f>
        <v>70797.045857999998</v>
      </c>
      <c r="AK63" s="60">
        <f t="shared" ref="AK63:AK89" si="392">+I63*BQ63</f>
        <v>20829.269999999997</v>
      </c>
      <c r="AL63" s="59">
        <f t="shared" ref="AL63:AL89" si="393">+AK63*3.3058</f>
        <v>68857.400765999992</v>
      </c>
      <c r="AM63" s="60">
        <f t="shared" ref="AM63:AM89" si="394">+I63*BR63</f>
        <v>20242.53</v>
      </c>
      <c r="AN63" s="59">
        <f t="shared" ref="AN63:AN89" si="395">+AM63*3.3058</f>
        <v>66917.755674</v>
      </c>
      <c r="AO63" s="60">
        <f t="shared" ref="AO63:AO89" si="396">+I63*BS63</f>
        <v>19655.789999999997</v>
      </c>
      <c r="AP63" s="59">
        <f t="shared" ref="AP63:AP89" si="397">+AO63*3.3058</f>
        <v>64978.110581999994</v>
      </c>
      <c r="AQ63" s="60">
        <f t="shared" ref="AQ63:AQ89" si="398">+I63*BT63</f>
        <v>19069.049999999996</v>
      </c>
      <c r="AR63" s="59">
        <f t="shared" ref="AR63:AR89" si="399">+AQ63*3.3058</f>
        <v>63038.465489999988</v>
      </c>
      <c r="AS63" s="55">
        <f t="shared" ref="AS63:AS89" si="400">+I63*BU63</f>
        <v>18482.309999999998</v>
      </c>
      <c r="AT63" s="59">
        <f t="shared" ref="AT63:AT89" si="401">+AS63*3.3058</f>
        <v>61098.820397999996</v>
      </c>
      <c r="AU63" s="60">
        <f t="shared" ref="AU63:AU89" si="402">+I63*BV63</f>
        <v>17895.569999999996</v>
      </c>
      <c r="AV63" s="59">
        <f t="shared" ref="AV63:AV89" si="403">+AU63*3.3058</f>
        <v>59159.17530599999</v>
      </c>
      <c r="AW63" s="60">
        <f t="shared" ref="AW63:AW89" si="404">+I63*BW63</f>
        <v>17308.829999999994</v>
      </c>
      <c r="AX63" s="59">
        <f t="shared" ref="AX63:AX89" si="405">+AW63*3.3058</f>
        <v>57219.530213999984</v>
      </c>
      <c r="AY63" s="55">
        <f t="shared" ref="AY63:AY89" si="406">+I63*BX63</f>
        <v>16722.089999999993</v>
      </c>
      <c r="AZ63" s="59">
        <f t="shared" ref="AZ63:AZ89" si="407">+AY63*3.3058</f>
        <v>55279.885121999978</v>
      </c>
      <c r="BC63" s="55">
        <v>1</v>
      </c>
      <c r="BD63" s="55">
        <v>0.97</v>
      </c>
      <c r="BE63" s="55">
        <v>0.95</v>
      </c>
      <c r="BF63" s="55">
        <v>0.93</v>
      </c>
      <c r="BG63" s="55">
        <f t="shared" ref="BG63:BX77" si="408">+BF63-0.02</f>
        <v>0.91</v>
      </c>
      <c r="BH63" s="55">
        <f t="shared" si="408"/>
        <v>0.89</v>
      </c>
      <c r="BI63" s="55">
        <f t="shared" si="408"/>
        <v>0.87</v>
      </c>
      <c r="BJ63" s="55">
        <f t="shared" si="408"/>
        <v>0.85</v>
      </c>
      <c r="BK63" s="55">
        <f t="shared" si="408"/>
        <v>0.83</v>
      </c>
      <c r="BL63" s="55">
        <f t="shared" si="408"/>
        <v>0.80999999999999994</v>
      </c>
      <c r="BM63" s="55">
        <f t="shared" si="408"/>
        <v>0.78999999999999992</v>
      </c>
      <c r="BN63" s="55">
        <f t="shared" si="408"/>
        <v>0.76999999999999991</v>
      </c>
      <c r="BO63" s="55">
        <f t="shared" si="408"/>
        <v>0.74999999999999989</v>
      </c>
      <c r="BP63" s="55">
        <f t="shared" si="408"/>
        <v>0.72999999999999987</v>
      </c>
      <c r="BQ63" s="55">
        <f t="shared" si="408"/>
        <v>0.70999999999999985</v>
      </c>
      <c r="BR63" s="55">
        <f t="shared" si="408"/>
        <v>0.68999999999999984</v>
      </c>
      <c r="BS63" s="55">
        <f t="shared" si="408"/>
        <v>0.66999999999999982</v>
      </c>
      <c r="BT63" s="55">
        <f t="shared" si="408"/>
        <v>0.6499999999999998</v>
      </c>
      <c r="BU63" s="55">
        <f t="shared" si="408"/>
        <v>0.62999999999999978</v>
      </c>
      <c r="BV63" s="55">
        <f t="shared" si="408"/>
        <v>0.60999999999999976</v>
      </c>
      <c r="BW63" s="55">
        <f t="shared" si="408"/>
        <v>0.58999999999999975</v>
      </c>
      <c r="BX63" s="55">
        <f t="shared" si="408"/>
        <v>0.56999999999999973</v>
      </c>
      <c r="BZ63" s="55">
        <f t="shared" si="88"/>
        <v>26696.670000000006</v>
      </c>
      <c r="CA63" s="55">
        <f t="shared" si="89"/>
        <v>26696.670000000006</v>
      </c>
      <c r="CB63" s="59">
        <f t="shared" ref="CB63:CB89" si="409">+CA63*3.3058</f>
        <v>88253.851686000024</v>
      </c>
      <c r="CC63" s="55">
        <f t="shared" ref="CC63:CC89" si="410">+CA63*DV63</f>
        <v>25895.769900000003</v>
      </c>
      <c r="CD63" s="59">
        <f t="shared" ref="CD63:CD89" si="411">+CC63*3.3058</f>
        <v>85606.236135420011</v>
      </c>
      <c r="CE63" s="55">
        <f t="shared" ref="CE63:CE89" si="412">+CA63*DW63</f>
        <v>25361.836500000005</v>
      </c>
      <c r="CF63" s="59">
        <f t="shared" ref="CF63:CF89" si="413">+CE63*3.3058</f>
        <v>83841.159101700017</v>
      </c>
      <c r="CG63" s="55">
        <f t="shared" ref="CG63:CG89" si="414">+CA63*DX63</f>
        <v>24827.903100000007</v>
      </c>
      <c r="CH63" s="59">
        <f t="shared" ref="CH63:CH89" si="415">+CG63*3.3058</f>
        <v>82076.082067980024</v>
      </c>
      <c r="CI63" s="57">
        <f t="shared" ref="CI63:CI89" si="416">+CA63*DY63</f>
        <v>24293.969700000005</v>
      </c>
      <c r="CJ63" s="59">
        <f t="shared" ref="CJ63:CJ89" si="417">+CI63*3.3058</f>
        <v>80311.005034260015</v>
      </c>
      <c r="CK63" s="55">
        <f t="shared" ref="CK63:CK89" si="418">+CA63*DZ63</f>
        <v>23760.036300000007</v>
      </c>
      <c r="CL63" s="59">
        <f t="shared" ref="CL63:CL89" si="419">+CK63*3.3058</f>
        <v>78545.928000540021</v>
      </c>
      <c r="CM63" s="57">
        <f t="shared" ref="CM63:CM89" si="420">+CA63*EA63</f>
        <v>23226.102900000005</v>
      </c>
      <c r="CN63" s="59">
        <f t="shared" ref="CN63:CN89" si="421">+CM63*3.3058</f>
        <v>76780.850966820013</v>
      </c>
      <c r="CO63" s="60">
        <f t="shared" ref="CO63:CO89" si="422">+CA63*EB63</f>
        <v>22692.169500000004</v>
      </c>
      <c r="CP63" s="59">
        <f t="shared" ref="CP63:CP89" si="423">+CO63*3.3058</f>
        <v>75015.773933100019</v>
      </c>
      <c r="CQ63" s="57">
        <f t="shared" ref="CQ63:CQ89" si="424">+CA63*EC63</f>
        <v>22158.236100000002</v>
      </c>
      <c r="CR63" s="59">
        <f t="shared" ref="CR63:CR89" si="425">+CQ63*3.3058</f>
        <v>73250.696899380011</v>
      </c>
      <c r="CS63" s="55">
        <f t="shared" ref="CS63:CS89" si="426">+CA63*ED63</f>
        <v>21624.302700000004</v>
      </c>
      <c r="CT63" s="59">
        <f t="shared" ref="CT63:CT89" si="427">+CS63*3.3058</f>
        <v>71485.619865660017</v>
      </c>
      <c r="CU63" s="60">
        <f t="shared" ref="CU63:CU89" si="428">+CA63*EE63</f>
        <v>21090.369300000002</v>
      </c>
      <c r="CV63" s="59">
        <f t="shared" ref="CV63:CV89" si="429">+CU63*3.3058</f>
        <v>69720.542831940009</v>
      </c>
      <c r="CW63" s="60">
        <f t="shared" ref="CW63:CW89" si="430">+CA63*EF63</f>
        <v>20556.4359</v>
      </c>
      <c r="CX63" s="59">
        <f t="shared" ref="CX63:CX89" si="431">+CW63*3.3058</f>
        <v>67955.465798220001</v>
      </c>
      <c r="CY63" s="60">
        <f t="shared" ref="CY63:CY89" si="432">+CA63*EG63</f>
        <v>20022.502500000002</v>
      </c>
      <c r="CZ63" s="59">
        <f t="shared" ref="CZ63:CZ89" si="433">+CY63*3.3058</f>
        <v>66190.388764500007</v>
      </c>
      <c r="DA63" s="55">
        <f t="shared" ref="DA63:DA89" si="434">+CA63*EH63</f>
        <v>19488.569100000001</v>
      </c>
      <c r="DB63" s="59">
        <f t="shared" ref="DB63:DB89" si="435">+DA63*3.3058</f>
        <v>64425.311730780006</v>
      </c>
      <c r="DC63" s="60">
        <f t="shared" ref="DC63:DC89" si="436">+CA63*EI63</f>
        <v>18954.635699999999</v>
      </c>
      <c r="DD63" s="59">
        <f t="shared" ref="DD63:DD89" si="437">+DC63*3.3058</f>
        <v>62660.234697059997</v>
      </c>
      <c r="DE63" s="60">
        <f t="shared" ref="DE63:DE89" si="438">+CA63*EJ63</f>
        <v>18420.702300000001</v>
      </c>
      <c r="DF63" s="59">
        <f t="shared" ref="DF63:DF89" si="439">+DE63*3.3058</f>
        <v>60895.157663340004</v>
      </c>
      <c r="DG63" s="60">
        <f t="shared" ref="DG63:DG89" si="440">+CA63*EK63</f>
        <v>17886.768899999999</v>
      </c>
      <c r="DH63" s="59">
        <f t="shared" ref="DH63:DH89" si="441">+DG63*3.3058</f>
        <v>59130.080629619995</v>
      </c>
      <c r="DI63" s="60">
        <f t="shared" ref="DI63:DI89" si="442">+CA63*EL63</f>
        <v>17352.835499999997</v>
      </c>
      <c r="DJ63" s="59">
        <f t="shared" ref="DJ63:DJ89" si="443">+DI63*3.3058</f>
        <v>57365.003595899994</v>
      </c>
      <c r="DK63" s="55">
        <f t="shared" ref="DK63:DK89" si="444">+CA63*EM63</f>
        <v>16818.902099999999</v>
      </c>
      <c r="DL63" s="59">
        <f t="shared" ref="DL63:DL89" si="445">+DK63*3.3058</f>
        <v>55599.92656218</v>
      </c>
      <c r="DM63" s="60">
        <f t="shared" ref="DM63:DM89" si="446">+CA63*EN63</f>
        <v>16284.968699999998</v>
      </c>
      <c r="DN63" s="59">
        <f t="shared" ref="DN63:DN89" si="447">+DM63*3.3058</f>
        <v>53834.849528459992</v>
      </c>
      <c r="DO63" s="60">
        <f t="shared" ref="DO63:DO89" si="448">+CA63*EO63</f>
        <v>15751.035299999996</v>
      </c>
      <c r="DP63" s="59">
        <f t="shared" ref="DP63:DP89" si="449">+DO63*3.3058</f>
        <v>52069.772494739991</v>
      </c>
      <c r="DQ63" s="55">
        <f t="shared" ref="DQ63:DQ89" si="450">+CA63*EP63</f>
        <v>15217.101899999996</v>
      </c>
      <c r="DR63" s="59">
        <f t="shared" ref="DR63:DR89" si="451">+DQ63*3.3058</f>
        <v>50304.69546101999</v>
      </c>
      <c r="DU63" s="55">
        <v>1</v>
      </c>
      <c r="DV63" s="55">
        <v>0.97</v>
      </c>
      <c r="DW63" s="55">
        <v>0.95</v>
      </c>
      <c r="DX63" s="55">
        <v>0.93</v>
      </c>
      <c r="DY63" s="55">
        <f t="shared" si="283"/>
        <v>0.91</v>
      </c>
      <c r="DZ63" s="55">
        <f t="shared" si="283"/>
        <v>0.89</v>
      </c>
      <c r="EA63" s="55">
        <f t="shared" si="283"/>
        <v>0.87</v>
      </c>
      <c r="EB63" s="55">
        <f t="shared" ref="EB63:EP63" si="452">+EA63-0.02</f>
        <v>0.85</v>
      </c>
      <c r="EC63" s="55">
        <f t="shared" si="452"/>
        <v>0.83</v>
      </c>
      <c r="ED63" s="55">
        <f t="shared" si="452"/>
        <v>0.80999999999999994</v>
      </c>
      <c r="EE63" s="55">
        <f t="shared" si="452"/>
        <v>0.78999999999999992</v>
      </c>
      <c r="EF63" s="55">
        <f t="shared" si="452"/>
        <v>0.76999999999999991</v>
      </c>
      <c r="EG63" s="55">
        <f t="shared" si="452"/>
        <v>0.74999999999999989</v>
      </c>
      <c r="EH63" s="55">
        <f t="shared" si="452"/>
        <v>0.72999999999999987</v>
      </c>
      <c r="EI63" s="55">
        <f t="shared" si="452"/>
        <v>0.70999999999999985</v>
      </c>
      <c r="EJ63" s="55">
        <f t="shared" si="452"/>
        <v>0.68999999999999984</v>
      </c>
      <c r="EK63" s="55">
        <f t="shared" si="452"/>
        <v>0.66999999999999982</v>
      </c>
      <c r="EL63" s="55">
        <f t="shared" si="452"/>
        <v>0.6499999999999998</v>
      </c>
      <c r="EM63" s="55">
        <f t="shared" si="452"/>
        <v>0.62999999999999978</v>
      </c>
      <c r="EN63" s="55">
        <f t="shared" si="452"/>
        <v>0.60999999999999976</v>
      </c>
      <c r="EO63" s="55">
        <f t="shared" si="452"/>
        <v>0.58999999999999975</v>
      </c>
      <c r="EP63" s="55">
        <f t="shared" si="452"/>
        <v>0.56999999999999973</v>
      </c>
      <c r="ER63" s="55">
        <f t="shared" si="142"/>
        <v>24293.969700000005</v>
      </c>
      <c r="ES63" s="55">
        <f t="shared" si="116"/>
        <v>24293.969700000005</v>
      </c>
      <c r="ET63" s="59">
        <f t="shared" ref="ET63:ET89" si="453">+ES63*3.3058</f>
        <v>80311.005034260015</v>
      </c>
      <c r="EU63" s="55">
        <f t="shared" ref="EU63:EU89" si="454">+ES63*GN63</f>
        <v>23565.150609000004</v>
      </c>
      <c r="EV63" s="59">
        <f t="shared" ref="EV63:EV89" si="455">+EU63*3.3058</f>
        <v>77901.674883232219</v>
      </c>
      <c r="EW63" s="55">
        <f t="shared" ref="EW63:EW89" si="456">+ES63*GO63</f>
        <v>23079.271215000004</v>
      </c>
      <c r="EX63" s="59">
        <f t="shared" ref="EX63:EX89" si="457">+EW63*3.3058</f>
        <v>76295.454782547022</v>
      </c>
      <c r="EY63" s="55">
        <f t="shared" ref="EY63:EY89" si="458">+ES63*GP63</f>
        <v>22593.391821000005</v>
      </c>
      <c r="EZ63" s="59">
        <f t="shared" ref="EZ63:EZ89" si="459">+EY63*3.3058</f>
        <v>74689.234681861824</v>
      </c>
      <c r="FA63" s="57">
        <f t="shared" ref="FA63:FA89" si="460">+ES63*GQ63</f>
        <v>22107.512427000005</v>
      </c>
      <c r="FB63" s="59">
        <f t="shared" ref="FB63:FB89" si="461">+FA63*3.3058</f>
        <v>73083.014581176612</v>
      </c>
      <c r="FC63" s="55">
        <f t="shared" ref="FC63:FC89" si="462">+ES63*GR63</f>
        <v>21621.633033000006</v>
      </c>
      <c r="FD63" s="59">
        <f t="shared" ref="FD63:FD89" si="463">+FC63*3.3058</f>
        <v>71476.794480491415</v>
      </c>
      <c r="FE63" s="57">
        <f t="shared" ref="FE63:FE89" si="464">+ES63*GS63</f>
        <v>21135.753639000006</v>
      </c>
      <c r="FF63" s="59">
        <f t="shared" ref="FF63:FF89" si="465">+FE63*3.3058</f>
        <v>69870.574379806218</v>
      </c>
      <c r="FG63" s="60">
        <f t="shared" ref="FG63:FG89" si="466">+ES63*GT63</f>
        <v>20649.874245000003</v>
      </c>
      <c r="FH63" s="59">
        <f t="shared" ref="FH63:FH89" si="467">+FG63*3.3058</f>
        <v>68264.354279121006</v>
      </c>
      <c r="FI63" s="57">
        <f t="shared" ref="FI63:FI89" si="468">+ES63*GU63</f>
        <v>20163.994851000003</v>
      </c>
      <c r="FJ63" s="59">
        <f t="shared" ref="FJ63:FJ89" si="469">+FI63*3.3058</f>
        <v>66658.134178435808</v>
      </c>
      <c r="FK63" s="55">
        <f t="shared" ref="FK63:FK89" si="470">+ES63*GV63</f>
        <v>19678.115457000004</v>
      </c>
      <c r="FL63" s="59">
        <f t="shared" ref="FL63:FL89" si="471">+FK63*3.3058</f>
        <v>65051.914077750611</v>
      </c>
      <c r="FM63" s="60">
        <f t="shared" ref="FM63:FM89" si="472">+ES63*GW63</f>
        <v>19192.236063000004</v>
      </c>
      <c r="FN63" s="59">
        <f t="shared" ref="FN63:FN89" si="473">+FM63*3.3058</f>
        <v>63445.693977065413</v>
      </c>
      <c r="FO63" s="60">
        <f t="shared" ref="FO63:FO89" si="474">+ES63*GX63</f>
        <v>18706.356669000001</v>
      </c>
      <c r="FP63" s="59">
        <f t="shared" ref="FP63:FP89" si="475">+FO63*3.3058</f>
        <v>61839.473876380202</v>
      </c>
      <c r="FQ63" s="60">
        <f t="shared" ref="FQ63:FQ89" si="476">+ES63*GY63</f>
        <v>18220.477275000001</v>
      </c>
      <c r="FR63" s="59">
        <f t="shared" ref="FR63:FR89" si="477">+FQ63*3.3058</f>
        <v>60233.253775695004</v>
      </c>
      <c r="FS63" s="55">
        <f t="shared" ref="FS63:FS89" si="478">+ES63*GZ63</f>
        <v>17734.597881000002</v>
      </c>
      <c r="FT63" s="59">
        <f t="shared" ref="FT63:FT89" si="479">+FS63*3.3058</f>
        <v>58627.033675009807</v>
      </c>
      <c r="FU63" s="60">
        <f t="shared" ref="FU63:FU89" si="480">+ES63*HA63</f>
        <v>17248.718486999998</v>
      </c>
      <c r="FV63" s="59">
        <f t="shared" ref="FV63:FV89" si="481">+FU63*3.3058</f>
        <v>57020.813574324595</v>
      </c>
      <c r="FW63" s="60">
        <f t="shared" ref="FW63:FW89" si="482">+ES63*HB63</f>
        <v>16762.839092999999</v>
      </c>
      <c r="FX63" s="59">
        <f t="shared" ref="FX63:FX89" si="483">+FW63*3.3058</f>
        <v>55414.593473639397</v>
      </c>
      <c r="FY63" s="60">
        <f t="shared" ref="FY63:FY89" si="484">+ES63*HC63</f>
        <v>16276.959698999999</v>
      </c>
      <c r="FZ63" s="59">
        <f t="shared" ref="FZ63:FZ89" si="485">+FY63*3.3058</f>
        <v>53808.3733729542</v>
      </c>
      <c r="GA63" s="60">
        <f t="shared" ref="GA63:GA89" si="486">+ES63*HD63</f>
        <v>15791.080304999998</v>
      </c>
      <c r="GB63" s="59">
        <f t="shared" ref="GB63:GB89" si="487">+GA63*3.3058</f>
        <v>52202.153272268995</v>
      </c>
      <c r="GC63" s="55">
        <f t="shared" ref="GC63:GC89" si="488">+ES63*HE63</f>
        <v>15305.200910999998</v>
      </c>
      <c r="GD63" s="59">
        <f t="shared" ref="GD63:GD89" si="489">+GC63*3.3058</f>
        <v>50595.933171583798</v>
      </c>
      <c r="GE63" s="60">
        <f t="shared" ref="GE63:GE89" si="490">+ES63*HF63</f>
        <v>14819.321516999997</v>
      </c>
      <c r="GF63" s="59">
        <f t="shared" ref="GF63:GF89" si="491">+GE63*3.3058</f>
        <v>48989.713070898593</v>
      </c>
      <c r="GG63" s="60">
        <f t="shared" ref="GG63:GG89" si="492">+ES63*HG63</f>
        <v>14333.442122999997</v>
      </c>
      <c r="GH63" s="59">
        <f t="shared" ref="GH63:GH89" si="493">+GG63*3.3058</f>
        <v>47383.492970213389</v>
      </c>
      <c r="GI63" s="55">
        <f t="shared" ref="GI63:GI89" si="494">+ES63*HH63</f>
        <v>13847.562728999996</v>
      </c>
      <c r="GJ63" s="59">
        <f t="shared" ref="GJ63:GJ89" si="495">+GI63*3.3058</f>
        <v>45777.272869528184</v>
      </c>
      <c r="GK63" s="55"/>
      <c r="GL63" s="55"/>
      <c r="GM63" s="55">
        <v>1</v>
      </c>
      <c r="GN63" s="55">
        <v>0.97</v>
      </c>
      <c r="GO63" s="55">
        <v>0.95</v>
      </c>
      <c r="GP63" s="55">
        <v>0.93</v>
      </c>
      <c r="GQ63" s="55">
        <f t="shared" si="284"/>
        <v>0.91</v>
      </c>
      <c r="GR63" s="55">
        <f t="shared" si="284"/>
        <v>0.89</v>
      </c>
      <c r="GS63" s="55">
        <f t="shared" si="284"/>
        <v>0.87</v>
      </c>
      <c r="GT63" s="55">
        <f t="shared" ref="GT63:HH63" si="496">+GS63-0.02</f>
        <v>0.85</v>
      </c>
      <c r="GU63" s="55">
        <f t="shared" si="496"/>
        <v>0.83</v>
      </c>
      <c r="GV63" s="55">
        <f t="shared" si="496"/>
        <v>0.80999999999999994</v>
      </c>
      <c r="GW63" s="55">
        <f t="shared" si="496"/>
        <v>0.78999999999999992</v>
      </c>
      <c r="GX63" s="55">
        <f t="shared" si="496"/>
        <v>0.76999999999999991</v>
      </c>
      <c r="GY63" s="55">
        <f t="shared" si="496"/>
        <v>0.74999999999999989</v>
      </c>
      <c r="GZ63" s="55">
        <f t="shared" si="496"/>
        <v>0.72999999999999987</v>
      </c>
      <c r="HA63" s="55">
        <f t="shared" si="496"/>
        <v>0.70999999999999985</v>
      </c>
      <c r="HB63" s="55">
        <f t="shared" si="496"/>
        <v>0.68999999999999984</v>
      </c>
      <c r="HC63" s="55">
        <f t="shared" si="496"/>
        <v>0.66999999999999982</v>
      </c>
      <c r="HD63" s="55">
        <f t="shared" si="496"/>
        <v>0.6499999999999998</v>
      </c>
      <c r="HE63" s="55">
        <f t="shared" si="496"/>
        <v>0.62999999999999978</v>
      </c>
      <c r="HF63" s="55">
        <f t="shared" si="496"/>
        <v>0.60999999999999976</v>
      </c>
      <c r="HG63" s="55">
        <f t="shared" si="496"/>
        <v>0.58999999999999975</v>
      </c>
      <c r="HH63" s="55">
        <f t="shared" si="496"/>
        <v>0.56999999999999973</v>
      </c>
    </row>
    <row r="64" spans="1:216" ht="16.5" customHeight="1" x14ac:dyDescent="0.3">
      <c r="A64" s="2">
        <v>2</v>
      </c>
      <c r="C64" s="38" t="s">
        <v>31</v>
      </c>
      <c r="D64" s="42">
        <f>TRUNC(3921.81121462471,-1)</f>
        <v>3920</v>
      </c>
      <c r="E64" s="71">
        <f t="shared" si="365"/>
        <v>12950</v>
      </c>
      <c r="H64" s="55">
        <f t="shared" si="61"/>
        <v>14245.000000000002</v>
      </c>
      <c r="I64" s="55">
        <f t="shared" si="62"/>
        <v>14245.000000000002</v>
      </c>
      <c r="J64" s="59">
        <f t="shared" si="63"/>
        <v>47091.121000000006</v>
      </c>
      <c r="K64" s="55">
        <f t="shared" si="366"/>
        <v>13817.650000000001</v>
      </c>
      <c r="L64" s="59">
        <f t="shared" si="367"/>
        <v>45678.387370000004</v>
      </c>
      <c r="M64" s="55">
        <f t="shared" si="368"/>
        <v>13532.750000000002</v>
      </c>
      <c r="N64" s="59">
        <f t="shared" si="369"/>
        <v>44736.564950000007</v>
      </c>
      <c r="O64" s="55">
        <f t="shared" si="370"/>
        <v>13247.850000000002</v>
      </c>
      <c r="P64" s="59">
        <f t="shared" si="371"/>
        <v>43794.74253000001</v>
      </c>
      <c r="Q64" s="57">
        <f t="shared" si="372"/>
        <v>12962.950000000003</v>
      </c>
      <c r="R64" s="59">
        <f t="shared" si="373"/>
        <v>42852.920110000006</v>
      </c>
      <c r="S64" s="55">
        <f t="shared" si="374"/>
        <v>12678.050000000001</v>
      </c>
      <c r="T64" s="59">
        <f t="shared" si="375"/>
        <v>41911.097690000002</v>
      </c>
      <c r="U64" s="57">
        <f t="shared" si="376"/>
        <v>12393.150000000001</v>
      </c>
      <c r="V64" s="59">
        <f t="shared" si="377"/>
        <v>40969.275270000006</v>
      </c>
      <c r="W64" s="60">
        <f t="shared" si="378"/>
        <v>12108.250000000002</v>
      </c>
      <c r="X64" s="59">
        <f t="shared" si="379"/>
        <v>40027.452850000009</v>
      </c>
      <c r="Y64" s="57">
        <f t="shared" si="380"/>
        <v>11823.35</v>
      </c>
      <c r="Z64" s="59">
        <f t="shared" si="381"/>
        <v>39085.630430000005</v>
      </c>
      <c r="AA64" s="55">
        <f t="shared" si="382"/>
        <v>11538.45</v>
      </c>
      <c r="AB64" s="59">
        <f t="shared" si="383"/>
        <v>38143.808010000001</v>
      </c>
      <c r="AC64" s="60">
        <f t="shared" si="384"/>
        <v>11253.550000000001</v>
      </c>
      <c r="AD64" s="59">
        <f t="shared" si="385"/>
        <v>37201.985590000004</v>
      </c>
      <c r="AE64" s="60">
        <f t="shared" si="386"/>
        <v>10968.65</v>
      </c>
      <c r="AF64" s="59">
        <f t="shared" si="387"/>
        <v>36260.16317</v>
      </c>
      <c r="AG64" s="60">
        <f t="shared" si="388"/>
        <v>10683.75</v>
      </c>
      <c r="AH64" s="59">
        <f t="shared" si="389"/>
        <v>35318.340750000003</v>
      </c>
      <c r="AI64" s="55">
        <f t="shared" si="390"/>
        <v>10398.85</v>
      </c>
      <c r="AJ64" s="59">
        <f t="shared" si="391"/>
        <v>34376.518329999999</v>
      </c>
      <c r="AK64" s="60">
        <f t="shared" si="392"/>
        <v>10113.949999999999</v>
      </c>
      <c r="AL64" s="59">
        <f t="shared" si="393"/>
        <v>33434.695909999995</v>
      </c>
      <c r="AM64" s="60">
        <f t="shared" si="394"/>
        <v>9829.0499999999993</v>
      </c>
      <c r="AN64" s="59">
        <f t="shared" si="395"/>
        <v>32492.873489999998</v>
      </c>
      <c r="AO64" s="60">
        <f t="shared" si="396"/>
        <v>9544.1499999999978</v>
      </c>
      <c r="AP64" s="59">
        <f t="shared" si="397"/>
        <v>31551.051069999994</v>
      </c>
      <c r="AQ64" s="60">
        <f t="shared" si="398"/>
        <v>9259.2499999999982</v>
      </c>
      <c r="AR64" s="59">
        <f t="shared" si="399"/>
        <v>30609.228649999994</v>
      </c>
      <c r="AS64" s="55">
        <f t="shared" si="400"/>
        <v>8974.3499999999985</v>
      </c>
      <c r="AT64" s="59">
        <f t="shared" si="401"/>
        <v>29667.406229999997</v>
      </c>
      <c r="AU64" s="60">
        <f t="shared" si="402"/>
        <v>8689.4499999999971</v>
      </c>
      <c r="AV64" s="59">
        <f t="shared" si="403"/>
        <v>28725.583809999993</v>
      </c>
      <c r="AW64" s="60">
        <f t="shared" si="404"/>
        <v>8404.5499999999975</v>
      </c>
      <c r="AX64" s="59">
        <f t="shared" si="405"/>
        <v>27783.761389999992</v>
      </c>
      <c r="AY64" s="55">
        <f t="shared" si="406"/>
        <v>8119.6499999999969</v>
      </c>
      <c r="AZ64" s="59">
        <f t="shared" si="407"/>
        <v>26841.938969999992</v>
      </c>
      <c r="BC64" s="55">
        <v>1</v>
      </c>
      <c r="BD64" s="55">
        <v>0.97</v>
      </c>
      <c r="BE64" s="55">
        <v>0.95</v>
      </c>
      <c r="BF64" s="55">
        <v>0.93</v>
      </c>
      <c r="BG64" s="55">
        <f t="shared" si="408"/>
        <v>0.91</v>
      </c>
      <c r="BH64" s="55">
        <f t="shared" si="408"/>
        <v>0.89</v>
      </c>
      <c r="BI64" s="55">
        <f t="shared" si="408"/>
        <v>0.87</v>
      </c>
      <c r="BJ64" s="55">
        <f t="shared" si="408"/>
        <v>0.85</v>
      </c>
      <c r="BK64" s="55">
        <f t="shared" si="408"/>
        <v>0.83</v>
      </c>
      <c r="BL64" s="55">
        <f t="shared" si="408"/>
        <v>0.80999999999999994</v>
      </c>
      <c r="BM64" s="55">
        <f t="shared" si="408"/>
        <v>0.78999999999999992</v>
      </c>
      <c r="BN64" s="55">
        <f t="shared" si="408"/>
        <v>0.76999999999999991</v>
      </c>
      <c r="BO64" s="55">
        <f t="shared" si="408"/>
        <v>0.74999999999999989</v>
      </c>
      <c r="BP64" s="55">
        <f t="shared" si="408"/>
        <v>0.72999999999999987</v>
      </c>
      <c r="BQ64" s="55">
        <f t="shared" si="408"/>
        <v>0.70999999999999985</v>
      </c>
      <c r="BR64" s="55">
        <f t="shared" si="408"/>
        <v>0.68999999999999984</v>
      </c>
      <c r="BS64" s="55">
        <f t="shared" si="408"/>
        <v>0.66999999999999982</v>
      </c>
      <c r="BT64" s="55">
        <f t="shared" si="408"/>
        <v>0.6499999999999998</v>
      </c>
      <c r="BU64" s="55">
        <f t="shared" si="408"/>
        <v>0.62999999999999978</v>
      </c>
      <c r="BV64" s="55">
        <f t="shared" si="408"/>
        <v>0.60999999999999976</v>
      </c>
      <c r="BW64" s="55">
        <f t="shared" si="408"/>
        <v>0.58999999999999975</v>
      </c>
      <c r="BX64" s="55">
        <f t="shared" si="408"/>
        <v>0.56999999999999973</v>
      </c>
      <c r="BZ64" s="55">
        <f t="shared" si="88"/>
        <v>12962.950000000003</v>
      </c>
      <c r="CA64" s="55">
        <f t="shared" si="89"/>
        <v>12962.950000000003</v>
      </c>
      <c r="CB64" s="59">
        <f t="shared" si="409"/>
        <v>42852.920110000006</v>
      </c>
      <c r="CC64" s="55">
        <f t="shared" si="410"/>
        <v>12574.061500000002</v>
      </c>
      <c r="CD64" s="59">
        <f t="shared" si="411"/>
        <v>41567.332506700004</v>
      </c>
      <c r="CE64" s="55">
        <f t="shared" si="412"/>
        <v>12314.802500000002</v>
      </c>
      <c r="CF64" s="59">
        <f t="shared" si="413"/>
        <v>40710.274104500008</v>
      </c>
      <c r="CG64" s="55">
        <f t="shared" si="414"/>
        <v>12055.543500000003</v>
      </c>
      <c r="CH64" s="59">
        <f t="shared" si="415"/>
        <v>39853.215702300011</v>
      </c>
      <c r="CI64" s="57">
        <f t="shared" si="416"/>
        <v>11796.284500000003</v>
      </c>
      <c r="CJ64" s="59">
        <f t="shared" si="417"/>
        <v>38996.157300100014</v>
      </c>
      <c r="CK64" s="55">
        <f t="shared" si="418"/>
        <v>11537.025500000002</v>
      </c>
      <c r="CL64" s="59">
        <f t="shared" si="419"/>
        <v>38139.098897900003</v>
      </c>
      <c r="CM64" s="57">
        <f t="shared" si="420"/>
        <v>11277.766500000002</v>
      </c>
      <c r="CN64" s="59">
        <f t="shared" si="421"/>
        <v>37282.040495700006</v>
      </c>
      <c r="CO64" s="60">
        <f t="shared" si="422"/>
        <v>11018.507500000002</v>
      </c>
      <c r="CP64" s="59">
        <f t="shared" si="423"/>
        <v>36424.982093500003</v>
      </c>
      <c r="CQ64" s="57">
        <f t="shared" si="424"/>
        <v>10759.248500000002</v>
      </c>
      <c r="CR64" s="59">
        <f t="shared" si="425"/>
        <v>35567.923691300006</v>
      </c>
      <c r="CS64" s="55">
        <f t="shared" si="426"/>
        <v>10499.989500000001</v>
      </c>
      <c r="CT64" s="59">
        <f t="shared" si="427"/>
        <v>34710.865289100009</v>
      </c>
      <c r="CU64" s="60">
        <f t="shared" si="428"/>
        <v>10240.730500000001</v>
      </c>
      <c r="CV64" s="59">
        <f t="shared" si="429"/>
        <v>33853.806886900005</v>
      </c>
      <c r="CW64" s="60">
        <f t="shared" si="430"/>
        <v>9981.4715000000015</v>
      </c>
      <c r="CX64" s="59">
        <f t="shared" si="431"/>
        <v>32996.748484700009</v>
      </c>
      <c r="CY64" s="60">
        <f t="shared" si="432"/>
        <v>9722.2124999999996</v>
      </c>
      <c r="CZ64" s="59">
        <f t="shared" si="433"/>
        <v>32139.690082500001</v>
      </c>
      <c r="DA64" s="55">
        <f t="shared" si="434"/>
        <v>9462.9534999999996</v>
      </c>
      <c r="DB64" s="59">
        <f t="shared" si="435"/>
        <v>31282.631680300001</v>
      </c>
      <c r="DC64" s="60">
        <f t="shared" si="436"/>
        <v>9203.6944999999996</v>
      </c>
      <c r="DD64" s="59">
        <f t="shared" si="437"/>
        <v>30425.573278100001</v>
      </c>
      <c r="DE64" s="60">
        <f t="shared" si="438"/>
        <v>8944.4354999999996</v>
      </c>
      <c r="DF64" s="59">
        <f t="shared" si="439"/>
        <v>29568.5148759</v>
      </c>
      <c r="DG64" s="60">
        <f t="shared" si="440"/>
        <v>8685.1764999999996</v>
      </c>
      <c r="DH64" s="59">
        <f t="shared" si="441"/>
        <v>28711.4564737</v>
      </c>
      <c r="DI64" s="60">
        <f t="shared" si="442"/>
        <v>8425.9174999999996</v>
      </c>
      <c r="DJ64" s="59">
        <f t="shared" si="443"/>
        <v>27854.3980715</v>
      </c>
      <c r="DK64" s="55">
        <f t="shared" si="444"/>
        <v>8166.6584999999986</v>
      </c>
      <c r="DL64" s="59">
        <f t="shared" si="445"/>
        <v>26997.339669299996</v>
      </c>
      <c r="DM64" s="60">
        <f t="shared" si="446"/>
        <v>7907.3994999999986</v>
      </c>
      <c r="DN64" s="59">
        <f t="shared" si="447"/>
        <v>26140.281267099996</v>
      </c>
      <c r="DO64" s="60">
        <f t="shared" si="448"/>
        <v>7648.1404999999986</v>
      </c>
      <c r="DP64" s="59">
        <f t="shared" si="449"/>
        <v>25283.222864899995</v>
      </c>
      <c r="DQ64" s="55">
        <f t="shared" si="450"/>
        <v>7388.8814999999977</v>
      </c>
      <c r="DR64" s="59">
        <f t="shared" si="451"/>
        <v>24426.164462699991</v>
      </c>
      <c r="DU64" s="55">
        <v>1</v>
      </c>
      <c r="DV64" s="55">
        <v>0.97</v>
      </c>
      <c r="DW64" s="55">
        <v>0.95</v>
      </c>
      <c r="DX64" s="55">
        <v>0.93</v>
      </c>
      <c r="DY64" s="55">
        <f t="shared" ref="DY64:EP78" si="497">+DX64-0.02</f>
        <v>0.91</v>
      </c>
      <c r="DZ64" s="55">
        <f t="shared" si="497"/>
        <v>0.89</v>
      </c>
      <c r="EA64" s="55">
        <f t="shared" si="497"/>
        <v>0.87</v>
      </c>
      <c r="EB64" s="55">
        <f t="shared" si="497"/>
        <v>0.85</v>
      </c>
      <c r="EC64" s="55">
        <f t="shared" si="497"/>
        <v>0.83</v>
      </c>
      <c r="ED64" s="55">
        <f t="shared" si="497"/>
        <v>0.80999999999999994</v>
      </c>
      <c r="EE64" s="55">
        <f t="shared" si="497"/>
        <v>0.78999999999999992</v>
      </c>
      <c r="EF64" s="55">
        <f t="shared" si="497"/>
        <v>0.76999999999999991</v>
      </c>
      <c r="EG64" s="55">
        <f t="shared" si="497"/>
        <v>0.74999999999999989</v>
      </c>
      <c r="EH64" s="55">
        <f t="shared" si="497"/>
        <v>0.72999999999999987</v>
      </c>
      <c r="EI64" s="55">
        <f t="shared" si="497"/>
        <v>0.70999999999999985</v>
      </c>
      <c r="EJ64" s="55">
        <f t="shared" si="497"/>
        <v>0.68999999999999984</v>
      </c>
      <c r="EK64" s="55">
        <f t="shared" si="497"/>
        <v>0.66999999999999982</v>
      </c>
      <c r="EL64" s="55">
        <f t="shared" si="497"/>
        <v>0.6499999999999998</v>
      </c>
      <c r="EM64" s="55">
        <f t="shared" si="497"/>
        <v>0.62999999999999978</v>
      </c>
      <c r="EN64" s="55">
        <f t="shared" si="497"/>
        <v>0.60999999999999976</v>
      </c>
      <c r="EO64" s="55">
        <f t="shared" si="497"/>
        <v>0.58999999999999975</v>
      </c>
      <c r="EP64" s="55">
        <f t="shared" si="497"/>
        <v>0.56999999999999973</v>
      </c>
      <c r="ER64" s="55">
        <f t="shared" si="142"/>
        <v>11796.284500000003</v>
      </c>
      <c r="ES64" s="55">
        <f t="shared" si="116"/>
        <v>11796.284500000003</v>
      </c>
      <c r="ET64" s="59">
        <f t="shared" si="453"/>
        <v>38996.157300100014</v>
      </c>
      <c r="EU64" s="55">
        <f t="shared" si="454"/>
        <v>11442.395965000003</v>
      </c>
      <c r="EV64" s="59">
        <f t="shared" si="455"/>
        <v>37826.272581097015</v>
      </c>
      <c r="EW64" s="55">
        <f t="shared" si="456"/>
        <v>11206.470275000003</v>
      </c>
      <c r="EX64" s="59">
        <f t="shared" si="457"/>
        <v>37046.349435095013</v>
      </c>
      <c r="EY64" s="55">
        <f t="shared" si="458"/>
        <v>10970.544585000003</v>
      </c>
      <c r="EZ64" s="59">
        <f t="shared" si="459"/>
        <v>36266.426289093011</v>
      </c>
      <c r="FA64" s="57">
        <f t="shared" si="460"/>
        <v>10734.618895000003</v>
      </c>
      <c r="FB64" s="59">
        <f t="shared" si="461"/>
        <v>35486.503143091009</v>
      </c>
      <c r="FC64" s="55">
        <f t="shared" si="462"/>
        <v>10498.693205000003</v>
      </c>
      <c r="FD64" s="59">
        <f t="shared" si="463"/>
        <v>34706.579997089015</v>
      </c>
      <c r="FE64" s="57">
        <f t="shared" si="464"/>
        <v>10262.767515000003</v>
      </c>
      <c r="FF64" s="59">
        <f t="shared" si="465"/>
        <v>33926.656851087013</v>
      </c>
      <c r="FG64" s="60">
        <f t="shared" si="466"/>
        <v>10026.841825000003</v>
      </c>
      <c r="FH64" s="59">
        <f t="shared" si="467"/>
        <v>33146.733705085011</v>
      </c>
      <c r="FI64" s="57">
        <f t="shared" si="468"/>
        <v>9790.9161350000031</v>
      </c>
      <c r="FJ64" s="59">
        <f t="shared" si="469"/>
        <v>32366.810559083013</v>
      </c>
      <c r="FK64" s="55">
        <f t="shared" si="470"/>
        <v>9554.9904450000013</v>
      </c>
      <c r="FL64" s="59">
        <f t="shared" si="471"/>
        <v>31586.887413081004</v>
      </c>
      <c r="FM64" s="60">
        <f t="shared" si="472"/>
        <v>9319.0647550000012</v>
      </c>
      <c r="FN64" s="59">
        <f t="shared" si="473"/>
        <v>30806.964267079005</v>
      </c>
      <c r="FO64" s="60">
        <f t="shared" si="474"/>
        <v>9083.1390650000012</v>
      </c>
      <c r="FP64" s="59">
        <f t="shared" si="475"/>
        <v>30027.041121077003</v>
      </c>
      <c r="FQ64" s="60">
        <f t="shared" si="476"/>
        <v>8847.2133750000012</v>
      </c>
      <c r="FR64" s="59">
        <f t="shared" si="477"/>
        <v>29247.117975075005</v>
      </c>
      <c r="FS64" s="55">
        <f t="shared" si="478"/>
        <v>8611.2876850000011</v>
      </c>
      <c r="FT64" s="59">
        <f t="shared" si="479"/>
        <v>28467.194829073003</v>
      </c>
      <c r="FU64" s="60">
        <f t="shared" si="480"/>
        <v>8375.3619950000011</v>
      </c>
      <c r="FV64" s="59">
        <f t="shared" si="481"/>
        <v>27687.271683071005</v>
      </c>
      <c r="FW64" s="60">
        <f t="shared" si="482"/>
        <v>8139.4363050000002</v>
      </c>
      <c r="FX64" s="59">
        <f t="shared" si="483"/>
        <v>26907.348537069</v>
      </c>
      <c r="FY64" s="60">
        <f t="shared" si="484"/>
        <v>7903.5106150000001</v>
      </c>
      <c r="FZ64" s="59">
        <f t="shared" si="485"/>
        <v>26127.425391067001</v>
      </c>
      <c r="GA64" s="60">
        <f t="shared" si="486"/>
        <v>7667.5849250000001</v>
      </c>
      <c r="GB64" s="59">
        <f t="shared" si="487"/>
        <v>25347.502245064999</v>
      </c>
      <c r="GC64" s="55">
        <f t="shared" si="488"/>
        <v>7431.6592349999992</v>
      </c>
      <c r="GD64" s="59">
        <f t="shared" si="489"/>
        <v>24567.579099062998</v>
      </c>
      <c r="GE64" s="60">
        <f t="shared" si="490"/>
        <v>7195.7335449999991</v>
      </c>
      <c r="GF64" s="59">
        <f t="shared" si="491"/>
        <v>23787.655953060999</v>
      </c>
      <c r="GG64" s="60">
        <f t="shared" si="492"/>
        <v>6959.8078549999991</v>
      </c>
      <c r="GH64" s="59">
        <f t="shared" si="493"/>
        <v>23007.732807058997</v>
      </c>
      <c r="GI64" s="55">
        <f t="shared" si="494"/>
        <v>6723.8821649999991</v>
      </c>
      <c r="GJ64" s="59">
        <f t="shared" si="495"/>
        <v>22227.809661056999</v>
      </c>
      <c r="GK64" s="55"/>
      <c r="GL64" s="55"/>
      <c r="GM64" s="55">
        <v>1</v>
      </c>
      <c r="GN64" s="55">
        <v>0.97</v>
      </c>
      <c r="GO64" s="55">
        <v>0.95</v>
      </c>
      <c r="GP64" s="55">
        <v>0.93</v>
      </c>
      <c r="GQ64" s="55">
        <f t="shared" ref="GQ64:HH78" si="498">+GP64-0.02</f>
        <v>0.91</v>
      </c>
      <c r="GR64" s="55">
        <f t="shared" si="498"/>
        <v>0.89</v>
      </c>
      <c r="GS64" s="55">
        <f t="shared" si="498"/>
        <v>0.87</v>
      </c>
      <c r="GT64" s="55">
        <f t="shared" si="498"/>
        <v>0.85</v>
      </c>
      <c r="GU64" s="55">
        <f t="shared" si="498"/>
        <v>0.83</v>
      </c>
      <c r="GV64" s="55">
        <f t="shared" si="498"/>
        <v>0.80999999999999994</v>
      </c>
      <c r="GW64" s="55">
        <f t="shared" si="498"/>
        <v>0.78999999999999992</v>
      </c>
      <c r="GX64" s="55">
        <f t="shared" si="498"/>
        <v>0.76999999999999991</v>
      </c>
      <c r="GY64" s="55">
        <f t="shared" si="498"/>
        <v>0.74999999999999989</v>
      </c>
      <c r="GZ64" s="55">
        <f t="shared" si="498"/>
        <v>0.72999999999999987</v>
      </c>
      <c r="HA64" s="55">
        <f t="shared" si="498"/>
        <v>0.70999999999999985</v>
      </c>
      <c r="HB64" s="55">
        <f t="shared" si="498"/>
        <v>0.68999999999999984</v>
      </c>
      <c r="HC64" s="55">
        <f t="shared" si="498"/>
        <v>0.66999999999999982</v>
      </c>
      <c r="HD64" s="55">
        <f t="shared" si="498"/>
        <v>0.6499999999999998</v>
      </c>
      <c r="HE64" s="55">
        <f t="shared" si="498"/>
        <v>0.62999999999999978</v>
      </c>
      <c r="HF64" s="55">
        <f t="shared" si="498"/>
        <v>0.60999999999999976</v>
      </c>
      <c r="HG64" s="55">
        <f t="shared" si="498"/>
        <v>0.58999999999999975</v>
      </c>
      <c r="HH64" s="55">
        <f t="shared" si="498"/>
        <v>0.56999999999999973</v>
      </c>
    </row>
    <row r="65" spans="1:216" x14ac:dyDescent="0.3">
      <c r="A65" s="2">
        <v>3</v>
      </c>
      <c r="C65" s="38" t="s">
        <v>32</v>
      </c>
      <c r="D65" s="42">
        <f>TRUNC(25861.7671822816,-1)</f>
        <v>25860</v>
      </c>
      <c r="E65" s="71">
        <f t="shared" si="365"/>
        <v>85480</v>
      </c>
      <c r="H65" s="55">
        <f t="shared" si="61"/>
        <v>94028.000000000015</v>
      </c>
      <c r="I65" s="55">
        <f t="shared" si="62"/>
        <v>94028.000000000015</v>
      </c>
      <c r="J65" s="59">
        <f t="shared" si="63"/>
        <v>310837.76240000007</v>
      </c>
      <c r="K65" s="55">
        <f t="shared" si="366"/>
        <v>91207.160000000018</v>
      </c>
      <c r="L65" s="59">
        <f t="shared" si="367"/>
        <v>301512.62952800008</v>
      </c>
      <c r="M65" s="55">
        <f t="shared" si="368"/>
        <v>89326.6</v>
      </c>
      <c r="N65" s="59">
        <f t="shared" si="369"/>
        <v>295295.87428000005</v>
      </c>
      <c r="O65" s="55">
        <f t="shared" si="370"/>
        <v>87446.040000000023</v>
      </c>
      <c r="P65" s="59">
        <f t="shared" si="371"/>
        <v>289079.11903200008</v>
      </c>
      <c r="Q65" s="57">
        <f t="shared" si="372"/>
        <v>85565.48000000001</v>
      </c>
      <c r="R65" s="59">
        <f t="shared" si="373"/>
        <v>282862.36378400004</v>
      </c>
      <c r="S65" s="55">
        <f t="shared" si="374"/>
        <v>83684.920000000013</v>
      </c>
      <c r="T65" s="59">
        <f t="shared" si="375"/>
        <v>276645.60853600007</v>
      </c>
      <c r="U65" s="57">
        <f t="shared" si="376"/>
        <v>81804.360000000015</v>
      </c>
      <c r="V65" s="59">
        <f t="shared" si="377"/>
        <v>270428.85328800004</v>
      </c>
      <c r="W65" s="60">
        <f t="shared" si="378"/>
        <v>79923.800000000017</v>
      </c>
      <c r="X65" s="59">
        <f t="shared" si="379"/>
        <v>264212.09804000007</v>
      </c>
      <c r="Y65" s="57">
        <f t="shared" si="380"/>
        <v>78043.240000000005</v>
      </c>
      <c r="Z65" s="59">
        <f t="shared" si="381"/>
        <v>257995.34279200001</v>
      </c>
      <c r="AA65" s="55">
        <f t="shared" si="382"/>
        <v>76162.680000000008</v>
      </c>
      <c r="AB65" s="59">
        <f t="shared" si="383"/>
        <v>251778.58754400004</v>
      </c>
      <c r="AC65" s="60">
        <f t="shared" si="384"/>
        <v>74282.12000000001</v>
      </c>
      <c r="AD65" s="59">
        <f t="shared" si="385"/>
        <v>245561.83229600004</v>
      </c>
      <c r="AE65" s="60">
        <f t="shared" si="386"/>
        <v>72401.56</v>
      </c>
      <c r="AF65" s="59">
        <f t="shared" si="387"/>
        <v>239345.07704800001</v>
      </c>
      <c r="AG65" s="60">
        <f t="shared" si="388"/>
        <v>70521</v>
      </c>
      <c r="AH65" s="59">
        <f t="shared" si="389"/>
        <v>233128.32180000001</v>
      </c>
      <c r="AI65" s="55">
        <f t="shared" si="390"/>
        <v>68640.44</v>
      </c>
      <c r="AJ65" s="59">
        <f t="shared" si="391"/>
        <v>226911.566552</v>
      </c>
      <c r="AK65" s="60">
        <f t="shared" si="392"/>
        <v>66759.87999999999</v>
      </c>
      <c r="AL65" s="59">
        <f t="shared" si="393"/>
        <v>220694.81130399997</v>
      </c>
      <c r="AM65" s="60">
        <f t="shared" si="394"/>
        <v>64879.319999999992</v>
      </c>
      <c r="AN65" s="59">
        <f t="shared" si="395"/>
        <v>214478.05605599997</v>
      </c>
      <c r="AO65" s="60">
        <f t="shared" si="396"/>
        <v>62998.759999999995</v>
      </c>
      <c r="AP65" s="59">
        <f t="shared" si="397"/>
        <v>208261.300808</v>
      </c>
      <c r="AQ65" s="60">
        <f t="shared" si="398"/>
        <v>61118.19999999999</v>
      </c>
      <c r="AR65" s="59">
        <f t="shared" si="399"/>
        <v>202044.54555999997</v>
      </c>
      <c r="AS65" s="55">
        <f t="shared" si="400"/>
        <v>59237.639999999992</v>
      </c>
      <c r="AT65" s="59">
        <f t="shared" si="401"/>
        <v>195827.79031199997</v>
      </c>
      <c r="AU65" s="60">
        <f t="shared" si="402"/>
        <v>57357.079999999987</v>
      </c>
      <c r="AV65" s="59">
        <f t="shared" si="403"/>
        <v>189611.03506399997</v>
      </c>
      <c r="AW65" s="60">
        <f t="shared" si="404"/>
        <v>55476.519999999982</v>
      </c>
      <c r="AX65" s="59">
        <f t="shared" si="405"/>
        <v>183394.27981599994</v>
      </c>
      <c r="AY65" s="55">
        <f t="shared" si="406"/>
        <v>53595.959999999985</v>
      </c>
      <c r="AZ65" s="59">
        <f t="shared" si="407"/>
        <v>177177.52456799996</v>
      </c>
      <c r="BC65" s="55">
        <v>1</v>
      </c>
      <c r="BD65" s="55">
        <v>0.97</v>
      </c>
      <c r="BE65" s="55">
        <v>0.95</v>
      </c>
      <c r="BF65" s="55">
        <v>0.93</v>
      </c>
      <c r="BG65" s="55">
        <f t="shared" si="408"/>
        <v>0.91</v>
      </c>
      <c r="BH65" s="55">
        <f t="shared" si="408"/>
        <v>0.89</v>
      </c>
      <c r="BI65" s="55">
        <f t="shared" si="408"/>
        <v>0.87</v>
      </c>
      <c r="BJ65" s="55">
        <f t="shared" si="408"/>
        <v>0.85</v>
      </c>
      <c r="BK65" s="55">
        <f t="shared" si="408"/>
        <v>0.83</v>
      </c>
      <c r="BL65" s="55">
        <f t="shared" si="408"/>
        <v>0.80999999999999994</v>
      </c>
      <c r="BM65" s="55">
        <f t="shared" si="408"/>
        <v>0.78999999999999992</v>
      </c>
      <c r="BN65" s="55">
        <f t="shared" si="408"/>
        <v>0.76999999999999991</v>
      </c>
      <c r="BO65" s="55">
        <f t="shared" si="408"/>
        <v>0.74999999999999989</v>
      </c>
      <c r="BP65" s="55">
        <f t="shared" si="408"/>
        <v>0.72999999999999987</v>
      </c>
      <c r="BQ65" s="55">
        <f t="shared" si="408"/>
        <v>0.70999999999999985</v>
      </c>
      <c r="BR65" s="55">
        <f t="shared" si="408"/>
        <v>0.68999999999999984</v>
      </c>
      <c r="BS65" s="55">
        <f t="shared" si="408"/>
        <v>0.66999999999999982</v>
      </c>
      <c r="BT65" s="55">
        <f t="shared" si="408"/>
        <v>0.6499999999999998</v>
      </c>
      <c r="BU65" s="55">
        <f t="shared" si="408"/>
        <v>0.62999999999999978</v>
      </c>
      <c r="BV65" s="55">
        <f t="shared" si="408"/>
        <v>0.60999999999999976</v>
      </c>
      <c r="BW65" s="55">
        <f t="shared" si="408"/>
        <v>0.58999999999999975</v>
      </c>
      <c r="BX65" s="55">
        <f t="shared" si="408"/>
        <v>0.56999999999999973</v>
      </c>
      <c r="BZ65" s="55">
        <f t="shared" si="88"/>
        <v>85565.48000000001</v>
      </c>
      <c r="CA65" s="55">
        <f t="shared" si="89"/>
        <v>85565.48000000001</v>
      </c>
      <c r="CB65" s="59">
        <f t="shared" si="409"/>
        <v>282862.36378400004</v>
      </c>
      <c r="CC65" s="55">
        <f t="shared" si="410"/>
        <v>82998.515600000013</v>
      </c>
      <c r="CD65" s="59">
        <f t="shared" si="411"/>
        <v>274376.49287048005</v>
      </c>
      <c r="CE65" s="55">
        <f t="shared" si="412"/>
        <v>81287.206000000006</v>
      </c>
      <c r="CF65" s="59">
        <f t="shared" si="413"/>
        <v>268719.24559480004</v>
      </c>
      <c r="CG65" s="55">
        <f t="shared" si="414"/>
        <v>79575.896400000012</v>
      </c>
      <c r="CH65" s="59">
        <f t="shared" si="415"/>
        <v>263061.99831912003</v>
      </c>
      <c r="CI65" s="57">
        <f t="shared" si="416"/>
        <v>77864.586800000019</v>
      </c>
      <c r="CJ65" s="59">
        <f t="shared" si="417"/>
        <v>257404.75104344008</v>
      </c>
      <c r="CK65" s="55">
        <f t="shared" si="418"/>
        <v>76153.277200000011</v>
      </c>
      <c r="CL65" s="59">
        <f t="shared" si="419"/>
        <v>251747.50376776003</v>
      </c>
      <c r="CM65" s="57">
        <f t="shared" si="420"/>
        <v>74441.967600000004</v>
      </c>
      <c r="CN65" s="59">
        <f t="shared" si="421"/>
        <v>246090.25649208002</v>
      </c>
      <c r="CO65" s="60">
        <f t="shared" si="422"/>
        <v>72730.65800000001</v>
      </c>
      <c r="CP65" s="59">
        <f t="shared" si="423"/>
        <v>240433.00921640004</v>
      </c>
      <c r="CQ65" s="57">
        <f t="shared" si="424"/>
        <v>71019.348400000003</v>
      </c>
      <c r="CR65" s="59">
        <f t="shared" si="425"/>
        <v>234775.76194072003</v>
      </c>
      <c r="CS65" s="55">
        <f t="shared" si="426"/>
        <v>69308.038800000009</v>
      </c>
      <c r="CT65" s="59">
        <f t="shared" si="427"/>
        <v>229118.51466504004</v>
      </c>
      <c r="CU65" s="60">
        <f t="shared" si="428"/>
        <v>67596.729200000002</v>
      </c>
      <c r="CV65" s="59">
        <f t="shared" si="429"/>
        <v>223461.26738936</v>
      </c>
      <c r="CW65" s="60">
        <f t="shared" si="430"/>
        <v>65885.419599999994</v>
      </c>
      <c r="CX65" s="59">
        <f t="shared" si="431"/>
        <v>217804.02011367999</v>
      </c>
      <c r="CY65" s="60">
        <f t="shared" si="432"/>
        <v>64174.11</v>
      </c>
      <c r="CZ65" s="59">
        <f t="shared" si="433"/>
        <v>212146.772838</v>
      </c>
      <c r="DA65" s="55">
        <f t="shared" si="434"/>
        <v>62462.8004</v>
      </c>
      <c r="DB65" s="59">
        <f t="shared" si="435"/>
        <v>206489.52556231999</v>
      </c>
      <c r="DC65" s="60">
        <f t="shared" si="436"/>
        <v>60751.490799999992</v>
      </c>
      <c r="DD65" s="59">
        <f t="shared" si="437"/>
        <v>200832.27828663998</v>
      </c>
      <c r="DE65" s="60">
        <f t="shared" si="438"/>
        <v>59040.181199999992</v>
      </c>
      <c r="DF65" s="59">
        <f t="shared" si="439"/>
        <v>195175.03101095997</v>
      </c>
      <c r="DG65" s="60">
        <f t="shared" si="440"/>
        <v>57328.871599999991</v>
      </c>
      <c r="DH65" s="59">
        <f t="shared" si="441"/>
        <v>189517.78373527998</v>
      </c>
      <c r="DI65" s="60">
        <f t="shared" si="442"/>
        <v>55617.561999999991</v>
      </c>
      <c r="DJ65" s="59">
        <f t="shared" si="443"/>
        <v>183860.53645959997</v>
      </c>
      <c r="DK65" s="55">
        <f t="shared" si="444"/>
        <v>53906.25239999999</v>
      </c>
      <c r="DL65" s="59">
        <f t="shared" si="445"/>
        <v>178203.28918391996</v>
      </c>
      <c r="DM65" s="60">
        <f t="shared" si="446"/>
        <v>52194.94279999999</v>
      </c>
      <c r="DN65" s="59">
        <f t="shared" si="447"/>
        <v>172546.04190823997</v>
      </c>
      <c r="DO65" s="60">
        <f t="shared" si="448"/>
        <v>50483.633199999982</v>
      </c>
      <c r="DP65" s="59">
        <f t="shared" si="449"/>
        <v>166888.79463255993</v>
      </c>
      <c r="DQ65" s="55">
        <f t="shared" si="450"/>
        <v>48772.323599999982</v>
      </c>
      <c r="DR65" s="59">
        <f t="shared" si="451"/>
        <v>161231.54735687995</v>
      </c>
      <c r="DU65" s="55">
        <v>1</v>
      </c>
      <c r="DV65" s="55">
        <v>0.97</v>
      </c>
      <c r="DW65" s="55">
        <v>0.95</v>
      </c>
      <c r="DX65" s="55">
        <v>0.93</v>
      </c>
      <c r="DY65" s="55">
        <f t="shared" si="497"/>
        <v>0.91</v>
      </c>
      <c r="DZ65" s="55">
        <f t="shared" si="497"/>
        <v>0.89</v>
      </c>
      <c r="EA65" s="55">
        <f t="shared" si="497"/>
        <v>0.87</v>
      </c>
      <c r="EB65" s="55">
        <f t="shared" si="497"/>
        <v>0.85</v>
      </c>
      <c r="EC65" s="55">
        <f t="shared" si="497"/>
        <v>0.83</v>
      </c>
      <c r="ED65" s="55">
        <f t="shared" si="497"/>
        <v>0.80999999999999994</v>
      </c>
      <c r="EE65" s="55">
        <f t="shared" si="497"/>
        <v>0.78999999999999992</v>
      </c>
      <c r="EF65" s="55">
        <f t="shared" si="497"/>
        <v>0.76999999999999991</v>
      </c>
      <c r="EG65" s="55">
        <f t="shared" si="497"/>
        <v>0.74999999999999989</v>
      </c>
      <c r="EH65" s="55">
        <f t="shared" si="497"/>
        <v>0.72999999999999987</v>
      </c>
      <c r="EI65" s="55">
        <f t="shared" si="497"/>
        <v>0.70999999999999985</v>
      </c>
      <c r="EJ65" s="55">
        <f t="shared" si="497"/>
        <v>0.68999999999999984</v>
      </c>
      <c r="EK65" s="55">
        <f t="shared" si="497"/>
        <v>0.66999999999999982</v>
      </c>
      <c r="EL65" s="55">
        <f t="shared" si="497"/>
        <v>0.6499999999999998</v>
      </c>
      <c r="EM65" s="55">
        <f t="shared" si="497"/>
        <v>0.62999999999999978</v>
      </c>
      <c r="EN65" s="55">
        <f t="shared" si="497"/>
        <v>0.60999999999999976</v>
      </c>
      <c r="EO65" s="55">
        <f t="shared" si="497"/>
        <v>0.58999999999999975</v>
      </c>
      <c r="EP65" s="55">
        <f t="shared" si="497"/>
        <v>0.56999999999999973</v>
      </c>
      <c r="ER65" s="55">
        <f t="shared" si="142"/>
        <v>77864.586800000019</v>
      </c>
      <c r="ES65" s="55">
        <f t="shared" si="116"/>
        <v>77864.586800000019</v>
      </c>
      <c r="ET65" s="59">
        <f t="shared" si="453"/>
        <v>257404.75104344008</v>
      </c>
      <c r="EU65" s="55">
        <f t="shared" si="454"/>
        <v>75528.649196000013</v>
      </c>
      <c r="EV65" s="59">
        <f t="shared" si="455"/>
        <v>249682.60851213685</v>
      </c>
      <c r="EW65" s="55">
        <f t="shared" si="456"/>
        <v>73971.357460000014</v>
      </c>
      <c r="EX65" s="59">
        <f t="shared" si="457"/>
        <v>244534.51349126804</v>
      </c>
      <c r="EY65" s="55">
        <f t="shared" si="458"/>
        <v>72414.065724000015</v>
      </c>
      <c r="EZ65" s="59">
        <f t="shared" si="459"/>
        <v>239386.41847039925</v>
      </c>
      <c r="FA65" s="57">
        <f t="shared" si="460"/>
        <v>70856.773988000015</v>
      </c>
      <c r="FB65" s="59">
        <f t="shared" si="461"/>
        <v>234238.32344953046</v>
      </c>
      <c r="FC65" s="55">
        <f t="shared" si="462"/>
        <v>69299.482252000016</v>
      </c>
      <c r="FD65" s="59">
        <f t="shared" si="463"/>
        <v>229090.22842866165</v>
      </c>
      <c r="FE65" s="57">
        <f t="shared" si="464"/>
        <v>67742.190516000017</v>
      </c>
      <c r="FF65" s="59">
        <f t="shared" si="465"/>
        <v>223942.13340779286</v>
      </c>
      <c r="FG65" s="60">
        <f t="shared" si="466"/>
        <v>66184.898780000018</v>
      </c>
      <c r="FH65" s="59">
        <f t="shared" si="467"/>
        <v>218794.03838692408</v>
      </c>
      <c r="FI65" s="57">
        <f t="shared" si="468"/>
        <v>64627.607044000011</v>
      </c>
      <c r="FJ65" s="59">
        <f t="shared" si="469"/>
        <v>213645.94336605523</v>
      </c>
      <c r="FK65" s="55">
        <f t="shared" si="470"/>
        <v>63070.315308000012</v>
      </c>
      <c r="FL65" s="59">
        <f t="shared" si="471"/>
        <v>208497.84834518644</v>
      </c>
      <c r="FM65" s="60">
        <f t="shared" si="472"/>
        <v>61513.023572000013</v>
      </c>
      <c r="FN65" s="59">
        <f t="shared" si="473"/>
        <v>203349.75332431766</v>
      </c>
      <c r="FO65" s="60">
        <f t="shared" si="474"/>
        <v>59955.731836000006</v>
      </c>
      <c r="FP65" s="59">
        <f t="shared" si="475"/>
        <v>198201.65830344881</v>
      </c>
      <c r="FQ65" s="60">
        <f t="shared" si="476"/>
        <v>58398.440100000007</v>
      </c>
      <c r="FR65" s="59">
        <f t="shared" si="477"/>
        <v>193053.56328258003</v>
      </c>
      <c r="FS65" s="55">
        <f t="shared" si="478"/>
        <v>56841.148364000001</v>
      </c>
      <c r="FT65" s="59">
        <f t="shared" si="479"/>
        <v>187905.46826171121</v>
      </c>
      <c r="FU65" s="60">
        <f t="shared" si="480"/>
        <v>55283.856628000001</v>
      </c>
      <c r="FV65" s="59">
        <f t="shared" si="481"/>
        <v>182757.3732408424</v>
      </c>
      <c r="FW65" s="60">
        <f t="shared" si="482"/>
        <v>53726.564892000002</v>
      </c>
      <c r="FX65" s="59">
        <f t="shared" si="483"/>
        <v>177609.27821997361</v>
      </c>
      <c r="FY65" s="60">
        <f t="shared" si="484"/>
        <v>52169.273155999996</v>
      </c>
      <c r="FZ65" s="59">
        <f t="shared" si="485"/>
        <v>172461.18319910479</v>
      </c>
      <c r="GA65" s="60">
        <f t="shared" si="486"/>
        <v>50611.981419999996</v>
      </c>
      <c r="GB65" s="59">
        <f t="shared" si="487"/>
        <v>167313.08817823598</v>
      </c>
      <c r="GC65" s="55">
        <f t="shared" si="488"/>
        <v>49054.689683999997</v>
      </c>
      <c r="GD65" s="59">
        <f t="shared" si="489"/>
        <v>162164.99315736719</v>
      </c>
      <c r="GE65" s="60">
        <f t="shared" si="490"/>
        <v>47497.397947999991</v>
      </c>
      <c r="GF65" s="59">
        <f t="shared" si="491"/>
        <v>157016.89813649838</v>
      </c>
      <c r="GG65" s="60">
        <f t="shared" si="492"/>
        <v>45940.106211999992</v>
      </c>
      <c r="GH65" s="59">
        <f t="shared" si="493"/>
        <v>151868.80311562956</v>
      </c>
      <c r="GI65" s="55">
        <f t="shared" si="494"/>
        <v>44382.814475999992</v>
      </c>
      <c r="GJ65" s="59">
        <f t="shared" si="495"/>
        <v>146720.70809476078</v>
      </c>
      <c r="GK65" s="55"/>
      <c r="GL65" s="55"/>
      <c r="GM65" s="55">
        <v>1</v>
      </c>
      <c r="GN65" s="55">
        <v>0.97</v>
      </c>
      <c r="GO65" s="55">
        <v>0.95</v>
      </c>
      <c r="GP65" s="55">
        <v>0.93</v>
      </c>
      <c r="GQ65" s="55">
        <f t="shared" si="498"/>
        <v>0.91</v>
      </c>
      <c r="GR65" s="55">
        <f t="shared" si="498"/>
        <v>0.89</v>
      </c>
      <c r="GS65" s="55">
        <f t="shared" si="498"/>
        <v>0.87</v>
      </c>
      <c r="GT65" s="55">
        <f t="shared" si="498"/>
        <v>0.85</v>
      </c>
      <c r="GU65" s="55">
        <f t="shared" si="498"/>
        <v>0.83</v>
      </c>
      <c r="GV65" s="55">
        <f t="shared" si="498"/>
        <v>0.80999999999999994</v>
      </c>
      <c r="GW65" s="55">
        <f t="shared" si="498"/>
        <v>0.78999999999999992</v>
      </c>
      <c r="GX65" s="55">
        <f t="shared" si="498"/>
        <v>0.76999999999999991</v>
      </c>
      <c r="GY65" s="55">
        <f t="shared" si="498"/>
        <v>0.74999999999999989</v>
      </c>
      <c r="GZ65" s="55">
        <f t="shared" si="498"/>
        <v>0.72999999999999987</v>
      </c>
      <c r="HA65" s="55">
        <f t="shared" si="498"/>
        <v>0.70999999999999985</v>
      </c>
      <c r="HB65" s="55">
        <f t="shared" si="498"/>
        <v>0.68999999999999984</v>
      </c>
      <c r="HC65" s="55">
        <f t="shared" si="498"/>
        <v>0.66999999999999982</v>
      </c>
      <c r="HD65" s="55">
        <f t="shared" si="498"/>
        <v>0.6499999999999998</v>
      </c>
      <c r="HE65" s="55">
        <f t="shared" si="498"/>
        <v>0.62999999999999978</v>
      </c>
      <c r="HF65" s="55">
        <f t="shared" si="498"/>
        <v>0.60999999999999976</v>
      </c>
      <c r="HG65" s="55">
        <f t="shared" si="498"/>
        <v>0.58999999999999975</v>
      </c>
      <c r="HH65" s="55">
        <f t="shared" si="498"/>
        <v>0.56999999999999973</v>
      </c>
    </row>
    <row r="66" spans="1:216" x14ac:dyDescent="0.3">
      <c r="A66" s="2">
        <v>4</v>
      </c>
      <c r="C66" s="38" t="s">
        <v>33</v>
      </c>
      <c r="D66" s="42">
        <f>TRUNC(2365.44876076639,-1)</f>
        <v>2360</v>
      </c>
      <c r="E66" s="71">
        <f t="shared" si="365"/>
        <v>7800</v>
      </c>
      <c r="H66" s="55">
        <f t="shared" si="61"/>
        <v>8580</v>
      </c>
      <c r="I66" s="55">
        <f t="shared" si="62"/>
        <v>8580</v>
      </c>
      <c r="J66" s="59">
        <f t="shared" si="63"/>
        <v>28363.763999999999</v>
      </c>
      <c r="K66" s="55">
        <f t="shared" si="366"/>
        <v>8322.6</v>
      </c>
      <c r="L66" s="59">
        <f t="shared" si="367"/>
        <v>27512.85108</v>
      </c>
      <c r="M66" s="55">
        <f t="shared" si="368"/>
        <v>8151</v>
      </c>
      <c r="N66" s="59">
        <f t="shared" si="369"/>
        <v>26945.575800000002</v>
      </c>
      <c r="O66" s="55">
        <f t="shared" si="370"/>
        <v>7979.4000000000005</v>
      </c>
      <c r="P66" s="59">
        <f t="shared" si="371"/>
        <v>26378.300520000001</v>
      </c>
      <c r="Q66" s="57">
        <f t="shared" si="372"/>
        <v>7807.8</v>
      </c>
      <c r="R66" s="59">
        <f t="shared" si="373"/>
        <v>25811.025240000003</v>
      </c>
      <c r="S66" s="55">
        <f t="shared" si="374"/>
        <v>7636.2</v>
      </c>
      <c r="T66" s="59">
        <f t="shared" si="375"/>
        <v>25243.749960000001</v>
      </c>
      <c r="U66" s="57">
        <f t="shared" si="376"/>
        <v>7464.6</v>
      </c>
      <c r="V66" s="59">
        <f t="shared" si="377"/>
        <v>24676.474680000003</v>
      </c>
      <c r="W66" s="60">
        <f t="shared" si="378"/>
        <v>7293</v>
      </c>
      <c r="X66" s="59">
        <f t="shared" si="379"/>
        <v>24109.199400000001</v>
      </c>
      <c r="Y66" s="57">
        <f t="shared" si="380"/>
        <v>7121.4</v>
      </c>
      <c r="Z66" s="59">
        <f t="shared" si="381"/>
        <v>23541.92412</v>
      </c>
      <c r="AA66" s="55">
        <f t="shared" si="382"/>
        <v>6949.7999999999993</v>
      </c>
      <c r="AB66" s="59">
        <f t="shared" si="383"/>
        <v>22974.648839999998</v>
      </c>
      <c r="AC66" s="60">
        <f t="shared" si="384"/>
        <v>6778.1999999999989</v>
      </c>
      <c r="AD66" s="59">
        <f t="shared" si="385"/>
        <v>22407.373559999996</v>
      </c>
      <c r="AE66" s="60">
        <f t="shared" si="386"/>
        <v>6606.5999999999995</v>
      </c>
      <c r="AF66" s="59">
        <f t="shared" si="387"/>
        <v>21840.098279999998</v>
      </c>
      <c r="AG66" s="60">
        <f t="shared" si="388"/>
        <v>6434.9999999999991</v>
      </c>
      <c r="AH66" s="59">
        <f t="shared" si="389"/>
        <v>21272.822999999997</v>
      </c>
      <c r="AI66" s="55">
        <f t="shared" si="390"/>
        <v>6263.3999999999987</v>
      </c>
      <c r="AJ66" s="59">
        <f t="shared" si="391"/>
        <v>20705.547719999995</v>
      </c>
      <c r="AK66" s="60">
        <f t="shared" si="392"/>
        <v>6091.7999999999984</v>
      </c>
      <c r="AL66" s="59">
        <f t="shared" si="393"/>
        <v>20138.272439999993</v>
      </c>
      <c r="AM66" s="60">
        <f t="shared" si="394"/>
        <v>5920.1999999999989</v>
      </c>
      <c r="AN66" s="59">
        <f t="shared" si="395"/>
        <v>19570.997159999995</v>
      </c>
      <c r="AO66" s="60">
        <f t="shared" si="396"/>
        <v>5748.5999999999985</v>
      </c>
      <c r="AP66" s="59">
        <f t="shared" si="397"/>
        <v>19003.721879999997</v>
      </c>
      <c r="AQ66" s="60">
        <f t="shared" si="398"/>
        <v>5576.9999999999982</v>
      </c>
      <c r="AR66" s="59">
        <f t="shared" si="399"/>
        <v>18436.446599999996</v>
      </c>
      <c r="AS66" s="55">
        <f t="shared" si="400"/>
        <v>5405.3999999999978</v>
      </c>
      <c r="AT66" s="59">
        <f t="shared" si="401"/>
        <v>17869.171319999994</v>
      </c>
      <c r="AU66" s="60">
        <f t="shared" si="402"/>
        <v>5233.7999999999984</v>
      </c>
      <c r="AV66" s="59">
        <f t="shared" si="403"/>
        <v>17301.896039999996</v>
      </c>
      <c r="AW66" s="60">
        <f t="shared" si="404"/>
        <v>5062.199999999998</v>
      </c>
      <c r="AX66" s="59">
        <f t="shared" si="405"/>
        <v>16734.620759999994</v>
      </c>
      <c r="AY66" s="55">
        <f t="shared" si="406"/>
        <v>4890.5999999999976</v>
      </c>
      <c r="AZ66" s="59">
        <f t="shared" si="407"/>
        <v>16167.345479999993</v>
      </c>
      <c r="BC66" s="55">
        <v>1</v>
      </c>
      <c r="BD66" s="55">
        <v>0.97</v>
      </c>
      <c r="BE66" s="55">
        <v>0.95</v>
      </c>
      <c r="BF66" s="55">
        <v>0.93</v>
      </c>
      <c r="BG66" s="55">
        <f t="shared" si="408"/>
        <v>0.91</v>
      </c>
      <c r="BH66" s="55">
        <f t="shared" si="408"/>
        <v>0.89</v>
      </c>
      <c r="BI66" s="55">
        <f t="shared" si="408"/>
        <v>0.87</v>
      </c>
      <c r="BJ66" s="55">
        <f t="shared" si="408"/>
        <v>0.85</v>
      </c>
      <c r="BK66" s="55">
        <f t="shared" si="408"/>
        <v>0.83</v>
      </c>
      <c r="BL66" s="55">
        <f t="shared" si="408"/>
        <v>0.80999999999999994</v>
      </c>
      <c r="BM66" s="55">
        <f t="shared" si="408"/>
        <v>0.78999999999999992</v>
      </c>
      <c r="BN66" s="55">
        <f t="shared" si="408"/>
        <v>0.76999999999999991</v>
      </c>
      <c r="BO66" s="55">
        <f t="shared" si="408"/>
        <v>0.74999999999999989</v>
      </c>
      <c r="BP66" s="55">
        <f t="shared" si="408"/>
        <v>0.72999999999999987</v>
      </c>
      <c r="BQ66" s="55">
        <f t="shared" si="408"/>
        <v>0.70999999999999985</v>
      </c>
      <c r="BR66" s="55">
        <f t="shared" si="408"/>
        <v>0.68999999999999984</v>
      </c>
      <c r="BS66" s="55">
        <f t="shared" si="408"/>
        <v>0.66999999999999982</v>
      </c>
      <c r="BT66" s="55">
        <f t="shared" si="408"/>
        <v>0.6499999999999998</v>
      </c>
      <c r="BU66" s="55">
        <f t="shared" si="408"/>
        <v>0.62999999999999978</v>
      </c>
      <c r="BV66" s="55">
        <f t="shared" si="408"/>
        <v>0.60999999999999976</v>
      </c>
      <c r="BW66" s="55">
        <f t="shared" si="408"/>
        <v>0.58999999999999975</v>
      </c>
      <c r="BX66" s="55">
        <f t="shared" si="408"/>
        <v>0.56999999999999973</v>
      </c>
      <c r="BZ66" s="55">
        <f t="shared" si="88"/>
        <v>7807.8</v>
      </c>
      <c r="CA66" s="55">
        <f t="shared" si="89"/>
        <v>7807.8</v>
      </c>
      <c r="CB66" s="59">
        <f t="shared" si="409"/>
        <v>25811.025240000003</v>
      </c>
      <c r="CC66" s="55">
        <f t="shared" si="410"/>
        <v>7573.5659999999998</v>
      </c>
      <c r="CD66" s="59">
        <f t="shared" si="411"/>
        <v>25036.694482800001</v>
      </c>
      <c r="CE66" s="55">
        <f t="shared" si="412"/>
        <v>7417.41</v>
      </c>
      <c r="CF66" s="59">
        <f t="shared" si="413"/>
        <v>24520.473978000002</v>
      </c>
      <c r="CG66" s="55">
        <f t="shared" si="414"/>
        <v>7261.2540000000008</v>
      </c>
      <c r="CH66" s="59">
        <f t="shared" si="415"/>
        <v>24004.253473200002</v>
      </c>
      <c r="CI66" s="57">
        <f t="shared" si="416"/>
        <v>7105.098</v>
      </c>
      <c r="CJ66" s="59">
        <f t="shared" si="417"/>
        <v>23488.032968399999</v>
      </c>
      <c r="CK66" s="55">
        <f t="shared" si="418"/>
        <v>6948.942</v>
      </c>
      <c r="CL66" s="59">
        <f t="shared" si="419"/>
        <v>22971.812463599999</v>
      </c>
      <c r="CM66" s="57">
        <f t="shared" si="420"/>
        <v>6792.7860000000001</v>
      </c>
      <c r="CN66" s="59">
        <f t="shared" si="421"/>
        <v>22455.5919588</v>
      </c>
      <c r="CO66" s="60">
        <f t="shared" si="422"/>
        <v>6636.63</v>
      </c>
      <c r="CP66" s="59">
        <f t="shared" si="423"/>
        <v>21939.371454</v>
      </c>
      <c r="CQ66" s="57">
        <f t="shared" si="424"/>
        <v>6480.4740000000002</v>
      </c>
      <c r="CR66" s="59">
        <f t="shared" si="425"/>
        <v>21423.1509492</v>
      </c>
      <c r="CS66" s="55">
        <f t="shared" si="426"/>
        <v>6324.3179999999993</v>
      </c>
      <c r="CT66" s="59">
        <f t="shared" si="427"/>
        <v>20906.930444399997</v>
      </c>
      <c r="CU66" s="60">
        <f t="shared" si="428"/>
        <v>6168.1619999999994</v>
      </c>
      <c r="CV66" s="59">
        <f t="shared" si="429"/>
        <v>20390.709939599998</v>
      </c>
      <c r="CW66" s="60">
        <f t="shared" si="430"/>
        <v>6012.0059999999994</v>
      </c>
      <c r="CX66" s="59">
        <f t="shared" si="431"/>
        <v>19874.489434799998</v>
      </c>
      <c r="CY66" s="60">
        <f t="shared" si="432"/>
        <v>5855.8499999999995</v>
      </c>
      <c r="CZ66" s="59">
        <f t="shared" si="433"/>
        <v>19358.268929999998</v>
      </c>
      <c r="DA66" s="55">
        <f t="shared" si="434"/>
        <v>5699.6939999999995</v>
      </c>
      <c r="DB66" s="59">
        <f t="shared" si="435"/>
        <v>18842.048425199999</v>
      </c>
      <c r="DC66" s="60">
        <f t="shared" si="436"/>
        <v>5543.5379999999986</v>
      </c>
      <c r="DD66" s="59">
        <f t="shared" si="437"/>
        <v>18325.827920399995</v>
      </c>
      <c r="DE66" s="60">
        <f t="shared" si="438"/>
        <v>5387.3819999999987</v>
      </c>
      <c r="DF66" s="59">
        <f t="shared" si="439"/>
        <v>17809.607415599996</v>
      </c>
      <c r="DG66" s="60">
        <f t="shared" si="440"/>
        <v>5231.2259999999987</v>
      </c>
      <c r="DH66" s="59">
        <f t="shared" si="441"/>
        <v>17293.386910799996</v>
      </c>
      <c r="DI66" s="60">
        <f t="shared" si="442"/>
        <v>5075.0699999999988</v>
      </c>
      <c r="DJ66" s="59">
        <f t="shared" si="443"/>
        <v>16777.166405999997</v>
      </c>
      <c r="DK66" s="55">
        <f t="shared" si="444"/>
        <v>4918.9139999999989</v>
      </c>
      <c r="DL66" s="59">
        <f t="shared" si="445"/>
        <v>16260.945901199997</v>
      </c>
      <c r="DM66" s="60">
        <f t="shared" si="446"/>
        <v>4762.757999999998</v>
      </c>
      <c r="DN66" s="59">
        <f t="shared" si="447"/>
        <v>15744.725396399994</v>
      </c>
      <c r="DO66" s="60">
        <f t="shared" si="448"/>
        <v>4606.601999999998</v>
      </c>
      <c r="DP66" s="59">
        <f t="shared" si="449"/>
        <v>15228.504891599994</v>
      </c>
      <c r="DQ66" s="55">
        <f t="shared" si="450"/>
        <v>4450.4459999999981</v>
      </c>
      <c r="DR66" s="59">
        <f t="shared" si="451"/>
        <v>14712.284386799995</v>
      </c>
      <c r="DU66" s="55">
        <v>1</v>
      </c>
      <c r="DV66" s="55">
        <v>0.97</v>
      </c>
      <c r="DW66" s="55">
        <v>0.95</v>
      </c>
      <c r="DX66" s="55">
        <v>0.93</v>
      </c>
      <c r="DY66" s="55">
        <f t="shared" si="497"/>
        <v>0.91</v>
      </c>
      <c r="DZ66" s="55">
        <f t="shared" si="497"/>
        <v>0.89</v>
      </c>
      <c r="EA66" s="55">
        <f t="shared" si="497"/>
        <v>0.87</v>
      </c>
      <c r="EB66" s="55">
        <f t="shared" si="497"/>
        <v>0.85</v>
      </c>
      <c r="EC66" s="55">
        <f t="shared" si="497"/>
        <v>0.83</v>
      </c>
      <c r="ED66" s="55">
        <f t="shared" si="497"/>
        <v>0.80999999999999994</v>
      </c>
      <c r="EE66" s="55">
        <f t="shared" si="497"/>
        <v>0.78999999999999992</v>
      </c>
      <c r="EF66" s="55">
        <f t="shared" si="497"/>
        <v>0.76999999999999991</v>
      </c>
      <c r="EG66" s="55">
        <f t="shared" si="497"/>
        <v>0.74999999999999989</v>
      </c>
      <c r="EH66" s="55">
        <f t="shared" si="497"/>
        <v>0.72999999999999987</v>
      </c>
      <c r="EI66" s="55">
        <f t="shared" si="497"/>
        <v>0.70999999999999985</v>
      </c>
      <c r="EJ66" s="55">
        <f t="shared" si="497"/>
        <v>0.68999999999999984</v>
      </c>
      <c r="EK66" s="55">
        <f t="shared" si="497"/>
        <v>0.66999999999999982</v>
      </c>
      <c r="EL66" s="55">
        <f t="shared" si="497"/>
        <v>0.6499999999999998</v>
      </c>
      <c r="EM66" s="55">
        <f t="shared" si="497"/>
        <v>0.62999999999999978</v>
      </c>
      <c r="EN66" s="55">
        <f t="shared" si="497"/>
        <v>0.60999999999999976</v>
      </c>
      <c r="EO66" s="55">
        <f t="shared" si="497"/>
        <v>0.58999999999999975</v>
      </c>
      <c r="EP66" s="55">
        <f t="shared" si="497"/>
        <v>0.56999999999999973</v>
      </c>
      <c r="ER66" s="55">
        <f t="shared" si="142"/>
        <v>7105.098</v>
      </c>
      <c r="ES66" s="55">
        <f t="shared" si="116"/>
        <v>7105.098</v>
      </c>
      <c r="ET66" s="59">
        <f t="shared" si="453"/>
        <v>23488.032968399999</v>
      </c>
      <c r="EU66" s="55">
        <f t="shared" si="454"/>
        <v>6891.94506</v>
      </c>
      <c r="EV66" s="59">
        <f t="shared" si="455"/>
        <v>22783.391979348002</v>
      </c>
      <c r="EW66" s="55">
        <f t="shared" si="456"/>
        <v>6749.8431</v>
      </c>
      <c r="EX66" s="59">
        <f t="shared" si="457"/>
        <v>22313.631319980002</v>
      </c>
      <c r="EY66" s="55">
        <f t="shared" si="458"/>
        <v>6607.7411400000001</v>
      </c>
      <c r="EZ66" s="59">
        <f t="shared" si="459"/>
        <v>21843.870660611999</v>
      </c>
      <c r="FA66" s="57">
        <f t="shared" si="460"/>
        <v>6465.6391800000001</v>
      </c>
      <c r="FB66" s="59">
        <f t="shared" si="461"/>
        <v>21374.110001244</v>
      </c>
      <c r="FC66" s="55">
        <f t="shared" si="462"/>
        <v>6323.5372200000002</v>
      </c>
      <c r="FD66" s="59">
        <f t="shared" si="463"/>
        <v>20904.349341876001</v>
      </c>
      <c r="FE66" s="57">
        <f t="shared" si="464"/>
        <v>6181.4352600000002</v>
      </c>
      <c r="FF66" s="59">
        <f t="shared" si="465"/>
        <v>20434.588682508002</v>
      </c>
      <c r="FG66" s="60">
        <f t="shared" si="466"/>
        <v>6039.3333000000002</v>
      </c>
      <c r="FH66" s="59">
        <f t="shared" si="467"/>
        <v>19964.828023140002</v>
      </c>
      <c r="FI66" s="57">
        <f t="shared" si="468"/>
        <v>5897.2313399999994</v>
      </c>
      <c r="FJ66" s="59">
        <f t="shared" si="469"/>
        <v>19495.067363771999</v>
      </c>
      <c r="FK66" s="55">
        <f t="shared" si="470"/>
        <v>5755.1293799999994</v>
      </c>
      <c r="FL66" s="59">
        <f t="shared" si="471"/>
        <v>19025.306704404</v>
      </c>
      <c r="FM66" s="60">
        <f t="shared" si="472"/>
        <v>5613.0274199999994</v>
      </c>
      <c r="FN66" s="59">
        <f t="shared" si="473"/>
        <v>18555.546045035997</v>
      </c>
      <c r="FO66" s="60">
        <f t="shared" si="474"/>
        <v>5470.9254599999995</v>
      </c>
      <c r="FP66" s="59">
        <f t="shared" si="475"/>
        <v>18085.785385667998</v>
      </c>
      <c r="FQ66" s="60">
        <f t="shared" si="476"/>
        <v>5328.8234999999995</v>
      </c>
      <c r="FR66" s="59">
        <f t="shared" si="477"/>
        <v>17616.024726299998</v>
      </c>
      <c r="FS66" s="55">
        <f t="shared" si="478"/>
        <v>5186.7215399999986</v>
      </c>
      <c r="FT66" s="59">
        <f t="shared" si="479"/>
        <v>17146.264066931995</v>
      </c>
      <c r="FU66" s="60">
        <f t="shared" si="480"/>
        <v>5044.6195799999987</v>
      </c>
      <c r="FV66" s="59">
        <f t="shared" si="481"/>
        <v>16676.503407563996</v>
      </c>
      <c r="FW66" s="60">
        <f t="shared" si="482"/>
        <v>4902.5176199999987</v>
      </c>
      <c r="FX66" s="59">
        <f t="shared" si="483"/>
        <v>16206.742748195997</v>
      </c>
      <c r="FY66" s="60">
        <f t="shared" si="484"/>
        <v>4760.4156599999988</v>
      </c>
      <c r="FZ66" s="59">
        <f t="shared" si="485"/>
        <v>15736.982088827996</v>
      </c>
      <c r="GA66" s="60">
        <f t="shared" si="486"/>
        <v>4618.3136999999988</v>
      </c>
      <c r="GB66" s="59">
        <f t="shared" si="487"/>
        <v>15267.221429459996</v>
      </c>
      <c r="GC66" s="55">
        <f t="shared" si="488"/>
        <v>4476.2117399999988</v>
      </c>
      <c r="GD66" s="59">
        <f t="shared" si="489"/>
        <v>14797.460770091997</v>
      </c>
      <c r="GE66" s="60">
        <f t="shared" si="490"/>
        <v>4334.109779999998</v>
      </c>
      <c r="GF66" s="59">
        <f t="shared" si="491"/>
        <v>14327.700110723994</v>
      </c>
      <c r="GG66" s="60">
        <f t="shared" si="492"/>
        <v>4192.007819999998</v>
      </c>
      <c r="GH66" s="59">
        <f t="shared" si="493"/>
        <v>13857.939451355993</v>
      </c>
      <c r="GI66" s="55">
        <f t="shared" si="494"/>
        <v>4049.905859999998</v>
      </c>
      <c r="GJ66" s="59">
        <f t="shared" si="495"/>
        <v>13388.178791987993</v>
      </c>
      <c r="GK66" s="55"/>
      <c r="GL66" s="55"/>
      <c r="GM66" s="55">
        <v>1</v>
      </c>
      <c r="GN66" s="55">
        <v>0.97</v>
      </c>
      <c r="GO66" s="55">
        <v>0.95</v>
      </c>
      <c r="GP66" s="55">
        <v>0.93</v>
      </c>
      <c r="GQ66" s="55">
        <f t="shared" si="498"/>
        <v>0.91</v>
      </c>
      <c r="GR66" s="55">
        <f t="shared" si="498"/>
        <v>0.89</v>
      </c>
      <c r="GS66" s="55">
        <f t="shared" si="498"/>
        <v>0.87</v>
      </c>
      <c r="GT66" s="55">
        <f t="shared" si="498"/>
        <v>0.85</v>
      </c>
      <c r="GU66" s="55">
        <f t="shared" si="498"/>
        <v>0.83</v>
      </c>
      <c r="GV66" s="55">
        <f t="shared" si="498"/>
        <v>0.80999999999999994</v>
      </c>
      <c r="GW66" s="55">
        <f t="shared" si="498"/>
        <v>0.78999999999999992</v>
      </c>
      <c r="GX66" s="55">
        <f t="shared" si="498"/>
        <v>0.76999999999999991</v>
      </c>
      <c r="GY66" s="55">
        <f t="shared" si="498"/>
        <v>0.74999999999999989</v>
      </c>
      <c r="GZ66" s="55">
        <f t="shared" si="498"/>
        <v>0.72999999999999987</v>
      </c>
      <c r="HA66" s="55">
        <f t="shared" si="498"/>
        <v>0.70999999999999985</v>
      </c>
      <c r="HB66" s="55">
        <f t="shared" si="498"/>
        <v>0.68999999999999984</v>
      </c>
      <c r="HC66" s="55">
        <f t="shared" si="498"/>
        <v>0.66999999999999982</v>
      </c>
      <c r="HD66" s="55">
        <f t="shared" si="498"/>
        <v>0.6499999999999998</v>
      </c>
      <c r="HE66" s="55">
        <f t="shared" si="498"/>
        <v>0.62999999999999978</v>
      </c>
      <c r="HF66" s="55">
        <f t="shared" si="498"/>
        <v>0.60999999999999976</v>
      </c>
      <c r="HG66" s="55">
        <f t="shared" si="498"/>
        <v>0.58999999999999975</v>
      </c>
      <c r="HH66" s="55">
        <f t="shared" si="498"/>
        <v>0.56999999999999973</v>
      </c>
    </row>
    <row r="67" spans="1:216" x14ac:dyDescent="0.3">
      <c r="A67" s="2">
        <v>5</v>
      </c>
      <c r="C67" s="38" t="s">
        <v>34</v>
      </c>
      <c r="D67" s="42">
        <f>TRUNC(5272.34619441027,-1)</f>
        <v>5270</v>
      </c>
      <c r="E67" s="71">
        <f t="shared" si="365"/>
        <v>17420</v>
      </c>
      <c r="H67" s="55">
        <f t="shared" si="61"/>
        <v>19162</v>
      </c>
      <c r="I67" s="55">
        <f t="shared" si="62"/>
        <v>19162</v>
      </c>
      <c r="J67" s="59">
        <f t="shared" si="63"/>
        <v>63345.739600000001</v>
      </c>
      <c r="K67" s="55">
        <f t="shared" si="366"/>
        <v>18587.14</v>
      </c>
      <c r="L67" s="59">
        <f t="shared" si="367"/>
        <v>61445.367412</v>
      </c>
      <c r="M67" s="55">
        <f t="shared" si="368"/>
        <v>18203.899999999998</v>
      </c>
      <c r="N67" s="59">
        <f t="shared" si="369"/>
        <v>60178.452619999996</v>
      </c>
      <c r="O67" s="55">
        <f t="shared" si="370"/>
        <v>17820.66</v>
      </c>
      <c r="P67" s="59">
        <f t="shared" si="371"/>
        <v>58911.537828</v>
      </c>
      <c r="Q67" s="57">
        <f t="shared" si="372"/>
        <v>17437.420000000002</v>
      </c>
      <c r="R67" s="59">
        <f t="shared" si="373"/>
        <v>57644.623036000005</v>
      </c>
      <c r="S67" s="55">
        <f t="shared" si="374"/>
        <v>17054.18</v>
      </c>
      <c r="T67" s="59">
        <f t="shared" si="375"/>
        <v>56377.708244000001</v>
      </c>
      <c r="U67" s="57">
        <f t="shared" si="376"/>
        <v>16670.939999999999</v>
      </c>
      <c r="V67" s="59">
        <f t="shared" si="377"/>
        <v>55110.793451999998</v>
      </c>
      <c r="W67" s="60">
        <f t="shared" si="378"/>
        <v>16287.699999999999</v>
      </c>
      <c r="X67" s="59">
        <f t="shared" si="379"/>
        <v>53843.878659999995</v>
      </c>
      <c r="Y67" s="57">
        <f t="shared" si="380"/>
        <v>15904.46</v>
      </c>
      <c r="Z67" s="59">
        <f t="shared" si="381"/>
        <v>52576.963867999999</v>
      </c>
      <c r="AA67" s="55">
        <f t="shared" si="382"/>
        <v>15521.22</v>
      </c>
      <c r="AB67" s="59">
        <f t="shared" si="383"/>
        <v>51310.049075999996</v>
      </c>
      <c r="AC67" s="60">
        <f t="shared" si="384"/>
        <v>15137.979999999998</v>
      </c>
      <c r="AD67" s="59">
        <f t="shared" si="385"/>
        <v>50043.134283999992</v>
      </c>
      <c r="AE67" s="60">
        <f t="shared" si="386"/>
        <v>14754.739999999998</v>
      </c>
      <c r="AF67" s="59">
        <f t="shared" si="387"/>
        <v>48776.219491999997</v>
      </c>
      <c r="AG67" s="60">
        <f t="shared" si="388"/>
        <v>14371.499999999998</v>
      </c>
      <c r="AH67" s="59">
        <f t="shared" si="389"/>
        <v>47509.304699999993</v>
      </c>
      <c r="AI67" s="55">
        <f t="shared" si="390"/>
        <v>13988.259999999998</v>
      </c>
      <c r="AJ67" s="59">
        <f t="shared" si="391"/>
        <v>46242.389907999997</v>
      </c>
      <c r="AK67" s="60">
        <f t="shared" si="392"/>
        <v>13605.019999999997</v>
      </c>
      <c r="AL67" s="59">
        <f t="shared" si="393"/>
        <v>44975.475115999987</v>
      </c>
      <c r="AM67" s="60">
        <f t="shared" si="394"/>
        <v>13221.779999999997</v>
      </c>
      <c r="AN67" s="59">
        <f t="shared" si="395"/>
        <v>43708.560323999991</v>
      </c>
      <c r="AO67" s="60">
        <f t="shared" si="396"/>
        <v>12838.539999999997</v>
      </c>
      <c r="AP67" s="59">
        <f t="shared" si="397"/>
        <v>42441.645531999995</v>
      </c>
      <c r="AQ67" s="60">
        <f t="shared" si="398"/>
        <v>12455.299999999996</v>
      </c>
      <c r="AR67" s="59">
        <f t="shared" si="399"/>
        <v>41174.730739999985</v>
      </c>
      <c r="AS67" s="55">
        <f t="shared" si="400"/>
        <v>12072.059999999996</v>
      </c>
      <c r="AT67" s="59">
        <f t="shared" si="401"/>
        <v>39907.815947999989</v>
      </c>
      <c r="AU67" s="60">
        <f t="shared" si="402"/>
        <v>11688.819999999996</v>
      </c>
      <c r="AV67" s="59">
        <f t="shared" si="403"/>
        <v>38640.901155999985</v>
      </c>
      <c r="AW67" s="60">
        <f t="shared" si="404"/>
        <v>11305.579999999994</v>
      </c>
      <c r="AX67" s="59">
        <f t="shared" si="405"/>
        <v>37373.986363999982</v>
      </c>
      <c r="AY67" s="55">
        <f t="shared" si="406"/>
        <v>10922.339999999995</v>
      </c>
      <c r="AZ67" s="59">
        <f t="shared" si="407"/>
        <v>36107.071571999986</v>
      </c>
      <c r="BC67" s="55">
        <v>1</v>
      </c>
      <c r="BD67" s="55">
        <v>0.97</v>
      </c>
      <c r="BE67" s="55">
        <v>0.95</v>
      </c>
      <c r="BF67" s="55">
        <v>0.93</v>
      </c>
      <c r="BG67" s="55">
        <f t="shared" si="408"/>
        <v>0.91</v>
      </c>
      <c r="BH67" s="55">
        <f t="shared" si="408"/>
        <v>0.89</v>
      </c>
      <c r="BI67" s="55">
        <f t="shared" si="408"/>
        <v>0.87</v>
      </c>
      <c r="BJ67" s="55">
        <f t="shared" si="408"/>
        <v>0.85</v>
      </c>
      <c r="BK67" s="55">
        <f t="shared" si="408"/>
        <v>0.83</v>
      </c>
      <c r="BL67" s="55">
        <f t="shared" si="408"/>
        <v>0.80999999999999994</v>
      </c>
      <c r="BM67" s="55">
        <f t="shared" si="408"/>
        <v>0.78999999999999992</v>
      </c>
      <c r="BN67" s="55">
        <f t="shared" si="408"/>
        <v>0.76999999999999991</v>
      </c>
      <c r="BO67" s="55">
        <f t="shared" si="408"/>
        <v>0.74999999999999989</v>
      </c>
      <c r="BP67" s="55">
        <f t="shared" si="408"/>
        <v>0.72999999999999987</v>
      </c>
      <c r="BQ67" s="55">
        <f t="shared" si="408"/>
        <v>0.70999999999999985</v>
      </c>
      <c r="BR67" s="55">
        <f t="shared" si="408"/>
        <v>0.68999999999999984</v>
      </c>
      <c r="BS67" s="55">
        <f t="shared" si="408"/>
        <v>0.66999999999999982</v>
      </c>
      <c r="BT67" s="55">
        <f t="shared" si="408"/>
        <v>0.6499999999999998</v>
      </c>
      <c r="BU67" s="55">
        <f t="shared" si="408"/>
        <v>0.62999999999999978</v>
      </c>
      <c r="BV67" s="55">
        <f t="shared" si="408"/>
        <v>0.60999999999999976</v>
      </c>
      <c r="BW67" s="55">
        <f t="shared" si="408"/>
        <v>0.58999999999999975</v>
      </c>
      <c r="BX67" s="55">
        <f t="shared" si="408"/>
        <v>0.56999999999999973</v>
      </c>
      <c r="BZ67" s="55">
        <f t="shared" si="88"/>
        <v>17437.420000000002</v>
      </c>
      <c r="CA67" s="55">
        <f t="shared" si="89"/>
        <v>17437.420000000002</v>
      </c>
      <c r="CB67" s="59">
        <f t="shared" si="409"/>
        <v>57644.623036000005</v>
      </c>
      <c r="CC67" s="55">
        <f t="shared" si="410"/>
        <v>16914.297400000003</v>
      </c>
      <c r="CD67" s="59">
        <f t="shared" si="411"/>
        <v>55915.284344920008</v>
      </c>
      <c r="CE67" s="55">
        <f t="shared" si="412"/>
        <v>16565.549000000003</v>
      </c>
      <c r="CF67" s="59">
        <f t="shared" si="413"/>
        <v>54762.391884200013</v>
      </c>
      <c r="CG67" s="55">
        <f t="shared" si="414"/>
        <v>16216.800600000002</v>
      </c>
      <c r="CH67" s="59">
        <f t="shared" si="415"/>
        <v>53609.499423480011</v>
      </c>
      <c r="CI67" s="57">
        <f t="shared" si="416"/>
        <v>15868.052200000002</v>
      </c>
      <c r="CJ67" s="59">
        <f t="shared" si="417"/>
        <v>52456.606962760008</v>
      </c>
      <c r="CK67" s="55">
        <f t="shared" si="418"/>
        <v>15519.303800000002</v>
      </c>
      <c r="CL67" s="59">
        <f t="shared" si="419"/>
        <v>51303.714502040006</v>
      </c>
      <c r="CM67" s="57">
        <f t="shared" si="420"/>
        <v>15170.555400000001</v>
      </c>
      <c r="CN67" s="59">
        <f t="shared" si="421"/>
        <v>50150.822041320003</v>
      </c>
      <c r="CO67" s="60">
        <f t="shared" si="422"/>
        <v>14821.807000000001</v>
      </c>
      <c r="CP67" s="59">
        <f t="shared" si="423"/>
        <v>48997.929580600001</v>
      </c>
      <c r="CQ67" s="57">
        <f t="shared" si="424"/>
        <v>14473.0586</v>
      </c>
      <c r="CR67" s="59">
        <f t="shared" si="425"/>
        <v>47845.037119879998</v>
      </c>
      <c r="CS67" s="55">
        <f t="shared" si="426"/>
        <v>14124.3102</v>
      </c>
      <c r="CT67" s="59">
        <f t="shared" si="427"/>
        <v>46692.144659160003</v>
      </c>
      <c r="CU67" s="60">
        <f t="shared" si="428"/>
        <v>13775.561799999999</v>
      </c>
      <c r="CV67" s="59">
        <f t="shared" si="429"/>
        <v>45539.252198440001</v>
      </c>
      <c r="CW67" s="60">
        <f t="shared" si="430"/>
        <v>13426.813399999999</v>
      </c>
      <c r="CX67" s="59">
        <f t="shared" si="431"/>
        <v>44386.359737719999</v>
      </c>
      <c r="CY67" s="60">
        <f t="shared" si="432"/>
        <v>13078.064999999999</v>
      </c>
      <c r="CZ67" s="59">
        <f t="shared" si="433"/>
        <v>43233.467276999996</v>
      </c>
      <c r="DA67" s="55">
        <f t="shared" si="434"/>
        <v>12729.316599999998</v>
      </c>
      <c r="DB67" s="59">
        <f t="shared" si="435"/>
        <v>42080.574816279994</v>
      </c>
      <c r="DC67" s="60">
        <f t="shared" si="436"/>
        <v>12380.568199999998</v>
      </c>
      <c r="DD67" s="59">
        <f t="shared" si="437"/>
        <v>40927.682355559991</v>
      </c>
      <c r="DE67" s="60">
        <f t="shared" si="438"/>
        <v>12031.819799999999</v>
      </c>
      <c r="DF67" s="59">
        <f t="shared" si="439"/>
        <v>39774.789894839996</v>
      </c>
      <c r="DG67" s="60">
        <f t="shared" si="440"/>
        <v>11683.071399999999</v>
      </c>
      <c r="DH67" s="59">
        <f t="shared" si="441"/>
        <v>38621.897434119994</v>
      </c>
      <c r="DI67" s="60">
        <f t="shared" si="442"/>
        <v>11334.322999999999</v>
      </c>
      <c r="DJ67" s="59">
        <f t="shared" si="443"/>
        <v>37469.004973399999</v>
      </c>
      <c r="DK67" s="55">
        <f t="shared" si="444"/>
        <v>10985.574599999998</v>
      </c>
      <c r="DL67" s="59">
        <f t="shared" si="445"/>
        <v>36316.112512679996</v>
      </c>
      <c r="DM67" s="60">
        <f t="shared" si="446"/>
        <v>10636.826199999998</v>
      </c>
      <c r="DN67" s="59">
        <f t="shared" si="447"/>
        <v>35163.220051959994</v>
      </c>
      <c r="DO67" s="60">
        <f t="shared" si="448"/>
        <v>10288.077799999997</v>
      </c>
      <c r="DP67" s="59">
        <f t="shared" si="449"/>
        <v>34010.327591239991</v>
      </c>
      <c r="DQ67" s="55">
        <f t="shared" si="450"/>
        <v>9939.3293999999969</v>
      </c>
      <c r="DR67" s="59">
        <f t="shared" si="451"/>
        <v>32857.435130519989</v>
      </c>
      <c r="DU67" s="55">
        <v>1</v>
      </c>
      <c r="DV67" s="55">
        <v>0.97</v>
      </c>
      <c r="DW67" s="55">
        <v>0.95</v>
      </c>
      <c r="DX67" s="55">
        <v>0.93</v>
      </c>
      <c r="DY67" s="55">
        <f t="shared" si="497"/>
        <v>0.91</v>
      </c>
      <c r="DZ67" s="55">
        <f t="shared" si="497"/>
        <v>0.89</v>
      </c>
      <c r="EA67" s="55">
        <f t="shared" si="497"/>
        <v>0.87</v>
      </c>
      <c r="EB67" s="55">
        <f t="shared" si="497"/>
        <v>0.85</v>
      </c>
      <c r="EC67" s="55">
        <f t="shared" si="497"/>
        <v>0.83</v>
      </c>
      <c r="ED67" s="55">
        <f t="shared" si="497"/>
        <v>0.80999999999999994</v>
      </c>
      <c r="EE67" s="55">
        <f t="shared" si="497"/>
        <v>0.78999999999999992</v>
      </c>
      <c r="EF67" s="55">
        <f t="shared" si="497"/>
        <v>0.76999999999999991</v>
      </c>
      <c r="EG67" s="55">
        <f t="shared" si="497"/>
        <v>0.74999999999999989</v>
      </c>
      <c r="EH67" s="55">
        <f t="shared" si="497"/>
        <v>0.72999999999999987</v>
      </c>
      <c r="EI67" s="55">
        <f t="shared" si="497"/>
        <v>0.70999999999999985</v>
      </c>
      <c r="EJ67" s="55">
        <f t="shared" si="497"/>
        <v>0.68999999999999984</v>
      </c>
      <c r="EK67" s="55">
        <f t="shared" si="497"/>
        <v>0.66999999999999982</v>
      </c>
      <c r="EL67" s="55">
        <f t="shared" si="497"/>
        <v>0.6499999999999998</v>
      </c>
      <c r="EM67" s="55">
        <f t="shared" si="497"/>
        <v>0.62999999999999978</v>
      </c>
      <c r="EN67" s="55">
        <f t="shared" si="497"/>
        <v>0.60999999999999976</v>
      </c>
      <c r="EO67" s="55">
        <f t="shared" si="497"/>
        <v>0.58999999999999975</v>
      </c>
      <c r="EP67" s="55">
        <f t="shared" si="497"/>
        <v>0.56999999999999973</v>
      </c>
      <c r="ER67" s="55">
        <f t="shared" si="142"/>
        <v>15868.052200000002</v>
      </c>
      <c r="ES67" s="55">
        <f t="shared" si="116"/>
        <v>15868.052200000002</v>
      </c>
      <c r="ET67" s="59">
        <f t="shared" si="453"/>
        <v>52456.606962760008</v>
      </c>
      <c r="EU67" s="55">
        <f t="shared" si="454"/>
        <v>15392.010634000002</v>
      </c>
      <c r="EV67" s="59">
        <f t="shared" si="455"/>
        <v>50882.908753877207</v>
      </c>
      <c r="EW67" s="55">
        <f t="shared" si="456"/>
        <v>15074.649590000001</v>
      </c>
      <c r="EX67" s="59">
        <f t="shared" si="457"/>
        <v>49833.776614622002</v>
      </c>
      <c r="EY67" s="55">
        <f t="shared" si="458"/>
        <v>14757.288546000003</v>
      </c>
      <c r="EZ67" s="59">
        <f t="shared" si="459"/>
        <v>48784.644475366811</v>
      </c>
      <c r="FA67" s="57">
        <f t="shared" si="460"/>
        <v>14439.927502000002</v>
      </c>
      <c r="FB67" s="59">
        <f t="shared" si="461"/>
        <v>47735.512336111606</v>
      </c>
      <c r="FC67" s="55">
        <f t="shared" si="462"/>
        <v>14122.566458000001</v>
      </c>
      <c r="FD67" s="59">
        <f t="shared" si="463"/>
        <v>46686.380196856408</v>
      </c>
      <c r="FE67" s="57">
        <f t="shared" si="464"/>
        <v>13805.205414000002</v>
      </c>
      <c r="FF67" s="59">
        <f t="shared" si="465"/>
        <v>45637.248057601209</v>
      </c>
      <c r="FG67" s="60">
        <f t="shared" si="466"/>
        <v>13487.844370000001</v>
      </c>
      <c r="FH67" s="59">
        <f t="shared" si="467"/>
        <v>44588.115918346004</v>
      </c>
      <c r="FI67" s="57">
        <f t="shared" si="468"/>
        <v>13170.483326000001</v>
      </c>
      <c r="FJ67" s="59">
        <f t="shared" si="469"/>
        <v>43538.983779090806</v>
      </c>
      <c r="FK67" s="55">
        <f t="shared" si="470"/>
        <v>12853.122282</v>
      </c>
      <c r="FL67" s="59">
        <f t="shared" si="471"/>
        <v>42489.851639835601</v>
      </c>
      <c r="FM67" s="60">
        <f t="shared" si="472"/>
        <v>12535.761238000001</v>
      </c>
      <c r="FN67" s="59">
        <f t="shared" si="473"/>
        <v>41440.719500580402</v>
      </c>
      <c r="FO67" s="60">
        <f t="shared" si="474"/>
        <v>12218.400194</v>
      </c>
      <c r="FP67" s="59">
        <f t="shared" si="475"/>
        <v>40391.587361325197</v>
      </c>
      <c r="FQ67" s="60">
        <f t="shared" si="476"/>
        <v>11901.039150000001</v>
      </c>
      <c r="FR67" s="59">
        <f t="shared" si="477"/>
        <v>39342.455222070006</v>
      </c>
      <c r="FS67" s="55">
        <f t="shared" si="478"/>
        <v>11583.678105999999</v>
      </c>
      <c r="FT67" s="59">
        <f t="shared" si="479"/>
        <v>38293.323082814801</v>
      </c>
      <c r="FU67" s="60">
        <f t="shared" si="480"/>
        <v>11266.317061999998</v>
      </c>
      <c r="FV67" s="59">
        <f t="shared" si="481"/>
        <v>37244.190943559595</v>
      </c>
      <c r="FW67" s="60">
        <f t="shared" si="482"/>
        <v>10948.956017999999</v>
      </c>
      <c r="FX67" s="59">
        <f t="shared" si="483"/>
        <v>36195.058804304397</v>
      </c>
      <c r="FY67" s="60">
        <f t="shared" si="484"/>
        <v>10631.594973999998</v>
      </c>
      <c r="FZ67" s="59">
        <f t="shared" si="485"/>
        <v>35145.926665049192</v>
      </c>
      <c r="GA67" s="60">
        <f t="shared" si="486"/>
        <v>10314.233929999999</v>
      </c>
      <c r="GB67" s="59">
        <f t="shared" si="487"/>
        <v>34096.794525793994</v>
      </c>
      <c r="GC67" s="55">
        <f t="shared" si="488"/>
        <v>9996.8728859999974</v>
      </c>
      <c r="GD67" s="59">
        <f t="shared" si="489"/>
        <v>33047.662386538796</v>
      </c>
      <c r="GE67" s="60">
        <f t="shared" si="490"/>
        <v>9679.5118419999981</v>
      </c>
      <c r="GF67" s="59">
        <f t="shared" si="491"/>
        <v>31998.530247283594</v>
      </c>
      <c r="GG67" s="60">
        <f t="shared" si="492"/>
        <v>9362.1507979999969</v>
      </c>
      <c r="GH67" s="59">
        <f t="shared" si="493"/>
        <v>30949.398108028392</v>
      </c>
      <c r="GI67" s="55">
        <f t="shared" si="494"/>
        <v>9044.7897539999976</v>
      </c>
      <c r="GJ67" s="59">
        <f t="shared" si="495"/>
        <v>29900.265968773194</v>
      </c>
      <c r="GK67" s="55"/>
      <c r="GL67" s="55"/>
      <c r="GM67" s="55">
        <v>1</v>
      </c>
      <c r="GN67" s="55">
        <v>0.97</v>
      </c>
      <c r="GO67" s="55">
        <v>0.95</v>
      </c>
      <c r="GP67" s="55">
        <v>0.93</v>
      </c>
      <c r="GQ67" s="55">
        <f t="shared" si="498"/>
        <v>0.91</v>
      </c>
      <c r="GR67" s="55">
        <f t="shared" si="498"/>
        <v>0.89</v>
      </c>
      <c r="GS67" s="55">
        <f t="shared" si="498"/>
        <v>0.87</v>
      </c>
      <c r="GT67" s="55">
        <f t="shared" si="498"/>
        <v>0.85</v>
      </c>
      <c r="GU67" s="55">
        <f t="shared" si="498"/>
        <v>0.83</v>
      </c>
      <c r="GV67" s="55">
        <f t="shared" si="498"/>
        <v>0.80999999999999994</v>
      </c>
      <c r="GW67" s="55">
        <f t="shared" si="498"/>
        <v>0.78999999999999992</v>
      </c>
      <c r="GX67" s="55">
        <f t="shared" si="498"/>
        <v>0.76999999999999991</v>
      </c>
      <c r="GY67" s="55">
        <f t="shared" si="498"/>
        <v>0.74999999999999989</v>
      </c>
      <c r="GZ67" s="55">
        <f t="shared" si="498"/>
        <v>0.72999999999999987</v>
      </c>
      <c r="HA67" s="55">
        <f t="shared" si="498"/>
        <v>0.70999999999999985</v>
      </c>
      <c r="HB67" s="55">
        <f t="shared" si="498"/>
        <v>0.68999999999999984</v>
      </c>
      <c r="HC67" s="55">
        <f t="shared" si="498"/>
        <v>0.66999999999999982</v>
      </c>
      <c r="HD67" s="55">
        <f t="shared" si="498"/>
        <v>0.6499999999999998</v>
      </c>
      <c r="HE67" s="55">
        <f t="shared" si="498"/>
        <v>0.62999999999999978</v>
      </c>
      <c r="HF67" s="55">
        <f t="shared" si="498"/>
        <v>0.60999999999999976</v>
      </c>
      <c r="HG67" s="55">
        <f t="shared" si="498"/>
        <v>0.58999999999999975</v>
      </c>
      <c r="HH67" s="55">
        <f t="shared" si="498"/>
        <v>0.56999999999999973</v>
      </c>
    </row>
    <row r="68" spans="1:216" x14ac:dyDescent="0.3">
      <c r="A68" s="2">
        <v>6</v>
      </c>
      <c r="C68" s="38" t="s">
        <v>178</v>
      </c>
      <c r="D68" s="42">
        <v>0</v>
      </c>
      <c r="E68" s="71">
        <f t="shared" si="365"/>
        <v>0</v>
      </c>
      <c r="H68" s="55">
        <f t="shared" si="61"/>
        <v>0</v>
      </c>
      <c r="I68" s="55">
        <f t="shared" si="62"/>
        <v>0</v>
      </c>
      <c r="J68" s="59">
        <f t="shared" si="63"/>
        <v>0</v>
      </c>
      <c r="K68" s="55">
        <f t="shared" si="366"/>
        <v>0</v>
      </c>
      <c r="L68" s="59">
        <f t="shared" si="367"/>
        <v>0</v>
      </c>
      <c r="M68" s="55">
        <f t="shared" si="368"/>
        <v>0</v>
      </c>
      <c r="N68" s="59">
        <f t="shared" si="369"/>
        <v>0</v>
      </c>
      <c r="O68" s="55">
        <f t="shared" si="370"/>
        <v>0</v>
      </c>
      <c r="P68" s="59">
        <f t="shared" si="371"/>
        <v>0</v>
      </c>
      <c r="Q68" s="57">
        <f t="shared" si="372"/>
        <v>0</v>
      </c>
      <c r="R68" s="59">
        <f t="shared" si="373"/>
        <v>0</v>
      </c>
      <c r="S68" s="55">
        <f t="shared" si="374"/>
        <v>0</v>
      </c>
      <c r="T68" s="59">
        <f t="shared" si="375"/>
        <v>0</v>
      </c>
      <c r="U68" s="57">
        <f t="shared" si="376"/>
        <v>0</v>
      </c>
      <c r="V68" s="59">
        <f t="shared" si="377"/>
        <v>0</v>
      </c>
      <c r="W68" s="60">
        <f t="shared" si="378"/>
        <v>0</v>
      </c>
      <c r="X68" s="59">
        <f t="shared" si="379"/>
        <v>0</v>
      </c>
      <c r="Y68" s="57">
        <f t="shared" si="380"/>
        <v>0</v>
      </c>
      <c r="Z68" s="59">
        <f t="shared" si="381"/>
        <v>0</v>
      </c>
      <c r="AA68" s="55">
        <f t="shared" si="382"/>
        <v>0</v>
      </c>
      <c r="AB68" s="59">
        <f t="shared" si="383"/>
        <v>0</v>
      </c>
      <c r="AC68" s="60">
        <f t="shared" si="384"/>
        <v>0</v>
      </c>
      <c r="AD68" s="59">
        <f t="shared" si="385"/>
        <v>0</v>
      </c>
      <c r="AE68" s="60">
        <f t="shared" si="386"/>
        <v>0</v>
      </c>
      <c r="AF68" s="59">
        <f t="shared" si="387"/>
        <v>0</v>
      </c>
      <c r="AG68" s="60">
        <f t="shared" si="388"/>
        <v>0</v>
      </c>
      <c r="AH68" s="59">
        <f t="shared" si="389"/>
        <v>0</v>
      </c>
      <c r="AI68" s="55">
        <f t="shared" si="390"/>
        <v>0</v>
      </c>
      <c r="AJ68" s="59">
        <f t="shared" si="391"/>
        <v>0</v>
      </c>
      <c r="AK68" s="60">
        <f t="shared" si="392"/>
        <v>0</v>
      </c>
      <c r="AL68" s="59">
        <f t="shared" si="393"/>
        <v>0</v>
      </c>
      <c r="AM68" s="60">
        <f t="shared" si="394"/>
        <v>0</v>
      </c>
      <c r="AN68" s="59">
        <f t="shared" si="395"/>
        <v>0</v>
      </c>
      <c r="AO68" s="60">
        <f t="shared" si="396"/>
        <v>0</v>
      </c>
      <c r="AP68" s="59">
        <f t="shared" si="397"/>
        <v>0</v>
      </c>
      <c r="AQ68" s="60">
        <f t="shared" si="398"/>
        <v>0</v>
      </c>
      <c r="AR68" s="59">
        <f t="shared" si="399"/>
        <v>0</v>
      </c>
      <c r="AS68" s="55">
        <f t="shared" si="400"/>
        <v>0</v>
      </c>
      <c r="AT68" s="59">
        <f t="shared" si="401"/>
        <v>0</v>
      </c>
      <c r="AU68" s="60">
        <f t="shared" si="402"/>
        <v>0</v>
      </c>
      <c r="AV68" s="59">
        <f t="shared" si="403"/>
        <v>0</v>
      </c>
      <c r="AW68" s="60">
        <f t="shared" si="404"/>
        <v>0</v>
      </c>
      <c r="AX68" s="59">
        <f t="shared" si="405"/>
        <v>0</v>
      </c>
      <c r="AY68" s="55">
        <f t="shared" si="406"/>
        <v>0</v>
      </c>
      <c r="AZ68" s="59">
        <f t="shared" si="407"/>
        <v>0</v>
      </c>
      <c r="BC68" s="55">
        <v>1</v>
      </c>
      <c r="BD68" s="55">
        <v>0.97</v>
      </c>
      <c r="BE68" s="55">
        <v>0.95</v>
      </c>
      <c r="BF68" s="55">
        <v>0.93</v>
      </c>
      <c r="BG68" s="55">
        <f t="shared" si="408"/>
        <v>0.91</v>
      </c>
      <c r="BH68" s="55">
        <f t="shared" si="408"/>
        <v>0.89</v>
      </c>
      <c r="BI68" s="55">
        <f t="shared" si="408"/>
        <v>0.87</v>
      </c>
      <c r="BJ68" s="55">
        <f t="shared" si="408"/>
        <v>0.85</v>
      </c>
      <c r="BK68" s="55">
        <f t="shared" si="408"/>
        <v>0.83</v>
      </c>
      <c r="BL68" s="55">
        <f t="shared" si="408"/>
        <v>0.80999999999999994</v>
      </c>
      <c r="BM68" s="55">
        <f t="shared" si="408"/>
        <v>0.78999999999999992</v>
      </c>
      <c r="BN68" s="55">
        <f t="shared" si="408"/>
        <v>0.76999999999999991</v>
      </c>
      <c r="BO68" s="55">
        <f t="shared" si="408"/>
        <v>0.74999999999999989</v>
      </c>
      <c r="BP68" s="55">
        <f t="shared" si="408"/>
        <v>0.72999999999999987</v>
      </c>
      <c r="BQ68" s="55">
        <f t="shared" si="408"/>
        <v>0.70999999999999985</v>
      </c>
      <c r="BR68" s="55">
        <f t="shared" si="408"/>
        <v>0.68999999999999984</v>
      </c>
      <c r="BS68" s="55">
        <f t="shared" si="408"/>
        <v>0.66999999999999982</v>
      </c>
      <c r="BT68" s="55">
        <f t="shared" si="408"/>
        <v>0.6499999999999998</v>
      </c>
      <c r="BU68" s="55">
        <f t="shared" si="408"/>
        <v>0.62999999999999978</v>
      </c>
      <c r="BV68" s="55">
        <f t="shared" si="408"/>
        <v>0.60999999999999976</v>
      </c>
      <c r="BW68" s="55">
        <f t="shared" si="408"/>
        <v>0.58999999999999975</v>
      </c>
      <c r="BX68" s="55">
        <f t="shared" si="408"/>
        <v>0.56999999999999973</v>
      </c>
      <c r="BZ68" s="55">
        <f t="shared" si="88"/>
        <v>0</v>
      </c>
      <c r="CA68" s="55">
        <f t="shared" si="89"/>
        <v>0</v>
      </c>
      <c r="CB68" s="59">
        <f t="shared" si="409"/>
        <v>0</v>
      </c>
      <c r="CC68" s="55">
        <f t="shared" si="410"/>
        <v>0</v>
      </c>
      <c r="CD68" s="59">
        <f t="shared" si="411"/>
        <v>0</v>
      </c>
      <c r="CE68" s="55">
        <f t="shared" si="412"/>
        <v>0</v>
      </c>
      <c r="CF68" s="59">
        <f t="shared" si="413"/>
        <v>0</v>
      </c>
      <c r="CG68" s="55">
        <f t="shared" si="414"/>
        <v>0</v>
      </c>
      <c r="CH68" s="59">
        <f t="shared" si="415"/>
        <v>0</v>
      </c>
      <c r="CI68" s="57">
        <f t="shared" si="416"/>
        <v>0</v>
      </c>
      <c r="CJ68" s="59">
        <f t="shared" si="417"/>
        <v>0</v>
      </c>
      <c r="CK68" s="55">
        <f t="shared" si="418"/>
        <v>0</v>
      </c>
      <c r="CL68" s="59">
        <f t="shared" si="419"/>
        <v>0</v>
      </c>
      <c r="CM68" s="57">
        <f t="shared" si="420"/>
        <v>0</v>
      </c>
      <c r="CN68" s="59">
        <f t="shared" si="421"/>
        <v>0</v>
      </c>
      <c r="CO68" s="60">
        <f t="shared" si="422"/>
        <v>0</v>
      </c>
      <c r="CP68" s="59">
        <f t="shared" si="423"/>
        <v>0</v>
      </c>
      <c r="CQ68" s="57">
        <f t="shared" si="424"/>
        <v>0</v>
      </c>
      <c r="CR68" s="59">
        <f t="shared" si="425"/>
        <v>0</v>
      </c>
      <c r="CS68" s="55">
        <f t="shared" si="426"/>
        <v>0</v>
      </c>
      <c r="CT68" s="59">
        <f t="shared" si="427"/>
        <v>0</v>
      </c>
      <c r="CU68" s="60">
        <f t="shared" si="428"/>
        <v>0</v>
      </c>
      <c r="CV68" s="59">
        <f t="shared" si="429"/>
        <v>0</v>
      </c>
      <c r="CW68" s="60">
        <f t="shared" si="430"/>
        <v>0</v>
      </c>
      <c r="CX68" s="59">
        <f t="shared" si="431"/>
        <v>0</v>
      </c>
      <c r="CY68" s="60">
        <f t="shared" si="432"/>
        <v>0</v>
      </c>
      <c r="CZ68" s="59">
        <f t="shared" si="433"/>
        <v>0</v>
      </c>
      <c r="DA68" s="55">
        <f t="shared" si="434"/>
        <v>0</v>
      </c>
      <c r="DB68" s="59">
        <f t="shared" si="435"/>
        <v>0</v>
      </c>
      <c r="DC68" s="60">
        <f t="shared" si="436"/>
        <v>0</v>
      </c>
      <c r="DD68" s="59">
        <f t="shared" si="437"/>
        <v>0</v>
      </c>
      <c r="DE68" s="60">
        <f t="shared" si="438"/>
        <v>0</v>
      </c>
      <c r="DF68" s="59">
        <f t="shared" si="439"/>
        <v>0</v>
      </c>
      <c r="DG68" s="60">
        <f t="shared" si="440"/>
        <v>0</v>
      </c>
      <c r="DH68" s="59">
        <f t="shared" si="441"/>
        <v>0</v>
      </c>
      <c r="DI68" s="60">
        <f t="shared" si="442"/>
        <v>0</v>
      </c>
      <c r="DJ68" s="59">
        <f t="shared" si="443"/>
        <v>0</v>
      </c>
      <c r="DK68" s="55">
        <f t="shared" si="444"/>
        <v>0</v>
      </c>
      <c r="DL68" s="59">
        <f t="shared" si="445"/>
        <v>0</v>
      </c>
      <c r="DM68" s="60">
        <f t="shared" si="446"/>
        <v>0</v>
      </c>
      <c r="DN68" s="59">
        <f t="shared" si="447"/>
        <v>0</v>
      </c>
      <c r="DO68" s="60">
        <f t="shared" si="448"/>
        <v>0</v>
      </c>
      <c r="DP68" s="59">
        <f t="shared" si="449"/>
        <v>0</v>
      </c>
      <c r="DQ68" s="55">
        <f t="shared" si="450"/>
        <v>0</v>
      </c>
      <c r="DR68" s="59">
        <f t="shared" si="451"/>
        <v>0</v>
      </c>
      <c r="DU68" s="55">
        <v>1</v>
      </c>
      <c r="DV68" s="55">
        <v>0.97</v>
      </c>
      <c r="DW68" s="55">
        <v>0.95</v>
      </c>
      <c r="DX68" s="55">
        <v>0.93</v>
      </c>
      <c r="DY68" s="55">
        <f t="shared" si="497"/>
        <v>0.91</v>
      </c>
      <c r="DZ68" s="55">
        <f t="shared" si="497"/>
        <v>0.89</v>
      </c>
      <c r="EA68" s="55">
        <f t="shared" si="497"/>
        <v>0.87</v>
      </c>
      <c r="EB68" s="55">
        <f t="shared" si="497"/>
        <v>0.85</v>
      </c>
      <c r="EC68" s="55">
        <f t="shared" si="497"/>
        <v>0.83</v>
      </c>
      <c r="ED68" s="55">
        <f t="shared" si="497"/>
        <v>0.80999999999999994</v>
      </c>
      <c r="EE68" s="55">
        <f t="shared" si="497"/>
        <v>0.78999999999999992</v>
      </c>
      <c r="EF68" s="55">
        <f t="shared" si="497"/>
        <v>0.76999999999999991</v>
      </c>
      <c r="EG68" s="55">
        <f t="shared" si="497"/>
        <v>0.74999999999999989</v>
      </c>
      <c r="EH68" s="55">
        <f t="shared" si="497"/>
        <v>0.72999999999999987</v>
      </c>
      <c r="EI68" s="55">
        <f t="shared" si="497"/>
        <v>0.70999999999999985</v>
      </c>
      <c r="EJ68" s="55">
        <f t="shared" si="497"/>
        <v>0.68999999999999984</v>
      </c>
      <c r="EK68" s="55">
        <f t="shared" si="497"/>
        <v>0.66999999999999982</v>
      </c>
      <c r="EL68" s="55">
        <f t="shared" si="497"/>
        <v>0.6499999999999998</v>
      </c>
      <c r="EM68" s="55">
        <f t="shared" si="497"/>
        <v>0.62999999999999978</v>
      </c>
      <c r="EN68" s="55">
        <f t="shared" si="497"/>
        <v>0.60999999999999976</v>
      </c>
      <c r="EO68" s="55">
        <f t="shared" si="497"/>
        <v>0.58999999999999975</v>
      </c>
      <c r="EP68" s="55">
        <f t="shared" si="497"/>
        <v>0.56999999999999973</v>
      </c>
      <c r="ER68" s="55">
        <f t="shared" si="142"/>
        <v>0</v>
      </c>
      <c r="ES68" s="55">
        <f t="shared" si="116"/>
        <v>0</v>
      </c>
      <c r="ET68" s="59">
        <f t="shared" si="453"/>
        <v>0</v>
      </c>
      <c r="EU68" s="55">
        <f t="shared" si="454"/>
        <v>0</v>
      </c>
      <c r="EV68" s="59">
        <f t="shared" si="455"/>
        <v>0</v>
      </c>
      <c r="EW68" s="55">
        <f t="shared" si="456"/>
        <v>0</v>
      </c>
      <c r="EX68" s="59">
        <f t="shared" si="457"/>
        <v>0</v>
      </c>
      <c r="EY68" s="55">
        <f t="shared" si="458"/>
        <v>0</v>
      </c>
      <c r="EZ68" s="59">
        <f t="shared" si="459"/>
        <v>0</v>
      </c>
      <c r="FA68" s="57">
        <f t="shared" si="460"/>
        <v>0</v>
      </c>
      <c r="FB68" s="59">
        <f t="shared" si="461"/>
        <v>0</v>
      </c>
      <c r="FC68" s="55">
        <f t="shared" si="462"/>
        <v>0</v>
      </c>
      <c r="FD68" s="59">
        <f t="shared" si="463"/>
        <v>0</v>
      </c>
      <c r="FE68" s="57">
        <f t="shared" si="464"/>
        <v>0</v>
      </c>
      <c r="FF68" s="59">
        <f t="shared" si="465"/>
        <v>0</v>
      </c>
      <c r="FG68" s="60">
        <f t="shared" si="466"/>
        <v>0</v>
      </c>
      <c r="FH68" s="59">
        <f t="shared" si="467"/>
        <v>0</v>
      </c>
      <c r="FI68" s="57">
        <f t="shared" si="468"/>
        <v>0</v>
      </c>
      <c r="FJ68" s="59">
        <f t="shared" si="469"/>
        <v>0</v>
      </c>
      <c r="FK68" s="55">
        <f t="shared" si="470"/>
        <v>0</v>
      </c>
      <c r="FL68" s="59">
        <f t="shared" si="471"/>
        <v>0</v>
      </c>
      <c r="FM68" s="60">
        <f t="shared" si="472"/>
        <v>0</v>
      </c>
      <c r="FN68" s="59">
        <f t="shared" si="473"/>
        <v>0</v>
      </c>
      <c r="FO68" s="60">
        <f t="shared" si="474"/>
        <v>0</v>
      </c>
      <c r="FP68" s="59">
        <f t="shared" si="475"/>
        <v>0</v>
      </c>
      <c r="FQ68" s="60">
        <f t="shared" si="476"/>
        <v>0</v>
      </c>
      <c r="FR68" s="59">
        <f t="shared" si="477"/>
        <v>0</v>
      </c>
      <c r="FS68" s="55">
        <f t="shared" si="478"/>
        <v>0</v>
      </c>
      <c r="FT68" s="59">
        <f t="shared" si="479"/>
        <v>0</v>
      </c>
      <c r="FU68" s="60">
        <f t="shared" si="480"/>
        <v>0</v>
      </c>
      <c r="FV68" s="59">
        <f t="shared" si="481"/>
        <v>0</v>
      </c>
      <c r="FW68" s="60">
        <f t="shared" si="482"/>
        <v>0</v>
      </c>
      <c r="FX68" s="59">
        <f t="shared" si="483"/>
        <v>0</v>
      </c>
      <c r="FY68" s="60">
        <f t="shared" si="484"/>
        <v>0</v>
      </c>
      <c r="FZ68" s="59">
        <f t="shared" si="485"/>
        <v>0</v>
      </c>
      <c r="GA68" s="60">
        <f t="shared" si="486"/>
        <v>0</v>
      </c>
      <c r="GB68" s="59">
        <f t="shared" si="487"/>
        <v>0</v>
      </c>
      <c r="GC68" s="55">
        <f t="shared" si="488"/>
        <v>0</v>
      </c>
      <c r="GD68" s="59">
        <f t="shared" si="489"/>
        <v>0</v>
      </c>
      <c r="GE68" s="60">
        <f t="shared" si="490"/>
        <v>0</v>
      </c>
      <c r="GF68" s="59">
        <f t="shared" si="491"/>
        <v>0</v>
      </c>
      <c r="GG68" s="60">
        <f t="shared" si="492"/>
        <v>0</v>
      </c>
      <c r="GH68" s="59">
        <f t="shared" si="493"/>
        <v>0</v>
      </c>
      <c r="GI68" s="55">
        <f t="shared" si="494"/>
        <v>0</v>
      </c>
      <c r="GJ68" s="59">
        <f t="shared" si="495"/>
        <v>0</v>
      </c>
      <c r="GK68" s="55"/>
      <c r="GL68" s="55"/>
      <c r="GM68" s="55">
        <v>1</v>
      </c>
      <c r="GN68" s="55">
        <v>0.97</v>
      </c>
      <c r="GO68" s="55">
        <v>0.95</v>
      </c>
      <c r="GP68" s="55">
        <v>0.93</v>
      </c>
      <c r="GQ68" s="55">
        <f t="shared" si="498"/>
        <v>0.91</v>
      </c>
      <c r="GR68" s="55">
        <f t="shared" si="498"/>
        <v>0.89</v>
      </c>
      <c r="GS68" s="55">
        <f t="shared" si="498"/>
        <v>0.87</v>
      </c>
      <c r="GT68" s="55">
        <f t="shared" si="498"/>
        <v>0.85</v>
      </c>
      <c r="GU68" s="55">
        <f t="shared" si="498"/>
        <v>0.83</v>
      </c>
      <c r="GV68" s="55">
        <f t="shared" si="498"/>
        <v>0.80999999999999994</v>
      </c>
      <c r="GW68" s="55">
        <f t="shared" si="498"/>
        <v>0.78999999999999992</v>
      </c>
      <c r="GX68" s="55">
        <f t="shared" si="498"/>
        <v>0.76999999999999991</v>
      </c>
      <c r="GY68" s="55">
        <f t="shared" si="498"/>
        <v>0.74999999999999989</v>
      </c>
      <c r="GZ68" s="55">
        <f t="shared" si="498"/>
        <v>0.72999999999999987</v>
      </c>
      <c r="HA68" s="55">
        <f t="shared" si="498"/>
        <v>0.70999999999999985</v>
      </c>
      <c r="HB68" s="55">
        <f t="shared" si="498"/>
        <v>0.68999999999999984</v>
      </c>
      <c r="HC68" s="55">
        <f t="shared" si="498"/>
        <v>0.66999999999999982</v>
      </c>
      <c r="HD68" s="55">
        <f t="shared" si="498"/>
        <v>0.6499999999999998</v>
      </c>
      <c r="HE68" s="55">
        <f t="shared" si="498"/>
        <v>0.62999999999999978</v>
      </c>
      <c r="HF68" s="55">
        <f t="shared" si="498"/>
        <v>0.60999999999999976</v>
      </c>
      <c r="HG68" s="55">
        <f t="shared" si="498"/>
        <v>0.58999999999999975</v>
      </c>
      <c r="HH68" s="55">
        <f t="shared" si="498"/>
        <v>0.56999999999999973</v>
      </c>
    </row>
    <row r="69" spans="1:216" x14ac:dyDescent="0.3">
      <c r="A69" s="2">
        <v>7</v>
      </c>
      <c r="C69" s="38" t="s">
        <v>141</v>
      </c>
      <c r="D69" s="42">
        <f>TRUNC(5572.08815257514,-1)</f>
        <v>5570</v>
      </c>
      <c r="E69" s="71">
        <f t="shared" si="365"/>
        <v>18410</v>
      </c>
      <c r="F69" s="2" t="s">
        <v>316</v>
      </c>
      <c r="H69" s="55">
        <f t="shared" si="61"/>
        <v>20251</v>
      </c>
      <c r="I69" s="55">
        <f t="shared" si="62"/>
        <v>20251</v>
      </c>
      <c r="J69" s="59">
        <f t="shared" si="63"/>
        <v>66945.755799999999</v>
      </c>
      <c r="K69" s="55">
        <f t="shared" si="366"/>
        <v>19643.47</v>
      </c>
      <c r="L69" s="59">
        <f t="shared" si="367"/>
        <v>64937.383126000008</v>
      </c>
      <c r="M69" s="55">
        <f t="shared" si="368"/>
        <v>19238.45</v>
      </c>
      <c r="N69" s="59">
        <f t="shared" si="369"/>
        <v>63598.468010000004</v>
      </c>
      <c r="O69" s="55">
        <f t="shared" si="370"/>
        <v>18833.43</v>
      </c>
      <c r="P69" s="59">
        <f t="shared" si="371"/>
        <v>62259.552894</v>
      </c>
      <c r="Q69" s="57">
        <f t="shared" si="372"/>
        <v>18428.41</v>
      </c>
      <c r="R69" s="59">
        <f t="shared" si="373"/>
        <v>60920.637778000004</v>
      </c>
      <c r="S69" s="55">
        <f t="shared" si="374"/>
        <v>18023.39</v>
      </c>
      <c r="T69" s="59">
        <f t="shared" si="375"/>
        <v>59581.722662</v>
      </c>
      <c r="U69" s="57">
        <f t="shared" si="376"/>
        <v>17618.37</v>
      </c>
      <c r="V69" s="59">
        <f t="shared" si="377"/>
        <v>58242.807545999996</v>
      </c>
      <c r="W69" s="60">
        <f t="shared" si="378"/>
        <v>17213.349999999999</v>
      </c>
      <c r="X69" s="59">
        <f t="shared" si="379"/>
        <v>56903.89243</v>
      </c>
      <c r="Y69" s="57">
        <f t="shared" si="380"/>
        <v>16808.329999999998</v>
      </c>
      <c r="Z69" s="59">
        <f t="shared" si="381"/>
        <v>55564.977313999996</v>
      </c>
      <c r="AA69" s="55">
        <f t="shared" si="382"/>
        <v>16403.309999999998</v>
      </c>
      <c r="AB69" s="59">
        <f t="shared" si="383"/>
        <v>54226.062197999992</v>
      </c>
      <c r="AC69" s="60">
        <f t="shared" si="384"/>
        <v>15998.289999999999</v>
      </c>
      <c r="AD69" s="59">
        <f t="shared" si="385"/>
        <v>52887.147081999996</v>
      </c>
      <c r="AE69" s="60">
        <f t="shared" si="386"/>
        <v>15593.269999999999</v>
      </c>
      <c r="AF69" s="59">
        <f t="shared" si="387"/>
        <v>51548.231965999999</v>
      </c>
      <c r="AG69" s="60">
        <f t="shared" si="388"/>
        <v>15188.249999999998</v>
      </c>
      <c r="AH69" s="59">
        <f t="shared" si="389"/>
        <v>50209.316849999996</v>
      </c>
      <c r="AI69" s="55">
        <f t="shared" si="390"/>
        <v>14783.229999999998</v>
      </c>
      <c r="AJ69" s="59">
        <f t="shared" si="391"/>
        <v>48870.401733999992</v>
      </c>
      <c r="AK69" s="60">
        <f t="shared" si="392"/>
        <v>14378.209999999997</v>
      </c>
      <c r="AL69" s="59">
        <f t="shared" si="393"/>
        <v>47531.486617999995</v>
      </c>
      <c r="AM69" s="60">
        <f t="shared" si="394"/>
        <v>13973.189999999997</v>
      </c>
      <c r="AN69" s="59">
        <f t="shared" si="395"/>
        <v>46192.571501999992</v>
      </c>
      <c r="AO69" s="60">
        <f t="shared" si="396"/>
        <v>13568.169999999996</v>
      </c>
      <c r="AP69" s="59">
        <f t="shared" si="397"/>
        <v>44853.656385999988</v>
      </c>
      <c r="AQ69" s="60">
        <f t="shared" si="398"/>
        <v>13163.149999999996</v>
      </c>
      <c r="AR69" s="59">
        <f t="shared" si="399"/>
        <v>43514.741269999991</v>
      </c>
      <c r="AS69" s="55">
        <f t="shared" si="400"/>
        <v>12758.129999999996</v>
      </c>
      <c r="AT69" s="59">
        <f t="shared" si="401"/>
        <v>42175.826153999988</v>
      </c>
      <c r="AU69" s="60">
        <f t="shared" si="402"/>
        <v>12353.109999999995</v>
      </c>
      <c r="AV69" s="59">
        <f t="shared" si="403"/>
        <v>40836.911037999984</v>
      </c>
      <c r="AW69" s="60">
        <f t="shared" si="404"/>
        <v>11948.089999999995</v>
      </c>
      <c r="AX69" s="59">
        <f t="shared" si="405"/>
        <v>39497.99592199998</v>
      </c>
      <c r="AY69" s="55">
        <f t="shared" si="406"/>
        <v>11543.069999999994</v>
      </c>
      <c r="AZ69" s="59">
        <f t="shared" si="407"/>
        <v>38159.080805999984</v>
      </c>
      <c r="BC69" s="55">
        <v>1</v>
      </c>
      <c r="BD69" s="55">
        <v>0.97</v>
      </c>
      <c r="BE69" s="55">
        <v>0.95</v>
      </c>
      <c r="BF69" s="55">
        <v>0.93</v>
      </c>
      <c r="BG69" s="55">
        <f t="shared" si="408"/>
        <v>0.91</v>
      </c>
      <c r="BH69" s="55">
        <f t="shared" si="408"/>
        <v>0.89</v>
      </c>
      <c r="BI69" s="55">
        <f t="shared" si="408"/>
        <v>0.87</v>
      </c>
      <c r="BJ69" s="55">
        <f t="shared" si="408"/>
        <v>0.85</v>
      </c>
      <c r="BK69" s="55">
        <f t="shared" si="408"/>
        <v>0.83</v>
      </c>
      <c r="BL69" s="55">
        <f t="shared" si="408"/>
        <v>0.80999999999999994</v>
      </c>
      <c r="BM69" s="55">
        <f t="shared" si="408"/>
        <v>0.78999999999999992</v>
      </c>
      <c r="BN69" s="55">
        <f t="shared" si="408"/>
        <v>0.76999999999999991</v>
      </c>
      <c r="BO69" s="55">
        <f t="shared" si="408"/>
        <v>0.74999999999999989</v>
      </c>
      <c r="BP69" s="55">
        <f t="shared" si="408"/>
        <v>0.72999999999999987</v>
      </c>
      <c r="BQ69" s="55">
        <f t="shared" si="408"/>
        <v>0.70999999999999985</v>
      </c>
      <c r="BR69" s="55">
        <f t="shared" si="408"/>
        <v>0.68999999999999984</v>
      </c>
      <c r="BS69" s="55">
        <f t="shared" si="408"/>
        <v>0.66999999999999982</v>
      </c>
      <c r="BT69" s="55">
        <f t="shared" si="408"/>
        <v>0.6499999999999998</v>
      </c>
      <c r="BU69" s="55">
        <f t="shared" si="408"/>
        <v>0.62999999999999978</v>
      </c>
      <c r="BV69" s="55">
        <f t="shared" si="408"/>
        <v>0.60999999999999976</v>
      </c>
      <c r="BW69" s="55">
        <f t="shared" si="408"/>
        <v>0.58999999999999975</v>
      </c>
      <c r="BX69" s="55">
        <f t="shared" si="408"/>
        <v>0.56999999999999973</v>
      </c>
      <c r="BZ69" s="55">
        <f t="shared" si="88"/>
        <v>18428.41</v>
      </c>
      <c r="CA69" s="55">
        <f t="shared" si="89"/>
        <v>18428.41</v>
      </c>
      <c r="CB69" s="59">
        <f t="shared" si="409"/>
        <v>60920.637778000004</v>
      </c>
      <c r="CC69" s="55">
        <f t="shared" si="410"/>
        <v>17875.557699999998</v>
      </c>
      <c r="CD69" s="59">
        <f t="shared" si="411"/>
        <v>59093.018644659991</v>
      </c>
      <c r="CE69" s="55">
        <f t="shared" si="412"/>
        <v>17506.9895</v>
      </c>
      <c r="CF69" s="59">
        <f t="shared" si="413"/>
        <v>57874.605889099999</v>
      </c>
      <c r="CG69" s="55">
        <f t="shared" si="414"/>
        <v>17138.421300000002</v>
      </c>
      <c r="CH69" s="59">
        <f t="shared" si="415"/>
        <v>56656.193133540008</v>
      </c>
      <c r="CI69" s="57">
        <f t="shared" si="416"/>
        <v>16769.8531</v>
      </c>
      <c r="CJ69" s="59">
        <f t="shared" si="417"/>
        <v>55437.780377980002</v>
      </c>
      <c r="CK69" s="55">
        <f t="shared" si="418"/>
        <v>16401.284899999999</v>
      </c>
      <c r="CL69" s="59">
        <f t="shared" si="419"/>
        <v>54219.367622419995</v>
      </c>
      <c r="CM69" s="57">
        <f t="shared" si="420"/>
        <v>16032.716699999999</v>
      </c>
      <c r="CN69" s="59">
        <f t="shared" si="421"/>
        <v>53000.954866859996</v>
      </c>
      <c r="CO69" s="60">
        <f t="shared" si="422"/>
        <v>15664.148499999999</v>
      </c>
      <c r="CP69" s="59">
        <f t="shared" si="423"/>
        <v>51782.542111299997</v>
      </c>
      <c r="CQ69" s="57">
        <f t="shared" si="424"/>
        <v>15295.5803</v>
      </c>
      <c r="CR69" s="59">
        <f t="shared" si="425"/>
        <v>50564.129355739999</v>
      </c>
      <c r="CS69" s="55">
        <f t="shared" si="426"/>
        <v>14927.012099999998</v>
      </c>
      <c r="CT69" s="59">
        <f t="shared" si="427"/>
        <v>49345.716600179992</v>
      </c>
      <c r="CU69" s="60">
        <f t="shared" si="428"/>
        <v>14558.443899999998</v>
      </c>
      <c r="CV69" s="59">
        <f t="shared" si="429"/>
        <v>48127.303844619993</v>
      </c>
      <c r="CW69" s="60">
        <f t="shared" si="430"/>
        <v>14189.875699999999</v>
      </c>
      <c r="CX69" s="59">
        <f t="shared" si="431"/>
        <v>46908.891089059995</v>
      </c>
      <c r="CY69" s="60">
        <f t="shared" si="432"/>
        <v>13821.307499999997</v>
      </c>
      <c r="CZ69" s="59">
        <f t="shared" si="433"/>
        <v>45690.478333499988</v>
      </c>
      <c r="DA69" s="55">
        <f t="shared" si="434"/>
        <v>13452.739299999997</v>
      </c>
      <c r="DB69" s="59">
        <f t="shared" si="435"/>
        <v>44472.065577939989</v>
      </c>
      <c r="DC69" s="60">
        <f t="shared" si="436"/>
        <v>13084.171099999998</v>
      </c>
      <c r="DD69" s="59">
        <f t="shared" si="437"/>
        <v>43253.652822379991</v>
      </c>
      <c r="DE69" s="60">
        <f t="shared" si="438"/>
        <v>12715.602899999996</v>
      </c>
      <c r="DF69" s="59">
        <f t="shared" si="439"/>
        <v>42035.240066819992</v>
      </c>
      <c r="DG69" s="60">
        <f t="shared" si="440"/>
        <v>12347.034699999997</v>
      </c>
      <c r="DH69" s="59">
        <f t="shared" si="441"/>
        <v>40816.827311259993</v>
      </c>
      <c r="DI69" s="60">
        <f t="shared" si="442"/>
        <v>11978.466499999997</v>
      </c>
      <c r="DJ69" s="59">
        <f t="shared" si="443"/>
        <v>39598.414555699994</v>
      </c>
      <c r="DK69" s="55">
        <f t="shared" si="444"/>
        <v>11609.898299999995</v>
      </c>
      <c r="DL69" s="59">
        <f t="shared" si="445"/>
        <v>38380.001800139988</v>
      </c>
      <c r="DM69" s="60">
        <f t="shared" si="446"/>
        <v>11241.330099999996</v>
      </c>
      <c r="DN69" s="59">
        <f t="shared" si="447"/>
        <v>37161.589044579989</v>
      </c>
      <c r="DO69" s="60">
        <f t="shared" si="448"/>
        <v>10872.761899999996</v>
      </c>
      <c r="DP69" s="59">
        <f t="shared" si="449"/>
        <v>35943.17628901999</v>
      </c>
      <c r="DQ69" s="55">
        <f t="shared" si="450"/>
        <v>10504.193699999994</v>
      </c>
      <c r="DR69" s="59">
        <f t="shared" si="451"/>
        <v>34724.763533459984</v>
      </c>
      <c r="DU69" s="55">
        <v>1</v>
      </c>
      <c r="DV69" s="55">
        <v>0.97</v>
      </c>
      <c r="DW69" s="55">
        <v>0.95</v>
      </c>
      <c r="DX69" s="55">
        <v>0.93</v>
      </c>
      <c r="DY69" s="55">
        <f t="shared" si="497"/>
        <v>0.91</v>
      </c>
      <c r="DZ69" s="55">
        <f t="shared" si="497"/>
        <v>0.89</v>
      </c>
      <c r="EA69" s="55">
        <f t="shared" si="497"/>
        <v>0.87</v>
      </c>
      <c r="EB69" s="55">
        <f t="shared" si="497"/>
        <v>0.85</v>
      </c>
      <c r="EC69" s="55">
        <f t="shared" si="497"/>
        <v>0.83</v>
      </c>
      <c r="ED69" s="55">
        <f t="shared" si="497"/>
        <v>0.80999999999999994</v>
      </c>
      <c r="EE69" s="55">
        <f t="shared" si="497"/>
        <v>0.78999999999999992</v>
      </c>
      <c r="EF69" s="55">
        <f t="shared" si="497"/>
        <v>0.76999999999999991</v>
      </c>
      <c r="EG69" s="55">
        <f t="shared" si="497"/>
        <v>0.74999999999999989</v>
      </c>
      <c r="EH69" s="55">
        <f t="shared" si="497"/>
        <v>0.72999999999999987</v>
      </c>
      <c r="EI69" s="55">
        <f t="shared" si="497"/>
        <v>0.70999999999999985</v>
      </c>
      <c r="EJ69" s="55">
        <f t="shared" si="497"/>
        <v>0.68999999999999984</v>
      </c>
      <c r="EK69" s="55">
        <f t="shared" si="497"/>
        <v>0.66999999999999982</v>
      </c>
      <c r="EL69" s="55">
        <f t="shared" si="497"/>
        <v>0.6499999999999998</v>
      </c>
      <c r="EM69" s="55">
        <f t="shared" si="497"/>
        <v>0.62999999999999978</v>
      </c>
      <c r="EN69" s="55">
        <f t="shared" si="497"/>
        <v>0.60999999999999976</v>
      </c>
      <c r="EO69" s="55">
        <f t="shared" si="497"/>
        <v>0.58999999999999975</v>
      </c>
      <c r="EP69" s="55">
        <f t="shared" si="497"/>
        <v>0.56999999999999973</v>
      </c>
      <c r="ER69" s="55">
        <f t="shared" si="142"/>
        <v>16769.8531</v>
      </c>
      <c r="ES69" s="55">
        <f t="shared" si="116"/>
        <v>16769.8531</v>
      </c>
      <c r="ET69" s="59">
        <f t="shared" si="453"/>
        <v>55437.780377980002</v>
      </c>
      <c r="EU69" s="55">
        <f t="shared" si="454"/>
        <v>16266.757507</v>
      </c>
      <c r="EV69" s="59">
        <f t="shared" si="455"/>
        <v>53774.646966640605</v>
      </c>
      <c r="EW69" s="55">
        <f t="shared" si="456"/>
        <v>15931.360445</v>
      </c>
      <c r="EX69" s="59">
        <f t="shared" si="457"/>
        <v>52665.891359081004</v>
      </c>
      <c r="EY69" s="55">
        <f t="shared" si="458"/>
        <v>15595.963383</v>
      </c>
      <c r="EZ69" s="59">
        <f t="shared" si="459"/>
        <v>51557.135751521404</v>
      </c>
      <c r="FA69" s="57">
        <f t="shared" si="460"/>
        <v>15260.566321</v>
      </c>
      <c r="FB69" s="59">
        <f t="shared" si="461"/>
        <v>50448.380143961804</v>
      </c>
      <c r="FC69" s="55">
        <f t="shared" si="462"/>
        <v>14925.169259</v>
      </c>
      <c r="FD69" s="59">
        <f t="shared" si="463"/>
        <v>49339.624536402203</v>
      </c>
      <c r="FE69" s="57">
        <f t="shared" si="464"/>
        <v>14589.772197</v>
      </c>
      <c r="FF69" s="59">
        <f t="shared" si="465"/>
        <v>48230.868928842603</v>
      </c>
      <c r="FG69" s="60">
        <f t="shared" si="466"/>
        <v>14254.375135</v>
      </c>
      <c r="FH69" s="59">
        <f t="shared" si="467"/>
        <v>47122.113321283003</v>
      </c>
      <c r="FI69" s="57">
        <f t="shared" si="468"/>
        <v>13918.978073</v>
      </c>
      <c r="FJ69" s="59">
        <f t="shared" si="469"/>
        <v>46013.357713723402</v>
      </c>
      <c r="FK69" s="55">
        <f t="shared" si="470"/>
        <v>13583.581010999998</v>
      </c>
      <c r="FL69" s="59">
        <f t="shared" si="471"/>
        <v>44904.602106163795</v>
      </c>
      <c r="FM69" s="60">
        <f t="shared" si="472"/>
        <v>13248.183948999998</v>
      </c>
      <c r="FN69" s="59">
        <f t="shared" si="473"/>
        <v>43795.846498604194</v>
      </c>
      <c r="FO69" s="60">
        <f t="shared" si="474"/>
        <v>12912.786886999998</v>
      </c>
      <c r="FP69" s="59">
        <f t="shared" si="475"/>
        <v>42687.090891044594</v>
      </c>
      <c r="FQ69" s="60">
        <f t="shared" si="476"/>
        <v>12577.389824999998</v>
      </c>
      <c r="FR69" s="59">
        <f t="shared" si="477"/>
        <v>41578.335283484994</v>
      </c>
      <c r="FS69" s="55">
        <f t="shared" si="478"/>
        <v>12241.992762999998</v>
      </c>
      <c r="FT69" s="59">
        <f t="shared" si="479"/>
        <v>40469.579675925394</v>
      </c>
      <c r="FU69" s="60">
        <f t="shared" si="480"/>
        <v>11906.595700999998</v>
      </c>
      <c r="FV69" s="59">
        <f t="shared" si="481"/>
        <v>39360.824068365793</v>
      </c>
      <c r="FW69" s="60">
        <f t="shared" si="482"/>
        <v>11571.198638999997</v>
      </c>
      <c r="FX69" s="59">
        <f t="shared" si="483"/>
        <v>38252.068460806193</v>
      </c>
      <c r="FY69" s="60">
        <f t="shared" si="484"/>
        <v>11235.801576999997</v>
      </c>
      <c r="FZ69" s="59">
        <f t="shared" si="485"/>
        <v>37143.312853246593</v>
      </c>
      <c r="GA69" s="60">
        <f t="shared" si="486"/>
        <v>10900.404514999997</v>
      </c>
      <c r="GB69" s="59">
        <f t="shared" si="487"/>
        <v>36034.557245686992</v>
      </c>
      <c r="GC69" s="55">
        <f t="shared" si="488"/>
        <v>10565.007452999997</v>
      </c>
      <c r="GD69" s="59">
        <f t="shared" si="489"/>
        <v>34925.801638127392</v>
      </c>
      <c r="GE69" s="60">
        <f t="shared" si="490"/>
        <v>10229.610390999997</v>
      </c>
      <c r="GF69" s="59">
        <f t="shared" si="491"/>
        <v>33817.046030567792</v>
      </c>
      <c r="GG69" s="60">
        <f t="shared" si="492"/>
        <v>9894.2133289999965</v>
      </c>
      <c r="GH69" s="59">
        <f t="shared" si="493"/>
        <v>32708.290423008188</v>
      </c>
      <c r="GI69" s="55">
        <f t="shared" si="494"/>
        <v>9558.8162669999965</v>
      </c>
      <c r="GJ69" s="59">
        <f t="shared" si="495"/>
        <v>31599.534815448591</v>
      </c>
      <c r="GK69" s="55"/>
      <c r="GL69" s="55"/>
      <c r="GM69" s="55">
        <v>1</v>
      </c>
      <c r="GN69" s="55">
        <v>0.97</v>
      </c>
      <c r="GO69" s="55">
        <v>0.95</v>
      </c>
      <c r="GP69" s="55">
        <v>0.93</v>
      </c>
      <c r="GQ69" s="55">
        <f t="shared" si="498"/>
        <v>0.91</v>
      </c>
      <c r="GR69" s="55">
        <f t="shared" si="498"/>
        <v>0.89</v>
      </c>
      <c r="GS69" s="55">
        <f t="shared" si="498"/>
        <v>0.87</v>
      </c>
      <c r="GT69" s="55">
        <f t="shared" si="498"/>
        <v>0.85</v>
      </c>
      <c r="GU69" s="55">
        <f t="shared" si="498"/>
        <v>0.83</v>
      </c>
      <c r="GV69" s="55">
        <f t="shared" si="498"/>
        <v>0.80999999999999994</v>
      </c>
      <c r="GW69" s="55">
        <f t="shared" si="498"/>
        <v>0.78999999999999992</v>
      </c>
      <c r="GX69" s="55">
        <f t="shared" si="498"/>
        <v>0.76999999999999991</v>
      </c>
      <c r="GY69" s="55">
        <f t="shared" si="498"/>
        <v>0.74999999999999989</v>
      </c>
      <c r="GZ69" s="55">
        <f t="shared" si="498"/>
        <v>0.72999999999999987</v>
      </c>
      <c r="HA69" s="55">
        <f t="shared" si="498"/>
        <v>0.70999999999999985</v>
      </c>
      <c r="HB69" s="55">
        <f t="shared" si="498"/>
        <v>0.68999999999999984</v>
      </c>
      <c r="HC69" s="55">
        <f t="shared" si="498"/>
        <v>0.66999999999999982</v>
      </c>
      <c r="HD69" s="55">
        <f t="shared" si="498"/>
        <v>0.6499999999999998</v>
      </c>
      <c r="HE69" s="55">
        <f t="shared" si="498"/>
        <v>0.62999999999999978</v>
      </c>
      <c r="HF69" s="55">
        <f t="shared" si="498"/>
        <v>0.60999999999999976</v>
      </c>
      <c r="HG69" s="55">
        <f t="shared" si="498"/>
        <v>0.58999999999999975</v>
      </c>
      <c r="HH69" s="55">
        <f t="shared" si="498"/>
        <v>0.56999999999999973</v>
      </c>
    </row>
    <row r="70" spans="1:216" x14ac:dyDescent="0.3">
      <c r="A70" s="2">
        <v>8</v>
      </c>
      <c r="C70" s="38" t="s">
        <v>120</v>
      </c>
      <c r="D70" s="42">
        <v>0</v>
      </c>
      <c r="E70" s="71">
        <f t="shared" si="365"/>
        <v>0</v>
      </c>
      <c r="H70" s="55">
        <f t="shared" si="61"/>
        <v>0</v>
      </c>
      <c r="I70" s="55">
        <f t="shared" si="62"/>
        <v>0</v>
      </c>
      <c r="J70" s="59">
        <f t="shared" si="63"/>
        <v>0</v>
      </c>
      <c r="K70" s="55">
        <f t="shared" si="366"/>
        <v>0</v>
      </c>
      <c r="L70" s="59">
        <f t="shared" si="367"/>
        <v>0</v>
      </c>
      <c r="M70" s="55">
        <f t="shared" si="368"/>
        <v>0</v>
      </c>
      <c r="N70" s="59">
        <f t="shared" si="369"/>
        <v>0</v>
      </c>
      <c r="O70" s="55">
        <f t="shared" si="370"/>
        <v>0</v>
      </c>
      <c r="P70" s="59">
        <f t="shared" si="371"/>
        <v>0</v>
      </c>
      <c r="Q70" s="57">
        <f t="shared" si="372"/>
        <v>0</v>
      </c>
      <c r="R70" s="59">
        <f t="shared" si="373"/>
        <v>0</v>
      </c>
      <c r="S70" s="55">
        <f t="shared" si="374"/>
        <v>0</v>
      </c>
      <c r="T70" s="59">
        <f t="shared" si="375"/>
        <v>0</v>
      </c>
      <c r="U70" s="57">
        <f t="shared" si="376"/>
        <v>0</v>
      </c>
      <c r="V70" s="59">
        <f t="shared" si="377"/>
        <v>0</v>
      </c>
      <c r="W70" s="60">
        <f t="shared" si="378"/>
        <v>0</v>
      </c>
      <c r="X70" s="59">
        <f t="shared" si="379"/>
        <v>0</v>
      </c>
      <c r="Y70" s="57">
        <f t="shared" si="380"/>
        <v>0</v>
      </c>
      <c r="Z70" s="59">
        <f t="shared" si="381"/>
        <v>0</v>
      </c>
      <c r="AA70" s="55">
        <f t="shared" si="382"/>
        <v>0</v>
      </c>
      <c r="AB70" s="59">
        <f t="shared" si="383"/>
        <v>0</v>
      </c>
      <c r="AC70" s="60">
        <f t="shared" si="384"/>
        <v>0</v>
      </c>
      <c r="AD70" s="59">
        <f t="shared" si="385"/>
        <v>0</v>
      </c>
      <c r="AE70" s="60">
        <f t="shared" si="386"/>
        <v>0</v>
      </c>
      <c r="AF70" s="59">
        <f t="shared" si="387"/>
        <v>0</v>
      </c>
      <c r="AG70" s="60">
        <f t="shared" si="388"/>
        <v>0</v>
      </c>
      <c r="AH70" s="59">
        <f t="shared" si="389"/>
        <v>0</v>
      </c>
      <c r="AI70" s="55">
        <f t="shared" si="390"/>
        <v>0</v>
      </c>
      <c r="AJ70" s="59">
        <f t="shared" si="391"/>
        <v>0</v>
      </c>
      <c r="AK70" s="60">
        <f t="shared" si="392"/>
        <v>0</v>
      </c>
      <c r="AL70" s="59">
        <f t="shared" si="393"/>
        <v>0</v>
      </c>
      <c r="AM70" s="60">
        <f t="shared" si="394"/>
        <v>0</v>
      </c>
      <c r="AN70" s="59">
        <f t="shared" si="395"/>
        <v>0</v>
      </c>
      <c r="AO70" s="60">
        <f t="shared" si="396"/>
        <v>0</v>
      </c>
      <c r="AP70" s="59">
        <f t="shared" si="397"/>
        <v>0</v>
      </c>
      <c r="AQ70" s="60">
        <f t="shared" si="398"/>
        <v>0</v>
      </c>
      <c r="AR70" s="59">
        <f t="shared" si="399"/>
        <v>0</v>
      </c>
      <c r="AS70" s="55">
        <f t="shared" si="400"/>
        <v>0</v>
      </c>
      <c r="AT70" s="59">
        <f t="shared" si="401"/>
        <v>0</v>
      </c>
      <c r="AU70" s="60">
        <f t="shared" si="402"/>
        <v>0</v>
      </c>
      <c r="AV70" s="59">
        <f t="shared" si="403"/>
        <v>0</v>
      </c>
      <c r="AW70" s="60">
        <f t="shared" si="404"/>
        <v>0</v>
      </c>
      <c r="AX70" s="59">
        <f t="shared" si="405"/>
        <v>0</v>
      </c>
      <c r="AY70" s="55">
        <f t="shared" si="406"/>
        <v>0</v>
      </c>
      <c r="AZ70" s="59">
        <f t="shared" si="407"/>
        <v>0</v>
      </c>
      <c r="BC70" s="55">
        <v>1</v>
      </c>
      <c r="BD70" s="55">
        <v>0.97</v>
      </c>
      <c r="BE70" s="55">
        <v>0.95</v>
      </c>
      <c r="BF70" s="55">
        <v>0.93</v>
      </c>
      <c r="BG70" s="55">
        <f t="shared" si="408"/>
        <v>0.91</v>
      </c>
      <c r="BH70" s="55">
        <f t="shared" si="408"/>
        <v>0.89</v>
      </c>
      <c r="BI70" s="55">
        <f t="shared" si="408"/>
        <v>0.87</v>
      </c>
      <c r="BJ70" s="55">
        <f t="shared" si="408"/>
        <v>0.85</v>
      </c>
      <c r="BK70" s="55">
        <f t="shared" si="408"/>
        <v>0.83</v>
      </c>
      <c r="BL70" s="55">
        <f t="shared" si="408"/>
        <v>0.80999999999999994</v>
      </c>
      <c r="BM70" s="55">
        <f t="shared" si="408"/>
        <v>0.78999999999999992</v>
      </c>
      <c r="BN70" s="55">
        <f t="shared" si="408"/>
        <v>0.76999999999999991</v>
      </c>
      <c r="BO70" s="55">
        <f t="shared" si="408"/>
        <v>0.74999999999999989</v>
      </c>
      <c r="BP70" s="55">
        <f t="shared" si="408"/>
        <v>0.72999999999999987</v>
      </c>
      <c r="BQ70" s="55">
        <f t="shared" si="408"/>
        <v>0.70999999999999985</v>
      </c>
      <c r="BR70" s="55">
        <f t="shared" si="408"/>
        <v>0.68999999999999984</v>
      </c>
      <c r="BS70" s="55">
        <f t="shared" si="408"/>
        <v>0.66999999999999982</v>
      </c>
      <c r="BT70" s="55">
        <f t="shared" si="408"/>
        <v>0.6499999999999998</v>
      </c>
      <c r="BU70" s="55">
        <f t="shared" si="408"/>
        <v>0.62999999999999978</v>
      </c>
      <c r="BV70" s="55">
        <f t="shared" si="408"/>
        <v>0.60999999999999976</v>
      </c>
      <c r="BW70" s="55">
        <f t="shared" si="408"/>
        <v>0.58999999999999975</v>
      </c>
      <c r="BX70" s="55">
        <f t="shared" si="408"/>
        <v>0.56999999999999973</v>
      </c>
      <c r="BZ70" s="55">
        <f t="shared" si="88"/>
        <v>0</v>
      </c>
      <c r="CA70" s="55">
        <f t="shared" si="89"/>
        <v>0</v>
      </c>
      <c r="CB70" s="59">
        <f t="shared" si="409"/>
        <v>0</v>
      </c>
      <c r="CC70" s="55">
        <f t="shared" si="410"/>
        <v>0</v>
      </c>
      <c r="CD70" s="59">
        <f t="shared" si="411"/>
        <v>0</v>
      </c>
      <c r="CE70" s="55">
        <f t="shared" si="412"/>
        <v>0</v>
      </c>
      <c r="CF70" s="59">
        <f t="shared" si="413"/>
        <v>0</v>
      </c>
      <c r="CG70" s="55">
        <f t="shared" si="414"/>
        <v>0</v>
      </c>
      <c r="CH70" s="59">
        <f t="shared" si="415"/>
        <v>0</v>
      </c>
      <c r="CI70" s="57">
        <f t="shared" si="416"/>
        <v>0</v>
      </c>
      <c r="CJ70" s="59">
        <f t="shared" si="417"/>
        <v>0</v>
      </c>
      <c r="CK70" s="55">
        <f t="shared" si="418"/>
        <v>0</v>
      </c>
      <c r="CL70" s="59">
        <f t="shared" si="419"/>
        <v>0</v>
      </c>
      <c r="CM70" s="57">
        <f t="shared" si="420"/>
        <v>0</v>
      </c>
      <c r="CN70" s="59">
        <f t="shared" si="421"/>
        <v>0</v>
      </c>
      <c r="CO70" s="60">
        <f t="shared" si="422"/>
        <v>0</v>
      </c>
      <c r="CP70" s="59">
        <f t="shared" si="423"/>
        <v>0</v>
      </c>
      <c r="CQ70" s="57">
        <f t="shared" si="424"/>
        <v>0</v>
      </c>
      <c r="CR70" s="59">
        <f t="shared" si="425"/>
        <v>0</v>
      </c>
      <c r="CS70" s="55">
        <f t="shared" si="426"/>
        <v>0</v>
      </c>
      <c r="CT70" s="59">
        <f t="shared" si="427"/>
        <v>0</v>
      </c>
      <c r="CU70" s="60">
        <f t="shared" si="428"/>
        <v>0</v>
      </c>
      <c r="CV70" s="59">
        <f t="shared" si="429"/>
        <v>0</v>
      </c>
      <c r="CW70" s="60">
        <f t="shared" si="430"/>
        <v>0</v>
      </c>
      <c r="CX70" s="59">
        <f t="shared" si="431"/>
        <v>0</v>
      </c>
      <c r="CY70" s="60">
        <f t="shared" si="432"/>
        <v>0</v>
      </c>
      <c r="CZ70" s="59">
        <f t="shared" si="433"/>
        <v>0</v>
      </c>
      <c r="DA70" s="55">
        <f t="shared" si="434"/>
        <v>0</v>
      </c>
      <c r="DB70" s="59">
        <f t="shared" si="435"/>
        <v>0</v>
      </c>
      <c r="DC70" s="60">
        <f t="shared" si="436"/>
        <v>0</v>
      </c>
      <c r="DD70" s="59">
        <f t="shared" si="437"/>
        <v>0</v>
      </c>
      <c r="DE70" s="60">
        <f t="shared" si="438"/>
        <v>0</v>
      </c>
      <c r="DF70" s="59">
        <f t="shared" si="439"/>
        <v>0</v>
      </c>
      <c r="DG70" s="60">
        <f t="shared" si="440"/>
        <v>0</v>
      </c>
      <c r="DH70" s="59">
        <f t="shared" si="441"/>
        <v>0</v>
      </c>
      <c r="DI70" s="60">
        <f t="shared" si="442"/>
        <v>0</v>
      </c>
      <c r="DJ70" s="59">
        <f t="shared" si="443"/>
        <v>0</v>
      </c>
      <c r="DK70" s="55">
        <f t="shared" si="444"/>
        <v>0</v>
      </c>
      <c r="DL70" s="59">
        <f t="shared" si="445"/>
        <v>0</v>
      </c>
      <c r="DM70" s="60">
        <f t="shared" si="446"/>
        <v>0</v>
      </c>
      <c r="DN70" s="59">
        <f t="shared" si="447"/>
        <v>0</v>
      </c>
      <c r="DO70" s="60">
        <f t="shared" si="448"/>
        <v>0</v>
      </c>
      <c r="DP70" s="59">
        <f t="shared" si="449"/>
        <v>0</v>
      </c>
      <c r="DQ70" s="55">
        <f t="shared" si="450"/>
        <v>0</v>
      </c>
      <c r="DR70" s="59">
        <f t="shared" si="451"/>
        <v>0</v>
      </c>
      <c r="DU70" s="55">
        <v>1</v>
      </c>
      <c r="DV70" s="55">
        <v>0.97</v>
      </c>
      <c r="DW70" s="55">
        <v>0.95</v>
      </c>
      <c r="DX70" s="55">
        <v>0.93</v>
      </c>
      <c r="DY70" s="55">
        <f t="shared" si="497"/>
        <v>0.91</v>
      </c>
      <c r="DZ70" s="55">
        <f t="shared" si="497"/>
        <v>0.89</v>
      </c>
      <c r="EA70" s="55">
        <f t="shared" si="497"/>
        <v>0.87</v>
      </c>
      <c r="EB70" s="55">
        <f t="shared" si="497"/>
        <v>0.85</v>
      </c>
      <c r="EC70" s="55">
        <f t="shared" si="497"/>
        <v>0.83</v>
      </c>
      <c r="ED70" s="55">
        <f t="shared" si="497"/>
        <v>0.80999999999999994</v>
      </c>
      <c r="EE70" s="55">
        <f t="shared" si="497"/>
        <v>0.78999999999999992</v>
      </c>
      <c r="EF70" s="55">
        <f t="shared" si="497"/>
        <v>0.76999999999999991</v>
      </c>
      <c r="EG70" s="55">
        <f t="shared" si="497"/>
        <v>0.74999999999999989</v>
      </c>
      <c r="EH70" s="55">
        <f t="shared" si="497"/>
        <v>0.72999999999999987</v>
      </c>
      <c r="EI70" s="55">
        <f t="shared" si="497"/>
        <v>0.70999999999999985</v>
      </c>
      <c r="EJ70" s="55">
        <f t="shared" si="497"/>
        <v>0.68999999999999984</v>
      </c>
      <c r="EK70" s="55">
        <f t="shared" si="497"/>
        <v>0.66999999999999982</v>
      </c>
      <c r="EL70" s="55">
        <f t="shared" si="497"/>
        <v>0.6499999999999998</v>
      </c>
      <c r="EM70" s="55">
        <f t="shared" si="497"/>
        <v>0.62999999999999978</v>
      </c>
      <c r="EN70" s="55">
        <f t="shared" si="497"/>
        <v>0.60999999999999976</v>
      </c>
      <c r="EO70" s="55">
        <f t="shared" si="497"/>
        <v>0.58999999999999975</v>
      </c>
      <c r="EP70" s="55">
        <f t="shared" si="497"/>
        <v>0.56999999999999973</v>
      </c>
      <c r="ER70" s="55">
        <f t="shared" si="142"/>
        <v>0</v>
      </c>
      <c r="ES70" s="55">
        <f t="shared" si="116"/>
        <v>0</v>
      </c>
      <c r="ET70" s="59">
        <f t="shared" si="453"/>
        <v>0</v>
      </c>
      <c r="EU70" s="55">
        <f t="shared" si="454"/>
        <v>0</v>
      </c>
      <c r="EV70" s="59">
        <f t="shared" si="455"/>
        <v>0</v>
      </c>
      <c r="EW70" s="55">
        <f t="shared" si="456"/>
        <v>0</v>
      </c>
      <c r="EX70" s="59">
        <f t="shared" si="457"/>
        <v>0</v>
      </c>
      <c r="EY70" s="55">
        <f t="shared" si="458"/>
        <v>0</v>
      </c>
      <c r="EZ70" s="59">
        <f t="shared" si="459"/>
        <v>0</v>
      </c>
      <c r="FA70" s="57">
        <f t="shared" si="460"/>
        <v>0</v>
      </c>
      <c r="FB70" s="59">
        <f t="shared" si="461"/>
        <v>0</v>
      </c>
      <c r="FC70" s="55">
        <f t="shared" si="462"/>
        <v>0</v>
      </c>
      <c r="FD70" s="59">
        <f t="shared" si="463"/>
        <v>0</v>
      </c>
      <c r="FE70" s="57">
        <f t="shared" si="464"/>
        <v>0</v>
      </c>
      <c r="FF70" s="59">
        <f t="shared" si="465"/>
        <v>0</v>
      </c>
      <c r="FG70" s="60">
        <f t="shared" si="466"/>
        <v>0</v>
      </c>
      <c r="FH70" s="59">
        <f t="shared" si="467"/>
        <v>0</v>
      </c>
      <c r="FI70" s="57">
        <f t="shared" si="468"/>
        <v>0</v>
      </c>
      <c r="FJ70" s="59">
        <f t="shared" si="469"/>
        <v>0</v>
      </c>
      <c r="FK70" s="55">
        <f t="shared" si="470"/>
        <v>0</v>
      </c>
      <c r="FL70" s="59">
        <f t="shared" si="471"/>
        <v>0</v>
      </c>
      <c r="FM70" s="60">
        <f t="shared" si="472"/>
        <v>0</v>
      </c>
      <c r="FN70" s="59">
        <f t="shared" si="473"/>
        <v>0</v>
      </c>
      <c r="FO70" s="60">
        <f t="shared" si="474"/>
        <v>0</v>
      </c>
      <c r="FP70" s="59">
        <f t="shared" si="475"/>
        <v>0</v>
      </c>
      <c r="FQ70" s="60">
        <f t="shared" si="476"/>
        <v>0</v>
      </c>
      <c r="FR70" s="59">
        <f t="shared" si="477"/>
        <v>0</v>
      </c>
      <c r="FS70" s="55">
        <f t="shared" si="478"/>
        <v>0</v>
      </c>
      <c r="FT70" s="59">
        <f t="shared" si="479"/>
        <v>0</v>
      </c>
      <c r="FU70" s="60">
        <f t="shared" si="480"/>
        <v>0</v>
      </c>
      <c r="FV70" s="59">
        <f t="shared" si="481"/>
        <v>0</v>
      </c>
      <c r="FW70" s="60">
        <f t="shared" si="482"/>
        <v>0</v>
      </c>
      <c r="FX70" s="59">
        <f t="shared" si="483"/>
        <v>0</v>
      </c>
      <c r="FY70" s="60">
        <f t="shared" si="484"/>
        <v>0</v>
      </c>
      <c r="FZ70" s="59">
        <f t="shared" si="485"/>
        <v>0</v>
      </c>
      <c r="GA70" s="60">
        <f t="shared" si="486"/>
        <v>0</v>
      </c>
      <c r="GB70" s="59">
        <f t="shared" si="487"/>
        <v>0</v>
      </c>
      <c r="GC70" s="55">
        <f t="shared" si="488"/>
        <v>0</v>
      </c>
      <c r="GD70" s="59">
        <f t="shared" si="489"/>
        <v>0</v>
      </c>
      <c r="GE70" s="60">
        <f t="shared" si="490"/>
        <v>0</v>
      </c>
      <c r="GF70" s="59">
        <f t="shared" si="491"/>
        <v>0</v>
      </c>
      <c r="GG70" s="60">
        <f t="shared" si="492"/>
        <v>0</v>
      </c>
      <c r="GH70" s="59">
        <f t="shared" si="493"/>
        <v>0</v>
      </c>
      <c r="GI70" s="55">
        <f t="shared" si="494"/>
        <v>0</v>
      </c>
      <c r="GJ70" s="59">
        <f t="shared" si="495"/>
        <v>0</v>
      </c>
      <c r="GK70" s="55"/>
      <c r="GL70" s="55"/>
      <c r="GM70" s="55">
        <v>1</v>
      </c>
      <c r="GN70" s="55">
        <v>0.97</v>
      </c>
      <c r="GO70" s="55">
        <v>0.95</v>
      </c>
      <c r="GP70" s="55">
        <v>0.93</v>
      </c>
      <c r="GQ70" s="55">
        <f t="shared" si="498"/>
        <v>0.91</v>
      </c>
      <c r="GR70" s="55">
        <f t="shared" si="498"/>
        <v>0.89</v>
      </c>
      <c r="GS70" s="55">
        <f t="shared" si="498"/>
        <v>0.87</v>
      </c>
      <c r="GT70" s="55">
        <f t="shared" si="498"/>
        <v>0.85</v>
      </c>
      <c r="GU70" s="55">
        <f t="shared" si="498"/>
        <v>0.83</v>
      </c>
      <c r="GV70" s="55">
        <f t="shared" si="498"/>
        <v>0.80999999999999994</v>
      </c>
      <c r="GW70" s="55">
        <f t="shared" si="498"/>
        <v>0.78999999999999992</v>
      </c>
      <c r="GX70" s="55">
        <f t="shared" si="498"/>
        <v>0.76999999999999991</v>
      </c>
      <c r="GY70" s="55">
        <f t="shared" si="498"/>
        <v>0.74999999999999989</v>
      </c>
      <c r="GZ70" s="55">
        <f t="shared" si="498"/>
        <v>0.72999999999999987</v>
      </c>
      <c r="HA70" s="55">
        <f t="shared" si="498"/>
        <v>0.70999999999999985</v>
      </c>
      <c r="HB70" s="55">
        <f t="shared" si="498"/>
        <v>0.68999999999999984</v>
      </c>
      <c r="HC70" s="55">
        <f t="shared" si="498"/>
        <v>0.66999999999999982</v>
      </c>
      <c r="HD70" s="55">
        <f t="shared" si="498"/>
        <v>0.6499999999999998</v>
      </c>
      <c r="HE70" s="55">
        <f t="shared" si="498"/>
        <v>0.62999999999999978</v>
      </c>
      <c r="HF70" s="55">
        <f t="shared" si="498"/>
        <v>0.60999999999999976</v>
      </c>
      <c r="HG70" s="55">
        <f t="shared" si="498"/>
        <v>0.58999999999999975</v>
      </c>
      <c r="HH70" s="55">
        <f t="shared" si="498"/>
        <v>0.56999999999999973</v>
      </c>
    </row>
    <row r="71" spans="1:216" x14ac:dyDescent="0.3">
      <c r="A71" s="2">
        <v>9</v>
      </c>
      <c r="C71" s="38" t="s">
        <v>154</v>
      </c>
      <c r="D71" s="42">
        <v>0</v>
      </c>
      <c r="E71" s="71">
        <f t="shared" si="365"/>
        <v>0</v>
      </c>
      <c r="H71" s="55">
        <f t="shared" si="61"/>
        <v>0</v>
      </c>
      <c r="I71" s="55">
        <f t="shared" si="62"/>
        <v>0</v>
      </c>
      <c r="J71" s="59">
        <f t="shared" si="63"/>
        <v>0</v>
      </c>
      <c r="K71" s="55">
        <f t="shared" si="366"/>
        <v>0</v>
      </c>
      <c r="L71" s="59">
        <f t="shared" si="367"/>
        <v>0</v>
      </c>
      <c r="M71" s="55">
        <f t="shared" si="368"/>
        <v>0</v>
      </c>
      <c r="N71" s="59">
        <f t="shared" si="369"/>
        <v>0</v>
      </c>
      <c r="O71" s="55">
        <f t="shared" si="370"/>
        <v>0</v>
      </c>
      <c r="P71" s="59">
        <f t="shared" si="371"/>
        <v>0</v>
      </c>
      <c r="Q71" s="57">
        <f t="shared" si="372"/>
        <v>0</v>
      </c>
      <c r="R71" s="59">
        <f t="shared" si="373"/>
        <v>0</v>
      </c>
      <c r="S71" s="55">
        <f t="shared" si="374"/>
        <v>0</v>
      </c>
      <c r="T71" s="59">
        <f t="shared" si="375"/>
        <v>0</v>
      </c>
      <c r="U71" s="57">
        <f t="shared" si="376"/>
        <v>0</v>
      </c>
      <c r="V71" s="59">
        <f t="shared" si="377"/>
        <v>0</v>
      </c>
      <c r="W71" s="60">
        <f t="shared" si="378"/>
        <v>0</v>
      </c>
      <c r="X71" s="59">
        <f t="shared" si="379"/>
        <v>0</v>
      </c>
      <c r="Y71" s="57">
        <f t="shared" si="380"/>
        <v>0</v>
      </c>
      <c r="Z71" s="59">
        <f t="shared" si="381"/>
        <v>0</v>
      </c>
      <c r="AA71" s="55">
        <f t="shared" si="382"/>
        <v>0</v>
      </c>
      <c r="AB71" s="59">
        <f t="shared" si="383"/>
        <v>0</v>
      </c>
      <c r="AC71" s="60">
        <f t="shared" si="384"/>
        <v>0</v>
      </c>
      <c r="AD71" s="59">
        <f t="shared" si="385"/>
        <v>0</v>
      </c>
      <c r="AE71" s="60">
        <f t="shared" si="386"/>
        <v>0</v>
      </c>
      <c r="AF71" s="59">
        <f t="shared" si="387"/>
        <v>0</v>
      </c>
      <c r="AG71" s="60">
        <f t="shared" si="388"/>
        <v>0</v>
      </c>
      <c r="AH71" s="59">
        <f t="shared" si="389"/>
        <v>0</v>
      </c>
      <c r="AI71" s="55">
        <f t="shared" si="390"/>
        <v>0</v>
      </c>
      <c r="AJ71" s="59">
        <f t="shared" si="391"/>
        <v>0</v>
      </c>
      <c r="AK71" s="60">
        <f t="shared" si="392"/>
        <v>0</v>
      </c>
      <c r="AL71" s="59">
        <f t="shared" si="393"/>
        <v>0</v>
      </c>
      <c r="AM71" s="60">
        <f t="shared" si="394"/>
        <v>0</v>
      </c>
      <c r="AN71" s="59">
        <f t="shared" si="395"/>
        <v>0</v>
      </c>
      <c r="AO71" s="60">
        <f t="shared" si="396"/>
        <v>0</v>
      </c>
      <c r="AP71" s="59">
        <f t="shared" si="397"/>
        <v>0</v>
      </c>
      <c r="AQ71" s="60">
        <f t="shared" si="398"/>
        <v>0</v>
      </c>
      <c r="AR71" s="59">
        <f t="shared" si="399"/>
        <v>0</v>
      </c>
      <c r="AS71" s="55">
        <f t="shared" si="400"/>
        <v>0</v>
      </c>
      <c r="AT71" s="59">
        <f t="shared" si="401"/>
        <v>0</v>
      </c>
      <c r="AU71" s="60">
        <f t="shared" si="402"/>
        <v>0</v>
      </c>
      <c r="AV71" s="59">
        <f t="shared" si="403"/>
        <v>0</v>
      </c>
      <c r="AW71" s="60">
        <f t="shared" si="404"/>
        <v>0</v>
      </c>
      <c r="AX71" s="59">
        <f t="shared" si="405"/>
        <v>0</v>
      </c>
      <c r="AY71" s="55">
        <f t="shared" si="406"/>
        <v>0</v>
      </c>
      <c r="AZ71" s="59">
        <f t="shared" si="407"/>
        <v>0</v>
      </c>
      <c r="BC71" s="55">
        <v>1</v>
      </c>
      <c r="BD71" s="55">
        <v>0.97</v>
      </c>
      <c r="BE71" s="55">
        <v>0.95</v>
      </c>
      <c r="BF71" s="55">
        <v>0.93</v>
      </c>
      <c r="BG71" s="55">
        <f t="shared" si="408"/>
        <v>0.91</v>
      </c>
      <c r="BH71" s="55">
        <f t="shared" si="408"/>
        <v>0.89</v>
      </c>
      <c r="BI71" s="55">
        <f t="shared" si="408"/>
        <v>0.87</v>
      </c>
      <c r="BJ71" s="55">
        <f t="shared" si="408"/>
        <v>0.85</v>
      </c>
      <c r="BK71" s="55">
        <f t="shared" si="408"/>
        <v>0.83</v>
      </c>
      <c r="BL71" s="55">
        <f t="shared" si="408"/>
        <v>0.80999999999999994</v>
      </c>
      <c r="BM71" s="55">
        <f t="shared" si="408"/>
        <v>0.78999999999999992</v>
      </c>
      <c r="BN71" s="55">
        <f t="shared" si="408"/>
        <v>0.76999999999999991</v>
      </c>
      <c r="BO71" s="55">
        <f t="shared" si="408"/>
        <v>0.74999999999999989</v>
      </c>
      <c r="BP71" s="55">
        <f t="shared" si="408"/>
        <v>0.72999999999999987</v>
      </c>
      <c r="BQ71" s="55">
        <f t="shared" si="408"/>
        <v>0.70999999999999985</v>
      </c>
      <c r="BR71" s="55">
        <f t="shared" si="408"/>
        <v>0.68999999999999984</v>
      </c>
      <c r="BS71" s="55">
        <f t="shared" si="408"/>
        <v>0.66999999999999982</v>
      </c>
      <c r="BT71" s="55">
        <f t="shared" si="408"/>
        <v>0.6499999999999998</v>
      </c>
      <c r="BU71" s="55">
        <f t="shared" si="408"/>
        <v>0.62999999999999978</v>
      </c>
      <c r="BV71" s="55">
        <f t="shared" si="408"/>
        <v>0.60999999999999976</v>
      </c>
      <c r="BW71" s="55">
        <f t="shared" si="408"/>
        <v>0.58999999999999975</v>
      </c>
      <c r="BX71" s="55">
        <f t="shared" si="408"/>
        <v>0.56999999999999973</v>
      </c>
      <c r="BZ71" s="55">
        <f t="shared" si="88"/>
        <v>0</v>
      </c>
      <c r="CA71" s="55">
        <f t="shared" si="89"/>
        <v>0</v>
      </c>
      <c r="CB71" s="59">
        <f t="shared" si="409"/>
        <v>0</v>
      </c>
      <c r="CC71" s="55">
        <f t="shared" si="410"/>
        <v>0</v>
      </c>
      <c r="CD71" s="59">
        <f t="shared" si="411"/>
        <v>0</v>
      </c>
      <c r="CE71" s="55">
        <f t="shared" si="412"/>
        <v>0</v>
      </c>
      <c r="CF71" s="59">
        <f t="shared" si="413"/>
        <v>0</v>
      </c>
      <c r="CG71" s="55">
        <f t="shared" si="414"/>
        <v>0</v>
      </c>
      <c r="CH71" s="59">
        <f t="shared" si="415"/>
        <v>0</v>
      </c>
      <c r="CI71" s="57">
        <f t="shared" si="416"/>
        <v>0</v>
      </c>
      <c r="CJ71" s="59">
        <f t="shared" si="417"/>
        <v>0</v>
      </c>
      <c r="CK71" s="55">
        <f t="shared" si="418"/>
        <v>0</v>
      </c>
      <c r="CL71" s="59">
        <f t="shared" si="419"/>
        <v>0</v>
      </c>
      <c r="CM71" s="57">
        <f t="shared" si="420"/>
        <v>0</v>
      </c>
      <c r="CN71" s="59">
        <f t="shared" si="421"/>
        <v>0</v>
      </c>
      <c r="CO71" s="60">
        <f t="shared" si="422"/>
        <v>0</v>
      </c>
      <c r="CP71" s="59">
        <f t="shared" si="423"/>
        <v>0</v>
      </c>
      <c r="CQ71" s="57">
        <f t="shared" si="424"/>
        <v>0</v>
      </c>
      <c r="CR71" s="59">
        <f t="shared" si="425"/>
        <v>0</v>
      </c>
      <c r="CS71" s="55">
        <f t="shared" si="426"/>
        <v>0</v>
      </c>
      <c r="CT71" s="59">
        <f t="shared" si="427"/>
        <v>0</v>
      </c>
      <c r="CU71" s="60">
        <f t="shared" si="428"/>
        <v>0</v>
      </c>
      <c r="CV71" s="59">
        <f t="shared" si="429"/>
        <v>0</v>
      </c>
      <c r="CW71" s="60">
        <f t="shared" si="430"/>
        <v>0</v>
      </c>
      <c r="CX71" s="59">
        <f t="shared" si="431"/>
        <v>0</v>
      </c>
      <c r="CY71" s="60">
        <f t="shared" si="432"/>
        <v>0</v>
      </c>
      <c r="CZ71" s="59">
        <f t="shared" si="433"/>
        <v>0</v>
      </c>
      <c r="DA71" s="55">
        <f t="shared" si="434"/>
        <v>0</v>
      </c>
      <c r="DB71" s="59">
        <f t="shared" si="435"/>
        <v>0</v>
      </c>
      <c r="DC71" s="60">
        <f t="shared" si="436"/>
        <v>0</v>
      </c>
      <c r="DD71" s="59">
        <f t="shared" si="437"/>
        <v>0</v>
      </c>
      <c r="DE71" s="60">
        <f t="shared" si="438"/>
        <v>0</v>
      </c>
      <c r="DF71" s="59">
        <f t="shared" si="439"/>
        <v>0</v>
      </c>
      <c r="DG71" s="60">
        <f t="shared" si="440"/>
        <v>0</v>
      </c>
      <c r="DH71" s="59">
        <f t="shared" si="441"/>
        <v>0</v>
      </c>
      <c r="DI71" s="60">
        <f t="shared" si="442"/>
        <v>0</v>
      </c>
      <c r="DJ71" s="59">
        <f t="shared" si="443"/>
        <v>0</v>
      </c>
      <c r="DK71" s="55">
        <f t="shared" si="444"/>
        <v>0</v>
      </c>
      <c r="DL71" s="59">
        <f t="shared" si="445"/>
        <v>0</v>
      </c>
      <c r="DM71" s="60">
        <f t="shared" si="446"/>
        <v>0</v>
      </c>
      <c r="DN71" s="59">
        <f t="shared" si="447"/>
        <v>0</v>
      </c>
      <c r="DO71" s="60">
        <f t="shared" si="448"/>
        <v>0</v>
      </c>
      <c r="DP71" s="59">
        <f t="shared" si="449"/>
        <v>0</v>
      </c>
      <c r="DQ71" s="55">
        <f t="shared" si="450"/>
        <v>0</v>
      </c>
      <c r="DR71" s="59">
        <f t="shared" si="451"/>
        <v>0</v>
      </c>
      <c r="DU71" s="55">
        <v>1</v>
      </c>
      <c r="DV71" s="55">
        <v>0.97</v>
      </c>
      <c r="DW71" s="55">
        <v>0.95</v>
      </c>
      <c r="DX71" s="55">
        <v>0.93</v>
      </c>
      <c r="DY71" s="55">
        <f t="shared" si="497"/>
        <v>0.91</v>
      </c>
      <c r="DZ71" s="55">
        <f t="shared" si="497"/>
        <v>0.89</v>
      </c>
      <c r="EA71" s="55">
        <f t="shared" si="497"/>
        <v>0.87</v>
      </c>
      <c r="EB71" s="55">
        <f t="shared" si="497"/>
        <v>0.85</v>
      </c>
      <c r="EC71" s="55">
        <f t="shared" si="497"/>
        <v>0.83</v>
      </c>
      <c r="ED71" s="55">
        <f t="shared" si="497"/>
        <v>0.80999999999999994</v>
      </c>
      <c r="EE71" s="55">
        <f t="shared" si="497"/>
        <v>0.78999999999999992</v>
      </c>
      <c r="EF71" s="55">
        <f t="shared" si="497"/>
        <v>0.76999999999999991</v>
      </c>
      <c r="EG71" s="55">
        <f t="shared" si="497"/>
        <v>0.74999999999999989</v>
      </c>
      <c r="EH71" s="55">
        <f t="shared" si="497"/>
        <v>0.72999999999999987</v>
      </c>
      <c r="EI71" s="55">
        <f t="shared" si="497"/>
        <v>0.70999999999999985</v>
      </c>
      <c r="EJ71" s="55">
        <f t="shared" si="497"/>
        <v>0.68999999999999984</v>
      </c>
      <c r="EK71" s="55">
        <f t="shared" si="497"/>
        <v>0.66999999999999982</v>
      </c>
      <c r="EL71" s="55">
        <f t="shared" si="497"/>
        <v>0.6499999999999998</v>
      </c>
      <c r="EM71" s="55">
        <f t="shared" si="497"/>
        <v>0.62999999999999978</v>
      </c>
      <c r="EN71" s="55">
        <f t="shared" si="497"/>
        <v>0.60999999999999976</v>
      </c>
      <c r="EO71" s="55">
        <f t="shared" si="497"/>
        <v>0.58999999999999975</v>
      </c>
      <c r="EP71" s="55">
        <f t="shared" si="497"/>
        <v>0.56999999999999973</v>
      </c>
      <c r="ER71" s="55">
        <f t="shared" si="142"/>
        <v>0</v>
      </c>
      <c r="ES71" s="55">
        <f t="shared" si="116"/>
        <v>0</v>
      </c>
      <c r="ET71" s="59">
        <f t="shared" si="453"/>
        <v>0</v>
      </c>
      <c r="EU71" s="55">
        <f t="shared" si="454"/>
        <v>0</v>
      </c>
      <c r="EV71" s="59">
        <f t="shared" si="455"/>
        <v>0</v>
      </c>
      <c r="EW71" s="55">
        <f t="shared" si="456"/>
        <v>0</v>
      </c>
      <c r="EX71" s="59">
        <f t="shared" si="457"/>
        <v>0</v>
      </c>
      <c r="EY71" s="55">
        <f t="shared" si="458"/>
        <v>0</v>
      </c>
      <c r="EZ71" s="59">
        <f t="shared" si="459"/>
        <v>0</v>
      </c>
      <c r="FA71" s="57">
        <f t="shared" si="460"/>
        <v>0</v>
      </c>
      <c r="FB71" s="59">
        <f t="shared" si="461"/>
        <v>0</v>
      </c>
      <c r="FC71" s="55">
        <f t="shared" si="462"/>
        <v>0</v>
      </c>
      <c r="FD71" s="59">
        <f t="shared" si="463"/>
        <v>0</v>
      </c>
      <c r="FE71" s="57">
        <f t="shared" si="464"/>
        <v>0</v>
      </c>
      <c r="FF71" s="59">
        <f t="shared" si="465"/>
        <v>0</v>
      </c>
      <c r="FG71" s="60">
        <f t="shared" si="466"/>
        <v>0</v>
      </c>
      <c r="FH71" s="59">
        <f t="shared" si="467"/>
        <v>0</v>
      </c>
      <c r="FI71" s="57">
        <f t="shared" si="468"/>
        <v>0</v>
      </c>
      <c r="FJ71" s="59">
        <f t="shared" si="469"/>
        <v>0</v>
      </c>
      <c r="FK71" s="55">
        <f t="shared" si="470"/>
        <v>0</v>
      </c>
      <c r="FL71" s="59">
        <f t="shared" si="471"/>
        <v>0</v>
      </c>
      <c r="FM71" s="60">
        <f t="shared" si="472"/>
        <v>0</v>
      </c>
      <c r="FN71" s="59">
        <f t="shared" si="473"/>
        <v>0</v>
      </c>
      <c r="FO71" s="60">
        <f t="shared" si="474"/>
        <v>0</v>
      </c>
      <c r="FP71" s="59">
        <f t="shared" si="475"/>
        <v>0</v>
      </c>
      <c r="FQ71" s="60">
        <f t="shared" si="476"/>
        <v>0</v>
      </c>
      <c r="FR71" s="59">
        <f t="shared" si="477"/>
        <v>0</v>
      </c>
      <c r="FS71" s="55">
        <f t="shared" si="478"/>
        <v>0</v>
      </c>
      <c r="FT71" s="59">
        <f t="shared" si="479"/>
        <v>0</v>
      </c>
      <c r="FU71" s="60">
        <f t="shared" si="480"/>
        <v>0</v>
      </c>
      <c r="FV71" s="59">
        <f t="shared" si="481"/>
        <v>0</v>
      </c>
      <c r="FW71" s="60">
        <f t="shared" si="482"/>
        <v>0</v>
      </c>
      <c r="FX71" s="59">
        <f t="shared" si="483"/>
        <v>0</v>
      </c>
      <c r="FY71" s="60">
        <f t="shared" si="484"/>
        <v>0</v>
      </c>
      <c r="FZ71" s="59">
        <f t="shared" si="485"/>
        <v>0</v>
      </c>
      <c r="GA71" s="60">
        <f t="shared" si="486"/>
        <v>0</v>
      </c>
      <c r="GB71" s="59">
        <f t="shared" si="487"/>
        <v>0</v>
      </c>
      <c r="GC71" s="55">
        <f t="shared" si="488"/>
        <v>0</v>
      </c>
      <c r="GD71" s="59">
        <f t="shared" si="489"/>
        <v>0</v>
      </c>
      <c r="GE71" s="60">
        <f t="shared" si="490"/>
        <v>0</v>
      </c>
      <c r="GF71" s="59">
        <f t="shared" si="491"/>
        <v>0</v>
      </c>
      <c r="GG71" s="60">
        <f t="shared" si="492"/>
        <v>0</v>
      </c>
      <c r="GH71" s="59">
        <f t="shared" si="493"/>
        <v>0</v>
      </c>
      <c r="GI71" s="55">
        <f t="shared" si="494"/>
        <v>0</v>
      </c>
      <c r="GJ71" s="59">
        <f t="shared" si="495"/>
        <v>0</v>
      </c>
      <c r="GK71" s="55"/>
      <c r="GL71" s="55"/>
      <c r="GM71" s="55">
        <v>1</v>
      </c>
      <c r="GN71" s="55">
        <v>0.97</v>
      </c>
      <c r="GO71" s="55">
        <v>0.95</v>
      </c>
      <c r="GP71" s="55">
        <v>0.93</v>
      </c>
      <c r="GQ71" s="55">
        <f t="shared" si="498"/>
        <v>0.91</v>
      </c>
      <c r="GR71" s="55">
        <f t="shared" si="498"/>
        <v>0.89</v>
      </c>
      <c r="GS71" s="55">
        <f t="shared" si="498"/>
        <v>0.87</v>
      </c>
      <c r="GT71" s="55">
        <f t="shared" si="498"/>
        <v>0.85</v>
      </c>
      <c r="GU71" s="55">
        <f t="shared" si="498"/>
        <v>0.83</v>
      </c>
      <c r="GV71" s="55">
        <f t="shared" si="498"/>
        <v>0.80999999999999994</v>
      </c>
      <c r="GW71" s="55">
        <f t="shared" si="498"/>
        <v>0.78999999999999992</v>
      </c>
      <c r="GX71" s="55">
        <f t="shared" si="498"/>
        <v>0.76999999999999991</v>
      </c>
      <c r="GY71" s="55">
        <f t="shared" si="498"/>
        <v>0.74999999999999989</v>
      </c>
      <c r="GZ71" s="55">
        <f t="shared" si="498"/>
        <v>0.72999999999999987</v>
      </c>
      <c r="HA71" s="55">
        <f t="shared" si="498"/>
        <v>0.70999999999999985</v>
      </c>
      <c r="HB71" s="55">
        <f t="shared" si="498"/>
        <v>0.68999999999999984</v>
      </c>
      <c r="HC71" s="55">
        <f t="shared" si="498"/>
        <v>0.66999999999999982</v>
      </c>
      <c r="HD71" s="55">
        <f t="shared" si="498"/>
        <v>0.6499999999999998</v>
      </c>
      <c r="HE71" s="55">
        <f t="shared" si="498"/>
        <v>0.62999999999999978</v>
      </c>
      <c r="HF71" s="55">
        <f t="shared" si="498"/>
        <v>0.60999999999999976</v>
      </c>
      <c r="HG71" s="55">
        <f t="shared" si="498"/>
        <v>0.58999999999999975</v>
      </c>
      <c r="HH71" s="55">
        <f t="shared" si="498"/>
        <v>0.56999999999999973</v>
      </c>
    </row>
    <row r="72" spans="1:216" x14ac:dyDescent="0.3">
      <c r="A72" s="2">
        <v>10</v>
      </c>
      <c r="C72" s="38" t="s">
        <v>138</v>
      </c>
      <c r="D72" s="42">
        <f>TRUNC(48590.3986640886,-1)</f>
        <v>48590</v>
      </c>
      <c r="E72" s="71">
        <f t="shared" si="365"/>
        <v>160620</v>
      </c>
      <c r="H72" s="55">
        <f t="shared" si="61"/>
        <v>176682</v>
      </c>
      <c r="I72" s="55">
        <f t="shared" si="62"/>
        <v>176682</v>
      </c>
      <c r="J72" s="59">
        <f t="shared" si="63"/>
        <v>584075.35560000001</v>
      </c>
      <c r="K72" s="55">
        <f t="shared" si="366"/>
        <v>171381.54</v>
      </c>
      <c r="L72" s="59">
        <f t="shared" si="367"/>
        <v>566553.09493200004</v>
      </c>
      <c r="M72" s="55">
        <f t="shared" si="368"/>
        <v>167847.9</v>
      </c>
      <c r="N72" s="59">
        <f t="shared" si="369"/>
        <v>554871.58782000002</v>
      </c>
      <c r="O72" s="55">
        <f t="shared" si="370"/>
        <v>164314.26</v>
      </c>
      <c r="P72" s="59">
        <f t="shared" si="371"/>
        <v>543190.08070799999</v>
      </c>
      <c r="Q72" s="57">
        <f t="shared" si="372"/>
        <v>160780.62</v>
      </c>
      <c r="R72" s="59">
        <f t="shared" si="373"/>
        <v>531508.57359599997</v>
      </c>
      <c r="S72" s="55">
        <f t="shared" si="374"/>
        <v>157246.98000000001</v>
      </c>
      <c r="T72" s="59">
        <f t="shared" si="375"/>
        <v>519827.06648400007</v>
      </c>
      <c r="U72" s="57">
        <f t="shared" si="376"/>
        <v>153713.34</v>
      </c>
      <c r="V72" s="59">
        <f t="shared" si="377"/>
        <v>508145.55937199999</v>
      </c>
      <c r="W72" s="60">
        <f t="shared" si="378"/>
        <v>150179.69999999998</v>
      </c>
      <c r="X72" s="59">
        <f t="shared" si="379"/>
        <v>496464.05225999997</v>
      </c>
      <c r="Y72" s="57">
        <f t="shared" si="380"/>
        <v>146646.06</v>
      </c>
      <c r="Z72" s="59">
        <f t="shared" si="381"/>
        <v>484782.545148</v>
      </c>
      <c r="AA72" s="55">
        <f t="shared" si="382"/>
        <v>143112.41999999998</v>
      </c>
      <c r="AB72" s="59">
        <f t="shared" si="383"/>
        <v>473101.03803599998</v>
      </c>
      <c r="AC72" s="60">
        <f t="shared" si="384"/>
        <v>139578.78</v>
      </c>
      <c r="AD72" s="59">
        <f t="shared" si="385"/>
        <v>461419.53092400002</v>
      </c>
      <c r="AE72" s="60">
        <f t="shared" si="386"/>
        <v>136045.13999999998</v>
      </c>
      <c r="AF72" s="59">
        <f t="shared" si="387"/>
        <v>449738.02381199994</v>
      </c>
      <c r="AG72" s="60">
        <f t="shared" si="388"/>
        <v>132511.49999999997</v>
      </c>
      <c r="AH72" s="59">
        <f t="shared" si="389"/>
        <v>438056.51669999992</v>
      </c>
      <c r="AI72" s="55">
        <f t="shared" si="390"/>
        <v>128977.85999999997</v>
      </c>
      <c r="AJ72" s="59">
        <f t="shared" si="391"/>
        <v>426375.0095879999</v>
      </c>
      <c r="AK72" s="60">
        <f t="shared" si="392"/>
        <v>125444.21999999997</v>
      </c>
      <c r="AL72" s="59">
        <f t="shared" si="393"/>
        <v>414693.50247599994</v>
      </c>
      <c r="AM72" s="60">
        <f t="shared" si="394"/>
        <v>121910.57999999997</v>
      </c>
      <c r="AN72" s="59">
        <f t="shared" si="395"/>
        <v>403011.99536399991</v>
      </c>
      <c r="AO72" s="60">
        <f t="shared" si="396"/>
        <v>118376.93999999997</v>
      </c>
      <c r="AP72" s="59">
        <f t="shared" si="397"/>
        <v>391330.48825199989</v>
      </c>
      <c r="AQ72" s="60">
        <f t="shared" si="398"/>
        <v>114843.29999999996</v>
      </c>
      <c r="AR72" s="59">
        <f t="shared" si="399"/>
        <v>379648.98113999987</v>
      </c>
      <c r="AS72" s="55">
        <f t="shared" si="400"/>
        <v>111309.65999999996</v>
      </c>
      <c r="AT72" s="59">
        <f t="shared" si="401"/>
        <v>367967.47402799985</v>
      </c>
      <c r="AU72" s="60">
        <f t="shared" si="402"/>
        <v>107776.01999999996</v>
      </c>
      <c r="AV72" s="59">
        <f t="shared" si="403"/>
        <v>356285.96691599989</v>
      </c>
      <c r="AW72" s="60">
        <f t="shared" si="404"/>
        <v>104242.37999999996</v>
      </c>
      <c r="AX72" s="59">
        <f t="shared" si="405"/>
        <v>344604.45980399987</v>
      </c>
      <c r="AY72" s="55">
        <f t="shared" si="406"/>
        <v>100708.73999999995</v>
      </c>
      <c r="AZ72" s="59">
        <f t="shared" si="407"/>
        <v>332922.95269199985</v>
      </c>
      <c r="BC72" s="55">
        <v>1</v>
      </c>
      <c r="BD72" s="55">
        <v>0.97</v>
      </c>
      <c r="BE72" s="55">
        <v>0.95</v>
      </c>
      <c r="BF72" s="55">
        <v>0.93</v>
      </c>
      <c r="BG72" s="55">
        <f t="shared" si="408"/>
        <v>0.91</v>
      </c>
      <c r="BH72" s="55">
        <f t="shared" si="408"/>
        <v>0.89</v>
      </c>
      <c r="BI72" s="55">
        <f t="shared" si="408"/>
        <v>0.87</v>
      </c>
      <c r="BJ72" s="55">
        <f t="shared" si="408"/>
        <v>0.85</v>
      </c>
      <c r="BK72" s="55">
        <f t="shared" si="408"/>
        <v>0.83</v>
      </c>
      <c r="BL72" s="55">
        <f t="shared" si="408"/>
        <v>0.80999999999999994</v>
      </c>
      <c r="BM72" s="55">
        <f t="shared" si="408"/>
        <v>0.78999999999999992</v>
      </c>
      <c r="BN72" s="55">
        <f t="shared" si="408"/>
        <v>0.76999999999999991</v>
      </c>
      <c r="BO72" s="55">
        <f t="shared" si="408"/>
        <v>0.74999999999999989</v>
      </c>
      <c r="BP72" s="55">
        <f t="shared" si="408"/>
        <v>0.72999999999999987</v>
      </c>
      <c r="BQ72" s="55">
        <f t="shared" si="408"/>
        <v>0.70999999999999985</v>
      </c>
      <c r="BR72" s="55">
        <f t="shared" si="408"/>
        <v>0.68999999999999984</v>
      </c>
      <c r="BS72" s="55">
        <f t="shared" si="408"/>
        <v>0.66999999999999982</v>
      </c>
      <c r="BT72" s="55">
        <f t="shared" si="408"/>
        <v>0.6499999999999998</v>
      </c>
      <c r="BU72" s="55">
        <f t="shared" si="408"/>
        <v>0.62999999999999978</v>
      </c>
      <c r="BV72" s="55">
        <f t="shared" si="408"/>
        <v>0.60999999999999976</v>
      </c>
      <c r="BW72" s="55">
        <f t="shared" si="408"/>
        <v>0.58999999999999975</v>
      </c>
      <c r="BX72" s="55">
        <f t="shared" si="408"/>
        <v>0.56999999999999973</v>
      </c>
      <c r="BZ72" s="55">
        <f t="shared" si="88"/>
        <v>160780.62</v>
      </c>
      <c r="CA72" s="55">
        <f t="shared" si="89"/>
        <v>160780.62</v>
      </c>
      <c r="CB72" s="59">
        <f t="shared" si="409"/>
        <v>531508.57359599997</v>
      </c>
      <c r="CC72" s="55">
        <f t="shared" si="410"/>
        <v>155957.20139999999</v>
      </c>
      <c r="CD72" s="59">
        <f t="shared" si="411"/>
        <v>515563.31638812</v>
      </c>
      <c r="CE72" s="55">
        <f t="shared" si="412"/>
        <v>152741.58899999998</v>
      </c>
      <c r="CF72" s="59">
        <f t="shared" si="413"/>
        <v>504933.14491619996</v>
      </c>
      <c r="CG72" s="55">
        <f t="shared" si="414"/>
        <v>149525.97659999999</v>
      </c>
      <c r="CH72" s="59">
        <f t="shared" si="415"/>
        <v>494302.97344427998</v>
      </c>
      <c r="CI72" s="57">
        <f t="shared" si="416"/>
        <v>146310.36420000001</v>
      </c>
      <c r="CJ72" s="59">
        <f t="shared" si="417"/>
        <v>483672.80197236006</v>
      </c>
      <c r="CK72" s="55">
        <f t="shared" si="418"/>
        <v>143094.7518</v>
      </c>
      <c r="CL72" s="59">
        <f t="shared" si="419"/>
        <v>473042.63050044002</v>
      </c>
      <c r="CM72" s="57">
        <f t="shared" si="420"/>
        <v>139879.13939999999</v>
      </c>
      <c r="CN72" s="59">
        <f t="shared" si="421"/>
        <v>462412.45902851998</v>
      </c>
      <c r="CO72" s="60">
        <f t="shared" si="422"/>
        <v>136663.527</v>
      </c>
      <c r="CP72" s="59">
        <f t="shared" si="423"/>
        <v>451782.2875566</v>
      </c>
      <c r="CQ72" s="57">
        <f t="shared" si="424"/>
        <v>133447.91459999999</v>
      </c>
      <c r="CR72" s="59">
        <f t="shared" si="425"/>
        <v>441152.11608467996</v>
      </c>
      <c r="CS72" s="55">
        <f t="shared" si="426"/>
        <v>130232.30219999999</v>
      </c>
      <c r="CT72" s="59">
        <f t="shared" si="427"/>
        <v>430521.94461275998</v>
      </c>
      <c r="CU72" s="60">
        <f t="shared" si="428"/>
        <v>127016.68979999998</v>
      </c>
      <c r="CV72" s="59">
        <f t="shared" si="429"/>
        <v>419891.77314083994</v>
      </c>
      <c r="CW72" s="60">
        <f t="shared" si="430"/>
        <v>123801.07739999998</v>
      </c>
      <c r="CX72" s="59">
        <f t="shared" si="431"/>
        <v>409261.60166891996</v>
      </c>
      <c r="CY72" s="60">
        <f t="shared" si="432"/>
        <v>120585.46499999998</v>
      </c>
      <c r="CZ72" s="59">
        <f t="shared" si="433"/>
        <v>398631.43019699992</v>
      </c>
      <c r="DA72" s="55">
        <f t="shared" si="434"/>
        <v>117369.85259999997</v>
      </c>
      <c r="DB72" s="59">
        <f t="shared" si="435"/>
        <v>388001.25872507988</v>
      </c>
      <c r="DC72" s="60">
        <f t="shared" si="436"/>
        <v>114154.24019999997</v>
      </c>
      <c r="DD72" s="59">
        <f t="shared" si="437"/>
        <v>377371.0872531599</v>
      </c>
      <c r="DE72" s="60">
        <f t="shared" si="438"/>
        <v>110938.62779999997</v>
      </c>
      <c r="DF72" s="59">
        <f t="shared" si="439"/>
        <v>366740.91578123992</v>
      </c>
      <c r="DG72" s="60">
        <f t="shared" si="440"/>
        <v>107723.01539999997</v>
      </c>
      <c r="DH72" s="59">
        <f t="shared" si="441"/>
        <v>356110.74430931994</v>
      </c>
      <c r="DI72" s="60">
        <f t="shared" si="442"/>
        <v>104507.40299999996</v>
      </c>
      <c r="DJ72" s="59">
        <f t="shared" si="443"/>
        <v>345480.5728373999</v>
      </c>
      <c r="DK72" s="55">
        <f t="shared" si="444"/>
        <v>101291.79059999996</v>
      </c>
      <c r="DL72" s="59">
        <f t="shared" si="445"/>
        <v>334850.40136547986</v>
      </c>
      <c r="DM72" s="60">
        <f t="shared" si="446"/>
        <v>98076.178199999966</v>
      </c>
      <c r="DN72" s="59">
        <f t="shared" si="447"/>
        <v>324220.22989355988</v>
      </c>
      <c r="DO72" s="60">
        <f t="shared" si="448"/>
        <v>94860.565799999953</v>
      </c>
      <c r="DP72" s="59">
        <f t="shared" si="449"/>
        <v>313590.05842163984</v>
      </c>
      <c r="DQ72" s="55">
        <f t="shared" si="450"/>
        <v>91644.953399999955</v>
      </c>
      <c r="DR72" s="59">
        <f t="shared" si="451"/>
        <v>302959.88694971986</v>
      </c>
      <c r="DU72" s="55">
        <v>1</v>
      </c>
      <c r="DV72" s="55">
        <v>0.97</v>
      </c>
      <c r="DW72" s="55">
        <v>0.95</v>
      </c>
      <c r="DX72" s="55">
        <v>0.93</v>
      </c>
      <c r="DY72" s="55">
        <f t="shared" si="497"/>
        <v>0.91</v>
      </c>
      <c r="DZ72" s="55">
        <f t="shared" si="497"/>
        <v>0.89</v>
      </c>
      <c r="EA72" s="55">
        <f t="shared" si="497"/>
        <v>0.87</v>
      </c>
      <c r="EB72" s="55">
        <f t="shared" si="497"/>
        <v>0.85</v>
      </c>
      <c r="EC72" s="55">
        <f t="shared" si="497"/>
        <v>0.83</v>
      </c>
      <c r="ED72" s="55">
        <f t="shared" si="497"/>
        <v>0.80999999999999994</v>
      </c>
      <c r="EE72" s="55">
        <f t="shared" si="497"/>
        <v>0.78999999999999992</v>
      </c>
      <c r="EF72" s="55">
        <f t="shared" si="497"/>
        <v>0.76999999999999991</v>
      </c>
      <c r="EG72" s="55">
        <f t="shared" si="497"/>
        <v>0.74999999999999989</v>
      </c>
      <c r="EH72" s="55">
        <f t="shared" si="497"/>
        <v>0.72999999999999987</v>
      </c>
      <c r="EI72" s="55">
        <f t="shared" si="497"/>
        <v>0.70999999999999985</v>
      </c>
      <c r="EJ72" s="55">
        <f t="shared" si="497"/>
        <v>0.68999999999999984</v>
      </c>
      <c r="EK72" s="55">
        <f t="shared" si="497"/>
        <v>0.66999999999999982</v>
      </c>
      <c r="EL72" s="55">
        <f t="shared" si="497"/>
        <v>0.6499999999999998</v>
      </c>
      <c r="EM72" s="55">
        <f t="shared" si="497"/>
        <v>0.62999999999999978</v>
      </c>
      <c r="EN72" s="55">
        <f t="shared" si="497"/>
        <v>0.60999999999999976</v>
      </c>
      <c r="EO72" s="55">
        <f t="shared" si="497"/>
        <v>0.58999999999999975</v>
      </c>
      <c r="EP72" s="55">
        <f t="shared" si="497"/>
        <v>0.56999999999999973</v>
      </c>
      <c r="ER72" s="55">
        <f t="shared" si="142"/>
        <v>146310.36420000001</v>
      </c>
      <c r="ES72" s="55">
        <f t="shared" si="116"/>
        <v>146310.36420000001</v>
      </c>
      <c r="ET72" s="59">
        <f t="shared" si="453"/>
        <v>483672.80197236006</v>
      </c>
      <c r="EU72" s="55">
        <f t="shared" si="454"/>
        <v>141921.05327400001</v>
      </c>
      <c r="EV72" s="59">
        <f t="shared" si="455"/>
        <v>469162.61791318923</v>
      </c>
      <c r="EW72" s="55">
        <f t="shared" si="456"/>
        <v>138994.84599</v>
      </c>
      <c r="EX72" s="59">
        <f t="shared" si="457"/>
        <v>459489.16187374201</v>
      </c>
      <c r="EY72" s="55">
        <f t="shared" si="458"/>
        <v>136068.63870600003</v>
      </c>
      <c r="EZ72" s="59">
        <f t="shared" si="459"/>
        <v>449815.7058342949</v>
      </c>
      <c r="FA72" s="57">
        <f t="shared" si="460"/>
        <v>133142.43142200002</v>
      </c>
      <c r="FB72" s="59">
        <f t="shared" si="461"/>
        <v>440142.24979484768</v>
      </c>
      <c r="FC72" s="55">
        <f t="shared" si="462"/>
        <v>130216.22413800001</v>
      </c>
      <c r="FD72" s="59">
        <f t="shared" si="463"/>
        <v>430468.7937554004</v>
      </c>
      <c r="FE72" s="57">
        <f t="shared" si="464"/>
        <v>127290.01685400002</v>
      </c>
      <c r="FF72" s="59">
        <f t="shared" si="465"/>
        <v>420795.33771595324</v>
      </c>
      <c r="FG72" s="60">
        <f t="shared" si="466"/>
        <v>124363.80957000001</v>
      </c>
      <c r="FH72" s="59">
        <f t="shared" si="467"/>
        <v>411121.88167650608</v>
      </c>
      <c r="FI72" s="57">
        <f t="shared" si="468"/>
        <v>121437.60228600001</v>
      </c>
      <c r="FJ72" s="59">
        <f t="shared" si="469"/>
        <v>401448.42563705886</v>
      </c>
      <c r="FK72" s="55">
        <f t="shared" si="470"/>
        <v>118511.395002</v>
      </c>
      <c r="FL72" s="59">
        <f t="shared" si="471"/>
        <v>391774.96959761163</v>
      </c>
      <c r="FM72" s="60">
        <f t="shared" si="472"/>
        <v>115585.187718</v>
      </c>
      <c r="FN72" s="59">
        <f t="shared" si="473"/>
        <v>382101.51355816441</v>
      </c>
      <c r="FO72" s="60">
        <f t="shared" si="474"/>
        <v>112658.980434</v>
      </c>
      <c r="FP72" s="59">
        <f t="shared" si="475"/>
        <v>372428.05751871719</v>
      </c>
      <c r="FQ72" s="60">
        <f t="shared" si="476"/>
        <v>109732.77314999999</v>
      </c>
      <c r="FR72" s="59">
        <f t="shared" si="477"/>
        <v>362754.60147926997</v>
      </c>
      <c r="FS72" s="55">
        <f t="shared" si="478"/>
        <v>106806.56586599999</v>
      </c>
      <c r="FT72" s="59">
        <f t="shared" si="479"/>
        <v>353081.14543982275</v>
      </c>
      <c r="FU72" s="60">
        <f t="shared" si="480"/>
        <v>103880.35858199999</v>
      </c>
      <c r="FV72" s="59">
        <f t="shared" si="481"/>
        <v>343407.68940037559</v>
      </c>
      <c r="FW72" s="60">
        <f t="shared" si="482"/>
        <v>100954.15129799998</v>
      </c>
      <c r="FX72" s="59">
        <f t="shared" si="483"/>
        <v>333734.23336092837</v>
      </c>
      <c r="FY72" s="60">
        <f t="shared" si="484"/>
        <v>98027.944013999979</v>
      </c>
      <c r="FZ72" s="59">
        <f t="shared" si="485"/>
        <v>324060.77732148115</v>
      </c>
      <c r="GA72" s="60">
        <f t="shared" si="486"/>
        <v>95101.736729999975</v>
      </c>
      <c r="GB72" s="59">
        <f t="shared" si="487"/>
        <v>314387.32128203392</v>
      </c>
      <c r="GC72" s="55">
        <f t="shared" si="488"/>
        <v>92175.529445999971</v>
      </c>
      <c r="GD72" s="59">
        <f t="shared" si="489"/>
        <v>304713.8652425867</v>
      </c>
      <c r="GE72" s="60">
        <f t="shared" si="490"/>
        <v>89249.322161999968</v>
      </c>
      <c r="GF72" s="59">
        <f t="shared" si="491"/>
        <v>295040.40920313948</v>
      </c>
      <c r="GG72" s="60">
        <f t="shared" si="492"/>
        <v>86323.114877999964</v>
      </c>
      <c r="GH72" s="59">
        <f t="shared" si="493"/>
        <v>285366.95316369226</v>
      </c>
      <c r="GI72" s="55">
        <f t="shared" si="494"/>
        <v>83396.90759399996</v>
      </c>
      <c r="GJ72" s="59">
        <f t="shared" si="495"/>
        <v>275693.4971242451</v>
      </c>
      <c r="GK72" s="55"/>
      <c r="GL72" s="55"/>
      <c r="GM72" s="55">
        <v>1</v>
      </c>
      <c r="GN72" s="55">
        <v>0.97</v>
      </c>
      <c r="GO72" s="55">
        <v>0.95</v>
      </c>
      <c r="GP72" s="55">
        <v>0.93</v>
      </c>
      <c r="GQ72" s="55">
        <f t="shared" si="498"/>
        <v>0.91</v>
      </c>
      <c r="GR72" s="55">
        <f t="shared" si="498"/>
        <v>0.89</v>
      </c>
      <c r="GS72" s="55">
        <f t="shared" si="498"/>
        <v>0.87</v>
      </c>
      <c r="GT72" s="55">
        <f t="shared" si="498"/>
        <v>0.85</v>
      </c>
      <c r="GU72" s="55">
        <f t="shared" si="498"/>
        <v>0.83</v>
      </c>
      <c r="GV72" s="55">
        <f t="shared" si="498"/>
        <v>0.80999999999999994</v>
      </c>
      <c r="GW72" s="55">
        <f t="shared" si="498"/>
        <v>0.78999999999999992</v>
      </c>
      <c r="GX72" s="55">
        <f t="shared" si="498"/>
        <v>0.76999999999999991</v>
      </c>
      <c r="GY72" s="55">
        <f t="shared" si="498"/>
        <v>0.74999999999999989</v>
      </c>
      <c r="GZ72" s="55">
        <f t="shared" si="498"/>
        <v>0.72999999999999987</v>
      </c>
      <c r="HA72" s="55">
        <f t="shared" si="498"/>
        <v>0.70999999999999985</v>
      </c>
      <c r="HB72" s="55">
        <f t="shared" si="498"/>
        <v>0.68999999999999984</v>
      </c>
      <c r="HC72" s="55">
        <f t="shared" si="498"/>
        <v>0.66999999999999982</v>
      </c>
      <c r="HD72" s="55">
        <f t="shared" si="498"/>
        <v>0.6499999999999998</v>
      </c>
      <c r="HE72" s="55">
        <f t="shared" si="498"/>
        <v>0.62999999999999978</v>
      </c>
      <c r="HF72" s="55">
        <f t="shared" si="498"/>
        <v>0.60999999999999976</v>
      </c>
      <c r="HG72" s="55">
        <f t="shared" si="498"/>
        <v>0.58999999999999975</v>
      </c>
      <c r="HH72" s="55">
        <f t="shared" si="498"/>
        <v>0.56999999999999973</v>
      </c>
    </row>
    <row r="73" spans="1:216" x14ac:dyDescent="0.3">
      <c r="A73" s="2">
        <v>11</v>
      </c>
      <c r="C73" s="38" t="s">
        <v>134</v>
      </c>
      <c r="D73" s="42">
        <v>0</v>
      </c>
      <c r="E73" s="71">
        <f t="shared" si="365"/>
        <v>0</v>
      </c>
      <c r="H73" s="55">
        <f t="shared" si="61"/>
        <v>0</v>
      </c>
      <c r="I73" s="55">
        <f t="shared" si="62"/>
        <v>0</v>
      </c>
      <c r="J73" s="59">
        <f t="shared" si="63"/>
        <v>0</v>
      </c>
      <c r="K73" s="55">
        <f t="shared" si="366"/>
        <v>0</v>
      </c>
      <c r="L73" s="59">
        <f t="shared" si="367"/>
        <v>0</v>
      </c>
      <c r="M73" s="55">
        <f t="shared" si="368"/>
        <v>0</v>
      </c>
      <c r="N73" s="59">
        <f t="shared" si="369"/>
        <v>0</v>
      </c>
      <c r="O73" s="55">
        <f t="shared" si="370"/>
        <v>0</v>
      </c>
      <c r="P73" s="59">
        <f t="shared" si="371"/>
        <v>0</v>
      </c>
      <c r="Q73" s="57">
        <f t="shared" si="372"/>
        <v>0</v>
      </c>
      <c r="R73" s="59">
        <f t="shared" si="373"/>
        <v>0</v>
      </c>
      <c r="S73" s="55">
        <f t="shared" si="374"/>
        <v>0</v>
      </c>
      <c r="T73" s="59">
        <f t="shared" si="375"/>
        <v>0</v>
      </c>
      <c r="U73" s="57">
        <f t="shared" si="376"/>
        <v>0</v>
      </c>
      <c r="V73" s="59">
        <f t="shared" si="377"/>
        <v>0</v>
      </c>
      <c r="W73" s="60">
        <f t="shared" si="378"/>
        <v>0</v>
      </c>
      <c r="X73" s="59">
        <f t="shared" si="379"/>
        <v>0</v>
      </c>
      <c r="Y73" s="57">
        <f t="shared" si="380"/>
        <v>0</v>
      </c>
      <c r="Z73" s="59">
        <f t="shared" si="381"/>
        <v>0</v>
      </c>
      <c r="AA73" s="55">
        <f t="shared" si="382"/>
        <v>0</v>
      </c>
      <c r="AB73" s="59">
        <f t="shared" si="383"/>
        <v>0</v>
      </c>
      <c r="AC73" s="60">
        <f t="shared" si="384"/>
        <v>0</v>
      </c>
      <c r="AD73" s="59">
        <f t="shared" si="385"/>
        <v>0</v>
      </c>
      <c r="AE73" s="60">
        <f t="shared" si="386"/>
        <v>0</v>
      </c>
      <c r="AF73" s="59">
        <f t="shared" si="387"/>
        <v>0</v>
      </c>
      <c r="AG73" s="60">
        <f t="shared" si="388"/>
        <v>0</v>
      </c>
      <c r="AH73" s="59">
        <f t="shared" si="389"/>
        <v>0</v>
      </c>
      <c r="AI73" s="55">
        <f t="shared" si="390"/>
        <v>0</v>
      </c>
      <c r="AJ73" s="59">
        <f t="shared" si="391"/>
        <v>0</v>
      </c>
      <c r="AK73" s="60">
        <f t="shared" si="392"/>
        <v>0</v>
      </c>
      <c r="AL73" s="59">
        <f t="shared" si="393"/>
        <v>0</v>
      </c>
      <c r="AM73" s="60">
        <f t="shared" si="394"/>
        <v>0</v>
      </c>
      <c r="AN73" s="59">
        <f t="shared" si="395"/>
        <v>0</v>
      </c>
      <c r="AO73" s="60">
        <f t="shared" si="396"/>
        <v>0</v>
      </c>
      <c r="AP73" s="59">
        <f t="shared" si="397"/>
        <v>0</v>
      </c>
      <c r="AQ73" s="60">
        <f t="shared" si="398"/>
        <v>0</v>
      </c>
      <c r="AR73" s="59">
        <f t="shared" si="399"/>
        <v>0</v>
      </c>
      <c r="AS73" s="55">
        <f t="shared" si="400"/>
        <v>0</v>
      </c>
      <c r="AT73" s="59">
        <f t="shared" si="401"/>
        <v>0</v>
      </c>
      <c r="AU73" s="60">
        <f t="shared" si="402"/>
        <v>0</v>
      </c>
      <c r="AV73" s="59">
        <f t="shared" si="403"/>
        <v>0</v>
      </c>
      <c r="AW73" s="60">
        <f t="shared" si="404"/>
        <v>0</v>
      </c>
      <c r="AX73" s="59">
        <f t="shared" si="405"/>
        <v>0</v>
      </c>
      <c r="AY73" s="55">
        <f t="shared" si="406"/>
        <v>0</v>
      </c>
      <c r="AZ73" s="59">
        <f t="shared" si="407"/>
        <v>0</v>
      </c>
      <c r="BC73" s="55">
        <v>1</v>
      </c>
      <c r="BD73" s="55">
        <v>0.97</v>
      </c>
      <c r="BE73" s="55">
        <v>0.95</v>
      </c>
      <c r="BF73" s="55">
        <v>0.93</v>
      </c>
      <c r="BG73" s="55">
        <f t="shared" si="408"/>
        <v>0.91</v>
      </c>
      <c r="BH73" s="55">
        <f t="shared" si="408"/>
        <v>0.89</v>
      </c>
      <c r="BI73" s="55">
        <f t="shared" si="408"/>
        <v>0.87</v>
      </c>
      <c r="BJ73" s="55">
        <f t="shared" si="408"/>
        <v>0.85</v>
      </c>
      <c r="BK73" s="55">
        <f t="shared" si="408"/>
        <v>0.83</v>
      </c>
      <c r="BL73" s="55">
        <f t="shared" si="408"/>
        <v>0.80999999999999994</v>
      </c>
      <c r="BM73" s="55">
        <f t="shared" si="408"/>
        <v>0.78999999999999992</v>
      </c>
      <c r="BN73" s="55">
        <f t="shared" si="408"/>
        <v>0.76999999999999991</v>
      </c>
      <c r="BO73" s="55">
        <f t="shared" si="408"/>
        <v>0.74999999999999989</v>
      </c>
      <c r="BP73" s="55">
        <f t="shared" si="408"/>
        <v>0.72999999999999987</v>
      </c>
      <c r="BQ73" s="55">
        <f t="shared" si="408"/>
        <v>0.70999999999999985</v>
      </c>
      <c r="BR73" s="55">
        <f t="shared" si="408"/>
        <v>0.68999999999999984</v>
      </c>
      <c r="BS73" s="55">
        <f t="shared" si="408"/>
        <v>0.66999999999999982</v>
      </c>
      <c r="BT73" s="55">
        <f t="shared" si="408"/>
        <v>0.6499999999999998</v>
      </c>
      <c r="BU73" s="55">
        <f t="shared" si="408"/>
        <v>0.62999999999999978</v>
      </c>
      <c r="BV73" s="55">
        <f t="shared" si="408"/>
        <v>0.60999999999999976</v>
      </c>
      <c r="BW73" s="55">
        <f t="shared" si="408"/>
        <v>0.58999999999999975</v>
      </c>
      <c r="BX73" s="55">
        <f t="shared" si="408"/>
        <v>0.56999999999999973</v>
      </c>
      <c r="BZ73" s="55">
        <f t="shared" si="88"/>
        <v>0</v>
      </c>
      <c r="CA73" s="55">
        <f t="shared" si="89"/>
        <v>0</v>
      </c>
      <c r="CB73" s="59">
        <f t="shared" si="409"/>
        <v>0</v>
      </c>
      <c r="CC73" s="55">
        <f t="shared" si="410"/>
        <v>0</v>
      </c>
      <c r="CD73" s="59">
        <f t="shared" si="411"/>
        <v>0</v>
      </c>
      <c r="CE73" s="55">
        <f t="shared" si="412"/>
        <v>0</v>
      </c>
      <c r="CF73" s="59">
        <f t="shared" si="413"/>
        <v>0</v>
      </c>
      <c r="CG73" s="55">
        <f t="shared" si="414"/>
        <v>0</v>
      </c>
      <c r="CH73" s="59">
        <f t="shared" si="415"/>
        <v>0</v>
      </c>
      <c r="CI73" s="57">
        <f t="shared" si="416"/>
        <v>0</v>
      </c>
      <c r="CJ73" s="59">
        <f t="shared" si="417"/>
        <v>0</v>
      </c>
      <c r="CK73" s="55">
        <f t="shared" si="418"/>
        <v>0</v>
      </c>
      <c r="CL73" s="59">
        <f t="shared" si="419"/>
        <v>0</v>
      </c>
      <c r="CM73" s="57">
        <f t="shared" si="420"/>
        <v>0</v>
      </c>
      <c r="CN73" s="59">
        <f t="shared" si="421"/>
        <v>0</v>
      </c>
      <c r="CO73" s="60">
        <f t="shared" si="422"/>
        <v>0</v>
      </c>
      <c r="CP73" s="59">
        <f t="shared" si="423"/>
        <v>0</v>
      </c>
      <c r="CQ73" s="57">
        <f t="shared" si="424"/>
        <v>0</v>
      </c>
      <c r="CR73" s="59">
        <f t="shared" si="425"/>
        <v>0</v>
      </c>
      <c r="CS73" s="55">
        <f t="shared" si="426"/>
        <v>0</v>
      </c>
      <c r="CT73" s="59">
        <f t="shared" si="427"/>
        <v>0</v>
      </c>
      <c r="CU73" s="60">
        <f t="shared" si="428"/>
        <v>0</v>
      </c>
      <c r="CV73" s="59">
        <f t="shared" si="429"/>
        <v>0</v>
      </c>
      <c r="CW73" s="60">
        <f t="shared" si="430"/>
        <v>0</v>
      </c>
      <c r="CX73" s="59">
        <f t="shared" si="431"/>
        <v>0</v>
      </c>
      <c r="CY73" s="60">
        <f t="shared" si="432"/>
        <v>0</v>
      </c>
      <c r="CZ73" s="59">
        <f t="shared" si="433"/>
        <v>0</v>
      </c>
      <c r="DA73" s="55">
        <f t="shared" si="434"/>
        <v>0</v>
      </c>
      <c r="DB73" s="59">
        <f t="shared" si="435"/>
        <v>0</v>
      </c>
      <c r="DC73" s="60">
        <f t="shared" si="436"/>
        <v>0</v>
      </c>
      <c r="DD73" s="59">
        <f t="shared" si="437"/>
        <v>0</v>
      </c>
      <c r="DE73" s="60">
        <f t="shared" si="438"/>
        <v>0</v>
      </c>
      <c r="DF73" s="59">
        <f t="shared" si="439"/>
        <v>0</v>
      </c>
      <c r="DG73" s="60">
        <f t="shared" si="440"/>
        <v>0</v>
      </c>
      <c r="DH73" s="59">
        <f t="shared" si="441"/>
        <v>0</v>
      </c>
      <c r="DI73" s="60">
        <f t="shared" si="442"/>
        <v>0</v>
      </c>
      <c r="DJ73" s="59">
        <f t="shared" si="443"/>
        <v>0</v>
      </c>
      <c r="DK73" s="55">
        <f t="shared" si="444"/>
        <v>0</v>
      </c>
      <c r="DL73" s="59">
        <f t="shared" si="445"/>
        <v>0</v>
      </c>
      <c r="DM73" s="60">
        <f t="shared" si="446"/>
        <v>0</v>
      </c>
      <c r="DN73" s="59">
        <f t="shared" si="447"/>
        <v>0</v>
      </c>
      <c r="DO73" s="60">
        <f t="shared" si="448"/>
        <v>0</v>
      </c>
      <c r="DP73" s="59">
        <f t="shared" si="449"/>
        <v>0</v>
      </c>
      <c r="DQ73" s="55">
        <f t="shared" si="450"/>
        <v>0</v>
      </c>
      <c r="DR73" s="59">
        <f t="shared" si="451"/>
        <v>0</v>
      </c>
      <c r="DU73" s="55">
        <v>1</v>
      </c>
      <c r="DV73" s="55">
        <v>0.97</v>
      </c>
      <c r="DW73" s="55">
        <v>0.95</v>
      </c>
      <c r="DX73" s="55">
        <v>0.93</v>
      </c>
      <c r="DY73" s="55">
        <f t="shared" si="497"/>
        <v>0.91</v>
      </c>
      <c r="DZ73" s="55">
        <f t="shared" si="497"/>
        <v>0.89</v>
      </c>
      <c r="EA73" s="55">
        <f t="shared" si="497"/>
        <v>0.87</v>
      </c>
      <c r="EB73" s="55">
        <f t="shared" si="497"/>
        <v>0.85</v>
      </c>
      <c r="EC73" s="55">
        <f t="shared" si="497"/>
        <v>0.83</v>
      </c>
      <c r="ED73" s="55">
        <f t="shared" si="497"/>
        <v>0.80999999999999994</v>
      </c>
      <c r="EE73" s="55">
        <f t="shared" si="497"/>
        <v>0.78999999999999992</v>
      </c>
      <c r="EF73" s="55">
        <f t="shared" si="497"/>
        <v>0.76999999999999991</v>
      </c>
      <c r="EG73" s="55">
        <f t="shared" si="497"/>
        <v>0.74999999999999989</v>
      </c>
      <c r="EH73" s="55">
        <f t="shared" si="497"/>
        <v>0.72999999999999987</v>
      </c>
      <c r="EI73" s="55">
        <f t="shared" si="497"/>
        <v>0.70999999999999985</v>
      </c>
      <c r="EJ73" s="55">
        <f t="shared" si="497"/>
        <v>0.68999999999999984</v>
      </c>
      <c r="EK73" s="55">
        <f t="shared" si="497"/>
        <v>0.66999999999999982</v>
      </c>
      <c r="EL73" s="55">
        <f t="shared" si="497"/>
        <v>0.6499999999999998</v>
      </c>
      <c r="EM73" s="55">
        <f t="shared" si="497"/>
        <v>0.62999999999999978</v>
      </c>
      <c r="EN73" s="55">
        <f t="shared" si="497"/>
        <v>0.60999999999999976</v>
      </c>
      <c r="EO73" s="55">
        <f t="shared" si="497"/>
        <v>0.58999999999999975</v>
      </c>
      <c r="EP73" s="55">
        <f t="shared" si="497"/>
        <v>0.56999999999999973</v>
      </c>
      <c r="ER73" s="55">
        <f t="shared" si="142"/>
        <v>0</v>
      </c>
      <c r="ES73" s="55">
        <f t="shared" si="116"/>
        <v>0</v>
      </c>
      <c r="ET73" s="59">
        <f t="shared" si="453"/>
        <v>0</v>
      </c>
      <c r="EU73" s="55">
        <f t="shared" si="454"/>
        <v>0</v>
      </c>
      <c r="EV73" s="59">
        <f t="shared" si="455"/>
        <v>0</v>
      </c>
      <c r="EW73" s="55">
        <f t="shared" si="456"/>
        <v>0</v>
      </c>
      <c r="EX73" s="59">
        <f t="shared" si="457"/>
        <v>0</v>
      </c>
      <c r="EY73" s="55">
        <f t="shared" si="458"/>
        <v>0</v>
      </c>
      <c r="EZ73" s="59">
        <f t="shared" si="459"/>
        <v>0</v>
      </c>
      <c r="FA73" s="57">
        <f t="shared" si="460"/>
        <v>0</v>
      </c>
      <c r="FB73" s="59">
        <f t="shared" si="461"/>
        <v>0</v>
      </c>
      <c r="FC73" s="55">
        <f t="shared" si="462"/>
        <v>0</v>
      </c>
      <c r="FD73" s="59">
        <f t="shared" si="463"/>
        <v>0</v>
      </c>
      <c r="FE73" s="57">
        <f t="shared" si="464"/>
        <v>0</v>
      </c>
      <c r="FF73" s="59">
        <f t="shared" si="465"/>
        <v>0</v>
      </c>
      <c r="FG73" s="60">
        <f t="shared" si="466"/>
        <v>0</v>
      </c>
      <c r="FH73" s="59">
        <f t="shared" si="467"/>
        <v>0</v>
      </c>
      <c r="FI73" s="57">
        <f t="shared" si="468"/>
        <v>0</v>
      </c>
      <c r="FJ73" s="59">
        <f t="shared" si="469"/>
        <v>0</v>
      </c>
      <c r="FK73" s="55">
        <f t="shared" si="470"/>
        <v>0</v>
      </c>
      <c r="FL73" s="59">
        <f t="shared" si="471"/>
        <v>0</v>
      </c>
      <c r="FM73" s="60">
        <f t="shared" si="472"/>
        <v>0</v>
      </c>
      <c r="FN73" s="59">
        <f t="shared" si="473"/>
        <v>0</v>
      </c>
      <c r="FO73" s="60">
        <f t="shared" si="474"/>
        <v>0</v>
      </c>
      <c r="FP73" s="59">
        <f t="shared" si="475"/>
        <v>0</v>
      </c>
      <c r="FQ73" s="60">
        <f t="shared" si="476"/>
        <v>0</v>
      </c>
      <c r="FR73" s="59">
        <f t="shared" si="477"/>
        <v>0</v>
      </c>
      <c r="FS73" s="55">
        <f t="shared" si="478"/>
        <v>0</v>
      </c>
      <c r="FT73" s="59">
        <f t="shared" si="479"/>
        <v>0</v>
      </c>
      <c r="FU73" s="60">
        <f t="shared" si="480"/>
        <v>0</v>
      </c>
      <c r="FV73" s="59">
        <f t="shared" si="481"/>
        <v>0</v>
      </c>
      <c r="FW73" s="60">
        <f t="shared" si="482"/>
        <v>0</v>
      </c>
      <c r="FX73" s="59">
        <f t="shared" si="483"/>
        <v>0</v>
      </c>
      <c r="FY73" s="60">
        <f t="shared" si="484"/>
        <v>0</v>
      </c>
      <c r="FZ73" s="59">
        <f t="shared" si="485"/>
        <v>0</v>
      </c>
      <c r="GA73" s="60">
        <f t="shared" si="486"/>
        <v>0</v>
      </c>
      <c r="GB73" s="59">
        <f t="shared" si="487"/>
        <v>0</v>
      </c>
      <c r="GC73" s="55">
        <f t="shared" si="488"/>
        <v>0</v>
      </c>
      <c r="GD73" s="59">
        <f t="shared" si="489"/>
        <v>0</v>
      </c>
      <c r="GE73" s="60">
        <f t="shared" si="490"/>
        <v>0</v>
      </c>
      <c r="GF73" s="59">
        <f t="shared" si="491"/>
        <v>0</v>
      </c>
      <c r="GG73" s="60">
        <f t="shared" si="492"/>
        <v>0</v>
      </c>
      <c r="GH73" s="59">
        <f t="shared" si="493"/>
        <v>0</v>
      </c>
      <c r="GI73" s="55">
        <f t="shared" si="494"/>
        <v>0</v>
      </c>
      <c r="GJ73" s="59">
        <f t="shared" si="495"/>
        <v>0</v>
      </c>
      <c r="GK73" s="55"/>
      <c r="GL73" s="55"/>
      <c r="GM73" s="55">
        <v>1</v>
      </c>
      <c r="GN73" s="55">
        <v>0.97</v>
      </c>
      <c r="GO73" s="55">
        <v>0.95</v>
      </c>
      <c r="GP73" s="55">
        <v>0.93</v>
      </c>
      <c r="GQ73" s="55">
        <f t="shared" si="498"/>
        <v>0.91</v>
      </c>
      <c r="GR73" s="55">
        <f t="shared" si="498"/>
        <v>0.89</v>
      </c>
      <c r="GS73" s="55">
        <f t="shared" si="498"/>
        <v>0.87</v>
      </c>
      <c r="GT73" s="55">
        <f t="shared" si="498"/>
        <v>0.85</v>
      </c>
      <c r="GU73" s="55">
        <f t="shared" si="498"/>
        <v>0.83</v>
      </c>
      <c r="GV73" s="55">
        <f t="shared" si="498"/>
        <v>0.80999999999999994</v>
      </c>
      <c r="GW73" s="55">
        <f t="shared" si="498"/>
        <v>0.78999999999999992</v>
      </c>
      <c r="GX73" s="55">
        <f t="shared" si="498"/>
        <v>0.76999999999999991</v>
      </c>
      <c r="GY73" s="55">
        <f t="shared" si="498"/>
        <v>0.74999999999999989</v>
      </c>
      <c r="GZ73" s="55">
        <f t="shared" si="498"/>
        <v>0.72999999999999987</v>
      </c>
      <c r="HA73" s="55">
        <f t="shared" si="498"/>
        <v>0.70999999999999985</v>
      </c>
      <c r="HB73" s="55">
        <f t="shared" si="498"/>
        <v>0.68999999999999984</v>
      </c>
      <c r="HC73" s="55">
        <f t="shared" si="498"/>
        <v>0.66999999999999982</v>
      </c>
      <c r="HD73" s="55">
        <f t="shared" si="498"/>
        <v>0.6499999999999998</v>
      </c>
      <c r="HE73" s="55">
        <f t="shared" si="498"/>
        <v>0.62999999999999978</v>
      </c>
      <c r="HF73" s="55">
        <f t="shared" si="498"/>
        <v>0.60999999999999976</v>
      </c>
      <c r="HG73" s="55">
        <f t="shared" si="498"/>
        <v>0.58999999999999975</v>
      </c>
      <c r="HH73" s="55">
        <f t="shared" si="498"/>
        <v>0.56999999999999973</v>
      </c>
    </row>
    <row r="74" spans="1:216" x14ac:dyDescent="0.3">
      <c r="A74" s="2">
        <v>12</v>
      </c>
      <c r="C74" s="38" t="s">
        <v>129</v>
      </c>
      <c r="D74" s="42">
        <v>0</v>
      </c>
      <c r="E74" s="71">
        <f t="shared" si="365"/>
        <v>0</v>
      </c>
      <c r="H74" s="55">
        <f t="shared" si="61"/>
        <v>0</v>
      </c>
      <c r="I74" s="55">
        <f t="shared" si="62"/>
        <v>0</v>
      </c>
      <c r="J74" s="59">
        <f t="shared" si="63"/>
        <v>0</v>
      </c>
      <c r="K74" s="55">
        <f t="shared" si="366"/>
        <v>0</v>
      </c>
      <c r="L74" s="59">
        <f t="shared" si="367"/>
        <v>0</v>
      </c>
      <c r="M74" s="55">
        <f t="shared" si="368"/>
        <v>0</v>
      </c>
      <c r="N74" s="59">
        <f t="shared" si="369"/>
        <v>0</v>
      </c>
      <c r="O74" s="55">
        <f t="shared" si="370"/>
        <v>0</v>
      </c>
      <c r="P74" s="59">
        <f t="shared" si="371"/>
        <v>0</v>
      </c>
      <c r="Q74" s="57">
        <f t="shared" si="372"/>
        <v>0</v>
      </c>
      <c r="R74" s="59">
        <f t="shared" si="373"/>
        <v>0</v>
      </c>
      <c r="S74" s="55">
        <f t="shared" si="374"/>
        <v>0</v>
      </c>
      <c r="T74" s="59">
        <f t="shared" si="375"/>
        <v>0</v>
      </c>
      <c r="U74" s="57">
        <f t="shared" si="376"/>
        <v>0</v>
      </c>
      <c r="V74" s="59">
        <f t="shared" si="377"/>
        <v>0</v>
      </c>
      <c r="W74" s="60">
        <f t="shared" si="378"/>
        <v>0</v>
      </c>
      <c r="X74" s="59">
        <f t="shared" si="379"/>
        <v>0</v>
      </c>
      <c r="Y74" s="57">
        <f t="shared" si="380"/>
        <v>0</v>
      </c>
      <c r="Z74" s="59">
        <f t="shared" si="381"/>
        <v>0</v>
      </c>
      <c r="AA74" s="55">
        <f t="shared" si="382"/>
        <v>0</v>
      </c>
      <c r="AB74" s="59">
        <f t="shared" si="383"/>
        <v>0</v>
      </c>
      <c r="AC74" s="60">
        <f t="shared" si="384"/>
        <v>0</v>
      </c>
      <c r="AD74" s="59">
        <f t="shared" si="385"/>
        <v>0</v>
      </c>
      <c r="AE74" s="60">
        <f t="shared" si="386"/>
        <v>0</v>
      </c>
      <c r="AF74" s="59">
        <f t="shared" si="387"/>
        <v>0</v>
      </c>
      <c r="AG74" s="60">
        <f t="shared" si="388"/>
        <v>0</v>
      </c>
      <c r="AH74" s="59">
        <f t="shared" si="389"/>
        <v>0</v>
      </c>
      <c r="AI74" s="55">
        <f t="shared" si="390"/>
        <v>0</v>
      </c>
      <c r="AJ74" s="59">
        <f t="shared" si="391"/>
        <v>0</v>
      </c>
      <c r="AK74" s="60">
        <f t="shared" si="392"/>
        <v>0</v>
      </c>
      <c r="AL74" s="59">
        <f t="shared" si="393"/>
        <v>0</v>
      </c>
      <c r="AM74" s="60">
        <f t="shared" si="394"/>
        <v>0</v>
      </c>
      <c r="AN74" s="59">
        <f t="shared" si="395"/>
        <v>0</v>
      </c>
      <c r="AO74" s="60">
        <f t="shared" si="396"/>
        <v>0</v>
      </c>
      <c r="AP74" s="59">
        <f t="shared" si="397"/>
        <v>0</v>
      </c>
      <c r="AQ74" s="60">
        <f t="shared" si="398"/>
        <v>0</v>
      </c>
      <c r="AR74" s="59">
        <f t="shared" si="399"/>
        <v>0</v>
      </c>
      <c r="AS74" s="55">
        <f t="shared" si="400"/>
        <v>0</v>
      </c>
      <c r="AT74" s="59">
        <f t="shared" si="401"/>
        <v>0</v>
      </c>
      <c r="AU74" s="60">
        <f t="shared" si="402"/>
        <v>0</v>
      </c>
      <c r="AV74" s="59">
        <f t="shared" si="403"/>
        <v>0</v>
      </c>
      <c r="AW74" s="60">
        <f t="shared" si="404"/>
        <v>0</v>
      </c>
      <c r="AX74" s="59">
        <f t="shared" si="405"/>
        <v>0</v>
      </c>
      <c r="AY74" s="55">
        <f t="shared" si="406"/>
        <v>0</v>
      </c>
      <c r="AZ74" s="59">
        <f t="shared" si="407"/>
        <v>0</v>
      </c>
      <c r="BC74" s="55">
        <v>1</v>
      </c>
      <c r="BD74" s="55">
        <v>0.97</v>
      </c>
      <c r="BE74" s="55">
        <v>0.95</v>
      </c>
      <c r="BF74" s="55">
        <v>0.93</v>
      </c>
      <c r="BG74" s="55">
        <f t="shared" si="408"/>
        <v>0.91</v>
      </c>
      <c r="BH74" s="55">
        <f t="shared" si="408"/>
        <v>0.89</v>
      </c>
      <c r="BI74" s="55">
        <f t="shared" si="408"/>
        <v>0.87</v>
      </c>
      <c r="BJ74" s="55">
        <f t="shared" si="408"/>
        <v>0.85</v>
      </c>
      <c r="BK74" s="55">
        <f t="shared" si="408"/>
        <v>0.83</v>
      </c>
      <c r="BL74" s="55">
        <f t="shared" si="408"/>
        <v>0.80999999999999994</v>
      </c>
      <c r="BM74" s="55">
        <f t="shared" si="408"/>
        <v>0.78999999999999992</v>
      </c>
      <c r="BN74" s="55">
        <f t="shared" si="408"/>
        <v>0.76999999999999991</v>
      </c>
      <c r="BO74" s="55">
        <f t="shared" si="408"/>
        <v>0.74999999999999989</v>
      </c>
      <c r="BP74" s="55">
        <f t="shared" si="408"/>
        <v>0.72999999999999987</v>
      </c>
      <c r="BQ74" s="55">
        <f t="shared" si="408"/>
        <v>0.70999999999999985</v>
      </c>
      <c r="BR74" s="55">
        <f t="shared" si="408"/>
        <v>0.68999999999999984</v>
      </c>
      <c r="BS74" s="55">
        <f t="shared" si="408"/>
        <v>0.66999999999999982</v>
      </c>
      <c r="BT74" s="55">
        <f t="shared" si="408"/>
        <v>0.6499999999999998</v>
      </c>
      <c r="BU74" s="55">
        <f t="shared" si="408"/>
        <v>0.62999999999999978</v>
      </c>
      <c r="BV74" s="55">
        <f t="shared" si="408"/>
        <v>0.60999999999999976</v>
      </c>
      <c r="BW74" s="55">
        <f t="shared" si="408"/>
        <v>0.58999999999999975</v>
      </c>
      <c r="BX74" s="55">
        <f t="shared" si="408"/>
        <v>0.56999999999999973</v>
      </c>
      <c r="BZ74" s="55">
        <f t="shared" si="88"/>
        <v>0</v>
      </c>
      <c r="CA74" s="55">
        <f t="shared" si="89"/>
        <v>0</v>
      </c>
      <c r="CB74" s="59">
        <f t="shared" si="409"/>
        <v>0</v>
      </c>
      <c r="CC74" s="55">
        <f t="shared" si="410"/>
        <v>0</v>
      </c>
      <c r="CD74" s="59">
        <f t="shared" si="411"/>
        <v>0</v>
      </c>
      <c r="CE74" s="55">
        <f t="shared" si="412"/>
        <v>0</v>
      </c>
      <c r="CF74" s="59">
        <f t="shared" si="413"/>
        <v>0</v>
      </c>
      <c r="CG74" s="55">
        <f t="shared" si="414"/>
        <v>0</v>
      </c>
      <c r="CH74" s="59">
        <f t="shared" si="415"/>
        <v>0</v>
      </c>
      <c r="CI74" s="57">
        <f t="shared" si="416"/>
        <v>0</v>
      </c>
      <c r="CJ74" s="59">
        <f t="shared" si="417"/>
        <v>0</v>
      </c>
      <c r="CK74" s="55">
        <f t="shared" si="418"/>
        <v>0</v>
      </c>
      <c r="CL74" s="59">
        <f t="shared" si="419"/>
        <v>0</v>
      </c>
      <c r="CM74" s="57">
        <f t="shared" si="420"/>
        <v>0</v>
      </c>
      <c r="CN74" s="59">
        <f t="shared" si="421"/>
        <v>0</v>
      </c>
      <c r="CO74" s="60">
        <f t="shared" si="422"/>
        <v>0</v>
      </c>
      <c r="CP74" s="59">
        <f t="shared" si="423"/>
        <v>0</v>
      </c>
      <c r="CQ74" s="57">
        <f t="shared" si="424"/>
        <v>0</v>
      </c>
      <c r="CR74" s="59">
        <f t="shared" si="425"/>
        <v>0</v>
      </c>
      <c r="CS74" s="55">
        <f t="shared" si="426"/>
        <v>0</v>
      </c>
      <c r="CT74" s="59">
        <f t="shared" si="427"/>
        <v>0</v>
      </c>
      <c r="CU74" s="60">
        <f t="shared" si="428"/>
        <v>0</v>
      </c>
      <c r="CV74" s="59">
        <f t="shared" si="429"/>
        <v>0</v>
      </c>
      <c r="CW74" s="60">
        <f t="shared" si="430"/>
        <v>0</v>
      </c>
      <c r="CX74" s="59">
        <f t="shared" si="431"/>
        <v>0</v>
      </c>
      <c r="CY74" s="60">
        <f t="shared" si="432"/>
        <v>0</v>
      </c>
      <c r="CZ74" s="59">
        <f t="shared" si="433"/>
        <v>0</v>
      </c>
      <c r="DA74" s="55">
        <f t="shared" si="434"/>
        <v>0</v>
      </c>
      <c r="DB74" s="59">
        <f t="shared" si="435"/>
        <v>0</v>
      </c>
      <c r="DC74" s="60">
        <f t="shared" si="436"/>
        <v>0</v>
      </c>
      <c r="DD74" s="59">
        <f t="shared" si="437"/>
        <v>0</v>
      </c>
      <c r="DE74" s="60">
        <f t="shared" si="438"/>
        <v>0</v>
      </c>
      <c r="DF74" s="59">
        <f t="shared" si="439"/>
        <v>0</v>
      </c>
      <c r="DG74" s="60">
        <f t="shared" si="440"/>
        <v>0</v>
      </c>
      <c r="DH74" s="59">
        <f t="shared" si="441"/>
        <v>0</v>
      </c>
      <c r="DI74" s="60">
        <f t="shared" si="442"/>
        <v>0</v>
      </c>
      <c r="DJ74" s="59">
        <f t="shared" si="443"/>
        <v>0</v>
      </c>
      <c r="DK74" s="55">
        <f t="shared" si="444"/>
        <v>0</v>
      </c>
      <c r="DL74" s="59">
        <f t="shared" si="445"/>
        <v>0</v>
      </c>
      <c r="DM74" s="60">
        <f t="shared" si="446"/>
        <v>0</v>
      </c>
      <c r="DN74" s="59">
        <f t="shared" si="447"/>
        <v>0</v>
      </c>
      <c r="DO74" s="60">
        <f t="shared" si="448"/>
        <v>0</v>
      </c>
      <c r="DP74" s="59">
        <f t="shared" si="449"/>
        <v>0</v>
      </c>
      <c r="DQ74" s="55">
        <f t="shared" si="450"/>
        <v>0</v>
      </c>
      <c r="DR74" s="59">
        <f t="shared" si="451"/>
        <v>0</v>
      </c>
      <c r="DU74" s="55">
        <v>1</v>
      </c>
      <c r="DV74" s="55">
        <v>0.97</v>
      </c>
      <c r="DW74" s="55">
        <v>0.95</v>
      </c>
      <c r="DX74" s="55">
        <v>0.93</v>
      </c>
      <c r="DY74" s="55">
        <f t="shared" si="497"/>
        <v>0.91</v>
      </c>
      <c r="DZ74" s="55">
        <f t="shared" si="497"/>
        <v>0.89</v>
      </c>
      <c r="EA74" s="55">
        <f t="shared" si="497"/>
        <v>0.87</v>
      </c>
      <c r="EB74" s="55">
        <f t="shared" si="497"/>
        <v>0.85</v>
      </c>
      <c r="EC74" s="55">
        <f t="shared" si="497"/>
        <v>0.83</v>
      </c>
      <c r="ED74" s="55">
        <f t="shared" si="497"/>
        <v>0.80999999999999994</v>
      </c>
      <c r="EE74" s="55">
        <f t="shared" si="497"/>
        <v>0.78999999999999992</v>
      </c>
      <c r="EF74" s="55">
        <f t="shared" si="497"/>
        <v>0.76999999999999991</v>
      </c>
      <c r="EG74" s="55">
        <f t="shared" si="497"/>
        <v>0.74999999999999989</v>
      </c>
      <c r="EH74" s="55">
        <f t="shared" si="497"/>
        <v>0.72999999999999987</v>
      </c>
      <c r="EI74" s="55">
        <f t="shared" si="497"/>
        <v>0.70999999999999985</v>
      </c>
      <c r="EJ74" s="55">
        <f t="shared" si="497"/>
        <v>0.68999999999999984</v>
      </c>
      <c r="EK74" s="55">
        <f t="shared" si="497"/>
        <v>0.66999999999999982</v>
      </c>
      <c r="EL74" s="55">
        <f t="shared" si="497"/>
        <v>0.6499999999999998</v>
      </c>
      <c r="EM74" s="55">
        <f t="shared" si="497"/>
        <v>0.62999999999999978</v>
      </c>
      <c r="EN74" s="55">
        <f t="shared" si="497"/>
        <v>0.60999999999999976</v>
      </c>
      <c r="EO74" s="55">
        <f t="shared" si="497"/>
        <v>0.58999999999999975</v>
      </c>
      <c r="EP74" s="55">
        <f t="shared" si="497"/>
        <v>0.56999999999999973</v>
      </c>
      <c r="ER74" s="55">
        <f t="shared" si="142"/>
        <v>0</v>
      </c>
      <c r="ES74" s="55">
        <f t="shared" si="116"/>
        <v>0</v>
      </c>
      <c r="ET74" s="59">
        <f t="shared" si="453"/>
        <v>0</v>
      </c>
      <c r="EU74" s="55">
        <f t="shared" si="454"/>
        <v>0</v>
      </c>
      <c r="EV74" s="59">
        <f t="shared" si="455"/>
        <v>0</v>
      </c>
      <c r="EW74" s="55">
        <f t="shared" si="456"/>
        <v>0</v>
      </c>
      <c r="EX74" s="59">
        <f t="shared" si="457"/>
        <v>0</v>
      </c>
      <c r="EY74" s="55">
        <f t="shared" si="458"/>
        <v>0</v>
      </c>
      <c r="EZ74" s="59">
        <f t="shared" si="459"/>
        <v>0</v>
      </c>
      <c r="FA74" s="57">
        <f t="shared" si="460"/>
        <v>0</v>
      </c>
      <c r="FB74" s="59">
        <f t="shared" si="461"/>
        <v>0</v>
      </c>
      <c r="FC74" s="55">
        <f t="shared" si="462"/>
        <v>0</v>
      </c>
      <c r="FD74" s="59">
        <f t="shared" si="463"/>
        <v>0</v>
      </c>
      <c r="FE74" s="57">
        <f t="shared" si="464"/>
        <v>0</v>
      </c>
      <c r="FF74" s="59">
        <f t="shared" si="465"/>
        <v>0</v>
      </c>
      <c r="FG74" s="60">
        <f t="shared" si="466"/>
        <v>0</v>
      </c>
      <c r="FH74" s="59">
        <f t="shared" si="467"/>
        <v>0</v>
      </c>
      <c r="FI74" s="57">
        <f t="shared" si="468"/>
        <v>0</v>
      </c>
      <c r="FJ74" s="59">
        <f t="shared" si="469"/>
        <v>0</v>
      </c>
      <c r="FK74" s="55">
        <f t="shared" si="470"/>
        <v>0</v>
      </c>
      <c r="FL74" s="59">
        <f t="shared" si="471"/>
        <v>0</v>
      </c>
      <c r="FM74" s="60">
        <f t="shared" si="472"/>
        <v>0</v>
      </c>
      <c r="FN74" s="59">
        <f t="shared" si="473"/>
        <v>0</v>
      </c>
      <c r="FO74" s="60">
        <f t="shared" si="474"/>
        <v>0</v>
      </c>
      <c r="FP74" s="59">
        <f t="shared" si="475"/>
        <v>0</v>
      </c>
      <c r="FQ74" s="60">
        <f t="shared" si="476"/>
        <v>0</v>
      </c>
      <c r="FR74" s="59">
        <f t="shared" si="477"/>
        <v>0</v>
      </c>
      <c r="FS74" s="55">
        <f t="shared" si="478"/>
        <v>0</v>
      </c>
      <c r="FT74" s="59">
        <f t="shared" si="479"/>
        <v>0</v>
      </c>
      <c r="FU74" s="60">
        <f t="shared" si="480"/>
        <v>0</v>
      </c>
      <c r="FV74" s="59">
        <f t="shared" si="481"/>
        <v>0</v>
      </c>
      <c r="FW74" s="60">
        <f t="shared" si="482"/>
        <v>0</v>
      </c>
      <c r="FX74" s="59">
        <f t="shared" si="483"/>
        <v>0</v>
      </c>
      <c r="FY74" s="60">
        <f t="shared" si="484"/>
        <v>0</v>
      </c>
      <c r="FZ74" s="59">
        <f t="shared" si="485"/>
        <v>0</v>
      </c>
      <c r="GA74" s="60">
        <f t="shared" si="486"/>
        <v>0</v>
      </c>
      <c r="GB74" s="59">
        <f t="shared" si="487"/>
        <v>0</v>
      </c>
      <c r="GC74" s="55">
        <f t="shared" si="488"/>
        <v>0</v>
      </c>
      <c r="GD74" s="59">
        <f t="shared" si="489"/>
        <v>0</v>
      </c>
      <c r="GE74" s="60">
        <f t="shared" si="490"/>
        <v>0</v>
      </c>
      <c r="GF74" s="59">
        <f t="shared" si="491"/>
        <v>0</v>
      </c>
      <c r="GG74" s="60">
        <f t="shared" si="492"/>
        <v>0</v>
      </c>
      <c r="GH74" s="59">
        <f t="shared" si="493"/>
        <v>0</v>
      </c>
      <c r="GI74" s="55">
        <f t="shared" si="494"/>
        <v>0</v>
      </c>
      <c r="GJ74" s="59">
        <f t="shared" si="495"/>
        <v>0</v>
      </c>
      <c r="GK74" s="55"/>
      <c r="GL74" s="55"/>
      <c r="GM74" s="55">
        <v>1</v>
      </c>
      <c r="GN74" s="55">
        <v>0.97</v>
      </c>
      <c r="GO74" s="55">
        <v>0.95</v>
      </c>
      <c r="GP74" s="55">
        <v>0.93</v>
      </c>
      <c r="GQ74" s="55">
        <f t="shared" si="498"/>
        <v>0.91</v>
      </c>
      <c r="GR74" s="55">
        <f t="shared" si="498"/>
        <v>0.89</v>
      </c>
      <c r="GS74" s="55">
        <f t="shared" si="498"/>
        <v>0.87</v>
      </c>
      <c r="GT74" s="55">
        <f t="shared" si="498"/>
        <v>0.85</v>
      </c>
      <c r="GU74" s="55">
        <f t="shared" si="498"/>
        <v>0.83</v>
      </c>
      <c r="GV74" s="55">
        <f t="shared" si="498"/>
        <v>0.80999999999999994</v>
      </c>
      <c r="GW74" s="55">
        <f t="shared" si="498"/>
        <v>0.78999999999999992</v>
      </c>
      <c r="GX74" s="55">
        <f t="shared" si="498"/>
        <v>0.76999999999999991</v>
      </c>
      <c r="GY74" s="55">
        <f t="shared" si="498"/>
        <v>0.74999999999999989</v>
      </c>
      <c r="GZ74" s="55">
        <f t="shared" si="498"/>
        <v>0.72999999999999987</v>
      </c>
      <c r="HA74" s="55">
        <f t="shared" si="498"/>
        <v>0.70999999999999985</v>
      </c>
      <c r="HB74" s="55">
        <f t="shared" si="498"/>
        <v>0.68999999999999984</v>
      </c>
      <c r="HC74" s="55">
        <f t="shared" si="498"/>
        <v>0.66999999999999982</v>
      </c>
      <c r="HD74" s="55">
        <f t="shared" si="498"/>
        <v>0.6499999999999998</v>
      </c>
      <c r="HE74" s="55">
        <f t="shared" si="498"/>
        <v>0.62999999999999978</v>
      </c>
      <c r="HF74" s="55">
        <f t="shared" si="498"/>
        <v>0.60999999999999976</v>
      </c>
      <c r="HG74" s="55">
        <f t="shared" si="498"/>
        <v>0.58999999999999975</v>
      </c>
      <c r="HH74" s="55">
        <f t="shared" si="498"/>
        <v>0.56999999999999973</v>
      </c>
    </row>
    <row r="75" spans="1:216" x14ac:dyDescent="0.3">
      <c r="A75" s="2">
        <v>13</v>
      </c>
      <c r="C75" s="38" t="s">
        <v>122</v>
      </c>
      <c r="D75" s="42">
        <v>0</v>
      </c>
      <c r="E75" s="71">
        <f t="shared" si="365"/>
        <v>0</v>
      </c>
      <c r="H75" s="55">
        <f t="shared" si="61"/>
        <v>0</v>
      </c>
      <c r="I75" s="55">
        <f t="shared" si="62"/>
        <v>0</v>
      </c>
      <c r="J75" s="59">
        <f t="shared" si="63"/>
        <v>0</v>
      </c>
      <c r="K75" s="55">
        <f t="shared" si="366"/>
        <v>0</v>
      </c>
      <c r="L75" s="59">
        <f t="shared" si="367"/>
        <v>0</v>
      </c>
      <c r="M75" s="55">
        <f t="shared" si="368"/>
        <v>0</v>
      </c>
      <c r="N75" s="59">
        <f t="shared" si="369"/>
        <v>0</v>
      </c>
      <c r="O75" s="55">
        <f t="shared" si="370"/>
        <v>0</v>
      </c>
      <c r="P75" s="59">
        <f t="shared" si="371"/>
        <v>0</v>
      </c>
      <c r="Q75" s="57">
        <f t="shared" si="372"/>
        <v>0</v>
      </c>
      <c r="R75" s="59">
        <f t="shared" si="373"/>
        <v>0</v>
      </c>
      <c r="S75" s="55">
        <f t="shared" si="374"/>
        <v>0</v>
      </c>
      <c r="T75" s="59">
        <f t="shared" si="375"/>
        <v>0</v>
      </c>
      <c r="U75" s="57">
        <f t="shared" si="376"/>
        <v>0</v>
      </c>
      <c r="V75" s="59">
        <f t="shared" si="377"/>
        <v>0</v>
      </c>
      <c r="W75" s="60">
        <f t="shared" si="378"/>
        <v>0</v>
      </c>
      <c r="X75" s="59">
        <f t="shared" si="379"/>
        <v>0</v>
      </c>
      <c r="Y75" s="57">
        <f t="shared" si="380"/>
        <v>0</v>
      </c>
      <c r="Z75" s="59">
        <f t="shared" si="381"/>
        <v>0</v>
      </c>
      <c r="AA75" s="55">
        <f t="shared" si="382"/>
        <v>0</v>
      </c>
      <c r="AB75" s="59">
        <f t="shared" si="383"/>
        <v>0</v>
      </c>
      <c r="AC75" s="60">
        <f t="shared" si="384"/>
        <v>0</v>
      </c>
      <c r="AD75" s="59">
        <f t="shared" si="385"/>
        <v>0</v>
      </c>
      <c r="AE75" s="60">
        <f t="shared" si="386"/>
        <v>0</v>
      </c>
      <c r="AF75" s="59">
        <f t="shared" si="387"/>
        <v>0</v>
      </c>
      <c r="AG75" s="60">
        <f t="shared" si="388"/>
        <v>0</v>
      </c>
      <c r="AH75" s="59">
        <f t="shared" si="389"/>
        <v>0</v>
      </c>
      <c r="AI75" s="55">
        <f t="shared" si="390"/>
        <v>0</v>
      </c>
      <c r="AJ75" s="59">
        <f t="shared" si="391"/>
        <v>0</v>
      </c>
      <c r="AK75" s="60">
        <f t="shared" si="392"/>
        <v>0</v>
      </c>
      <c r="AL75" s="59">
        <f t="shared" si="393"/>
        <v>0</v>
      </c>
      <c r="AM75" s="60">
        <f t="shared" si="394"/>
        <v>0</v>
      </c>
      <c r="AN75" s="59">
        <f t="shared" si="395"/>
        <v>0</v>
      </c>
      <c r="AO75" s="60">
        <f t="shared" si="396"/>
        <v>0</v>
      </c>
      <c r="AP75" s="59">
        <f t="shared" si="397"/>
        <v>0</v>
      </c>
      <c r="AQ75" s="60">
        <f t="shared" si="398"/>
        <v>0</v>
      </c>
      <c r="AR75" s="59">
        <f t="shared" si="399"/>
        <v>0</v>
      </c>
      <c r="AS75" s="55">
        <f t="shared" si="400"/>
        <v>0</v>
      </c>
      <c r="AT75" s="59">
        <f t="shared" si="401"/>
        <v>0</v>
      </c>
      <c r="AU75" s="60">
        <f t="shared" si="402"/>
        <v>0</v>
      </c>
      <c r="AV75" s="59">
        <f t="shared" si="403"/>
        <v>0</v>
      </c>
      <c r="AW75" s="60">
        <f t="shared" si="404"/>
        <v>0</v>
      </c>
      <c r="AX75" s="59">
        <f t="shared" si="405"/>
        <v>0</v>
      </c>
      <c r="AY75" s="55">
        <f t="shared" si="406"/>
        <v>0</v>
      </c>
      <c r="AZ75" s="59">
        <f t="shared" si="407"/>
        <v>0</v>
      </c>
      <c r="BC75" s="55">
        <v>1</v>
      </c>
      <c r="BD75" s="55">
        <v>0.97</v>
      </c>
      <c r="BE75" s="55">
        <v>0.95</v>
      </c>
      <c r="BF75" s="55">
        <v>0.93</v>
      </c>
      <c r="BG75" s="55">
        <f t="shared" si="408"/>
        <v>0.91</v>
      </c>
      <c r="BH75" s="55">
        <f t="shared" si="408"/>
        <v>0.89</v>
      </c>
      <c r="BI75" s="55">
        <f t="shared" si="408"/>
        <v>0.87</v>
      </c>
      <c r="BJ75" s="55">
        <f t="shared" si="408"/>
        <v>0.85</v>
      </c>
      <c r="BK75" s="55">
        <f t="shared" si="408"/>
        <v>0.83</v>
      </c>
      <c r="BL75" s="55">
        <f t="shared" si="408"/>
        <v>0.80999999999999994</v>
      </c>
      <c r="BM75" s="55">
        <f t="shared" si="408"/>
        <v>0.78999999999999992</v>
      </c>
      <c r="BN75" s="55">
        <f t="shared" si="408"/>
        <v>0.76999999999999991</v>
      </c>
      <c r="BO75" s="55">
        <f t="shared" si="408"/>
        <v>0.74999999999999989</v>
      </c>
      <c r="BP75" s="55">
        <f t="shared" si="408"/>
        <v>0.72999999999999987</v>
      </c>
      <c r="BQ75" s="55">
        <f t="shared" si="408"/>
        <v>0.70999999999999985</v>
      </c>
      <c r="BR75" s="55">
        <f t="shared" si="408"/>
        <v>0.68999999999999984</v>
      </c>
      <c r="BS75" s="55">
        <f t="shared" si="408"/>
        <v>0.66999999999999982</v>
      </c>
      <c r="BT75" s="55">
        <f t="shared" si="408"/>
        <v>0.6499999999999998</v>
      </c>
      <c r="BU75" s="55">
        <f t="shared" si="408"/>
        <v>0.62999999999999978</v>
      </c>
      <c r="BV75" s="55">
        <f t="shared" si="408"/>
        <v>0.60999999999999976</v>
      </c>
      <c r="BW75" s="55">
        <f t="shared" si="408"/>
        <v>0.58999999999999975</v>
      </c>
      <c r="BX75" s="55">
        <f t="shared" si="408"/>
        <v>0.56999999999999973</v>
      </c>
      <c r="BZ75" s="55">
        <f t="shared" si="88"/>
        <v>0</v>
      </c>
      <c r="CA75" s="55">
        <f t="shared" si="89"/>
        <v>0</v>
      </c>
      <c r="CB75" s="59">
        <f t="shared" si="409"/>
        <v>0</v>
      </c>
      <c r="CC75" s="55">
        <f t="shared" si="410"/>
        <v>0</v>
      </c>
      <c r="CD75" s="59">
        <f t="shared" si="411"/>
        <v>0</v>
      </c>
      <c r="CE75" s="55">
        <f t="shared" si="412"/>
        <v>0</v>
      </c>
      <c r="CF75" s="59">
        <f t="shared" si="413"/>
        <v>0</v>
      </c>
      <c r="CG75" s="55">
        <f t="shared" si="414"/>
        <v>0</v>
      </c>
      <c r="CH75" s="59">
        <f t="shared" si="415"/>
        <v>0</v>
      </c>
      <c r="CI75" s="57">
        <f t="shared" si="416"/>
        <v>0</v>
      </c>
      <c r="CJ75" s="59">
        <f t="shared" si="417"/>
        <v>0</v>
      </c>
      <c r="CK75" s="55">
        <f t="shared" si="418"/>
        <v>0</v>
      </c>
      <c r="CL75" s="59">
        <f t="shared" si="419"/>
        <v>0</v>
      </c>
      <c r="CM75" s="57">
        <f t="shared" si="420"/>
        <v>0</v>
      </c>
      <c r="CN75" s="59">
        <f t="shared" si="421"/>
        <v>0</v>
      </c>
      <c r="CO75" s="60">
        <f t="shared" si="422"/>
        <v>0</v>
      </c>
      <c r="CP75" s="59">
        <f t="shared" si="423"/>
        <v>0</v>
      </c>
      <c r="CQ75" s="57">
        <f t="shared" si="424"/>
        <v>0</v>
      </c>
      <c r="CR75" s="59">
        <f t="shared" si="425"/>
        <v>0</v>
      </c>
      <c r="CS75" s="55">
        <f t="shared" si="426"/>
        <v>0</v>
      </c>
      <c r="CT75" s="59">
        <f t="shared" si="427"/>
        <v>0</v>
      </c>
      <c r="CU75" s="60">
        <f t="shared" si="428"/>
        <v>0</v>
      </c>
      <c r="CV75" s="59">
        <f t="shared" si="429"/>
        <v>0</v>
      </c>
      <c r="CW75" s="60">
        <f t="shared" si="430"/>
        <v>0</v>
      </c>
      <c r="CX75" s="59">
        <f t="shared" si="431"/>
        <v>0</v>
      </c>
      <c r="CY75" s="60">
        <f t="shared" si="432"/>
        <v>0</v>
      </c>
      <c r="CZ75" s="59">
        <f t="shared" si="433"/>
        <v>0</v>
      </c>
      <c r="DA75" s="55">
        <f t="shared" si="434"/>
        <v>0</v>
      </c>
      <c r="DB75" s="59">
        <f t="shared" si="435"/>
        <v>0</v>
      </c>
      <c r="DC75" s="60">
        <f t="shared" si="436"/>
        <v>0</v>
      </c>
      <c r="DD75" s="59">
        <f t="shared" si="437"/>
        <v>0</v>
      </c>
      <c r="DE75" s="60">
        <f t="shared" si="438"/>
        <v>0</v>
      </c>
      <c r="DF75" s="59">
        <f t="shared" si="439"/>
        <v>0</v>
      </c>
      <c r="DG75" s="60">
        <f t="shared" si="440"/>
        <v>0</v>
      </c>
      <c r="DH75" s="59">
        <f t="shared" si="441"/>
        <v>0</v>
      </c>
      <c r="DI75" s="60">
        <f t="shared" si="442"/>
        <v>0</v>
      </c>
      <c r="DJ75" s="59">
        <f t="shared" si="443"/>
        <v>0</v>
      </c>
      <c r="DK75" s="55">
        <f t="shared" si="444"/>
        <v>0</v>
      </c>
      <c r="DL75" s="59">
        <f t="shared" si="445"/>
        <v>0</v>
      </c>
      <c r="DM75" s="60">
        <f t="shared" si="446"/>
        <v>0</v>
      </c>
      <c r="DN75" s="59">
        <f t="shared" si="447"/>
        <v>0</v>
      </c>
      <c r="DO75" s="60">
        <f t="shared" si="448"/>
        <v>0</v>
      </c>
      <c r="DP75" s="59">
        <f t="shared" si="449"/>
        <v>0</v>
      </c>
      <c r="DQ75" s="55">
        <f t="shared" si="450"/>
        <v>0</v>
      </c>
      <c r="DR75" s="59">
        <f t="shared" si="451"/>
        <v>0</v>
      </c>
      <c r="DU75" s="55">
        <v>1</v>
      </c>
      <c r="DV75" s="55">
        <v>0.97</v>
      </c>
      <c r="DW75" s="55">
        <v>0.95</v>
      </c>
      <c r="DX75" s="55">
        <v>0.93</v>
      </c>
      <c r="DY75" s="55">
        <f t="shared" si="497"/>
        <v>0.91</v>
      </c>
      <c r="DZ75" s="55">
        <f t="shared" si="497"/>
        <v>0.89</v>
      </c>
      <c r="EA75" s="55">
        <f t="shared" si="497"/>
        <v>0.87</v>
      </c>
      <c r="EB75" s="55">
        <f t="shared" si="497"/>
        <v>0.85</v>
      </c>
      <c r="EC75" s="55">
        <f t="shared" si="497"/>
        <v>0.83</v>
      </c>
      <c r="ED75" s="55">
        <f t="shared" si="497"/>
        <v>0.80999999999999994</v>
      </c>
      <c r="EE75" s="55">
        <f t="shared" si="497"/>
        <v>0.78999999999999992</v>
      </c>
      <c r="EF75" s="55">
        <f t="shared" si="497"/>
        <v>0.76999999999999991</v>
      </c>
      <c r="EG75" s="55">
        <f t="shared" si="497"/>
        <v>0.74999999999999989</v>
      </c>
      <c r="EH75" s="55">
        <f t="shared" si="497"/>
        <v>0.72999999999999987</v>
      </c>
      <c r="EI75" s="55">
        <f t="shared" si="497"/>
        <v>0.70999999999999985</v>
      </c>
      <c r="EJ75" s="55">
        <f t="shared" si="497"/>
        <v>0.68999999999999984</v>
      </c>
      <c r="EK75" s="55">
        <f t="shared" si="497"/>
        <v>0.66999999999999982</v>
      </c>
      <c r="EL75" s="55">
        <f t="shared" si="497"/>
        <v>0.6499999999999998</v>
      </c>
      <c r="EM75" s="55">
        <f t="shared" si="497"/>
        <v>0.62999999999999978</v>
      </c>
      <c r="EN75" s="55">
        <f t="shared" si="497"/>
        <v>0.60999999999999976</v>
      </c>
      <c r="EO75" s="55">
        <f t="shared" si="497"/>
        <v>0.58999999999999975</v>
      </c>
      <c r="EP75" s="55">
        <f t="shared" si="497"/>
        <v>0.56999999999999973</v>
      </c>
      <c r="ER75" s="55">
        <f t="shared" si="142"/>
        <v>0</v>
      </c>
      <c r="ES75" s="55">
        <f t="shared" si="116"/>
        <v>0</v>
      </c>
      <c r="ET75" s="59">
        <f t="shared" si="453"/>
        <v>0</v>
      </c>
      <c r="EU75" s="55">
        <f t="shared" si="454"/>
        <v>0</v>
      </c>
      <c r="EV75" s="59">
        <f t="shared" si="455"/>
        <v>0</v>
      </c>
      <c r="EW75" s="55">
        <f t="shared" si="456"/>
        <v>0</v>
      </c>
      <c r="EX75" s="59">
        <f t="shared" si="457"/>
        <v>0</v>
      </c>
      <c r="EY75" s="55">
        <f t="shared" si="458"/>
        <v>0</v>
      </c>
      <c r="EZ75" s="59">
        <f t="shared" si="459"/>
        <v>0</v>
      </c>
      <c r="FA75" s="57">
        <f t="shared" si="460"/>
        <v>0</v>
      </c>
      <c r="FB75" s="59">
        <f t="shared" si="461"/>
        <v>0</v>
      </c>
      <c r="FC75" s="55">
        <f t="shared" si="462"/>
        <v>0</v>
      </c>
      <c r="FD75" s="59">
        <f t="shared" si="463"/>
        <v>0</v>
      </c>
      <c r="FE75" s="57">
        <f t="shared" si="464"/>
        <v>0</v>
      </c>
      <c r="FF75" s="59">
        <f t="shared" si="465"/>
        <v>0</v>
      </c>
      <c r="FG75" s="60">
        <f t="shared" si="466"/>
        <v>0</v>
      </c>
      <c r="FH75" s="59">
        <f t="shared" si="467"/>
        <v>0</v>
      </c>
      <c r="FI75" s="57">
        <f t="shared" si="468"/>
        <v>0</v>
      </c>
      <c r="FJ75" s="59">
        <f t="shared" si="469"/>
        <v>0</v>
      </c>
      <c r="FK75" s="55">
        <f t="shared" si="470"/>
        <v>0</v>
      </c>
      <c r="FL75" s="59">
        <f t="shared" si="471"/>
        <v>0</v>
      </c>
      <c r="FM75" s="60">
        <f t="shared" si="472"/>
        <v>0</v>
      </c>
      <c r="FN75" s="59">
        <f t="shared" si="473"/>
        <v>0</v>
      </c>
      <c r="FO75" s="60">
        <f t="shared" si="474"/>
        <v>0</v>
      </c>
      <c r="FP75" s="59">
        <f t="shared" si="475"/>
        <v>0</v>
      </c>
      <c r="FQ75" s="60">
        <f t="shared" si="476"/>
        <v>0</v>
      </c>
      <c r="FR75" s="59">
        <f t="shared" si="477"/>
        <v>0</v>
      </c>
      <c r="FS75" s="55">
        <f t="shared" si="478"/>
        <v>0</v>
      </c>
      <c r="FT75" s="59">
        <f t="shared" si="479"/>
        <v>0</v>
      </c>
      <c r="FU75" s="60">
        <f t="shared" si="480"/>
        <v>0</v>
      </c>
      <c r="FV75" s="59">
        <f t="shared" si="481"/>
        <v>0</v>
      </c>
      <c r="FW75" s="60">
        <f t="shared" si="482"/>
        <v>0</v>
      </c>
      <c r="FX75" s="59">
        <f t="shared" si="483"/>
        <v>0</v>
      </c>
      <c r="FY75" s="60">
        <f t="shared" si="484"/>
        <v>0</v>
      </c>
      <c r="FZ75" s="59">
        <f t="shared" si="485"/>
        <v>0</v>
      </c>
      <c r="GA75" s="60">
        <f t="shared" si="486"/>
        <v>0</v>
      </c>
      <c r="GB75" s="59">
        <f t="shared" si="487"/>
        <v>0</v>
      </c>
      <c r="GC75" s="55">
        <f t="shared" si="488"/>
        <v>0</v>
      </c>
      <c r="GD75" s="59">
        <f t="shared" si="489"/>
        <v>0</v>
      </c>
      <c r="GE75" s="60">
        <f t="shared" si="490"/>
        <v>0</v>
      </c>
      <c r="GF75" s="59">
        <f t="shared" si="491"/>
        <v>0</v>
      </c>
      <c r="GG75" s="60">
        <f t="shared" si="492"/>
        <v>0</v>
      </c>
      <c r="GH75" s="59">
        <f t="shared" si="493"/>
        <v>0</v>
      </c>
      <c r="GI75" s="55">
        <f t="shared" si="494"/>
        <v>0</v>
      </c>
      <c r="GJ75" s="59">
        <f t="shared" si="495"/>
        <v>0</v>
      </c>
      <c r="GK75" s="55"/>
      <c r="GL75" s="55"/>
      <c r="GM75" s="55">
        <v>1</v>
      </c>
      <c r="GN75" s="55">
        <v>0.97</v>
      </c>
      <c r="GO75" s="55">
        <v>0.95</v>
      </c>
      <c r="GP75" s="55">
        <v>0.93</v>
      </c>
      <c r="GQ75" s="55">
        <f t="shared" si="498"/>
        <v>0.91</v>
      </c>
      <c r="GR75" s="55">
        <f t="shared" si="498"/>
        <v>0.89</v>
      </c>
      <c r="GS75" s="55">
        <f t="shared" si="498"/>
        <v>0.87</v>
      </c>
      <c r="GT75" s="55">
        <f t="shared" si="498"/>
        <v>0.85</v>
      </c>
      <c r="GU75" s="55">
        <f t="shared" si="498"/>
        <v>0.83</v>
      </c>
      <c r="GV75" s="55">
        <f t="shared" si="498"/>
        <v>0.80999999999999994</v>
      </c>
      <c r="GW75" s="55">
        <f t="shared" si="498"/>
        <v>0.78999999999999992</v>
      </c>
      <c r="GX75" s="55">
        <f t="shared" si="498"/>
        <v>0.76999999999999991</v>
      </c>
      <c r="GY75" s="55">
        <f t="shared" si="498"/>
        <v>0.74999999999999989</v>
      </c>
      <c r="GZ75" s="55">
        <f t="shared" si="498"/>
        <v>0.72999999999999987</v>
      </c>
      <c r="HA75" s="55">
        <f t="shared" si="498"/>
        <v>0.70999999999999985</v>
      </c>
      <c r="HB75" s="55">
        <f t="shared" si="498"/>
        <v>0.68999999999999984</v>
      </c>
      <c r="HC75" s="55">
        <f t="shared" si="498"/>
        <v>0.66999999999999982</v>
      </c>
      <c r="HD75" s="55">
        <f t="shared" si="498"/>
        <v>0.6499999999999998</v>
      </c>
      <c r="HE75" s="55">
        <f t="shared" si="498"/>
        <v>0.62999999999999978</v>
      </c>
      <c r="HF75" s="55">
        <f t="shared" si="498"/>
        <v>0.60999999999999976</v>
      </c>
      <c r="HG75" s="55">
        <f t="shared" si="498"/>
        <v>0.58999999999999975</v>
      </c>
      <c r="HH75" s="55">
        <f t="shared" si="498"/>
        <v>0.56999999999999973</v>
      </c>
    </row>
    <row r="76" spans="1:216" x14ac:dyDescent="0.3">
      <c r="A76" s="2">
        <v>14</v>
      </c>
      <c r="C76" s="38" t="s">
        <v>135</v>
      </c>
      <c r="D76" s="42">
        <v>0</v>
      </c>
      <c r="E76" s="71">
        <f t="shared" si="365"/>
        <v>0</v>
      </c>
      <c r="H76" s="55">
        <f t="shared" si="61"/>
        <v>0</v>
      </c>
      <c r="I76" s="55">
        <f t="shared" si="62"/>
        <v>0</v>
      </c>
      <c r="J76" s="59">
        <f t="shared" si="63"/>
        <v>0</v>
      </c>
      <c r="K76" s="55">
        <f t="shared" si="366"/>
        <v>0</v>
      </c>
      <c r="L76" s="59">
        <f t="shared" si="367"/>
        <v>0</v>
      </c>
      <c r="M76" s="55">
        <f t="shared" si="368"/>
        <v>0</v>
      </c>
      <c r="N76" s="59">
        <f t="shared" si="369"/>
        <v>0</v>
      </c>
      <c r="O76" s="55">
        <f t="shared" si="370"/>
        <v>0</v>
      </c>
      <c r="P76" s="59">
        <f t="shared" si="371"/>
        <v>0</v>
      </c>
      <c r="Q76" s="57">
        <f t="shared" si="372"/>
        <v>0</v>
      </c>
      <c r="R76" s="59">
        <f t="shared" si="373"/>
        <v>0</v>
      </c>
      <c r="S76" s="55">
        <f t="shared" si="374"/>
        <v>0</v>
      </c>
      <c r="T76" s="59">
        <f t="shared" si="375"/>
        <v>0</v>
      </c>
      <c r="U76" s="57">
        <f t="shared" si="376"/>
        <v>0</v>
      </c>
      <c r="V76" s="59">
        <f t="shared" si="377"/>
        <v>0</v>
      </c>
      <c r="W76" s="60">
        <f t="shared" si="378"/>
        <v>0</v>
      </c>
      <c r="X76" s="59">
        <f t="shared" si="379"/>
        <v>0</v>
      </c>
      <c r="Y76" s="57">
        <f t="shared" si="380"/>
        <v>0</v>
      </c>
      <c r="Z76" s="59">
        <f t="shared" si="381"/>
        <v>0</v>
      </c>
      <c r="AA76" s="55">
        <f t="shared" si="382"/>
        <v>0</v>
      </c>
      <c r="AB76" s="59">
        <f t="shared" si="383"/>
        <v>0</v>
      </c>
      <c r="AC76" s="60">
        <f t="shared" si="384"/>
        <v>0</v>
      </c>
      <c r="AD76" s="59">
        <f t="shared" si="385"/>
        <v>0</v>
      </c>
      <c r="AE76" s="60">
        <f t="shared" si="386"/>
        <v>0</v>
      </c>
      <c r="AF76" s="59">
        <f t="shared" si="387"/>
        <v>0</v>
      </c>
      <c r="AG76" s="60">
        <f t="shared" si="388"/>
        <v>0</v>
      </c>
      <c r="AH76" s="59">
        <f t="shared" si="389"/>
        <v>0</v>
      </c>
      <c r="AI76" s="55">
        <f t="shared" si="390"/>
        <v>0</v>
      </c>
      <c r="AJ76" s="59">
        <f t="shared" si="391"/>
        <v>0</v>
      </c>
      <c r="AK76" s="60">
        <f t="shared" si="392"/>
        <v>0</v>
      </c>
      <c r="AL76" s="59">
        <f t="shared" si="393"/>
        <v>0</v>
      </c>
      <c r="AM76" s="60">
        <f t="shared" si="394"/>
        <v>0</v>
      </c>
      <c r="AN76" s="59">
        <f t="shared" si="395"/>
        <v>0</v>
      </c>
      <c r="AO76" s="60">
        <f t="shared" si="396"/>
        <v>0</v>
      </c>
      <c r="AP76" s="59">
        <f t="shared" si="397"/>
        <v>0</v>
      </c>
      <c r="AQ76" s="60">
        <f t="shared" si="398"/>
        <v>0</v>
      </c>
      <c r="AR76" s="59">
        <f t="shared" si="399"/>
        <v>0</v>
      </c>
      <c r="AS76" s="55">
        <f t="shared" si="400"/>
        <v>0</v>
      </c>
      <c r="AT76" s="59">
        <f t="shared" si="401"/>
        <v>0</v>
      </c>
      <c r="AU76" s="60">
        <f t="shared" si="402"/>
        <v>0</v>
      </c>
      <c r="AV76" s="59">
        <f t="shared" si="403"/>
        <v>0</v>
      </c>
      <c r="AW76" s="60">
        <f t="shared" si="404"/>
        <v>0</v>
      </c>
      <c r="AX76" s="59">
        <f t="shared" si="405"/>
        <v>0</v>
      </c>
      <c r="AY76" s="55">
        <f t="shared" si="406"/>
        <v>0</v>
      </c>
      <c r="AZ76" s="59">
        <f t="shared" si="407"/>
        <v>0</v>
      </c>
      <c r="BC76" s="55">
        <v>1</v>
      </c>
      <c r="BD76" s="55">
        <v>0.97</v>
      </c>
      <c r="BE76" s="55">
        <v>0.95</v>
      </c>
      <c r="BF76" s="55">
        <v>0.93</v>
      </c>
      <c r="BG76" s="55">
        <f t="shared" si="408"/>
        <v>0.91</v>
      </c>
      <c r="BH76" s="55">
        <f t="shared" si="408"/>
        <v>0.89</v>
      </c>
      <c r="BI76" s="55">
        <f t="shared" si="408"/>
        <v>0.87</v>
      </c>
      <c r="BJ76" s="55">
        <f t="shared" si="408"/>
        <v>0.85</v>
      </c>
      <c r="BK76" s="55">
        <f t="shared" si="408"/>
        <v>0.83</v>
      </c>
      <c r="BL76" s="55">
        <f t="shared" si="408"/>
        <v>0.80999999999999994</v>
      </c>
      <c r="BM76" s="55">
        <f t="shared" si="408"/>
        <v>0.78999999999999992</v>
      </c>
      <c r="BN76" s="55">
        <f t="shared" si="408"/>
        <v>0.76999999999999991</v>
      </c>
      <c r="BO76" s="55">
        <f t="shared" si="408"/>
        <v>0.74999999999999989</v>
      </c>
      <c r="BP76" s="55">
        <f t="shared" si="408"/>
        <v>0.72999999999999987</v>
      </c>
      <c r="BQ76" s="55">
        <f t="shared" si="408"/>
        <v>0.70999999999999985</v>
      </c>
      <c r="BR76" s="55">
        <f t="shared" si="408"/>
        <v>0.68999999999999984</v>
      </c>
      <c r="BS76" s="55">
        <f t="shared" si="408"/>
        <v>0.66999999999999982</v>
      </c>
      <c r="BT76" s="55">
        <f t="shared" si="408"/>
        <v>0.6499999999999998</v>
      </c>
      <c r="BU76" s="55">
        <f t="shared" si="408"/>
        <v>0.62999999999999978</v>
      </c>
      <c r="BV76" s="55">
        <f t="shared" si="408"/>
        <v>0.60999999999999976</v>
      </c>
      <c r="BW76" s="55">
        <f t="shared" si="408"/>
        <v>0.58999999999999975</v>
      </c>
      <c r="BX76" s="55">
        <f t="shared" si="408"/>
        <v>0.56999999999999973</v>
      </c>
      <c r="BZ76" s="55">
        <f t="shared" si="88"/>
        <v>0</v>
      </c>
      <c r="CA76" s="55">
        <f t="shared" si="89"/>
        <v>0</v>
      </c>
      <c r="CB76" s="59">
        <f t="shared" si="409"/>
        <v>0</v>
      </c>
      <c r="CC76" s="55">
        <f t="shared" si="410"/>
        <v>0</v>
      </c>
      <c r="CD76" s="59">
        <f t="shared" si="411"/>
        <v>0</v>
      </c>
      <c r="CE76" s="55">
        <f t="shared" si="412"/>
        <v>0</v>
      </c>
      <c r="CF76" s="59">
        <f t="shared" si="413"/>
        <v>0</v>
      </c>
      <c r="CG76" s="55">
        <f t="shared" si="414"/>
        <v>0</v>
      </c>
      <c r="CH76" s="59">
        <f t="shared" si="415"/>
        <v>0</v>
      </c>
      <c r="CI76" s="57">
        <f t="shared" si="416"/>
        <v>0</v>
      </c>
      <c r="CJ76" s="59">
        <f t="shared" si="417"/>
        <v>0</v>
      </c>
      <c r="CK76" s="55">
        <f t="shared" si="418"/>
        <v>0</v>
      </c>
      <c r="CL76" s="59">
        <f t="shared" si="419"/>
        <v>0</v>
      </c>
      <c r="CM76" s="57">
        <f t="shared" si="420"/>
        <v>0</v>
      </c>
      <c r="CN76" s="59">
        <f t="shared" si="421"/>
        <v>0</v>
      </c>
      <c r="CO76" s="60">
        <f t="shared" si="422"/>
        <v>0</v>
      </c>
      <c r="CP76" s="59">
        <f t="shared" si="423"/>
        <v>0</v>
      </c>
      <c r="CQ76" s="57">
        <f t="shared" si="424"/>
        <v>0</v>
      </c>
      <c r="CR76" s="59">
        <f t="shared" si="425"/>
        <v>0</v>
      </c>
      <c r="CS76" s="55">
        <f t="shared" si="426"/>
        <v>0</v>
      </c>
      <c r="CT76" s="59">
        <f t="shared" si="427"/>
        <v>0</v>
      </c>
      <c r="CU76" s="60">
        <f t="shared" si="428"/>
        <v>0</v>
      </c>
      <c r="CV76" s="59">
        <f t="shared" si="429"/>
        <v>0</v>
      </c>
      <c r="CW76" s="60">
        <f t="shared" si="430"/>
        <v>0</v>
      </c>
      <c r="CX76" s="59">
        <f t="shared" si="431"/>
        <v>0</v>
      </c>
      <c r="CY76" s="60">
        <f t="shared" si="432"/>
        <v>0</v>
      </c>
      <c r="CZ76" s="59">
        <f t="shared" si="433"/>
        <v>0</v>
      </c>
      <c r="DA76" s="55">
        <f t="shared" si="434"/>
        <v>0</v>
      </c>
      <c r="DB76" s="59">
        <f t="shared" si="435"/>
        <v>0</v>
      </c>
      <c r="DC76" s="60">
        <f t="shared" si="436"/>
        <v>0</v>
      </c>
      <c r="DD76" s="59">
        <f t="shared" si="437"/>
        <v>0</v>
      </c>
      <c r="DE76" s="60">
        <f t="shared" si="438"/>
        <v>0</v>
      </c>
      <c r="DF76" s="59">
        <f t="shared" si="439"/>
        <v>0</v>
      </c>
      <c r="DG76" s="60">
        <f t="shared" si="440"/>
        <v>0</v>
      </c>
      <c r="DH76" s="59">
        <f t="shared" si="441"/>
        <v>0</v>
      </c>
      <c r="DI76" s="60">
        <f t="shared" si="442"/>
        <v>0</v>
      </c>
      <c r="DJ76" s="59">
        <f t="shared" si="443"/>
        <v>0</v>
      </c>
      <c r="DK76" s="55">
        <f t="shared" si="444"/>
        <v>0</v>
      </c>
      <c r="DL76" s="59">
        <f t="shared" si="445"/>
        <v>0</v>
      </c>
      <c r="DM76" s="60">
        <f t="shared" si="446"/>
        <v>0</v>
      </c>
      <c r="DN76" s="59">
        <f t="shared" si="447"/>
        <v>0</v>
      </c>
      <c r="DO76" s="60">
        <f t="shared" si="448"/>
        <v>0</v>
      </c>
      <c r="DP76" s="59">
        <f t="shared" si="449"/>
        <v>0</v>
      </c>
      <c r="DQ76" s="55">
        <f t="shared" si="450"/>
        <v>0</v>
      </c>
      <c r="DR76" s="59">
        <f t="shared" si="451"/>
        <v>0</v>
      </c>
      <c r="DU76" s="55">
        <v>1</v>
      </c>
      <c r="DV76" s="55">
        <v>0.97</v>
      </c>
      <c r="DW76" s="55">
        <v>0.95</v>
      </c>
      <c r="DX76" s="55">
        <v>0.93</v>
      </c>
      <c r="DY76" s="55">
        <f t="shared" si="497"/>
        <v>0.91</v>
      </c>
      <c r="DZ76" s="55">
        <f t="shared" si="497"/>
        <v>0.89</v>
      </c>
      <c r="EA76" s="55">
        <f t="shared" si="497"/>
        <v>0.87</v>
      </c>
      <c r="EB76" s="55">
        <f t="shared" si="497"/>
        <v>0.85</v>
      </c>
      <c r="EC76" s="55">
        <f t="shared" si="497"/>
        <v>0.83</v>
      </c>
      <c r="ED76" s="55">
        <f t="shared" si="497"/>
        <v>0.80999999999999994</v>
      </c>
      <c r="EE76" s="55">
        <f t="shared" si="497"/>
        <v>0.78999999999999992</v>
      </c>
      <c r="EF76" s="55">
        <f t="shared" si="497"/>
        <v>0.76999999999999991</v>
      </c>
      <c r="EG76" s="55">
        <f t="shared" si="497"/>
        <v>0.74999999999999989</v>
      </c>
      <c r="EH76" s="55">
        <f t="shared" si="497"/>
        <v>0.72999999999999987</v>
      </c>
      <c r="EI76" s="55">
        <f t="shared" si="497"/>
        <v>0.70999999999999985</v>
      </c>
      <c r="EJ76" s="55">
        <f t="shared" si="497"/>
        <v>0.68999999999999984</v>
      </c>
      <c r="EK76" s="55">
        <f t="shared" si="497"/>
        <v>0.66999999999999982</v>
      </c>
      <c r="EL76" s="55">
        <f t="shared" si="497"/>
        <v>0.6499999999999998</v>
      </c>
      <c r="EM76" s="55">
        <f t="shared" si="497"/>
        <v>0.62999999999999978</v>
      </c>
      <c r="EN76" s="55">
        <f t="shared" si="497"/>
        <v>0.60999999999999976</v>
      </c>
      <c r="EO76" s="55">
        <f t="shared" si="497"/>
        <v>0.58999999999999975</v>
      </c>
      <c r="EP76" s="55">
        <f t="shared" si="497"/>
        <v>0.56999999999999973</v>
      </c>
      <c r="ER76" s="55">
        <f t="shared" si="142"/>
        <v>0</v>
      </c>
      <c r="ES76" s="55">
        <f t="shared" si="116"/>
        <v>0</v>
      </c>
      <c r="ET76" s="59">
        <f t="shared" si="453"/>
        <v>0</v>
      </c>
      <c r="EU76" s="55">
        <f t="shared" si="454"/>
        <v>0</v>
      </c>
      <c r="EV76" s="59">
        <f t="shared" si="455"/>
        <v>0</v>
      </c>
      <c r="EW76" s="55">
        <f t="shared" si="456"/>
        <v>0</v>
      </c>
      <c r="EX76" s="59">
        <f t="shared" si="457"/>
        <v>0</v>
      </c>
      <c r="EY76" s="55">
        <f t="shared" si="458"/>
        <v>0</v>
      </c>
      <c r="EZ76" s="59">
        <f t="shared" si="459"/>
        <v>0</v>
      </c>
      <c r="FA76" s="57">
        <f t="shared" si="460"/>
        <v>0</v>
      </c>
      <c r="FB76" s="59">
        <f t="shared" si="461"/>
        <v>0</v>
      </c>
      <c r="FC76" s="55">
        <f t="shared" si="462"/>
        <v>0</v>
      </c>
      <c r="FD76" s="59">
        <f t="shared" si="463"/>
        <v>0</v>
      </c>
      <c r="FE76" s="57">
        <f t="shared" si="464"/>
        <v>0</v>
      </c>
      <c r="FF76" s="59">
        <f t="shared" si="465"/>
        <v>0</v>
      </c>
      <c r="FG76" s="60">
        <f t="shared" si="466"/>
        <v>0</v>
      </c>
      <c r="FH76" s="59">
        <f t="shared" si="467"/>
        <v>0</v>
      </c>
      <c r="FI76" s="57">
        <f t="shared" si="468"/>
        <v>0</v>
      </c>
      <c r="FJ76" s="59">
        <f t="shared" si="469"/>
        <v>0</v>
      </c>
      <c r="FK76" s="55">
        <f t="shared" si="470"/>
        <v>0</v>
      </c>
      <c r="FL76" s="59">
        <f t="shared" si="471"/>
        <v>0</v>
      </c>
      <c r="FM76" s="60">
        <f t="shared" si="472"/>
        <v>0</v>
      </c>
      <c r="FN76" s="59">
        <f t="shared" si="473"/>
        <v>0</v>
      </c>
      <c r="FO76" s="60">
        <f t="shared" si="474"/>
        <v>0</v>
      </c>
      <c r="FP76" s="59">
        <f t="shared" si="475"/>
        <v>0</v>
      </c>
      <c r="FQ76" s="60">
        <f t="shared" si="476"/>
        <v>0</v>
      </c>
      <c r="FR76" s="59">
        <f t="shared" si="477"/>
        <v>0</v>
      </c>
      <c r="FS76" s="55">
        <f t="shared" si="478"/>
        <v>0</v>
      </c>
      <c r="FT76" s="59">
        <f t="shared" si="479"/>
        <v>0</v>
      </c>
      <c r="FU76" s="60">
        <f t="shared" si="480"/>
        <v>0</v>
      </c>
      <c r="FV76" s="59">
        <f t="shared" si="481"/>
        <v>0</v>
      </c>
      <c r="FW76" s="60">
        <f t="shared" si="482"/>
        <v>0</v>
      </c>
      <c r="FX76" s="59">
        <f t="shared" si="483"/>
        <v>0</v>
      </c>
      <c r="FY76" s="60">
        <f t="shared" si="484"/>
        <v>0</v>
      </c>
      <c r="FZ76" s="59">
        <f t="shared" si="485"/>
        <v>0</v>
      </c>
      <c r="GA76" s="60">
        <f t="shared" si="486"/>
        <v>0</v>
      </c>
      <c r="GB76" s="59">
        <f t="shared" si="487"/>
        <v>0</v>
      </c>
      <c r="GC76" s="55">
        <f t="shared" si="488"/>
        <v>0</v>
      </c>
      <c r="GD76" s="59">
        <f t="shared" si="489"/>
        <v>0</v>
      </c>
      <c r="GE76" s="60">
        <f t="shared" si="490"/>
        <v>0</v>
      </c>
      <c r="GF76" s="59">
        <f t="shared" si="491"/>
        <v>0</v>
      </c>
      <c r="GG76" s="60">
        <f t="shared" si="492"/>
        <v>0</v>
      </c>
      <c r="GH76" s="59">
        <f t="shared" si="493"/>
        <v>0</v>
      </c>
      <c r="GI76" s="55">
        <f t="shared" si="494"/>
        <v>0</v>
      </c>
      <c r="GJ76" s="59">
        <f t="shared" si="495"/>
        <v>0</v>
      </c>
      <c r="GK76" s="55"/>
      <c r="GL76" s="55"/>
      <c r="GM76" s="55">
        <v>1</v>
      </c>
      <c r="GN76" s="55">
        <v>0.97</v>
      </c>
      <c r="GO76" s="55">
        <v>0.95</v>
      </c>
      <c r="GP76" s="55">
        <v>0.93</v>
      </c>
      <c r="GQ76" s="55">
        <f t="shared" si="498"/>
        <v>0.91</v>
      </c>
      <c r="GR76" s="55">
        <f t="shared" si="498"/>
        <v>0.89</v>
      </c>
      <c r="GS76" s="55">
        <f t="shared" si="498"/>
        <v>0.87</v>
      </c>
      <c r="GT76" s="55">
        <f t="shared" si="498"/>
        <v>0.85</v>
      </c>
      <c r="GU76" s="55">
        <f t="shared" si="498"/>
        <v>0.83</v>
      </c>
      <c r="GV76" s="55">
        <f t="shared" si="498"/>
        <v>0.80999999999999994</v>
      </c>
      <c r="GW76" s="55">
        <f t="shared" si="498"/>
        <v>0.78999999999999992</v>
      </c>
      <c r="GX76" s="55">
        <f t="shared" si="498"/>
        <v>0.76999999999999991</v>
      </c>
      <c r="GY76" s="55">
        <f t="shared" si="498"/>
        <v>0.74999999999999989</v>
      </c>
      <c r="GZ76" s="55">
        <f t="shared" si="498"/>
        <v>0.72999999999999987</v>
      </c>
      <c r="HA76" s="55">
        <f t="shared" si="498"/>
        <v>0.70999999999999985</v>
      </c>
      <c r="HB76" s="55">
        <f t="shared" si="498"/>
        <v>0.68999999999999984</v>
      </c>
      <c r="HC76" s="55">
        <f t="shared" si="498"/>
        <v>0.66999999999999982</v>
      </c>
      <c r="HD76" s="55">
        <f t="shared" si="498"/>
        <v>0.6499999999999998</v>
      </c>
      <c r="HE76" s="55">
        <f t="shared" si="498"/>
        <v>0.62999999999999978</v>
      </c>
      <c r="HF76" s="55">
        <f t="shared" si="498"/>
        <v>0.60999999999999976</v>
      </c>
      <c r="HG76" s="55">
        <f t="shared" si="498"/>
        <v>0.58999999999999975</v>
      </c>
      <c r="HH76" s="55">
        <f t="shared" si="498"/>
        <v>0.56999999999999973</v>
      </c>
    </row>
    <row r="77" spans="1:216" x14ac:dyDescent="0.3">
      <c r="A77" s="2">
        <v>15</v>
      </c>
      <c r="C77" s="38" t="s">
        <v>137</v>
      </c>
      <c r="D77" s="42">
        <v>0</v>
      </c>
      <c r="E77" s="71">
        <f t="shared" si="365"/>
        <v>0</v>
      </c>
      <c r="H77" s="55">
        <f t="shared" si="61"/>
        <v>0</v>
      </c>
      <c r="I77" s="55">
        <f t="shared" si="62"/>
        <v>0</v>
      </c>
      <c r="J77" s="59">
        <f t="shared" si="63"/>
        <v>0</v>
      </c>
      <c r="K77" s="55">
        <f t="shared" si="366"/>
        <v>0</v>
      </c>
      <c r="L77" s="59">
        <f t="shared" si="367"/>
        <v>0</v>
      </c>
      <c r="M77" s="55">
        <f t="shared" si="368"/>
        <v>0</v>
      </c>
      <c r="N77" s="59">
        <f t="shared" si="369"/>
        <v>0</v>
      </c>
      <c r="O77" s="55">
        <f t="shared" si="370"/>
        <v>0</v>
      </c>
      <c r="P77" s="59">
        <f t="shared" si="371"/>
        <v>0</v>
      </c>
      <c r="Q77" s="57">
        <f t="shared" si="372"/>
        <v>0</v>
      </c>
      <c r="R77" s="59">
        <f t="shared" si="373"/>
        <v>0</v>
      </c>
      <c r="S77" s="55">
        <f t="shared" si="374"/>
        <v>0</v>
      </c>
      <c r="T77" s="59">
        <f t="shared" si="375"/>
        <v>0</v>
      </c>
      <c r="U77" s="57">
        <f t="shared" si="376"/>
        <v>0</v>
      </c>
      <c r="V77" s="59">
        <f t="shared" si="377"/>
        <v>0</v>
      </c>
      <c r="W77" s="60">
        <f t="shared" si="378"/>
        <v>0</v>
      </c>
      <c r="X77" s="59">
        <f t="shared" si="379"/>
        <v>0</v>
      </c>
      <c r="Y77" s="57">
        <f t="shared" si="380"/>
        <v>0</v>
      </c>
      <c r="Z77" s="59">
        <f t="shared" si="381"/>
        <v>0</v>
      </c>
      <c r="AA77" s="55">
        <f t="shared" si="382"/>
        <v>0</v>
      </c>
      <c r="AB77" s="59">
        <f t="shared" si="383"/>
        <v>0</v>
      </c>
      <c r="AC77" s="60">
        <f t="shared" si="384"/>
        <v>0</v>
      </c>
      <c r="AD77" s="59">
        <f t="shared" si="385"/>
        <v>0</v>
      </c>
      <c r="AE77" s="60">
        <f t="shared" si="386"/>
        <v>0</v>
      </c>
      <c r="AF77" s="59">
        <f t="shared" si="387"/>
        <v>0</v>
      </c>
      <c r="AG77" s="60">
        <f t="shared" si="388"/>
        <v>0</v>
      </c>
      <c r="AH77" s="59">
        <f t="shared" si="389"/>
        <v>0</v>
      </c>
      <c r="AI77" s="55">
        <f t="shared" si="390"/>
        <v>0</v>
      </c>
      <c r="AJ77" s="59">
        <f t="shared" si="391"/>
        <v>0</v>
      </c>
      <c r="AK77" s="60">
        <f t="shared" si="392"/>
        <v>0</v>
      </c>
      <c r="AL77" s="59">
        <f t="shared" si="393"/>
        <v>0</v>
      </c>
      <c r="AM77" s="60">
        <f t="shared" si="394"/>
        <v>0</v>
      </c>
      <c r="AN77" s="59">
        <f t="shared" si="395"/>
        <v>0</v>
      </c>
      <c r="AO77" s="60">
        <f t="shared" si="396"/>
        <v>0</v>
      </c>
      <c r="AP77" s="59">
        <f t="shared" si="397"/>
        <v>0</v>
      </c>
      <c r="AQ77" s="60">
        <f t="shared" si="398"/>
        <v>0</v>
      </c>
      <c r="AR77" s="59">
        <f t="shared" si="399"/>
        <v>0</v>
      </c>
      <c r="AS77" s="55">
        <f t="shared" si="400"/>
        <v>0</v>
      </c>
      <c r="AT77" s="59">
        <f t="shared" si="401"/>
        <v>0</v>
      </c>
      <c r="AU77" s="60">
        <f t="shared" si="402"/>
        <v>0</v>
      </c>
      <c r="AV77" s="59">
        <f t="shared" si="403"/>
        <v>0</v>
      </c>
      <c r="AW77" s="60">
        <f t="shared" si="404"/>
        <v>0</v>
      </c>
      <c r="AX77" s="59">
        <f t="shared" si="405"/>
        <v>0</v>
      </c>
      <c r="AY77" s="55">
        <f t="shared" si="406"/>
        <v>0</v>
      </c>
      <c r="AZ77" s="59">
        <f t="shared" si="407"/>
        <v>0</v>
      </c>
      <c r="BC77" s="55">
        <v>1</v>
      </c>
      <c r="BD77" s="55">
        <v>0.97</v>
      </c>
      <c r="BE77" s="55">
        <v>0.95</v>
      </c>
      <c r="BF77" s="55">
        <v>0.93</v>
      </c>
      <c r="BG77" s="55">
        <f t="shared" si="408"/>
        <v>0.91</v>
      </c>
      <c r="BH77" s="55">
        <f t="shared" si="408"/>
        <v>0.89</v>
      </c>
      <c r="BI77" s="55">
        <f t="shared" si="408"/>
        <v>0.87</v>
      </c>
      <c r="BJ77" s="55">
        <f t="shared" ref="BJ77:BX77" si="499">+BI77-0.02</f>
        <v>0.85</v>
      </c>
      <c r="BK77" s="55">
        <f t="shared" si="499"/>
        <v>0.83</v>
      </c>
      <c r="BL77" s="55">
        <f t="shared" si="499"/>
        <v>0.80999999999999994</v>
      </c>
      <c r="BM77" s="55">
        <f t="shared" si="499"/>
        <v>0.78999999999999992</v>
      </c>
      <c r="BN77" s="55">
        <f t="shared" si="499"/>
        <v>0.76999999999999991</v>
      </c>
      <c r="BO77" s="55">
        <f t="shared" si="499"/>
        <v>0.74999999999999989</v>
      </c>
      <c r="BP77" s="55">
        <f t="shared" si="499"/>
        <v>0.72999999999999987</v>
      </c>
      <c r="BQ77" s="55">
        <f t="shared" si="499"/>
        <v>0.70999999999999985</v>
      </c>
      <c r="BR77" s="55">
        <f t="shared" si="499"/>
        <v>0.68999999999999984</v>
      </c>
      <c r="BS77" s="55">
        <f t="shared" si="499"/>
        <v>0.66999999999999982</v>
      </c>
      <c r="BT77" s="55">
        <f t="shared" si="499"/>
        <v>0.6499999999999998</v>
      </c>
      <c r="BU77" s="55">
        <f t="shared" si="499"/>
        <v>0.62999999999999978</v>
      </c>
      <c r="BV77" s="55">
        <f t="shared" si="499"/>
        <v>0.60999999999999976</v>
      </c>
      <c r="BW77" s="55">
        <f t="shared" si="499"/>
        <v>0.58999999999999975</v>
      </c>
      <c r="BX77" s="55">
        <f t="shared" si="499"/>
        <v>0.56999999999999973</v>
      </c>
      <c r="BZ77" s="55">
        <f t="shared" si="88"/>
        <v>0</v>
      </c>
      <c r="CA77" s="55">
        <f t="shared" si="89"/>
        <v>0</v>
      </c>
      <c r="CB77" s="59">
        <f t="shared" si="409"/>
        <v>0</v>
      </c>
      <c r="CC77" s="55">
        <f t="shared" si="410"/>
        <v>0</v>
      </c>
      <c r="CD77" s="59">
        <f t="shared" si="411"/>
        <v>0</v>
      </c>
      <c r="CE77" s="55">
        <f t="shared" si="412"/>
        <v>0</v>
      </c>
      <c r="CF77" s="59">
        <f t="shared" si="413"/>
        <v>0</v>
      </c>
      <c r="CG77" s="55">
        <f t="shared" si="414"/>
        <v>0</v>
      </c>
      <c r="CH77" s="59">
        <f t="shared" si="415"/>
        <v>0</v>
      </c>
      <c r="CI77" s="57">
        <f t="shared" si="416"/>
        <v>0</v>
      </c>
      <c r="CJ77" s="59">
        <f t="shared" si="417"/>
        <v>0</v>
      </c>
      <c r="CK77" s="55">
        <f t="shared" si="418"/>
        <v>0</v>
      </c>
      <c r="CL77" s="59">
        <f t="shared" si="419"/>
        <v>0</v>
      </c>
      <c r="CM77" s="57">
        <f t="shared" si="420"/>
        <v>0</v>
      </c>
      <c r="CN77" s="59">
        <f t="shared" si="421"/>
        <v>0</v>
      </c>
      <c r="CO77" s="60">
        <f t="shared" si="422"/>
        <v>0</v>
      </c>
      <c r="CP77" s="59">
        <f t="shared" si="423"/>
        <v>0</v>
      </c>
      <c r="CQ77" s="57">
        <f t="shared" si="424"/>
        <v>0</v>
      </c>
      <c r="CR77" s="59">
        <f t="shared" si="425"/>
        <v>0</v>
      </c>
      <c r="CS77" s="55">
        <f t="shared" si="426"/>
        <v>0</v>
      </c>
      <c r="CT77" s="59">
        <f t="shared" si="427"/>
        <v>0</v>
      </c>
      <c r="CU77" s="60">
        <f t="shared" si="428"/>
        <v>0</v>
      </c>
      <c r="CV77" s="59">
        <f t="shared" si="429"/>
        <v>0</v>
      </c>
      <c r="CW77" s="60">
        <f t="shared" si="430"/>
        <v>0</v>
      </c>
      <c r="CX77" s="59">
        <f t="shared" si="431"/>
        <v>0</v>
      </c>
      <c r="CY77" s="60">
        <f t="shared" si="432"/>
        <v>0</v>
      </c>
      <c r="CZ77" s="59">
        <f t="shared" si="433"/>
        <v>0</v>
      </c>
      <c r="DA77" s="55">
        <f t="shared" si="434"/>
        <v>0</v>
      </c>
      <c r="DB77" s="59">
        <f t="shared" si="435"/>
        <v>0</v>
      </c>
      <c r="DC77" s="60">
        <f t="shared" si="436"/>
        <v>0</v>
      </c>
      <c r="DD77" s="59">
        <f t="shared" si="437"/>
        <v>0</v>
      </c>
      <c r="DE77" s="60">
        <f t="shared" si="438"/>
        <v>0</v>
      </c>
      <c r="DF77" s="59">
        <f t="shared" si="439"/>
        <v>0</v>
      </c>
      <c r="DG77" s="60">
        <f t="shared" si="440"/>
        <v>0</v>
      </c>
      <c r="DH77" s="59">
        <f t="shared" si="441"/>
        <v>0</v>
      </c>
      <c r="DI77" s="60">
        <f t="shared" si="442"/>
        <v>0</v>
      </c>
      <c r="DJ77" s="59">
        <f t="shared" si="443"/>
        <v>0</v>
      </c>
      <c r="DK77" s="55">
        <f t="shared" si="444"/>
        <v>0</v>
      </c>
      <c r="DL77" s="59">
        <f t="shared" si="445"/>
        <v>0</v>
      </c>
      <c r="DM77" s="60">
        <f t="shared" si="446"/>
        <v>0</v>
      </c>
      <c r="DN77" s="59">
        <f t="shared" si="447"/>
        <v>0</v>
      </c>
      <c r="DO77" s="60">
        <f t="shared" si="448"/>
        <v>0</v>
      </c>
      <c r="DP77" s="59">
        <f t="shared" si="449"/>
        <v>0</v>
      </c>
      <c r="DQ77" s="55">
        <f t="shared" si="450"/>
        <v>0</v>
      </c>
      <c r="DR77" s="59">
        <f t="shared" si="451"/>
        <v>0</v>
      </c>
      <c r="DU77" s="55">
        <v>1</v>
      </c>
      <c r="DV77" s="55">
        <v>0.97</v>
      </c>
      <c r="DW77" s="55">
        <v>0.95</v>
      </c>
      <c r="DX77" s="55">
        <v>0.93</v>
      </c>
      <c r="DY77" s="55">
        <f t="shared" si="497"/>
        <v>0.91</v>
      </c>
      <c r="DZ77" s="55">
        <f t="shared" si="497"/>
        <v>0.89</v>
      </c>
      <c r="EA77" s="55">
        <f t="shared" si="497"/>
        <v>0.87</v>
      </c>
      <c r="EB77" s="55">
        <f t="shared" si="497"/>
        <v>0.85</v>
      </c>
      <c r="EC77" s="55">
        <f t="shared" si="497"/>
        <v>0.83</v>
      </c>
      <c r="ED77" s="55">
        <f t="shared" si="497"/>
        <v>0.80999999999999994</v>
      </c>
      <c r="EE77" s="55">
        <f t="shared" si="497"/>
        <v>0.78999999999999992</v>
      </c>
      <c r="EF77" s="55">
        <f t="shared" si="497"/>
        <v>0.76999999999999991</v>
      </c>
      <c r="EG77" s="55">
        <f t="shared" si="497"/>
        <v>0.74999999999999989</v>
      </c>
      <c r="EH77" s="55">
        <f t="shared" si="497"/>
        <v>0.72999999999999987</v>
      </c>
      <c r="EI77" s="55">
        <f t="shared" si="497"/>
        <v>0.70999999999999985</v>
      </c>
      <c r="EJ77" s="55">
        <f t="shared" si="497"/>
        <v>0.68999999999999984</v>
      </c>
      <c r="EK77" s="55">
        <f t="shared" si="497"/>
        <v>0.66999999999999982</v>
      </c>
      <c r="EL77" s="55">
        <f t="shared" si="497"/>
        <v>0.6499999999999998</v>
      </c>
      <c r="EM77" s="55">
        <f t="shared" si="497"/>
        <v>0.62999999999999978</v>
      </c>
      <c r="EN77" s="55">
        <f t="shared" si="497"/>
        <v>0.60999999999999976</v>
      </c>
      <c r="EO77" s="55">
        <f t="shared" si="497"/>
        <v>0.58999999999999975</v>
      </c>
      <c r="EP77" s="55">
        <f t="shared" si="497"/>
        <v>0.56999999999999973</v>
      </c>
      <c r="ER77" s="55">
        <f t="shared" si="142"/>
        <v>0</v>
      </c>
      <c r="ES77" s="55">
        <f t="shared" si="116"/>
        <v>0</v>
      </c>
      <c r="ET77" s="59">
        <f t="shared" si="453"/>
        <v>0</v>
      </c>
      <c r="EU77" s="55">
        <f t="shared" si="454"/>
        <v>0</v>
      </c>
      <c r="EV77" s="59">
        <f t="shared" si="455"/>
        <v>0</v>
      </c>
      <c r="EW77" s="55">
        <f t="shared" si="456"/>
        <v>0</v>
      </c>
      <c r="EX77" s="59">
        <f t="shared" si="457"/>
        <v>0</v>
      </c>
      <c r="EY77" s="55">
        <f t="shared" si="458"/>
        <v>0</v>
      </c>
      <c r="EZ77" s="59">
        <f t="shared" si="459"/>
        <v>0</v>
      </c>
      <c r="FA77" s="57">
        <f t="shared" si="460"/>
        <v>0</v>
      </c>
      <c r="FB77" s="59">
        <f t="shared" si="461"/>
        <v>0</v>
      </c>
      <c r="FC77" s="55">
        <f t="shared" si="462"/>
        <v>0</v>
      </c>
      <c r="FD77" s="59">
        <f t="shared" si="463"/>
        <v>0</v>
      </c>
      <c r="FE77" s="57">
        <f t="shared" si="464"/>
        <v>0</v>
      </c>
      <c r="FF77" s="59">
        <f t="shared" si="465"/>
        <v>0</v>
      </c>
      <c r="FG77" s="60">
        <f t="shared" si="466"/>
        <v>0</v>
      </c>
      <c r="FH77" s="59">
        <f t="shared" si="467"/>
        <v>0</v>
      </c>
      <c r="FI77" s="57">
        <f t="shared" si="468"/>
        <v>0</v>
      </c>
      <c r="FJ77" s="59">
        <f t="shared" si="469"/>
        <v>0</v>
      </c>
      <c r="FK77" s="55">
        <f t="shared" si="470"/>
        <v>0</v>
      </c>
      <c r="FL77" s="59">
        <f t="shared" si="471"/>
        <v>0</v>
      </c>
      <c r="FM77" s="60">
        <f t="shared" si="472"/>
        <v>0</v>
      </c>
      <c r="FN77" s="59">
        <f t="shared" si="473"/>
        <v>0</v>
      </c>
      <c r="FO77" s="60">
        <f t="shared" si="474"/>
        <v>0</v>
      </c>
      <c r="FP77" s="59">
        <f t="shared" si="475"/>
        <v>0</v>
      </c>
      <c r="FQ77" s="60">
        <f t="shared" si="476"/>
        <v>0</v>
      </c>
      <c r="FR77" s="59">
        <f t="shared" si="477"/>
        <v>0</v>
      </c>
      <c r="FS77" s="55">
        <f t="shared" si="478"/>
        <v>0</v>
      </c>
      <c r="FT77" s="59">
        <f t="shared" si="479"/>
        <v>0</v>
      </c>
      <c r="FU77" s="60">
        <f t="shared" si="480"/>
        <v>0</v>
      </c>
      <c r="FV77" s="59">
        <f t="shared" si="481"/>
        <v>0</v>
      </c>
      <c r="FW77" s="60">
        <f t="shared" si="482"/>
        <v>0</v>
      </c>
      <c r="FX77" s="59">
        <f t="shared" si="483"/>
        <v>0</v>
      </c>
      <c r="FY77" s="60">
        <f t="shared" si="484"/>
        <v>0</v>
      </c>
      <c r="FZ77" s="59">
        <f t="shared" si="485"/>
        <v>0</v>
      </c>
      <c r="GA77" s="60">
        <f t="shared" si="486"/>
        <v>0</v>
      </c>
      <c r="GB77" s="59">
        <f t="shared" si="487"/>
        <v>0</v>
      </c>
      <c r="GC77" s="55">
        <f t="shared" si="488"/>
        <v>0</v>
      </c>
      <c r="GD77" s="59">
        <f t="shared" si="489"/>
        <v>0</v>
      </c>
      <c r="GE77" s="60">
        <f t="shared" si="490"/>
        <v>0</v>
      </c>
      <c r="GF77" s="59">
        <f t="shared" si="491"/>
        <v>0</v>
      </c>
      <c r="GG77" s="60">
        <f t="shared" si="492"/>
        <v>0</v>
      </c>
      <c r="GH77" s="59">
        <f t="shared" si="493"/>
        <v>0</v>
      </c>
      <c r="GI77" s="55">
        <f t="shared" si="494"/>
        <v>0</v>
      </c>
      <c r="GJ77" s="59">
        <f t="shared" si="495"/>
        <v>0</v>
      </c>
      <c r="GK77" s="55"/>
      <c r="GL77" s="55"/>
      <c r="GM77" s="55">
        <v>1</v>
      </c>
      <c r="GN77" s="55">
        <v>0.97</v>
      </c>
      <c r="GO77" s="55">
        <v>0.95</v>
      </c>
      <c r="GP77" s="55">
        <v>0.93</v>
      </c>
      <c r="GQ77" s="55">
        <f t="shared" si="498"/>
        <v>0.91</v>
      </c>
      <c r="GR77" s="55">
        <f t="shared" si="498"/>
        <v>0.89</v>
      </c>
      <c r="GS77" s="55">
        <f t="shared" si="498"/>
        <v>0.87</v>
      </c>
      <c r="GT77" s="55">
        <f t="shared" si="498"/>
        <v>0.85</v>
      </c>
      <c r="GU77" s="55">
        <f t="shared" si="498"/>
        <v>0.83</v>
      </c>
      <c r="GV77" s="55">
        <f t="shared" si="498"/>
        <v>0.80999999999999994</v>
      </c>
      <c r="GW77" s="55">
        <f t="shared" si="498"/>
        <v>0.78999999999999992</v>
      </c>
      <c r="GX77" s="55">
        <f t="shared" si="498"/>
        <v>0.76999999999999991</v>
      </c>
      <c r="GY77" s="55">
        <f t="shared" si="498"/>
        <v>0.74999999999999989</v>
      </c>
      <c r="GZ77" s="55">
        <f t="shared" si="498"/>
        <v>0.72999999999999987</v>
      </c>
      <c r="HA77" s="55">
        <f t="shared" si="498"/>
        <v>0.70999999999999985</v>
      </c>
      <c r="HB77" s="55">
        <f t="shared" si="498"/>
        <v>0.68999999999999984</v>
      </c>
      <c r="HC77" s="55">
        <f t="shared" si="498"/>
        <v>0.66999999999999982</v>
      </c>
      <c r="HD77" s="55">
        <f t="shared" si="498"/>
        <v>0.6499999999999998</v>
      </c>
      <c r="HE77" s="55">
        <f t="shared" si="498"/>
        <v>0.62999999999999978</v>
      </c>
      <c r="HF77" s="55">
        <f t="shared" si="498"/>
        <v>0.60999999999999976</v>
      </c>
      <c r="HG77" s="55">
        <f t="shared" si="498"/>
        <v>0.58999999999999975</v>
      </c>
      <c r="HH77" s="55">
        <f t="shared" si="498"/>
        <v>0.56999999999999973</v>
      </c>
    </row>
    <row r="78" spans="1:216" x14ac:dyDescent="0.3">
      <c r="A78" s="2">
        <v>16</v>
      </c>
      <c r="C78" s="38" t="s">
        <v>123</v>
      </c>
      <c r="D78" s="42">
        <v>0</v>
      </c>
      <c r="E78" s="71">
        <f t="shared" si="365"/>
        <v>0</v>
      </c>
      <c r="H78" s="55">
        <f t="shared" si="61"/>
        <v>0</v>
      </c>
      <c r="I78" s="55">
        <f t="shared" si="62"/>
        <v>0</v>
      </c>
      <c r="J78" s="59">
        <f t="shared" si="63"/>
        <v>0</v>
      </c>
      <c r="K78" s="55">
        <f t="shared" si="366"/>
        <v>0</v>
      </c>
      <c r="L78" s="59">
        <f t="shared" si="367"/>
        <v>0</v>
      </c>
      <c r="M78" s="55">
        <f t="shared" si="368"/>
        <v>0</v>
      </c>
      <c r="N78" s="59">
        <f t="shared" si="369"/>
        <v>0</v>
      </c>
      <c r="O78" s="55">
        <f t="shared" si="370"/>
        <v>0</v>
      </c>
      <c r="P78" s="59">
        <f t="shared" si="371"/>
        <v>0</v>
      </c>
      <c r="Q78" s="57">
        <f t="shared" si="372"/>
        <v>0</v>
      </c>
      <c r="R78" s="59">
        <f t="shared" si="373"/>
        <v>0</v>
      </c>
      <c r="S78" s="55">
        <f t="shared" si="374"/>
        <v>0</v>
      </c>
      <c r="T78" s="59">
        <f t="shared" si="375"/>
        <v>0</v>
      </c>
      <c r="U78" s="57">
        <f t="shared" si="376"/>
        <v>0</v>
      </c>
      <c r="V78" s="59">
        <f t="shared" si="377"/>
        <v>0</v>
      </c>
      <c r="W78" s="60">
        <f t="shared" si="378"/>
        <v>0</v>
      </c>
      <c r="X78" s="59">
        <f t="shared" si="379"/>
        <v>0</v>
      </c>
      <c r="Y78" s="57">
        <f t="shared" si="380"/>
        <v>0</v>
      </c>
      <c r="Z78" s="59">
        <f t="shared" si="381"/>
        <v>0</v>
      </c>
      <c r="AA78" s="55">
        <f t="shared" si="382"/>
        <v>0</v>
      </c>
      <c r="AB78" s="59">
        <f t="shared" si="383"/>
        <v>0</v>
      </c>
      <c r="AC78" s="60">
        <f t="shared" si="384"/>
        <v>0</v>
      </c>
      <c r="AD78" s="59">
        <f t="shared" si="385"/>
        <v>0</v>
      </c>
      <c r="AE78" s="60">
        <f t="shared" si="386"/>
        <v>0</v>
      </c>
      <c r="AF78" s="59">
        <f t="shared" si="387"/>
        <v>0</v>
      </c>
      <c r="AG78" s="60">
        <f t="shared" si="388"/>
        <v>0</v>
      </c>
      <c r="AH78" s="59">
        <f t="shared" si="389"/>
        <v>0</v>
      </c>
      <c r="AI78" s="55">
        <f t="shared" si="390"/>
        <v>0</v>
      </c>
      <c r="AJ78" s="59">
        <f t="shared" si="391"/>
        <v>0</v>
      </c>
      <c r="AK78" s="60">
        <f t="shared" si="392"/>
        <v>0</v>
      </c>
      <c r="AL78" s="59">
        <f t="shared" si="393"/>
        <v>0</v>
      </c>
      <c r="AM78" s="60">
        <f t="shared" si="394"/>
        <v>0</v>
      </c>
      <c r="AN78" s="59">
        <f t="shared" si="395"/>
        <v>0</v>
      </c>
      <c r="AO78" s="60">
        <f t="shared" si="396"/>
        <v>0</v>
      </c>
      <c r="AP78" s="59">
        <f t="shared" si="397"/>
        <v>0</v>
      </c>
      <c r="AQ78" s="60">
        <f t="shared" si="398"/>
        <v>0</v>
      </c>
      <c r="AR78" s="59">
        <f t="shared" si="399"/>
        <v>0</v>
      </c>
      <c r="AS78" s="55">
        <f t="shared" si="400"/>
        <v>0</v>
      </c>
      <c r="AT78" s="59">
        <f t="shared" si="401"/>
        <v>0</v>
      </c>
      <c r="AU78" s="60">
        <f t="shared" si="402"/>
        <v>0</v>
      </c>
      <c r="AV78" s="59">
        <f t="shared" si="403"/>
        <v>0</v>
      </c>
      <c r="AW78" s="60">
        <f t="shared" si="404"/>
        <v>0</v>
      </c>
      <c r="AX78" s="59">
        <f t="shared" si="405"/>
        <v>0</v>
      </c>
      <c r="AY78" s="55">
        <f t="shared" si="406"/>
        <v>0</v>
      </c>
      <c r="AZ78" s="59">
        <f t="shared" si="407"/>
        <v>0</v>
      </c>
      <c r="BC78" s="55">
        <v>1</v>
      </c>
      <c r="BD78" s="55">
        <v>0.97</v>
      </c>
      <c r="BE78" s="55">
        <v>0.95</v>
      </c>
      <c r="BF78" s="55">
        <v>0.93</v>
      </c>
      <c r="BG78" s="55">
        <f t="shared" ref="BG78:BX89" si="500">+BF78-0.02</f>
        <v>0.91</v>
      </c>
      <c r="BH78" s="55">
        <f t="shared" si="500"/>
        <v>0.89</v>
      </c>
      <c r="BI78" s="55">
        <f t="shared" si="500"/>
        <v>0.87</v>
      </c>
      <c r="BJ78" s="55">
        <f t="shared" si="500"/>
        <v>0.85</v>
      </c>
      <c r="BK78" s="55">
        <f t="shared" si="500"/>
        <v>0.83</v>
      </c>
      <c r="BL78" s="55">
        <f t="shared" si="500"/>
        <v>0.80999999999999994</v>
      </c>
      <c r="BM78" s="55">
        <f t="shared" si="500"/>
        <v>0.78999999999999992</v>
      </c>
      <c r="BN78" s="55">
        <f t="shared" si="500"/>
        <v>0.76999999999999991</v>
      </c>
      <c r="BO78" s="55">
        <f t="shared" si="500"/>
        <v>0.74999999999999989</v>
      </c>
      <c r="BP78" s="55">
        <f t="shared" si="500"/>
        <v>0.72999999999999987</v>
      </c>
      <c r="BQ78" s="55">
        <f t="shared" si="500"/>
        <v>0.70999999999999985</v>
      </c>
      <c r="BR78" s="55">
        <f t="shared" si="500"/>
        <v>0.68999999999999984</v>
      </c>
      <c r="BS78" s="55">
        <f t="shared" si="500"/>
        <v>0.66999999999999982</v>
      </c>
      <c r="BT78" s="55">
        <f t="shared" si="500"/>
        <v>0.6499999999999998</v>
      </c>
      <c r="BU78" s="55">
        <f t="shared" si="500"/>
        <v>0.62999999999999978</v>
      </c>
      <c r="BV78" s="55">
        <f t="shared" si="500"/>
        <v>0.60999999999999976</v>
      </c>
      <c r="BW78" s="55">
        <f t="shared" si="500"/>
        <v>0.58999999999999975</v>
      </c>
      <c r="BX78" s="55">
        <f t="shared" si="500"/>
        <v>0.56999999999999973</v>
      </c>
      <c r="BZ78" s="55">
        <f t="shared" si="88"/>
        <v>0</v>
      </c>
      <c r="CA78" s="55">
        <f t="shared" si="89"/>
        <v>0</v>
      </c>
      <c r="CB78" s="59">
        <f t="shared" si="409"/>
        <v>0</v>
      </c>
      <c r="CC78" s="55">
        <f t="shared" si="410"/>
        <v>0</v>
      </c>
      <c r="CD78" s="59">
        <f t="shared" si="411"/>
        <v>0</v>
      </c>
      <c r="CE78" s="55">
        <f t="shared" si="412"/>
        <v>0</v>
      </c>
      <c r="CF78" s="59">
        <f t="shared" si="413"/>
        <v>0</v>
      </c>
      <c r="CG78" s="55">
        <f t="shared" si="414"/>
        <v>0</v>
      </c>
      <c r="CH78" s="59">
        <f t="shared" si="415"/>
        <v>0</v>
      </c>
      <c r="CI78" s="57">
        <f t="shared" si="416"/>
        <v>0</v>
      </c>
      <c r="CJ78" s="59">
        <f t="shared" si="417"/>
        <v>0</v>
      </c>
      <c r="CK78" s="55">
        <f t="shared" si="418"/>
        <v>0</v>
      </c>
      <c r="CL78" s="59">
        <f t="shared" si="419"/>
        <v>0</v>
      </c>
      <c r="CM78" s="57">
        <f t="shared" si="420"/>
        <v>0</v>
      </c>
      <c r="CN78" s="59">
        <f t="shared" si="421"/>
        <v>0</v>
      </c>
      <c r="CO78" s="60">
        <f t="shared" si="422"/>
        <v>0</v>
      </c>
      <c r="CP78" s="59">
        <f t="shared" si="423"/>
        <v>0</v>
      </c>
      <c r="CQ78" s="57">
        <f t="shared" si="424"/>
        <v>0</v>
      </c>
      <c r="CR78" s="59">
        <f t="shared" si="425"/>
        <v>0</v>
      </c>
      <c r="CS78" s="55">
        <f t="shared" si="426"/>
        <v>0</v>
      </c>
      <c r="CT78" s="59">
        <f t="shared" si="427"/>
        <v>0</v>
      </c>
      <c r="CU78" s="60">
        <f t="shared" si="428"/>
        <v>0</v>
      </c>
      <c r="CV78" s="59">
        <f t="shared" si="429"/>
        <v>0</v>
      </c>
      <c r="CW78" s="60">
        <f t="shared" si="430"/>
        <v>0</v>
      </c>
      <c r="CX78" s="59">
        <f t="shared" si="431"/>
        <v>0</v>
      </c>
      <c r="CY78" s="60">
        <f t="shared" si="432"/>
        <v>0</v>
      </c>
      <c r="CZ78" s="59">
        <f t="shared" si="433"/>
        <v>0</v>
      </c>
      <c r="DA78" s="55">
        <f t="shared" si="434"/>
        <v>0</v>
      </c>
      <c r="DB78" s="59">
        <f t="shared" si="435"/>
        <v>0</v>
      </c>
      <c r="DC78" s="60">
        <f t="shared" si="436"/>
        <v>0</v>
      </c>
      <c r="DD78" s="59">
        <f t="shared" si="437"/>
        <v>0</v>
      </c>
      <c r="DE78" s="60">
        <f t="shared" si="438"/>
        <v>0</v>
      </c>
      <c r="DF78" s="59">
        <f t="shared" si="439"/>
        <v>0</v>
      </c>
      <c r="DG78" s="60">
        <f t="shared" si="440"/>
        <v>0</v>
      </c>
      <c r="DH78" s="59">
        <f t="shared" si="441"/>
        <v>0</v>
      </c>
      <c r="DI78" s="60">
        <f t="shared" si="442"/>
        <v>0</v>
      </c>
      <c r="DJ78" s="59">
        <f t="shared" si="443"/>
        <v>0</v>
      </c>
      <c r="DK78" s="55">
        <f t="shared" si="444"/>
        <v>0</v>
      </c>
      <c r="DL78" s="59">
        <f t="shared" si="445"/>
        <v>0</v>
      </c>
      <c r="DM78" s="60">
        <f t="shared" si="446"/>
        <v>0</v>
      </c>
      <c r="DN78" s="59">
        <f t="shared" si="447"/>
        <v>0</v>
      </c>
      <c r="DO78" s="60">
        <f t="shared" si="448"/>
        <v>0</v>
      </c>
      <c r="DP78" s="59">
        <f t="shared" si="449"/>
        <v>0</v>
      </c>
      <c r="DQ78" s="55">
        <f t="shared" si="450"/>
        <v>0</v>
      </c>
      <c r="DR78" s="59">
        <f t="shared" si="451"/>
        <v>0</v>
      </c>
      <c r="DU78" s="55">
        <v>1</v>
      </c>
      <c r="DV78" s="55">
        <v>0.97</v>
      </c>
      <c r="DW78" s="55">
        <v>0.95</v>
      </c>
      <c r="DX78" s="55">
        <v>0.93</v>
      </c>
      <c r="DY78" s="55">
        <f t="shared" si="497"/>
        <v>0.91</v>
      </c>
      <c r="DZ78" s="55">
        <f t="shared" si="497"/>
        <v>0.89</v>
      </c>
      <c r="EA78" s="55">
        <f t="shared" si="497"/>
        <v>0.87</v>
      </c>
      <c r="EB78" s="55">
        <f t="shared" ref="EB78:EP78" si="501">+EA78-0.02</f>
        <v>0.85</v>
      </c>
      <c r="EC78" s="55">
        <f t="shared" si="501"/>
        <v>0.83</v>
      </c>
      <c r="ED78" s="55">
        <f t="shared" si="501"/>
        <v>0.80999999999999994</v>
      </c>
      <c r="EE78" s="55">
        <f t="shared" si="501"/>
        <v>0.78999999999999992</v>
      </c>
      <c r="EF78" s="55">
        <f t="shared" si="501"/>
        <v>0.76999999999999991</v>
      </c>
      <c r="EG78" s="55">
        <f t="shared" si="501"/>
        <v>0.74999999999999989</v>
      </c>
      <c r="EH78" s="55">
        <f t="shared" si="501"/>
        <v>0.72999999999999987</v>
      </c>
      <c r="EI78" s="55">
        <f t="shared" si="501"/>
        <v>0.70999999999999985</v>
      </c>
      <c r="EJ78" s="55">
        <f t="shared" si="501"/>
        <v>0.68999999999999984</v>
      </c>
      <c r="EK78" s="55">
        <f t="shared" si="501"/>
        <v>0.66999999999999982</v>
      </c>
      <c r="EL78" s="55">
        <f t="shared" si="501"/>
        <v>0.6499999999999998</v>
      </c>
      <c r="EM78" s="55">
        <f t="shared" si="501"/>
        <v>0.62999999999999978</v>
      </c>
      <c r="EN78" s="55">
        <f t="shared" si="501"/>
        <v>0.60999999999999976</v>
      </c>
      <c r="EO78" s="55">
        <f t="shared" si="501"/>
        <v>0.58999999999999975</v>
      </c>
      <c r="EP78" s="55">
        <f t="shared" si="501"/>
        <v>0.56999999999999973</v>
      </c>
      <c r="ER78" s="55">
        <f t="shared" si="142"/>
        <v>0</v>
      </c>
      <c r="ES78" s="55">
        <f t="shared" si="116"/>
        <v>0</v>
      </c>
      <c r="ET78" s="59">
        <f t="shared" si="453"/>
        <v>0</v>
      </c>
      <c r="EU78" s="55">
        <f t="shared" si="454"/>
        <v>0</v>
      </c>
      <c r="EV78" s="59">
        <f t="shared" si="455"/>
        <v>0</v>
      </c>
      <c r="EW78" s="55">
        <f t="shared" si="456"/>
        <v>0</v>
      </c>
      <c r="EX78" s="59">
        <f t="shared" si="457"/>
        <v>0</v>
      </c>
      <c r="EY78" s="55">
        <f t="shared" si="458"/>
        <v>0</v>
      </c>
      <c r="EZ78" s="59">
        <f t="shared" si="459"/>
        <v>0</v>
      </c>
      <c r="FA78" s="57">
        <f t="shared" si="460"/>
        <v>0</v>
      </c>
      <c r="FB78" s="59">
        <f t="shared" si="461"/>
        <v>0</v>
      </c>
      <c r="FC78" s="55">
        <f t="shared" si="462"/>
        <v>0</v>
      </c>
      <c r="FD78" s="59">
        <f t="shared" si="463"/>
        <v>0</v>
      </c>
      <c r="FE78" s="57">
        <f t="shared" si="464"/>
        <v>0</v>
      </c>
      <c r="FF78" s="59">
        <f t="shared" si="465"/>
        <v>0</v>
      </c>
      <c r="FG78" s="60">
        <f t="shared" si="466"/>
        <v>0</v>
      </c>
      <c r="FH78" s="59">
        <f t="shared" si="467"/>
        <v>0</v>
      </c>
      <c r="FI78" s="57">
        <f t="shared" si="468"/>
        <v>0</v>
      </c>
      <c r="FJ78" s="59">
        <f t="shared" si="469"/>
        <v>0</v>
      </c>
      <c r="FK78" s="55">
        <f t="shared" si="470"/>
        <v>0</v>
      </c>
      <c r="FL78" s="59">
        <f t="shared" si="471"/>
        <v>0</v>
      </c>
      <c r="FM78" s="60">
        <f t="shared" si="472"/>
        <v>0</v>
      </c>
      <c r="FN78" s="59">
        <f t="shared" si="473"/>
        <v>0</v>
      </c>
      <c r="FO78" s="60">
        <f t="shared" si="474"/>
        <v>0</v>
      </c>
      <c r="FP78" s="59">
        <f t="shared" si="475"/>
        <v>0</v>
      </c>
      <c r="FQ78" s="60">
        <f t="shared" si="476"/>
        <v>0</v>
      </c>
      <c r="FR78" s="59">
        <f t="shared" si="477"/>
        <v>0</v>
      </c>
      <c r="FS78" s="55">
        <f t="shared" si="478"/>
        <v>0</v>
      </c>
      <c r="FT78" s="59">
        <f t="shared" si="479"/>
        <v>0</v>
      </c>
      <c r="FU78" s="60">
        <f t="shared" si="480"/>
        <v>0</v>
      </c>
      <c r="FV78" s="59">
        <f t="shared" si="481"/>
        <v>0</v>
      </c>
      <c r="FW78" s="60">
        <f t="shared" si="482"/>
        <v>0</v>
      </c>
      <c r="FX78" s="59">
        <f t="shared" si="483"/>
        <v>0</v>
      </c>
      <c r="FY78" s="60">
        <f t="shared" si="484"/>
        <v>0</v>
      </c>
      <c r="FZ78" s="59">
        <f t="shared" si="485"/>
        <v>0</v>
      </c>
      <c r="GA78" s="60">
        <f t="shared" si="486"/>
        <v>0</v>
      </c>
      <c r="GB78" s="59">
        <f t="shared" si="487"/>
        <v>0</v>
      </c>
      <c r="GC78" s="55">
        <f t="shared" si="488"/>
        <v>0</v>
      </c>
      <c r="GD78" s="59">
        <f t="shared" si="489"/>
        <v>0</v>
      </c>
      <c r="GE78" s="60">
        <f t="shared" si="490"/>
        <v>0</v>
      </c>
      <c r="GF78" s="59">
        <f t="shared" si="491"/>
        <v>0</v>
      </c>
      <c r="GG78" s="60">
        <f t="shared" si="492"/>
        <v>0</v>
      </c>
      <c r="GH78" s="59">
        <f t="shared" si="493"/>
        <v>0</v>
      </c>
      <c r="GI78" s="55">
        <f t="shared" si="494"/>
        <v>0</v>
      </c>
      <c r="GJ78" s="59">
        <f t="shared" si="495"/>
        <v>0</v>
      </c>
      <c r="GK78" s="55"/>
      <c r="GL78" s="55"/>
      <c r="GM78" s="55">
        <v>1</v>
      </c>
      <c r="GN78" s="55">
        <v>0.97</v>
      </c>
      <c r="GO78" s="55">
        <v>0.95</v>
      </c>
      <c r="GP78" s="55">
        <v>0.93</v>
      </c>
      <c r="GQ78" s="55">
        <f t="shared" si="498"/>
        <v>0.91</v>
      </c>
      <c r="GR78" s="55">
        <f t="shared" si="498"/>
        <v>0.89</v>
      </c>
      <c r="GS78" s="55">
        <f t="shared" si="498"/>
        <v>0.87</v>
      </c>
      <c r="GT78" s="55">
        <f t="shared" ref="GT78:HH78" si="502">+GS78-0.02</f>
        <v>0.85</v>
      </c>
      <c r="GU78" s="55">
        <f t="shared" si="502"/>
        <v>0.83</v>
      </c>
      <c r="GV78" s="55">
        <f t="shared" si="502"/>
        <v>0.80999999999999994</v>
      </c>
      <c r="GW78" s="55">
        <f t="shared" si="502"/>
        <v>0.78999999999999992</v>
      </c>
      <c r="GX78" s="55">
        <f t="shared" si="502"/>
        <v>0.76999999999999991</v>
      </c>
      <c r="GY78" s="55">
        <f t="shared" si="502"/>
        <v>0.74999999999999989</v>
      </c>
      <c r="GZ78" s="55">
        <f t="shared" si="502"/>
        <v>0.72999999999999987</v>
      </c>
      <c r="HA78" s="55">
        <f t="shared" si="502"/>
        <v>0.70999999999999985</v>
      </c>
      <c r="HB78" s="55">
        <f t="shared" si="502"/>
        <v>0.68999999999999984</v>
      </c>
      <c r="HC78" s="55">
        <f t="shared" si="502"/>
        <v>0.66999999999999982</v>
      </c>
      <c r="HD78" s="55">
        <f t="shared" si="502"/>
        <v>0.6499999999999998</v>
      </c>
      <c r="HE78" s="55">
        <f t="shared" si="502"/>
        <v>0.62999999999999978</v>
      </c>
      <c r="HF78" s="55">
        <f t="shared" si="502"/>
        <v>0.60999999999999976</v>
      </c>
      <c r="HG78" s="55">
        <f t="shared" si="502"/>
        <v>0.58999999999999975</v>
      </c>
      <c r="HH78" s="55">
        <f t="shared" si="502"/>
        <v>0.56999999999999973</v>
      </c>
    </row>
    <row r="79" spans="1:216" x14ac:dyDescent="0.3">
      <c r="A79" s="2">
        <v>17</v>
      </c>
      <c r="C79" s="38" t="s">
        <v>124</v>
      </c>
      <c r="D79" s="42">
        <v>0</v>
      </c>
      <c r="E79" s="71">
        <f t="shared" si="365"/>
        <v>0</v>
      </c>
      <c r="H79" s="55">
        <f t="shared" si="61"/>
        <v>0</v>
      </c>
      <c r="I79" s="55">
        <f t="shared" si="62"/>
        <v>0</v>
      </c>
      <c r="J79" s="59">
        <f t="shared" si="63"/>
        <v>0</v>
      </c>
      <c r="K79" s="55">
        <f t="shared" si="366"/>
        <v>0</v>
      </c>
      <c r="L79" s="59">
        <f t="shared" si="367"/>
        <v>0</v>
      </c>
      <c r="M79" s="55">
        <f t="shared" si="368"/>
        <v>0</v>
      </c>
      <c r="N79" s="59">
        <f t="shared" si="369"/>
        <v>0</v>
      </c>
      <c r="O79" s="55">
        <f t="shared" si="370"/>
        <v>0</v>
      </c>
      <c r="P79" s="59">
        <f t="shared" si="371"/>
        <v>0</v>
      </c>
      <c r="Q79" s="57">
        <f t="shared" si="372"/>
        <v>0</v>
      </c>
      <c r="R79" s="59">
        <f t="shared" si="373"/>
        <v>0</v>
      </c>
      <c r="S79" s="55">
        <f t="shared" si="374"/>
        <v>0</v>
      </c>
      <c r="T79" s="59">
        <f t="shared" si="375"/>
        <v>0</v>
      </c>
      <c r="U79" s="57">
        <f t="shared" si="376"/>
        <v>0</v>
      </c>
      <c r="V79" s="59">
        <f t="shared" si="377"/>
        <v>0</v>
      </c>
      <c r="W79" s="60">
        <f t="shared" si="378"/>
        <v>0</v>
      </c>
      <c r="X79" s="59">
        <f t="shared" si="379"/>
        <v>0</v>
      </c>
      <c r="Y79" s="57">
        <f t="shared" si="380"/>
        <v>0</v>
      </c>
      <c r="Z79" s="59">
        <f t="shared" si="381"/>
        <v>0</v>
      </c>
      <c r="AA79" s="55">
        <f t="shared" si="382"/>
        <v>0</v>
      </c>
      <c r="AB79" s="59">
        <f t="shared" si="383"/>
        <v>0</v>
      </c>
      <c r="AC79" s="60">
        <f t="shared" si="384"/>
        <v>0</v>
      </c>
      <c r="AD79" s="59">
        <f t="shared" si="385"/>
        <v>0</v>
      </c>
      <c r="AE79" s="60">
        <f t="shared" si="386"/>
        <v>0</v>
      </c>
      <c r="AF79" s="59">
        <f t="shared" si="387"/>
        <v>0</v>
      </c>
      <c r="AG79" s="60">
        <f t="shared" si="388"/>
        <v>0</v>
      </c>
      <c r="AH79" s="59">
        <f t="shared" si="389"/>
        <v>0</v>
      </c>
      <c r="AI79" s="55">
        <f t="shared" si="390"/>
        <v>0</v>
      </c>
      <c r="AJ79" s="59">
        <f t="shared" si="391"/>
        <v>0</v>
      </c>
      <c r="AK79" s="60">
        <f t="shared" si="392"/>
        <v>0</v>
      </c>
      <c r="AL79" s="59">
        <f t="shared" si="393"/>
        <v>0</v>
      </c>
      <c r="AM79" s="60">
        <f t="shared" si="394"/>
        <v>0</v>
      </c>
      <c r="AN79" s="59">
        <f t="shared" si="395"/>
        <v>0</v>
      </c>
      <c r="AO79" s="60">
        <f t="shared" si="396"/>
        <v>0</v>
      </c>
      <c r="AP79" s="59">
        <f t="shared" si="397"/>
        <v>0</v>
      </c>
      <c r="AQ79" s="60">
        <f t="shared" si="398"/>
        <v>0</v>
      </c>
      <c r="AR79" s="59">
        <f t="shared" si="399"/>
        <v>0</v>
      </c>
      <c r="AS79" s="55">
        <f t="shared" si="400"/>
        <v>0</v>
      </c>
      <c r="AT79" s="59">
        <f t="shared" si="401"/>
        <v>0</v>
      </c>
      <c r="AU79" s="60">
        <f t="shared" si="402"/>
        <v>0</v>
      </c>
      <c r="AV79" s="59">
        <f t="shared" si="403"/>
        <v>0</v>
      </c>
      <c r="AW79" s="60">
        <f t="shared" si="404"/>
        <v>0</v>
      </c>
      <c r="AX79" s="59">
        <f t="shared" si="405"/>
        <v>0</v>
      </c>
      <c r="AY79" s="55">
        <f t="shared" si="406"/>
        <v>0</v>
      </c>
      <c r="AZ79" s="59">
        <f t="shared" si="407"/>
        <v>0</v>
      </c>
      <c r="BC79" s="55">
        <v>1</v>
      </c>
      <c r="BD79" s="55">
        <v>0.97</v>
      </c>
      <c r="BE79" s="55">
        <v>0.95</v>
      </c>
      <c r="BF79" s="55">
        <v>0.93</v>
      </c>
      <c r="BG79" s="55">
        <f t="shared" si="500"/>
        <v>0.91</v>
      </c>
      <c r="BH79" s="55">
        <f t="shared" si="500"/>
        <v>0.89</v>
      </c>
      <c r="BI79" s="55">
        <f t="shared" si="500"/>
        <v>0.87</v>
      </c>
      <c r="BJ79" s="55">
        <f t="shared" si="500"/>
        <v>0.85</v>
      </c>
      <c r="BK79" s="55">
        <f t="shared" si="500"/>
        <v>0.83</v>
      </c>
      <c r="BL79" s="55">
        <f t="shared" si="500"/>
        <v>0.80999999999999994</v>
      </c>
      <c r="BM79" s="55">
        <f t="shared" si="500"/>
        <v>0.78999999999999992</v>
      </c>
      <c r="BN79" s="55">
        <f t="shared" si="500"/>
        <v>0.76999999999999991</v>
      </c>
      <c r="BO79" s="55">
        <f t="shared" si="500"/>
        <v>0.74999999999999989</v>
      </c>
      <c r="BP79" s="55">
        <f t="shared" si="500"/>
        <v>0.72999999999999987</v>
      </c>
      <c r="BQ79" s="55">
        <f t="shared" si="500"/>
        <v>0.70999999999999985</v>
      </c>
      <c r="BR79" s="55">
        <f t="shared" si="500"/>
        <v>0.68999999999999984</v>
      </c>
      <c r="BS79" s="55">
        <f t="shared" si="500"/>
        <v>0.66999999999999982</v>
      </c>
      <c r="BT79" s="55">
        <f t="shared" si="500"/>
        <v>0.6499999999999998</v>
      </c>
      <c r="BU79" s="55">
        <f t="shared" si="500"/>
        <v>0.62999999999999978</v>
      </c>
      <c r="BV79" s="55">
        <f t="shared" si="500"/>
        <v>0.60999999999999976</v>
      </c>
      <c r="BW79" s="55">
        <f t="shared" si="500"/>
        <v>0.58999999999999975</v>
      </c>
      <c r="BX79" s="55">
        <f t="shared" si="500"/>
        <v>0.56999999999999973</v>
      </c>
      <c r="BZ79" s="55">
        <f t="shared" si="88"/>
        <v>0</v>
      </c>
      <c r="CA79" s="55">
        <f t="shared" si="89"/>
        <v>0</v>
      </c>
      <c r="CB79" s="59">
        <f t="shared" si="409"/>
        <v>0</v>
      </c>
      <c r="CC79" s="55">
        <f t="shared" si="410"/>
        <v>0</v>
      </c>
      <c r="CD79" s="59">
        <f t="shared" si="411"/>
        <v>0</v>
      </c>
      <c r="CE79" s="55">
        <f t="shared" si="412"/>
        <v>0</v>
      </c>
      <c r="CF79" s="59">
        <f t="shared" si="413"/>
        <v>0</v>
      </c>
      <c r="CG79" s="55">
        <f t="shared" si="414"/>
        <v>0</v>
      </c>
      <c r="CH79" s="59">
        <f t="shared" si="415"/>
        <v>0</v>
      </c>
      <c r="CI79" s="57">
        <f t="shared" si="416"/>
        <v>0</v>
      </c>
      <c r="CJ79" s="59">
        <f t="shared" si="417"/>
        <v>0</v>
      </c>
      <c r="CK79" s="55">
        <f t="shared" si="418"/>
        <v>0</v>
      </c>
      <c r="CL79" s="59">
        <f t="shared" si="419"/>
        <v>0</v>
      </c>
      <c r="CM79" s="57">
        <f t="shared" si="420"/>
        <v>0</v>
      </c>
      <c r="CN79" s="59">
        <f t="shared" si="421"/>
        <v>0</v>
      </c>
      <c r="CO79" s="60">
        <f t="shared" si="422"/>
        <v>0</v>
      </c>
      <c r="CP79" s="59">
        <f t="shared" si="423"/>
        <v>0</v>
      </c>
      <c r="CQ79" s="57">
        <f t="shared" si="424"/>
        <v>0</v>
      </c>
      <c r="CR79" s="59">
        <f t="shared" si="425"/>
        <v>0</v>
      </c>
      <c r="CS79" s="55">
        <f t="shared" si="426"/>
        <v>0</v>
      </c>
      <c r="CT79" s="59">
        <f t="shared" si="427"/>
        <v>0</v>
      </c>
      <c r="CU79" s="60">
        <f t="shared" si="428"/>
        <v>0</v>
      </c>
      <c r="CV79" s="59">
        <f t="shared" si="429"/>
        <v>0</v>
      </c>
      <c r="CW79" s="60">
        <f t="shared" si="430"/>
        <v>0</v>
      </c>
      <c r="CX79" s="59">
        <f t="shared" si="431"/>
        <v>0</v>
      </c>
      <c r="CY79" s="60">
        <f t="shared" si="432"/>
        <v>0</v>
      </c>
      <c r="CZ79" s="59">
        <f t="shared" si="433"/>
        <v>0</v>
      </c>
      <c r="DA79" s="55">
        <f t="shared" si="434"/>
        <v>0</v>
      </c>
      <c r="DB79" s="59">
        <f t="shared" si="435"/>
        <v>0</v>
      </c>
      <c r="DC79" s="60">
        <f t="shared" si="436"/>
        <v>0</v>
      </c>
      <c r="DD79" s="59">
        <f t="shared" si="437"/>
        <v>0</v>
      </c>
      <c r="DE79" s="60">
        <f t="shared" si="438"/>
        <v>0</v>
      </c>
      <c r="DF79" s="59">
        <f t="shared" si="439"/>
        <v>0</v>
      </c>
      <c r="DG79" s="60">
        <f t="shared" si="440"/>
        <v>0</v>
      </c>
      <c r="DH79" s="59">
        <f t="shared" si="441"/>
        <v>0</v>
      </c>
      <c r="DI79" s="60">
        <f t="shared" si="442"/>
        <v>0</v>
      </c>
      <c r="DJ79" s="59">
        <f t="shared" si="443"/>
        <v>0</v>
      </c>
      <c r="DK79" s="55">
        <f t="shared" si="444"/>
        <v>0</v>
      </c>
      <c r="DL79" s="59">
        <f t="shared" si="445"/>
        <v>0</v>
      </c>
      <c r="DM79" s="60">
        <f t="shared" si="446"/>
        <v>0</v>
      </c>
      <c r="DN79" s="59">
        <f t="shared" si="447"/>
        <v>0</v>
      </c>
      <c r="DO79" s="60">
        <f t="shared" si="448"/>
        <v>0</v>
      </c>
      <c r="DP79" s="59">
        <f t="shared" si="449"/>
        <v>0</v>
      </c>
      <c r="DQ79" s="55">
        <f t="shared" si="450"/>
        <v>0</v>
      </c>
      <c r="DR79" s="59">
        <f t="shared" si="451"/>
        <v>0</v>
      </c>
      <c r="DU79" s="55">
        <v>1</v>
      </c>
      <c r="DV79" s="55">
        <v>0.97</v>
      </c>
      <c r="DW79" s="55">
        <v>0.95</v>
      </c>
      <c r="DX79" s="55">
        <v>0.93</v>
      </c>
      <c r="DY79" s="55">
        <f t="shared" ref="DY79:EP93" si="503">+DX79-0.02</f>
        <v>0.91</v>
      </c>
      <c r="DZ79" s="55">
        <f t="shared" si="503"/>
        <v>0.89</v>
      </c>
      <c r="EA79" s="55">
        <f t="shared" si="503"/>
        <v>0.87</v>
      </c>
      <c r="EB79" s="55">
        <f t="shared" si="503"/>
        <v>0.85</v>
      </c>
      <c r="EC79" s="55">
        <f t="shared" si="503"/>
        <v>0.83</v>
      </c>
      <c r="ED79" s="55">
        <f t="shared" si="503"/>
        <v>0.80999999999999994</v>
      </c>
      <c r="EE79" s="55">
        <f t="shared" si="503"/>
        <v>0.78999999999999992</v>
      </c>
      <c r="EF79" s="55">
        <f t="shared" si="503"/>
        <v>0.76999999999999991</v>
      </c>
      <c r="EG79" s="55">
        <f t="shared" si="503"/>
        <v>0.74999999999999989</v>
      </c>
      <c r="EH79" s="55">
        <f t="shared" si="503"/>
        <v>0.72999999999999987</v>
      </c>
      <c r="EI79" s="55">
        <f t="shared" si="503"/>
        <v>0.70999999999999985</v>
      </c>
      <c r="EJ79" s="55">
        <f t="shared" si="503"/>
        <v>0.68999999999999984</v>
      </c>
      <c r="EK79" s="55">
        <f t="shared" si="503"/>
        <v>0.66999999999999982</v>
      </c>
      <c r="EL79" s="55">
        <f t="shared" si="503"/>
        <v>0.6499999999999998</v>
      </c>
      <c r="EM79" s="55">
        <f t="shared" si="503"/>
        <v>0.62999999999999978</v>
      </c>
      <c r="EN79" s="55">
        <f t="shared" si="503"/>
        <v>0.60999999999999976</v>
      </c>
      <c r="EO79" s="55">
        <f t="shared" si="503"/>
        <v>0.58999999999999975</v>
      </c>
      <c r="EP79" s="55">
        <f t="shared" si="503"/>
        <v>0.56999999999999973</v>
      </c>
      <c r="ER79" s="55">
        <f t="shared" si="142"/>
        <v>0</v>
      </c>
      <c r="ES79" s="55">
        <f t="shared" si="116"/>
        <v>0</v>
      </c>
      <c r="ET79" s="59">
        <f t="shared" si="453"/>
        <v>0</v>
      </c>
      <c r="EU79" s="55">
        <f t="shared" si="454"/>
        <v>0</v>
      </c>
      <c r="EV79" s="59">
        <f t="shared" si="455"/>
        <v>0</v>
      </c>
      <c r="EW79" s="55">
        <f t="shared" si="456"/>
        <v>0</v>
      </c>
      <c r="EX79" s="59">
        <f t="shared" si="457"/>
        <v>0</v>
      </c>
      <c r="EY79" s="55">
        <f t="shared" si="458"/>
        <v>0</v>
      </c>
      <c r="EZ79" s="59">
        <f t="shared" si="459"/>
        <v>0</v>
      </c>
      <c r="FA79" s="57">
        <f t="shared" si="460"/>
        <v>0</v>
      </c>
      <c r="FB79" s="59">
        <f t="shared" si="461"/>
        <v>0</v>
      </c>
      <c r="FC79" s="55">
        <f t="shared" si="462"/>
        <v>0</v>
      </c>
      <c r="FD79" s="59">
        <f t="shared" si="463"/>
        <v>0</v>
      </c>
      <c r="FE79" s="57">
        <f t="shared" si="464"/>
        <v>0</v>
      </c>
      <c r="FF79" s="59">
        <f t="shared" si="465"/>
        <v>0</v>
      </c>
      <c r="FG79" s="60">
        <f t="shared" si="466"/>
        <v>0</v>
      </c>
      <c r="FH79" s="59">
        <f t="shared" si="467"/>
        <v>0</v>
      </c>
      <c r="FI79" s="57">
        <f t="shared" si="468"/>
        <v>0</v>
      </c>
      <c r="FJ79" s="59">
        <f t="shared" si="469"/>
        <v>0</v>
      </c>
      <c r="FK79" s="55">
        <f t="shared" si="470"/>
        <v>0</v>
      </c>
      <c r="FL79" s="59">
        <f t="shared" si="471"/>
        <v>0</v>
      </c>
      <c r="FM79" s="60">
        <f t="shared" si="472"/>
        <v>0</v>
      </c>
      <c r="FN79" s="59">
        <f t="shared" si="473"/>
        <v>0</v>
      </c>
      <c r="FO79" s="60">
        <f t="shared" si="474"/>
        <v>0</v>
      </c>
      <c r="FP79" s="59">
        <f t="shared" si="475"/>
        <v>0</v>
      </c>
      <c r="FQ79" s="60">
        <f t="shared" si="476"/>
        <v>0</v>
      </c>
      <c r="FR79" s="59">
        <f t="shared" si="477"/>
        <v>0</v>
      </c>
      <c r="FS79" s="55">
        <f t="shared" si="478"/>
        <v>0</v>
      </c>
      <c r="FT79" s="59">
        <f t="shared" si="479"/>
        <v>0</v>
      </c>
      <c r="FU79" s="60">
        <f t="shared" si="480"/>
        <v>0</v>
      </c>
      <c r="FV79" s="59">
        <f t="shared" si="481"/>
        <v>0</v>
      </c>
      <c r="FW79" s="60">
        <f t="shared" si="482"/>
        <v>0</v>
      </c>
      <c r="FX79" s="59">
        <f t="shared" si="483"/>
        <v>0</v>
      </c>
      <c r="FY79" s="60">
        <f t="shared" si="484"/>
        <v>0</v>
      </c>
      <c r="FZ79" s="59">
        <f t="shared" si="485"/>
        <v>0</v>
      </c>
      <c r="GA79" s="60">
        <f t="shared" si="486"/>
        <v>0</v>
      </c>
      <c r="GB79" s="59">
        <f t="shared" si="487"/>
        <v>0</v>
      </c>
      <c r="GC79" s="55">
        <f t="shared" si="488"/>
        <v>0</v>
      </c>
      <c r="GD79" s="59">
        <f t="shared" si="489"/>
        <v>0</v>
      </c>
      <c r="GE79" s="60">
        <f t="shared" si="490"/>
        <v>0</v>
      </c>
      <c r="GF79" s="59">
        <f t="shared" si="491"/>
        <v>0</v>
      </c>
      <c r="GG79" s="60">
        <f t="shared" si="492"/>
        <v>0</v>
      </c>
      <c r="GH79" s="59">
        <f t="shared" si="493"/>
        <v>0</v>
      </c>
      <c r="GI79" s="55">
        <f t="shared" si="494"/>
        <v>0</v>
      </c>
      <c r="GJ79" s="59">
        <f t="shared" si="495"/>
        <v>0</v>
      </c>
      <c r="GK79" s="55"/>
      <c r="GL79" s="55"/>
      <c r="GM79" s="55">
        <v>1</v>
      </c>
      <c r="GN79" s="55">
        <v>0.97</v>
      </c>
      <c r="GO79" s="55">
        <v>0.95</v>
      </c>
      <c r="GP79" s="55">
        <v>0.93</v>
      </c>
      <c r="GQ79" s="55">
        <f t="shared" ref="GQ79:HH93" si="504">+GP79-0.02</f>
        <v>0.91</v>
      </c>
      <c r="GR79" s="55">
        <f t="shared" si="504"/>
        <v>0.89</v>
      </c>
      <c r="GS79" s="55">
        <f t="shared" si="504"/>
        <v>0.87</v>
      </c>
      <c r="GT79" s="55">
        <f t="shared" si="504"/>
        <v>0.85</v>
      </c>
      <c r="GU79" s="55">
        <f t="shared" si="504"/>
        <v>0.83</v>
      </c>
      <c r="GV79" s="55">
        <f t="shared" si="504"/>
        <v>0.80999999999999994</v>
      </c>
      <c r="GW79" s="55">
        <f t="shared" si="504"/>
        <v>0.78999999999999992</v>
      </c>
      <c r="GX79" s="55">
        <f t="shared" si="504"/>
        <v>0.76999999999999991</v>
      </c>
      <c r="GY79" s="55">
        <f t="shared" si="504"/>
        <v>0.74999999999999989</v>
      </c>
      <c r="GZ79" s="55">
        <f t="shared" si="504"/>
        <v>0.72999999999999987</v>
      </c>
      <c r="HA79" s="55">
        <f t="shared" si="504"/>
        <v>0.70999999999999985</v>
      </c>
      <c r="HB79" s="55">
        <f t="shared" si="504"/>
        <v>0.68999999999999984</v>
      </c>
      <c r="HC79" s="55">
        <f t="shared" si="504"/>
        <v>0.66999999999999982</v>
      </c>
      <c r="HD79" s="55">
        <f t="shared" si="504"/>
        <v>0.6499999999999998</v>
      </c>
      <c r="HE79" s="55">
        <f t="shared" si="504"/>
        <v>0.62999999999999978</v>
      </c>
      <c r="HF79" s="55">
        <f t="shared" si="504"/>
        <v>0.60999999999999976</v>
      </c>
      <c r="HG79" s="55">
        <f t="shared" si="504"/>
        <v>0.58999999999999975</v>
      </c>
      <c r="HH79" s="55">
        <f t="shared" si="504"/>
        <v>0.56999999999999973</v>
      </c>
    </row>
    <row r="80" spans="1:216" x14ac:dyDescent="0.3">
      <c r="A80" s="2">
        <v>18</v>
      </c>
      <c r="C80" s="38" t="s">
        <v>142</v>
      </c>
      <c r="D80" s="42">
        <v>0</v>
      </c>
      <c r="E80" s="71">
        <f t="shared" si="365"/>
        <v>0</v>
      </c>
      <c r="H80" s="55">
        <f t="shared" si="61"/>
        <v>0</v>
      </c>
      <c r="I80" s="55">
        <f t="shared" si="62"/>
        <v>0</v>
      </c>
      <c r="J80" s="59">
        <f t="shared" si="63"/>
        <v>0</v>
      </c>
      <c r="K80" s="55">
        <f t="shared" si="366"/>
        <v>0</v>
      </c>
      <c r="L80" s="59">
        <f t="shared" si="367"/>
        <v>0</v>
      </c>
      <c r="M80" s="55">
        <f t="shared" si="368"/>
        <v>0</v>
      </c>
      <c r="N80" s="59">
        <f t="shared" si="369"/>
        <v>0</v>
      </c>
      <c r="O80" s="55">
        <f t="shared" si="370"/>
        <v>0</v>
      </c>
      <c r="P80" s="59">
        <f t="shared" si="371"/>
        <v>0</v>
      </c>
      <c r="Q80" s="57">
        <f t="shared" si="372"/>
        <v>0</v>
      </c>
      <c r="R80" s="59">
        <f t="shared" si="373"/>
        <v>0</v>
      </c>
      <c r="S80" s="55">
        <f t="shared" si="374"/>
        <v>0</v>
      </c>
      <c r="T80" s="59">
        <f t="shared" si="375"/>
        <v>0</v>
      </c>
      <c r="U80" s="57">
        <f t="shared" si="376"/>
        <v>0</v>
      </c>
      <c r="V80" s="59">
        <f t="shared" si="377"/>
        <v>0</v>
      </c>
      <c r="W80" s="60">
        <f t="shared" si="378"/>
        <v>0</v>
      </c>
      <c r="X80" s="59">
        <f t="shared" si="379"/>
        <v>0</v>
      </c>
      <c r="Y80" s="57">
        <f t="shared" si="380"/>
        <v>0</v>
      </c>
      <c r="Z80" s="59">
        <f t="shared" si="381"/>
        <v>0</v>
      </c>
      <c r="AA80" s="55">
        <f t="shared" si="382"/>
        <v>0</v>
      </c>
      <c r="AB80" s="59">
        <f t="shared" si="383"/>
        <v>0</v>
      </c>
      <c r="AC80" s="60">
        <f t="shared" si="384"/>
        <v>0</v>
      </c>
      <c r="AD80" s="59">
        <f t="shared" si="385"/>
        <v>0</v>
      </c>
      <c r="AE80" s="60">
        <f t="shared" si="386"/>
        <v>0</v>
      </c>
      <c r="AF80" s="59">
        <f t="shared" si="387"/>
        <v>0</v>
      </c>
      <c r="AG80" s="60">
        <f t="shared" si="388"/>
        <v>0</v>
      </c>
      <c r="AH80" s="59">
        <f t="shared" si="389"/>
        <v>0</v>
      </c>
      <c r="AI80" s="55">
        <f t="shared" si="390"/>
        <v>0</v>
      </c>
      <c r="AJ80" s="59">
        <f t="shared" si="391"/>
        <v>0</v>
      </c>
      <c r="AK80" s="60">
        <f t="shared" si="392"/>
        <v>0</v>
      </c>
      <c r="AL80" s="59">
        <f t="shared" si="393"/>
        <v>0</v>
      </c>
      <c r="AM80" s="60">
        <f t="shared" si="394"/>
        <v>0</v>
      </c>
      <c r="AN80" s="59">
        <f t="shared" si="395"/>
        <v>0</v>
      </c>
      <c r="AO80" s="60">
        <f t="shared" si="396"/>
        <v>0</v>
      </c>
      <c r="AP80" s="59">
        <f t="shared" si="397"/>
        <v>0</v>
      </c>
      <c r="AQ80" s="60">
        <f t="shared" si="398"/>
        <v>0</v>
      </c>
      <c r="AR80" s="59">
        <f t="shared" si="399"/>
        <v>0</v>
      </c>
      <c r="AS80" s="55">
        <f t="shared" si="400"/>
        <v>0</v>
      </c>
      <c r="AT80" s="59">
        <f t="shared" si="401"/>
        <v>0</v>
      </c>
      <c r="AU80" s="60">
        <f t="shared" si="402"/>
        <v>0</v>
      </c>
      <c r="AV80" s="59">
        <f t="shared" si="403"/>
        <v>0</v>
      </c>
      <c r="AW80" s="60">
        <f t="shared" si="404"/>
        <v>0</v>
      </c>
      <c r="AX80" s="59">
        <f t="shared" si="405"/>
        <v>0</v>
      </c>
      <c r="AY80" s="55">
        <f t="shared" si="406"/>
        <v>0</v>
      </c>
      <c r="AZ80" s="59">
        <f t="shared" si="407"/>
        <v>0</v>
      </c>
      <c r="BC80" s="55">
        <v>1</v>
      </c>
      <c r="BD80" s="55">
        <v>0.97</v>
      </c>
      <c r="BE80" s="55">
        <v>0.95</v>
      </c>
      <c r="BF80" s="55">
        <v>0.93</v>
      </c>
      <c r="BG80" s="55">
        <f t="shared" si="500"/>
        <v>0.91</v>
      </c>
      <c r="BH80" s="55">
        <f t="shared" si="500"/>
        <v>0.89</v>
      </c>
      <c r="BI80" s="55">
        <f t="shared" si="500"/>
        <v>0.87</v>
      </c>
      <c r="BJ80" s="55">
        <f t="shared" si="500"/>
        <v>0.85</v>
      </c>
      <c r="BK80" s="55">
        <f t="shared" si="500"/>
        <v>0.83</v>
      </c>
      <c r="BL80" s="55">
        <f t="shared" si="500"/>
        <v>0.80999999999999994</v>
      </c>
      <c r="BM80" s="55">
        <f t="shared" si="500"/>
        <v>0.78999999999999992</v>
      </c>
      <c r="BN80" s="55">
        <f t="shared" si="500"/>
        <v>0.76999999999999991</v>
      </c>
      <c r="BO80" s="55">
        <f t="shared" si="500"/>
        <v>0.74999999999999989</v>
      </c>
      <c r="BP80" s="55">
        <f t="shared" si="500"/>
        <v>0.72999999999999987</v>
      </c>
      <c r="BQ80" s="55">
        <f t="shared" si="500"/>
        <v>0.70999999999999985</v>
      </c>
      <c r="BR80" s="55">
        <f t="shared" si="500"/>
        <v>0.68999999999999984</v>
      </c>
      <c r="BS80" s="55">
        <f t="shared" si="500"/>
        <v>0.66999999999999982</v>
      </c>
      <c r="BT80" s="55">
        <f t="shared" si="500"/>
        <v>0.6499999999999998</v>
      </c>
      <c r="BU80" s="55">
        <f t="shared" si="500"/>
        <v>0.62999999999999978</v>
      </c>
      <c r="BV80" s="55">
        <f t="shared" si="500"/>
        <v>0.60999999999999976</v>
      </c>
      <c r="BW80" s="55">
        <f t="shared" si="500"/>
        <v>0.58999999999999975</v>
      </c>
      <c r="BX80" s="55">
        <f t="shared" si="500"/>
        <v>0.56999999999999973</v>
      </c>
      <c r="BZ80" s="55">
        <f t="shared" si="88"/>
        <v>0</v>
      </c>
      <c r="CA80" s="55">
        <f t="shared" si="89"/>
        <v>0</v>
      </c>
      <c r="CB80" s="59">
        <f t="shared" si="409"/>
        <v>0</v>
      </c>
      <c r="CC80" s="55">
        <f t="shared" si="410"/>
        <v>0</v>
      </c>
      <c r="CD80" s="59">
        <f t="shared" si="411"/>
        <v>0</v>
      </c>
      <c r="CE80" s="55">
        <f t="shared" si="412"/>
        <v>0</v>
      </c>
      <c r="CF80" s="59">
        <f t="shared" si="413"/>
        <v>0</v>
      </c>
      <c r="CG80" s="55">
        <f t="shared" si="414"/>
        <v>0</v>
      </c>
      <c r="CH80" s="59">
        <f t="shared" si="415"/>
        <v>0</v>
      </c>
      <c r="CI80" s="57">
        <f t="shared" si="416"/>
        <v>0</v>
      </c>
      <c r="CJ80" s="59">
        <f t="shared" si="417"/>
        <v>0</v>
      </c>
      <c r="CK80" s="55">
        <f t="shared" si="418"/>
        <v>0</v>
      </c>
      <c r="CL80" s="59">
        <f t="shared" si="419"/>
        <v>0</v>
      </c>
      <c r="CM80" s="57">
        <f t="shared" si="420"/>
        <v>0</v>
      </c>
      <c r="CN80" s="59">
        <f t="shared" si="421"/>
        <v>0</v>
      </c>
      <c r="CO80" s="60">
        <f t="shared" si="422"/>
        <v>0</v>
      </c>
      <c r="CP80" s="59">
        <f t="shared" si="423"/>
        <v>0</v>
      </c>
      <c r="CQ80" s="57">
        <f t="shared" si="424"/>
        <v>0</v>
      </c>
      <c r="CR80" s="59">
        <f t="shared" si="425"/>
        <v>0</v>
      </c>
      <c r="CS80" s="55">
        <f t="shared" si="426"/>
        <v>0</v>
      </c>
      <c r="CT80" s="59">
        <f t="shared" si="427"/>
        <v>0</v>
      </c>
      <c r="CU80" s="60">
        <f t="shared" si="428"/>
        <v>0</v>
      </c>
      <c r="CV80" s="59">
        <f t="shared" si="429"/>
        <v>0</v>
      </c>
      <c r="CW80" s="60">
        <f t="shared" si="430"/>
        <v>0</v>
      </c>
      <c r="CX80" s="59">
        <f t="shared" si="431"/>
        <v>0</v>
      </c>
      <c r="CY80" s="60">
        <f t="shared" si="432"/>
        <v>0</v>
      </c>
      <c r="CZ80" s="59">
        <f t="shared" si="433"/>
        <v>0</v>
      </c>
      <c r="DA80" s="55">
        <f t="shared" si="434"/>
        <v>0</v>
      </c>
      <c r="DB80" s="59">
        <f t="shared" si="435"/>
        <v>0</v>
      </c>
      <c r="DC80" s="60">
        <f t="shared" si="436"/>
        <v>0</v>
      </c>
      <c r="DD80" s="59">
        <f t="shared" si="437"/>
        <v>0</v>
      </c>
      <c r="DE80" s="60">
        <f t="shared" si="438"/>
        <v>0</v>
      </c>
      <c r="DF80" s="59">
        <f t="shared" si="439"/>
        <v>0</v>
      </c>
      <c r="DG80" s="60">
        <f t="shared" si="440"/>
        <v>0</v>
      </c>
      <c r="DH80" s="59">
        <f t="shared" si="441"/>
        <v>0</v>
      </c>
      <c r="DI80" s="60">
        <f t="shared" si="442"/>
        <v>0</v>
      </c>
      <c r="DJ80" s="59">
        <f t="shared" si="443"/>
        <v>0</v>
      </c>
      <c r="DK80" s="55">
        <f t="shared" si="444"/>
        <v>0</v>
      </c>
      <c r="DL80" s="59">
        <f t="shared" si="445"/>
        <v>0</v>
      </c>
      <c r="DM80" s="60">
        <f t="shared" si="446"/>
        <v>0</v>
      </c>
      <c r="DN80" s="59">
        <f t="shared" si="447"/>
        <v>0</v>
      </c>
      <c r="DO80" s="60">
        <f t="shared" si="448"/>
        <v>0</v>
      </c>
      <c r="DP80" s="59">
        <f t="shared" si="449"/>
        <v>0</v>
      </c>
      <c r="DQ80" s="55">
        <f t="shared" si="450"/>
        <v>0</v>
      </c>
      <c r="DR80" s="59">
        <f t="shared" si="451"/>
        <v>0</v>
      </c>
      <c r="DU80" s="55">
        <v>1</v>
      </c>
      <c r="DV80" s="55">
        <v>0.97</v>
      </c>
      <c r="DW80" s="55">
        <v>0.95</v>
      </c>
      <c r="DX80" s="55">
        <v>0.93</v>
      </c>
      <c r="DY80" s="55">
        <f t="shared" si="503"/>
        <v>0.91</v>
      </c>
      <c r="DZ80" s="55">
        <f t="shared" si="503"/>
        <v>0.89</v>
      </c>
      <c r="EA80" s="55">
        <f t="shared" si="503"/>
        <v>0.87</v>
      </c>
      <c r="EB80" s="55">
        <f t="shared" si="503"/>
        <v>0.85</v>
      </c>
      <c r="EC80" s="55">
        <f t="shared" si="503"/>
        <v>0.83</v>
      </c>
      <c r="ED80" s="55">
        <f t="shared" si="503"/>
        <v>0.80999999999999994</v>
      </c>
      <c r="EE80" s="55">
        <f t="shared" si="503"/>
        <v>0.78999999999999992</v>
      </c>
      <c r="EF80" s="55">
        <f t="shared" si="503"/>
        <v>0.76999999999999991</v>
      </c>
      <c r="EG80" s="55">
        <f t="shared" si="503"/>
        <v>0.74999999999999989</v>
      </c>
      <c r="EH80" s="55">
        <f t="shared" si="503"/>
        <v>0.72999999999999987</v>
      </c>
      <c r="EI80" s="55">
        <f t="shared" si="503"/>
        <v>0.70999999999999985</v>
      </c>
      <c r="EJ80" s="55">
        <f t="shared" si="503"/>
        <v>0.68999999999999984</v>
      </c>
      <c r="EK80" s="55">
        <f t="shared" si="503"/>
        <v>0.66999999999999982</v>
      </c>
      <c r="EL80" s="55">
        <f t="shared" si="503"/>
        <v>0.6499999999999998</v>
      </c>
      <c r="EM80" s="55">
        <f t="shared" si="503"/>
        <v>0.62999999999999978</v>
      </c>
      <c r="EN80" s="55">
        <f t="shared" si="503"/>
        <v>0.60999999999999976</v>
      </c>
      <c r="EO80" s="55">
        <f t="shared" si="503"/>
        <v>0.58999999999999975</v>
      </c>
      <c r="EP80" s="55">
        <f t="shared" si="503"/>
        <v>0.56999999999999973</v>
      </c>
      <c r="ER80" s="55">
        <f t="shared" si="142"/>
        <v>0</v>
      </c>
      <c r="ES80" s="55">
        <f t="shared" si="116"/>
        <v>0</v>
      </c>
      <c r="ET80" s="59">
        <f t="shared" si="453"/>
        <v>0</v>
      </c>
      <c r="EU80" s="55">
        <f t="shared" si="454"/>
        <v>0</v>
      </c>
      <c r="EV80" s="59">
        <f t="shared" si="455"/>
        <v>0</v>
      </c>
      <c r="EW80" s="55">
        <f t="shared" si="456"/>
        <v>0</v>
      </c>
      <c r="EX80" s="59">
        <f t="shared" si="457"/>
        <v>0</v>
      </c>
      <c r="EY80" s="55">
        <f t="shared" si="458"/>
        <v>0</v>
      </c>
      <c r="EZ80" s="59">
        <f t="shared" si="459"/>
        <v>0</v>
      </c>
      <c r="FA80" s="57">
        <f t="shared" si="460"/>
        <v>0</v>
      </c>
      <c r="FB80" s="59">
        <f t="shared" si="461"/>
        <v>0</v>
      </c>
      <c r="FC80" s="55">
        <f t="shared" si="462"/>
        <v>0</v>
      </c>
      <c r="FD80" s="59">
        <f t="shared" si="463"/>
        <v>0</v>
      </c>
      <c r="FE80" s="57">
        <f t="shared" si="464"/>
        <v>0</v>
      </c>
      <c r="FF80" s="59">
        <f t="shared" si="465"/>
        <v>0</v>
      </c>
      <c r="FG80" s="60">
        <f t="shared" si="466"/>
        <v>0</v>
      </c>
      <c r="FH80" s="59">
        <f t="shared" si="467"/>
        <v>0</v>
      </c>
      <c r="FI80" s="57">
        <f t="shared" si="468"/>
        <v>0</v>
      </c>
      <c r="FJ80" s="59">
        <f t="shared" si="469"/>
        <v>0</v>
      </c>
      <c r="FK80" s="55">
        <f t="shared" si="470"/>
        <v>0</v>
      </c>
      <c r="FL80" s="59">
        <f t="shared" si="471"/>
        <v>0</v>
      </c>
      <c r="FM80" s="60">
        <f t="shared" si="472"/>
        <v>0</v>
      </c>
      <c r="FN80" s="59">
        <f t="shared" si="473"/>
        <v>0</v>
      </c>
      <c r="FO80" s="60">
        <f t="shared" si="474"/>
        <v>0</v>
      </c>
      <c r="FP80" s="59">
        <f t="shared" si="475"/>
        <v>0</v>
      </c>
      <c r="FQ80" s="60">
        <f t="shared" si="476"/>
        <v>0</v>
      </c>
      <c r="FR80" s="59">
        <f t="shared" si="477"/>
        <v>0</v>
      </c>
      <c r="FS80" s="55">
        <f t="shared" si="478"/>
        <v>0</v>
      </c>
      <c r="FT80" s="59">
        <f t="shared" si="479"/>
        <v>0</v>
      </c>
      <c r="FU80" s="60">
        <f t="shared" si="480"/>
        <v>0</v>
      </c>
      <c r="FV80" s="59">
        <f t="shared" si="481"/>
        <v>0</v>
      </c>
      <c r="FW80" s="60">
        <f t="shared" si="482"/>
        <v>0</v>
      </c>
      <c r="FX80" s="59">
        <f t="shared" si="483"/>
        <v>0</v>
      </c>
      <c r="FY80" s="60">
        <f t="shared" si="484"/>
        <v>0</v>
      </c>
      <c r="FZ80" s="59">
        <f t="shared" si="485"/>
        <v>0</v>
      </c>
      <c r="GA80" s="60">
        <f t="shared" si="486"/>
        <v>0</v>
      </c>
      <c r="GB80" s="59">
        <f t="shared" si="487"/>
        <v>0</v>
      </c>
      <c r="GC80" s="55">
        <f t="shared" si="488"/>
        <v>0</v>
      </c>
      <c r="GD80" s="59">
        <f t="shared" si="489"/>
        <v>0</v>
      </c>
      <c r="GE80" s="60">
        <f t="shared" si="490"/>
        <v>0</v>
      </c>
      <c r="GF80" s="59">
        <f t="shared" si="491"/>
        <v>0</v>
      </c>
      <c r="GG80" s="60">
        <f t="shared" si="492"/>
        <v>0</v>
      </c>
      <c r="GH80" s="59">
        <f t="shared" si="493"/>
        <v>0</v>
      </c>
      <c r="GI80" s="55">
        <f t="shared" si="494"/>
        <v>0</v>
      </c>
      <c r="GJ80" s="59">
        <f t="shared" si="495"/>
        <v>0</v>
      </c>
      <c r="GK80" s="55"/>
      <c r="GL80" s="55"/>
      <c r="GM80" s="55">
        <v>1</v>
      </c>
      <c r="GN80" s="55">
        <v>0.97</v>
      </c>
      <c r="GO80" s="55">
        <v>0.95</v>
      </c>
      <c r="GP80" s="55">
        <v>0.93</v>
      </c>
      <c r="GQ80" s="55">
        <f t="shared" si="504"/>
        <v>0.91</v>
      </c>
      <c r="GR80" s="55">
        <f t="shared" si="504"/>
        <v>0.89</v>
      </c>
      <c r="GS80" s="55">
        <f t="shared" si="504"/>
        <v>0.87</v>
      </c>
      <c r="GT80" s="55">
        <f t="shared" si="504"/>
        <v>0.85</v>
      </c>
      <c r="GU80" s="55">
        <f t="shared" si="504"/>
        <v>0.83</v>
      </c>
      <c r="GV80" s="55">
        <f t="shared" si="504"/>
        <v>0.80999999999999994</v>
      </c>
      <c r="GW80" s="55">
        <f t="shared" si="504"/>
        <v>0.78999999999999992</v>
      </c>
      <c r="GX80" s="55">
        <f t="shared" si="504"/>
        <v>0.76999999999999991</v>
      </c>
      <c r="GY80" s="55">
        <f t="shared" si="504"/>
        <v>0.74999999999999989</v>
      </c>
      <c r="GZ80" s="55">
        <f t="shared" si="504"/>
        <v>0.72999999999999987</v>
      </c>
      <c r="HA80" s="55">
        <f t="shared" si="504"/>
        <v>0.70999999999999985</v>
      </c>
      <c r="HB80" s="55">
        <f t="shared" si="504"/>
        <v>0.68999999999999984</v>
      </c>
      <c r="HC80" s="55">
        <f t="shared" si="504"/>
        <v>0.66999999999999982</v>
      </c>
      <c r="HD80" s="55">
        <f t="shared" si="504"/>
        <v>0.6499999999999998</v>
      </c>
      <c r="HE80" s="55">
        <f t="shared" si="504"/>
        <v>0.62999999999999978</v>
      </c>
      <c r="HF80" s="55">
        <f t="shared" si="504"/>
        <v>0.60999999999999976</v>
      </c>
      <c r="HG80" s="55">
        <f t="shared" si="504"/>
        <v>0.58999999999999975</v>
      </c>
      <c r="HH80" s="55">
        <f t="shared" si="504"/>
        <v>0.56999999999999973</v>
      </c>
    </row>
    <row r="81" spans="1:216" x14ac:dyDescent="0.3">
      <c r="A81" s="2">
        <v>19</v>
      </c>
      <c r="C81" s="38" t="s">
        <v>140</v>
      </c>
      <c r="D81" s="42">
        <v>0</v>
      </c>
      <c r="E81" s="71">
        <f t="shared" si="365"/>
        <v>0</v>
      </c>
      <c r="H81" s="55">
        <f t="shared" si="61"/>
        <v>0</v>
      </c>
      <c r="I81" s="55">
        <f t="shared" si="62"/>
        <v>0</v>
      </c>
      <c r="J81" s="59">
        <f t="shared" si="63"/>
        <v>0</v>
      </c>
      <c r="K81" s="55">
        <f t="shared" si="366"/>
        <v>0</v>
      </c>
      <c r="L81" s="59">
        <f t="shared" si="367"/>
        <v>0</v>
      </c>
      <c r="M81" s="55">
        <f t="shared" si="368"/>
        <v>0</v>
      </c>
      <c r="N81" s="59">
        <f t="shared" si="369"/>
        <v>0</v>
      </c>
      <c r="O81" s="55">
        <f t="shared" si="370"/>
        <v>0</v>
      </c>
      <c r="P81" s="59">
        <f t="shared" si="371"/>
        <v>0</v>
      </c>
      <c r="Q81" s="57">
        <f t="shared" si="372"/>
        <v>0</v>
      </c>
      <c r="R81" s="59">
        <f t="shared" si="373"/>
        <v>0</v>
      </c>
      <c r="S81" s="55">
        <f t="shared" si="374"/>
        <v>0</v>
      </c>
      <c r="T81" s="59">
        <f t="shared" si="375"/>
        <v>0</v>
      </c>
      <c r="U81" s="57">
        <f t="shared" si="376"/>
        <v>0</v>
      </c>
      <c r="V81" s="59">
        <f t="shared" si="377"/>
        <v>0</v>
      </c>
      <c r="W81" s="60">
        <f t="shared" si="378"/>
        <v>0</v>
      </c>
      <c r="X81" s="59">
        <f t="shared" si="379"/>
        <v>0</v>
      </c>
      <c r="Y81" s="57">
        <f t="shared" si="380"/>
        <v>0</v>
      </c>
      <c r="Z81" s="59">
        <f t="shared" si="381"/>
        <v>0</v>
      </c>
      <c r="AA81" s="55">
        <f t="shared" si="382"/>
        <v>0</v>
      </c>
      <c r="AB81" s="59">
        <f t="shared" si="383"/>
        <v>0</v>
      </c>
      <c r="AC81" s="60">
        <f t="shared" si="384"/>
        <v>0</v>
      </c>
      <c r="AD81" s="59">
        <f t="shared" si="385"/>
        <v>0</v>
      </c>
      <c r="AE81" s="60">
        <f t="shared" si="386"/>
        <v>0</v>
      </c>
      <c r="AF81" s="59">
        <f t="shared" si="387"/>
        <v>0</v>
      </c>
      <c r="AG81" s="60">
        <f t="shared" si="388"/>
        <v>0</v>
      </c>
      <c r="AH81" s="59">
        <f t="shared" si="389"/>
        <v>0</v>
      </c>
      <c r="AI81" s="55">
        <f t="shared" si="390"/>
        <v>0</v>
      </c>
      <c r="AJ81" s="59">
        <f t="shared" si="391"/>
        <v>0</v>
      </c>
      <c r="AK81" s="60">
        <f t="shared" si="392"/>
        <v>0</v>
      </c>
      <c r="AL81" s="59">
        <f t="shared" si="393"/>
        <v>0</v>
      </c>
      <c r="AM81" s="60">
        <f t="shared" si="394"/>
        <v>0</v>
      </c>
      <c r="AN81" s="59">
        <f t="shared" si="395"/>
        <v>0</v>
      </c>
      <c r="AO81" s="60">
        <f t="shared" si="396"/>
        <v>0</v>
      </c>
      <c r="AP81" s="59">
        <f t="shared" si="397"/>
        <v>0</v>
      </c>
      <c r="AQ81" s="60">
        <f t="shared" si="398"/>
        <v>0</v>
      </c>
      <c r="AR81" s="59">
        <f t="shared" si="399"/>
        <v>0</v>
      </c>
      <c r="AS81" s="55">
        <f t="shared" si="400"/>
        <v>0</v>
      </c>
      <c r="AT81" s="59">
        <f t="shared" si="401"/>
        <v>0</v>
      </c>
      <c r="AU81" s="60">
        <f t="shared" si="402"/>
        <v>0</v>
      </c>
      <c r="AV81" s="59">
        <f t="shared" si="403"/>
        <v>0</v>
      </c>
      <c r="AW81" s="60">
        <f t="shared" si="404"/>
        <v>0</v>
      </c>
      <c r="AX81" s="59">
        <f t="shared" si="405"/>
        <v>0</v>
      </c>
      <c r="AY81" s="55">
        <f t="shared" si="406"/>
        <v>0</v>
      </c>
      <c r="AZ81" s="59">
        <f t="shared" si="407"/>
        <v>0</v>
      </c>
      <c r="BC81" s="55">
        <v>1</v>
      </c>
      <c r="BD81" s="55">
        <v>0.97</v>
      </c>
      <c r="BE81" s="55">
        <v>0.95</v>
      </c>
      <c r="BF81" s="55">
        <v>0.93</v>
      </c>
      <c r="BG81" s="55">
        <f t="shared" si="500"/>
        <v>0.91</v>
      </c>
      <c r="BH81" s="55">
        <f t="shared" si="500"/>
        <v>0.89</v>
      </c>
      <c r="BI81" s="55">
        <f t="shared" si="500"/>
        <v>0.87</v>
      </c>
      <c r="BJ81" s="55">
        <f t="shared" si="500"/>
        <v>0.85</v>
      </c>
      <c r="BK81" s="55">
        <f t="shared" si="500"/>
        <v>0.83</v>
      </c>
      <c r="BL81" s="55">
        <f t="shared" si="500"/>
        <v>0.80999999999999994</v>
      </c>
      <c r="BM81" s="55">
        <f t="shared" si="500"/>
        <v>0.78999999999999992</v>
      </c>
      <c r="BN81" s="55">
        <f t="shared" si="500"/>
        <v>0.76999999999999991</v>
      </c>
      <c r="BO81" s="55">
        <f t="shared" si="500"/>
        <v>0.74999999999999989</v>
      </c>
      <c r="BP81" s="55">
        <f t="shared" si="500"/>
        <v>0.72999999999999987</v>
      </c>
      <c r="BQ81" s="55">
        <f t="shared" si="500"/>
        <v>0.70999999999999985</v>
      </c>
      <c r="BR81" s="55">
        <f t="shared" si="500"/>
        <v>0.68999999999999984</v>
      </c>
      <c r="BS81" s="55">
        <f t="shared" si="500"/>
        <v>0.66999999999999982</v>
      </c>
      <c r="BT81" s="55">
        <f t="shared" si="500"/>
        <v>0.6499999999999998</v>
      </c>
      <c r="BU81" s="55">
        <f t="shared" si="500"/>
        <v>0.62999999999999978</v>
      </c>
      <c r="BV81" s="55">
        <f t="shared" si="500"/>
        <v>0.60999999999999976</v>
      </c>
      <c r="BW81" s="55">
        <f t="shared" si="500"/>
        <v>0.58999999999999975</v>
      </c>
      <c r="BX81" s="55">
        <f t="shared" si="500"/>
        <v>0.56999999999999973</v>
      </c>
      <c r="BZ81" s="55">
        <f t="shared" si="88"/>
        <v>0</v>
      </c>
      <c r="CA81" s="55">
        <f t="shared" si="89"/>
        <v>0</v>
      </c>
      <c r="CB81" s="59">
        <f t="shared" si="409"/>
        <v>0</v>
      </c>
      <c r="CC81" s="55">
        <f t="shared" si="410"/>
        <v>0</v>
      </c>
      <c r="CD81" s="59">
        <f t="shared" si="411"/>
        <v>0</v>
      </c>
      <c r="CE81" s="55">
        <f t="shared" si="412"/>
        <v>0</v>
      </c>
      <c r="CF81" s="59">
        <f t="shared" si="413"/>
        <v>0</v>
      </c>
      <c r="CG81" s="55">
        <f t="shared" si="414"/>
        <v>0</v>
      </c>
      <c r="CH81" s="59">
        <f t="shared" si="415"/>
        <v>0</v>
      </c>
      <c r="CI81" s="57">
        <f t="shared" si="416"/>
        <v>0</v>
      </c>
      <c r="CJ81" s="59">
        <f t="shared" si="417"/>
        <v>0</v>
      </c>
      <c r="CK81" s="55">
        <f t="shared" si="418"/>
        <v>0</v>
      </c>
      <c r="CL81" s="59">
        <f t="shared" si="419"/>
        <v>0</v>
      </c>
      <c r="CM81" s="57">
        <f t="shared" si="420"/>
        <v>0</v>
      </c>
      <c r="CN81" s="59">
        <f t="shared" si="421"/>
        <v>0</v>
      </c>
      <c r="CO81" s="60">
        <f t="shared" si="422"/>
        <v>0</v>
      </c>
      <c r="CP81" s="59">
        <f t="shared" si="423"/>
        <v>0</v>
      </c>
      <c r="CQ81" s="57">
        <f t="shared" si="424"/>
        <v>0</v>
      </c>
      <c r="CR81" s="59">
        <f t="shared" si="425"/>
        <v>0</v>
      </c>
      <c r="CS81" s="55">
        <f t="shared" si="426"/>
        <v>0</v>
      </c>
      <c r="CT81" s="59">
        <f t="shared" si="427"/>
        <v>0</v>
      </c>
      <c r="CU81" s="60">
        <f t="shared" si="428"/>
        <v>0</v>
      </c>
      <c r="CV81" s="59">
        <f t="shared" si="429"/>
        <v>0</v>
      </c>
      <c r="CW81" s="60">
        <f t="shared" si="430"/>
        <v>0</v>
      </c>
      <c r="CX81" s="59">
        <f t="shared" si="431"/>
        <v>0</v>
      </c>
      <c r="CY81" s="60">
        <f t="shared" si="432"/>
        <v>0</v>
      </c>
      <c r="CZ81" s="59">
        <f t="shared" si="433"/>
        <v>0</v>
      </c>
      <c r="DA81" s="55">
        <f t="shared" si="434"/>
        <v>0</v>
      </c>
      <c r="DB81" s="59">
        <f t="shared" si="435"/>
        <v>0</v>
      </c>
      <c r="DC81" s="60">
        <f t="shared" si="436"/>
        <v>0</v>
      </c>
      <c r="DD81" s="59">
        <f t="shared" si="437"/>
        <v>0</v>
      </c>
      <c r="DE81" s="60">
        <f t="shared" si="438"/>
        <v>0</v>
      </c>
      <c r="DF81" s="59">
        <f t="shared" si="439"/>
        <v>0</v>
      </c>
      <c r="DG81" s="60">
        <f t="shared" si="440"/>
        <v>0</v>
      </c>
      <c r="DH81" s="59">
        <f t="shared" si="441"/>
        <v>0</v>
      </c>
      <c r="DI81" s="60">
        <f t="shared" si="442"/>
        <v>0</v>
      </c>
      <c r="DJ81" s="59">
        <f t="shared" si="443"/>
        <v>0</v>
      </c>
      <c r="DK81" s="55">
        <f t="shared" si="444"/>
        <v>0</v>
      </c>
      <c r="DL81" s="59">
        <f t="shared" si="445"/>
        <v>0</v>
      </c>
      <c r="DM81" s="60">
        <f t="shared" si="446"/>
        <v>0</v>
      </c>
      <c r="DN81" s="59">
        <f t="shared" si="447"/>
        <v>0</v>
      </c>
      <c r="DO81" s="60">
        <f t="shared" si="448"/>
        <v>0</v>
      </c>
      <c r="DP81" s="59">
        <f t="shared" si="449"/>
        <v>0</v>
      </c>
      <c r="DQ81" s="55">
        <f t="shared" si="450"/>
        <v>0</v>
      </c>
      <c r="DR81" s="59">
        <f t="shared" si="451"/>
        <v>0</v>
      </c>
      <c r="DU81" s="55">
        <v>1</v>
      </c>
      <c r="DV81" s="55">
        <v>0.97</v>
      </c>
      <c r="DW81" s="55">
        <v>0.95</v>
      </c>
      <c r="DX81" s="55">
        <v>0.93</v>
      </c>
      <c r="DY81" s="55">
        <f t="shared" si="503"/>
        <v>0.91</v>
      </c>
      <c r="DZ81" s="55">
        <f t="shared" si="503"/>
        <v>0.89</v>
      </c>
      <c r="EA81" s="55">
        <f t="shared" si="503"/>
        <v>0.87</v>
      </c>
      <c r="EB81" s="55">
        <f t="shared" si="503"/>
        <v>0.85</v>
      </c>
      <c r="EC81" s="55">
        <f t="shared" si="503"/>
        <v>0.83</v>
      </c>
      <c r="ED81" s="55">
        <f t="shared" si="503"/>
        <v>0.80999999999999994</v>
      </c>
      <c r="EE81" s="55">
        <f t="shared" si="503"/>
        <v>0.78999999999999992</v>
      </c>
      <c r="EF81" s="55">
        <f t="shared" si="503"/>
        <v>0.76999999999999991</v>
      </c>
      <c r="EG81" s="55">
        <f t="shared" si="503"/>
        <v>0.74999999999999989</v>
      </c>
      <c r="EH81" s="55">
        <f t="shared" si="503"/>
        <v>0.72999999999999987</v>
      </c>
      <c r="EI81" s="55">
        <f t="shared" si="503"/>
        <v>0.70999999999999985</v>
      </c>
      <c r="EJ81" s="55">
        <f t="shared" si="503"/>
        <v>0.68999999999999984</v>
      </c>
      <c r="EK81" s="55">
        <f t="shared" si="503"/>
        <v>0.66999999999999982</v>
      </c>
      <c r="EL81" s="55">
        <f t="shared" si="503"/>
        <v>0.6499999999999998</v>
      </c>
      <c r="EM81" s="55">
        <f t="shared" si="503"/>
        <v>0.62999999999999978</v>
      </c>
      <c r="EN81" s="55">
        <f t="shared" si="503"/>
        <v>0.60999999999999976</v>
      </c>
      <c r="EO81" s="55">
        <f t="shared" si="503"/>
        <v>0.58999999999999975</v>
      </c>
      <c r="EP81" s="55">
        <f t="shared" si="503"/>
        <v>0.56999999999999973</v>
      </c>
      <c r="ER81" s="55">
        <f t="shared" si="142"/>
        <v>0</v>
      </c>
      <c r="ES81" s="55">
        <f t="shared" si="116"/>
        <v>0</v>
      </c>
      <c r="ET81" s="59">
        <f t="shared" si="453"/>
        <v>0</v>
      </c>
      <c r="EU81" s="55">
        <f t="shared" si="454"/>
        <v>0</v>
      </c>
      <c r="EV81" s="59">
        <f t="shared" si="455"/>
        <v>0</v>
      </c>
      <c r="EW81" s="55">
        <f t="shared" si="456"/>
        <v>0</v>
      </c>
      <c r="EX81" s="59">
        <f t="shared" si="457"/>
        <v>0</v>
      </c>
      <c r="EY81" s="55">
        <f t="shared" si="458"/>
        <v>0</v>
      </c>
      <c r="EZ81" s="59">
        <f t="shared" si="459"/>
        <v>0</v>
      </c>
      <c r="FA81" s="57">
        <f t="shared" si="460"/>
        <v>0</v>
      </c>
      <c r="FB81" s="59">
        <f t="shared" si="461"/>
        <v>0</v>
      </c>
      <c r="FC81" s="55">
        <f t="shared" si="462"/>
        <v>0</v>
      </c>
      <c r="FD81" s="59">
        <f t="shared" si="463"/>
        <v>0</v>
      </c>
      <c r="FE81" s="57">
        <f t="shared" si="464"/>
        <v>0</v>
      </c>
      <c r="FF81" s="59">
        <f t="shared" si="465"/>
        <v>0</v>
      </c>
      <c r="FG81" s="60">
        <f t="shared" si="466"/>
        <v>0</v>
      </c>
      <c r="FH81" s="59">
        <f t="shared" si="467"/>
        <v>0</v>
      </c>
      <c r="FI81" s="57">
        <f t="shared" si="468"/>
        <v>0</v>
      </c>
      <c r="FJ81" s="59">
        <f t="shared" si="469"/>
        <v>0</v>
      </c>
      <c r="FK81" s="55">
        <f t="shared" si="470"/>
        <v>0</v>
      </c>
      <c r="FL81" s="59">
        <f t="shared" si="471"/>
        <v>0</v>
      </c>
      <c r="FM81" s="60">
        <f t="shared" si="472"/>
        <v>0</v>
      </c>
      <c r="FN81" s="59">
        <f t="shared" si="473"/>
        <v>0</v>
      </c>
      <c r="FO81" s="60">
        <f t="shared" si="474"/>
        <v>0</v>
      </c>
      <c r="FP81" s="59">
        <f t="shared" si="475"/>
        <v>0</v>
      </c>
      <c r="FQ81" s="60">
        <f t="shared" si="476"/>
        <v>0</v>
      </c>
      <c r="FR81" s="59">
        <f t="shared" si="477"/>
        <v>0</v>
      </c>
      <c r="FS81" s="55">
        <f t="shared" si="478"/>
        <v>0</v>
      </c>
      <c r="FT81" s="59">
        <f t="shared" si="479"/>
        <v>0</v>
      </c>
      <c r="FU81" s="60">
        <f t="shared" si="480"/>
        <v>0</v>
      </c>
      <c r="FV81" s="59">
        <f t="shared" si="481"/>
        <v>0</v>
      </c>
      <c r="FW81" s="60">
        <f t="shared" si="482"/>
        <v>0</v>
      </c>
      <c r="FX81" s="59">
        <f t="shared" si="483"/>
        <v>0</v>
      </c>
      <c r="FY81" s="60">
        <f t="shared" si="484"/>
        <v>0</v>
      </c>
      <c r="FZ81" s="59">
        <f t="shared" si="485"/>
        <v>0</v>
      </c>
      <c r="GA81" s="60">
        <f t="shared" si="486"/>
        <v>0</v>
      </c>
      <c r="GB81" s="59">
        <f t="shared" si="487"/>
        <v>0</v>
      </c>
      <c r="GC81" s="55">
        <f t="shared" si="488"/>
        <v>0</v>
      </c>
      <c r="GD81" s="59">
        <f t="shared" si="489"/>
        <v>0</v>
      </c>
      <c r="GE81" s="60">
        <f t="shared" si="490"/>
        <v>0</v>
      </c>
      <c r="GF81" s="59">
        <f t="shared" si="491"/>
        <v>0</v>
      </c>
      <c r="GG81" s="60">
        <f t="shared" si="492"/>
        <v>0</v>
      </c>
      <c r="GH81" s="59">
        <f t="shared" si="493"/>
        <v>0</v>
      </c>
      <c r="GI81" s="55">
        <f t="shared" si="494"/>
        <v>0</v>
      </c>
      <c r="GJ81" s="59">
        <f t="shared" si="495"/>
        <v>0</v>
      </c>
      <c r="GK81" s="55"/>
      <c r="GL81" s="55"/>
      <c r="GM81" s="55">
        <v>1</v>
      </c>
      <c r="GN81" s="55">
        <v>0.97</v>
      </c>
      <c r="GO81" s="55">
        <v>0.95</v>
      </c>
      <c r="GP81" s="55">
        <v>0.93</v>
      </c>
      <c r="GQ81" s="55">
        <f t="shared" si="504"/>
        <v>0.91</v>
      </c>
      <c r="GR81" s="55">
        <f t="shared" si="504"/>
        <v>0.89</v>
      </c>
      <c r="GS81" s="55">
        <f t="shared" si="504"/>
        <v>0.87</v>
      </c>
      <c r="GT81" s="55">
        <f t="shared" si="504"/>
        <v>0.85</v>
      </c>
      <c r="GU81" s="55">
        <f t="shared" si="504"/>
        <v>0.83</v>
      </c>
      <c r="GV81" s="55">
        <f t="shared" si="504"/>
        <v>0.80999999999999994</v>
      </c>
      <c r="GW81" s="55">
        <f t="shared" si="504"/>
        <v>0.78999999999999992</v>
      </c>
      <c r="GX81" s="55">
        <f t="shared" si="504"/>
        <v>0.76999999999999991</v>
      </c>
      <c r="GY81" s="55">
        <f t="shared" si="504"/>
        <v>0.74999999999999989</v>
      </c>
      <c r="GZ81" s="55">
        <f t="shared" si="504"/>
        <v>0.72999999999999987</v>
      </c>
      <c r="HA81" s="55">
        <f t="shared" si="504"/>
        <v>0.70999999999999985</v>
      </c>
      <c r="HB81" s="55">
        <f t="shared" si="504"/>
        <v>0.68999999999999984</v>
      </c>
      <c r="HC81" s="55">
        <f t="shared" si="504"/>
        <v>0.66999999999999982</v>
      </c>
      <c r="HD81" s="55">
        <f t="shared" si="504"/>
        <v>0.6499999999999998</v>
      </c>
      <c r="HE81" s="55">
        <f t="shared" si="504"/>
        <v>0.62999999999999978</v>
      </c>
      <c r="HF81" s="55">
        <f t="shared" si="504"/>
        <v>0.60999999999999976</v>
      </c>
      <c r="HG81" s="55">
        <f t="shared" si="504"/>
        <v>0.58999999999999975</v>
      </c>
      <c r="HH81" s="55">
        <f t="shared" si="504"/>
        <v>0.56999999999999973</v>
      </c>
    </row>
    <row r="82" spans="1:216" x14ac:dyDescent="0.3">
      <c r="A82" s="2">
        <v>20</v>
      </c>
      <c r="C82" s="38" t="s">
        <v>143</v>
      </c>
      <c r="D82" s="42">
        <v>0</v>
      </c>
      <c r="E82" s="71">
        <f t="shared" si="365"/>
        <v>0</v>
      </c>
      <c r="H82" s="55">
        <f t="shared" si="61"/>
        <v>0</v>
      </c>
      <c r="I82" s="55">
        <f t="shared" si="62"/>
        <v>0</v>
      </c>
      <c r="J82" s="59">
        <f t="shared" si="63"/>
        <v>0</v>
      </c>
      <c r="K82" s="55">
        <f t="shared" si="366"/>
        <v>0</v>
      </c>
      <c r="L82" s="59">
        <f t="shared" si="367"/>
        <v>0</v>
      </c>
      <c r="M82" s="55">
        <f t="shared" si="368"/>
        <v>0</v>
      </c>
      <c r="N82" s="59">
        <f t="shared" si="369"/>
        <v>0</v>
      </c>
      <c r="O82" s="55">
        <f t="shared" si="370"/>
        <v>0</v>
      </c>
      <c r="P82" s="59">
        <f t="shared" si="371"/>
        <v>0</v>
      </c>
      <c r="Q82" s="57">
        <f t="shared" si="372"/>
        <v>0</v>
      </c>
      <c r="R82" s="59">
        <f t="shared" si="373"/>
        <v>0</v>
      </c>
      <c r="S82" s="55">
        <f t="shared" si="374"/>
        <v>0</v>
      </c>
      <c r="T82" s="59">
        <f t="shared" si="375"/>
        <v>0</v>
      </c>
      <c r="U82" s="57">
        <f t="shared" si="376"/>
        <v>0</v>
      </c>
      <c r="V82" s="59">
        <f t="shared" si="377"/>
        <v>0</v>
      </c>
      <c r="W82" s="60">
        <f t="shared" si="378"/>
        <v>0</v>
      </c>
      <c r="X82" s="59">
        <f t="shared" si="379"/>
        <v>0</v>
      </c>
      <c r="Y82" s="57">
        <f t="shared" si="380"/>
        <v>0</v>
      </c>
      <c r="Z82" s="59">
        <f t="shared" si="381"/>
        <v>0</v>
      </c>
      <c r="AA82" s="55">
        <f t="shared" si="382"/>
        <v>0</v>
      </c>
      <c r="AB82" s="59">
        <f t="shared" si="383"/>
        <v>0</v>
      </c>
      <c r="AC82" s="60">
        <f t="shared" si="384"/>
        <v>0</v>
      </c>
      <c r="AD82" s="59">
        <f t="shared" si="385"/>
        <v>0</v>
      </c>
      <c r="AE82" s="60">
        <f t="shared" si="386"/>
        <v>0</v>
      </c>
      <c r="AF82" s="59">
        <f t="shared" si="387"/>
        <v>0</v>
      </c>
      <c r="AG82" s="60">
        <f t="shared" si="388"/>
        <v>0</v>
      </c>
      <c r="AH82" s="59">
        <f t="shared" si="389"/>
        <v>0</v>
      </c>
      <c r="AI82" s="55">
        <f t="shared" si="390"/>
        <v>0</v>
      </c>
      <c r="AJ82" s="59">
        <f t="shared" si="391"/>
        <v>0</v>
      </c>
      <c r="AK82" s="60">
        <f t="shared" si="392"/>
        <v>0</v>
      </c>
      <c r="AL82" s="59">
        <f t="shared" si="393"/>
        <v>0</v>
      </c>
      <c r="AM82" s="60">
        <f t="shared" si="394"/>
        <v>0</v>
      </c>
      <c r="AN82" s="59">
        <f t="shared" si="395"/>
        <v>0</v>
      </c>
      <c r="AO82" s="60">
        <f t="shared" si="396"/>
        <v>0</v>
      </c>
      <c r="AP82" s="59">
        <f t="shared" si="397"/>
        <v>0</v>
      </c>
      <c r="AQ82" s="60">
        <f t="shared" si="398"/>
        <v>0</v>
      </c>
      <c r="AR82" s="59">
        <f t="shared" si="399"/>
        <v>0</v>
      </c>
      <c r="AS82" s="55">
        <f t="shared" si="400"/>
        <v>0</v>
      </c>
      <c r="AT82" s="59">
        <f t="shared" si="401"/>
        <v>0</v>
      </c>
      <c r="AU82" s="60">
        <f t="shared" si="402"/>
        <v>0</v>
      </c>
      <c r="AV82" s="59">
        <f t="shared" si="403"/>
        <v>0</v>
      </c>
      <c r="AW82" s="60">
        <f t="shared" si="404"/>
        <v>0</v>
      </c>
      <c r="AX82" s="59">
        <f t="shared" si="405"/>
        <v>0</v>
      </c>
      <c r="AY82" s="55">
        <f t="shared" si="406"/>
        <v>0</v>
      </c>
      <c r="AZ82" s="59">
        <f t="shared" si="407"/>
        <v>0</v>
      </c>
      <c r="BC82" s="55">
        <v>1</v>
      </c>
      <c r="BD82" s="55">
        <v>0.97</v>
      </c>
      <c r="BE82" s="55">
        <v>0.95</v>
      </c>
      <c r="BF82" s="55">
        <v>0.93</v>
      </c>
      <c r="BG82" s="55">
        <f t="shared" si="500"/>
        <v>0.91</v>
      </c>
      <c r="BH82" s="55">
        <f t="shared" si="500"/>
        <v>0.89</v>
      </c>
      <c r="BI82" s="55">
        <f t="shared" si="500"/>
        <v>0.87</v>
      </c>
      <c r="BJ82" s="55">
        <f t="shared" si="500"/>
        <v>0.85</v>
      </c>
      <c r="BK82" s="55">
        <f t="shared" si="500"/>
        <v>0.83</v>
      </c>
      <c r="BL82" s="55">
        <f t="shared" si="500"/>
        <v>0.80999999999999994</v>
      </c>
      <c r="BM82" s="55">
        <f t="shared" si="500"/>
        <v>0.78999999999999992</v>
      </c>
      <c r="BN82" s="55">
        <f t="shared" si="500"/>
        <v>0.76999999999999991</v>
      </c>
      <c r="BO82" s="55">
        <f t="shared" si="500"/>
        <v>0.74999999999999989</v>
      </c>
      <c r="BP82" s="55">
        <f t="shared" si="500"/>
        <v>0.72999999999999987</v>
      </c>
      <c r="BQ82" s="55">
        <f t="shared" si="500"/>
        <v>0.70999999999999985</v>
      </c>
      <c r="BR82" s="55">
        <f t="shared" si="500"/>
        <v>0.68999999999999984</v>
      </c>
      <c r="BS82" s="55">
        <f t="shared" si="500"/>
        <v>0.66999999999999982</v>
      </c>
      <c r="BT82" s="55">
        <f t="shared" si="500"/>
        <v>0.6499999999999998</v>
      </c>
      <c r="BU82" s="55">
        <f t="shared" si="500"/>
        <v>0.62999999999999978</v>
      </c>
      <c r="BV82" s="55">
        <f t="shared" si="500"/>
        <v>0.60999999999999976</v>
      </c>
      <c r="BW82" s="55">
        <f t="shared" si="500"/>
        <v>0.58999999999999975</v>
      </c>
      <c r="BX82" s="55">
        <f t="shared" si="500"/>
        <v>0.56999999999999973</v>
      </c>
      <c r="BZ82" s="55">
        <f t="shared" si="88"/>
        <v>0</v>
      </c>
      <c r="CA82" s="55">
        <f t="shared" si="89"/>
        <v>0</v>
      </c>
      <c r="CB82" s="59">
        <f t="shared" si="409"/>
        <v>0</v>
      </c>
      <c r="CC82" s="55">
        <f t="shared" si="410"/>
        <v>0</v>
      </c>
      <c r="CD82" s="59">
        <f t="shared" si="411"/>
        <v>0</v>
      </c>
      <c r="CE82" s="55">
        <f t="shared" si="412"/>
        <v>0</v>
      </c>
      <c r="CF82" s="59">
        <f t="shared" si="413"/>
        <v>0</v>
      </c>
      <c r="CG82" s="55">
        <f t="shared" si="414"/>
        <v>0</v>
      </c>
      <c r="CH82" s="59">
        <f t="shared" si="415"/>
        <v>0</v>
      </c>
      <c r="CI82" s="57">
        <f t="shared" si="416"/>
        <v>0</v>
      </c>
      <c r="CJ82" s="59">
        <f t="shared" si="417"/>
        <v>0</v>
      </c>
      <c r="CK82" s="55">
        <f t="shared" si="418"/>
        <v>0</v>
      </c>
      <c r="CL82" s="59">
        <f t="shared" si="419"/>
        <v>0</v>
      </c>
      <c r="CM82" s="57">
        <f t="shared" si="420"/>
        <v>0</v>
      </c>
      <c r="CN82" s="59">
        <f t="shared" si="421"/>
        <v>0</v>
      </c>
      <c r="CO82" s="60">
        <f t="shared" si="422"/>
        <v>0</v>
      </c>
      <c r="CP82" s="59">
        <f t="shared" si="423"/>
        <v>0</v>
      </c>
      <c r="CQ82" s="57">
        <f t="shared" si="424"/>
        <v>0</v>
      </c>
      <c r="CR82" s="59">
        <f t="shared" si="425"/>
        <v>0</v>
      </c>
      <c r="CS82" s="55">
        <f t="shared" si="426"/>
        <v>0</v>
      </c>
      <c r="CT82" s="59">
        <f t="shared" si="427"/>
        <v>0</v>
      </c>
      <c r="CU82" s="60">
        <f t="shared" si="428"/>
        <v>0</v>
      </c>
      <c r="CV82" s="59">
        <f t="shared" si="429"/>
        <v>0</v>
      </c>
      <c r="CW82" s="60">
        <f t="shared" si="430"/>
        <v>0</v>
      </c>
      <c r="CX82" s="59">
        <f t="shared" si="431"/>
        <v>0</v>
      </c>
      <c r="CY82" s="60">
        <f t="shared" si="432"/>
        <v>0</v>
      </c>
      <c r="CZ82" s="59">
        <f t="shared" si="433"/>
        <v>0</v>
      </c>
      <c r="DA82" s="55">
        <f t="shared" si="434"/>
        <v>0</v>
      </c>
      <c r="DB82" s="59">
        <f t="shared" si="435"/>
        <v>0</v>
      </c>
      <c r="DC82" s="60">
        <f t="shared" si="436"/>
        <v>0</v>
      </c>
      <c r="DD82" s="59">
        <f t="shared" si="437"/>
        <v>0</v>
      </c>
      <c r="DE82" s="60">
        <f t="shared" si="438"/>
        <v>0</v>
      </c>
      <c r="DF82" s="59">
        <f t="shared" si="439"/>
        <v>0</v>
      </c>
      <c r="DG82" s="60">
        <f t="shared" si="440"/>
        <v>0</v>
      </c>
      <c r="DH82" s="59">
        <f t="shared" si="441"/>
        <v>0</v>
      </c>
      <c r="DI82" s="60">
        <f t="shared" si="442"/>
        <v>0</v>
      </c>
      <c r="DJ82" s="59">
        <f t="shared" si="443"/>
        <v>0</v>
      </c>
      <c r="DK82" s="55">
        <f t="shared" si="444"/>
        <v>0</v>
      </c>
      <c r="DL82" s="59">
        <f t="shared" si="445"/>
        <v>0</v>
      </c>
      <c r="DM82" s="60">
        <f t="shared" si="446"/>
        <v>0</v>
      </c>
      <c r="DN82" s="59">
        <f t="shared" si="447"/>
        <v>0</v>
      </c>
      <c r="DO82" s="60">
        <f t="shared" si="448"/>
        <v>0</v>
      </c>
      <c r="DP82" s="59">
        <f t="shared" si="449"/>
        <v>0</v>
      </c>
      <c r="DQ82" s="55">
        <f t="shared" si="450"/>
        <v>0</v>
      </c>
      <c r="DR82" s="59">
        <f t="shared" si="451"/>
        <v>0</v>
      </c>
      <c r="DU82" s="55">
        <v>1</v>
      </c>
      <c r="DV82" s="55">
        <v>0.97</v>
      </c>
      <c r="DW82" s="55">
        <v>0.95</v>
      </c>
      <c r="DX82" s="55">
        <v>0.93</v>
      </c>
      <c r="DY82" s="55">
        <f t="shared" si="503"/>
        <v>0.91</v>
      </c>
      <c r="DZ82" s="55">
        <f t="shared" si="503"/>
        <v>0.89</v>
      </c>
      <c r="EA82" s="55">
        <f t="shared" si="503"/>
        <v>0.87</v>
      </c>
      <c r="EB82" s="55">
        <f t="shared" si="503"/>
        <v>0.85</v>
      </c>
      <c r="EC82" s="55">
        <f t="shared" si="503"/>
        <v>0.83</v>
      </c>
      <c r="ED82" s="55">
        <f t="shared" si="503"/>
        <v>0.80999999999999994</v>
      </c>
      <c r="EE82" s="55">
        <f t="shared" si="503"/>
        <v>0.78999999999999992</v>
      </c>
      <c r="EF82" s="55">
        <f t="shared" si="503"/>
        <v>0.76999999999999991</v>
      </c>
      <c r="EG82" s="55">
        <f t="shared" si="503"/>
        <v>0.74999999999999989</v>
      </c>
      <c r="EH82" s="55">
        <f t="shared" si="503"/>
        <v>0.72999999999999987</v>
      </c>
      <c r="EI82" s="55">
        <f t="shared" si="503"/>
        <v>0.70999999999999985</v>
      </c>
      <c r="EJ82" s="55">
        <f t="shared" si="503"/>
        <v>0.68999999999999984</v>
      </c>
      <c r="EK82" s="55">
        <f t="shared" si="503"/>
        <v>0.66999999999999982</v>
      </c>
      <c r="EL82" s="55">
        <f t="shared" si="503"/>
        <v>0.6499999999999998</v>
      </c>
      <c r="EM82" s="55">
        <f t="shared" si="503"/>
        <v>0.62999999999999978</v>
      </c>
      <c r="EN82" s="55">
        <f t="shared" si="503"/>
        <v>0.60999999999999976</v>
      </c>
      <c r="EO82" s="55">
        <f t="shared" si="503"/>
        <v>0.58999999999999975</v>
      </c>
      <c r="EP82" s="55">
        <f t="shared" si="503"/>
        <v>0.56999999999999973</v>
      </c>
      <c r="ER82" s="55">
        <f t="shared" si="142"/>
        <v>0</v>
      </c>
      <c r="ES82" s="55">
        <f t="shared" si="116"/>
        <v>0</v>
      </c>
      <c r="ET82" s="59">
        <f t="shared" si="453"/>
        <v>0</v>
      </c>
      <c r="EU82" s="55">
        <f t="shared" si="454"/>
        <v>0</v>
      </c>
      <c r="EV82" s="59">
        <f t="shared" si="455"/>
        <v>0</v>
      </c>
      <c r="EW82" s="55">
        <f t="shared" si="456"/>
        <v>0</v>
      </c>
      <c r="EX82" s="59">
        <f t="shared" si="457"/>
        <v>0</v>
      </c>
      <c r="EY82" s="55">
        <f t="shared" si="458"/>
        <v>0</v>
      </c>
      <c r="EZ82" s="59">
        <f t="shared" si="459"/>
        <v>0</v>
      </c>
      <c r="FA82" s="57">
        <f t="shared" si="460"/>
        <v>0</v>
      </c>
      <c r="FB82" s="59">
        <f t="shared" si="461"/>
        <v>0</v>
      </c>
      <c r="FC82" s="55">
        <f t="shared" si="462"/>
        <v>0</v>
      </c>
      <c r="FD82" s="59">
        <f t="shared" si="463"/>
        <v>0</v>
      </c>
      <c r="FE82" s="57">
        <f t="shared" si="464"/>
        <v>0</v>
      </c>
      <c r="FF82" s="59">
        <f t="shared" si="465"/>
        <v>0</v>
      </c>
      <c r="FG82" s="60">
        <f t="shared" si="466"/>
        <v>0</v>
      </c>
      <c r="FH82" s="59">
        <f t="shared" si="467"/>
        <v>0</v>
      </c>
      <c r="FI82" s="57">
        <f t="shared" si="468"/>
        <v>0</v>
      </c>
      <c r="FJ82" s="59">
        <f t="shared" si="469"/>
        <v>0</v>
      </c>
      <c r="FK82" s="55">
        <f t="shared" si="470"/>
        <v>0</v>
      </c>
      <c r="FL82" s="59">
        <f t="shared" si="471"/>
        <v>0</v>
      </c>
      <c r="FM82" s="60">
        <f t="shared" si="472"/>
        <v>0</v>
      </c>
      <c r="FN82" s="59">
        <f t="shared" si="473"/>
        <v>0</v>
      </c>
      <c r="FO82" s="60">
        <f t="shared" si="474"/>
        <v>0</v>
      </c>
      <c r="FP82" s="59">
        <f t="shared" si="475"/>
        <v>0</v>
      </c>
      <c r="FQ82" s="60">
        <f t="shared" si="476"/>
        <v>0</v>
      </c>
      <c r="FR82" s="59">
        <f t="shared" si="477"/>
        <v>0</v>
      </c>
      <c r="FS82" s="55">
        <f t="shared" si="478"/>
        <v>0</v>
      </c>
      <c r="FT82" s="59">
        <f t="shared" si="479"/>
        <v>0</v>
      </c>
      <c r="FU82" s="60">
        <f t="shared" si="480"/>
        <v>0</v>
      </c>
      <c r="FV82" s="59">
        <f t="shared" si="481"/>
        <v>0</v>
      </c>
      <c r="FW82" s="60">
        <f t="shared" si="482"/>
        <v>0</v>
      </c>
      <c r="FX82" s="59">
        <f t="shared" si="483"/>
        <v>0</v>
      </c>
      <c r="FY82" s="60">
        <f t="shared" si="484"/>
        <v>0</v>
      </c>
      <c r="FZ82" s="59">
        <f t="shared" si="485"/>
        <v>0</v>
      </c>
      <c r="GA82" s="60">
        <f t="shared" si="486"/>
        <v>0</v>
      </c>
      <c r="GB82" s="59">
        <f t="shared" si="487"/>
        <v>0</v>
      </c>
      <c r="GC82" s="55">
        <f t="shared" si="488"/>
        <v>0</v>
      </c>
      <c r="GD82" s="59">
        <f t="shared" si="489"/>
        <v>0</v>
      </c>
      <c r="GE82" s="60">
        <f t="shared" si="490"/>
        <v>0</v>
      </c>
      <c r="GF82" s="59">
        <f t="shared" si="491"/>
        <v>0</v>
      </c>
      <c r="GG82" s="60">
        <f t="shared" si="492"/>
        <v>0</v>
      </c>
      <c r="GH82" s="59">
        <f t="shared" si="493"/>
        <v>0</v>
      </c>
      <c r="GI82" s="55">
        <f t="shared" si="494"/>
        <v>0</v>
      </c>
      <c r="GJ82" s="59">
        <f t="shared" si="495"/>
        <v>0</v>
      </c>
      <c r="GK82" s="55"/>
      <c r="GL82" s="55"/>
      <c r="GM82" s="55">
        <v>1</v>
      </c>
      <c r="GN82" s="55">
        <v>0.97</v>
      </c>
      <c r="GO82" s="55">
        <v>0.95</v>
      </c>
      <c r="GP82" s="55">
        <v>0.93</v>
      </c>
      <c r="GQ82" s="55">
        <f t="shared" si="504"/>
        <v>0.91</v>
      </c>
      <c r="GR82" s="55">
        <f t="shared" si="504"/>
        <v>0.89</v>
      </c>
      <c r="GS82" s="55">
        <f t="shared" si="504"/>
        <v>0.87</v>
      </c>
      <c r="GT82" s="55">
        <f t="shared" si="504"/>
        <v>0.85</v>
      </c>
      <c r="GU82" s="55">
        <f t="shared" si="504"/>
        <v>0.83</v>
      </c>
      <c r="GV82" s="55">
        <f t="shared" si="504"/>
        <v>0.80999999999999994</v>
      </c>
      <c r="GW82" s="55">
        <f t="shared" si="504"/>
        <v>0.78999999999999992</v>
      </c>
      <c r="GX82" s="55">
        <f t="shared" si="504"/>
        <v>0.76999999999999991</v>
      </c>
      <c r="GY82" s="55">
        <f t="shared" si="504"/>
        <v>0.74999999999999989</v>
      </c>
      <c r="GZ82" s="55">
        <f t="shared" si="504"/>
        <v>0.72999999999999987</v>
      </c>
      <c r="HA82" s="55">
        <f t="shared" si="504"/>
        <v>0.70999999999999985</v>
      </c>
      <c r="HB82" s="55">
        <f t="shared" si="504"/>
        <v>0.68999999999999984</v>
      </c>
      <c r="HC82" s="55">
        <f t="shared" si="504"/>
        <v>0.66999999999999982</v>
      </c>
      <c r="HD82" s="55">
        <f t="shared" si="504"/>
        <v>0.6499999999999998</v>
      </c>
      <c r="HE82" s="55">
        <f t="shared" si="504"/>
        <v>0.62999999999999978</v>
      </c>
      <c r="HF82" s="55">
        <f t="shared" si="504"/>
        <v>0.60999999999999976</v>
      </c>
      <c r="HG82" s="55">
        <f t="shared" si="504"/>
        <v>0.58999999999999975</v>
      </c>
      <c r="HH82" s="55">
        <f t="shared" si="504"/>
        <v>0.56999999999999973</v>
      </c>
    </row>
    <row r="83" spans="1:216" x14ac:dyDescent="0.3">
      <c r="A83" s="2">
        <v>21</v>
      </c>
      <c r="C83" s="38" t="s">
        <v>35</v>
      </c>
      <c r="D83" s="42">
        <f>TRUNC(3632.59588679909,-1)</f>
        <v>3630</v>
      </c>
      <c r="E83" s="71">
        <f t="shared" si="365"/>
        <v>12000</v>
      </c>
      <c r="F83" s="2" t="s">
        <v>314</v>
      </c>
      <c r="H83" s="55">
        <f t="shared" si="61"/>
        <v>13200.000000000002</v>
      </c>
      <c r="I83" s="55">
        <f t="shared" si="62"/>
        <v>13200.000000000002</v>
      </c>
      <c r="J83" s="59">
        <f t="shared" si="63"/>
        <v>43636.560000000005</v>
      </c>
      <c r="K83" s="55">
        <f t="shared" si="366"/>
        <v>12804.000000000002</v>
      </c>
      <c r="L83" s="59">
        <f t="shared" si="367"/>
        <v>42327.463200000006</v>
      </c>
      <c r="M83" s="55">
        <f t="shared" si="368"/>
        <v>12540.000000000002</v>
      </c>
      <c r="N83" s="59">
        <f t="shared" si="369"/>
        <v>41454.732000000004</v>
      </c>
      <c r="O83" s="55">
        <f t="shared" si="370"/>
        <v>12276.000000000002</v>
      </c>
      <c r="P83" s="59">
        <f t="shared" si="371"/>
        <v>40582.000800000009</v>
      </c>
      <c r="Q83" s="57">
        <f t="shared" si="372"/>
        <v>12012.000000000002</v>
      </c>
      <c r="R83" s="59">
        <f t="shared" si="373"/>
        <v>39709.269600000007</v>
      </c>
      <c r="S83" s="55">
        <f t="shared" si="374"/>
        <v>11748.000000000002</v>
      </c>
      <c r="T83" s="59">
        <f t="shared" si="375"/>
        <v>38836.538400000005</v>
      </c>
      <c r="U83" s="57">
        <f t="shared" si="376"/>
        <v>11484.000000000002</v>
      </c>
      <c r="V83" s="59">
        <f t="shared" si="377"/>
        <v>37963.80720000001</v>
      </c>
      <c r="W83" s="60">
        <f t="shared" si="378"/>
        <v>11220.000000000002</v>
      </c>
      <c r="X83" s="59">
        <f t="shared" si="379"/>
        <v>37091.076000000008</v>
      </c>
      <c r="Y83" s="57">
        <f t="shared" si="380"/>
        <v>10956.000000000002</v>
      </c>
      <c r="Z83" s="59">
        <f t="shared" si="381"/>
        <v>36218.344800000006</v>
      </c>
      <c r="AA83" s="55">
        <f t="shared" si="382"/>
        <v>10692</v>
      </c>
      <c r="AB83" s="59">
        <f t="shared" si="383"/>
        <v>35345.613600000004</v>
      </c>
      <c r="AC83" s="60">
        <f t="shared" si="384"/>
        <v>10428</v>
      </c>
      <c r="AD83" s="59">
        <f t="shared" si="385"/>
        <v>34472.882400000002</v>
      </c>
      <c r="AE83" s="60">
        <f t="shared" si="386"/>
        <v>10164</v>
      </c>
      <c r="AF83" s="59">
        <f t="shared" si="387"/>
        <v>33600.1512</v>
      </c>
      <c r="AG83" s="60">
        <f t="shared" si="388"/>
        <v>9900</v>
      </c>
      <c r="AH83" s="59">
        <f t="shared" si="389"/>
        <v>32727.420000000002</v>
      </c>
      <c r="AI83" s="55">
        <f t="shared" si="390"/>
        <v>9636</v>
      </c>
      <c r="AJ83" s="59">
        <f t="shared" si="391"/>
        <v>31854.6888</v>
      </c>
      <c r="AK83" s="60">
        <f t="shared" si="392"/>
        <v>9372</v>
      </c>
      <c r="AL83" s="59">
        <f t="shared" si="393"/>
        <v>30981.957600000002</v>
      </c>
      <c r="AM83" s="60">
        <f t="shared" si="394"/>
        <v>9107.9999999999982</v>
      </c>
      <c r="AN83" s="59">
        <f t="shared" si="395"/>
        <v>30109.226399999996</v>
      </c>
      <c r="AO83" s="60">
        <f t="shared" si="396"/>
        <v>8843.9999999999982</v>
      </c>
      <c r="AP83" s="59">
        <f t="shared" si="397"/>
        <v>29236.495199999994</v>
      </c>
      <c r="AQ83" s="60">
        <f t="shared" si="398"/>
        <v>8579.9999999999982</v>
      </c>
      <c r="AR83" s="59">
        <f t="shared" si="399"/>
        <v>28363.763999999996</v>
      </c>
      <c r="AS83" s="55">
        <f t="shared" si="400"/>
        <v>8315.9999999999982</v>
      </c>
      <c r="AT83" s="59">
        <f t="shared" si="401"/>
        <v>27491.032799999994</v>
      </c>
      <c r="AU83" s="60">
        <f t="shared" si="402"/>
        <v>8051.9999999999982</v>
      </c>
      <c r="AV83" s="59">
        <f t="shared" si="403"/>
        <v>26618.301599999995</v>
      </c>
      <c r="AW83" s="60">
        <f t="shared" si="404"/>
        <v>7787.9999999999982</v>
      </c>
      <c r="AX83" s="59">
        <f t="shared" si="405"/>
        <v>25745.570399999993</v>
      </c>
      <c r="AY83" s="55">
        <f t="shared" si="406"/>
        <v>7523.9999999999973</v>
      </c>
      <c r="AZ83" s="59">
        <f t="shared" si="407"/>
        <v>24872.839199999991</v>
      </c>
      <c r="BC83" s="55">
        <v>1</v>
      </c>
      <c r="BD83" s="55">
        <v>0.97</v>
      </c>
      <c r="BE83" s="55">
        <v>0.95</v>
      </c>
      <c r="BF83" s="55">
        <v>0.93</v>
      </c>
      <c r="BG83" s="55">
        <f t="shared" si="500"/>
        <v>0.91</v>
      </c>
      <c r="BH83" s="55">
        <f t="shared" si="500"/>
        <v>0.89</v>
      </c>
      <c r="BI83" s="55">
        <f t="shared" si="500"/>
        <v>0.87</v>
      </c>
      <c r="BJ83" s="55">
        <f t="shared" si="500"/>
        <v>0.85</v>
      </c>
      <c r="BK83" s="55">
        <f t="shared" si="500"/>
        <v>0.83</v>
      </c>
      <c r="BL83" s="55">
        <f t="shared" si="500"/>
        <v>0.80999999999999994</v>
      </c>
      <c r="BM83" s="55">
        <f t="shared" si="500"/>
        <v>0.78999999999999992</v>
      </c>
      <c r="BN83" s="55">
        <f t="shared" si="500"/>
        <v>0.76999999999999991</v>
      </c>
      <c r="BO83" s="55">
        <f t="shared" si="500"/>
        <v>0.74999999999999989</v>
      </c>
      <c r="BP83" s="55">
        <f t="shared" si="500"/>
        <v>0.72999999999999987</v>
      </c>
      <c r="BQ83" s="55">
        <f t="shared" si="500"/>
        <v>0.70999999999999985</v>
      </c>
      <c r="BR83" s="55">
        <f t="shared" si="500"/>
        <v>0.68999999999999984</v>
      </c>
      <c r="BS83" s="55">
        <f t="shared" si="500"/>
        <v>0.66999999999999982</v>
      </c>
      <c r="BT83" s="55">
        <f t="shared" si="500"/>
        <v>0.6499999999999998</v>
      </c>
      <c r="BU83" s="55">
        <f t="shared" si="500"/>
        <v>0.62999999999999978</v>
      </c>
      <c r="BV83" s="55">
        <f t="shared" si="500"/>
        <v>0.60999999999999976</v>
      </c>
      <c r="BW83" s="55">
        <f t="shared" si="500"/>
        <v>0.58999999999999975</v>
      </c>
      <c r="BX83" s="55">
        <f t="shared" si="500"/>
        <v>0.56999999999999973</v>
      </c>
      <c r="BZ83" s="55">
        <f t="shared" si="88"/>
        <v>12012.000000000002</v>
      </c>
      <c r="CA83" s="55">
        <f t="shared" si="89"/>
        <v>12012.000000000002</v>
      </c>
      <c r="CB83" s="59">
        <f t="shared" si="409"/>
        <v>39709.269600000007</v>
      </c>
      <c r="CC83" s="55">
        <f t="shared" si="410"/>
        <v>11651.640000000001</v>
      </c>
      <c r="CD83" s="59">
        <f t="shared" si="411"/>
        <v>38517.991512000008</v>
      </c>
      <c r="CE83" s="55">
        <f t="shared" si="412"/>
        <v>11411.400000000001</v>
      </c>
      <c r="CF83" s="59">
        <f t="shared" si="413"/>
        <v>37723.806120000008</v>
      </c>
      <c r="CG83" s="55">
        <f t="shared" si="414"/>
        <v>11171.160000000002</v>
      </c>
      <c r="CH83" s="59">
        <f t="shared" si="415"/>
        <v>36929.620728000009</v>
      </c>
      <c r="CI83" s="57">
        <f t="shared" si="416"/>
        <v>10930.920000000002</v>
      </c>
      <c r="CJ83" s="59">
        <f t="shared" si="417"/>
        <v>36135.43533600001</v>
      </c>
      <c r="CK83" s="55">
        <f t="shared" si="418"/>
        <v>10690.680000000002</v>
      </c>
      <c r="CL83" s="59">
        <f t="shared" si="419"/>
        <v>35341.24994400001</v>
      </c>
      <c r="CM83" s="57">
        <f t="shared" si="420"/>
        <v>10450.440000000002</v>
      </c>
      <c r="CN83" s="59">
        <f t="shared" si="421"/>
        <v>34547.064552000011</v>
      </c>
      <c r="CO83" s="60">
        <f t="shared" si="422"/>
        <v>10210.200000000001</v>
      </c>
      <c r="CP83" s="59">
        <f t="shared" si="423"/>
        <v>33752.879160000004</v>
      </c>
      <c r="CQ83" s="57">
        <f t="shared" si="424"/>
        <v>9969.9600000000009</v>
      </c>
      <c r="CR83" s="59">
        <f t="shared" si="425"/>
        <v>32958.693768000005</v>
      </c>
      <c r="CS83" s="55">
        <f t="shared" si="426"/>
        <v>9729.7200000000012</v>
      </c>
      <c r="CT83" s="59">
        <f t="shared" si="427"/>
        <v>32164.508376000005</v>
      </c>
      <c r="CU83" s="60">
        <f t="shared" si="428"/>
        <v>9489.4800000000014</v>
      </c>
      <c r="CV83" s="59">
        <f t="shared" si="429"/>
        <v>31370.322984000006</v>
      </c>
      <c r="CW83" s="60">
        <f t="shared" si="430"/>
        <v>9249.24</v>
      </c>
      <c r="CX83" s="59">
        <f t="shared" si="431"/>
        <v>30576.137591999999</v>
      </c>
      <c r="CY83" s="60">
        <f t="shared" si="432"/>
        <v>9009</v>
      </c>
      <c r="CZ83" s="59">
        <f t="shared" si="433"/>
        <v>29781.9522</v>
      </c>
      <c r="DA83" s="55">
        <f t="shared" si="434"/>
        <v>8768.76</v>
      </c>
      <c r="DB83" s="59">
        <f t="shared" si="435"/>
        <v>28987.766808</v>
      </c>
      <c r="DC83" s="60">
        <f t="shared" si="436"/>
        <v>8528.52</v>
      </c>
      <c r="DD83" s="59">
        <f t="shared" si="437"/>
        <v>28193.581416000001</v>
      </c>
      <c r="DE83" s="60">
        <f t="shared" si="438"/>
        <v>8288.2799999999988</v>
      </c>
      <c r="DF83" s="59">
        <f t="shared" si="439"/>
        <v>27399.396023999998</v>
      </c>
      <c r="DG83" s="60">
        <f t="shared" si="440"/>
        <v>8048.0399999999991</v>
      </c>
      <c r="DH83" s="59">
        <f t="shared" si="441"/>
        <v>26605.210631999998</v>
      </c>
      <c r="DI83" s="60">
        <f t="shared" si="442"/>
        <v>7807.7999999999984</v>
      </c>
      <c r="DJ83" s="59">
        <f t="shared" si="443"/>
        <v>25811.025239999995</v>
      </c>
      <c r="DK83" s="55">
        <f t="shared" si="444"/>
        <v>7567.5599999999986</v>
      </c>
      <c r="DL83" s="59">
        <f t="shared" si="445"/>
        <v>25016.839847999996</v>
      </c>
      <c r="DM83" s="60">
        <f t="shared" si="446"/>
        <v>7327.3199999999979</v>
      </c>
      <c r="DN83" s="59">
        <f t="shared" si="447"/>
        <v>24222.654455999993</v>
      </c>
      <c r="DO83" s="60">
        <f t="shared" si="448"/>
        <v>7087.0799999999981</v>
      </c>
      <c r="DP83" s="59">
        <f t="shared" si="449"/>
        <v>23428.469063999994</v>
      </c>
      <c r="DQ83" s="55">
        <f t="shared" si="450"/>
        <v>6846.8399999999974</v>
      </c>
      <c r="DR83" s="59">
        <f t="shared" si="451"/>
        <v>22634.28367199999</v>
      </c>
      <c r="DU83" s="55">
        <v>1</v>
      </c>
      <c r="DV83" s="55">
        <v>0.97</v>
      </c>
      <c r="DW83" s="55">
        <v>0.95</v>
      </c>
      <c r="DX83" s="55">
        <v>0.93</v>
      </c>
      <c r="DY83" s="55">
        <f t="shared" si="503"/>
        <v>0.91</v>
      </c>
      <c r="DZ83" s="55">
        <f t="shared" si="503"/>
        <v>0.89</v>
      </c>
      <c r="EA83" s="55">
        <f t="shared" si="503"/>
        <v>0.87</v>
      </c>
      <c r="EB83" s="55">
        <f t="shared" si="503"/>
        <v>0.85</v>
      </c>
      <c r="EC83" s="55">
        <f t="shared" si="503"/>
        <v>0.83</v>
      </c>
      <c r="ED83" s="55">
        <f t="shared" si="503"/>
        <v>0.80999999999999994</v>
      </c>
      <c r="EE83" s="55">
        <f t="shared" si="503"/>
        <v>0.78999999999999992</v>
      </c>
      <c r="EF83" s="55">
        <f t="shared" si="503"/>
        <v>0.76999999999999991</v>
      </c>
      <c r="EG83" s="55">
        <f t="shared" si="503"/>
        <v>0.74999999999999989</v>
      </c>
      <c r="EH83" s="55">
        <f t="shared" si="503"/>
        <v>0.72999999999999987</v>
      </c>
      <c r="EI83" s="55">
        <f t="shared" si="503"/>
        <v>0.70999999999999985</v>
      </c>
      <c r="EJ83" s="55">
        <f t="shared" si="503"/>
        <v>0.68999999999999984</v>
      </c>
      <c r="EK83" s="55">
        <f t="shared" si="503"/>
        <v>0.66999999999999982</v>
      </c>
      <c r="EL83" s="55">
        <f t="shared" si="503"/>
        <v>0.6499999999999998</v>
      </c>
      <c r="EM83" s="55">
        <f t="shared" si="503"/>
        <v>0.62999999999999978</v>
      </c>
      <c r="EN83" s="55">
        <f t="shared" si="503"/>
        <v>0.60999999999999976</v>
      </c>
      <c r="EO83" s="55">
        <f t="shared" si="503"/>
        <v>0.58999999999999975</v>
      </c>
      <c r="EP83" s="55">
        <f t="shared" si="503"/>
        <v>0.56999999999999973</v>
      </c>
      <c r="ER83" s="55">
        <f t="shared" si="142"/>
        <v>10930.920000000002</v>
      </c>
      <c r="ES83" s="55">
        <f t="shared" si="116"/>
        <v>10930.920000000002</v>
      </c>
      <c r="ET83" s="59">
        <f t="shared" si="453"/>
        <v>36135.43533600001</v>
      </c>
      <c r="EU83" s="55">
        <f t="shared" si="454"/>
        <v>10602.992400000001</v>
      </c>
      <c r="EV83" s="59">
        <f t="shared" si="455"/>
        <v>35051.372275920003</v>
      </c>
      <c r="EW83" s="55">
        <f t="shared" si="456"/>
        <v>10384.374000000002</v>
      </c>
      <c r="EX83" s="59">
        <f t="shared" si="457"/>
        <v>34328.663569200005</v>
      </c>
      <c r="EY83" s="55">
        <f t="shared" si="458"/>
        <v>10165.755600000002</v>
      </c>
      <c r="EZ83" s="59">
        <f t="shared" si="459"/>
        <v>33605.954862480008</v>
      </c>
      <c r="FA83" s="57">
        <f t="shared" si="460"/>
        <v>9947.1372000000028</v>
      </c>
      <c r="FB83" s="59">
        <f t="shared" si="461"/>
        <v>32883.246155760011</v>
      </c>
      <c r="FC83" s="55">
        <f t="shared" si="462"/>
        <v>9728.5188000000016</v>
      </c>
      <c r="FD83" s="59">
        <f t="shared" si="463"/>
        <v>32160.537449040006</v>
      </c>
      <c r="FE83" s="57">
        <f t="shared" si="464"/>
        <v>9509.9004000000023</v>
      </c>
      <c r="FF83" s="59">
        <f t="shared" si="465"/>
        <v>31437.828742320009</v>
      </c>
      <c r="FG83" s="60">
        <f t="shared" si="466"/>
        <v>9291.2820000000011</v>
      </c>
      <c r="FH83" s="59">
        <f t="shared" si="467"/>
        <v>30715.120035600004</v>
      </c>
      <c r="FI83" s="57">
        <f t="shared" si="468"/>
        <v>9072.6636000000017</v>
      </c>
      <c r="FJ83" s="59">
        <f t="shared" si="469"/>
        <v>29992.411328880007</v>
      </c>
      <c r="FK83" s="55">
        <f t="shared" si="470"/>
        <v>8854.0452000000005</v>
      </c>
      <c r="FL83" s="59">
        <f t="shared" si="471"/>
        <v>29269.702622160003</v>
      </c>
      <c r="FM83" s="60">
        <f t="shared" si="472"/>
        <v>8635.4268000000011</v>
      </c>
      <c r="FN83" s="59">
        <f t="shared" si="473"/>
        <v>28546.993915440005</v>
      </c>
      <c r="FO83" s="60">
        <f t="shared" si="474"/>
        <v>8416.8083999999999</v>
      </c>
      <c r="FP83" s="59">
        <f t="shared" si="475"/>
        <v>27824.285208720001</v>
      </c>
      <c r="FQ83" s="60">
        <f t="shared" si="476"/>
        <v>8198.19</v>
      </c>
      <c r="FR83" s="59">
        <f t="shared" si="477"/>
        <v>27101.576502000004</v>
      </c>
      <c r="FS83" s="55">
        <f t="shared" si="478"/>
        <v>7979.5716000000002</v>
      </c>
      <c r="FT83" s="59">
        <f t="shared" si="479"/>
        <v>26378.867795280003</v>
      </c>
      <c r="FU83" s="60">
        <f t="shared" si="480"/>
        <v>7760.9531999999999</v>
      </c>
      <c r="FV83" s="59">
        <f t="shared" si="481"/>
        <v>25656.159088560002</v>
      </c>
      <c r="FW83" s="60">
        <f t="shared" si="482"/>
        <v>7542.3347999999996</v>
      </c>
      <c r="FX83" s="59">
        <f t="shared" si="483"/>
        <v>24933.450381840001</v>
      </c>
      <c r="FY83" s="60">
        <f t="shared" si="484"/>
        <v>7323.7163999999993</v>
      </c>
      <c r="FZ83" s="59">
        <f t="shared" si="485"/>
        <v>24210.74167512</v>
      </c>
      <c r="GA83" s="60">
        <f t="shared" si="486"/>
        <v>7105.097999999999</v>
      </c>
      <c r="GB83" s="59">
        <f t="shared" si="487"/>
        <v>23488.032968399999</v>
      </c>
      <c r="GC83" s="55">
        <f t="shared" si="488"/>
        <v>6886.4795999999988</v>
      </c>
      <c r="GD83" s="59">
        <f t="shared" si="489"/>
        <v>22765.324261679998</v>
      </c>
      <c r="GE83" s="60">
        <f t="shared" si="490"/>
        <v>6667.8611999999985</v>
      </c>
      <c r="GF83" s="59">
        <f t="shared" si="491"/>
        <v>22042.615554959997</v>
      </c>
      <c r="GG83" s="60">
        <f t="shared" si="492"/>
        <v>6449.2427999999982</v>
      </c>
      <c r="GH83" s="59">
        <f t="shared" si="493"/>
        <v>21319.906848239996</v>
      </c>
      <c r="GI83" s="55">
        <f t="shared" si="494"/>
        <v>6230.6243999999979</v>
      </c>
      <c r="GJ83" s="59">
        <f t="shared" si="495"/>
        <v>20597.198141519992</v>
      </c>
      <c r="GK83" s="55"/>
      <c r="GL83" s="55"/>
      <c r="GM83" s="55">
        <v>1</v>
      </c>
      <c r="GN83" s="55">
        <v>0.97</v>
      </c>
      <c r="GO83" s="55">
        <v>0.95</v>
      </c>
      <c r="GP83" s="55">
        <v>0.93</v>
      </c>
      <c r="GQ83" s="55">
        <f t="shared" si="504"/>
        <v>0.91</v>
      </c>
      <c r="GR83" s="55">
        <f t="shared" si="504"/>
        <v>0.89</v>
      </c>
      <c r="GS83" s="55">
        <f t="shared" si="504"/>
        <v>0.87</v>
      </c>
      <c r="GT83" s="55">
        <f t="shared" si="504"/>
        <v>0.85</v>
      </c>
      <c r="GU83" s="55">
        <f t="shared" si="504"/>
        <v>0.83</v>
      </c>
      <c r="GV83" s="55">
        <f t="shared" si="504"/>
        <v>0.80999999999999994</v>
      </c>
      <c r="GW83" s="55">
        <f t="shared" si="504"/>
        <v>0.78999999999999992</v>
      </c>
      <c r="GX83" s="55">
        <f t="shared" si="504"/>
        <v>0.76999999999999991</v>
      </c>
      <c r="GY83" s="55">
        <f t="shared" si="504"/>
        <v>0.74999999999999989</v>
      </c>
      <c r="GZ83" s="55">
        <f t="shared" si="504"/>
        <v>0.72999999999999987</v>
      </c>
      <c r="HA83" s="55">
        <f t="shared" si="504"/>
        <v>0.70999999999999985</v>
      </c>
      <c r="HB83" s="55">
        <f t="shared" si="504"/>
        <v>0.68999999999999984</v>
      </c>
      <c r="HC83" s="55">
        <f t="shared" si="504"/>
        <v>0.66999999999999982</v>
      </c>
      <c r="HD83" s="55">
        <f t="shared" si="504"/>
        <v>0.6499999999999998</v>
      </c>
      <c r="HE83" s="55">
        <f t="shared" si="504"/>
        <v>0.62999999999999978</v>
      </c>
      <c r="HF83" s="55">
        <f t="shared" si="504"/>
        <v>0.60999999999999976</v>
      </c>
      <c r="HG83" s="55">
        <f t="shared" si="504"/>
        <v>0.58999999999999975</v>
      </c>
      <c r="HH83" s="55">
        <f t="shared" si="504"/>
        <v>0.56999999999999973</v>
      </c>
    </row>
    <row r="84" spans="1:216" x14ac:dyDescent="0.3">
      <c r="A84" s="2">
        <v>22</v>
      </c>
      <c r="C84" s="38" t="s">
        <v>36</v>
      </c>
      <c r="D84" s="42">
        <f>TRUNC(787.635788363508,-1)</f>
        <v>780</v>
      </c>
      <c r="E84" s="71">
        <f t="shared" si="365"/>
        <v>2570</v>
      </c>
      <c r="H84" s="55">
        <f t="shared" ref="H84:H147" si="505">+E84*1.1</f>
        <v>2827.0000000000005</v>
      </c>
      <c r="I84" s="55">
        <f t="shared" ref="I84:I147" si="506">+H84</f>
        <v>2827.0000000000005</v>
      </c>
      <c r="J84" s="59">
        <f t="shared" ref="J84:J147" si="507">+I84*3.3058</f>
        <v>9345.4966000000022</v>
      </c>
      <c r="K84" s="55">
        <f t="shared" si="366"/>
        <v>2742.1900000000005</v>
      </c>
      <c r="L84" s="59">
        <f t="shared" si="367"/>
        <v>9065.1317020000024</v>
      </c>
      <c r="M84" s="55">
        <f t="shared" si="368"/>
        <v>2685.65</v>
      </c>
      <c r="N84" s="59">
        <f t="shared" si="369"/>
        <v>8878.2217700000001</v>
      </c>
      <c r="O84" s="55">
        <f t="shared" si="370"/>
        <v>2629.1100000000006</v>
      </c>
      <c r="P84" s="59">
        <f t="shared" si="371"/>
        <v>8691.3118380000014</v>
      </c>
      <c r="Q84" s="57">
        <f t="shared" si="372"/>
        <v>2572.5700000000006</v>
      </c>
      <c r="R84" s="59">
        <f t="shared" si="373"/>
        <v>8504.4019060000028</v>
      </c>
      <c r="S84" s="55">
        <f t="shared" si="374"/>
        <v>2516.0300000000007</v>
      </c>
      <c r="T84" s="59">
        <f t="shared" si="375"/>
        <v>8317.4919740000023</v>
      </c>
      <c r="U84" s="57">
        <f t="shared" si="376"/>
        <v>2459.4900000000002</v>
      </c>
      <c r="V84" s="59">
        <f t="shared" si="377"/>
        <v>8130.5820420000009</v>
      </c>
      <c r="W84" s="60">
        <f t="shared" si="378"/>
        <v>2402.9500000000003</v>
      </c>
      <c r="X84" s="59">
        <f t="shared" si="379"/>
        <v>7943.6721100000013</v>
      </c>
      <c r="Y84" s="57">
        <f t="shared" si="380"/>
        <v>2346.4100000000003</v>
      </c>
      <c r="Z84" s="59">
        <f t="shared" si="381"/>
        <v>7756.7621780000009</v>
      </c>
      <c r="AA84" s="55">
        <f t="shared" si="382"/>
        <v>2289.8700000000003</v>
      </c>
      <c r="AB84" s="59">
        <f t="shared" si="383"/>
        <v>7569.8522460000013</v>
      </c>
      <c r="AC84" s="60">
        <f t="shared" si="384"/>
        <v>2233.33</v>
      </c>
      <c r="AD84" s="59">
        <f t="shared" si="385"/>
        <v>7382.9423139999999</v>
      </c>
      <c r="AE84" s="60">
        <f t="shared" si="386"/>
        <v>2176.79</v>
      </c>
      <c r="AF84" s="59">
        <f t="shared" si="387"/>
        <v>7196.0323820000003</v>
      </c>
      <c r="AG84" s="60">
        <f t="shared" si="388"/>
        <v>2120.25</v>
      </c>
      <c r="AH84" s="59">
        <f t="shared" si="389"/>
        <v>7009.1224499999998</v>
      </c>
      <c r="AI84" s="55">
        <f t="shared" si="390"/>
        <v>2063.71</v>
      </c>
      <c r="AJ84" s="59">
        <f t="shared" si="391"/>
        <v>6822.2125180000003</v>
      </c>
      <c r="AK84" s="60">
        <f t="shared" si="392"/>
        <v>2007.1699999999998</v>
      </c>
      <c r="AL84" s="59">
        <f t="shared" si="393"/>
        <v>6635.3025859999998</v>
      </c>
      <c r="AM84" s="60">
        <f t="shared" si="394"/>
        <v>1950.6299999999999</v>
      </c>
      <c r="AN84" s="59">
        <f t="shared" si="395"/>
        <v>6448.3926539999993</v>
      </c>
      <c r="AO84" s="60">
        <f t="shared" si="396"/>
        <v>1894.0899999999997</v>
      </c>
      <c r="AP84" s="59">
        <f t="shared" si="397"/>
        <v>6261.4827219999988</v>
      </c>
      <c r="AQ84" s="60">
        <f t="shared" si="398"/>
        <v>1837.5499999999997</v>
      </c>
      <c r="AR84" s="59">
        <f t="shared" si="399"/>
        <v>6074.5727899999993</v>
      </c>
      <c r="AS84" s="55">
        <f t="shared" si="400"/>
        <v>1781.0099999999998</v>
      </c>
      <c r="AT84" s="59">
        <f t="shared" si="401"/>
        <v>5887.6628579999997</v>
      </c>
      <c r="AU84" s="60">
        <f t="shared" si="402"/>
        <v>1724.4699999999996</v>
      </c>
      <c r="AV84" s="59">
        <f t="shared" si="403"/>
        <v>5700.7529259999983</v>
      </c>
      <c r="AW84" s="60">
        <f t="shared" si="404"/>
        <v>1667.9299999999996</v>
      </c>
      <c r="AX84" s="59">
        <f t="shared" si="405"/>
        <v>5513.8429939999987</v>
      </c>
      <c r="AY84" s="55">
        <f t="shared" si="406"/>
        <v>1611.3899999999994</v>
      </c>
      <c r="AZ84" s="59">
        <f t="shared" si="407"/>
        <v>5326.9330619999982</v>
      </c>
      <c r="BC84" s="55">
        <v>1</v>
      </c>
      <c r="BD84" s="55">
        <v>0.97</v>
      </c>
      <c r="BE84" s="55">
        <v>0.95</v>
      </c>
      <c r="BF84" s="55">
        <v>0.93</v>
      </c>
      <c r="BG84" s="55">
        <f t="shared" si="500"/>
        <v>0.91</v>
      </c>
      <c r="BH84" s="55">
        <f t="shared" si="500"/>
        <v>0.89</v>
      </c>
      <c r="BI84" s="55">
        <f t="shared" si="500"/>
        <v>0.87</v>
      </c>
      <c r="BJ84" s="55">
        <f t="shared" si="500"/>
        <v>0.85</v>
      </c>
      <c r="BK84" s="55">
        <f t="shared" si="500"/>
        <v>0.83</v>
      </c>
      <c r="BL84" s="55">
        <f t="shared" si="500"/>
        <v>0.80999999999999994</v>
      </c>
      <c r="BM84" s="55">
        <f t="shared" si="500"/>
        <v>0.78999999999999992</v>
      </c>
      <c r="BN84" s="55">
        <f t="shared" si="500"/>
        <v>0.76999999999999991</v>
      </c>
      <c r="BO84" s="55">
        <f t="shared" si="500"/>
        <v>0.74999999999999989</v>
      </c>
      <c r="BP84" s="55">
        <f t="shared" si="500"/>
        <v>0.72999999999999987</v>
      </c>
      <c r="BQ84" s="55">
        <f t="shared" si="500"/>
        <v>0.70999999999999985</v>
      </c>
      <c r="BR84" s="55">
        <f t="shared" si="500"/>
        <v>0.68999999999999984</v>
      </c>
      <c r="BS84" s="55">
        <f t="shared" si="500"/>
        <v>0.66999999999999982</v>
      </c>
      <c r="BT84" s="55">
        <f t="shared" si="500"/>
        <v>0.6499999999999998</v>
      </c>
      <c r="BU84" s="55">
        <f t="shared" si="500"/>
        <v>0.62999999999999978</v>
      </c>
      <c r="BV84" s="55">
        <f t="shared" si="500"/>
        <v>0.60999999999999976</v>
      </c>
      <c r="BW84" s="55">
        <f t="shared" si="500"/>
        <v>0.58999999999999975</v>
      </c>
      <c r="BX84" s="55">
        <f t="shared" si="500"/>
        <v>0.56999999999999973</v>
      </c>
      <c r="BZ84" s="55">
        <f t="shared" ref="BZ84:BZ147" si="508">+H84*0.91</f>
        <v>2572.5700000000006</v>
      </c>
      <c r="CA84" s="55">
        <f t="shared" ref="CA84:CA147" si="509">+BZ84</f>
        <v>2572.5700000000006</v>
      </c>
      <c r="CB84" s="59">
        <f t="shared" si="409"/>
        <v>8504.4019060000028</v>
      </c>
      <c r="CC84" s="55">
        <f t="shared" si="410"/>
        <v>2495.3929000000007</v>
      </c>
      <c r="CD84" s="59">
        <f t="shared" si="411"/>
        <v>8249.2698488200022</v>
      </c>
      <c r="CE84" s="55">
        <f t="shared" si="412"/>
        <v>2443.9415000000004</v>
      </c>
      <c r="CF84" s="59">
        <f t="shared" si="413"/>
        <v>8079.1818107000017</v>
      </c>
      <c r="CG84" s="55">
        <f t="shared" si="414"/>
        <v>2392.4901000000009</v>
      </c>
      <c r="CH84" s="59">
        <f t="shared" si="415"/>
        <v>7909.0937725800031</v>
      </c>
      <c r="CI84" s="57">
        <f t="shared" si="416"/>
        <v>2341.0387000000005</v>
      </c>
      <c r="CJ84" s="59">
        <f t="shared" si="417"/>
        <v>7739.0057344600018</v>
      </c>
      <c r="CK84" s="55">
        <f t="shared" si="418"/>
        <v>2289.5873000000006</v>
      </c>
      <c r="CL84" s="59">
        <f t="shared" si="419"/>
        <v>7568.9176963400023</v>
      </c>
      <c r="CM84" s="57">
        <f t="shared" si="420"/>
        <v>2238.1359000000007</v>
      </c>
      <c r="CN84" s="59">
        <f t="shared" si="421"/>
        <v>7398.8296582200028</v>
      </c>
      <c r="CO84" s="60">
        <f t="shared" si="422"/>
        <v>2186.6845000000003</v>
      </c>
      <c r="CP84" s="59">
        <f t="shared" si="423"/>
        <v>7228.7416201000015</v>
      </c>
      <c r="CQ84" s="57">
        <f t="shared" si="424"/>
        <v>2135.2331000000004</v>
      </c>
      <c r="CR84" s="59">
        <f t="shared" si="425"/>
        <v>7058.653581980001</v>
      </c>
      <c r="CS84" s="55">
        <f t="shared" si="426"/>
        <v>2083.7817000000005</v>
      </c>
      <c r="CT84" s="59">
        <f t="shared" si="427"/>
        <v>6888.5655438600015</v>
      </c>
      <c r="CU84" s="60">
        <f t="shared" si="428"/>
        <v>2032.3303000000003</v>
      </c>
      <c r="CV84" s="59">
        <f t="shared" si="429"/>
        <v>6718.4775057400011</v>
      </c>
      <c r="CW84" s="60">
        <f t="shared" si="430"/>
        <v>1980.8789000000002</v>
      </c>
      <c r="CX84" s="59">
        <f t="shared" si="431"/>
        <v>6548.3894676200007</v>
      </c>
      <c r="CY84" s="60">
        <f t="shared" si="432"/>
        <v>1929.4275000000002</v>
      </c>
      <c r="CZ84" s="59">
        <f t="shared" si="433"/>
        <v>6378.3014295000012</v>
      </c>
      <c r="DA84" s="55">
        <f t="shared" si="434"/>
        <v>1877.9761000000001</v>
      </c>
      <c r="DB84" s="59">
        <f t="shared" si="435"/>
        <v>6208.2133913800008</v>
      </c>
      <c r="DC84" s="60">
        <f t="shared" si="436"/>
        <v>1826.5247000000002</v>
      </c>
      <c r="DD84" s="59">
        <f t="shared" si="437"/>
        <v>6038.1253532600003</v>
      </c>
      <c r="DE84" s="60">
        <f t="shared" si="438"/>
        <v>1775.0733</v>
      </c>
      <c r="DF84" s="59">
        <f t="shared" si="439"/>
        <v>5868.0373151399999</v>
      </c>
      <c r="DG84" s="60">
        <f t="shared" si="440"/>
        <v>1723.6218999999999</v>
      </c>
      <c r="DH84" s="59">
        <f t="shared" si="441"/>
        <v>5697.9492770199995</v>
      </c>
      <c r="DI84" s="60">
        <f t="shared" si="442"/>
        <v>1672.1704999999999</v>
      </c>
      <c r="DJ84" s="59">
        <f t="shared" si="443"/>
        <v>5527.8612389</v>
      </c>
      <c r="DK84" s="55">
        <f t="shared" si="444"/>
        <v>1620.7190999999998</v>
      </c>
      <c r="DL84" s="59">
        <f t="shared" si="445"/>
        <v>5357.7732007799996</v>
      </c>
      <c r="DM84" s="60">
        <f t="shared" si="446"/>
        <v>1569.2676999999999</v>
      </c>
      <c r="DN84" s="59">
        <f t="shared" si="447"/>
        <v>5187.6851626600001</v>
      </c>
      <c r="DO84" s="60">
        <f t="shared" si="448"/>
        <v>1517.8162999999997</v>
      </c>
      <c r="DP84" s="59">
        <f t="shared" si="449"/>
        <v>5017.5971245399996</v>
      </c>
      <c r="DQ84" s="55">
        <f t="shared" si="450"/>
        <v>1466.3648999999996</v>
      </c>
      <c r="DR84" s="59">
        <f t="shared" si="451"/>
        <v>4847.5090864199983</v>
      </c>
      <c r="DU84" s="55">
        <v>1</v>
      </c>
      <c r="DV84" s="55">
        <v>0.97</v>
      </c>
      <c r="DW84" s="55">
        <v>0.95</v>
      </c>
      <c r="DX84" s="55">
        <v>0.93</v>
      </c>
      <c r="DY84" s="55">
        <f t="shared" si="503"/>
        <v>0.91</v>
      </c>
      <c r="DZ84" s="55">
        <f t="shared" si="503"/>
        <v>0.89</v>
      </c>
      <c r="EA84" s="55">
        <f t="shared" si="503"/>
        <v>0.87</v>
      </c>
      <c r="EB84" s="55">
        <f t="shared" si="503"/>
        <v>0.85</v>
      </c>
      <c r="EC84" s="55">
        <f t="shared" si="503"/>
        <v>0.83</v>
      </c>
      <c r="ED84" s="55">
        <f t="shared" si="503"/>
        <v>0.80999999999999994</v>
      </c>
      <c r="EE84" s="55">
        <f t="shared" si="503"/>
        <v>0.78999999999999992</v>
      </c>
      <c r="EF84" s="55">
        <f t="shared" si="503"/>
        <v>0.76999999999999991</v>
      </c>
      <c r="EG84" s="55">
        <f t="shared" si="503"/>
        <v>0.74999999999999989</v>
      </c>
      <c r="EH84" s="55">
        <f t="shared" si="503"/>
        <v>0.72999999999999987</v>
      </c>
      <c r="EI84" s="55">
        <f t="shared" si="503"/>
        <v>0.70999999999999985</v>
      </c>
      <c r="EJ84" s="55">
        <f t="shared" si="503"/>
        <v>0.68999999999999984</v>
      </c>
      <c r="EK84" s="55">
        <f t="shared" si="503"/>
        <v>0.66999999999999982</v>
      </c>
      <c r="EL84" s="55">
        <f t="shared" si="503"/>
        <v>0.6499999999999998</v>
      </c>
      <c r="EM84" s="55">
        <f t="shared" si="503"/>
        <v>0.62999999999999978</v>
      </c>
      <c r="EN84" s="55">
        <f t="shared" si="503"/>
        <v>0.60999999999999976</v>
      </c>
      <c r="EO84" s="55">
        <f t="shared" si="503"/>
        <v>0.58999999999999975</v>
      </c>
      <c r="EP84" s="55">
        <f t="shared" si="503"/>
        <v>0.56999999999999973</v>
      </c>
      <c r="ER84" s="55">
        <f t="shared" si="142"/>
        <v>2341.0387000000005</v>
      </c>
      <c r="ES84" s="55">
        <f t="shared" ref="ES84:ES147" si="510">+ER84</f>
        <v>2341.0387000000005</v>
      </c>
      <c r="ET84" s="59">
        <f t="shared" si="453"/>
        <v>7739.0057344600018</v>
      </c>
      <c r="EU84" s="55">
        <f t="shared" si="454"/>
        <v>2270.8075390000004</v>
      </c>
      <c r="EV84" s="59">
        <f t="shared" si="455"/>
        <v>7506.8355624262012</v>
      </c>
      <c r="EW84" s="55">
        <f t="shared" si="456"/>
        <v>2223.9867650000006</v>
      </c>
      <c r="EX84" s="59">
        <f t="shared" si="457"/>
        <v>7352.0554477370024</v>
      </c>
      <c r="EY84" s="55">
        <f t="shared" si="458"/>
        <v>2177.1659910000008</v>
      </c>
      <c r="EZ84" s="59">
        <f t="shared" si="459"/>
        <v>7197.2753330478026</v>
      </c>
      <c r="FA84" s="57">
        <f t="shared" si="460"/>
        <v>2130.3452170000005</v>
      </c>
      <c r="FB84" s="59">
        <f t="shared" si="461"/>
        <v>7042.495218358602</v>
      </c>
      <c r="FC84" s="55">
        <f t="shared" si="462"/>
        <v>2083.5244430000007</v>
      </c>
      <c r="FD84" s="59">
        <f t="shared" si="463"/>
        <v>6887.7151036694022</v>
      </c>
      <c r="FE84" s="57">
        <f t="shared" si="464"/>
        <v>2036.7036690000004</v>
      </c>
      <c r="FF84" s="59">
        <f t="shared" si="465"/>
        <v>6732.9349889802015</v>
      </c>
      <c r="FG84" s="60">
        <f t="shared" si="466"/>
        <v>1989.8828950000004</v>
      </c>
      <c r="FH84" s="59">
        <f t="shared" si="467"/>
        <v>6578.1548742910018</v>
      </c>
      <c r="FI84" s="57">
        <f t="shared" si="468"/>
        <v>1943.0621210000004</v>
      </c>
      <c r="FJ84" s="59">
        <f t="shared" si="469"/>
        <v>6423.3747596018011</v>
      </c>
      <c r="FK84" s="55">
        <f t="shared" si="470"/>
        <v>1896.2413470000004</v>
      </c>
      <c r="FL84" s="59">
        <f t="shared" si="471"/>
        <v>6268.5946449126013</v>
      </c>
      <c r="FM84" s="60">
        <f t="shared" si="472"/>
        <v>1849.4205730000003</v>
      </c>
      <c r="FN84" s="59">
        <f t="shared" si="473"/>
        <v>6113.8145302234016</v>
      </c>
      <c r="FO84" s="60">
        <f t="shared" si="474"/>
        <v>1802.5997990000001</v>
      </c>
      <c r="FP84" s="59">
        <f t="shared" si="475"/>
        <v>5959.0344155342</v>
      </c>
      <c r="FQ84" s="60">
        <f t="shared" si="476"/>
        <v>1755.779025</v>
      </c>
      <c r="FR84" s="59">
        <f t="shared" si="477"/>
        <v>5804.2543008450002</v>
      </c>
      <c r="FS84" s="55">
        <f t="shared" si="478"/>
        <v>1708.958251</v>
      </c>
      <c r="FT84" s="59">
        <f t="shared" si="479"/>
        <v>5649.4741861558005</v>
      </c>
      <c r="FU84" s="60">
        <f t="shared" si="480"/>
        <v>1662.137477</v>
      </c>
      <c r="FV84" s="59">
        <f t="shared" si="481"/>
        <v>5494.6940714665998</v>
      </c>
      <c r="FW84" s="60">
        <f t="shared" si="482"/>
        <v>1615.316703</v>
      </c>
      <c r="FX84" s="59">
        <f t="shared" si="483"/>
        <v>5339.9139567774</v>
      </c>
      <c r="FY84" s="60">
        <f t="shared" si="484"/>
        <v>1568.4959289999999</v>
      </c>
      <c r="FZ84" s="59">
        <f t="shared" si="485"/>
        <v>5185.1338420882003</v>
      </c>
      <c r="GA84" s="60">
        <f t="shared" si="486"/>
        <v>1521.6751549999999</v>
      </c>
      <c r="GB84" s="59">
        <f t="shared" si="487"/>
        <v>5030.3537273989996</v>
      </c>
      <c r="GC84" s="55">
        <f t="shared" si="488"/>
        <v>1474.8543809999999</v>
      </c>
      <c r="GD84" s="59">
        <f t="shared" si="489"/>
        <v>4875.5736127097998</v>
      </c>
      <c r="GE84" s="60">
        <f t="shared" si="490"/>
        <v>1428.0336069999998</v>
      </c>
      <c r="GF84" s="59">
        <f t="shared" si="491"/>
        <v>4720.7934980205991</v>
      </c>
      <c r="GG84" s="60">
        <f t="shared" si="492"/>
        <v>1381.2128329999998</v>
      </c>
      <c r="GH84" s="59">
        <f t="shared" si="493"/>
        <v>4566.0133833313994</v>
      </c>
      <c r="GI84" s="55">
        <f t="shared" si="494"/>
        <v>1334.3920589999996</v>
      </c>
      <c r="GJ84" s="59">
        <f t="shared" si="495"/>
        <v>4411.2332686421987</v>
      </c>
      <c r="GK84" s="55"/>
      <c r="GL84" s="55"/>
      <c r="GM84" s="55">
        <v>1</v>
      </c>
      <c r="GN84" s="55">
        <v>0.97</v>
      </c>
      <c r="GO84" s="55">
        <v>0.95</v>
      </c>
      <c r="GP84" s="55">
        <v>0.93</v>
      </c>
      <c r="GQ84" s="55">
        <f t="shared" si="504"/>
        <v>0.91</v>
      </c>
      <c r="GR84" s="55">
        <f t="shared" si="504"/>
        <v>0.89</v>
      </c>
      <c r="GS84" s="55">
        <f t="shared" si="504"/>
        <v>0.87</v>
      </c>
      <c r="GT84" s="55">
        <f t="shared" si="504"/>
        <v>0.85</v>
      </c>
      <c r="GU84" s="55">
        <f t="shared" si="504"/>
        <v>0.83</v>
      </c>
      <c r="GV84" s="55">
        <f t="shared" si="504"/>
        <v>0.80999999999999994</v>
      </c>
      <c r="GW84" s="55">
        <f t="shared" si="504"/>
        <v>0.78999999999999992</v>
      </c>
      <c r="GX84" s="55">
        <f t="shared" si="504"/>
        <v>0.76999999999999991</v>
      </c>
      <c r="GY84" s="55">
        <f t="shared" si="504"/>
        <v>0.74999999999999989</v>
      </c>
      <c r="GZ84" s="55">
        <f t="shared" si="504"/>
        <v>0.72999999999999987</v>
      </c>
      <c r="HA84" s="55">
        <f t="shared" si="504"/>
        <v>0.70999999999999985</v>
      </c>
      <c r="HB84" s="55">
        <f t="shared" si="504"/>
        <v>0.68999999999999984</v>
      </c>
      <c r="HC84" s="55">
        <f t="shared" si="504"/>
        <v>0.66999999999999982</v>
      </c>
      <c r="HD84" s="55">
        <f t="shared" si="504"/>
        <v>0.6499999999999998</v>
      </c>
      <c r="HE84" s="55">
        <f t="shared" si="504"/>
        <v>0.62999999999999978</v>
      </c>
      <c r="HF84" s="55">
        <f t="shared" si="504"/>
        <v>0.60999999999999976</v>
      </c>
      <c r="HG84" s="55">
        <f t="shared" si="504"/>
        <v>0.58999999999999975</v>
      </c>
      <c r="HH84" s="55">
        <f t="shared" si="504"/>
        <v>0.56999999999999973</v>
      </c>
    </row>
    <row r="85" spans="1:216" x14ac:dyDescent="0.3">
      <c r="A85" s="2">
        <v>23</v>
      </c>
      <c r="C85" s="38" t="s">
        <v>37</v>
      </c>
      <c r="D85" s="42">
        <v>0</v>
      </c>
      <c r="E85" s="71">
        <f t="shared" si="365"/>
        <v>0</v>
      </c>
      <c r="H85" s="55">
        <f t="shared" si="505"/>
        <v>0</v>
      </c>
      <c r="I85" s="55">
        <f t="shared" si="506"/>
        <v>0</v>
      </c>
      <c r="J85" s="59">
        <f t="shared" si="507"/>
        <v>0</v>
      </c>
      <c r="K85" s="55">
        <f t="shared" si="366"/>
        <v>0</v>
      </c>
      <c r="L85" s="59">
        <f t="shared" si="367"/>
        <v>0</v>
      </c>
      <c r="M85" s="55">
        <f t="shared" si="368"/>
        <v>0</v>
      </c>
      <c r="N85" s="59">
        <f t="shared" si="369"/>
        <v>0</v>
      </c>
      <c r="O85" s="55">
        <f t="shared" si="370"/>
        <v>0</v>
      </c>
      <c r="P85" s="59">
        <f t="shared" si="371"/>
        <v>0</v>
      </c>
      <c r="Q85" s="57">
        <f t="shared" si="372"/>
        <v>0</v>
      </c>
      <c r="R85" s="59">
        <f t="shared" si="373"/>
        <v>0</v>
      </c>
      <c r="S85" s="55">
        <f t="shared" si="374"/>
        <v>0</v>
      </c>
      <c r="T85" s="59">
        <f t="shared" si="375"/>
        <v>0</v>
      </c>
      <c r="U85" s="57">
        <f t="shared" si="376"/>
        <v>0</v>
      </c>
      <c r="V85" s="59">
        <f t="shared" si="377"/>
        <v>0</v>
      </c>
      <c r="W85" s="60">
        <f t="shared" si="378"/>
        <v>0</v>
      </c>
      <c r="X85" s="59">
        <f t="shared" si="379"/>
        <v>0</v>
      </c>
      <c r="Y85" s="57">
        <f t="shared" si="380"/>
        <v>0</v>
      </c>
      <c r="Z85" s="59">
        <f t="shared" si="381"/>
        <v>0</v>
      </c>
      <c r="AA85" s="55">
        <f t="shared" si="382"/>
        <v>0</v>
      </c>
      <c r="AB85" s="59">
        <f t="shared" si="383"/>
        <v>0</v>
      </c>
      <c r="AC85" s="60">
        <f t="shared" si="384"/>
        <v>0</v>
      </c>
      <c r="AD85" s="59">
        <f t="shared" si="385"/>
        <v>0</v>
      </c>
      <c r="AE85" s="60">
        <f t="shared" si="386"/>
        <v>0</v>
      </c>
      <c r="AF85" s="59">
        <f t="shared" si="387"/>
        <v>0</v>
      </c>
      <c r="AG85" s="60">
        <f t="shared" si="388"/>
        <v>0</v>
      </c>
      <c r="AH85" s="59">
        <f t="shared" si="389"/>
        <v>0</v>
      </c>
      <c r="AI85" s="55">
        <f t="shared" si="390"/>
        <v>0</v>
      </c>
      <c r="AJ85" s="59">
        <f t="shared" si="391"/>
        <v>0</v>
      </c>
      <c r="AK85" s="60">
        <f t="shared" si="392"/>
        <v>0</v>
      </c>
      <c r="AL85" s="59">
        <f t="shared" si="393"/>
        <v>0</v>
      </c>
      <c r="AM85" s="60">
        <f t="shared" si="394"/>
        <v>0</v>
      </c>
      <c r="AN85" s="59">
        <f t="shared" si="395"/>
        <v>0</v>
      </c>
      <c r="AO85" s="60">
        <f t="shared" si="396"/>
        <v>0</v>
      </c>
      <c r="AP85" s="59">
        <f t="shared" si="397"/>
        <v>0</v>
      </c>
      <c r="AQ85" s="60">
        <f t="shared" si="398"/>
        <v>0</v>
      </c>
      <c r="AR85" s="59">
        <f t="shared" si="399"/>
        <v>0</v>
      </c>
      <c r="AS85" s="55">
        <f t="shared" si="400"/>
        <v>0</v>
      </c>
      <c r="AT85" s="59">
        <f t="shared" si="401"/>
        <v>0</v>
      </c>
      <c r="AU85" s="60">
        <f t="shared" si="402"/>
        <v>0</v>
      </c>
      <c r="AV85" s="59">
        <f t="shared" si="403"/>
        <v>0</v>
      </c>
      <c r="AW85" s="60">
        <f t="shared" si="404"/>
        <v>0</v>
      </c>
      <c r="AX85" s="59">
        <f t="shared" si="405"/>
        <v>0</v>
      </c>
      <c r="AY85" s="55">
        <f t="shared" si="406"/>
        <v>0</v>
      </c>
      <c r="AZ85" s="59">
        <f t="shared" si="407"/>
        <v>0</v>
      </c>
      <c r="BC85" s="55">
        <v>1</v>
      </c>
      <c r="BD85" s="55">
        <v>0.97</v>
      </c>
      <c r="BE85" s="55">
        <v>0.95</v>
      </c>
      <c r="BF85" s="55">
        <v>0.93</v>
      </c>
      <c r="BG85" s="55">
        <f t="shared" si="500"/>
        <v>0.91</v>
      </c>
      <c r="BH85" s="55">
        <f t="shared" si="500"/>
        <v>0.89</v>
      </c>
      <c r="BI85" s="55">
        <f t="shared" si="500"/>
        <v>0.87</v>
      </c>
      <c r="BJ85" s="55">
        <f t="shared" si="500"/>
        <v>0.85</v>
      </c>
      <c r="BK85" s="55">
        <f t="shared" si="500"/>
        <v>0.83</v>
      </c>
      <c r="BL85" s="55">
        <f t="shared" si="500"/>
        <v>0.80999999999999994</v>
      </c>
      <c r="BM85" s="55">
        <f t="shared" si="500"/>
        <v>0.78999999999999992</v>
      </c>
      <c r="BN85" s="55">
        <f t="shared" si="500"/>
        <v>0.76999999999999991</v>
      </c>
      <c r="BO85" s="55">
        <f t="shared" si="500"/>
        <v>0.74999999999999989</v>
      </c>
      <c r="BP85" s="55">
        <f t="shared" si="500"/>
        <v>0.72999999999999987</v>
      </c>
      <c r="BQ85" s="55">
        <f t="shared" si="500"/>
        <v>0.70999999999999985</v>
      </c>
      <c r="BR85" s="55">
        <f t="shared" si="500"/>
        <v>0.68999999999999984</v>
      </c>
      <c r="BS85" s="55">
        <f t="shared" si="500"/>
        <v>0.66999999999999982</v>
      </c>
      <c r="BT85" s="55">
        <f t="shared" si="500"/>
        <v>0.6499999999999998</v>
      </c>
      <c r="BU85" s="55">
        <f t="shared" si="500"/>
        <v>0.62999999999999978</v>
      </c>
      <c r="BV85" s="55">
        <f t="shared" si="500"/>
        <v>0.60999999999999976</v>
      </c>
      <c r="BW85" s="55">
        <f t="shared" si="500"/>
        <v>0.58999999999999975</v>
      </c>
      <c r="BX85" s="55">
        <f t="shared" si="500"/>
        <v>0.56999999999999973</v>
      </c>
      <c r="BZ85" s="55">
        <f t="shared" si="508"/>
        <v>0</v>
      </c>
      <c r="CA85" s="55">
        <f t="shared" si="509"/>
        <v>0</v>
      </c>
      <c r="CB85" s="59">
        <f t="shared" si="409"/>
        <v>0</v>
      </c>
      <c r="CC85" s="55">
        <f t="shared" si="410"/>
        <v>0</v>
      </c>
      <c r="CD85" s="59">
        <f t="shared" si="411"/>
        <v>0</v>
      </c>
      <c r="CE85" s="55">
        <f t="shared" si="412"/>
        <v>0</v>
      </c>
      <c r="CF85" s="59">
        <f t="shared" si="413"/>
        <v>0</v>
      </c>
      <c r="CG85" s="55">
        <f t="shared" si="414"/>
        <v>0</v>
      </c>
      <c r="CH85" s="59">
        <f t="shared" si="415"/>
        <v>0</v>
      </c>
      <c r="CI85" s="57">
        <f t="shared" si="416"/>
        <v>0</v>
      </c>
      <c r="CJ85" s="59">
        <f t="shared" si="417"/>
        <v>0</v>
      </c>
      <c r="CK85" s="55">
        <f t="shared" si="418"/>
        <v>0</v>
      </c>
      <c r="CL85" s="59">
        <f t="shared" si="419"/>
        <v>0</v>
      </c>
      <c r="CM85" s="57">
        <f t="shared" si="420"/>
        <v>0</v>
      </c>
      <c r="CN85" s="59">
        <f t="shared" si="421"/>
        <v>0</v>
      </c>
      <c r="CO85" s="60">
        <f t="shared" si="422"/>
        <v>0</v>
      </c>
      <c r="CP85" s="59">
        <f t="shared" si="423"/>
        <v>0</v>
      </c>
      <c r="CQ85" s="57">
        <f t="shared" si="424"/>
        <v>0</v>
      </c>
      <c r="CR85" s="59">
        <f t="shared" si="425"/>
        <v>0</v>
      </c>
      <c r="CS85" s="55">
        <f t="shared" si="426"/>
        <v>0</v>
      </c>
      <c r="CT85" s="59">
        <f t="shared" si="427"/>
        <v>0</v>
      </c>
      <c r="CU85" s="60">
        <f t="shared" si="428"/>
        <v>0</v>
      </c>
      <c r="CV85" s="59">
        <f t="shared" si="429"/>
        <v>0</v>
      </c>
      <c r="CW85" s="60">
        <f t="shared" si="430"/>
        <v>0</v>
      </c>
      <c r="CX85" s="59">
        <f t="shared" si="431"/>
        <v>0</v>
      </c>
      <c r="CY85" s="60">
        <f t="shared" si="432"/>
        <v>0</v>
      </c>
      <c r="CZ85" s="59">
        <f t="shared" si="433"/>
        <v>0</v>
      </c>
      <c r="DA85" s="55">
        <f t="shared" si="434"/>
        <v>0</v>
      </c>
      <c r="DB85" s="59">
        <f t="shared" si="435"/>
        <v>0</v>
      </c>
      <c r="DC85" s="60">
        <f t="shared" si="436"/>
        <v>0</v>
      </c>
      <c r="DD85" s="59">
        <f t="shared" si="437"/>
        <v>0</v>
      </c>
      <c r="DE85" s="60">
        <f t="shared" si="438"/>
        <v>0</v>
      </c>
      <c r="DF85" s="59">
        <f t="shared" si="439"/>
        <v>0</v>
      </c>
      <c r="DG85" s="60">
        <f t="shared" si="440"/>
        <v>0</v>
      </c>
      <c r="DH85" s="59">
        <f t="shared" si="441"/>
        <v>0</v>
      </c>
      <c r="DI85" s="60">
        <f t="shared" si="442"/>
        <v>0</v>
      </c>
      <c r="DJ85" s="59">
        <f t="shared" si="443"/>
        <v>0</v>
      </c>
      <c r="DK85" s="55">
        <f t="shared" si="444"/>
        <v>0</v>
      </c>
      <c r="DL85" s="59">
        <f t="shared" si="445"/>
        <v>0</v>
      </c>
      <c r="DM85" s="60">
        <f t="shared" si="446"/>
        <v>0</v>
      </c>
      <c r="DN85" s="59">
        <f t="shared" si="447"/>
        <v>0</v>
      </c>
      <c r="DO85" s="60">
        <f t="shared" si="448"/>
        <v>0</v>
      </c>
      <c r="DP85" s="59">
        <f t="shared" si="449"/>
        <v>0</v>
      </c>
      <c r="DQ85" s="55">
        <f t="shared" si="450"/>
        <v>0</v>
      </c>
      <c r="DR85" s="59">
        <f t="shared" si="451"/>
        <v>0</v>
      </c>
      <c r="DU85" s="55">
        <v>1</v>
      </c>
      <c r="DV85" s="55">
        <v>0.97</v>
      </c>
      <c r="DW85" s="55">
        <v>0.95</v>
      </c>
      <c r="DX85" s="55">
        <v>0.93</v>
      </c>
      <c r="DY85" s="55">
        <f t="shared" si="503"/>
        <v>0.91</v>
      </c>
      <c r="DZ85" s="55">
        <f t="shared" si="503"/>
        <v>0.89</v>
      </c>
      <c r="EA85" s="55">
        <f t="shared" si="503"/>
        <v>0.87</v>
      </c>
      <c r="EB85" s="55">
        <f t="shared" si="503"/>
        <v>0.85</v>
      </c>
      <c r="EC85" s="55">
        <f t="shared" si="503"/>
        <v>0.83</v>
      </c>
      <c r="ED85" s="55">
        <f t="shared" si="503"/>
        <v>0.80999999999999994</v>
      </c>
      <c r="EE85" s="55">
        <f t="shared" si="503"/>
        <v>0.78999999999999992</v>
      </c>
      <c r="EF85" s="55">
        <f t="shared" si="503"/>
        <v>0.76999999999999991</v>
      </c>
      <c r="EG85" s="55">
        <f t="shared" si="503"/>
        <v>0.74999999999999989</v>
      </c>
      <c r="EH85" s="55">
        <f t="shared" si="503"/>
        <v>0.72999999999999987</v>
      </c>
      <c r="EI85" s="55">
        <f t="shared" si="503"/>
        <v>0.70999999999999985</v>
      </c>
      <c r="EJ85" s="55">
        <f t="shared" si="503"/>
        <v>0.68999999999999984</v>
      </c>
      <c r="EK85" s="55">
        <f t="shared" si="503"/>
        <v>0.66999999999999982</v>
      </c>
      <c r="EL85" s="55">
        <f t="shared" si="503"/>
        <v>0.6499999999999998</v>
      </c>
      <c r="EM85" s="55">
        <f t="shared" si="503"/>
        <v>0.62999999999999978</v>
      </c>
      <c r="EN85" s="55">
        <f t="shared" si="503"/>
        <v>0.60999999999999976</v>
      </c>
      <c r="EO85" s="55">
        <f t="shared" si="503"/>
        <v>0.58999999999999975</v>
      </c>
      <c r="EP85" s="55">
        <f t="shared" si="503"/>
        <v>0.56999999999999973</v>
      </c>
      <c r="ER85" s="55">
        <f t="shared" si="142"/>
        <v>0</v>
      </c>
      <c r="ES85" s="55">
        <f t="shared" si="510"/>
        <v>0</v>
      </c>
      <c r="ET85" s="59">
        <f t="shared" si="453"/>
        <v>0</v>
      </c>
      <c r="EU85" s="55">
        <f t="shared" si="454"/>
        <v>0</v>
      </c>
      <c r="EV85" s="59">
        <f t="shared" si="455"/>
        <v>0</v>
      </c>
      <c r="EW85" s="55">
        <f t="shared" si="456"/>
        <v>0</v>
      </c>
      <c r="EX85" s="59">
        <f t="shared" si="457"/>
        <v>0</v>
      </c>
      <c r="EY85" s="55">
        <f t="shared" si="458"/>
        <v>0</v>
      </c>
      <c r="EZ85" s="59">
        <f t="shared" si="459"/>
        <v>0</v>
      </c>
      <c r="FA85" s="57">
        <f t="shared" si="460"/>
        <v>0</v>
      </c>
      <c r="FB85" s="59">
        <f t="shared" si="461"/>
        <v>0</v>
      </c>
      <c r="FC85" s="55">
        <f t="shared" si="462"/>
        <v>0</v>
      </c>
      <c r="FD85" s="59">
        <f t="shared" si="463"/>
        <v>0</v>
      </c>
      <c r="FE85" s="57">
        <f t="shared" si="464"/>
        <v>0</v>
      </c>
      <c r="FF85" s="59">
        <f t="shared" si="465"/>
        <v>0</v>
      </c>
      <c r="FG85" s="60">
        <f t="shared" si="466"/>
        <v>0</v>
      </c>
      <c r="FH85" s="59">
        <f t="shared" si="467"/>
        <v>0</v>
      </c>
      <c r="FI85" s="57">
        <f t="shared" si="468"/>
        <v>0</v>
      </c>
      <c r="FJ85" s="59">
        <f t="shared" si="469"/>
        <v>0</v>
      </c>
      <c r="FK85" s="55">
        <f t="shared" si="470"/>
        <v>0</v>
      </c>
      <c r="FL85" s="59">
        <f t="shared" si="471"/>
        <v>0</v>
      </c>
      <c r="FM85" s="60">
        <f t="shared" si="472"/>
        <v>0</v>
      </c>
      <c r="FN85" s="59">
        <f t="shared" si="473"/>
        <v>0</v>
      </c>
      <c r="FO85" s="60">
        <f t="shared" si="474"/>
        <v>0</v>
      </c>
      <c r="FP85" s="59">
        <f t="shared" si="475"/>
        <v>0</v>
      </c>
      <c r="FQ85" s="60">
        <f t="shared" si="476"/>
        <v>0</v>
      </c>
      <c r="FR85" s="59">
        <f t="shared" si="477"/>
        <v>0</v>
      </c>
      <c r="FS85" s="55">
        <f t="shared" si="478"/>
        <v>0</v>
      </c>
      <c r="FT85" s="59">
        <f t="shared" si="479"/>
        <v>0</v>
      </c>
      <c r="FU85" s="60">
        <f t="shared" si="480"/>
        <v>0</v>
      </c>
      <c r="FV85" s="59">
        <f t="shared" si="481"/>
        <v>0</v>
      </c>
      <c r="FW85" s="60">
        <f t="shared" si="482"/>
        <v>0</v>
      </c>
      <c r="FX85" s="59">
        <f t="shared" si="483"/>
        <v>0</v>
      </c>
      <c r="FY85" s="60">
        <f t="shared" si="484"/>
        <v>0</v>
      </c>
      <c r="FZ85" s="59">
        <f t="shared" si="485"/>
        <v>0</v>
      </c>
      <c r="GA85" s="60">
        <f t="shared" si="486"/>
        <v>0</v>
      </c>
      <c r="GB85" s="59">
        <f t="shared" si="487"/>
        <v>0</v>
      </c>
      <c r="GC85" s="55">
        <f t="shared" si="488"/>
        <v>0</v>
      </c>
      <c r="GD85" s="59">
        <f t="shared" si="489"/>
        <v>0</v>
      </c>
      <c r="GE85" s="60">
        <f t="shared" si="490"/>
        <v>0</v>
      </c>
      <c r="GF85" s="59">
        <f t="shared" si="491"/>
        <v>0</v>
      </c>
      <c r="GG85" s="60">
        <f t="shared" si="492"/>
        <v>0</v>
      </c>
      <c r="GH85" s="59">
        <f t="shared" si="493"/>
        <v>0</v>
      </c>
      <c r="GI85" s="55">
        <f t="shared" si="494"/>
        <v>0</v>
      </c>
      <c r="GJ85" s="59">
        <f t="shared" si="495"/>
        <v>0</v>
      </c>
      <c r="GK85" s="55"/>
      <c r="GL85" s="55"/>
      <c r="GM85" s="55">
        <v>1</v>
      </c>
      <c r="GN85" s="55">
        <v>0.97</v>
      </c>
      <c r="GO85" s="55">
        <v>0.95</v>
      </c>
      <c r="GP85" s="55">
        <v>0.93</v>
      </c>
      <c r="GQ85" s="55">
        <f t="shared" si="504"/>
        <v>0.91</v>
      </c>
      <c r="GR85" s="55">
        <f t="shared" si="504"/>
        <v>0.89</v>
      </c>
      <c r="GS85" s="55">
        <f t="shared" si="504"/>
        <v>0.87</v>
      </c>
      <c r="GT85" s="55">
        <f t="shared" si="504"/>
        <v>0.85</v>
      </c>
      <c r="GU85" s="55">
        <f t="shared" si="504"/>
        <v>0.83</v>
      </c>
      <c r="GV85" s="55">
        <f t="shared" si="504"/>
        <v>0.80999999999999994</v>
      </c>
      <c r="GW85" s="55">
        <f t="shared" si="504"/>
        <v>0.78999999999999992</v>
      </c>
      <c r="GX85" s="55">
        <f t="shared" si="504"/>
        <v>0.76999999999999991</v>
      </c>
      <c r="GY85" s="55">
        <f t="shared" si="504"/>
        <v>0.74999999999999989</v>
      </c>
      <c r="GZ85" s="55">
        <f t="shared" si="504"/>
        <v>0.72999999999999987</v>
      </c>
      <c r="HA85" s="55">
        <f t="shared" si="504"/>
        <v>0.70999999999999985</v>
      </c>
      <c r="HB85" s="55">
        <f t="shared" si="504"/>
        <v>0.68999999999999984</v>
      </c>
      <c r="HC85" s="55">
        <f t="shared" si="504"/>
        <v>0.66999999999999982</v>
      </c>
      <c r="HD85" s="55">
        <f t="shared" si="504"/>
        <v>0.6499999999999998</v>
      </c>
      <c r="HE85" s="55">
        <f t="shared" si="504"/>
        <v>0.62999999999999978</v>
      </c>
      <c r="HF85" s="55">
        <f t="shared" si="504"/>
        <v>0.60999999999999976</v>
      </c>
      <c r="HG85" s="55">
        <f t="shared" si="504"/>
        <v>0.58999999999999975</v>
      </c>
      <c r="HH85" s="55">
        <f t="shared" si="504"/>
        <v>0.56999999999999973</v>
      </c>
    </row>
    <row r="86" spans="1:216" x14ac:dyDescent="0.3">
      <c r="A86" s="2">
        <v>24</v>
      </c>
      <c r="C86" s="38" t="s">
        <v>38</v>
      </c>
      <c r="D86" s="42">
        <f>TRUNC(3342.43153454034,-1)</f>
        <v>3340</v>
      </c>
      <c r="E86" s="71">
        <f t="shared" si="365"/>
        <v>11040</v>
      </c>
      <c r="H86" s="55">
        <f t="shared" si="505"/>
        <v>12144.000000000002</v>
      </c>
      <c r="I86" s="55">
        <f t="shared" si="506"/>
        <v>12144.000000000002</v>
      </c>
      <c r="J86" s="59">
        <f t="shared" si="507"/>
        <v>40145.635200000004</v>
      </c>
      <c r="K86" s="55">
        <f t="shared" si="366"/>
        <v>11779.680000000002</v>
      </c>
      <c r="L86" s="59">
        <f t="shared" si="367"/>
        <v>38941.266144000008</v>
      </c>
      <c r="M86" s="55">
        <f t="shared" si="368"/>
        <v>11536.800000000001</v>
      </c>
      <c r="N86" s="59">
        <f t="shared" si="369"/>
        <v>38138.353440000006</v>
      </c>
      <c r="O86" s="55">
        <f t="shared" si="370"/>
        <v>11293.920000000002</v>
      </c>
      <c r="P86" s="59">
        <f t="shared" si="371"/>
        <v>37335.440736000004</v>
      </c>
      <c r="Q86" s="57">
        <f t="shared" si="372"/>
        <v>11051.040000000003</v>
      </c>
      <c r="R86" s="59">
        <f t="shared" si="373"/>
        <v>36532.528032000009</v>
      </c>
      <c r="S86" s="55">
        <f t="shared" si="374"/>
        <v>10808.160000000002</v>
      </c>
      <c r="T86" s="59">
        <f t="shared" si="375"/>
        <v>35729.615328000007</v>
      </c>
      <c r="U86" s="57">
        <f t="shared" si="376"/>
        <v>10565.28</v>
      </c>
      <c r="V86" s="59">
        <f t="shared" si="377"/>
        <v>34926.702624000005</v>
      </c>
      <c r="W86" s="60">
        <f t="shared" si="378"/>
        <v>10322.400000000001</v>
      </c>
      <c r="X86" s="59">
        <f t="shared" si="379"/>
        <v>34123.789920000003</v>
      </c>
      <c r="Y86" s="57">
        <f t="shared" si="380"/>
        <v>10079.52</v>
      </c>
      <c r="Z86" s="59">
        <f t="shared" si="381"/>
        <v>33320.877216000001</v>
      </c>
      <c r="AA86" s="55">
        <f t="shared" si="382"/>
        <v>9836.6400000000012</v>
      </c>
      <c r="AB86" s="59">
        <f t="shared" si="383"/>
        <v>32517.964512000006</v>
      </c>
      <c r="AC86" s="60">
        <f t="shared" si="384"/>
        <v>9593.76</v>
      </c>
      <c r="AD86" s="59">
        <f t="shared" si="385"/>
        <v>31715.051808</v>
      </c>
      <c r="AE86" s="60">
        <f t="shared" si="386"/>
        <v>9350.880000000001</v>
      </c>
      <c r="AF86" s="59">
        <f t="shared" si="387"/>
        <v>30912.139104000005</v>
      </c>
      <c r="AG86" s="60">
        <f t="shared" si="388"/>
        <v>9108</v>
      </c>
      <c r="AH86" s="59">
        <f t="shared" si="389"/>
        <v>30109.2264</v>
      </c>
      <c r="AI86" s="55">
        <f t="shared" si="390"/>
        <v>8865.119999999999</v>
      </c>
      <c r="AJ86" s="59">
        <f t="shared" si="391"/>
        <v>29306.313695999997</v>
      </c>
      <c r="AK86" s="60">
        <f t="shared" si="392"/>
        <v>8622.24</v>
      </c>
      <c r="AL86" s="59">
        <f t="shared" si="393"/>
        <v>28503.400991999999</v>
      </c>
      <c r="AM86" s="60">
        <f t="shared" si="394"/>
        <v>8379.3599999999988</v>
      </c>
      <c r="AN86" s="59">
        <f t="shared" si="395"/>
        <v>27700.488287999997</v>
      </c>
      <c r="AO86" s="60">
        <f t="shared" si="396"/>
        <v>8136.4799999999987</v>
      </c>
      <c r="AP86" s="59">
        <f t="shared" si="397"/>
        <v>26897.575583999995</v>
      </c>
      <c r="AQ86" s="60">
        <f t="shared" si="398"/>
        <v>7893.5999999999985</v>
      </c>
      <c r="AR86" s="59">
        <f t="shared" si="399"/>
        <v>26094.662879999996</v>
      </c>
      <c r="AS86" s="55">
        <f t="shared" si="400"/>
        <v>7650.7199999999984</v>
      </c>
      <c r="AT86" s="59">
        <f t="shared" si="401"/>
        <v>25291.750175999994</v>
      </c>
      <c r="AU86" s="60">
        <f t="shared" si="402"/>
        <v>7407.8399999999983</v>
      </c>
      <c r="AV86" s="59">
        <f t="shared" si="403"/>
        <v>24488.837471999996</v>
      </c>
      <c r="AW86" s="60">
        <f t="shared" si="404"/>
        <v>7164.9599999999982</v>
      </c>
      <c r="AX86" s="59">
        <f t="shared" si="405"/>
        <v>23685.924767999993</v>
      </c>
      <c r="AY86" s="55">
        <f t="shared" si="406"/>
        <v>6922.0799999999981</v>
      </c>
      <c r="AZ86" s="59">
        <f t="shared" si="407"/>
        <v>22883.012063999995</v>
      </c>
      <c r="BC86" s="55">
        <v>1</v>
      </c>
      <c r="BD86" s="55">
        <v>0.97</v>
      </c>
      <c r="BE86" s="55">
        <v>0.95</v>
      </c>
      <c r="BF86" s="55">
        <v>0.93</v>
      </c>
      <c r="BG86" s="55">
        <f t="shared" si="500"/>
        <v>0.91</v>
      </c>
      <c r="BH86" s="55">
        <f t="shared" si="500"/>
        <v>0.89</v>
      </c>
      <c r="BI86" s="55">
        <f t="shared" si="500"/>
        <v>0.87</v>
      </c>
      <c r="BJ86" s="55">
        <f t="shared" si="500"/>
        <v>0.85</v>
      </c>
      <c r="BK86" s="55">
        <f t="shared" si="500"/>
        <v>0.83</v>
      </c>
      <c r="BL86" s="55">
        <f t="shared" si="500"/>
        <v>0.80999999999999994</v>
      </c>
      <c r="BM86" s="55">
        <f t="shared" si="500"/>
        <v>0.78999999999999992</v>
      </c>
      <c r="BN86" s="55">
        <f t="shared" si="500"/>
        <v>0.76999999999999991</v>
      </c>
      <c r="BO86" s="55">
        <f t="shared" si="500"/>
        <v>0.74999999999999989</v>
      </c>
      <c r="BP86" s="55">
        <f t="shared" si="500"/>
        <v>0.72999999999999987</v>
      </c>
      <c r="BQ86" s="55">
        <f t="shared" si="500"/>
        <v>0.70999999999999985</v>
      </c>
      <c r="BR86" s="55">
        <f t="shared" si="500"/>
        <v>0.68999999999999984</v>
      </c>
      <c r="BS86" s="55">
        <f t="shared" si="500"/>
        <v>0.66999999999999982</v>
      </c>
      <c r="BT86" s="55">
        <f t="shared" si="500"/>
        <v>0.6499999999999998</v>
      </c>
      <c r="BU86" s="55">
        <f t="shared" si="500"/>
        <v>0.62999999999999978</v>
      </c>
      <c r="BV86" s="55">
        <f t="shared" si="500"/>
        <v>0.60999999999999976</v>
      </c>
      <c r="BW86" s="55">
        <f t="shared" si="500"/>
        <v>0.58999999999999975</v>
      </c>
      <c r="BX86" s="55">
        <f t="shared" si="500"/>
        <v>0.56999999999999973</v>
      </c>
      <c r="BZ86" s="55">
        <f t="shared" si="508"/>
        <v>11051.040000000003</v>
      </c>
      <c r="CA86" s="55">
        <f t="shared" si="509"/>
        <v>11051.040000000003</v>
      </c>
      <c r="CB86" s="59">
        <f t="shared" si="409"/>
        <v>36532.528032000009</v>
      </c>
      <c r="CC86" s="55">
        <f t="shared" si="410"/>
        <v>10719.508800000001</v>
      </c>
      <c r="CD86" s="59">
        <f t="shared" si="411"/>
        <v>35436.552191040006</v>
      </c>
      <c r="CE86" s="55">
        <f t="shared" si="412"/>
        <v>10498.488000000001</v>
      </c>
      <c r="CF86" s="59">
        <f t="shared" si="413"/>
        <v>34705.901630400003</v>
      </c>
      <c r="CG86" s="55">
        <f t="shared" si="414"/>
        <v>10277.467200000003</v>
      </c>
      <c r="CH86" s="59">
        <f t="shared" si="415"/>
        <v>33975.251069760008</v>
      </c>
      <c r="CI86" s="57">
        <f t="shared" si="416"/>
        <v>10056.446400000003</v>
      </c>
      <c r="CJ86" s="59">
        <f t="shared" si="417"/>
        <v>33244.600509120006</v>
      </c>
      <c r="CK86" s="55">
        <f t="shared" si="418"/>
        <v>9835.4256000000023</v>
      </c>
      <c r="CL86" s="59">
        <f t="shared" si="419"/>
        <v>32513.949948480007</v>
      </c>
      <c r="CM86" s="57">
        <f t="shared" si="420"/>
        <v>9614.4048000000021</v>
      </c>
      <c r="CN86" s="59">
        <f t="shared" si="421"/>
        <v>31783.299387840008</v>
      </c>
      <c r="CO86" s="60">
        <f t="shared" si="422"/>
        <v>9393.3840000000018</v>
      </c>
      <c r="CP86" s="59">
        <f t="shared" si="423"/>
        <v>31052.648827200006</v>
      </c>
      <c r="CQ86" s="57">
        <f t="shared" si="424"/>
        <v>9172.3632000000016</v>
      </c>
      <c r="CR86" s="59">
        <f t="shared" si="425"/>
        <v>30321.998266560007</v>
      </c>
      <c r="CS86" s="55">
        <f t="shared" si="426"/>
        <v>8951.3424000000014</v>
      </c>
      <c r="CT86" s="59">
        <f t="shared" si="427"/>
        <v>29591.347705920005</v>
      </c>
      <c r="CU86" s="60">
        <f t="shared" si="428"/>
        <v>8730.3216000000011</v>
      </c>
      <c r="CV86" s="59">
        <f t="shared" si="429"/>
        <v>28860.697145280003</v>
      </c>
      <c r="CW86" s="60">
        <f t="shared" si="430"/>
        <v>8509.3008000000009</v>
      </c>
      <c r="CX86" s="59">
        <f t="shared" si="431"/>
        <v>28130.046584640004</v>
      </c>
      <c r="CY86" s="60">
        <f t="shared" si="432"/>
        <v>8288.2800000000007</v>
      </c>
      <c r="CZ86" s="59">
        <f t="shared" si="433"/>
        <v>27399.396024000001</v>
      </c>
      <c r="DA86" s="55">
        <f t="shared" si="434"/>
        <v>8067.2592000000004</v>
      </c>
      <c r="DB86" s="59">
        <f t="shared" si="435"/>
        <v>26668.745463360003</v>
      </c>
      <c r="DC86" s="60">
        <f t="shared" si="436"/>
        <v>7846.2384000000002</v>
      </c>
      <c r="DD86" s="59">
        <f t="shared" si="437"/>
        <v>25938.09490272</v>
      </c>
      <c r="DE86" s="60">
        <f t="shared" si="438"/>
        <v>7625.2175999999999</v>
      </c>
      <c r="DF86" s="59">
        <f t="shared" si="439"/>
        <v>25207.444342080002</v>
      </c>
      <c r="DG86" s="60">
        <f t="shared" si="440"/>
        <v>7404.1967999999997</v>
      </c>
      <c r="DH86" s="59">
        <f t="shared" si="441"/>
        <v>24476.793781439999</v>
      </c>
      <c r="DI86" s="60">
        <f t="shared" si="442"/>
        <v>7183.1759999999995</v>
      </c>
      <c r="DJ86" s="59">
        <f t="shared" si="443"/>
        <v>23746.143220800001</v>
      </c>
      <c r="DK86" s="55">
        <f t="shared" si="444"/>
        <v>6962.1551999999992</v>
      </c>
      <c r="DL86" s="59">
        <f t="shared" si="445"/>
        <v>23015.492660159998</v>
      </c>
      <c r="DM86" s="60">
        <f t="shared" si="446"/>
        <v>6741.134399999999</v>
      </c>
      <c r="DN86" s="59">
        <f t="shared" si="447"/>
        <v>22284.842099519996</v>
      </c>
      <c r="DO86" s="60">
        <f t="shared" si="448"/>
        <v>6520.1135999999988</v>
      </c>
      <c r="DP86" s="59">
        <f t="shared" si="449"/>
        <v>21554.191538879997</v>
      </c>
      <c r="DQ86" s="55">
        <f t="shared" si="450"/>
        <v>6299.0927999999985</v>
      </c>
      <c r="DR86" s="59">
        <f t="shared" si="451"/>
        <v>20823.540978239995</v>
      </c>
      <c r="DU86" s="55">
        <v>1</v>
      </c>
      <c r="DV86" s="55">
        <v>0.97</v>
      </c>
      <c r="DW86" s="55">
        <v>0.95</v>
      </c>
      <c r="DX86" s="55">
        <v>0.93</v>
      </c>
      <c r="DY86" s="55">
        <f t="shared" si="503"/>
        <v>0.91</v>
      </c>
      <c r="DZ86" s="55">
        <f t="shared" si="503"/>
        <v>0.89</v>
      </c>
      <c r="EA86" s="55">
        <f t="shared" si="503"/>
        <v>0.87</v>
      </c>
      <c r="EB86" s="55">
        <f t="shared" si="503"/>
        <v>0.85</v>
      </c>
      <c r="EC86" s="55">
        <f t="shared" si="503"/>
        <v>0.83</v>
      </c>
      <c r="ED86" s="55">
        <f t="shared" si="503"/>
        <v>0.80999999999999994</v>
      </c>
      <c r="EE86" s="55">
        <f t="shared" si="503"/>
        <v>0.78999999999999992</v>
      </c>
      <c r="EF86" s="55">
        <f t="shared" si="503"/>
        <v>0.76999999999999991</v>
      </c>
      <c r="EG86" s="55">
        <f t="shared" si="503"/>
        <v>0.74999999999999989</v>
      </c>
      <c r="EH86" s="55">
        <f t="shared" si="503"/>
        <v>0.72999999999999987</v>
      </c>
      <c r="EI86" s="55">
        <f t="shared" si="503"/>
        <v>0.70999999999999985</v>
      </c>
      <c r="EJ86" s="55">
        <f t="shared" si="503"/>
        <v>0.68999999999999984</v>
      </c>
      <c r="EK86" s="55">
        <f t="shared" si="503"/>
        <v>0.66999999999999982</v>
      </c>
      <c r="EL86" s="55">
        <f t="shared" si="503"/>
        <v>0.6499999999999998</v>
      </c>
      <c r="EM86" s="55">
        <f t="shared" si="503"/>
        <v>0.62999999999999978</v>
      </c>
      <c r="EN86" s="55">
        <f t="shared" si="503"/>
        <v>0.60999999999999976</v>
      </c>
      <c r="EO86" s="55">
        <f t="shared" si="503"/>
        <v>0.58999999999999975</v>
      </c>
      <c r="EP86" s="55">
        <f t="shared" si="503"/>
        <v>0.56999999999999973</v>
      </c>
      <c r="ER86" s="55">
        <f t="shared" si="142"/>
        <v>10056.446400000003</v>
      </c>
      <c r="ES86" s="55">
        <f t="shared" si="510"/>
        <v>10056.446400000003</v>
      </c>
      <c r="ET86" s="59">
        <f t="shared" si="453"/>
        <v>33244.600509120006</v>
      </c>
      <c r="EU86" s="55">
        <f t="shared" si="454"/>
        <v>9754.7530080000015</v>
      </c>
      <c r="EV86" s="59">
        <f t="shared" si="455"/>
        <v>32247.262493846407</v>
      </c>
      <c r="EW86" s="55">
        <f t="shared" si="456"/>
        <v>9553.6240800000014</v>
      </c>
      <c r="EX86" s="59">
        <f t="shared" si="457"/>
        <v>31582.370483664006</v>
      </c>
      <c r="EY86" s="55">
        <f t="shared" si="458"/>
        <v>9352.4951520000031</v>
      </c>
      <c r="EZ86" s="59">
        <f t="shared" si="459"/>
        <v>30917.478473481609</v>
      </c>
      <c r="FA86" s="57">
        <f t="shared" si="460"/>
        <v>9151.3662240000031</v>
      </c>
      <c r="FB86" s="59">
        <f t="shared" si="461"/>
        <v>30252.586463299212</v>
      </c>
      <c r="FC86" s="55">
        <f t="shared" si="462"/>
        <v>8950.237296000003</v>
      </c>
      <c r="FD86" s="59">
        <f t="shared" si="463"/>
        <v>29587.694453116812</v>
      </c>
      <c r="FE86" s="57">
        <f t="shared" si="464"/>
        <v>8749.1083680000029</v>
      </c>
      <c r="FF86" s="59">
        <f t="shared" si="465"/>
        <v>28922.802442934411</v>
      </c>
      <c r="FG86" s="60">
        <f t="shared" si="466"/>
        <v>8547.9794400000028</v>
      </c>
      <c r="FH86" s="59">
        <f t="shared" si="467"/>
        <v>28257.910432752011</v>
      </c>
      <c r="FI86" s="57">
        <f t="shared" si="468"/>
        <v>8346.8505120000009</v>
      </c>
      <c r="FJ86" s="59">
        <f t="shared" si="469"/>
        <v>27593.018422569603</v>
      </c>
      <c r="FK86" s="55">
        <f t="shared" si="470"/>
        <v>8145.7215840000017</v>
      </c>
      <c r="FL86" s="59">
        <f t="shared" si="471"/>
        <v>26928.126412387206</v>
      </c>
      <c r="FM86" s="60">
        <f t="shared" si="472"/>
        <v>7944.5926560000016</v>
      </c>
      <c r="FN86" s="59">
        <f t="shared" si="473"/>
        <v>26263.234402204806</v>
      </c>
      <c r="FO86" s="60">
        <f t="shared" si="474"/>
        <v>7743.4637280000006</v>
      </c>
      <c r="FP86" s="59">
        <f t="shared" si="475"/>
        <v>25598.342392022401</v>
      </c>
      <c r="FQ86" s="60">
        <f t="shared" si="476"/>
        <v>7542.3348000000005</v>
      </c>
      <c r="FR86" s="59">
        <f t="shared" si="477"/>
        <v>24933.450381840001</v>
      </c>
      <c r="FS86" s="55">
        <f t="shared" si="478"/>
        <v>7341.2058720000005</v>
      </c>
      <c r="FT86" s="59">
        <f t="shared" si="479"/>
        <v>24268.5583716576</v>
      </c>
      <c r="FU86" s="60">
        <f t="shared" si="480"/>
        <v>7140.0769440000004</v>
      </c>
      <c r="FV86" s="59">
        <f t="shared" si="481"/>
        <v>23603.666361475203</v>
      </c>
      <c r="FW86" s="60">
        <f t="shared" si="482"/>
        <v>6938.9480160000003</v>
      </c>
      <c r="FX86" s="59">
        <f t="shared" si="483"/>
        <v>22938.774351292803</v>
      </c>
      <c r="FY86" s="60">
        <f t="shared" si="484"/>
        <v>6737.8190880000002</v>
      </c>
      <c r="FZ86" s="59">
        <f t="shared" si="485"/>
        <v>22273.882341110402</v>
      </c>
      <c r="GA86" s="60">
        <f t="shared" si="486"/>
        <v>6536.6901599999992</v>
      </c>
      <c r="GB86" s="59">
        <f t="shared" si="487"/>
        <v>21608.990330927998</v>
      </c>
      <c r="GC86" s="55">
        <f t="shared" si="488"/>
        <v>6335.5612319999991</v>
      </c>
      <c r="GD86" s="59">
        <f t="shared" si="489"/>
        <v>20944.098320745597</v>
      </c>
      <c r="GE86" s="60">
        <f t="shared" si="490"/>
        <v>6134.432303999999</v>
      </c>
      <c r="GF86" s="59">
        <f t="shared" si="491"/>
        <v>20279.206310563197</v>
      </c>
      <c r="GG86" s="60">
        <f t="shared" si="492"/>
        <v>5933.3033759999989</v>
      </c>
      <c r="GH86" s="59">
        <f t="shared" si="493"/>
        <v>19614.314300380796</v>
      </c>
      <c r="GI86" s="55">
        <f t="shared" si="494"/>
        <v>5732.1744479999988</v>
      </c>
      <c r="GJ86" s="59">
        <f t="shared" si="495"/>
        <v>18949.422290198396</v>
      </c>
      <c r="GK86" s="55"/>
      <c r="GL86" s="55"/>
      <c r="GM86" s="55">
        <v>1</v>
      </c>
      <c r="GN86" s="55">
        <v>0.97</v>
      </c>
      <c r="GO86" s="55">
        <v>0.95</v>
      </c>
      <c r="GP86" s="55">
        <v>0.93</v>
      </c>
      <c r="GQ86" s="55">
        <f t="shared" si="504"/>
        <v>0.91</v>
      </c>
      <c r="GR86" s="55">
        <f t="shared" si="504"/>
        <v>0.89</v>
      </c>
      <c r="GS86" s="55">
        <f t="shared" si="504"/>
        <v>0.87</v>
      </c>
      <c r="GT86" s="55">
        <f t="shared" si="504"/>
        <v>0.85</v>
      </c>
      <c r="GU86" s="55">
        <f t="shared" si="504"/>
        <v>0.83</v>
      </c>
      <c r="GV86" s="55">
        <f t="shared" si="504"/>
        <v>0.80999999999999994</v>
      </c>
      <c r="GW86" s="55">
        <f t="shared" si="504"/>
        <v>0.78999999999999992</v>
      </c>
      <c r="GX86" s="55">
        <f t="shared" si="504"/>
        <v>0.76999999999999991</v>
      </c>
      <c r="GY86" s="55">
        <f t="shared" si="504"/>
        <v>0.74999999999999989</v>
      </c>
      <c r="GZ86" s="55">
        <f t="shared" si="504"/>
        <v>0.72999999999999987</v>
      </c>
      <c r="HA86" s="55">
        <f t="shared" si="504"/>
        <v>0.70999999999999985</v>
      </c>
      <c r="HB86" s="55">
        <f t="shared" si="504"/>
        <v>0.68999999999999984</v>
      </c>
      <c r="HC86" s="55">
        <f t="shared" si="504"/>
        <v>0.66999999999999982</v>
      </c>
      <c r="HD86" s="55">
        <f t="shared" si="504"/>
        <v>0.6499999999999998</v>
      </c>
      <c r="HE86" s="55">
        <f t="shared" si="504"/>
        <v>0.62999999999999978</v>
      </c>
      <c r="HF86" s="55">
        <f t="shared" si="504"/>
        <v>0.60999999999999976</v>
      </c>
      <c r="HG86" s="55">
        <f t="shared" si="504"/>
        <v>0.58999999999999975</v>
      </c>
      <c r="HH86" s="55">
        <f t="shared" si="504"/>
        <v>0.56999999999999973</v>
      </c>
    </row>
    <row r="87" spans="1:216" x14ac:dyDescent="0.3">
      <c r="A87" s="2">
        <v>25</v>
      </c>
      <c r="C87" s="38" t="s">
        <v>150</v>
      </c>
      <c r="D87" s="42">
        <f>TRUNC(167726.665494815,-1)</f>
        <v>167720</v>
      </c>
      <c r="E87" s="71">
        <f t="shared" si="365"/>
        <v>554440</v>
      </c>
      <c r="H87" s="55">
        <f t="shared" si="505"/>
        <v>609884</v>
      </c>
      <c r="I87" s="55">
        <f t="shared" si="506"/>
        <v>609884</v>
      </c>
      <c r="J87" s="59">
        <f t="shared" si="507"/>
        <v>2016154.5272000001</v>
      </c>
      <c r="K87" s="55">
        <f t="shared" si="366"/>
        <v>591587.48</v>
      </c>
      <c r="L87" s="59">
        <f t="shared" si="367"/>
        <v>1955669.891384</v>
      </c>
      <c r="M87" s="55">
        <f t="shared" si="368"/>
        <v>579389.79999999993</v>
      </c>
      <c r="N87" s="59">
        <f t="shared" si="369"/>
        <v>1915346.8008399999</v>
      </c>
      <c r="O87" s="55">
        <f t="shared" si="370"/>
        <v>567192.12</v>
      </c>
      <c r="P87" s="59">
        <f t="shared" si="371"/>
        <v>1875023.7102960001</v>
      </c>
      <c r="Q87" s="57">
        <f t="shared" si="372"/>
        <v>554994.44000000006</v>
      </c>
      <c r="R87" s="59">
        <f t="shared" si="373"/>
        <v>1834700.6197520003</v>
      </c>
      <c r="S87" s="55">
        <f t="shared" si="374"/>
        <v>542796.76</v>
      </c>
      <c r="T87" s="59">
        <f t="shared" si="375"/>
        <v>1794377.5292080001</v>
      </c>
      <c r="U87" s="57">
        <f t="shared" si="376"/>
        <v>530599.07999999996</v>
      </c>
      <c r="V87" s="59">
        <f t="shared" si="377"/>
        <v>1754054.438664</v>
      </c>
      <c r="W87" s="60">
        <f t="shared" si="378"/>
        <v>518401.39999999997</v>
      </c>
      <c r="X87" s="59">
        <f t="shared" si="379"/>
        <v>1713731.34812</v>
      </c>
      <c r="Y87" s="57">
        <f t="shared" si="380"/>
        <v>506203.72</v>
      </c>
      <c r="Z87" s="59">
        <f t="shared" si="381"/>
        <v>1673408.2575759999</v>
      </c>
      <c r="AA87" s="55">
        <f t="shared" si="382"/>
        <v>494006.04</v>
      </c>
      <c r="AB87" s="59">
        <f t="shared" si="383"/>
        <v>1633085.1670319999</v>
      </c>
      <c r="AC87" s="60">
        <f t="shared" si="384"/>
        <v>481808.35999999993</v>
      </c>
      <c r="AD87" s="59">
        <f t="shared" si="385"/>
        <v>1592762.0764879999</v>
      </c>
      <c r="AE87" s="60">
        <f t="shared" si="386"/>
        <v>469610.67999999993</v>
      </c>
      <c r="AF87" s="59">
        <f t="shared" si="387"/>
        <v>1552438.9859439998</v>
      </c>
      <c r="AG87" s="60">
        <f t="shared" si="388"/>
        <v>457412.99999999994</v>
      </c>
      <c r="AH87" s="59">
        <f t="shared" si="389"/>
        <v>1512115.8953999998</v>
      </c>
      <c r="AI87" s="55">
        <f t="shared" si="390"/>
        <v>445215.31999999995</v>
      </c>
      <c r="AJ87" s="59">
        <f t="shared" si="391"/>
        <v>1471792.8048559998</v>
      </c>
      <c r="AK87" s="60">
        <f t="shared" si="392"/>
        <v>433017.6399999999</v>
      </c>
      <c r="AL87" s="59">
        <f t="shared" si="393"/>
        <v>1431469.7143119997</v>
      </c>
      <c r="AM87" s="60">
        <f t="shared" si="394"/>
        <v>420819.9599999999</v>
      </c>
      <c r="AN87" s="59">
        <f t="shared" si="395"/>
        <v>1391146.6237679997</v>
      </c>
      <c r="AO87" s="60">
        <f t="shared" si="396"/>
        <v>408622.27999999991</v>
      </c>
      <c r="AP87" s="59">
        <f t="shared" si="397"/>
        <v>1350823.5332239997</v>
      </c>
      <c r="AQ87" s="60">
        <f t="shared" si="398"/>
        <v>396424.59999999986</v>
      </c>
      <c r="AR87" s="59">
        <f t="shared" si="399"/>
        <v>1310500.4426799996</v>
      </c>
      <c r="AS87" s="55">
        <f t="shared" si="400"/>
        <v>384226.91999999987</v>
      </c>
      <c r="AT87" s="59">
        <f t="shared" si="401"/>
        <v>1270177.3521359996</v>
      </c>
      <c r="AU87" s="60">
        <f t="shared" si="402"/>
        <v>372029.23999999987</v>
      </c>
      <c r="AV87" s="59">
        <f t="shared" si="403"/>
        <v>1229854.2615919996</v>
      </c>
      <c r="AW87" s="60">
        <f t="shared" si="404"/>
        <v>359831.55999999982</v>
      </c>
      <c r="AX87" s="59">
        <f t="shared" si="405"/>
        <v>1189531.1710479995</v>
      </c>
      <c r="AY87" s="55">
        <f t="shared" si="406"/>
        <v>347633.87999999983</v>
      </c>
      <c r="AZ87" s="59">
        <f t="shared" si="407"/>
        <v>1149208.0805039995</v>
      </c>
      <c r="BC87" s="55">
        <v>1</v>
      </c>
      <c r="BD87" s="55">
        <v>0.97</v>
      </c>
      <c r="BE87" s="55">
        <v>0.95</v>
      </c>
      <c r="BF87" s="55">
        <v>0.93</v>
      </c>
      <c r="BG87" s="55">
        <f t="shared" si="500"/>
        <v>0.91</v>
      </c>
      <c r="BH87" s="55">
        <f t="shared" si="500"/>
        <v>0.89</v>
      </c>
      <c r="BI87" s="55">
        <f t="shared" si="500"/>
        <v>0.87</v>
      </c>
      <c r="BJ87" s="55">
        <f t="shared" si="500"/>
        <v>0.85</v>
      </c>
      <c r="BK87" s="55">
        <f t="shared" si="500"/>
        <v>0.83</v>
      </c>
      <c r="BL87" s="55">
        <f t="shared" si="500"/>
        <v>0.80999999999999994</v>
      </c>
      <c r="BM87" s="55">
        <f t="shared" si="500"/>
        <v>0.78999999999999992</v>
      </c>
      <c r="BN87" s="55">
        <f t="shared" si="500"/>
        <v>0.76999999999999991</v>
      </c>
      <c r="BO87" s="55">
        <f t="shared" si="500"/>
        <v>0.74999999999999989</v>
      </c>
      <c r="BP87" s="55">
        <f t="shared" si="500"/>
        <v>0.72999999999999987</v>
      </c>
      <c r="BQ87" s="55">
        <f t="shared" si="500"/>
        <v>0.70999999999999985</v>
      </c>
      <c r="BR87" s="55">
        <f t="shared" si="500"/>
        <v>0.68999999999999984</v>
      </c>
      <c r="BS87" s="55">
        <f t="shared" si="500"/>
        <v>0.66999999999999982</v>
      </c>
      <c r="BT87" s="55">
        <f t="shared" si="500"/>
        <v>0.6499999999999998</v>
      </c>
      <c r="BU87" s="55">
        <f t="shared" si="500"/>
        <v>0.62999999999999978</v>
      </c>
      <c r="BV87" s="55">
        <f t="shared" si="500"/>
        <v>0.60999999999999976</v>
      </c>
      <c r="BW87" s="55">
        <f t="shared" si="500"/>
        <v>0.58999999999999975</v>
      </c>
      <c r="BX87" s="55">
        <f t="shared" si="500"/>
        <v>0.56999999999999973</v>
      </c>
      <c r="BZ87" s="55">
        <f t="shared" si="508"/>
        <v>554994.44000000006</v>
      </c>
      <c r="CA87" s="55">
        <f t="shared" si="509"/>
        <v>554994.44000000006</v>
      </c>
      <c r="CB87" s="59">
        <f t="shared" si="409"/>
        <v>1834700.6197520003</v>
      </c>
      <c r="CC87" s="55">
        <f t="shared" si="410"/>
        <v>538344.60680000007</v>
      </c>
      <c r="CD87" s="59">
        <f t="shared" si="411"/>
        <v>1779659.6011594404</v>
      </c>
      <c r="CE87" s="55">
        <f t="shared" si="412"/>
        <v>527244.71799999999</v>
      </c>
      <c r="CF87" s="59">
        <f t="shared" si="413"/>
        <v>1742965.5887644</v>
      </c>
      <c r="CG87" s="55">
        <f t="shared" si="414"/>
        <v>516144.82920000009</v>
      </c>
      <c r="CH87" s="59">
        <f t="shared" si="415"/>
        <v>1706271.5763693603</v>
      </c>
      <c r="CI87" s="57">
        <f t="shared" si="416"/>
        <v>505044.94040000008</v>
      </c>
      <c r="CJ87" s="59">
        <f t="shared" si="417"/>
        <v>1669577.5639743202</v>
      </c>
      <c r="CK87" s="55">
        <f t="shared" si="418"/>
        <v>493945.05160000006</v>
      </c>
      <c r="CL87" s="59">
        <f t="shared" si="419"/>
        <v>1632883.5515792803</v>
      </c>
      <c r="CM87" s="57">
        <f t="shared" si="420"/>
        <v>482845.16280000005</v>
      </c>
      <c r="CN87" s="59">
        <f t="shared" si="421"/>
        <v>1596189.5391842402</v>
      </c>
      <c r="CO87" s="60">
        <f t="shared" si="422"/>
        <v>471745.27400000003</v>
      </c>
      <c r="CP87" s="59">
        <f t="shared" si="423"/>
        <v>1559495.5267892003</v>
      </c>
      <c r="CQ87" s="57">
        <f t="shared" si="424"/>
        <v>460645.38520000002</v>
      </c>
      <c r="CR87" s="59">
        <f t="shared" si="425"/>
        <v>1522801.5143941601</v>
      </c>
      <c r="CS87" s="55">
        <f t="shared" si="426"/>
        <v>449545.4964</v>
      </c>
      <c r="CT87" s="59">
        <f t="shared" si="427"/>
        <v>1486107.50199912</v>
      </c>
      <c r="CU87" s="60">
        <f t="shared" si="428"/>
        <v>438445.60759999999</v>
      </c>
      <c r="CV87" s="59">
        <f t="shared" si="429"/>
        <v>1449413.4896040801</v>
      </c>
      <c r="CW87" s="60">
        <f t="shared" si="430"/>
        <v>427345.71879999997</v>
      </c>
      <c r="CX87" s="59">
        <f t="shared" si="431"/>
        <v>1412719.47720904</v>
      </c>
      <c r="CY87" s="60">
        <f t="shared" si="432"/>
        <v>416245.82999999996</v>
      </c>
      <c r="CZ87" s="59">
        <f t="shared" si="433"/>
        <v>1376025.4648139998</v>
      </c>
      <c r="DA87" s="55">
        <f t="shared" si="434"/>
        <v>405145.9412</v>
      </c>
      <c r="DB87" s="59">
        <f t="shared" si="435"/>
        <v>1339331.4524189599</v>
      </c>
      <c r="DC87" s="60">
        <f t="shared" si="436"/>
        <v>394046.05239999999</v>
      </c>
      <c r="DD87" s="59">
        <f t="shared" si="437"/>
        <v>1302637.44002392</v>
      </c>
      <c r="DE87" s="60">
        <f t="shared" si="438"/>
        <v>382946.16359999997</v>
      </c>
      <c r="DF87" s="59">
        <f t="shared" si="439"/>
        <v>1265943.4276288799</v>
      </c>
      <c r="DG87" s="60">
        <f t="shared" si="440"/>
        <v>371846.27479999996</v>
      </c>
      <c r="DH87" s="59">
        <f t="shared" si="441"/>
        <v>1229249.4152338398</v>
      </c>
      <c r="DI87" s="60">
        <f t="shared" si="442"/>
        <v>360746.38599999994</v>
      </c>
      <c r="DJ87" s="59">
        <f t="shared" si="443"/>
        <v>1192555.4028387999</v>
      </c>
      <c r="DK87" s="55">
        <f t="shared" si="444"/>
        <v>349646.49719999993</v>
      </c>
      <c r="DL87" s="59">
        <f t="shared" si="445"/>
        <v>1155861.3904437597</v>
      </c>
      <c r="DM87" s="60">
        <f t="shared" si="446"/>
        <v>338546.60839999991</v>
      </c>
      <c r="DN87" s="59">
        <f t="shared" si="447"/>
        <v>1119167.3780487198</v>
      </c>
      <c r="DO87" s="60">
        <f t="shared" si="448"/>
        <v>327446.71959999989</v>
      </c>
      <c r="DP87" s="59">
        <f t="shared" si="449"/>
        <v>1082473.3656536797</v>
      </c>
      <c r="DQ87" s="55">
        <f t="shared" si="450"/>
        <v>316346.83079999988</v>
      </c>
      <c r="DR87" s="59">
        <f t="shared" si="451"/>
        <v>1045779.3532586396</v>
      </c>
      <c r="DU87" s="55">
        <v>1</v>
      </c>
      <c r="DV87" s="55">
        <v>0.97</v>
      </c>
      <c r="DW87" s="55">
        <v>0.95</v>
      </c>
      <c r="DX87" s="55">
        <v>0.93</v>
      </c>
      <c r="DY87" s="55">
        <f t="shared" si="503"/>
        <v>0.91</v>
      </c>
      <c r="DZ87" s="55">
        <f t="shared" si="503"/>
        <v>0.89</v>
      </c>
      <c r="EA87" s="55">
        <f t="shared" si="503"/>
        <v>0.87</v>
      </c>
      <c r="EB87" s="55">
        <f t="shared" si="503"/>
        <v>0.85</v>
      </c>
      <c r="EC87" s="55">
        <f t="shared" si="503"/>
        <v>0.83</v>
      </c>
      <c r="ED87" s="55">
        <f t="shared" si="503"/>
        <v>0.80999999999999994</v>
      </c>
      <c r="EE87" s="55">
        <f t="shared" si="503"/>
        <v>0.78999999999999992</v>
      </c>
      <c r="EF87" s="55">
        <f t="shared" si="503"/>
        <v>0.76999999999999991</v>
      </c>
      <c r="EG87" s="55">
        <f t="shared" si="503"/>
        <v>0.74999999999999989</v>
      </c>
      <c r="EH87" s="55">
        <f t="shared" si="503"/>
        <v>0.72999999999999987</v>
      </c>
      <c r="EI87" s="55">
        <f t="shared" si="503"/>
        <v>0.70999999999999985</v>
      </c>
      <c r="EJ87" s="55">
        <f t="shared" si="503"/>
        <v>0.68999999999999984</v>
      </c>
      <c r="EK87" s="55">
        <f t="shared" si="503"/>
        <v>0.66999999999999982</v>
      </c>
      <c r="EL87" s="55">
        <f t="shared" si="503"/>
        <v>0.6499999999999998</v>
      </c>
      <c r="EM87" s="55">
        <f t="shared" si="503"/>
        <v>0.62999999999999978</v>
      </c>
      <c r="EN87" s="55">
        <f t="shared" si="503"/>
        <v>0.60999999999999976</v>
      </c>
      <c r="EO87" s="55">
        <f t="shared" si="503"/>
        <v>0.58999999999999975</v>
      </c>
      <c r="EP87" s="55">
        <f t="shared" si="503"/>
        <v>0.56999999999999973</v>
      </c>
      <c r="ER87" s="55">
        <f t="shared" si="142"/>
        <v>505044.94040000008</v>
      </c>
      <c r="ES87" s="55">
        <f t="shared" si="510"/>
        <v>505044.94040000008</v>
      </c>
      <c r="ET87" s="59">
        <f t="shared" si="453"/>
        <v>1669577.5639743202</v>
      </c>
      <c r="EU87" s="55">
        <f t="shared" si="454"/>
        <v>489893.59218800004</v>
      </c>
      <c r="EV87" s="59">
        <f t="shared" si="455"/>
        <v>1619490.2370550905</v>
      </c>
      <c r="EW87" s="55">
        <f t="shared" si="456"/>
        <v>479792.69338000007</v>
      </c>
      <c r="EX87" s="59">
        <f t="shared" si="457"/>
        <v>1586098.6857756043</v>
      </c>
      <c r="EY87" s="55">
        <f t="shared" si="458"/>
        <v>469691.7945720001</v>
      </c>
      <c r="EZ87" s="59">
        <f t="shared" si="459"/>
        <v>1552707.1344961179</v>
      </c>
      <c r="FA87" s="57">
        <f t="shared" si="460"/>
        <v>459590.89576400007</v>
      </c>
      <c r="FB87" s="59">
        <f t="shared" si="461"/>
        <v>1519315.5832166316</v>
      </c>
      <c r="FC87" s="55">
        <f t="shared" si="462"/>
        <v>449489.9969560001</v>
      </c>
      <c r="FD87" s="59">
        <f t="shared" si="463"/>
        <v>1485924.0319371452</v>
      </c>
      <c r="FE87" s="57">
        <f t="shared" si="464"/>
        <v>439389.09814800008</v>
      </c>
      <c r="FF87" s="59">
        <f t="shared" si="465"/>
        <v>1452532.4806576588</v>
      </c>
      <c r="FG87" s="60">
        <f t="shared" si="466"/>
        <v>429288.19934000005</v>
      </c>
      <c r="FH87" s="59">
        <f t="shared" si="467"/>
        <v>1419140.9293781721</v>
      </c>
      <c r="FI87" s="57">
        <f t="shared" si="468"/>
        <v>419187.30053200002</v>
      </c>
      <c r="FJ87" s="59">
        <f t="shared" si="469"/>
        <v>1385749.3780986858</v>
      </c>
      <c r="FK87" s="55">
        <f t="shared" si="470"/>
        <v>409086.40172400005</v>
      </c>
      <c r="FL87" s="59">
        <f t="shared" si="471"/>
        <v>1352357.8268191994</v>
      </c>
      <c r="FM87" s="60">
        <f t="shared" si="472"/>
        <v>398985.50291600003</v>
      </c>
      <c r="FN87" s="59">
        <f t="shared" si="473"/>
        <v>1318966.275539713</v>
      </c>
      <c r="FO87" s="60">
        <f t="shared" si="474"/>
        <v>388884.604108</v>
      </c>
      <c r="FP87" s="59">
        <f t="shared" si="475"/>
        <v>1285574.7242602264</v>
      </c>
      <c r="FQ87" s="60">
        <f t="shared" si="476"/>
        <v>378783.70530000003</v>
      </c>
      <c r="FR87" s="59">
        <f t="shared" si="477"/>
        <v>1252183.1729807402</v>
      </c>
      <c r="FS87" s="55">
        <f t="shared" si="478"/>
        <v>368682.806492</v>
      </c>
      <c r="FT87" s="59">
        <f t="shared" si="479"/>
        <v>1218791.6217012536</v>
      </c>
      <c r="FU87" s="60">
        <f t="shared" si="480"/>
        <v>358581.90768399998</v>
      </c>
      <c r="FV87" s="59">
        <f t="shared" si="481"/>
        <v>1185400.0704217672</v>
      </c>
      <c r="FW87" s="60">
        <f t="shared" si="482"/>
        <v>348481.00887599995</v>
      </c>
      <c r="FX87" s="59">
        <f t="shared" si="483"/>
        <v>1152008.5191422806</v>
      </c>
      <c r="FY87" s="60">
        <f t="shared" si="484"/>
        <v>338380.11006799998</v>
      </c>
      <c r="FZ87" s="59">
        <f t="shared" si="485"/>
        <v>1118616.9678627944</v>
      </c>
      <c r="GA87" s="60">
        <f t="shared" si="486"/>
        <v>328279.21125999995</v>
      </c>
      <c r="GB87" s="59">
        <f t="shared" si="487"/>
        <v>1085225.4165833078</v>
      </c>
      <c r="GC87" s="55">
        <f t="shared" si="488"/>
        <v>318178.31245199993</v>
      </c>
      <c r="GD87" s="59">
        <f t="shared" si="489"/>
        <v>1051833.8653038214</v>
      </c>
      <c r="GE87" s="60">
        <f t="shared" si="490"/>
        <v>308077.41364399996</v>
      </c>
      <c r="GF87" s="59">
        <f t="shared" si="491"/>
        <v>1018442.3140243351</v>
      </c>
      <c r="GG87" s="60">
        <f t="shared" si="492"/>
        <v>297976.51483599993</v>
      </c>
      <c r="GH87" s="59">
        <f t="shared" si="493"/>
        <v>985050.76274484862</v>
      </c>
      <c r="GI87" s="55">
        <f t="shared" si="494"/>
        <v>287875.6160279999</v>
      </c>
      <c r="GJ87" s="59">
        <f t="shared" si="495"/>
        <v>951659.21146536211</v>
      </c>
      <c r="GK87" s="55"/>
      <c r="GL87" s="55"/>
      <c r="GM87" s="55">
        <v>1</v>
      </c>
      <c r="GN87" s="55">
        <v>0.97</v>
      </c>
      <c r="GO87" s="55">
        <v>0.95</v>
      </c>
      <c r="GP87" s="55">
        <v>0.93</v>
      </c>
      <c r="GQ87" s="55">
        <f t="shared" si="504"/>
        <v>0.91</v>
      </c>
      <c r="GR87" s="55">
        <f t="shared" si="504"/>
        <v>0.89</v>
      </c>
      <c r="GS87" s="55">
        <f t="shared" si="504"/>
        <v>0.87</v>
      </c>
      <c r="GT87" s="55">
        <f t="shared" si="504"/>
        <v>0.85</v>
      </c>
      <c r="GU87" s="55">
        <f t="shared" si="504"/>
        <v>0.83</v>
      </c>
      <c r="GV87" s="55">
        <f t="shared" si="504"/>
        <v>0.80999999999999994</v>
      </c>
      <c r="GW87" s="55">
        <f t="shared" si="504"/>
        <v>0.78999999999999992</v>
      </c>
      <c r="GX87" s="55">
        <f t="shared" si="504"/>
        <v>0.76999999999999991</v>
      </c>
      <c r="GY87" s="55">
        <f t="shared" si="504"/>
        <v>0.74999999999999989</v>
      </c>
      <c r="GZ87" s="55">
        <f t="shared" si="504"/>
        <v>0.72999999999999987</v>
      </c>
      <c r="HA87" s="55">
        <f t="shared" si="504"/>
        <v>0.70999999999999985</v>
      </c>
      <c r="HB87" s="55">
        <f t="shared" si="504"/>
        <v>0.68999999999999984</v>
      </c>
      <c r="HC87" s="55">
        <f t="shared" si="504"/>
        <v>0.66999999999999982</v>
      </c>
      <c r="HD87" s="55">
        <f t="shared" si="504"/>
        <v>0.6499999999999998</v>
      </c>
      <c r="HE87" s="55">
        <f t="shared" si="504"/>
        <v>0.62999999999999978</v>
      </c>
      <c r="HF87" s="55">
        <f t="shared" si="504"/>
        <v>0.60999999999999976</v>
      </c>
      <c r="HG87" s="55">
        <f t="shared" si="504"/>
        <v>0.58999999999999975</v>
      </c>
      <c r="HH87" s="55">
        <f t="shared" si="504"/>
        <v>0.56999999999999973</v>
      </c>
    </row>
    <row r="88" spans="1:216" ht="17.25" thickBot="1" x14ac:dyDescent="0.35">
      <c r="A88" s="2">
        <v>26</v>
      </c>
      <c r="C88" s="38" t="s">
        <v>47</v>
      </c>
      <c r="D88" s="43">
        <f>TRUNC(28578.0216206715+1068.82597996133+2128.25197750044,-1)</f>
        <v>31770</v>
      </c>
      <c r="E88" s="72">
        <f t="shared" si="365"/>
        <v>105020</v>
      </c>
      <c r="F88" s="2" t="s">
        <v>315</v>
      </c>
      <c r="H88" s="55">
        <f t="shared" si="505"/>
        <v>115522.00000000001</v>
      </c>
      <c r="I88" s="55">
        <f t="shared" si="506"/>
        <v>115522.00000000001</v>
      </c>
      <c r="J88" s="59">
        <f t="shared" si="507"/>
        <v>381892.62760000007</v>
      </c>
      <c r="K88" s="55">
        <f t="shared" si="366"/>
        <v>112056.34000000001</v>
      </c>
      <c r="L88" s="59">
        <f t="shared" si="367"/>
        <v>370435.84877200006</v>
      </c>
      <c r="M88" s="55">
        <f t="shared" si="368"/>
        <v>109745.90000000001</v>
      </c>
      <c r="N88" s="59">
        <f t="shared" si="369"/>
        <v>362797.99622000003</v>
      </c>
      <c r="O88" s="55">
        <f t="shared" si="370"/>
        <v>107435.46000000002</v>
      </c>
      <c r="P88" s="59">
        <f t="shared" si="371"/>
        <v>355160.14366800006</v>
      </c>
      <c r="Q88" s="57">
        <f t="shared" si="372"/>
        <v>105125.02000000002</v>
      </c>
      <c r="R88" s="59">
        <f t="shared" si="373"/>
        <v>347522.29111600009</v>
      </c>
      <c r="S88" s="55">
        <f t="shared" si="374"/>
        <v>102814.58000000002</v>
      </c>
      <c r="T88" s="59">
        <f t="shared" si="375"/>
        <v>339884.43856400007</v>
      </c>
      <c r="U88" s="57">
        <f t="shared" si="376"/>
        <v>100504.14000000001</v>
      </c>
      <c r="V88" s="59">
        <f t="shared" si="377"/>
        <v>332246.58601200004</v>
      </c>
      <c r="W88" s="60">
        <f t="shared" si="378"/>
        <v>98193.700000000012</v>
      </c>
      <c r="X88" s="59">
        <f t="shared" si="379"/>
        <v>324608.73346000002</v>
      </c>
      <c r="Y88" s="57">
        <f t="shared" si="380"/>
        <v>95883.260000000009</v>
      </c>
      <c r="Z88" s="59">
        <f t="shared" si="381"/>
        <v>316970.88090800005</v>
      </c>
      <c r="AA88" s="55">
        <f t="shared" si="382"/>
        <v>93572.82</v>
      </c>
      <c r="AB88" s="59">
        <f t="shared" si="383"/>
        <v>309333.02835600002</v>
      </c>
      <c r="AC88" s="60">
        <f t="shared" si="384"/>
        <v>91262.38</v>
      </c>
      <c r="AD88" s="59">
        <f t="shared" si="385"/>
        <v>301695.175804</v>
      </c>
      <c r="AE88" s="60">
        <f t="shared" si="386"/>
        <v>88951.94</v>
      </c>
      <c r="AF88" s="59">
        <f t="shared" si="387"/>
        <v>294057.32325200003</v>
      </c>
      <c r="AG88" s="60">
        <f t="shared" si="388"/>
        <v>86641.5</v>
      </c>
      <c r="AH88" s="59">
        <f t="shared" si="389"/>
        <v>286419.47070000001</v>
      </c>
      <c r="AI88" s="55">
        <f t="shared" si="390"/>
        <v>84331.06</v>
      </c>
      <c r="AJ88" s="59">
        <f t="shared" si="391"/>
        <v>278781.61814799998</v>
      </c>
      <c r="AK88" s="60">
        <f t="shared" si="392"/>
        <v>82020.62</v>
      </c>
      <c r="AL88" s="59">
        <f t="shared" si="393"/>
        <v>271143.76559600001</v>
      </c>
      <c r="AM88" s="60">
        <f t="shared" si="394"/>
        <v>79710.179999999993</v>
      </c>
      <c r="AN88" s="59">
        <f t="shared" si="395"/>
        <v>263505.91304399999</v>
      </c>
      <c r="AO88" s="60">
        <f t="shared" si="396"/>
        <v>77399.739999999991</v>
      </c>
      <c r="AP88" s="59">
        <f t="shared" si="397"/>
        <v>255868.06049199996</v>
      </c>
      <c r="AQ88" s="60">
        <f t="shared" si="398"/>
        <v>75089.299999999988</v>
      </c>
      <c r="AR88" s="59">
        <f t="shared" si="399"/>
        <v>248230.20793999996</v>
      </c>
      <c r="AS88" s="55">
        <f t="shared" si="400"/>
        <v>72778.859999999986</v>
      </c>
      <c r="AT88" s="59">
        <f t="shared" si="401"/>
        <v>240592.35538799997</v>
      </c>
      <c r="AU88" s="60">
        <f t="shared" si="402"/>
        <v>70468.419999999984</v>
      </c>
      <c r="AV88" s="59">
        <f t="shared" si="403"/>
        <v>232954.50283599994</v>
      </c>
      <c r="AW88" s="60">
        <f t="shared" si="404"/>
        <v>68157.979999999981</v>
      </c>
      <c r="AX88" s="59">
        <f t="shared" si="405"/>
        <v>225316.65028399994</v>
      </c>
      <c r="AY88" s="55">
        <f t="shared" si="406"/>
        <v>65847.539999999979</v>
      </c>
      <c r="AZ88" s="59">
        <f t="shared" si="407"/>
        <v>217678.79773199995</v>
      </c>
      <c r="BC88" s="55">
        <v>1</v>
      </c>
      <c r="BD88" s="55">
        <v>0.97</v>
      </c>
      <c r="BE88" s="55">
        <v>0.95</v>
      </c>
      <c r="BF88" s="55">
        <v>0.93</v>
      </c>
      <c r="BG88" s="55">
        <f t="shared" si="500"/>
        <v>0.91</v>
      </c>
      <c r="BH88" s="55">
        <f t="shared" si="500"/>
        <v>0.89</v>
      </c>
      <c r="BI88" s="55">
        <f t="shared" si="500"/>
        <v>0.87</v>
      </c>
      <c r="BJ88" s="55">
        <f t="shared" si="500"/>
        <v>0.85</v>
      </c>
      <c r="BK88" s="55">
        <f t="shared" si="500"/>
        <v>0.83</v>
      </c>
      <c r="BL88" s="55">
        <f t="shared" si="500"/>
        <v>0.80999999999999994</v>
      </c>
      <c r="BM88" s="55">
        <f t="shared" si="500"/>
        <v>0.78999999999999992</v>
      </c>
      <c r="BN88" s="55">
        <f t="shared" si="500"/>
        <v>0.76999999999999991</v>
      </c>
      <c r="BO88" s="55">
        <f t="shared" si="500"/>
        <v>0.74999999999999989</v>
      </c>
      <c r="BP88" s="55">
        <f t="shared" si="500"/>
        <v>0.72999999999999987</v>
      </c>
      <c r="BQ88" s="55">
        <f t="shared" si="500"/>
        <v>0.70999999999999985</v>
      </c>
      <c r="BR88" s="55">
        <f t="shared" si="500"/>
        <v>0.68999999999999984</v>
      </c>
      <c r="BS88" s="55">
        <f t="shared" si="500"/>
        <v>0.66999999999999982</v>
      </c>
      <c r="BT88" s="55">
        <f t="shared" si="500"/>
        <v>0.6499999999999998</v>
      </c>
      <c r="BU88" s="55">
        <f t="shared" si="500"/>
        <v>0.62999999999999978</v>
      </c>
      <c r="BV88" s="55">
        <f t="shared" si="500"/>
        <v>0.60999999999999976</v>
      </c>
      <c r="BW88" s="55">
        <f t="shared" si="500"/>
        <v>0.58999999999999975</v>
      </c>
      <c r="BX88" s="55">
        <f t="shared" si="500"/>
        <v>0.56999999999999973</v>
      </c>
      <c r="BZ88" s="55">
        <f t="shared" si="508"/>
        <v>105125.02000000002</v>
      </c>
      <c r="CA88" s="55">
        <f t="shared" si="509"/>
        <v>105125.02000000002</v>
      </c>
      <c r="CB88" s="59">
        <f t="shared" si="409"/>
        <v>347522.29111600009</v>
      </c>
      <c r="CC88" s="55">
        <f t="shared" si="410"/>
        <v>101971.26940000002</v>
      </c>
      <c r="CD88" s="59">
        <f t="shared" si="411"/>
        <v>337096.62238252006</v>
      </c>
      <c r="CE88" s="55">
        <f t="shared" si="412"/>
        <v>99868.769000000015</v>
      </c>
      <c r="CF88" s="59">
        <f t="shared" si="413"/>
        <v>330146.17656020005</v>
      </c>
      <c r="CG88" s="55">
        <f t="shared" si="414"/>
        <v>97766.268600000025</v>
      </c>
      <c r="CH88" s="59">
        <f t="shared" si="415"/>
        <v>323195.73073788011</v>
      </c>
      <c r="CI88" s="57">
        <f t="shared" si="416"/>
        <v>95663.76820000002</v>
      </c>
      <c r="CJ88" s="59">
        <f t="shared" si="417"/>
        <v>316245.2849155601</v>
      </c>
      <c r="CK88" s="55">
        <f t="shared" si="418"/>
        <v>93561.267800000016</v>
      </c>
      <c r="CL88" s="59">
        <f t="shared" si="419"/>
        <v>309294.83909324004</v>
      </c>
      <c r="CM88" s="57">
        <f t="shared" si="420"/>
        <v>91458.767400000012</v>
      </c>
      <c r="CN88" s="59">
        <f t="shared" si="421"/>
        <v>302344.39327092003</v>
      </c>
      <c r="CO88" s="60">
        <f t="shared" si="422"/>
        <v>89356.267000000007</v>
      </c>
      <c r="CP88" s="59">
        <f t="shared" si="423"/>
        <v>295393.94744860003</v>
      </c>
      <c r="CQ88" s="57">
        <f t="shared" si="424"/>
        <v>87253.766600000017</v>
      </c>
      <c r="CR88" s="59">
        <f t="shared" si="425"/>
        <v>288443.50162628008</v>
      </c>
      <c r="CS88" s="55">
        <f t="shared" si="426"/>
        <v>85151.266200000013</v>
      </c>
      <c r="CT88" s="59">
        <f t="shared" si="427"/>
        <v>281493.05580396007</v>
      </c>
      <c r="CU88" s="60">
        <f t="shared" si="428"/>
        <v>83048.765800000008</v>
      </c>
      <c r="CV88" s="59">
        <f t="shared" si="429"/>
        <v>274542.60998164001</v>
      </c>
      <c r="CW88" s="60">
        <f t="shared" si="430"/>
        <v>80946.265400000004</v>
      </c>
      <c r="CX88" s="59">
        <f t="shared" si="431"/>
        <v>267592.16415932</v>
      </c>
      <c r="CY88" s="60">
        <f t="shared" si="432"/>
        <v>78843.764999999999</v>
      </c>
      <c r="CZ88" s="59">
        <f t="shared" si="433"/>
        <v>260641.718337</v>
      </c>
      <c r="DA88" s="55">
        <f t="shared" si="434"/>
        <v>76741.264599999995</v>
      </c>
      <c r="DB88" s="59">
        <f t="shared" si="435"/>
        <v>253691.27251467999</v>
      </c>
      <c r="DC88" s="60">
        <f t="shared" si="436"/>
        <v>74638.764200000005</v>
      </c>
      <c r="DD88" s="59">
        <f t="shared" si="437"/>
        <v>246740.82669236002</v>
      </c>
      <c r="DE88" s="60">
        <f t="shared" si="438"/>
        <v>72536.263800000001</v>
      </c>
      <c r="DF88" s="59">
        <f t="shared" si="439"/>
        <v>239790.38087004001</v>
      </c>
      <c r="DG88" s="60">
        <f t="shared" si="440"/>
        <v>70433.763399999996</v>
      </c>
      <c r="DH88" s="59">
        <f t="shared" si="441"/>
        <v>232839.93504772001</v>
      </c>
      <c r="DI88" s="60">
        <f t="shared" si="442"/>
        <v>68331.262999999992</v>
      </c>
      <c r="DJ88" s="59">
        <f t="shared" si="443"/>
        <v>225889.48922539997</v>
      </c>
      <c r="DK88" s="55">
        <f t="shared" si="444"/>
        <v>66228.762599999987</v>
      </c>
      <c r="DL88" s="59">
        <f t="shared" si="445"/>
        <v>218939.04340307997</v>
      </c>
      <c r="DM88" s="60">
        <f t="shared" si="446"/>
        <v>64126.26219999999</v>
      </c>
      <c r="DN88" s="59">
        <f t="shared" si="447"/>
        <v>211988.59758075996</v>
      </c>
      <c r="DO88" s="60">
        <f t="shared" si="448"/>
        <v>62023.761799999986</v>
      </c>
      <c r="DP88" s="59">
        <f t="shared" si="449"/>
        <v>205038.15175843996</v>
      </c>
      <c r="DQ88" s="55">
        <f t="shared" si="450"/>
        <v>59921.261399999981</v>
      </c>
      <c r="DR88" s="59">
        <f t="shared" si="451"/>
        <v>198087.70593611995</v>
      </c>
      <c r="DU88" s="55">
        <v>1</v>
      </c>
      <c r="DV88" s="55">
        <v>0.97</v>
      </c>
      <c r="DW88" s="55">
        <v>0.95</v>
      </c>
      <c r="DX88" s="55">
        <v>0.93</v>
      </c>
      <c r="DY88" s="55">
        <f t="shared" si="503"/>
        <v>0.91</v>
      </c>
      <c r="DZ88" s="55">
        <f t="shared" si="503"/>
        <v>0.89</v>
      </c>
      <c r="EA88" s="55">
        <f t="shared" si="503"/>
        <v>0.87</v>
      </c>
      <c r="EB88" s="55">
        <f t="shared" si="503"/>
        <v>0.85</v>
      </c>
      <c r="EC88" s="55">
        <f t="shared" si="503"/>
        <v>0.83</v>
      </c>
      <c r="ED88" s="55">
        <f t="shared" si="503"/>
        <v>0.80999999999999994</v>
      </c>
      <c r="EE88" s="55">
        <f t="shared" si="503"/>
        <v>0.78999999999999992</v>
      </c>
      <c r="EF88" s="55">
        <f t="shared" si="503"/>
        <v>0.76999999999999991</v>
      </c>
      <c r="EG88" s="55">
        <f t="shared" si="503"/>
        <v>0.74999999999999989</v>
      </c>
      <c r="EH88" s="55">
        <f t="shared" si="503"/>
        <v>0.72999999999999987</v>
      </c>
      <c r="EI88" s="55">
        <f t="shared" si="503"/>
        <v>0.70999999999999985</v>
      </c>
      <c r="EJ88" s="55">
        <f t="shared" si="503"/>
        <v>0.68999999999999984</v>
      </c>
      <c r="EK88" s="55">
        <f t="shared" si="503"/>
        <v>0.66999999999999982</v>
      </c>
      <c r="EL88" s="55">
        <f t="shared" si="503"/>
        <v>0.6499999999999998</v>
      </c>
      <c r="EM88" s="55">
        <f t="shared" si="503"/>
        <v>0.62999999999999978</v>
      </c>
      <c r="EN88" s="55">
        <f t="shared" si="503"/>
        <v>0.60999999999999976</v>
      </c>
      <c r="EO88" s="55">
        <f t="shared" si="503"/>
        <v>0.58999999999999975</v>
      </c>
      <c r="EP88" s="55">
        <f t="shared" si="503"/>
        <v>0.56999999999999973</v>
      </c>
      <c r="ER88" s="55">
        <f t="shared" si="142"/>
        <v>95663.76820000002</v>
      </c>
      <c r="ES88" s="55">
        <f t="shared" si="510"/>
        <v>95663.76820000002</v>
      </c>
      <c r="ET88" s="59">
        <f t="shared" si="453"/>
        <v>316245.2849155601</v>
      </c>
      <c r="EU88" s="55">
        <f t="shared" si="454"/>
        <v>92793.855154000019</v>
      </c>
      <c r="EV88" s="59">
        <f t="shared" si="455"/>
        <v>306757.92636809329</v>
      </c>
      <c r="EW88" s="55">
        <f t="shared" si="456"/>
        <v>90880.579790000018</v>
      </c>
      <c r="EX88" s="59">
        <f t="shared" si="457"/>
        <v>300433.02066978207</v>
      </c>
      <c r="EY88" s="55">
        <f t="shared" si="458"/>
        <v>88967.304426000017</v>
      </c>
      <c r="EZ88" s="59">
        <f t="shared" si="459"/>
        <v>294108.11497147084</v>
      </c>
      <c r="FA88" s="57">
        <f t="shared" si="460"/>
        <v>87054.029062000016</v>
      </c>
      <c r="FB88" s="59">
        <f t="shared" si="461"/>
        <v>287783.20927315968</v>
      </c>
      <c r="FC88" s="55">
        <f t="shared" si="462"/>
        <v>85140.753698000015</v>
      </c>
      <c r="FD88" s="59">
        <f t="shared" si="463"/>
        <v>281458.30357484845</v>
      </c>
      <c r="FE88" s="57">
        <f t="shared" si="464"/>
        <v>83227.478334000014</v>
      </c>
      <c r="FF88" s="59">
        <f t="shared" si="465"/>
        <v>275133.39787653723</v>
      </c>
      <c r="FG88" s="60">
        <f t="shared" si="466"/>
        <v>81314.202970000013</v>
      </c>
      <c r="FH88" s="59">
        <f t="shared" si="467"/>
        <v>268808.49217822606</v>
      </c>
      <c r="FI88" s="57">
        <f t="shared" si="468"/>
        <v>79400.927606000012</v>
      </c>
      <c r="FJ88" s="59">
        <f t="shared" si="469"/>
        <v>262483.58647991484</v>
      </c>
      <c r="FK88" s="55">
        <f t="shared" si="470"/>
        <v>77487.652242000011</v>
      </c>
      <c r="FL88" s="59">
        <f t="shared" si="471"/>
        <v>256158.68078160365</v>
      </c>
      <c r="FM88" s="60">
        <f t="shared" si="472"/>
        <v>75574.37687800001</v>
      </c>
      <c r="FN88" s="59">
        <f t="shared" si="473"/>
        <v>249833.77508329245</v>
      </c>
      <c r="FO88" s="60">
        <f t="shared" si="474"/>
        <v>73661.101514000009</v>
      </c>
      <c r="FP88" s="59">
        <f t="shared" si="475"/>
        <v>243508.86938498123</v>
      </c>
      <c r="FQ88" s="60">
        <f t="shared" si="476"/>
        <v>71747.826150000008</v>
      </c>
      <c r="FR88" s="59">
        <f t="shared" si="477"/>
        <v>237183.96368667003</v>
      </c>
      <c r="FS88" s="55">
        <f t="shared" si="478"/>
        <v>69834.550786000007</v>
      </c>
      <c r="FT88" s="59">
        <f t="shared" si="479"/>
        <v>230859.05798835884</v>
      </c>
      <c r="FU88" s="60">
        <f t="shared" si="480"/>
        <v>67921.275422000006</v>
      </c>
      <c r="FV88" s="59">
        <f t="shared" si="481"/>
        <v>224534.15229004761</v>
      </c>
      <c r="FW88" s="60">
        <f t="shared" si="482"/>
        <v>66008.000058000005</v>
      </c>
      <c r="FX88" s="59">
        <f t="shared" si="483"/>
        <v>218209.24659173642</v>
      </c>
      <c r="FY88" s="60">
        <f t="shared" si="484"/>
        <v>64094.724693999997</v>
      </c>
      <c r="FZ88" s="59">
        <f t="shared" si="485"/>
        <v>211884.34089342519</v>
      </c>
      <c r="GA88" s="60">
        <f t="shared" si="486"/>
        <v>62181.449329999996</v>
      </c>
      <c r="GB88" s="59">
        <f t="shared" si="487"/>
        <v>205559.435195114</v>
      </c>
      <c r="GC88" s="55">
        <f t="shared" si="488"/>
        <v>60268.173965999995</v>
      </c>
      <c r="GD88" s="59">
        <f t="shared" si="489"/>
        <v>199234.52949680277</v>
      </c>
      <c r="GE88" s="60">
        <f t="shared" si="490"/>
        <v>58354.898601999987</v>
      </c>
      <c r="GF88" s="59">
        <f t="shared" si="491"/>
        <v>192909.62379849155</v>
      </c>
      <c r="GG88" s="60">
        <f t="shared" si="492"/>
        <v>56441.623237999986</v>
      </c>
      <c r="GH88" s="59">
        <f t="shared" si="493"/>
        <v>186584.71810018035</v>
      </c>
      <c r="GI88" s="55">
        <f t="shared" si="494"/>
        <v>54528.347873999985</v>
      </c>
      <c r="GJ88" s="59">
        <f t="shared" si="495"/>
        <v>180259.81240186916</v>
      </c>
      <c r="GK88" s="55"/>
      <c r="GL88" s="55"/>
      <c r="GM88" s="55">
        <v>1</v>
      </c>
      <c r="GN88" s="55">
        <v>0.97</v>
      </c>
      <c r="GO88" s="55">
        <v>0.95</v>
      </c>
      <c r="GP88" s="55">
        <v>0.93</v>
      </c>
      <c r="GQ88" s="55">
        <f t="shared" si="504"/>
        <v>0.91</v>
      </c>
      <c r="GR88" s="55">
        <f t="shared" si="504"/>
        <v>0.89</v>
      </c>
      <c r="GS88" s="55">
        <f t="shared" si="504"/>
        <v>0.87</v>
      </c>
      <c r="GT88" s="55">
        <f t="shared" si="504"/>
        <v>0.85</v>
      </c>
      <c r="GU88" s="55">
        <f t="shared" si="504"/>
        <v>0.83</v>
      </c>
      <c r="GV88" s="55">
        <f t="shared" si="504"/>
        <v>0.80999999999999994</v>
      </c>
      <c r="GW88" s="55">
        <f t="shared" si="504"/>
        <v>0.78999999999999992</v>
      </c>
      <c r="GX88" s="55">
        <f t="shared" si="504"/>
        <v>0.76999999999999991</v>
      </c>
      <c r="GY88" s="55">
        <f t="shared" si="504"/>
        <v>0.74999999999999989</v>
      </c>
      <c r="GZ88" s="55">
        <f t="shared" si="504"/>
        <v>0.72999999999999987</v>
      </c>
      <c r="HA88" s="55">
        <f t="shared" si="504"/>
        <v>0.70999999999999985</v>
      </c>
      <c r="HB88" s="55">
        <f t="shared" si="504"/>
        <v>0.68999999999999984</v>
      </c>
      <c r="HC88" s="55">
        <f t="shared" si="504"/>
        <v>0.66999999999999982</v>
      </c>
      <c r="HD88" s="55">
        <f t="shared" si="504"/>
        <v>0.6499999999999998</v>
      </c>
      <c r="HE88" s="55">
        <f t="shared" si="504"/>
        <v>0.62999999999999978</v>
      </c>
      <c r="HF88" s="55">
        <f t="shared" si="504"/>
        <v>0.60999999999999976</v>
      </c>
      <c r="HG88" s="55">
        <f t="shared" si="504"/>
        <v>0.58999999999999975</v>
      </c>
      <c r="HH88" s="55">
        <f t="shared" si="504"/>
        <v>0.56999999999999973</v>
      </c>
    </row>
    <row r="89" spans="1:216" x14ac:dyDescent="0.3">
      <c r="A89" s="2">
        <v>27</v>
      </c>
      <c r="C89" s="27" t="s">
        <v>113</v>
      </c>
      <c r="D89" s="39">
        <f>SUM(D63:D88)</f>
        <v>306880</v>
      </c>
      <c r="E89" s="39">
        <f>SUM(E63:E88)</f>
        <v>1014420</v>
      </c>
      <c r="H89" s="55">
        <f t="shared" si="505"/>
        <v>1115862</v>
      </c>
      <c r="I89" s="55">
        <f t="shared" si="506"/>
        <v>1115862</v>
      </c>
      <c r="J89" s="59">
        <f t="shared" si="507"/>
        <v>3688816.5996000003</v>
      </c>
      <c r="K89" s="55">
        <f t="shared" si="366"/>
        <v>1082386.1399999999</v>
      </c>
      <c r="L89" s="59">
        <f t="shared" si="367"/>
        <v>3578152.1016119998</v>
      </c>
      <c r="M89" s="55">
        <f t="shared" si="368"/>
        <v>1060068.8999999999</v>
      </c>
      <c r="N89" s="59">
        <f t="shared" si="369"/>
        <v>3504375.7696199999</v>
      </c>
      <c r="O89" s="55">
        <f t="shared" si="370"/>
        <v>1037751.66</v>
      </c>
      <c r="P89" s="59">
        <f t="shared" si="371"/>
        <v>3430599.437628</v>
      </c>
      <c r="Q89" s="57">
        <f t="shared" si="372"/>
        <v>1015434.42</v>
      </c>
      <c r="R89" s="59">
        <f t="shared" si="373"/>
        <v>3356823.1056360002</v>
      </c>
      <c r="S89" s="55">
        <f t="shared" si="374"/>
        <v>993117.18</v>
      </c>
      <c r="T89" s="59">
        <f t="shared" si="375"/>
        <v>3283046.7736440003</v>
      </c>
      <c r="U89" s="57">
        <f t="shared" si="376"/>
        <v>970799.94</v>
      </c>
      <c r="V89" s="59">
        <f t="shared" si="377"/>
        <v>3209270.441652</v>
      </c>
      <c r="W89" s="60">
        <f t="shared" si="378"/>
        <v>948482.7</v>
      </c>
      <c r="X89" s="59">
        <f t="shared" si="379"/>
        <v>3135494.1096600001</v>
      </c>
      <c r="Y89" s="57">
        <f t="shared" si="380"/>
        <v>926165.46</v>
      </c>
      <c r="Z89" s="59">
        <f t="shared" si="381"/>
        <v>3061717.7776679997</v>
      </c>
      <c r="AA89" s="55">
        <f t="shared" si="382"/>
        <v>903848.22</v>
      </c>
      <c r="AB89" s="59">
        <f t="shared" si="383"/>
        <v>2987941.4456759999</v>
      </c>
      <c r="AC89" s="60">
        <f t="shared" si="384"/>
        <v>881530.97999999986</v>
      </c>
      <c r="AD89" s="59">
        <f t="shared" si="385"/>
        <v>2914165.1136839995</v>
      </c>
      <c r="AE89" s="60">
        <f t="shared" si="386"/>
        <v>859213.73999999987</v>
      </c>
      <c r="AF89" s="59">
        <f t="shared" si="387"/>
        <v>2840388.7816919996</v>
      </c>
      <c r="AG89" s="60">
        <f t="shared" si="388"/>
        <v>836896.49999999988</v>
      </c>
      <c r="AH89" s="59">
        <f t="shared" si="389"/>
        <v>2766612.4496999998</v>
      </c>
      <c r="AI89" s="55">
        <f t="shared" si="390"/>
        <v>814579.25999999989</v>
      </c>
      <c r="AJ89" s="59">
        <f t="shared" si="391"/>
        <v>2692836.1177079999</v>
      </c>
      <c r="AK89" s="60">
        <f t="shared" si="392"/>
        <v>792262.01999999979</v>
      </c>
      <c r="AL89" s="59">
        <f t="shared" si="393"/>
        <v>2619059.7857159995</v>
      </c>
      <c r="AM89" s="60">
        <f t="shared" si="394"/>
        <v>769944.7799999998</v>
      </c>
      <c r="AN89" s="59">
        <f t="shared" si="395"/>
        <v>2545283.4537239992</v>
      </c>
      <c r="AO89" s="60">
        <f t="shared" si="396"/>
        <v>747627.5399999998</v>
      </c>
      <c r="AP89" s="59">
        <f t="shared" si="397"/>
        <v>2471507.1217319993</v>
      </c>
      <c r="AQ89" s="60">
        <f t="shared" si="398"/>
        <v>725310.29999999981</v>
      </c>
      <c r="AR89" s="59">
        <f t="shared" si="399"/>
        <v>2397730.7897399995</v>
      </c>
      <c r="AS89" s="55">
        <f t="shared" si="400"/>
        <v>702993.05999999971</v>
      </c>
      <c r="AT89" s="59">
        <f t="shared" si="401"/>
        <v>2323954.4577479991</v>
      </c>
      <c r="AU89" s="60">
        <f t="shared" si="402"/>
        <v>680675.81999999972</v>
      </c>
      <c r="AV89" s="59">
        <f t="shared" si="403"/>
        <v>2250178.1257559992</v>
      </c>
      <c r="AW89" s="60">
        <f t="shared" si="404"/>
        <v>658358.57999999973</v>
      </c>
      <c r="AX89" s="59">
        <f t="shared" si="405"/>
        <v>2176401.7937639994</v>
      </c>
      <c r="AY89" s="55">
        <f t="shared" si="406"/>
        <v>636041.33999999973</v>
      </c>
      <c r="AZ89" s="59">
        <f t="shared" si="407"/>
        <v>2102625.461771999</v>
      </c>
      <c r="BC89" s="55">
        <v>1</v>
      </c>
      <c r="BD89" s="55">
        <v>0.97</v>
      </c>
      <c r="BE89" s="55">
        <v>0.95</v>
      </c>
      <c r="BF89" s="55">
        <v>0.93</v>
      </c>
      <c r="BG89" s="55">
        <f t="shared" si="500"/>
        <v>0.91</v>
      </c>
      <c r="BH89" s="55">
        <f t="shared" si="500"/>
        <v>0.89</v>
      </c>
      <c r="BI89" s="55">
        <f t="shared" si="500"/>
        <v>0.87</v>
      </c>
      <c r="BJ89" s="55">
        <f t="shared" si="500"/>
        <v>0.85</v>
      </c>
      <c r="BK89" s="55">
        <f t="shared" si="500"/>
        <v>0.83</v>
      </c>
      <c r="BL89" s="55">
        <f t="shared" si="500"/>
        <v>0.80999999999999994</v>
      </c>
      <c r="BM89" s="55">
        <f t="shared" si="500"/>
        <v>0.78999999999999992</v>
      </c>
      <c r="BN89" s="55">
        <f t="shared" si="500"/>
        <v>0.76999999999999991</v>
      </c>
      <c r="BO89" s="55">
        <f t="shared" si="500"/>
        <v>0.74999999999999989</v>
      </c>
      <c r="BP89" s="55">
        <f t="shared" si="500"/>
        <v>0.72999999999999987</v>
      </c>
      <c r="BQ89" s="55">
        <f t="shared" si="500"/>
        <v>0.70999999999999985</v>
      </c>
      <c r="BR89" s="55">
        <f t="shared" si="500"/>
        <v>0.68999999999999984</v>
      </c>
      <c r="BS89" s="55">
        <f t="shared" si="500"/>
        <v>0.66999999999999982</v>
      </c>
      <c r="BT89" s="55">
        <f t="shared" si="500"/>
        <v>0.6499999999999998</v>
      </c>
      <c r="BU89" s="55">
        <f t="shared" si="500"/>
        <v>0.62999999999999978</v>
      </c>
      <c r="BV89" s="55">
        <f t="shared" si="500"/>
        <v>0.60999999999999976</v>
      </c>
      <c r="BW89" s="55">
        <f t="shared" si="500"/>
        <v>0.58999999999999975</v>
      </c>
      <c r="BX89" s="55">
        <f t="shared" si="500"/>
        <v>0.56999999999999973</v>
      </c>
      <c r="BZ89" s="55">
        <f t="shared" si="508"/>
        <v>1015434.42</v>
      </c>
      <c r="CA89" s="55">
        <f t="shared" si="509"/>
        <v>1015434.42</v>
      </c>
      <c r="CB89" s="59">
        <f t="shared" si="409"/>
        <v>3356823.1056360002</v>
      </c>
      <c r="CC89" s="55">
        <f t="shared" si="410"/>
        <v>984971.38740000001</v>
      </c>
      <c r="CD89" s="59">
        <f t="shared" si="411"/>
        <v>3256118.41246692</v>
      </c>
      <c r="CE89" s="55">
        <f t="shared" si="412"/>
        <v>964662.69900000002</v>
      </c>
      <c r="CF89" s="59">
        <f t="shared" si="413"/>
        <v>3188981.9503542003</v>
      </c>
      <c r="CG89" s="55">
        <f t="shared" si="414"/>
        <v>944354.01060000004</v>
      </c>
      <c r="CH89" s="59">
        <f t="shared" si="415"/>
        <v>3121845.4882414802</v>
      </c>
      <c r="CI89" s="57">
        <f t="shared" si="416"/>
        <v>924045.32220000005</v>
      </c>
      <c r="CJ89" s="59">
        <f t="shared" si="417"/>
        <v>3054709.0261287601</v>
      </c>
      <c r="CK89" s="55">
        <f t="shared" si="418"/>
        <v>903736.63380000007</v>
      </c>
      <c r="CL89" s="59">
        <f t="shared" si="419"/>
        <v>2987572.5640160404</v>
      </c>
      <c r="CM89" s="57">
        <f t="shared" si="420"/>
        <v>883427.94540000008</v>
      </c>
      <c r="CN89" s="59">
        <f t="shared" si="421"/>
        <v>2920436.1019033203</v>
      </c>
      <c r="CO89" s="60">
        <f t="shared" si="422"/>
        <v>863119.25699999998</v>
      </c>
      <c r="CP89" s="59">
        <f t="shared" si="423"/>
        <v>2853299.6397906002</v>
      </c>
      <c r="CQ89" s="57">
        <f t="shared" si="424"/>
        <v>842810.5686</v>
      </c>
      <c r="CR89" s="59">
        <f t="shared" si="425"/>
        <v>2786163.17767788</v>
      </c>
      <c r="CS89" s="55">
        <f t="shared" si="426"/>
        <v>822501.88020000001</v>
      </c>
      <c r="CT89" s="59">
        <f t="shared" si="427"/>
        <v>2719026.7155651599</v>
      </c>
      <c r="CU89" s="60">
        <f t="shared" si="428"/>
        <v>802193.19179999991</v>
      </c>
      <c r="CV89" s="59">
        <f t="shared" si="429"/>
        <v>2651890.2534524398</v>
      </c>
      <c r="CW89" s="60">
        <f t="shared" si="430"/>
        <v>781884.50339999993</v>
      </c>
      <c r="CX89" s="59">
        <f t="shared" si="431"/>
        <v>2584753.7913397197</v>
      </c>
      <c r="CY89" s="60">
        <f t="shared" si="432"/>
        <v>761575.81499999994</v>
      </c>
      <c r="CZ89" s="59">
        <f t="shared" si="433"/>
        <v>2517617.329227</v>
      </c>
      <c r="DA89" s="55">
        <f t="shared" si="434"/>
        <v>741267.12659999984</v>
      </c>
      <c r="DB89" s="59">
        <f t="shared" si="435"/>
        <v>2450480.8671142794</v>
      </c>
      <c r="DC89" s="60">
        <f t="shared" si="436"/>
        <v>720958.43819999986</v>
      </c>
      <c r="DD89" s="59">
        <f t="shared" si="437"/>
        <v>2383344.4050015598</v>
      </c>
      <c r="DE89" s="60">
        <f t="shared" si="438"/>
        <v>700649.74979999987</v>
      </c>
      <c r="DF89" s="59">
        <f t="shared" si="439"/>
        <v>2316207.9428888396</v>
      </c>
      <c r="DG89" s="60">
        <f t="shared" si="440"/>
        <v>680341.06139999989</v>
      </c>
      <c r="DH89" s="59">
        <f t="shared" si="441"/>
        <v>2249071.4807761195</v>
      </c>
      <c r="DI89" s="60">
        <f t="shared" si="442"/>
        <v>660032.37299999979</v>
      </c>
      <c r="DJ89" s="59">
        <f t="shared" si="443"/>
        <v>2181935.0186633994</v>
      </c>
      <c r="DK89" s="55">
        <f t="shared" si="444"/>
        <v>639723.6845999998</v>
      </c>
      <c r="DL89" s="59">
        <f t="shared" si="445"/>
        <v>2114798.5565506793</v>
      </c>
      <c r="DM89" s="60">
        <f t="shared" si="446"/>
        <v>619414.99619999982</v>
      </c>
      <c r="DN89" s="59">
        <f t="shared" si="447"/>
        <v>2047662.0944379594</v>
      </c>
      <c r="DO89" s="60">
        <f t="shared" si="448"/>
        <v>599106.30779999972</v>
      </c>
      <c r="DP89" s="59">
        <f t="shared" si="449"/>
        <v>1980525.632325239</v>
      </c>
      <c r="DQ89" s="55">
        <f t="shared" si="450"/>
        <v>578797.61939999973</v>
      </c>
      <c r="DR89" s="59">
        <f t="shared" si="451"/>
        <v>1913389.1702125191</v>
      </c>
      <c r="DU89" s="55">
        <v>1</v>
      </c>
      <c r="DV89" s="55">
        <v>0.97</v>
      </c>
      <c r="DW89" s="55">
        <v>0.95</v>
      </c>
      <c r="DX89" s="55">
        <v>0.93</v>
      </c>
      <c r="DY89" s="55">
        <f t="shared" si="503"/>
        <v>0.91</v>
      </c>
      <c r="DZ89" s="55">
        <f t="shared" si="503"/>
        <v>0.89</v>
      </c>
      <c r="EA89" s="55">
        <f t="shared" si="503"/>
        <v>0.87</v>
      </c>
      <c r="EB89" s="55">
        <f t="shared" si="503"/>
        <v>0.85</v>
      </c>
      <c r="EC89" s="55">
        <f t="shared" si="503"/>
        <v>0.83</v>
      </c>
      <c r="ED89" s="55">
        <f t="shared" si="503"/>
        <v>0.80999999999999994</v>
      </c>
      <c r="EE89" s="55">
        <f t="shared" si="503"/>
        <v>0.78999999999999992</v>
      </c>
      <c r="EF89" s="55">
        <f t="shared" si="503"/>
        <v>0.76999999999999991</v>
      </c>
      <c r="EG89" s="55">
        <f t="shared" si="503"/>
        <v>0.74999999999999989</v>
      </c>
      <c r="EH89" s="55">
        <f t="shared" si="503"/>
        <v>0.72999999999999987</v>
      </c>
      <c r="EI89" s="55">
        <f t="shared" si="503"/>
        <v>0.70999999999999985</v>
      </c>
      <c r="EJ89" s="55">
        <f t="shared" si="503"/>
        <v>0.68999999999999984</v>
      </c>
      <c r="EK89" s="55">
        <f t="shared" si="503"/>
        <v>0.66999999999999982</v>
      </c>
      <c r="EL89" s="55">
        <f t="shared" si="503"/>
        <v>0.6499999999999998</v>
      </c>
      <c r="EM89" s="55">
        <f t="shared" si="503"/>
        <v>0.62999999999999978</v>
      </c>
      <c r="EN89" s="55">
        <f t="shared" si="503"/>
        <v>0.60999999999999976</v>
      </c>
      <c r="EO89" s="55">
        <f t="shared" si="503"/>
        <v>0.58999999999999975</v>
      </c>
      <c r="EP89" s="55">
        <f t="shared" si="503"/>
        <v>0.56999999999999973</v>
      </c>
      <c r="ER89" s="55">
        <f t="shared" si="142"/>
        <v>924045.32220000005</v>
      </c>
      <c r="ES89" s="55">
        <f t="shared" si="510"/>
        <v>924045.32220000005</v>
      </c>
      <c r="ET89" s="59">
        <f t="shared" si="453"/>
        <v>3054709.0261287601</v>
      </c>
      <c r="EU89" s="55">
        <f t="shared" si="454"/>
        <v>896323.96253400005</v>
      </c>
      <c r="EV89" s="59">
        <f t="shared" si="455"/>
        <v>2963067.7553448975</v>
      </c>
      <c r="EW89" s="55">
        <f t="shared" si="456"/>
        <v>877843.05608999997</v>
      </c>
      <c r="EX89" s="59">
        <f t="shared" si="457"/>
        <v>2901973.574822322</v>
      </c>
      <c r="EY89" s="55">
        <f t="shared" si="458"/>
        <v>859362.14964600012</v>
      </c>
      <c r="EZ89" s="59">
        <f t="shared" si="459"/>
        <v>2840879.3942997474</v>
      </c>
      <c r="FA89" s="57">
        <f t="shared" si="460"/>
        <v>840881.24320200004</v>
      </c>
      <c r="FB89" s="59">
        <f t="shared" si="461"/>
        <v>2779785.2137771719</v>
      </c>
      <c r="FC89" s="55">
        <f t="shared" si="462"/>
        <v>822400.33675800008</v>
      </c>
      <c r="FD89" s="59">
        <f t="shared" si="463"/>
        <v>2718691.0332545969</v>
      </c>
      <c r="FE89" s="57">
        <f t="shared" si="464"/>
        <v>803919.430314</v>
      </c>
      <c r="FF89" s="59">
        <f t="shared" si="465"/>
        <v>2657596.8527320214</v>
      </c>
      <c r="FG89" s="60">
        <f t="shared" si="466"/>
        <v>785438.52387000003</v>
      </c>
      <c r="FH89" s="59">
        <f t="shared" si="467"/>
        <v>2596502.6722094463</v>
      </c>
      <c r="FI89" s="57">
        <f t="shared" si="468"/>
        <v>766957.61742599995</v>
      </c>
      <c r="FJ89" s="59">
        <f t="shared" si="469"/>
        <v>2535408.4916868708</v>
      </c>
      <c r="FK89" s="55">
        <f t="shared" si="470"/>
        <v>748476.71098199999</v>
      </c>
      <c r="FL89" s="59">
        <f t="shared" si="471"/>
        <v>2474314.3111642958</v>
      </c>
      <c r="FM89" s="60">
        <f t="shared" si="472"/>
        <v>729995.80453800003</v>
      </c>
      <c r="FN89" s="59">
        <f t="shared" si="473"/>
        <v>2413220.1306417207</v>
      </c>
      <c r="FO89" s="60">
        <f t="shared" si="474"/>
        <v>711514.89809399995</v>
      </c>
      <c r="FP89" s="59">
        <f t="shared" si="475"/>
        <v>2352125.9501191452</v>
      </c>
      <c r="FQ89" s="60">
        <f t="shared" si="476"/>
        <v>693033.99164999998</v>
      </c>
      <c r="FR89" s="59">
        <f t="shared" si="477"/>
        <v>2291031.7695965702</v>
      </c>
      <c r="FS89" s="55">
        <f t="shared" si="478"/>
        <v>674553.0852059999</v>
      </c>
      <c r="FT89" s="59">
        <f t="shared" si="479"/>
        <v>2229937.5890739947</v>
      </c>
      <c r="FU89" s="60">
        <f t="shared" si="480"/>
        <v>656072.17876199994</v>
      </c>
      <c r="FV89" s="59">
        <f t="shared" si="481"/>
        <v>2168843.4085514196</v>
      </c>
      <c r="FW89" s="60">
        <f t="shared" si="482"/>
        <v>637591.27231799986</v>
      </c>
      <c r="FX89" s="59">
        <f t="shared" si="483"/>
        <v>2107749.2280288441</v>
      </c>
      <c r="FY89" s="60">
        <f t="shared" si="484"/>
        <v>619110.36587399989</v>
      </c>
      <c r="FZ89" s="59">
        <f t="shared" si="485"/>
        <v>2046655.0475062688</v>
      </c>
      <c r="GA89" s="60">
        <f t="shared" si="486"/>
        <v>600629.45942999981</v>
      </c>
      <c r="GB89" s="59">
        <f t="shared" si="487"/>
        <v>1985560.8669836933</v>
      </c>
      <c r="GC89" s="55">
        <f t="shared" si="488"/>
        <v>582148.55298599985</v>
      </c>
      <c r="GD89" s="59">
        <f t="shared" si="489"/>
        <v>1924466.6864611183</v>
      </c>
      <c r="GE89" s="60">
        <f t="shared" si="490"/>
        <v>563667.64654199977</v>
      </c>
      <c r="GF89" s="59">
        <f t="shared" si="491"/>
        <v>1863372.5059385428</v>
      </c>
      <c r="GG89" s="60">
        <f t="shared" si="492"/>
        <v>545186.74009799981</v>
      </c>
      <c r="GH89" s="59">
        <f t="shared" si="493"/>
        <v>1802278.3254159677</v>
      </c>
      <c r="GI89" s="55">
        <f t="shared" si="494"/>
        <v>526705.83365399973</v>
      </c>
      <c r="GJ89" s="59">
        <f t="shared" si="495"/>
        <v>1741184.1448933922</v>
      </c>
      <c r="GK89" s="55"/>
      <c r="GL89" s="55"/>
      <c r="GM89" s="55">
        <v>1</v>
      </c>
      <c r="GN89" s="55">
        <v>0.97</v>
      </c>
      <c r="GO89" s="55">
        <v>0.95</v>
      </c>
      <c r="GP89" s="55">
        <v>0.93</v>
      </c>
      <c r="GQ89" s="55">
        <f t="shared" si="504"/>
        <v>0.91</v>
      </c>
      <c r="GR89" s="55">
        <f t="shared" si="504"/>
        <v>0.89</v>
      </c>
      <c r="GS89" s="55">
        <f t="shared" si="504"/>
        <v>0.87</v>
      </c>
      <c r="GT89" s="55">
        <f t="shared" si="504"/>
        <v>0.85</v>
      </c>
      <c r="GU89" s="55">
        <f t="shared" si="504"/>
        <v>0.83</v>
      </c>
      <c r="GV89" s="55">
        <f t="shared" si="504"/>
        <v>0.80999999999999994</v>
      </c>
      <c r="GW89" s="55">
        <f t="shared" si="504"/>
        <v>0.78999999999999992</v>
      </c>
      <c r="GX89" s="55">
        <f t="shared" si="504"/>
        <v>0.76999999999999991</v>
      </c>
      <c r="GY89" s="55">
        <f t="shared" si="504"/>
        <v>0.74999999999999989</v>
      </c>
      <c r="GZ89" s="55">
        <f t="shared" si="504"/>
        <v>0.72999999999999987</v>
      </c>
      <c r="HA89" s="55">
        <f t="shared" si="504"/>
        <v>0.70999999999999985</v>
      </c>
      <c r="HB89" s="55">
        <f t="shared" si="504"/>
        <v>0.68999999999999984</v>
      </c>
      <c r="HC89" s="55">
        <f t="shared" si="504"/>
        <v>0.66999999999999982</v>
      </c>
      <c r="HD89" s="55">
        <f t="shared" si="504"/>
        <v>0.6499999999999998</v>
      </c>
      <c r="HE89" s="55">
        <f t="shared" si="504"/>
        <v>0.62999999999999978</v>
      </c>
      <c r="HF89" s="55">
        <f t="shared" si="504"/>
        <v>0.60999999999999976</v>
      </c>
      <c r="HG89" s="55">
        <f t="shared" si="504"/>
        <v>0.58999999999999975</v>
      </c>
      <c r="HH89" s="55">
        <f t="shared" si="504"/>
        <v>0.56999999999999973</v>
      </c>
    </row>
    <row r="90" spans="1:216" s="64" customFormat="1" x14ac:dyDescent="0.3">
      <c r="C90" s="65"/>
      <c r="D90" s="65"/>
      <c r="E90" s="65"/>
      <c r="G90" s="61"/>
      <c r="H90" s="61"/>
      <c r="I90" s="61"/>
      <c r="J90" s="61"/>
      <c r="K90" s="61"/>
      <c r="L90" s="61"/>
      <c r="M90" s="61"/>
      <c r="N90" s="61"/>
      <c r="O90" s="61"/>
      <c r="P90" s="62"/>
      <c r="Q90" s="61"/>
      <c r="R90" s="61"/>
      <c r="S90" s="61"/>
      <c r="T90" s="62"/>
      <c r="U90" s="61"/>
      <c r="V90" s="63"/>
      <c r="W90" s="61"/>
      <c r="X90" s="62"/>
      <c r="Y90" s="61"/>
      <c r="Z90" s="61"/>
      <c r="AA90" s="61"/>
      <c r="AB90" s="63"/>
      <c r="AC90" s="61"/>
      <c r="AD90" s="63"/>
      <c r="AE90" s="61"/>
      <c r="AF90" s="63"/>
      <c r="AG90" s="61"/>
      <c r="AH90" s="61"/>
      <c r="AI90" s="61"/>
      <c r="AJ90" s="63"/>
      <c r="AK90" s="61"/>
      <c r="AL90" s="63"/>
      <c r="AM90" s="61"/>
      <c r="AN90" s="63"/>
      <c r="AO90" s="61"/>
      <c r="AP90" s="63"/>
      <c r="AQ90" s="61"/>
      <c r="AR90" s="61"/>
      <c r="AS90" s="61"/>
      <c r="AT90" s="63"/>
      <c r="AU90" s="61"/>
      <c r="AV90" s="63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>
        <f t="shared" ref="BY90:BY91" si="511">+G90*0.91</f>
        <v>0</v>
      </c>
      <c r="BZ90" s="61"/>
      <c r="CA90" s="61"/>
      <c r="CB90" s="61"/>
      <c r="CC90" s="61"/>
      <c r="CD90" s="61"/>
      <c r="CE90" s="61"/>
      <c r="CF90" s="61"/>
      <c r="CG90" s="61"/>
      <c r="CH90" s="62"/>
      <c r="CI90" s="61"/>
      <c r="CJ90" s="61"/>
      <c r="CK90" s="61"/>
      <c r="CL90" s="62"/>
      <c r="CM90" s="61"/>
      <c r="CN90" s="63"/>
      <c r="CO90" s="61"/>
      <c r="CP90" s="62"/>
      <c r="CQ90" s="61"/>
      <c r="CR90" s="61"/>
      <c r="CS90" s="61"/>
      <c r="CT90" s="63"/>
      <c r="CU90" s="61"/>
      <c r="CV90" s="63"/>
      <c r="CW90" s="61"/>
      <c r="CX90" s="63"/>
      <c r="CY90" s="61"/>
      <c r="CZ90" s="61"/>
      <c r="DA90" s="61"/>
      <c r="DB90" s="63"/>
      <c r="DC90" s="61"/>
      <c r="DD90" s="63"/>
      <c r="DE90" s="61"/>
      <c r="DF90" s="63"/>
      <c r="DG90" s="61"/>
      <c r="DH90" s="63"/>
      <c r="DI90" s="61"/>
      <c r="DJ90" s="61"/>
      <c r="DK90" s="61"/>
      <c r="DL90" s="63"/>
      <c r="DM90" s="61"/>
      <c r="DN90" s="63"/>
      <c r="DO90" s="61"/>
      <c r="DP90" s="61"/>
      <c r="DQ90" s="61"/>
      <c r="DR90" s="61"/>
      <c r="DS90" s="61"/>
      <c r="DT90" s="61">
        <v>1</v>
      </c>
      <c r="DU90" s="61">
        <v>0.97</v>
      </c>
      <c r="DV90" s="61">
        <v>0.95</v>
      </c>
      <c r="DW90" s="61">
        <v>0.93</v>
      </c>
      <c r="DX90" s="61">
        <f t="shared" ref="DX90:EO91" si="512">+DW90-0.02</f>
        <v>0.91</v>
      </c>
      <c r="DY90" s="61">
        <f t="shared" si="512"/>
        <v>0.89</v>
      </c>
      <c r="DZ90" s="61">
        <f t="shared" si="512"/>
        <v>0.87</v>
      </c>
      <c r="EA90" s="61">
        <f t="shared" si="512"/>
        <v>0.85</v>
      </c>
      <c r="EB90" s="61">
        <f t="shared" si="512"/>
        <v>0.83</v>
      </c>
      <c r="EC90" s="61">
        <f t="shared" si="512"/>
        <v>0.80999999999999994</v>
      </c>
      <c r="ED90" s="61">
        <f t="shared" si="512"/>
        <v>0.78999999999999992</v>
      </c>
      <c r="EE90" s="61">
        <f t="shared" si="512"/>
        <v>0.76999999999999991</v>
      </c>
      <c r="EF90" s="61">
        <f t="shared" si="512"/>
        <v>0.74999999999999989</v>
      </c>
      <c r="EG90" s="61">
        <f t="shared" si="512"/>
        <v>0.72999999999999987</v>
      </c>
      <c r="EH90" s="61">
        <f t="shared" si="512"/>
        <v>0.70999999999999985</v>
      </c>
      <c r="EI90" s="61">
        <f t="shared" si="512"/>
        <v>0.68999999999999984</v>
      </c>
      <c r="EJ90" s="61">
        <f t="shared" si="512"/>
        <v>0.66999999999999982</v>
      </c>
      <c r="EK90" s="61">
        <f t="shared" si="512"/>
        <v>0.6499999999999998</v>
      </c>
      <c r="EL90" s="61">
        <f t="shared" si="512"/>
        <v>0.62999999999999978</v>
      </c>
      <c r="EM90" s="61">
        <f t="shared" si="512"/>
        <v>0.60999999999999976</v>
      </c>
      <c r="EN90" s="61">
        <f t="shared" si="512"/>
        <v>0.58999999999999975</v>
      </c>
      <c r="EO90" s="61">
        <f t="shared" si="512"/>
        <v>0.56999999999999973</v>
      </c>
      <c r="EQ90" s="61">
        <f t="shared" ref="EQ90:EQ91" si="513">+BY90*0.91</f>
        <v>0</v>
      </c>
      <c r="ER90" s="61"/>
      <c r="ES90" s="61"/>
      <c r="ET90" s="61"/>
      <c r="EU90" s="61"/>
      <c r="EV90" s="61"/>
      <c r="EW90" s="61"/>
      <c r="EX90" s="61"/>
      <c r="EY90" s="61"/>
      <c r="EZ90" s="62"/>
      <c r="FA90" s="61"/>
      <c r="FB90" s="61"/>
      <c r="FC90" s="61"/>
      <c r="FD90" s="62"/>
      <c r="FE90" s="61"/>
      <c r="FF90" s="63"/>
      <c r="FG90" s="61"/>
      <c r="FH90" s="62"/>
      <c r="FI90" s="61"/>
      <c r="FJ90" s="61"/>
      <c r="FK90" s="61"/>
      <c r="FL90" s="63"/>
      <c r="FM90" s="61"/>
      <c r="FN90" s="63"/>
      <c r="FO90" s="61"/>
      <c r="FP90" s="63"/>
      <c r="FQ90" s="61"/>
      <c r="FR90" s="61"/>
      <c r="FS90" s="61"/>
      <c r="FT90" s="63"/>
      <c r="FU90" s="61"/>
      <c r="FV90" s="63"/>
      <c r="FW90" s="61"/>
      <c r="FX90" s="63"/>
      <c r="FY90" s="61"/>
      <c r="FZ90" s="63"/>
      <c r="GA90" s="61"/>
      <c r="GB90" s="61"/>
      <c r="GC90" s="61"/>
      <c r="GD90" s="63"/>
      <c r="GE90" s="61"/>
      <c r="GF90" s="63"/>
      <c r="GG90" s="61"/>
      <c r="GH90" s="61"/>
      <c r="GI90" s="61"/>
      <c r="GJ90" s="61"/>
      <c r="GK90" s="61"/>
      <c r="GL90" s="61">
        <v>1</v>
      </c>
      <c r="GM90" s="61">
        <v>0.97</v>
      </c>
      <c r="GN90" s="61">
        <v>0.95</v>
      </c>
      <c r="GO90" s="61">
        <v>0.93</v>
      </c>
      <c r="GP90" s="61">
        <f t="shared" ref="GP90:HG91" si="514">+GO90-0.02</f>
        <v>0.91</v>
      </c>
      <c r="GQ90" s="61">
        <f t="shared" si="514"/>
        <v>0.89</v>
      </c>
      <c r="GR90" s="61">
        <f t="shared" si="514"/>
        <v>0.87</v>
      </c>
      <c r="GS90" s="61">
        <f t="shared" si="514"/>
        <v>0.85</v>
      </c>
      <c r="GT90" s="61">
        <f t="shared" si="514"/>
        <v>0.83</v>
      </c>
      <c r="GU90" s="61">
        <f t="shared" si="514"/>
        <v>0.80999999999999994</v>
      </c>
      <c r="GV90" s="61">
        <f t="shared" si="514"/>
        <v>0.78999999999999992</v>
      </c>
      <c r="GW90" s="61">
        <f t="shared" si="514"/>
        <v>0.76999999999999991</v>
      </c>
      <c r="GX90" s="61">
        <f t="shared" si="514"/>
        <v>0.74999999999999989</v>
      </c>
      <c r="GY90" s="61">
        <f t="shared" si="514"/>
        <v>0.72999999999999987</v>
      </c>
      <c r="GZ90" s="61">
        <f t="shared" si="514"/>
        <v>0.70999999999999985</v>
      </c>
      <c r="HA90" s="61">
        <f t="shared" si="514"/>
        <v>0.68999999999999984</v>
      </c>
      <c r="HB90" s="61">
        <f t="shared" si="514"/>
        <v>0.66999999999999982</v>
      </c>
      <c r="HC90" s="61">
        <f t="shared" si="514"/>
        <v>0.6499999999999998</v>
      </c>
      <c r="HD90" s="61">
        <f t="shared" si="514"/>
        <v>0.62999999999999978</v>
      </c>
      <c r="HE90" s="61">
        <f t="shared" si="514"/>
        <v>0.60999999999999976</v>
      </c>
      <c r="HF90" s="61">
        <f t="shared" si="514"/>
        <v>0.58999999999999975</v>
      </c>
      <c r="HG90" s="61">
        <f t="shared" si="514"/>
        <v>0.56999999999999973</v>
      </c>
    </row>
    <row r="91" spans="1:216" s="64" customFormat="1" ht="17.25" thickBot="1" x14ac:dyDescent="0.35">
      <c r="B91" s="64" t="s">
        <v>299</v>
      </c>
      <c r="C91" s="64" t="s">
        <v>298</v>
      </c>
      <c r="D91" s="65" t="s">
        <v>272</v>
      </c>
      <c r="E91" s="65" t="s">
        <v>155</v>
      </c>
      <c r="G91" s="61"/>
      <c r="H91" s="61"/>
      <c r="I91" s="61"/>
      <c r="J91" s="61"/>
      <c r="K91" s="61"/>
      <c r="L91" s="61"/>
      <c r="M91" s="61"/>
      <c r="N91" s="61"/>
      <c r="O91" s="61"/>
      <c r="P91" s="62"/>
      <c r="Q91" s="61"/>
      <c r="R91" s="61"/>
      <c r="S91" s="61"/>
      <c r="T91" s="62"/>
      <c r="U91" s="61"/>
      <c r="V91" s="63"/>
      <c r="W91" s="61"/>
      <c r="X91" s="62"/>
      <c r="Y91" s="61"/>
      <c r="Z91" s="61"/>
      <c r="AA91" s="61"/>
      <c r="AB91" s="63"/>
      <c r="AC91" s="61"/>
      <c r="AD91" s="63"/>
      <c r="AE91" s="61"/>
      <c r="AF91" s="63"/>
      <c r="AG91" s="61"/>
      <c r="AH91" s="61"/>
      <c r="AI91" s="61"/>
      <c r="AJ91" s="63"/>
      <c r="AK91" s="61"/>
      <c r="AL91" s="63"/>
      <c r="AM91" s="61"/>
      <c r="AN91" s="63"/>
      <c r="AO91" s="61"/>
      <c r="AP91" s="63"/>
      <c r="AQ91" s="61"/>
      <c r="AR91" s="61"/>
      <c r="AS91" s="61"/>
      <c r="AT91" s="63"/>
      <c r="AU91" s="61"/>
      <c r="AV91" s="63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>
        <f t="shared" si="511"/>
        <v>0</v>
      </c>
      <c r="BZ91" s="61"/>
      <c r="CA91" s="61"/>
      <c r="CB91" s="61"/>
      <c r="CC91" s="61"/>
      <c r="CD91" s="61"/>
      <c r="CE91" s="61"/>
      <c r="CF91" s="61"/>
      <c r="CG91" s="61"/>
      <c r="CH91" s="62"/>
      <c r="CI91" s="61"/>
      <c r="CJ91" s="61"/>
      <c r="CK91" s="61"/>
      <c r="CL91" s="62"/>
      <c r="CM91" s="61"/>
      <c r="CN91" s="63"/>
      <c r="CO91" s="61"/>
      <c r="CP91" s="62"/>
      <c r="CQ91" s="61"/>
      <c r="CR91" s="61"/>
      <c r="CS91" s="61"/>
      <c r="CT91" s="63"/>
      <c r="CU91" s="61"/>
      <c r="CV91" s="63"/>
      <c r="CW91" s="61"/>
      <c r="CX91" s="63"/>
      <c r="CY91" s="61"/>
      <c r="CZ91" s="61"/>
      <c r="DA91" s="61"/>
      <c r="DB91" s="63"/>
      <c r="DC91" s="61"/>
      <c r="DD91" s="63"/>
      <c r="DE91" s="61"/>
      <c r="DF91" s="63"/>
      <c r="DG91" s="61"/>
      <c r="DH91" s="63"/>
      <c r="DI91" s="61"/>
      <c r="DJ91" s="61"/>
      <c r="DK91" s="61"/>
      <c r="DL91" s="63"/>
      <c r="DM91" s="61"/>
      <c r="DN91" s="63"/>
      <c r="DO91" s="61"/>
      <c r="DP91" s="61"/>
      <c r="DQ91" s="61"/>
      <c r="DR91" s="61"/>
      <c r="DS91" s="61"/>
      <c r="DT91" s="61">
        <v>1</v>
      </c>
      <c r="DU91" s="61">
        <v>0.97</v>
      </c>
      <c r="DV91" s="61">
        <v>0.95</v>
      </c>
      <c r="DW91" s="61">
        <v>0.93</v>
      </c>
      <c r="DX91" s="61">
        <f t="shared" si="512"/>
        <v>0.91</v>
      </c>
      <c r="DY91" s="61">
        <f t="shared" si="512"/>
        <v>0.89</v>
      </c>
      <c r="DZ91" s="61">
        <f t="shared" si="512"/>
        <v>0.87</v>
      </c>
      <c r="EA91" s="61">
        <f t="shared" si="512"/>
        <v>0.85</v>
      </c>
      <c r="EB91" s="61">
        <f t="shared" si="512"/>
        <v>0.83</v>
      </c>
      <c r="EC91" s="61">
        <f t="shared" si="512"/>
        <v>0.80999999999999994</v>
      </c>
      <c r="ED91" s="61">
        <f t="shared" si="512"/>
        <v>0.78999999999999992</v>
      </c>
      <c r="EE91" s="61">
        <f t="shared" si="512"/>
        <v>0.76999999999999991</v>
      </c>
      <c r="EF91" s="61">
        <f t="shared" si="512"/>
        <v>0.74999999999999989</v>
      </c>
      <c r="EG91" s="61">
        <f t="shared" si="512"/>
        <v>0.72999999999999987</v>
      </c>
      <c r="EH91" s="61">
        <f t="shared" si="512"/>
        <v>0.70999999999999985</v>
      </c>
      <c r="EI91" s="61">
        <f t="shared" si="512"/>
        <v>0.68999999999999984</v>
      </c>
      <c r="EJ91" s="61">
        <f t="shared" si="512"/>
        <v>0.66999999999999982</v>
      </c>
      <c r="EK91" s="61">
        <f t="shared" si="512"/>
        <v>0.6499999999999998</v>
      </c>
      <c r="EL91" s="61">
        <f t="shared" si="512"/>
        <v>0.62999999999999978</v>
      </c>
      <c r="EM91" s="61">
        <f t="shared" si="512"/>
        <v>0.60999999999999976</v>
      </c>
      <c r="EN91" s="61">
        <f t="shared" si="512"/>
        <v>0.58999999999999975</v>
      </c>
      <c r="EO91" s="61">
        <f t="shared" si="512"/>
        <v>0.56999999999999973</v>
      </c>
      <c r="EQ91" s="61">
        <f t="shared" si="513"/>
        <v>0</v>
      </c>
      <c r="ER91" s="61"/>
      <c r="ES91" s="61"/>
      <c r="ET91" s="61"/>
      <c r="EU91" s="61"/>
      <c r="EV91" s="61"/>
      <c r="EW91" s="61"/>
      <c r="EX91" s="61"/>
      <c r="EY91" s="61"/>
      <c r="EZ91" s="62"/>
      <c r="FA91" s="61"/>
      <c r="FB91" s="61"/>
      <c r="FC91" s="61"/>
      <c r="FD91" s="62"/>
      <c r="FE91" s="61"/>
      <c r="FF91" s="63"/>
      <c r="FG91" s="61"/>
      <c r="FH91" s="62"/>
      <c r="FI91" s="61"/>
      <c r="FJ91" s="61"/>
      <c r="FK91" s="61"/>
      <c r="FL91" s="63"/>
      <c r="FM91" s="61"/>
      <c r="FN91" s="63"/>
      <c r="FO91" s="61"/>
      <c r="FP91" s="63"/>
      <c r="FQ91" s="61"/>
      <c r="FR91" s="61"/>
      <c r="FS91" s="61"/>
      <c r="FT91" s="63"/>
      <c r="FU91" s="61"/>
      <c r="FV91" s="63"/>
      <c r="FW91" s="61"/>
      <c r="FX91" s="63"/>
      <c r="FY91" s="61"/>
      <c r="FZ91" s="63"/>
      <c r="GA91" s="61"/>
      <c r="GB91" s="61"/>
      <c r="GC91" s="61"/>
      <c r="GD91" s="63"/>
      <c r="GE91" s="61"/>
      <c r="GF91" s="63"/>
      <c r="GG91" s="61"/>
      <c r="GH91" s="61"/>
      <c r="GI91" s="61"/>
      <c r="GJ91" s="61"/>
      <c r="GK91" s="61"/>
      <c r="GL91" s="61">
        <v>1</v>
      </c>
      <c r="GM91" s="61">
        <v>0.97</v>
      </c>
      <c r="GN91" s="61">
        <v>0.95</v>
      </c>
      <c r="GO91" s="61">
        <v>0.93</v>
      </c>
      <c r="GP91" s="61">
        <f t="shared" si="514"/>
        <v>0.91</v>
      </c>
      <c r="GQ91" s="61">
        <f t="shared" si="514"/>
        <v>0.89</v>
      </c>
      <c r="GR91" s="61">
        <f t="shared" si="514"/>
        <v>0.87</v>
      </c>
      <c r="GS91" s="61">
        <f t="shared" si="514"/>
        <v>0.85</v>
      </c>
      <c r="GT91" s="61">
        <f t="shared" si="514"/>
        <v>0.83</v>
      </c>
      <c r="GU91" s="61">
        <f t="shared" si="514"/>
        <v>0.80999999999999994</v>
      </c>
      <c r="GV91" s="61">
        <f t="shared" si="514"/>
        <v>0.78999999999999992</v>
      </c>
      <c r="GW91" s="61">
        <f t="shared" si="514"/>
        <v>0.76999999999999991</v>
      </c>
      <c r="GX91" s="61">
        <f t="shared" si="514"/>
        <v>0.74999999999999989</v>
      </c>
      <c r="GY91" s="61">
        <f t="shared" si="514"/>
        <v>0.72999999999999987</v>
      </c>
      <c r="GZ91" s="61">
        <f t="shared" si="514"/>
        <v>0.70999999999999985</v>
      </c>
      <c r="HA91" s="61">
        <f t="shared" si="514"/>
        <v>0.68999999999999984</v>
      </c>
      <c r="HB91" s="61">
        <f t="shared" si="514"/>
        <v>0.66999999999999982</v>
      </c>
      <c r="HC91" s="61">
        <f t="shared" si="514"/>
        <v>0.6499999999999998</v>
      </c>
      <c r="HD91" s="61">
        <f t="shared" si="514"/>
        <v>0.62999999999999978</v>
      </c>
      <c r="HE91" s="61">
        <f t="shared" si="514"/>
        <v>0.60999999999999976</v>
      </c>
      <c r="HF91" s="61">
        <f t="shared" si="514"/>
        <v>0.58999999999999975</v>
      </c>
      <c r="HG91" s="61">
        <f t="shared" si="514"/>
        <v>0.56999999999999973</v>
      </c>
    </row>
    <row r="92" spans="1:216" x14ac:dyDescent="0.3">
      <c r="A92" s="2">
        <v>1</v>
      </c>
      <c r="C92" s="38" t="s">
        <v>39</v>
      </c>
      <c r="D92" s="40">
        <f>TRUNC(18793.0186324486,-1)</f>
        <v>18790</v>
      </c>
      <c r="E92" s="70">
        <f t="shared" ref="E92:E112" si="515">TRUNC(+D92*3.3058,-1)</f>
        <v>62110</v>
      </c>
      <c r="H92" s="55">
        <f t="shared" si="505"/>
        <v>68321</v>
      </c>
      <c r="I92" s="55">
        <f t="shared" si="506"/>
        <v>68321</v>
      </c>
      <c r="J92" s="59">
        <f t="shared" si="507"/>
        <v>225855.5618</v>
      </c>
      <c r="K92" s="55">
        <f t="shared" ref="K92:K113" si="516">+I92*BD92</f>
        <v>66271.37</v>
      </c>
      <c r="L92" s="59">
        <f t="shared" ref="L92:L113" si="517">+K92*3.3058</f>
        <v>219079.89494599999</v>
      </c>
      <c r="M92" s="55">
        <f t="shared" ref="M92:M113" si="518">+I92*BE92</f>
        <v>64904.95</v>
      </c>
      <c r="N92" s="59">
        <f t="shared" ref="N92:N113" si="519">+M92*3.3058</f>
        <v>214562.78370999999</v>
      </c>
      <c r="O92" s="55">
        <f t="shared" ref="O92:O113" si="520">+I92*BF92</f>
        <v>63538.530000000006</v>
      </c>
      <c r="P92" s="59">
        <f t="shared" ref="P92:P113" si="521">+O92*3.3058</f>
        <v>210045.67247400002</v>
      </c>
      <c r="Q92" s="57">
        <f t="shared" ref="Q92:Q113" si="522">+I92*BG92</f>
        <v>62172.11</v>
      </c>
      <c r="R92" s="59">
        <f t="shared" ref="R92:R113" si="523">+Q92*3.3058</f>
        <v>205528.56123799999</v>
      </c>
      <c r="S92" s="55">
        <f t="shared" ref="S92:S113" si="524">+I92*BH92</f>
        <v>60805.69</v>
      </c>
      <c r="T92" s="59">
        <f t="shared" ref="T92:T113" si="525">+S92*3.3058</f>
        <v>201011.450002</v>
      </c>
      <c r="U92" s="57">
        <f t="shared" ref="U92:U113" si="526">+I92*BI92</f>
        <v>59439.27</v>
      </c>
      <c r="V92" s="59">
        <f t="shared" ref="V92:V113" si="527">+U92*3.3058</f>
        <v>196494.338766</v>
      </c>
      <c r="W92" s="60">
        <f t="shared" ref="W92:W113" si="528">+I92*BJ92</f>
        <v>58072.85</v>
      </c>
      <c r="X92" s="59">
        <f t="shared" ref="X92:X113" si="529">+W92*3.3058</f>
        <v>191977.22753</v>
      </c>
      <c r="Y92" s="57">
        <f t="shared" ref="Y92:Y113" si="530">+I92*BK92</f>
        <v>56706.43</v>
      </c>
      <c r="Z92" s="59">
        <f t="shared" ref="Z92:Z113" si="531">+Y92*3.3058</f>
        <v>187460.11629400001</v>
      </c>
      <c r="AA92" s="55">
        <f t="shared" ref="AA92:AA113" si="532">+I92*BL92</f>
        <v>55340.009999999995</v>
      </c>
      <c r="AB92" s="59">
        <f t="shared" ref="AB92:AB113" si="533">+AA92*3.3058</f>
        <v>182943.00505799998</v>
      </c>
      <c r="AC92" s="60">
        <f t="shared" ref="AC92:AC113" si="534">+I92*BM92</f>
        <v>53973.59</v>
      </c>
      <c r="AD92" s="59">
        <f t="shared" ref="AD92:AD113" si="535">+AC92*3.3058</f>
        <v>178425.89382199998</v>
      </c>
      <c r="AE92" s="60">
        <f t="shared" ref="AE92:AE113" si="536">+I92*BN92</f>
        <v>52607.169999999991</v>
      </c>
      <c r="AF92" s="59">
        <f t="shared" ref="AF92:AF113" si="537">+AE92*3.3058</f>
        <v>173908.78258599999</v>
      </c>
      <c r="AG92" s="60">
        <f t="shared" ref="AG92:AG113" si="538">+I92*BO92</f>
        <v>51240.749999999993</v>
      </c>
      <c r="AH92" s="59">
        <f t="shared" ref="AH92:AH113" si="539">+AG92*3.3058</f>
        <v>169391.67134999999</v>
      </c>
      <c r="AI92" s="55">
        <f t="shared" ref="AI92:AI113" si="540">+I92*BP92</f>
        <v>49874.329999999994</v>
      </c>
      <c r="AJ92" s="59">
        <f t="shared" ref="AJ92:AJ113" si="541">+AI92*3.3058</f>
        <v>164874.56011399999</v>
      </c>
      <c r="AK92" s="60">
        <f t="shared" ref="AK92:AK113" si="542">+I92*BQ92</f>
        <v>48507.909999999989</v>
      </c>
      <c r="AL92" s="59">
        <f t="shared" ref="AL92:AL113" si="543">+AK92*3.3058</f>
        <v>160357.44887799997</v>
      </c>
      <c r="AM92" s="60">
        <f t="shared" ref="AM92:AM113" si="544">+I92*BR92</f>
        <v>47141.489999999991</v>
      </c>
      <c r="AN92" s="59">
        <f t="shared" ref="AN92:AN113" si="545">+AM92*3.3058</f>
        <v>155840.33764199997</v>
      </c>
      <c r="AO92" s="60">
        <f t="shared" ref="AO92:AO113" si="546">+I92*BS92</f>
        <v>45775.069999999985</v>
      </c>
      <c r="AP92" s="59">
        <f t="shared" ref="AP92:AP113" si="547">+AO92*3.3058</f>
        <v>151323.22640599994</v>
      </c>
      <c r="AQ92" s="60">
        <f t="shared" ref="AQ92:AQ113" si="548">+I92*BT92</f>
        <v>44408.649999999987</v>
      </c>
      <c r="AR92" s="59">
        <f t="shared" ref="AR92:AR113" si="549">+AQ92*3.3058</f>
        <v>146806.11516999995</v>
      </c>
      <c r="AS92" s="55">
        <f t="shared" ref="AS92:AS113" si="550">+I92*BU92</f>
        <v>43042.229999999989</v>
      </c>
      <c r="AT92" s="59">
        <f t="shared" ref="AT92:AT113" si="551">+AS92*3.3058</f>
        <v>142289.00393399998</v>
      </c>
      <c r="AU92" s="60">
        <f t="shared" ref="AU92:AU113" si="552">+I92*BV92</f>
        <v>41675.809999999983</v>
      </c>
      <c r="AV92" s="59">
        <f t="shared" ref="AV92:AV113" si="553">+AU92*3.3058</f>
        <v>137771.89269799995</v>
      </c>
      <c r="AW92" s="60">
        <f t="shared" ref="AW92:AW113" si="554">+I92*BW92</f>
        <v>40309.389999999985</v>
      </c>
      <c r="AX92" s="59">
        <f t="shared" ref="AX92:AX113" si="555">+AW92*3.3058</f>
        <v>133254.78146199996</v>
      </c>
      <c r="AY92" s="55">
        <f t="shared" ref="AY92:AY113" si="556">+I92*BX92</f>
        <v>38942.969999999979</v>
      </c>
      <c r="AZ92" s="59">
        <f t="shared" ref="AZ92:AZ113" si="557">+AY92*3.3058</f>
        <v>128737.67022599993</v>
      </c>
      <c r="BC92" s="55">
        <v>1</v>
      </c>
      <c r="BD92" s="55">
        <v>0.97</v>
      </c>
      <c r="BE92" s="55">
        <v>0.95</v>
      </c>
      <c r="BF92" s="55">
        <v>0.93</v>
      </c>
      <c r="BG92" s="55">
        <f t="shared" ref="BG92:BX106" si="558">+BF92-0.02</f>
        <v>0.91</v>
      </c>
      <c r="BH92" s="55">
        <f t="shared" si="558"/>
        <v>0.89</v>
      </c>
      <c r="BI92" s="55">
        <f t="shared" si="558"/>
        <v>0.87</v>
      </c>
      <c r="BJ92" s="55">
        <f t="shared" si="558"/>
        <v>0.85</v>
      </c>
      <c r="BK92" s="55">
        <f t="shared" si="558"/>
        <v>0.83</v>
      </c>
      <c r="BL92" s="55">
        <f t="shared" si="558"/>
        <v>0.80999999999999994</v>
      </c>
      <c r="BM92" s="55">
        <f t="shared" si="558"/>
        <v>0.78999999999999992</v>
      </c>
      <c r="BN92" s="55">
        <f t="shared" si="558"/>
        <v>0.76999999999999991</v>
      </c>
      <c r="BO92" s="55">
        <f t="shared" si="558"/>
        <v>0.74999999999999989</v>
      </c>
      <c r="BP92" s="55">
        <f t="shared" si="558"/>
        <v>0.72999999999999987</v>
      </c>
      <c r="BQ92" s="55">
        <f t="shared" si="558"/>
        <v>0.70999999999999985</v>
      </c>
      <c r="BR92" s="55">
        <f t="shared" si="558"/>
        <v>0.68999999999999984</v>
      </c>
      <c r="BS92" s="55">
        <f t="shared" si="558"/>
        <v>0.66999999999999982</v>
      </c>
      <c r="BT92" s="55">
        <f t="shared" si="558"/>
        <v>0.6499999999999998</v>
      </c>
      <c r="BU92" s="55">
        <f t="shared" si="558"/>
        <v>0.62999999999999978</v>
      </c>
      <c r="BV92" s="55">
        <f t="shared" si="558"/>
        <v>0.60999999999999976</v>
      </c>
      <c r="BW92" s="55">
        <f t="shared" si="558"/>
        <v>0.58999999999999975</v>
      </c>
      <c r="BX92" s="55">
        <f t="shared" si="558"/>
        <v>0.56999999999999973</v>
      </c>
      <c r="BZ92" s="55">
        <f t="shared" si="508"/>
        <v>62172.11</v>
      </c>
      <c r="CA92" s="55">
        <f t="shared" si="509"/>
        <v>62172.11</v>
      </c>
      <c r="CB92" s="59">
        <f t="shared" ref="CB92:CB113" si="559">+CA92*3.3058</f>
        <v>205528.56123799999</v>
      </c>
      <c r="CC92" s="55">
        <f t="shared" ref="CC92:CC113" si="560">+CA92*DV92</f>
        <v>60306.9467</v>
      </c>
      <c r="CD92" s="59">
        <f t="shared" ref="CD92:CD113" si="561">+CC92*3.3058</f>
        <v>199362.70440086001</v>
      </c>
      <c r="CE92" s="55">
        <f t="shared" ref="CE92:CE113" si="562">+CA92*DW92</f>
        <v>59063.504499999995</v>
      </c>
      <c r="CF92" s="59">
        <f t="shared" ref="CF92:CF113" si="563">+CE92*3.3058</f>
        <v>195252.1331761</v>
      </c>
      <c r="CG92" s="55">
        <f t="shared" ref="CG92:CG113" si="564">+CA92*DX92</f>
        <v>57820.062300000005</v>
      </c>
      <c r="CH92" s="59">
        <f t="shared" ref="CH92:CH113" si="565">+CG92*3.3058</f>
        <v>191141.56195134003</v>
      </c>
      <c r="CI92" s="57">
        <f t="shared" ref="CI92:CI113" si="566">+CA92*DY92</f>
        <v>56576.6201</v>
      </c>
      <c r="CJ92" s="59">
        <f t="shared" ref="CJ92:CJ113" si="567">+CI92*3.3058</f>
        <v>187030.99072658</v>
      </c>
      <c r="CK92" s="55">
        <f t="shared" ref="CK92:CK113" si="568">+CA92*DZ92</f>
        <v>55333.177900000002</v>
      </c>
      <c r="CL92" s="59">
        <f t="shared" ref="CL92:CL113" si="569">+CK92*3.3058</f>
        <v>182920.41950182003</v>
      </c>
      <c r="CM92" s="57">
        <f t="shared" ref="CM92:CM113" si="570">+CA92*EA92</f>
        <v>54089.735699999997</v>
      </c>
      <c r="CN92" s="59">
        <f t="shared" ref="CN92:CN113" si="571">+CM92*3.3058</f>
        <v>178809.84827705999</v>
      </c>
      <c r="CO92" s="60">
        <f t="shared" ref="CO92:CO113" si="572">+CA92*EB92</f>
        <v>52846.2935</v>
      </c>
      <c r="CP92" s="59">
        <f t="shared" ref="CP92:CP113" si="573">+CO92*3.3058</f>
        <v>174699.27705229999</v>
      </c>
      <c r="CQ92" s="57">
        <f t="shared" ref="CQ92:CQ113" si="574">+CA92*EC92</f>
        <v>51602.851299999995</v>
      </c>
      <c r="CR92" s="59">
        <f t="shared" ref="CR92:CR113" si="575">+CQ92*3.3058</f>
        <v>170588.70582753999</v>
      </c>
      <c r="CS92" s="55">
        <f t="shared" ref="CS92:CS113" si="576">+CA92*ED92</f>
        <v>50359.409099999997</v>
      </c>
      <c r="CT92" s="59">
        <f t="shared" ref="CT92:CT113" si="577">+CS92*3.3058</f>
        <v>166478.13460277999</v>
      </c>
      <c r="CU92" s="60">
        <f t="shared" ref="CU92:CU113" si="578">+CA92*EE92</f>
        <v>49115.966899999992</v>
      </c>
      <c r="CV92" s="59">
        <f t="shared" ref="CV92:CV113" si="579">+CU92*3.3058</f>
        <v>162367.56337801999</v>
      </c>
      <c r="CW92" s="60">
        <f t="shared" ref="CW92:CW113" si="580">+CA92*EF92</f>
        <v>47872.524699999994</v>
      </c>
      <c r="CX92" s="59">
        <f t="shared" ref="CX92:CX113" si="581">+CW92*3.3058</f>
        <v>158256.99215325998</v>
      </c>
      <c r="CY92" s="60">
        <f t="shared" ref="CY92:CY113" si="582">+CA92*EG92</f>
        <v>46629.082499999997</v>
      </c>
      <c r="CZ92" s="59">
        <f t="shared" ref="CZ92:CZ113" si="583">+CY92*3.3058</f>
        <v>154146.42092849998</v>
      </c>
      <c r="DA92" s="55">
        <f t="shared" ref="DA92:DA113" si="584">+CA92*EH92</f>
        <v>45385.640299999992</v>
      </c>
      <c r="DB92" s="59">
        <f t="shared" ref="DB92:DB113" si="585">+DA92*3.3058</f>
        <v>150035.84970373998</v>
      </c>
      <c r="DC92" s="60">
        <f t="shared" ref="DC92:DC113" si="586">+CA92*EI92</f>
        <v>44142.198099999994</v>
      </c>
      <c r="DD92" s="59">
        <f t="shared" ref="DD92:DD113" si="587">+DC92*3.3058</f>
        <v>145925.27847897998</v>
      </c>
      <c r="DE92" s="60">
        <f t="shared" ref="DE92:DE113" si="588">+CA92*EJ92</f>
        <v>42898.755899999989</v>
      </c>
      <c r="DF92" s="59">
        <f t="shared" ref="DF92:DF113" si="589">+DE92*3.3058</f>
        <v>141814.70725421997</v>
      </c>
      <c r="DG92" s="60">
        <f t="shared" ref="DG92:DG113" si="590">+CA92*EK92</f>
        <v>41655.313699999992</v>
      </c>
      <c r="DH92" s="59">
        <f t="shared" ref="DH92:DH113" si="591">+DG92*3.3058</f>
        <v>137704.13602945997</v>
      </c>
      <c r="DI92" s="60">
        <f t="shared" ref="DI92:DI113" si="592">+CA92*EL92</f>
        <v>40411.871499999987</v>
      </c>
      <c r="DJ92" s="59">
        <f t="shared" ref="DJ92:DJ113" si="593">+DI92*3.3058</f>
        <v>133593.56480469997</v>
      </c>
      <c r="DK92" s="55">
        <f t="shared" ref="DK92:DK113" si="594">+CA92*EM92</f>
        <v>39168.429299999989</v>
      </c>
      <c r="DL92" s="59">
        <f t="shared" ref="DL92:DL113" si="595">+DK92*3.3058</f>
        <v>129482.99357993997</v>
      </c>
      <c r="DM92" s="60">
        <f t="shared" ref="DM92:DM113" si="596">+CA92*EN92</f>
        <v>37924.987099999984</v>
      </c>
      <c r="DN92" s="59">
        <f t="shared" ref="DN92:DN113" si="597">+DM92*3.3058</f>
        <v>125372.42235517995</v>
      </c>
      <c r="DO92" s="60">
        <f t="shared" ref="DO92:DO113" si="598">+CA92*EO92</f>
        <v>36681.544899999986</v>
      </c>
      <c r="DP92" s="59">
        <f t="shared" ref="DP92:DP113" si="599">+DO92*3.3058</f>
        <v>121261.85113041996</v>
      </c>
      <c r="DQ92" s="55">
        <f t="shared" ref="DQ92:DQ113" si="600">+CA92*EP92</f>
        <v>35438.102699999981</v>
      </c>
      <c r="DR92" s="59">
        <f t="shared" ref="DR92:DR113" si="601">+DQ92*3.3058</f>
        <v>117151.27990565995</v>
      </c>
      <c r="DU92" s="55">
        <v>1</v>
      </c>
      <c r="DV92" s="55">
        <v>0.97</v>
      </c>
      <c r="DW92" s="55">
        <v>0.95</v>
      </c>
      <c r="DX92" s="55">
        <v>0.93</v>
      </c>
      <c r="DY92" s="55">
        <f t="shared" si="503"/>
        <v>0.91</v>
      </c>
      <c r="DZ92" s="55">
        <f t="shared" si="503"/>
        <v>0.89</v>
      </c>
      <c r="EA92" s="55">
        <f t="shared" si="503"/>
        <v>0.87</v>
      </c>
      <c r="EB92" s="55">
        <f t="shared" si="503"/>
        <v>0.85</v>
      </c>
      <c r="EC92" s="55">
        <f t="shared" si="503"/>
        <v>0.83</v>
      </c>
      <c r="ED92" s="55">
        <f t="shared" si="503"/>
        <v>0.80999999999999994</v>
      </c>
      <c r="EE92" s="55">
        <f t="shared" si="503"/>
        <v>0.78999999999999992</v>
      </c>
      <c r="EF92" s="55">
        <f t="shared" si="503"/>
        <v>0.76999999999999991</v>
      </c>
      <c r="EG92" s="55">
        <f t="shared" si="503"/>
        <v>0.74999999999999989</v>
      </c>
      <c r="EH92" s="55">
        <f t="shared" si="503"/>
        <v>0.72999999999999987</v>
      </c>
      <c r="EI92" s="55">
        <f t="shared" si="503"/>
        <v>0.70999999999999985</v>
      </c>
      <c r="EJ92" s="55">
        <f t="shared" si="503"/>
        <v>0.68999999999999984</v>
      </c>
      <c r="EK92" s="55">
        <f t="shared" si="503"/>
        <v>0.66999999999999982</v>
      </c>
      <c r="EL92" s="55">
        <f t="shared" si="503"/>
        <v>0.6499999999999998</v>
      </c>
      <c r="EM92" s="55">
        <f t="shared" si="503"/>
        <v>0.62999999999999978</v>
      </c>
      <c r="EN92" s="55">
        <f t="shared" si="503"/>
        <v>0.60999999999999976</v>
      </c>
      <c r="EO92" s="55">
        <f t="shared" si="503"/>
        <v>0.58999999999999975</v>
      </c>
      <c r="EP92" s="55">
        <f t="shared" si="503"/>
        <v>0.56999999999999973</v>
      </c>
      <c r="ER92" s="55">
        <f t="shared" si="142"/>
        <v>56576.6201</v>
      </c>
      <c r="ES92" s="55">
        <f t="shared" si="510"/>
        <v>56576.6201</v>
      </c>
      <c r="ET92" s="59">
        <f t="shared" ref="ET92:ET113" si="602">+ES92*3.3058</f>
        <v>187030.99072658</v>
      </c>
      <c r="EU92" s="55">
        <f t="shared" ref="EU92:EU113" si="603">+ES92*GN92</f>
        <v>54879.321496999997</v>
      </c>
      <c r="EV92" s="59">
        <f t="shared" ref="EV92:EV113" si="604">+EU92*3.3058</f>
        <v>181420.06100478259</v>
      </c>
      <c r="EW92" s="55">
        <f t="shared" ref="EW92:EW113" si="605">+ES92*GO92</f>
        <v>53747.789095</v>
      </c>
      <c r="EX92" s="59">
        <f t="shared" ref="EX92:EX113" si="606">+EW92*3.3058</f>
        <v>177679.441190251</v>
      </c>
      <c r="EY92" s="55">
        <f t="shared" ref="EY92:EY113" si="607">+ES92*GP92</f>
        <v>52616.256693000003</v>
      </c>
      <c r="EZ92" s="59">
        <f t="shared" ref="EZ92:EZ113" si="608">+EY92*3.3058</f>
        <v>173938.82137571942</v>
      </c>
      <c r="FA92" s="57">
        <f t="shared" ref="FA92:FA113" si="609">+ES92*GQ92</f>
        <v>51484.724290999999</v>
      </c>
      <c r="FB92" s="59">
        <f t="shared" ref="FB92:FB113" si="610">+FA92*3.3058</f>
        <v>170198.2015611878</v>
      </c>
      <c r="FC92" s="55">
        <f t="shared" ref="FC92:FC113" si="611">+ES92*GR92</f>
        <v>50353.191889000002</v>
      </c>
      <c r="FD92" s="59">
        <f t="shared" ref="FD92:FD113" si="612">+FC92*3.3058</f>
        <v>166457.58174665621</v>
      </c>
      <c r="FE92" s="57">
        <f t="shared" ref="FE92:FE113" si="613">+ES92*GS92</f>
        <v>49221.659486999997</v>
      </c>
      <c r="FF92" s="59">
        <f t="shared" ref="FF92:FF113" si="614">+FE92*3.3058</f>
        <v>162716.9619321246</v>
      </c>
      <c r="FG92" s="60">
        <f t="shared" ref="FG92:FG113" si="615">+ES92*GT92</f>
        <v>48090.127085</v>
      </c>
      <c r="FH92" s="59">
        <f t="shared" ref="FH92:FH113" si="616">+FG92*3.3058</f>
        <v>158976.34211759301</v>
      </c>
      <c r="FI92" s="57">
        <f t="shared" ref="FI92:FI113" si="617">+ES92*GU92</f>
        <v>46958.594682999996</v>
      </c>
      <c r="FJ92" s="59">
        <f t="shared" ref="FJ92:FJ113" si="618">+FI92*3.3058</f>
        <v>155235.7223030614</v>
      </c>
      <c r="FK92" s="55">
        <f t="shared" ref="FK92:FK113" si="619">+ES92*GV92</f>
        <v>45827.062280999999</v>
      </c>
      <c r="FL92" s="59">
        <f t="shared" ref="FL92:FL113" si="620">+FK92*3.3058</f>
        <v>151495.10248852981</v>
      </c>
      <c r="FM92" s="60">
        <f t="shared" ref="FM92:FM113" si="621">+ES92*GW92</f>
        <v>44695.529878999994</v>
      </c>
      <c r="FN92" s="59">
        <f t="shared" ref="FN92:FN113" si="622">+FM92*3.3058</f>
        <v>147754.48267399819</v>
      </c>
      <c r="FO92" s="60">
        <f t="shared" ref="FO92:FO113" si="623">+ES92*GX92</f>
        <v>43563.997476999997</v>
      </c>
      <c r="FP92" s="59">
        <f t="shared" ref="FP92:FP113" si="624">+FO92*3.3058</f>
        <v>144013.86285946661</v>
      </c>
      <c r="FQ92" s="60">
        <f t="shared" ref="FQ92:FQ113" si="625">+ES92*GY92</f>
        <v>42432.465074999993</v>
      </c>
      <c r="FR92" s="59">
        <f t="shared" ref="FR92:FR113" si="626">+FQ92*3.3058</f>
        <v>140273.24304493499</v>
      </c>
      <c r="FS92" s="55">
        <f t="shared" ref="FS92:FS113" si="627">+ES92*GZ92</f>
        <v>41300.932672999996</v>
      </c>
      <c r="FT92" s="59">
        <f t="shared" ref="FT92:FT113" si="628">+FS92*3.3058</f>
        <v>136532.62323040338</v>
      </c>
      <c r="FU92" s="60">
        <f t="shared" ref="FU92:FU113" si="629">+ES92*HA92</f>
        <v>40169.400270999991</v>
      </c>
      <c r="FV92" s="59">
        <f t="shared" ref="FV92:FV113" si="630">+FU92*3.3058</f>
        <v>132792.00341587176</v>
      </c>
      <c r="FW92" s="60">
        <f t="shared" ref="FW92:FW113" si="631">+ES92*HB92</f>
        <v>39037.867868999994</v>
      </c>
      <c r="FX92" s="59">
        <f t="shared" ref="FX92:FX113" si="632">+FW92*3.3058</f>
        <v>129051.38360134019</v>
      </c>
      <c r="FY92" s="60">
        <f t="shared" ref="FY92:FY113" si="633">+ES92*HC92</f>
        <v>37906.33546699999</v>
      </c>
      <c r="FZ92" s="59">
        <f t="shared" ref="FZ92:FZ113" si="634">+FY92*3.3058</f>
        <v>125310.76378680857</v>
      </c>
      <c r="GA92" s="60">
        <f t="shared" ref="GA92:GA113" si="635">+ES92*HD92</f>
        <v>36774.803064999986</v>
      </c>
      <c r="GB92" s="59">
        <f t="shared" ref="GB92:GB113" si="636">+GA92*3.3058</f>
        <v>121570.14397227696</v>
      </c>
      <c r="GC92" s="55">
        <f t="shared" ref="GC92:GC113" si="637">+ES92*HE92</f>
        <v>35643.270662999988</v>
      </c>
      <c r="GD92" s="59">
        <f t="shared" ref="GD92:GD113" si="638">+GC92*3.3058</f>
        <v>117829.52415774537</v>
      </c>
      <c r="GE92" s="60">
        <f t="shared" ref="GE92:GE113" si="639">+ES92*HF92</f>
        <v>34511.738260999984</v>
      </c>
      <c r="GF92" s="59">
        <f t="shared" ref="GF92:GF113" si="640">+GE92*3.3058</f>
        <v>114088.90434321376</v>
      </c>
      <c r="GG92" s="60">
        <f t="shared" ref="GG92:GG113" si="641">+ES92*HG92</f>
        <v>33380.205858999987</v>
      </c>
      <c r="GH92" s="59">
        <f t="shared" ref="GH92:GH113" si="642">+GG92*3.3058</f>
        <v>110348.28452868215</v>
      </c>
      <c r="GI92" s="55">
        <f t="shared" ref="GI92:GI113" si="643">+ES92*HH92</f>
        <v>32248.673456999986</v>
      </c>
      <c r="GJ92" s="59">
        <f t="shared" ref="GJ92:GJ113" si="644">+GI92*3.3058</f>
        <v>106607.66471415055</v>
      </c>
      <c r="GK92" s="55"/>
      <c r="GL92" s="55"/>
      <c r="GM92" s="55">
        <v>1</v>
      </c>
      <c r="GN92" s="55">
        <v>0.97</v>
      </c>
      <c r="GO92" s="55">
        <v>0.95</v>
      </c>
      <c r="GP92" s="55">
        <v>0.93</v>
      </c>
      <c r="GQ92" s="55">
        <f t="shared" si="504"/>
        <v>0.91</v>
      </c>
      <c r="GR92" s="55">
        <f t="shared" si="504"/>
        <v>0.89</v>
      </c>
      <c r="GS92" s="55">
        <f t="shared" si="504"/>
        <v>0.87</v>
      </c>
      <c r="GT92" s="55">
        <f t="shared" si="504"/>
        <v>0.85</v>
      </c>
      <c r="GU92" s="55">
        <f t="shared" si="504"/>
        <v>0.83</v>
      </c>
      <c r="GV92" s="55">
        <f t="shared" si="504"/>
        <v>0.80999999999999994</v>
      </c>
      <c r="GW92" s="55">
        <f t="shared" si="504"/>
        <v>0.78999999999999992</v>
      </c>
      <c r="GX92" s="55">
        <f t="shared" si="504"/>
        <v>0.76999999999999991</v>
      </c>
      <c r="GY92" s="55">
        <f t="shared" si="504"/>
        <v>0.74999999999999989</v>
      </c>
      <c r="GZ92" s="55">
        <f t="shared" si="504"/>
        <v>0.72999999999999987</v>
      </c>
      <c r="HA92" s="55">
        <f t="shared" si="504"/>
        <v>0.70999999999999985</v>
      </c>
      <c r="HB92" s="55">
        <f t="shared" si="504"/>
        <v>0.68999999999999984</v>
      </c>
      <c r="HC92" s="55">
        <f t="shared" si="504"/>
        <v>0.66999999999999982</v>
      </c>
      <c r="HD92" s="55">
        <f t="shared" si="504"/>
        <v>0.6499999999999998</v>
      </c>
      <c r="HE92" s="55">
        <f t="shared" si="504"/>
        <v>0.62999999999999978</v>
      </c>
      <c r="HF92" s="55">
        <f t="shared" si="504"/>
        <v>0.60999999999999976</v>
      </c>
      <c r="HG92" s="55">
        <f t="shared" si="504"/>
        <v>0.58999999999999975</v>
      </c>
      <c r="HH92" s="55">
        <f t="shared" si="504"/>
        <v>0.56999999999999973</v>
      </c>
    </row>
    <row r="93" spans="1:216" x14ac:dyDescent="0.3">
      <c r="A93" s="2">
        <v>2</v>
      </c>
      <c r="C93" s="38" t="s">
        <v>40</v>
      </c>
      <c r="D93" s="42">
        <f>TRUNC(8501.73211460714,-1)</f>
        <v>8500</v>
      </c>
      <c r="E93" s="71">
        <f t="shared" si="515"/>
        <v>28090</v>
      </c>
      <c r="H93" s="55">
        <f t="shared" si="505"/>
        <v>30899.000000000004</v>
      </c>
      <c r="I93" s="55">
        <f t="shared" si="506"/>
        <v>30899.000000000004</v>
      </c>
      <c r="J93" s="59">
        <f t="shared" si="507"/>
        <v>102145.91420000001</v>
      </c>
      <c r="K93" s="55">
        <f t="shared" si="516"/>
        <v>29972.030000000002</v>
      </c>
      <c r="L93" s="59">
        <f t="shared" si="517"/>
        <v>99081.536774000007</v>
      </c>
      <c r="M93" s="55">
        <f t="shared" si="518"/>
        <v>29354.050000000003</v>
      </c>
      <c r="N93" s="59">
        <f t="shared" si="519"/>
        <v>97038.618490000008</v>
      </c>
      <c r="O93" s="55">
        <f t="shared" si="520"/>
        <v>28736.070000000003</v>
      </c>
      <c r="P93" s="59">
        <f t="shared" si="521"/>
        <v>94995.700206000009</v>
      </c>
      <c r="Q93" s="57">
        <f t="shared" si="522"/>
        <v>28118.090000000004</v>
      </c>
      <c r="R93" s="59">
        <f t="shared" si="523"/>
        <v>92952.781922000009</v>
      </c>
      <c r="S93" s="55">
        <f t="shared" si="524"/>
        <v>27500.110000000004</v>
      </c>
      <c r="T93" s="59">
        <f t="shared" si="525"/>
        <v>90909.86363800001</v>
      </c>
      <c r="U93" s="57">
        <f t="shared" si="526"/>
        <v>26882.130000000005</v>
      </c>
      <c r="V93" s="59">
        <f t="shared" si="527"/>
        <v>88866.94535400001</v>
      </c>
      <c r="W93" s="60">
        <f t="shared" si="528"/>
        <v>26264.15</v>
      </c>
      <c r="X93" s="59">
        <f t="shared" si="529"/>
        <v>86824.027070000011</v>
      </c>
      <c r="Y93" s="57">
        <f t="shared" si="530"/>
        <v>25646.170000000002</v>
      </c>
      <c r="Z93" s="59">
        <f t="shared" si="531"/>
        <v>84781.108786000012</v>
      </c>
      <c r="AA93" s="55">
        <f t="shared" si="532"/>
        <v>25028.190000000002</v>
      </c>
      <c r="AB93" s="59">
        <f t="shared" si="533"/>
        <v>82738.190502000012</v>
      </c>
      <c r="AC93" s="60">
        <f t="shared" si="534"/>
        <v>24410.21</v>
      </c>
      <c r="AD93" s="59">
        <f t="shared" si="535"/>
        <v>80695.272217999998</v>
      </c>
      <c r="AE93" s="60">
        <f t="shared" si="536"/>
        <v>23792.23</v>
      </c>
      <c r="AF93" s="59">
        <f t="shared" si="537"/>
        <v>78652.353933999999</v>
      </c>
      <c r="AG93" s="60">
        <f t="shared" si="538"/>
        <v>23174.25</v>
      </c>
      <c r="AH93" s="59">
        <f t="shared" si="539"/>
        <v>76609.435649999999</v>
      </c>
      <c r="AI93" s="55">
        <f t="shared" si="540"/>
        <v>22556.27</v>
      </c>
      <c r="AJ93" s="59">
        <f t="shared" si="541"/>
        <v>74566.517366</v>
      </c>
      <c r="AK93" s="60">
        <f t="shared" si="542"/>
        <v>21938.289999999997</v>
      </c>
      <c r="AL93" s="59">
        <f t="shared" si="543"/>
        <v>72523.599081999986</v>
      </c>
      <c r="AM93" s="60">
        <f t="shared" si="544"/>
        <v>21320.309999999998</v>
      </c>
      <c r="AN93" s="59">
        <f t="shared" si="545"/>
        <v>70480.680797999987</v>
      </c>
      <c r="AO93" s="60">
        <f t="shared" si="546"/>
        <v>20702.329999999998</v>
      </c>
      <c r="AP93" s="59">
        <f t="shared" si="547"/>
        <v>68437.762514000002</v>
      </c>
      <c r="AQ93" s="60">
        <f t="shared" si="548"/>
        <v>20084.349999999995</v>
      </c>
      <c r="AR93" s="59">
        <f t="shared" si="549"/>
        <v>66394.844229999988</v>
      </c>
      <c r="AS93" s="55">
        <f t="shared" si="550"/>
        <v>19466.369999999995</v>
      </c>
      <c r="AT93" s="59">
        <f t="shared" si="551"/>
        <v>64351.925945999988</v>
      </c>
      <c r="AU93" s="60">
        <f t="shared" si="552"/>
        <v>18848.389999999996</v>
      </c>
      <c r="AV93" s="59">
        <f t="shared" si="553"/>
        <v>62309.007661999989</v>
      </c>
      <c r="AW93" s="60">
        <f t="shared" si="554"/>
        <v>18230.409999999993</v>
      </c>
      <c r="AX93" s="59">
        <f t="shared" si="555"/>
        <v>60266.089377999975</v>
      </c>
      <c r="AY93" s="55">
        <f t="shared" si="556"/>
        <v>17612.429999999993</v>
      </c>
      <c r="AZ93" s="59">
        <f t="shared" si="557"/>
        <v>58223.171093999976</v>
      </c>
      <c r="BC93" s="55">
        <v>1</v>
      </c>
      <c r="BD93" s="55">
        <v>0.97</v>
      </c>
      <c r="BE93" s="55">
        <v>0.95</v>
      </c>
      <c r="BF93" s="55">
        <v>0.93</v>
      </c>
      <c r="BG93" s="55">
        <f t="shared" si="558"/>
        <v>0.91</v>
      </c>
      <c r="BH93" s="55">
        <f t="shared" si="558"/>
        <v>0.89</v>
      </c>
      <c r="BI93" s="55">
        <f t="shared" si="558"/>
        <v>0.87</v>
      </c>
      <c r="BJ93" s="55">
        <f t="shared" si="558"/>
        <v>0.85</v>
      </c>
      <c r="BK93" s="55">
        <f t="shared" si="558"/>
        <v>0.83</v>
      </c>
      <c r="BL93" s="55">
        <f t="shared" si="558"/>
        <v>0.80999999999999994</v>
      </c>
      <c r="BM93" s="55">
        <f t="shared" si="558"/>
        <v>0.78999999999999992</v>
      </c>
      <c r="BN93" s="55">
        <f t="shared" si="558"/>
        <v>0.76999999999999991</v>
      </c>
      <c r="BO93" s="55">
        <f t="shared" si="558"/>
        <v>0.74999999999999989</v>
      </c>
      <c r="BP93" s="55">
        <f t="shared" si="558"/>
        <v>0.72999999999999987</v>
      </c>
      <c r="BQ93" s="55">
        <f t="shared" si="558"/>
        <v>0.70999999999999985</v>
      </c>
      <c r="BR93" s="55">
        <f t="shared" si="558"/>
        <v>0.68999999999999984</v>
      </c>
      <c r="BS93" s="55">
        <f t="shared" si="558"/>
        <v>0.66999999999999982</v>
      </c>
      <c r="BT93" s="55">
        <f t="shared" si="558"/>
        <v>0.6499999999999998</v>
      </c>
      <c r="BU93" s="55">
        <f t="shared" si="558"/>
        <v>0.62999999999999978</v>
      </c>
      <c r="BV93" s="55">
        <f t="shared" si="558"/>
        <v>0.60999999999999976</v>
      </c>
      <c r="BW93" s="55">
        <f t="shared" si="558"/>
        <v>0.58999999999999975</v>
      </c>
      <c r="BX93" s="55">
        <f t="shared" si="558"/>
        <v>0.56999999999999973</v>
      </c>
      <c r="BZ93" s="55">
        <f t="shared" si="508"/>
        <v>28118.090000000004</v>
      </c>
      <c r="CA93" s="55">
        <f t="shared" si="509"/>
        <v>28118.090000000004</v>
      </c>
      <c r="CB93" s="59">
        <f t="shared" si="559"/>
        <v>92952.781922000009</v>
      </c>
      <c r="CC93" s="55">
        <f t="shared" si="560"/>
        <v>27274.547300000002</v>
      </c>
      <c r="CD93" s="59">
        <f t="shared" si="561"/>
        <v>90164.198464340006</v>
      </c>
      <c r="CE93" s="55">
        <f t="shared" si="562"/>
        <v>26712.185500000003</v>
      </c>
      <c r="CF93" s="59">
        <f t="shared" si="563"/>
        <v>88305.142825900009</v>
      </c>
      <c r="CG93" s="55">
        <f t="shared" si="564"/>
        <v>26149.823700000004</v>
      </c>
      <c r="CH93" s="59">
        <f t="shared" si="565"/>
        <v>86446.087187460013</v>
      </c>
      <c r="CI93" s="57">
        <f t="shared" si="566"/>
        <v>25587.461900000006</v>
      </c>
      <c r="CJ93" s="59">
        <f t="shared" si="567"/>
        <v>84587.031549020016</v>
      </c>
      <c r="CK93" s="55">
        <f t="shared" si="568"/>
        <v>25025.100100000003</v>
      </c>
      <c r="CL93" s="59">
        <f t="shared" si="569"/>
        <v>82727.975910580019</v>
      </c>
      <c r="CM93" s="57">
        <f t="shared" si="570"/>
        <v>24462.738300000005</v>
      </c>
      <c r="CN93" s="59">
        <f t="shared" si="571"/>
        <v>80868.920272140022</v>
      </c>
      <c r="CO93" s="60">
        <f t="shared" si="572"/>
        <v>23900.376500000002</v>
      </c>
      <c r="CP93" s="59">
        <f t="shared" si="573"/>
        <v>79009.86463370001</v>
      </c>
      <c r="CQ93" s="57">
        <f t="shared" si="574"/>
        <v>23338.014700000003</v>
      </c>
      <c r="CR93" s="59">
        <f t="shared" si="575"/>
        <v>77150.808995260013</v>
      </c>
      <c r="CS93" s="55">
        <f t="shared" si="576"/>
        <v>22775.652900000001</v>
      </c>
      <c r="CT93" s="59">
        <f t="shared" si="577"/>
        <v>75291.753356820001</v>
      </c>
      <c r="CU93" s="60">
        <f t="shared" si="578"/>
        <v>22213.291100000002</v>
      </c>
      <c r="CV93" s="59">
        <f t="shared" si="579"/>
        <v>73432.697718380005</v>
      </c>
      <c r="CW93" s="60">
        <f t="shared" si="580"/>
        <v>21650.9293</v>
      </c>
      <c r="CX93" s="59">
        <f t="shared" si="581"/>
        <v>71573.642079940008</v>
      </c>
      <c r="CY93" s="60">
        <f t="shared" si="582"/>
        <v>21088.567500000001</v>
      </c>
      <c r="CZ93" s="59">
        <f t="shared" si="583"/>
        <v>69714.586441500011</v>
      </c>
      <c r="DA93" s="55">
        <f t="shared" si="584"/>
        <v>20526.205699999999</v>
      </c>
      <c r="DB93" s="59">
        <f t="shared" si="585"/>
        <v>67855.530803059999</v>
      </c>
      <c r="DC93" s="60">
        <f t="shared" si="586"/>
        <v>19963.8439</v>
      </c>
      <c r="DD93" s="59">
        <f t="shared" si="587"/>
        <v>65996.475164620002</v>
      </c>
      <c r="DE93" s="60">
        <f t="shared" si="588"/>
        <v>19401.482099999997</v>
      </c>
      <c r="DF93" s="59">
        <f t="shared" si="589"/>
        <v>64137.41952617999</v>
      </c>
      <c r="DG93" s="60">
        <f t="shared" si="590"/>
        <v>18839.120299999999</v>
      </c>
      <c r="DH93" s="59">
        <f t="shared" si="591"/>
        <v>62278.363887739994</v>
      </c>
      <c r="DI93" s="60">
        <f t="shared" si="592"/>
        <v>18276.758499999996</v>
      </c>
      <c r="DJ93" s="59">
        <f t="shared" si="593"/>
        <v>60419.308249299989</v>
      </c>
      <c r="DK93" s="55">
        <f t="shared" si="594"/>
        <v>17714.396699999998</v>
      </c>
      <c r="DL93" s="59">
        <f t="shared" si="595"/>
        <v>58560.252610859992</v>
      </c>
      <c r="DM93" s="60">
        <f t="shared" si="596"/>
        <v>17152.034899999995</v>
      </c>
      <c r="DN93" s="59">
        <f t="shared" si="597"/>
        <v>56701.196972419988</v>
      </c>
      <c r="DO93" s="60">
        <f t="shared" si="598"/>
        <v>16589.673099999996</v>
      </c>
      <c r="DP93" s="59">
        <f t="shared" si="599"/>
        <v>54842.141333979991</v>
      </c>
      <c r="DQ93" s="55">
        <f t="shared" si="600"/>
        <v>16027.311299999994</v>
      </c>
      <c r="DR93" s="59">
        <f t="shared" si="601"/>
        <v>52983.085695539979</v>
      </c>
      <c r="DU93" s="55">
        <v>1</v>
      </c>
      <c r="DV93" s="55">
        <v>0.97</v>
      </c>
      <c r="DW93" s="55">
        <v>0.95</v>
      </c>
      <c r="DX93" s="55">
        <v>0.93</v>
      </c>
      <c r="DY93" s="55">
        <f t="shared" si="503"/>
        <v>0.91</v>
      </c>
      <c r="DZ93" s="55">
        <f t="shared" si="503"/>
        <v>0.89</v>
      </c>
      <c r="EA93" s="55">
        <f t="shared" si="503"/>
        <v>0.87</v>
      </c>
      <c r="EB93" s="55">
        <f t="shared" ref="EB93:EP93" si="645">+EA93-0.02</f>
        <v>0.85</v>
      </c>
      <c r="EC93" s="55">
        <f t="shared" si="645"/>
        <v>0.83</v>
      </c>
      <c r="ED93" s="55">
        <f t="shared" si="645"/>
        <v>0.80999999999999994</v>
      </c>
      <c r="EE93" s="55">
        <f t="shared" si="645"/>
        <v>0.78999999999999992</v>
      </c>
      <c r="EF93" s="55">
        <f t="shared" si="645"/>
        <v>0.76999999999999991</v>
      </c>
      <c r="EG93" s="55">
        <f t="shared" si="645"/>
        <v>0.74999999999999989</v>
      </c>
      <c r="EH93" s="55">
        <f t="shared" si="645"/>
        <v>0.72999999999999987</v>
      </c>
      <c r="EI93" s="55">
        <f t="shared" si="645"/>
        <v>0.70999999999999985</v>
      </c>
      <c r="EJ93" s="55">
        <f t="shared" si="645"/>
        <v>0.68999999999999984</v>
      </c>
      <c r="EK93" s="55">
        <f t="shared" si="645"/>
        <v>0.66999999999999982</v>
      </c>
      <c r="EL93" s="55">
        <f t="shared" si="645"/>
        <v>0.6499999999999998</v>
      </c>
      <c r="EM93" s="55">
        <f t="shared" si="645"/>
        <v>0.62999999999999978</v>
      </c>
      <c r="EN93" s="55">
        <f t="shared" si="645"/>
        <v>0.60999999999999976</v>
      </c>
      <c r="EO93" s="55">
        <f t="shared" si="645"/>
        <v>0.58999999999999975</v>
      </c>
      <c r="EP93" s="55">
        <f t="shared" si="645"/>
        <v>0.56999999999999973</v>
      </c>
      <c r="ER93" s="55">
        <f t="shared" si="142"/>
        <v>25587.461900000006</v>
      </c>
      <c r="ES93" s="55">
        <f t="shared" si="510"/>
        <v>25587.461900000006</v>
      </c>
      <c r="ET93" s="59">
        <f t="shared" si="602"/>
        <v>84587.031549020016</v>
      </c>
      <c r="EU93" s="55">
        <f t="shared" si="603"/>
        <v>24819.838043000003</v>
      </c>
      <c r="EV93" s="59">
        <f t="shared" si="604"/>
        <v>82049.420602549406</v>
      </c>
      <c r="EW93" s="55">
        <f t="shared" si="605"/>
        <v>24308.088805000003</v>
      </c>
      <c r="EX93" s="59">
        <f t="shared" si="606"/>
        <v>80357.679971569014</v>
      </c>
      <c r="EY93" s="55">
        <f t="shared" si="607"/>
        <v>23796.339567000006</v>
      </c>
      <c r="EZ93" s="59">
        <f t="shared" si="608"/>
        <v>78665.939340588622</v>
      </c>
      <c r="FA93" s="57">
        <f t="shared" si="609"/>
        <v>23284.590329000006</v>
      </c>
      <c r="FB93" s="59">
        <f t="shared" si="610"/>
        <v>76974.198709608216</v>
      </c>
      <c r="FC93" s="55">
        <f t="shared" si="611"/>
        <v>22772.841091000006</v>
      </c>
      <c r="FD93" s="59">
        <f t="shared" si="612"/>
        <v>75282.458078627824</v>
      </c>
      <c r="FE93" s="57">
        <f t="shared" si="613"/>
        <v>22261.091853000005</v>
      </c>
      <c r="FF93" s="59">
        <f t="shared" si="614"/>
        <v>73590.717447647417</v>
      </c>
      <c r="FG93" s="60">
        <f t="shared" si="615"/>
        <v>21749.342615000005</v>
      </c>
      <c r="FH93" s="59">
        <f t="shared" si="616"/>
        <v>71898.976816667011</v>
      </c>
      <c r="FI93" s="57">
        <f t="shared" si="617"/>
        <v>21237.593377000005</v>
      </c>
      <c r="FJ93" s="59">
        <f t="shared" si="618"/>
        <v>70207.236185686619</v>
      </c>
      <c r="FK93" s="55">
        <f t="shared" si="619"/>
        <v>20725.844139000004</v>
      </c>
      <c r="FL93" s="59">
        <f t="shared" si="620"/>
        <v>68515.495554706213</v>
      </c>
      <c r="FM93" s="60">
        <f t="shared" si="621"/>
        <v>20214.094901000004</v>
      </c>
      <c r="FN93" s="59">
        <f t="shared" si="622"/>
        <v>66823.754923725821</v>
      </c>
      <c r="FO93" s="60">
        <f t="shared" si="623"/>
        <v>19702.345663000004</v>
      </c>
      <c r="FP93" s="59">
        <f t="shared" si="624"/>
        <v>65132.014292745414</v>
      </c>
      <c r="FQ93" s="60">
        <f t="shared" si="625"/>
        <v>19190.596425</v>
      </c>
      <c r="FR93" s="59">
        <f t="shared" si="626"/>
        <v>63440.273661765001</v>
      </c>
      <c r="FS93" s="55">
        <f t="shared" si="627"/>
        <v>18678.847186999999</v>
      </c>
      <c r="FT93" s="59">
        <f t="shared" si="628"/>
        <v>61748.533030784602</v>
      </c>
      <c r="FU93" s="60">
        <f t="shared" si="629"/>
        <v>18167.097948999999</v>
      </c>
      <c r="FV93" s="59">
        <f t="shared" si="630"/>
        <v>60056.792399804195</v>
      </c>
      <c r="FW93" s="60">
        <f t="shared" si="631"/>
        <v>17655.348710999999</v>
      </c>
      <c r="FX93" s="59">
        <f t="shared" si="632"/>
        <v>58365.051768823796</v>
      </c>
      <c r="FY93" s="60">
        <f t="shared" si="633"/>
        <v>17143.599472999998</v>
      </c>
      <c r="FZ93" s="59">
        <f t="shared" si="634"/>
        <v>56673.311137843397</v>
      </c>
      <c r="GA93" s="60">
        <f t="shared" si="635"/>
        <v>16631.850234999998</v>
      </c>
      <c r="GB93" s="59">
        <f t="shared" si="636"/>
        <v>54981.570506862998</v>
      </c>
      <c r="GC93" s="55">
        <f t="shared" si="637"/>
        <v>16120.100996999998</v>
      </c>
      <c r="GD93" s="59">
        <f t="shared" si="638"/>
        <v>53289.829875882591</v>
      </c>
      <c r="GE93" s="60">
        <f t="shared" si="639"/>
        <v>15608.351758999997</v>
      </c>
      <c r="GF93" s="59">
        <f t="shared" si="640"/>
        <v>51598.089244902192</v>
      </c>
      <c r="GG93" s="60">
        <f t="shared" si="641"/>
        <v>15096.602520999997</v>
      </c>
      <c r="GH93" s="59">
        <f t="shared" si="642"/>
        <v>49906.348613921793</v>
      </c>
      <c r="GI93" s="55">
        <f t="shared" si="643"/>
        <v>14584.853282999997</v>
      </c>
      <c r="GJ93" s="59">
        <f t="shared" si="644"/>
        <v>48214.607982941394</v>
      </c>
      <c r="GK93" s="55"/>
      <c r="GL93" s="55"/>
      <c r="GM93" s="55">
        <v>1</v>
      </c>
      <c r="GN93" s="55">
        <v>0.97</v>
      </c>
      <c r="GO93" s="55">
        <v>0.95</v>
      </c>
      <c r="GP93" s="55">
        <v>0.93</v>
      </c>
      <c r="GQ93" s="55">
        <f t="shared" si="504"/>
        <v>0.91</v>
      </c>
      <c r="GR93" s="55">
        <f t="shared" si="504"/>
        <v>0.89</v>
      </c>
      <c r="GS93" s="55">
        <f t="shared" si="504"/>
        <v>0.87</v>
      </c>
      <c r="GT93" s="55">
        <f t="shared" ref="GT93:HH93" si="646">+GS93-0.02</f>
        <v>0.85</v>
      </c>
      <c r="GU93" s="55">
        <f t="shared" si="646"/>
        <v>0.83</v>
      </c>
      <c r="GV93" s="55">
        <f t="shared" si="646"/>
        <v>0.80999999999999994</v>
      </c>
      <c r="GW93" s="55">
        <f t="shared" si="646"/>
        <v>0.78999999999999992</v>
      </c>
      <c r="GX93" s="55">
        <f t="shared" si="646"/>
        <v>0.76999999999999991</v>
      </c>
      <c r="GY93" s="55">
        <f t="shared" si="646"/>
        <v>0.74999999999999989</v>
      </c>
      <c r="GZ93" s="55">
        <f t="shared" si="646"/>
        <v>0.72999999999999987</v>
      </c>
      <c r="HA93" s="55">
        <f t="shared" si="646"/>
        <v>0.70999999999999985</v>
      </c>
      <c r="HB93" s="55">
        <f t="shared" si="646"/>
        <v>0.68999999999999984</v>
      </c>
      <c r="HC93" s="55">
        <f t="shared" si="646"/>
        <v>0.66999999999999982</v>
      </c>
      <c r="HD93" s="55">
        <f t="shared" si="646"/>
        <v>0.6499999999999998</v>
      </c>
      <c r="HE93" s="55">
        <f t="shared" si="646"/>
        <v>0.62999999999999978</v>
      </c>
      <c r="HF93" s="55">
        <f t="shared" si="646"/>
        <v>0.60999999999999976</v>
      </c>
      <c r="HG93" s="55">
        <f t="shared" si="646"/>
        <v>0.58999999999999975</v>
      </c>
      <c r="HH93" s="55">
        <f t="shared" si="646"/>
        <v>0.56999999999999973</v>
      </c>
    </row>
    <row r="94" spans="1:216" x14ac:dyDescent="0.3">
      <c r="A94" s="2">
        <v>3</v>
      </c>
      <c r="C94" s="38" t="s">
        <v>41</v>
      </c>
      <c r="D94" s="42">
        <f>TRUNC(22071.8803831956,-1)</f>
        <v>22070</v>
      </c>
      <c r="E94" s="71">
        <f t="shared" si="515"/>
        <v>72950</v>
      </c>
      <c r="H94" s="55">
        <f t="shared" si="505"/>
        <v>80245</v>
      </c>
      <c r="I94" s="55">
        <f t="shared" si="506"/>
        <v>80245</v>
      </c>
      <c r="J94" s="59">
        <f t="shared" si="507"/>
        <v>265273.92100000003</v>
      </c>
      <c r="K94" s="55">
        <f t="shared" si="516"/>
        <v>77837.649999999994</v>
      </c>
      <c r="L94" s="59">
        <f t="shared" si="517"/>
        <v>257315.70336999997</v>
      </c>
      <c r="M94" s="55">
        <f t="shared" si="518"/>
        <v>76232.75</v>
      </c>
      <c r="N94" s="59">
        <f t="shared" si="519"/>
        <v>252010.22495</v>
      </c>
      <c r="O94" s="55">
        <f t="shared" si="520"/>
        <v>74627.850000000006</v>
      </c>
      <c r="P94" s="59">
        <f t="shared" si="521"/>
        <v>246704.74653000003</v>
      </c>
      <c r="Q94" s="57">
        <f t="shared" si="522"/>
        <v>73022.95</v>
      </c>
      <c r="R94" s="59">
        <f t="shared" si="523"/>
        <v>241399.26811</v>
      </c>
      <c r="S94" s="55">
        <f t="shared" si="524"/>
        <v>71418.05</v>
      </c>
      <c r="T94" s="59">
        <f t="shared" si="525"/>
        <v>236093.78969000001</v>
      </c>
      <c r="U94" s="57">
        <f t="shared" si="526"/>
        <v>69813.149999999994</v>
      </c>
      <c r="V94" s="59">
        <f t="shared" si="527"/>
        <v>230788.31126999998</v>
      </c>
      <c r="W94" s="60">
        <f t="shared" si="528"/>
        <v>68208.25</v>
      </c>
      <c r="X94" s="59">
        <f t="shared" si="529"/>
        <v>225482.83285000001</v>
      </c>
      <c r="Y94" s="57">
        <f t="shared" si="530"/>
        <v>66603.349999999991</v>
      </c>
      <c r="Z94" s="59">
        <f t="shared" si="531"/>
        <v>220177.35442999998</v>
      </c>
      <c r="AA94" s="55">
        <f t="shared" si="532"/>
        <v>64998.45</v>
      </c>
      <c r="AB94" s="59">
        <f t="shared" si="533"/>
        <v>214871.87601000001</v>
      </c>
      <c r="AC94" s="60">
        <f t="shared" si="534"/>
        <v>63393.549999999996</v>
      </c>
      <c r="AD94" s="59">
        <f t="shared" si="535"/>
        <v>209566.39758999998</v>
      </c>
      <c r="AE94" s="60">
        <f t="shared" si="536"/>
        <v>61788.649999999994</v>
      </c>
      <c r="AF94" s="59">
        <f t="shared" si="537"/>
        <v>204260.91916999998</v>
      </c>
      <c r="AG94" s="60">
        <f t="shared" si="538"/>
        <v>60183.749999999993</v>
      </c>
      <c r="AH94" s="59">
        <f t="shared" si="539"/>
        <v>198955.44074999998</v>
      </c>
      <c r="AI94" s="55">
        <f t="shared" si="540"/>
        <v>58578.849999999991</v>
      </c>
      <c r="AJ94" s="59">
        <f t="shared" si="541"/>
        <v>193649.96232999998</v>
      </c>
      <c r="AK94" s="60">
        <f t="shared" si="542"/>
        <v>56973.94999999999</v>
      </c>
      <c r="AL94" s="59">
        <f t="shared" si="543"/>
        <v>188344.48390999998</v>
      </c>
      <c r="AM94" s="60">
        <f t="shared" si="544"/>
        <v>55369.049999999988</v>
      </c>
      <c r="AN94" s="59">
        <f t="shared" si="545"/>
        <v>183039.00548999995</v>
      </c>
      <c r="AO94" s="60">
        <f t="shared" si="546"/>
        <v>53764.149999999987</v>
      </c>
      <c r="AP94" s="59">
        <f t="shared" si="547"/>
        <v>177733.52706999995</v>
      </c>
      <c r="AQ94" s="60">
        <f t="shared" si="548"/>
        <v>52159.249999999985</v>
      </c>
      <c r="AR94" s="59">
        <f t="shared" si="549"/>
        <v>172428.04864999995</v>
      </c>
      <c r="AS94" s="55">
        <f t="shared" si="550"/>
        <v>50554.349999999984</v>
      </c>
      <c r="AT94" s="59">
        <f t="shared" si="551"/>
        <v>167122.57022999995</v>
      </c>
      <c r="AU94" s="60">
        <f t="shared" si="552"/>
        <v>48949.449999999983</v>
      </c>
      <c r="AV94" s="59">
        <f t="shared" si="553"/>
        <v>161817.09180999995</v>
      </c>
      <c r="AW94" s="60">
        <f t="shared" si="554"/>
        <v>47344.549999999981</v>
      </c>
      <c r="AX94" s="59">
        <f t="shared" si="555"/>
        <v>156511.61338999995</v>
      </c>
      <c r="AY94" s="55">
        <f t="shared" si="556"/>
        <v>45739.64999999998</v>
      </c>
      <c r="AZ94" s="59">
        <f t="shared" si="557"/>
        <v>151206.13496999993</v>
      </c>
      <c r="BC94" s="55">
        <v>1</v>
      </c>
      <c r="BD94" s="55">
        <v>0.97</v>
      </c>
      <c r="BE94" s="55">
        <v>0.95</v>
      </c>
      <c r="BF94" s="55">
        <v>0.93</v>
      </c>
      <c r="BG94" s="55">
        <f t="shared" si="558"/>
        <v>0.91</v>
      </c>
      <c r="BH94" s="55">
        <f t="shared" si="558"/>
        <v>0.89</v>
      </c>
      <c r="BI94" s="55">
        <f t="shared" si="558"/>
        <v>0.87</v>
      </c>
      <c r="BJ94" s="55">
        <f t="shared" si="558"/>
        <v>0.85</v>
      </c>
      <c r="BK94" s="55">
        <f t="shared" si="558"/>
        <v>0.83</v>
      </c>
      <c r="BL94" s="55">
        <f t="shared" si="558"/>
        <v>0.80999999999999994</v>
      </c>
      <c r="BM94" s="55">
        <f t="shared" si="558"/>
        <v>0.78999999999999992</v>
      </c>
      <c r="BN94" s="55">
        <f t="shared" si="558"/>
        <v>0.76999999999999991</v>
      </c>
      <c r="BO94" s="55">
        <f t="shared" si="558"/>
        <v>0.74999999999999989</v>
      </c>
      <c r="BP94" s="55">
        <f t="shared" si="558"/>
        <v>0.72999999999999987</v>
      </c>
      <c r="BQ94" s="55">
        <f t="shared" si="558"/>
        <v>0.70999999999999985</v>
      </c>
      <c r="BR94" s="55">
        <f t="shared" si="558"/>
        <v>0.68999999999999984</v>
      </c>
      <c r="BS94" s="55">
        <f t="shared" si="558"/>
        <v>0.66999999999999982</v>
      </c>
      <c r="BT94" s="55">
        <f t="shared" si="558"/>
        <v>0.6499999999999998</v>
      </c>
      <c r="BU94" s="55">
        <f t="shared" si="558"/>
        <v>0.62999999999999978</v>
      </c>
      <c r="BV94" s="55">
        <f t="shared" si="558"/>
        <v>0.60999999999999976</v>
      </c>
      <c r="BW94" s="55">
        <f t="shared" si="558"/>
        <v>0.58999999999999975</v>
      </c>
      <c r="BX94" s="55">
        <f t="shared" si="558"/>
        <v>0.56999999999999973</v>
      </c>
      <c r="BZ94" s="55">
        <f t="shared" si="508"/>
        <v>73022.95</v>
      </c>
      <c r="CA94" s="55">
        <f t="shared" si="509"/>
        <v>73022.95</v>
      </c>
      <c r="CB94" s="59">
        <f t="shared" si="559"/>
        <v>241399.26811</v>
      </c>
      <c r="CC94" s="55">
        <f t="shared" si="560"/>
        <v>70832.261499999993</v>
      </c>
      <c r="CD94" s="59">
        <f t="shared" si="561"/>
        <v>234157.29006669999</v>
      </c>
      <c r="CE94" s="55">
        <f t="shared" si="562"/>
        <v>69371.802499999991</v>
      </c>
      <c r="CF94" s="59">
        <f t="shared" si="563"/>
        <v>229329.30470449998</v>
      </c>
      <c r="CG94" s="55">
        <f t="shared" si="564"/>
        <v>67911.343500000003</v>
      </c>
      <c r="CH94" s="59">
        <f t="shared" si="565"/>
        <v>224501.3193423</v>
      </c>
      <c r="CI94" s="57">
        <f t="shared" si="566"/>
        <v>66450.8845</v>
      </c>
      <c r="CJ94" s="59">
        <f t="shared" si="567"/>
        <v>219673.3339801</v>
      </c>
      <c r="CK94" s="55">
        <f t="shared" si="568"/>
        <v>64990.425499999998</v>
      </c>
      <c r="CL94" s="59">
        <f t="shared" si="569"/>
        <v>214845.34861789999</v>
      </c>
      <c r="CM94" s="57">
        <f t="shared" si="570"/>
        <v>63529.966499999995</v>
      </c>
      <c r="CN94" s="59">
        <f t="shared" si="571"/>
        <v>210017.36325569998</v>
      </c>
      <c r="CO94" s="60">
        <f t="shared" si="572"/>
        <v>62069.507499999992</v>
      </c>
      <c r="CP94" s="59">
        <f t="shared" si="573"/>
        <v>205189.37789349997</v>
      </c>
      <c r="CQ94" s="57">
        <f t="shared" si="574"/>
        <v>60609.048499999997</v>
      </c>
      <c r="CR94" s="59">
        <f t="shared" si="575"/>
        <v>200361.39253129999</v>
      </c>
      <c r="CS94" s="55">
        <f t="shared" si="576"/>
        <v>59148.589499999995</v>
      </c>
      <c r="CT94" s="59">
        <f t="shared" si="577"/>
        <v>195533.40716909998</v>
      </c>
      <c r="CU94" s="60">
        <f t="shared" si="578"/>
        <v>57688.130499999992</v>
      </c>
      <c r="CV94" s="59">
        <f t="shared" si="579"/>
        <v>190705.42180689998</v>
      </c>
      <c r="CW94" s="60">
        <f t="shared" si="580"/>
        <v>56227.671499999989</v>
      </c>
      <c r="CX94" s="59">
        <f t="shared" si="581"/>
        <v>185877.43644469997</v>
      </c>
      <c r="CY94" s="60">
        <f t="shared" si="582"/>
        <v>54767.212499999987</v>
      </c>
      <c r="CZ94" s="59">
        <f t="shared" si="583"/>
        <v>181049.45108249996</v>
      </c>
      <c r="DA94" s="55">
        <f t="shared" si="584"/>
        <v>53306.753499999992</v>
      </c>
      <c r="DB94" s="59">
        <f t="shared" si="585"/>
        <v>176221.46572029998</v>
      </c>
      <c r="DC94" s="60">
        <f t="shared" si="586"/>
        <v>51846.294499999989</v>
      </c>
      <c r="DD94" s="59">
        <f t="shared" si="587"/>
        <v>171393.48035809997</v>
      </c>
      <c r="DE94" s="60">
        <f t="shared" si="588"/>
        <v>50385.835499999986</v>
      </c>
      <c r="DF94" s="59">
        <f t="shared" si="589"/>
        <v>166565.49499589996</v>
      </c>
      <c r="DG94" s="60">
        <f t="shared" si="590"/>
        <v>48925.376499999984</v>
      </c>
      <c r="DH94" s="59">
        <f t="shared" si="591"/>
        <v>161737.50963369996</v>
      </c>
      <c r="DI94" s="60">
        <f t="shared" si="592"/>
        <v>47464.917499999981</v>
      </c>
      <c r="DJ94" s="59">
        <f t="shared" si="593"/>
        <v>156909.52427149995</v>
      </c>
      <c r="DK94" s="55">
        <f t="shared" si="594"/>
        <v>46004.458499999979</v>
      </c>
      <c r="DL94" s="59">
        <f t="shared" si="595"/>
        <v>152081.53890929994</v>
      </c>
      <c r="DM94" s="60">
        <f t="shared" si="596"/>
        <v>44543.999499999984</v>
      </c>
      <c r="DN94" s="59">
        <f t="shared" si="597"/>
        <v>147253.55354709996</v>
      </c>
      <c r="DO94" s="60">
        <f t="shared" si="598"/>
        <v>43083.540499999981</v>
      </c>
      <c r="DP94" s="59">
        <f t="shared" si="599"/>
        <v>142425.56818489995</v>
      </c>
      <c r="DQ94" s="55">
        <f t="shared" si="600"/>
        <v>41623.081499999978</v>
      </c>
      <c r="DR94" s="59">
        <f t="shared" si="601"/>
        <v>137597.58282269994</v>
      </c>
      <c r="DU94" s="55">
        <v>1</v>
      </c>
      <c r="DV94" s="55">
        <v>0.97</v>
      </c>
      <c r="DW94" s="55">
        <v>0.95</v>
      </c>
      <c r="DX94" s="55">
        <v>0.93</v>
      </c>
      <c r="DY94" s="55">
        <f t="shared" ref="DY94:EP108" si="647">+DX94-0.02</f>
        <v>0.91</v>
      </c>
      <c r="DZ94" s="55">
        <f t="shared" si="647"/>
        <v>0.89</v>
      </c>
      <c r="EA94" s="55">
        <f t="shared" si="647"/>
        <v>0.87</v>
      </c>
      <c r="EB94" s="55">
        <f t="shared" si="647"/>
        <v>0.85</v>
      </c>
      <c r="EC94" s="55">
        <f t="shared" si="647"/>
        <v>0.83</v>
      </c>
      <c r="ED94" s="55">
        <f t="shared" si="647"/>
        <v>0.80999999999999994</v>
      </c>
      <c r="EE94" s="55">
        <f t="shared" si="647"/>
        <v>0.78999999999999992</v>
      </c>
      <c r="EF94" s="55">
        <f t="shared" si="647"/>
        <v>0.76999999999999991</v>
      </c>
      <c r="EG94" s="55">
        <f t="shared" si="647"/>
        <v>0.74999999999999989</v>
      </c>
      <c r="EH94" s="55">
        <f t="shared" si="647"/>
        <v>0.72999999999999987</v>
      </c>
      <c r="EI94" s="55">
        <f t="shared" si="647"/>
        <v>0.70999999999999985</v>
      </c>
      <c r="EJ94" s="55">
        <f t="shared" si="647"/>
        <v>0.68999999999999984</v>
      </c>
      <c r="EK94" s="55">
        <f t="shared" si="647"/>
        <v>0.66999999999999982</v>
      </c>
      <c r="EL94" s="55">
        <f t="shared" si="647"/>
        <v>0.6499999999999998</v>
      </c>
      <c r="EM94" s="55">
        <f t="shared" si="647"/>
        <v>0.62999999999999978</v>
      </c>
      <c r="EN94" s="55">
        <f t="shared" si="647"/>
        <v>0.60999999999999976</v>
      </c>
      <c r="EO94" s="55">
        <f t="shared" si="647"/>
        <v>0.58999999999999975</v>
      </c>
      <c r="EP94" s="55">
        <f t="shared" si="647"/>
        <v>0.56999999999999973</v>
      </c>
      <c r="ER94" s="55">
        <f t="shared" ref="ER94:ER155" si="648">+BZ94*0.91</f>
        <v>66450.8845</v>
      </c>
      <c r="ES94" s="55">
        <f t="shared" si="510"/>
        <v>66450.8845</v>
      </c>
      <c r="ET94" s="59">
        <f t="shared" si="602"/>
        <v>219673.3339801</v>
      </c>
      <c r="EU94" s="55">
        <f t="shared" si="603"/>
        <v>64457.357964999996</v>
      </c>
      <c r="EV94" s="59">
        <f t="shared" si="604"/>
        <v>213083.13396069699</v>
      </c>
      <c r="EW94" s="55">
        <f t="shared" si="605"/>
        <v>63128.340274999995</v>
      </c>
      <c r="EX94" s="59">
        <f t="shared" si="606"/>
        <v>208689.667281095</v>
      </c>
      <c r="EY94" s="55">
        <f t="shared" si="607"/>
        <v>61799.322585000002</v>
      </c>
      <c r="EZ94" s="59">
        <f t="shared" si="608"/>
        <v>204296.20060149301</v>
      </c>
      <c r="FA94" s="57">
        <f t="shared" si="609"/>
        <v>60470.304895000001</v>
      </c>
      <c r="FB94" s="59">
        <f t="shared" si="610"/>
        <v>199902.73392189102</v>
      </c>
      <c r="FC94" s="55">
        <f t="shared" si="611"/>
        <v>59141.287205000001</v>
      </c>
      <c r="FD94" s="59">
        <f t="shared" si="612"/>
        <v>195509.267242289</v>
      </c>
      <c r="FE94" s="57">
        <f t="shared" si="613"/>
        <v>57812.269515</v>
      </c>
      <c r="FF94" s="59">
        <f t="shared" si="614"/>
        <v>191115.80056268701</v>
      </c>
      <c r="FG94" s="60">
        <f t="shared" si="615"/>
        <v>56483.251824999999</v>
      </c>
      <c r="FH94" s="59">
        <f t="shared" si="616"/>
        <v>186722.333883085</v>
      </c>
      <c r="FI94" s="57">
        <f t="shared" si="617"/>
        <v>55154.234134999999</v>
      </c>
      <c r="FJ94" s="59">
        <f t="shared" si="618"/>
        <v>182328.86720348301</v>
      </c>
      <c r="FK94" s="55">
        <f t="shared" si="619"/>
        <v>53825.216444999998</v>
      </c>
      <c r="FL94" s="59">
        <f t="shared" si="620"/>
        <v>177935.40052388099</v>
      </c>
      <c r="FM94" s="60">
        <f t="shared" si="621"/>
        <v>52496.198754999998</v>
      </c>
      <c r="FN94" s="59">
        <f t="shared" si="622"/>
        <v>173541.933844279</v>
      </c>
      <c r="FO94" s="60">
        <f t="shared" si="623"/>
        <v>51167.181064999997</v>
      </c>
      <c r="FP94" s="59">
        <f t="shared" si="624"/>
        <v>169148.46716467699</v>
      </c>
      <c r="FQ94" s="60">
        <f t="shared" si="625"/>
        <v>49838.163374999989</v>
      </c>
      <c r="FR94" s="59">
        <f t="shared" si="626"/>
        <v>164755.00048507497</v>
      </c>
      <c r="FS94" s="55">
        <f t="shared" si="627"/>
        <v>48509.145684999989</v>
      </c>
      <c r="FT94" s="59">
        <f t="shared" si="628"/>
        <v>160361.53380547298</v>
      </c>
      <c r="FU94" s="60">
        <f t="shared" si="629"/>
        <v>47180.127994999988</v>
      </c>
      <c r="FV94" s="59">
        <f t="shared" si="630"/>
        <v>155968.06712587096</v>
      </c>
      <c r="FW94" s="60">
        <f t="shared" si="631"/>
        <v>45851.110304999987</v>
      </c>
      <c r="FX94" s="59">
        <f t="shared" si="632"/>
        <v>151574.60044626897</v>
      </c>
      <c r="FY94" s="60">
        <f t="shared" si="633"/>
        <v>44522.092614999987</v>
      </c>
      <c r="FZ94" s="59">
        <f t="shared" si="634"/>
        <v>147181.13376666696</v>
      </c>
      <c r="GA94" s="60">
        <f t="shared" si="635"/>
        <v>43193.074924999986</v>
      </c>
      <c r="GB94" s="59">
        <f t="shared" si="636"/>
        <v>142787.66708706497</v>
      </c>
      <c r="GC94" s="55">
        <f t="shared" si="637"/>
        <v>41864.057234999986</v>
      </c>
      <c r="GD94" s="59">
        <f t="shared" si="638"/>
        <v>138394.20040746295</v>
      </c>
      <c r="GE94" s="60">
        <f t="shared" si="639"/>
        <v>40535.039544999985</v>
      </c>
      <c r="GF94" s="59">
        <f t="shared" si="640"/>
        <v>134000.73372786096</v>
      </c>
      <c r="GG94" s="60">
        <f t="shared" si="641"/>
        <v>39206.021854999984</v>
      </c>
      <c r="GH94" s="59">
        <f t="shared" si="642"/>
        <v>129607.26704825895</v>
      </c>
      <c r="GI94" s="55">
        <f t="shared" si="643"/>
        <v>37877.004164999984</v>
      </c>
      <c r="GJ94" s="59">
        <f t="shared" si="644"/>
        <v>125213.80036865694</v>
      </c>
      <c r="GK94" s="55"/>
      <c r="GL94" s="55"/>
      <c r="GM94" s="55">
        <v>1</v>
      </c>
      <c r="GN94" s="55">
        <v>0.97</v>
      </c>
      <c r="GO94" s="55">
        <v>0.95</v>
      </c>
      <c r="GP94" s="55">
        <v>0.93</v>
      </c>
      <c r="GQ94" s="55">
        <f t="shared" ref="GQ94:HH108" si="649">+GP94-0.02</f>
        <v>0.91</v>
      </c>
      <c r="GR94" s="55">
        <f t="shared" si="649"/>
        <v>0.89</v>
      </c>
      <c r="GS94" s="55">
        <f t="shared" si="649"/>
        <v>0.87</v>
      </c>
      <c r="GT94" s="55">
        <f t="shared" si="649"/>
        <v>0.85</v>
      </c>
      <c r="GU94" s="55">
        <f t="shared" si="649"/>
        <v>0.83</v>
      </c>
      <c r="GV94" s="55">
        <f t="shared" si="649"/>
        <v>0.80999999999999994</v>
      </c>
      <c r="GW94" s="55">
        <f t="shared" si="649"/>
        <v>0.78999999999999992</v>
      </c>
      <c r="GX94" s="55">
        <f t="shared" si="649"/>
        <v>0.76999999999999991</v>
      </c>
      <c r="GY94" s="55">
        <f t="shared" si="649"/>
        <v>0.74999999999999989</v>
      </c>
      <c r="GZ94" s="55">
        <f t="shared" si="649"/>
        <v>0.72999999999999987</v>
      </c>
      <c r="HA94" s="55">
        <f t="shared" si="649"/>
        <v>0.70999999999999985</v>
      </c>
      <c r="HB94" s="55">
        <f t="shared" si="649"/>
        <v>0.68999999999999984</v>
      </c>
      <c r="HC94" s="55">
        <f t="shared" si="649"/>
        <v>0.66999999999999982</v>
      </c>
      <c r="HD94" s="55">
        <f t="shared" si="649"/>
        <v>0.6499999999999998</v>
      </c>
      <c r="HE94" s="55">
        <f t="shared" si="649"/>
        <v>0.62999999999999978</v>
      </c>
      <c r="HF94" s="55">
        <f t="shared" si="649"/>
        <v>0.60999999999999976</v>
      </c>
      <c r="HG94" s="55">
        <f t="shared" si="649"/>
        <v>0.58999999999999975</v>
      </c>
      <c r="HH94" s="55">
        <f t="shared" si="649"/>
        <v>0.56999999999999973</v>
      </c>
    </row>
    <row r="95" spans="1:216" x14ac:dyDescent="0.3">
      <c r="A95" s="2">
        <v>4</v>
      </c>
      <c r="C95" s="38" t="s">
        <v>42</v>
      </c>
      <c r="D95" s="42">
        <f>TRUNC(4429.1179469151,-1)</f>
        <v>4420</v>
      </c>
      <c r="E95" s="71">
        <f t="shared" si="515"/>
        <v>14610</v>
      </c>
      <c r="F95" s="2" t="s">
        <v>310</v>
      </c>
      <c r="H95" s="55">
        <f t="shared" si="505"/>
        <v>16071.000000000002</v>
      </c>
      <c r="I95" s="55">
        <f t="shared" si="506"/>
        <v>16071.000000000002</v>
      </c>
      <c r="J95" s="59">
        <f t="shared" si="507"/>
        <v>53127.511800000007</v>
      </c>
      <c r="K95" s="55">
        <f t="shared" si="516"/>
        <v>15588.87</v>
      </c>
      <c r="L95" s="59">
        <f t="shared" si="517"/>
        <v>51533.686446000007</v>
      </c>
      <c r="M95" s="55">
        <f t="shared" si="518"/>
        <v>15267.45</v>
      </c>
      <c r="N95" s="59">
        <f t="shared" si="519"/>
        <v>50471.136210000004</v>
      </c>
      <c r="O95" s="55">
        <f t="shared" si="520"/>
        <v>14946.030000000002</v>
      </c>
      <c r="P95" s="59">
        <f t="shared" si="521"/>
        <v>49408.585974000009</v>
      </c>
      <c r="Q95" s="57">
        <f t="shared" si="522"/>
        <v>14624.610000000002</v>
      </c>
      <c r="R95" s="59">
        <f t="shared" si="523"/>
        <v>48346.035738000006</v>
      </c>
      <c r="S95" s="55">
        <f t="shared" si="524"/>
        <v>14303.190000000002</v>
      </c>
      <c r="T95" s="59">
        <f t="shared" si="525"/>
        <v>47283.48550200001</v>
      </c>
      <c r="U95" s="57">
        <f t="shared" si="526"/>
        <v>13981.770000000002</v>
      </c>
      <c r="V95" s="59">
        <f t="shared" si="527"/>
        <v>46220.935266000008</v>
      </c>
      <c r="W95" s="60">
        <f t="shared" si="528"/>
        <v>13660.35</v>
      </c>
      <c r="X95" s="59">
        <f t="shared" si="529"/>
        <v>45158.385030000005</v>
      </c>
      <c r="Y95" s="57">
        <f t="shared" si="530"/>
        <v>13338.93</v>
      </c>
      <c r="Z95" s="59">
        <f t="shared" si="531"/>
        <v>44095.834794000002</v>
      </c>
      <c r="AA95" s="55">
        <f t="shared" si="532"/>
        <v>13017.51</v>
      </c>
      <c r="AB95" s="59">
        <f t="shared" si="533"/>
        <v>43033.284557999999</v>
      </c>
      <c r="AC95" s="60">
        <f t="shared" si="534"/>
        <v>12696.09</v>
      </c>
      <c r="AD95" s="59">
        <f t="shared" si="535"/>
        <v>41970.734322000004</v>
      </c>
      <c r="AE95" s="60">
        <f t="shared" si="536"/>
        <v>12374.67</v>
      </c>
      <c r="AF95" s="59">
        <f t="shared" si="537"/>
        <v>40908.184086000001</v>
      </c>
      <c r="AG95" s="60">
        <f t="shared" si="538"/>
        <v>12053.25</v>
      </c>
      <c r="AH95" s="59">
        <f t="shared" si="539"/>
        <v>39845.633849999998</v>
      </c>
      <c r="AI95" s="55">
        <f t="shared" si="540"/>
        <v>11731.83</v>
      </c>
      <c r="AJ95" s="59">
        <f t="shared" si="541"/>
        <v>38783.083614000003</v>
      </c>
      <c r="AK95" s="60">
        <f t="shared" si="542"/>
        <v>11410.409999999998</v>
      </c>
      <c r="AL95" s="59">
        <f t="shared" si="543"/>
        <v>37720.533377999993</v>
      </c>
      <c r="AM95" s="60">
        <f t="shared" si="544"/>
        <v>11088.989999999998</v>
      </c>
      <c r="AN95" s="59">
        <f t="shared" si="545"/>
        <v>36657.983141999997</v>
      </c>
      <c r="AO95" s="60">
        <f t="shared" si="546"/>
        <v>10767.569999999998</v>
      </c>
      <c r="AP95" s="59">
        <f t="shared" si="547"/>
        <v>35595.432905999995</v>
      </c>
      <c r="AQ95" s="60">
        <f t="shared" si="548"/>
        <v>10446.149999999998</v>
      </c>
      <c r="AR95" s="59">
        <f t="shared" si="549"/>
        <v>34532.882669999992</v>
      </c>
      <c r="AS95" s="55">
        <f t="shared" si="550"/>
        <v>10124.729999999998</v>
      </c>
      <c r="AT95" s="59">
        <f t="shared" si="551"/>
        <v>33470.332433999996</v>
      </c>
      <c r="AU95" s="60">
        <f t="shared" si="552"/>
        <v>9803.3099999999977</v>
      </c>
      <c r="AV95" s="59">
        <f t="shared" si="553"/>
        <v>32407.782197999994</v>
      </c>
      <c r="AW95" s="60">
        <f t="shared" si="554"/>
        <v>9481.8899999999976</v>
      </c>
      <c r="AX95" s="59">
        <f t="shared" si="555"/>
        <v>31345.231961999994</v>
      </c>
      <c r="AY95" s="55">
        <f t="shared" si="556"/>
        <v>9160.4699999999975</v>
      </c>
      <c r="AZ95" s="59">
        <f t="shared" si="557"/>
        <v>30282.681725999992</v>
      </c>
      <c r="BC95" s="55">
        <v>1</v>
      </c>
      <c r="BD95" s="55">
        <v>0.97</v>
      </c>
      <c r="BE95" s="55">
        <v>0.95</v>
      </c>
      <c r="BF95" s="55">
        <v>0.93</v>
      </c>
      <c r="BG95" s="55">
        <f t="shared" si="558"/>
        <v>0.91</v>
      </c>
      <c r="BH95" s="55">
        <f t="shared" si="558"/>
        <v>0.89</v>
      </c>
      <c r="BI95" s="55">
        <f t="shared" si="558"/>
        <v>0.87</v>
      </c>
      <c r="BJ95" s="55">
        <f t="shared" si="558"/>
        <v>0.85</v>
      </c>
      <c r="BK95" s="55">
        <f t="shared" si="558"/>
        <v>0.83</v>
      </c>
      <c r="BL95" s="55">
        <f t="shared" si="558"/>
        <v>0.80999999999999994</v>
      </c>
      <c r="BM95" s="55">
        <f t="shared" si="558"/>
        <v>0.78999999999999992</v>
      </c>
      <c r="BN95" s="55">
        <f t="shared" si="558"/>
        <v>0.76999999999999991</v>
      </c>
      <c r="BO95" s="55">
        <f t="shared" si="558"/>
        <v>0.74999999999999989</v>
      </c>
      <c r="BP95" s="55">
        <f t="shared" si="558"/>
        <v>0.72999999999999987</v>
      </c>
      <c r="BQ95" s="55">
        <f t="shared" si="558"/>
        <v>0.70999999999999985</v>
      </c>
      <c r="BR95" s="55">
        <f t="shared" si="558"/>
        <v>0.68999999999999984</v>
      </c>
      <c r="BS95" s="55">
        <f t="shared" si="558"/>
        <v>0.66999999999999982</v>
      </c>
      <c r="BT95" s="55">
        <f t="shared" si="558"/>
        <v>0.6499999999999998</v>
      </c>
      <c r="BU95" s="55">
        <f t="shared" si="558"/>
        <v>0.62999999999999978</v>
      </c>
      <c r="BV95" s="55">
        <f t="shared" si="558"/>
        <v>0.60999999999999976</v>
      </c>
      <c r="BW95" s="55">
        <f t="shared" si="558"/>
        <v>0.58999999999999975</v>
      </c>
      <c r="BX95" s="55">
        <f t="shared" si="558"/>
        <v>0.56999999999999973</v>
      </c>
      <c r="BZ95" s="55">
        <f t="shared" si="508"/>
        <v>14624.610000000002</v>
      </c>
      <c r="CA95" s="55">
        <f t="shared" si="509"/>
        <v>14624.610000000002</v>
      </c>
      <c r="CB95" s="59">
        <f t="shared" si="559"/>
        <v>48346.035738000006</v>
      </c>
      <c r="CC95" s="55">
        <f t="shared" si="560"/>
        <v>14185.871700000002</v>
      </c>
      <c r="CD95" s="59">
        <f t="shared" si="561"/>
        <v>46895.654665860005</v>
      </c>
      <c r="CE95" s="55">
        <f t="shared" si="562"/>
        <v>13893.379500000001</v>
      </c>
      <c r="CF95" s="59">
        <f t="shared" si="563"/>
        <v>45928.733951100003</v>
      </c>
      <c r="CG95" s="55">
        <f t="shared" si="564"/>
        <v>13600.887300000002</v>
      </c>
      <c r="CH95" s="59">
        <f t="shared" si="565"/>
        <v>44961.813236340007</v>
      </c>
      <c r="CI95" s="57">
        <f t="shared" si="566"/>
        <v>13308.395100000003</v>
      </c>
      <c r="CJ95" s="59">
        <f t="shared" si="567"/>
        <v>43994.892521580012</v>
      </c>
      <c r="CK95" s="55">
        <f t="shared" si="568"/>
        <v>13015.902900000003</v>
      </c>
      <c r="CL95" s="59">
        <f t="shared" si="569"/>
        <v>43027.971806820009</v>
      </c>
      <c r="CM95" s="57">
        <f t="shared" si="570"/>
        <v>12723.410700000002</v>
      </c>
      <c r="CN95" s="59">
        <f t="shared" si="571"/>
        <v>42061.051092060006</v>
      </c>
      <c r="CO95" s="60">
        <f t="shared" si="572"/>
        <v>12430.918500000002</v>
      </c>
      <c r="CP95" s="59">
        <f t="shared" si="573"/>
        <v>41094.130377300004</v>
      </c>
      <c r="CQ95" s="57">
        <f t="shared" si="574"/>
        <v>12138.426300000001</v>
      </c>
      <c r="CR95" s="59">
        <f t="shared" si="575"/>
        <v>40127.209662540001</v>
      </c>
      <c r="CS95" s="55">
        <f t="shared" si="576"/>
        <v>11845.9341</v>
      </c>
      <c r="CT95" s="59">
        <f t="shared" si="577"/>
        <v>39160.288947780005</v>
      </c>
      <c r="CU95" s="60">
        <f t="shared" si="578"/>
        <v>11553.441900000002</v>
      </c>
      <c r="CV95" s="59">
        <f t="shared" si="579"/>
        <v>38193.368233020003</v>
      </c>
      <c r="CW95" s="60">
        <f t="shared" si="580"/>
        <v>11260.949700000001</v>
      </c>
      <c r="CX95" s="59">
        <f t="shared" si="581"/>
        <v>37226.447518260007</v>
      </c>
      <c r="CY95" s="60">
        <f t="shared" si="582"/>
        <v>10968.4575</v>
      </c>
      <c r="CZ95" s="59">
        <f t="shared" si="583"/>
        <v>36259.526803500004</v>
      </c>
      <c r="DA95" s="55">
        <f t="shared" si="584"/>
        <v>10675.9653</v>
      </c>
      <c r="DB95" s="59">
        <f t="shared" si="585"/>
        <v>35292.606088740002</v>
      </c>
      <c r="DC95" s="60">
        <f t="shared" si="586"/>
        <v>10383.473099999999</v>
      </c>
      <c r="DD95" s="59">
        <f t="shared" si="587"/>
        <v>34325.685373979999</v>
      </c>
      <c r="DE95" s="60">
        <f t="shared" si="588"/>
        <v>10090.980899999999</v>
      </c>
      <c r="DF95" s="59">
        <f t="shared" si="589"/>
        <v>33358.764659219996</v>
      </c>
      <c r="DG95" s="60">
        <f t="shared" si="590"/>
        <v>9798.4886999999981</v>
      </c>
      <c r="DH95" s="59">
        <f t="shared" si="591"/>
        <v>32391.843944459994</v>
      </c>
      <c r="DI95" s="60">
        <f t="shared" si="592"/>
        <v>9505.9964999999993</v>
      </c>
      <c r="DJ95" s="59">
        <f t="shared" si="593"/>
        <v>31424.923229699998</v>
      </c>
      <c r="DK95" s="55">
        <f t="shared" si="594"/>
        <v>9213.5042999999987</v>
      </c>
      <c r="DL95" s="59">
        <f t="shared" si="595"/>
        <v>30458.002514939995</v>
      </c>
      <c r="DM95" s="60">
        <f t="shared" si="596"/>
        <v>8921.0120999999981</v>
      </c>
      <c r="DN95" s="59">
        <f t="shared" si="597"/>
        <v>29491.081800179993</v>
      </c>
      <c r="DO95" s="60">
        <f t="shared" si="598"/>
        <v>8628.5198999999975</v>
      </c>
      <c r="DP95" s="59">
        <f t="shared" si="599"/>
        <v>28524.161085419993</v>
      </c>
      <c r="DQ95" s="55">
        <f t="shared" si="600"/>
        <v>8336.0276999999969</v>
      </c>
      <c r="DR95" s="59">
        <f t="shared" si="601"/>
        <v>27557.240370659991</v>
      </c>
      <c r="DU95" s="55">
        <v>1</v>
      </c>
      <c r="DV95" s="55">
        <v>0.97</v>
      </c>
      <c r="DW95" s="55">
        <v>0.95</v>
      </c>
      <c r="DX95" s="55">
        <v>0.93</v>
      </c>
      <c r="DY95" s="55">
        <f t="shared" si="647"/>
        <v>0.91</v>
      </c>
      <c r="DZ95" s="55">
        <f t="shared" si="647"/>
        <v>0.89</v>
      </c>
      <c r="EA95" s="55">
        <f t="shared" si="647"/>
        <v>0.87</v>
      </c>
      <c r="EB95" s="55">
        <f t="shared" si="647"/>
        <v>0.85</v>
      </c>
      <c r="EC95" s="55">
        <f t="shared" si="647"/>
        <v>0.83</v>
      </c>
      <c r="ED95" s="55">
        <f t="shared" si="647"/>
        <v>0.80999999999999994</v>
      </c>
      <c r="EE95" s="55">
        <f t="shared" si="647"/>
        <v>0.78999999999999992</v>
      </c>
      <c r="EF95" s="55">
        <f t="shared" si="647"/>
        <v>0.76999999999999991</v>
      </c>
      <c r="EG95" s="55">
        <f t="shared" si="647"/>
        <v>0.74999999999999989</v>
      </c>
      <c r="EH95" s="55">
        <f t="shared" si="647"/>
        <v>0.72999999999999987</v>
      </c>
      <c r="EI95" s="55">
        <f t="shared" si="647"/>
        <v>0.70999999999999985</v>
      </c>
      <c r="EJ95" s="55">
        <f t="shared" si="647"/>
        <v>0.68999999999999984</v>
      </c>
      <c r="EK95" s="55">
        <f t="shared" si="647"/>
        <v>0.66999999999999982</v>
      </c>
      <c r="EL95" s="55">
        <f t="shared" si="647"/>
        <v>0.6499999999999998</v>
      </c>
      <c r="EM95" s="55">
        <f t="shared" si="647"/>
        <v>0.62999999999999978</v>
      </c>
      <c r="EN95" s="55">
        <f t="shared" si="647"/>
        <v>0.60999999999999976</v>
      </c>
      <c r="EO95" s="55">
        <f t="shared" si="647"/>
        <v>0.58999999999999975</v>
      </c>
      <c r="EP95" s="55">
        <f t="shared" si="647"/>
        <v>0.56999999999999973</v>
      </c>
      <c r="ER95" s="55">
        <f t="shared" si="648"/>
        <v>13308.395100000003</v>
      </c>
      <c r="ES95" s="55">
        <f t="shared" si="510"/>
        <v>13308.395100000003</v>
      </c>
      <c r="ET95" s="59">
        <f t="shared" si="602"/>
        <v>43994.892521580012</v>
      </c>
      <c r="EU95" s="55">
        <f t="shared" si="603"/>
        <v>12909.143247000004</v>
      </c>
      <c r="EV95" s="59">
        <f t="shared" si="604"/>
        <v>42675.045745932613</v>
      </c>
      <c r="EW95" s="55">
        <f t="shared" si="605"/>
        <v>12642.975345000003</v>
      </c>
      <c r="EX95" s="59">
        <f t="shared" si="606"/>
        <v>41795.14789550101</v>
      </c>
      <c r="EY95" s="55">
        <f t="shared" si="607"/>
        <v>12376.807443000003</v>
      </c>
      <c r="EZ95" s="59">
        <f t="shared" si="608"/>
        <v>40915.250045069413</v>
      </c>
      <c r="FA95" s="57">
        <f t="shared" si="609"/>
        <v>12110.639541000004</v>
      </c>
      <c r="FB95" s="59">
        <f t="shared" si="610"/>
        <v>40035.352194637817</v>
      </c>
      <c r="FC95" s="55">
        <f t="shared" si="611"/>
        <v>11844.471639000003</v>
      </c>
      <c r="FD95" s="59">
        <f t="shared" si="612"/>
        <v>39155.454344206213</v>
      </c>
      <c r="FE95" s="57">
        <f t="shared" si="613"/>
        <v>11578.303737000002</v>
      </c>
      <c r="FF95" s="59">
        <f t="shared" si="614"/>
        <v>38275.556493774609</v>
      </c>
      <c r="FG95" s="60">
        <f t="shared" si="615"/>
        <v>11312.135835000003</v>
      </c>
      <c r="FH95" s="59">
        <f t="shared" si="616"/>
        <v>37395.658643343013</v>
      </c>
      <c r="FI95" s="57">
        <f t="shared" si="617"/>
        <v>11045.967933000002</v>
      </c>
      <c r="FJ95" s="59">
        <f t="shared" si="618"/>
        <v>36515.760792911409</v>
      </c>
      <c r="FK95" s="55">
        <f t="shared" si="619"/>
        <v>10779.800031000002</v>
      </c>
      <c r="FL95" s="59">
        <f t="shared" si="620"/>
        <v>35635.862942479805</v>
      </c>
      <c r="FM95" s="60">
        <f t="shared" si="621"/>
        <v>10513.632129000001</v>
      </c>
      <c r="FN95" s="59">
        <f t="shared" si="622"/>
        <v>34755.965092048209</v>
      </c>
      <c r="FO95" s="60">
        <f t="shared" si="623"/>
        <v>10247.464227000002</v>
      </c>
      <c r="FP95" s="59">
        <f t="shared" si="624"/>
        <v>33876.067241616605</v>
      </c>
      <c r="FQ95" s="60">
        <f t="shared" si="625"/>
        <v>9981.2963250000012</v>
      </c>
      <c r="FR95" s="59">
        <f t="shared" si="626"/>
        <v>32996.169391185002</v>
      </c>
      <c r="FS95" s="55">
        <f t="shared" si="627"/>
        <v>9715.1284230000001</v>
      </c>
      <c r="FT95" s="59">
        <f t="shared" si="628"/>
        <v>32116.271540753401</v>
      </c>
      <c r="FU95" s="60">
        <f t="shared" si="629"/>
        <v>9448.9605210000009</v>
      </c>
      <c r="FV95" s="59">
        <f t="shared" si="630"/>
        <v>31236.373690321805</v>
      </c>
      <c r="FW95" s="60">
        <f t="shared" si="631"/>
        <v>9182.7926189999998</v>
      </c>
      <c r="FX95" s="59">
        <f t="shared" si="632"/>
        <v>30356.475839890201</v>
      </c>
      <c r="FY95" s="60">
        <f t="shared" si="633"/>
        <v>8916.6247170000006</v>
      </c>
      <c r="FZ95" s="59">
        <f t="shared" si="634"/>
        <v>29476.577989458601</v>
      </c>
      <c r="GA95" s="60">
        <f t="shared" si="635"/>
        <v>8650.4568149999996</v>
      </c>
      <c r="GB95" s="59">
        <f t="shared" si="636"/>
        <v>28596.680139026997</v>
      </c>
      <c r="GC95" s="55">
        <f t="shared" si="637"/>
        <v>8384.2889129999985</v>
      </c>
      <c r="GD95" s="59">
        <f t="shared" si="638"/>
        <v>27716.782288595397</v>
      </c>
      <c r="GE95" s="60">
        <f t="shared" si="639"/>
        <v>8118.1210109999993</v>
      </c>
      <c r="GF95" s="59">
        <f t="shared" si="640"/>
        <v>26836.884438163797</v>
      </c>
      <c r="GG95" s="60">
        <f t="shared" si="641"/>
        <v>7851.9531089999982</v>
      </c>
      <c r="GH95" s="59">
        <f t="shared" si="642"/>
        <v>25956.986587732194</v>
      </c>
      <c r="GI95" s="55">
        <f t="shared" si="643"/>
        <v>7585.7852069999981</v>
      </c>
      <c r="GJ95" s="59">
        <f t="shared" si="644"/>
        <v>25077.088737300593</v>
      </c>
      <c r="GK95" s="55"/>
      <c r="GL95" s="55"/>
      <c r="GM95" s="55">
        <v>1</v>
      </c>
      <c r="GN95" s="55">
        <v>0.97</v>
      </c>
      <c r="GO95" s="55">
        <v>0.95</v>
      </c>
      <c r="GP95" s="55">
        <v>0.93</v>
      </c>
      <c r="GQ95" s="55">
        <f t="shared" si="649"/>
        <v>0.91</v>
      </c>
      <c r="GR95" s="55">
        <f t="shared" si="649"/>
        <v>0.89</v>
      </c>
      <c r="GS95" s="55">
        <f t="shared" si="649"/>
        <v>0.87</v>
      </c>
      <c r="GT95" s="55">
        <f t="shared" si="649"/>
        <v>0.85</v>
      </c>
      <c r="GU95" s="55">
        <f t="shared" si="649"/>
        <v>0.83</v>
      </c>
      <c r="GV95" s="55">
        <f t="shared" si="649"/>
        <v>0.80999999999999994</v>
      </c>
      <c r="GW95" s="55">
        <f t="shared" si="649"/>
        <v>0.78999999999999992</v>
      </c>
      <c r="GX95" s="55">
        <f t="shared" si="649"/>
        <v>0.76999999999999991</v>
      </c>
      <c r="GY95" s="55">
        <f t="shared" si="649"/>
        <v>0.74999999999999989</v>
      </c>
      <c r="GZ95" s="55">
        <f t="shared" si="649"/>
        <v>0.72999999999999987</v>
      </c>
      <c r="HA95" s="55">
        <f t="shared" si="649"/>
        <v>0.70999999999999985</v>
      </c>
      <c r="HB95" s="55">
        <f t="shared" si="649"/>
        <v>0.68999999999999984</v>
      </c>
      <c r="HC95" s="55">
        <f t="shared" si="649"/>
        <v>0.66999999999999982</v>
      </c>
      <c r="HD95" s="55">
        <f t="shared" si="649"/>
        <v>0.6499999999999998</v>
      </c>
      <c r="HE95" s="55">
        <f t="shared" si="649"/>
        <v>0.62999999999999978</v>
      </c>
      <c r="HF95" s="55">
        <f t="shared" si="649"/>
        <v>0.60999999999999976</v>
      </c>
      <c r="HG95" s="55">
        <f t="shared" si="649"/>
        <v>0.58999999999999975</v>
      </c>
      <c r="HH95" s="55">
        <f t="shared" si="649"/>
        <v>0.56999999999999973</v>
      </c>
    </row>
    <row r="96" spans="1:216" x14ac:dyDescent="0.3">
      <c r="A96" s="2">
        <v>5</v>
      </c>
      <c r="C96" s="38" t="s">
        <v>43</v>
      </c>
      <c r="D96" s="42">
        <f>TRUNC(7912.86676041484,-1)</f>
        <v>7910</v>
      </c>
      <c r="E96" s="71">
        <f t="shared" si="515"/>
        <v>26140</v>
      </c>
      <c r="H96" s="55">
        <f t="shared" si="505"/>
        <v>28754.000000000004</v>
      </c>
      <c r="I96" s="55">
        <f t="shared" si="506"/>
        <v>28754.000000000004</v>
      </c>
      <c r="J96" s="59">
        <f t="shared" si="507"/>
        <v>95054.973200000008</v>
      </c>
      <c r="K96" s="55">
        <f t="shared" si="516"/>
        <v>27891.38</v>
      </c>
      <c r="L96" s="59">
        <f t="shared" si="517"/>
        <v>92203.324004000009</v>
      </c>
      <c r="M96" s="55">
        <f t="shared" si="518"/>
        <v>27316.300000000003</v>
      </c>
      <c r="N96" s="59">
        <f t="shared" si="519"/>
        <v>90302.22454000001</v>
      </c>
      <c r="O96" s="55">
        <f t="shared" si="520"/>
        <v>26741.220000000005</v>
      </c>
      <c r="P96" s="59">
        <f t="shared" si="521"/>
        <v>88401.125076000011</v>
      </c>
      <c r="Q96" s="57">
        <f t="shared" si="522"/>
        <v>26166.140000000003</v>
      </c>
      <c r="R96" s="59">
        <f t="shared" si="523"/>
        <v>86500.025612000012</v>
      </c>
      <c r="S96" s="55">
        <f t="shared" si="524"/>
        <v>25591.060000000005</v>
      </c>
      <c r="T96" s="59">
        <f t="shared" si="525"/>
        <v>84598.926148000013</v>
      </c>
      <c r="U96" s="57">
        <f t="shared" si="526"/>
        <v>25015.980000000003</v>
      </c>
      <c r="V96" s="59">
        <f t="shared" si="527"/>
        <v>82697.826684000014</v>
      </c>
      <c r="W96" s="60">
        <f t="shared" si="528"/>
        <v>24440.9</v>
      </c>
      <c r="X96" s="59">
        <f t="shared" si="529"/>
        <v>80796.727220000001</v>
      </c>
      <c r="Y96" s="57">
        <f t="shared" si="530"/>
        <v>23865.820000000003</v>
      </c>
      <c r="Z96" s="59">
        <f t="shared" si="531"/>
        <v>78895.627756000016</v>
      </c>
      <c r="AA96" s="55">
        <f t="shared" si="532"/>
        <v>23290.74</v>
      </c>
      <c r="AB96" s="59">
        <f t="shared" si="533"/>
        <v>76994.528292000003</v>
      </c>
      <c r="AC96" s="60">
        <f t="shared" si="534"/>
        <v>22715.66</v>
      </c>
      <c r="AD96" s="59">
        <f t="shared" si="535"/>
        <v>75093.428828000004</v>
      </c>
      <c r="AE96" s="60">
        <f t="shared" si="536"/>
        <v>22140.58</v>
      </c>
      <c r="AF96" s="59">
        <f t="shared" si="537"/>
        <v>73192.329364000005</v>
      </c>
      <c r="AG96" s="60">
        <f t="shared" si="538"/>
        <v>21565.5</v>
      </c>
      <c r="AH96" s="59">
        <f t="shared" si="539"/>
        <v>71291.229900000006</v>
      </c>
      <c r="AI96" s="55">
        <f t="shared" si="540"/>
        <v>20990.42</v>
      </c>
      <c r="AJ96" s="59">
        <f t="shared" si="541"/>
        <v>69390.130435999992</v>
      </c>
      <c r="AK96" s="60">
        <f t="shared" si="542"/>
        <v>20415.34</v>
      </c>
      <c r="AL96" s="59">
        <f t="shared" si="543"/>
        <v>67489.030972000008</v>
      </c>
      <c r="AM96" s="60">
        <f t="shared" si="544"/>
        <v>19840.259999999998</v>
      </c>
      <c r="AN96" s="59">
        <f t="shared" si="545"/>
        <v>65587.931507999994</v>
      </c>
      <c r="AO96" s="60">
        <f t="shared" si="546"/>
        <v>19265.179999999997</v>
      </c>
      <c r="AP96" s="59">
        <f t="shared" si="547"/>
        <v>63686.832043999988</v>
      </c>
      <c r="AQ96" s="60">
        <f t="shared" si="548"/>
        <v>18690.099999999995</v>
      </c>
      <c r="AR96" s="59">
        <f t="shared" si="549"/>
        <v>61785.732579999982</v>
      </c>
      <c r="AS96" s="55">
        <f t="shared" si="550"/>
        <v>18115.019999999997</v>
      </c>
      <c r="AT96" s="59">
        <f t="shared" si="551"/>
        <v>59884.63311599999</v>
      </c>
      <c r="AU96" s="60">
        <f t="shared" si="552"/>
        <v>17539.939999999995</v>
      </c>
      <c r="AV96" s="59">
        <f t="shared" si="553"/>
        <v>57983.533651999984</v>
      </c>
      <c r="AW96" s="60">
        <f t="shared" si="554"/>
        <v>16964.859999999993</v>
      </c>
      <c r="AX96" s="59">
        <f t="shared" si="555"/>
        <v>56082.434187999977</v>
      </c>
      <c r="AY96" s="55">
        <f t="shared" si="556"/>
        <v>16389.779999999995</v>
      </c>
      <c r="AZ96" s="59">
        <f t="shared" si="557"/>
        <v>54181.334723999986</v>
      </c>
      <c r="BC96" s="55">
        <v>1</v>
      </c>
      <c r="BD96" s="55">
        <v>0.97</v>
      </c>
      <c r="BE96" s="55">
        <v>0.95</v>
      </c>
      <c r="BF96" s="55">
        <v>0.93</v>
      </c>
      <c r="BG96" s="55">
        <f t="shared" si="558"/>
        <v>0.91</v>
      </c>
      <c r="BH96" s="55">
        <f t="shared" si="558"/>
        <v>0.89</v>
      </c>
      <c r="BI96" s="55">
        <f t="shared" si="558"/>
        <v>0.87</v>
      </c>
      <c r="BJ96" s="55">
        <f t="shared" si="558"/>
        <v>0.85</v>
      </c>
      <c r="BK96" s="55">
        <f t="shared" si="558"/>
        <v>0.83</v>
      </c>
      <c r="BL96" s="55">
        <f t="shared" si="558"/>
        <v>0.80999999999999994</v>
      </c>
      <c r="BM96" s="55">
        <f t="shared" si="558"/>
        <v>0.78999999999999992</v>
      </c>
      <c r="BN96" s="55">
        <f t="shared" si="558"/>
        <v>0.76999999999999991</v>
      </c>
      <c r="BO96" s="55">
        <f t="shared" si="558"/>
        <v>0.74999999999999989</v>
      </c>
      <c r="BP96" s="55">
        <f t="shared" si="558"/>
        <v>0.72999999999999987</v>
      </c>
      <c r="BQ96" s="55">
        <f t="shared" si="558"/>
        <v>0.70999999999999985</v>
      </c>
      <c r="BR96" s="55">
        <f t="shared" si="558"/>
        <v>0.68999999999999984</v>
      </c>
      <c r="BS96" s="55">
        <f t="shared" si="558"/>
        <v>0.66999999999999982</v>
      </c>
      <c r="BT96" s="55">
        <f t="shared" si="558"/>
        <v>0.6499999999999998</v>
      </c>
      <c r="BU96" s="55">
        <f t="shared" si="558"/>
        <v>0.62999999999999978</v>
      </c>
      <c r="BV96" s="55">
        <f t="shared" si="558"/>
        <v>0.60999999999999976</v>
      </c>
      <c r="BW96" s="55">
        <f t="shared" si="558"/>
        <v>0.58999999999999975</v>
      </c>
      <c r="BX96" s="55">
        <f t="shared" si="558"/>
        <v>0.56999999999999973</v>
      </c>
      <c r="BZ96" s="55">
        <f t="shared" si="508"/>
        <v>26166.140000000003</v>
      </c>
      <c r="CA96" s="55">
        <f t="shared" si="509"/>
        <v>26166.140000000003</v>
      </c>
      <c r="CB96" s="59">
        <f t="shared" si="559"/>
        <v>86500.025612000012</v>
      </c>
      <c r="CC96" s="55">
        <f t="shared" si="560"/>
        <v>25381.1558</v>
      </c>
      <c r="CD96" s="59">
        <f t="shared" si="561"/>
        <v>83905.02484364</v>
      </c>
      <c r="CE96" s="55">
        <f t="shared" si="562"/>
        <v>24857.833000000002</v>
      </c>
      <c r="CF96" s="59">
        <f t="shared" si="563"/>
        <v>82175.024331400011</v>
      </c>
      <c r="CG96" s="55">
        <f t="shared" si="564"/>
        <v>24334.510200000004</v>
      </c>
      <c r="CH96" s="59">
        <f t="shared" si="565"/>
        <v>80445.023819160022</v>
      </c>
      <c r="CI96" s="57">
        <f t="shared" si="566"/>
        <v>23811.187400000003</v>
      </c>
      <c r="CJ96" s="59">
        <f t="shared" si="567"/>
        <v>78715.023306920004</v>
      </c>
      <c r="CK96" s="55">
        <f t="shared" si="568"/>
        <v>23287.864600000004</v>
      </c>
      <c r="CL96" s="59">
        <f t="shared" si="569"/>
        <v>76985.022794680015</v>
      </c>
      <c r="CM96" s="57">
        <f t="shared" si="570"/>
        <v>22764.541800000003</v>
      </c>
      <c r="CN96" s="59">
        <f t="shared" si="571"/>
        <v>75255.022282440012</v>
      </c>
      <c r="CO96" s="60">
        <f t="shared" si="572"/>
        <v>22241.219000000001</v>
      </c>
      <c r="CP96" s="59">
        <f t="shared" si="573"/>
        <v>73525.021770200008</v>
      </c>
      <c r="CQ96" s="57">
        <f t="shared" si="574"/>
        <v>21717.896200000003</v>
      </c>
      <c r="CR96" s="59">
        <f t="shared" si="575"/>
        <v>71795.021257960005</v>
      </c>
      <c r="CS96" s="55">
        <f t="shared" si="576"/>
        <v>21194.573400000001</v>
      </c>
      <c r="CT96" s="59">
        <f t="shared" si="577"/>
        <v>70065.020745720001</v>
      </c>
      <c r="CU96" s="60">
        <f t="shared" si="578"/>
        <v>20671.250599999999</v>
      </c>
      <c r="CV96" s="59">
        <f t="shared" si="579"/>
        <v>68335.020233479998</v>
      </c>
      <c r="CW96" s="60">
        <f t="shared" si="580"/>
        <v>20147.927800000001</v>
      </c>
      <c r="CX96" s="59">
        <f t="shared" si="581"/>
        <v>66605.019721240009</v>
      </c>
      <c r="CY96" s="60">
        <f t="shared" si="582"/>
        <v>19624.605</v>
      </c>
      <c r="CZ96" s="59">
        <f t="shared" si="583"/>
        <v>64875.019208999998</v>
      </c>
      <c r="DA96" s="55">
        <f t="shared" si="584"/>
        <v>19101.282199999998</v>
      </c>
      <c r="DB96" s="59">
        <f t="shared" si="585"/>
        <v>63145.018696759995</v>
      </c>
      <c r="DC96" s="60">
        <f t="shared" si="586"/>
        <v>18577.9594</v>
      </c>
      <c r="DD96" s="59">
        <f t="shared" si="587"/>
        <v>61415.018184519999</v>
      </c>
      <c r="DE96" s="60">
        <f t="shared" si="588"/>
        <v>18054.636599999998</v>
      </c>
      <c r="DF96" s="59">
        <f t="shared" si="589"/>
        <v>59685.017672279995</v>
      </c>
      <c r="DG96" s="60">
        <f t="shared" si="590"/>
        <v>17531.313799999996</v>
      </c>
      <c r="DH96" s="59">
        <f t="shared" si="591"/>
        <v>57955.017160039992</v>
      </c>
      <c r="DI96" s="60">
        <f t="shared" si="592"/>
        <v>17007.990999999998</v>
      </c>
      <c r="DJ96" s="59">
        <f t="shared" si="593"/>
        <v>56225.016647799996</v>
      </c>
      <c r="DK96" s="55">
        <f t="shared" si="594"/>
        <v>16484.668199999996</v>
      </c>
      <c r="DL96" s="59">
        <f t="shared" si="595"/>
        <v>54495.016135559992</v>
      </c>
      <c r="DM96" s="60">
        <f t="shared" si="596"/>
        <v>15961.345399999997</v>
      </c>
      <c r="DN96" s="59">
        <f t="shared" si="597"/>
        <v>52765.015623319989</v>
      </c>
      <c r="DO96" s="60">
        <f t="shared" si="598"/>
        <v>15438.022599999995</v>
      </c>
      <c r="DP96" s="59">
        <f t="shared" si="599"/>
        <v>51035.015111079985</v>
      </c>
      <c r="DQ96" s="55">
        <f t="shared" si="600"/>
        <v>14914.699799999995</v>
      </c>
      <c r="DR96" s="59">
        <f t="shared" si="601"/>
        <v>49305.014598839982</v>
      </c>
      <c r="DU96" s="55">
        <v>1</v>
      </c>
      <c r="DV96" s="55">
        <v>0.97</v>
      </c>
      <c r="DW96" s="55">
        <v>0.95</v>
      </c>
      <c r="DX96" s="55">
        <v>0.93</v>
      </c>
      <c r="DY96" s="55">
        <f t="shared" si="647"/>
        <v>0.91</v>
      </c>
      <c r="DZ96" s="55">
        <f t="shared" si="647"/>
        <v>0.89</v>
      </c>
      <c r="EA96" s="55">
        <f t="shared" si="647"/>
        <v>0.87</v>
      </c>
      <c r="EB96" s="55">
        <f t="shared" si="647"/>
        <v>0.85</v>
      </c>
      <c r="EC96" s="55">
        <f t="shared" si="647"/>
        <v>0.83</v>
      </c>
      <c r="ED96" s="55">
        <f t="shared" si="647"/>
        <v>0.80999999999999994</v>
      </c>
      <c r="EE96" s="55">
        <f t="shared" si="647"/>
        <v>0.78999999999999992</v>
      </c>
      <c r="EF96" s="55">
        <f t="shared" si="647"/>
        <v>0.76999999999999991</v>
      </c>
      <c r="EG96" s="55">
        <f t="shared" si="647"/>
        <v>0.74999999999999989</v>
      </c>
      <c r="EH96" s="55">
        <f t="shared" si="647"/>
        <v>0.72999999999999987</v>
      </c>
      <c r="EI96" s="55">
        <f t="shared" si="647"/>
        <v>0.70999999999999985</v>
      </c>
      <c r="EJ96" s="55">
        <f t="shared" si="647"/>
        <v>0.68999999999999984</v>
      </c>
      <c r="EK96" s="55">
        <f t="shared" si="647"/>
        <v>0.66999999999999982</v>
      </c>
      <c r="EL96" s="55">
        <f t="shared" si="647"/>
        <v>0.6499999999999998</v>
      </c>
      <c r="EM96" s="55">
        <f t="shared" si="647"/>
        <v>0.62999999999999978</v>
      </c>
      <c r="EN96" s="55">
        <f t="shared" si="647"/>
        <v>0.60999999999999976</v>
      </c>
      <c r="EO96" s="55">
        <f t="shared" si="647"/>
        <v>0.58999999999999975</v>
      </c>
      <c r="EP96" s="55">
        <f t="shared" si="647"/>
        <v>0.56999999999999973</v>
      </c>
      <c r="ER96" s="55">
        <f t="shared" si="648"/>
        <v>23811.187400000003</v>
      </c>
      <c r="ES96" s="55">
        <f t="shared" si="510"/>
        <v>23811.187400000003</v>
      </c>
      <c r="ET96" s="59">
        <f t="shared" si="602"/>
        <v>78715.023306920004</v>
      </c>
      <c r="EU96" s="55">
        <f t="shared" si="603"/>
        <v>23096.851778</v>
      </c>
      <c r="EV96" s="59">
        <f t="shared" si="604"/>
        <v>76353.572607712398</v>
      </c>
      <c r="EW96" s="55">
        <f t="shared" si="605"/>
        <v>22620.62803</v>
      </c>
      <c r="EX96" s="59">
        <f t="shared" si="606"/>
        <v>74779.272141573994</v>
      </c>
      <c r="EY96" s="55">
        <f t="shared" si="607"/>
        <v>22144.404282000003</v>
      </c>
      <c r="EZ96" s="59">
        <f t="shared" si="608"/>
        <v>73204.971675435605</v>
      </c>
      <c r="FA96" s="57">
        <f t="shared" si="609"/>
        <v>21668.180534000003</v>
      </c>
      <c r="FB96" s="59">
        <f t="shared" si="610"/>
        <v>71630.671209297216</v>
      </c>
      <c r="FC96" s="55">
        <f t="shared" si="611"/>
        <v>21191.956786000002</v>
      </c>
      <c r="FD96" s="59">
        <f t="shared" si="612"/>
        <v>70056.370743158812</v>
      </c>
      <c r="FE96" s="57">
        <f t="shared" si="613"/>
        <v>20715.733038000002</v>
      </c>
      <c r="FF96" s="59">
        <f t="shared" si="614"/>
        <v>68482.070277020408</v>
      </c>
      <c r="FG96" s="60">
        <f t="shared" si="615"/>
        <v>20239.509290000002</v>
      </c>
      <c r="FH96" s="59">
        <f t="shared" si="616"/>
        <v>66907.769810882004</v>
      </c>
      <c r="FI96" s="57">
        <f t="shared" si="617"/>
        <v>19763.285542000001</v>
      </c>
      <c r="FJ96" s="59">
        <f t="shared" si="618"/>
        <v>65333.469344743608</v>
      </c>
      <c r="FK96" s="55">
        <f t="shared" si="619"/>
        <v>19287.061794000001</v>
      </c>
      <c r="FL96" s="59">
        <f t="shared" si="620"/>
        <v>63759.168878605204</v>
      </c>
      <c r="FM96" s="60">
        <f t="shared" si="621"/>
        <v>18810.838046000001</v>
      </c>
      <c r="FN96" s="59">
        <f t="shared" si="622"/>
        <v>62184.868412466807</v>
      </c>
      <c r="FO96" s="60">
        <f t="shared" si="623"/>
        <v>18334.614298</v>
      </c>
      <c r="FP96" s="59">
        <f t="shared" si="624"/>
        <v>60610.567946328403</v>
      </c>
      <c r="FQ96" s="60">
        <f t="shared" si="625"/>
        <v>17858.39055</v>
      </c>
      <c r="FR96" s="59">
        <f t="shared" si="626"/>
        <v>59036.267480189999</v>
      </c>
      <c r="FS96" s="55">
        <f t="shared" si="627"/>
        <v>17382.166802</v>
      </c>
      <c r="FT96" s="59">
        <f t="shared" si="628"/>
        <v>57461.967014051603</v>
      </c>
      <c r="FU96" s="60">
        <f t="shared" si="629"/>
        <v>16905.943053999999</v>
      </c>
      <c r="FV96" s="59">
        <f t="shared" si="630"/>
        <v>55887.666547913199</v>
      </c>
      <c r="FW96" s="60">
        <f t="shared" si="631"/>
        <v>16429.719305999999</v>
      </c>
      <c r="FX96" s="59">
        <f t="shared" si="632"/>
        <v>54313.366081774795</v>
      </c>
      <c r="FY96" s="60">
        <f t="shared" si="633"/>
        <v>15953.495557999997</v>
      </c>
      <c r="FZ96" s="59">
        <f t="shared" si="634"/>
        <v>52739.065615636391</v>
      </c>
      <c r="GA96" s="60">
        <f t="shared" si="635"/>
        <v>15477.271809999997</v>
      </c>
      <c r="GB96" s="59">
        <f t="shared" si="636"/>
        <v>51164.765149497987</v>
      </c>
      <c r="GC96" s="55">
        <f t="shared" si="637"/>
        <v>15001.048061999996</v>
      </c>
      <c r="GD96" s="59">
        <f t="shared" si="638"/>
        <v>49590.464683359591</v>
      </c>
      <c r="GE96" s="60">
        <f t="shared" si="639"/>
        <v>14524.824313999996</v>
      </c>
      <c r="GF96" s="59">
        <f t="shared" si="640"/>
        <v>48016.164217221187</v>
      </c>
      <c r="GG96" s="60">
        <f t="shared" si="641"/>
        <v>14048.600565999996</v>
      </c>
      <c r="GH96" s="59">
        <f t="shared" si="642"/>
        <v>46441.863751082783</v>
      </c>
      <c r="GI96" s="55">
        <f t="shared" si="643"/>
        <v>13572.376817999995</v>
      </c>
      <c r="GJ96" s="59">
        <f t="shared" si="644"/>
        <v>44867.563284944386</v>
      </c>
      <c r="GK96" s="55"/>
      <c r="GL96" s="55"/>
      <c r="GM96" s="55">
        <v>1</v>
      </c>
      <c r="GN96" s="55">
        <v>0.97</v>
      </c>
      <c r="GO96" s="55">
        <v>0.95</v>
      </c>
      <c r="GP96" s="55">
        <v>0.93</v>
      </c>
      <c r="GQ96" s="55">
        <f t="shared" si="649"/>
        <v>0.91</v>
      </c>
      <c r="GR96" s="55">
        <f t="shared" si="649"/>
        <v>0.89</v>
      </c>
      <c r="GS96" s="55">
        <f t="shared" si="649"/>
        <v>0.87</v>
      </c>
      <c r="GT96" s="55">
        <f t="shared" si="649"/>
        <v>0.85</v>
      </c>
      <c r="GU96" s="55">
        <f t="shared" si="649"/>
        <v>0.83</v>
      </c>
      <c r="GV96" s="55">
        <f t="shared" si="649"/>
        <v>0.80999999999999994</v>
      </c>
      <c r="GW96" s="55">
        <f t="shared" si="649"/>
        <v>0.78999999999999992</v>
      </c>
      <c r="GX96" s="55">
        <f t="shared" si="649"/>
        <v>0.76999999999999991</v>
      </c>
      <c r="GY96" s="55">
        <f t="shared" si="649"/>
        <v>0.74999999999999989</v>
      </c>
      <c r="GZ96" s="55">
        <f t="shared" si="649"/>
        <v>0.72999999999999987</v>
      </c>
      <c r="HA96" s="55">
        <f t="shared" si="649"/>
        <v>0.70999999999999985</v>
      </c>
      <c r="HB96" s="55">
        <f t="shared" si="649"/>
        <v>0.68999999999999984</v>
      </c>
      <c r="HC96" s="55">
        <f t="shared" si="649"/>
        <v>0.66999999999999982</v>
      </c>
      <c r="HD96" s="55">
        <f t="shared" si="649"/>
        <v>0.6499999999999998</v>
      </c>
      <c r="HE96" s="55">
        <f t="shared" si="649"/>
        <v>0.62999999999999978</v>
      </c>
      <c r="HF96" s="55">
        <f t="shared" si="649"/>
        <v>0.60999999999999976</v>
      </c>
      <c r="HG96" s="55">
        <f t="shared" si="649"/>
        <v>0.58999999999999975</v>
      </c>
      <c r="HH96" s="55">
        <f t="shared" si="649"/>
        <v>0.56999999999999973</v>
      </c>
    </row>
    <row r="97" spans="1:216" x14ac:dyDescent="0.3">
      <c r="A97" s="2">
        <v>6</v>
      </c>
      <c r="C97" s="38" t="s">
        <v>44</v>
      </c>
      <c r="D97" s="42">
        <v>0</v>
      </c>
      <c r="E97" s="71">
        <f t="shared" si="515"/>
        <v>0</v>
      </c>
      <c r="H97" s="55">
        <f t="shared" si="505"/>
        <v>0</v>
      </c>
      <c r="I97" s="55">
        <f t="shared" si="506"/>
        <v>0</v>
      </c>
      <c r="J97" s="59">
        <f t="shared" si="507"/>
        <v>0</v>
      </c>
      <c r="K97" s="55">
        <f t="shared" si="516"/>
        <v>0</v>
      </c>
      <c r="L97" s="59">
        <f t="shared" si="517"/>
        <v>0</v>
      </c>
      <c r="M97" s="55">
        <f t="shared" si="518"/>
        <v>0</v>
      </c>
      <c r="N97" s="59">
        <f t="shared" si="519"/>
        <v>0</v>
      </c>
      <c r="O97" s="55">
        <f t="shared" si="520"/>
        <v>0</v>
      </c>
      <c r="P97" s="59">
        <f t="shared" si="521"/>
        <v>0</v>
      </c>
      <c r="Q97" s="57">
        <f t="shared" si="522"/>
        <v>0</v>
      </c>
      <c r="R97" s="59">
        <f t="shared" si="523"/>
        <v>0</v>
      </c>
      <c r="S97" s="55">
        <f t="shared" si="524"/>
        <v>0</v>
      </c>
      <c r="T97" s="59">
        <f t="shared" si="525"/>
        <v>0</v>
      </c>
      <c r="U97" s="57">
        <f t="shared" si="526"/>
        <v>0</v>
      </c>
      <c r="V97" s="59">
        <f t="shared" si="527"/>
        <v>0</v>
      </c>
      <c r="W97" s="60">
        <f t="shared" si="528"/>
        <v>0</v>
      </c>
      <c r="X97" s="59">
        <f t="shared" si="529"/>
        <v>0</v>
      </c>
      <c r="Y97" s="57">
        <f t="shared" si="530"/>
        <v>0</v>
      </c>
      <c r="Z97" s="59">
        <f t="shared" si="531"/>
        <v>0</v>
      </c>
      <c r="AA97" s="55">
        <f t="shared" si="532"/>
        <v>0</v>
      </c>
      <c r="AB97" s="59">
        <f t="shared" si="533"/>
        <v>0</v>
      </c>
      <c r="AC97" s="60">
        <f t="shared" si="534"/>
        <v>0</v>
      </c>
      <c r="AD97" s="59">
        <f t="shared" si="535"/>
        <v>0</v>
      </c>
      <c r="AE97" s="60">
        <f t="shared" si="536"/>
        <v>0</v>
      </c>
      <c r="AF97" s="59">
        <f t="shared" si="537"/>
        <v>0</v>
      </c>
      <c r="AG97" s="60">
        <f t="shared" si="538"/>
        <v>0</v>
      </c>
      <c r="AH97" s="59">
        <f t="shared" si="539"/>
        <v>0</v>
      </c>
      <c r="AI97" s="55">
        <f t="shared" si="540"/>
        <v>0</v>
      </c>
      <c r="AJ97" s="59">
        <f t="shared" si="541"/>
        <v>0</v>
      </c>
      <c r="AK97" s="60">
        <f t="shared" si="542"/>
        <v>0</v>
      </c>
      <c r="AL97" s="59">
        <f t="shared" si="543"/>
        <v>0</v>
      </c>
      <c r="AM97" s="60">
        <f t="shared" si="544"/>
        <v>0</v>
      </c>
      <c r="AN97" s="59">
        <f t="shared" si="545"/>
        <v>0</v>
      </c>
      <c r="AO97" s="60">
        <f t="shared" si="546"/>
        <v>0</v>
      </c>
      <c r="AP97" s="59">
        <f t="shared" si="547"/>
        <v>0</v>
      </c>
      <c r="AQ97" s="60">
        <f t="shared" si="548"/>
        <v>0</v>
      </c>
      <c r="AR97" s="59">
        <f t="shared" si="549"/>
        <v>0</v>
      </c>
      <c r="AS97" s="55">
        <f t="shared" si="550"/>
        <v>0</v>
      </c>
      <c r="AT97" s="59">
        <f t="shared" si="551"/>
        <v>0</v>
      </c>
      <c r="AU97" s="60">
        <f t="shared" si="552"/>
        <v>0</v>
      </c>
      <c r="AV97" s="59">
        <f t="shared" si="553"/>
        <v>0</v>
      </c>
      <c r="AW97" s="60">
        <f t="shared" si="554"/>
        <v>0</v>
      </c>
      <c r="AX97" s="59">
        <f t="shared" si="555"/>
        <v>0</v>
      </c>
      <c r="AY97" s="55">
        <f t="shared" si="556"/>
        <v>0</v>
      </c>
      <c r="AZ97" s="59">
        <f t="shared" si="557"/>
        <v>0</v>
      </c>
      <c r="BC97" s="55">
        <v>1</v>
      </c>
      <c r="BD97" s="55">
        <v>0.97</v>
      </c>
      <c r="BE97" s="55">
        <v>0.95</v>
      </c>
      <c r="BF97" s="55">
        <v>0.93</v>
      </c>
      <c r="BG97" s="55">
        <f t="shared" si="558"/>
        <v>0.91</v>
      </c>
      <c r="BH97" s="55">
        <f t="shared" si="558"/>
        <v>0.89</v>
      </c>
      <c r="BI97" s="55">
        <f t="shared" si="558"/>
        <v>0.87</v>
      </c>
      <c r="BJ97" s="55">
        <f t="shared" si="558"/>
        <v>0.85</v>
      </c>
      <c r="BK97" s="55">
        <f t="shared" si="558"/>
        <v>0.83</v>
      </c>
      <c r="BL97" s="55">
        <f t="shared" si="558"/>
        <v>0.80999999999999994</v>
      </c>
      <c r="BM97" s="55">
        <f t="shared" si="558"/>
        <v>0.78999999999999992</v>
      </c>
      <c r="BN97" s="55">
        <f t="shared" si="558"/>
        <v>0.76999999999999991</v>
      </c>
      <c r="BO97" s="55">
        <f t="shared" si="558"/>
        <v>0.74999999999999989</v>
      </c>
      <c r="BP97" s="55">
        <f t="shared" si="558"/>
        <v>0.72999999999999987</v>
      </c>
      <c r="BQ97" s="55">
        <f t="shared" si="558"/>
        <v>0.70999999999999985</v>
      </c>
      <c r="BR97" s="55">
        <f t="shared" si="558"/>
        <v>0.68999999999999984</v>
      </c>
      <c r="BS97" s="55">
        <f t="shared" si="558"/>
        <v>0.66999999999999982</v>
      </c>
      <c r="BT97" s="55">
        <f t="shared" si="558"/>
        <v>0.6499999999999998</v>
      </c>
      <c r="BU97" s="55">
        <f t="shared" si="558"/>
        <v>0.62999999999999978</v>
      </c>
      <c r="BV97" s="55">
        <f t="shared" si="558"/>
        <v>0.60999999999999976</v>
      </c>
      <c r="BW97" s="55">
        <f t="shared" si="558"/>
        <v>0.58999999999999975</v>
      </c>
      <c r="BX97" s="55">
        <f t="shared" si="558"/>
        <v>0.56999999999999973</v>
      </c>
      <c r="BZ97" s="55">
        <f t="shared" si="508"/>
        <v>0</v>
      </c>
      <c r="CA97" s="55">
        <f t="shared" si="509"/>
        <v>0</v>
      </c>
      <c r="CB97" s="59">
        <f t="shared" si="559"/>
        <v>0</v>
      </c>
      <c r="CC97" s="55">
        <f t="shared" si="560"/>
        <v>0</v>
      </c>
      <c r="CD97" s="59">
        <f t="shared" si="561"/>
        <v>0</v>
      </c>
      <c r="CE97" s="55">
        <f t="shared" si="562"/>
        <v>0</v>
      </c>
      <c r="CF97" s="59">
        <f t="shared" si="563"/>
        <v>0</v>
      </c>
      <c r="CG97" s="55">
        <f t="shared" si="564"/>
        <v>0</v>
      </c>
      <c r="CH97" s="59">
        <f t="shared" si="565"/>
        <v>0</v>
      </c>
      <c r="CI97" s="57">
        <f t="shared" si="566"/>
        <v>0</v>
      </c>
      <c r="CJ97" s="59">
        <f t="shared" si="567"/>
        <v>0</v>
      </c>
      <c r="CK97" s="55">
        <f t="shared" si="568"/>
        <v>0</v>
      </c>
      <c r="CL97" s="59">
        <f t="shared" si="569"/>
        <v>0</v>
      </c>
      <c r="CM97" s="57">
        <f t="shared" si="570"/>
        <v>0</v>
      </c>
      <c r="CN97" s="59">
        <f t="shared" si="571"/>
        <v>0</v>
      </c>
      <c r="CO97" s="60">
        <f t="shared" si="572"/>
        <v>0</v>
      </c>
      <c r="CP97" s="59">
        <f t="shared" si="573"/>
        <v>0</v>
      </c>
      <c r="CQ97" s="57">
        <f t="shared" si="574"/>
        <v>0</v>
      </c>
      <c r="CR97" s="59">
        <f t="shared" si="575"/>
        <v>0</v>
      </c>
      <c r="CS97" s="55">
        <f t="shared" si="576"/>
        <v>0</v>
      </c>
      <c r="CT97" s="59">
        <f t="shared" si="577"/>
        <v>0</v>
      </c>
      <c r="CU97" s="60">
        <f t="shared" si="578"/>
        <v>0</v>
      </c>
      <c r="CV97" s="59">
        <f t="shared" si="579"/>
        <v>0</v>
      </c>
      <c r="CW97" s="60">
        <f t="shared" si="580"/>
        <v>0</v>
      </c>
      <c r="CX97" s="59">
        <f t="shared" si="581"/>
        <v>0</v>
      </c>
      <c r="CY97" s="60">
        <f t="shared" si="582"/>
        <v>0</v>
      </c>
      <c r="CZ97" s="59">
        <f t="shared" si="583"/>
        <v>0</v>
      </c>
      <c r="DA97" s="55">
        <f t="shared" si="584"/>
        <v>0</v>
      </c>
      <c r="DB97" s="59">
        <f t="shared" si="585"/>
        <v>0</v>
      </c>
      <c r="DC97" s="60">
        <f t="shared" si="586"/>
        <v>0</v>
      </c>
      <c r="DD97" s="59">
        <f t="shared" si="587"/>
        <v>0</v>
      </c>
      <c r="DE97" s="60">
        <f t="shared" si="588"/>
        <v>0</v>
      </c>
      <c r="DF97" s="59">
        <f t="shared" si="589"/>
        <v>0</v>
      </c>
      <c r="DG97" s="60">
        <f t="shared" si="590"/>
        <v>0</v>
      </c>
      <c r="DH97" s="59">
        <f t="shared" si="591"/>
        <v>0</v>
      </c>
      <c r="DI97" s="60">
        <f t="shared" si="592"/>
        <v>0</v>
      </c>
      <c r="DJ97" s="59">
        <f t="shared" si="593"/>
        <v>0</v>
      </c>
      <c r="DK97" s="55">
        <f t="shared" si="594"/>
        <v>0</v>
      </c>
      <c r="DL97" s="59">
        <f t="shared" si="595"/>
        <v>0</v>
      </c>
      <c r="DM97" s="60">
        <f t="shared" si="596"/>
        <v>0</v>
      </c>
      <c r="DN97" s="59">
        <f t="shared" si="597"/>
        <v>0</v>
      </c>
      <c r="DO97" s="60">
        <f t="shared" si="598"/>
        <v>0</v>
      </c>
      <c r="DP97" s="59">
        <f t="shared" si="599"/>
        <v>0</v>
      </c>
      <c r="DQ97" s="55">
        <f t="shared" si="600"/>
        <v>0</v>
      </c>
      <c r="DR97" s="59">
        <f t="shared" si="601"/>
        <v>0</v>
      </c>
      <c r="DU97" s="55">
        <v>1</v>
      </c>
      <c r="DV97" s="55">
        <v>0.97</v>
      </c>
      <c r="DW97" s="55">
        <v>0.95</v>
      </c>
      <c r="DX97" s="55">
        <v>0.93</v>
      </c>
      <c r="DY97" s="55">
        <f t="shared" si="647"/>
        <v>0.91</v>
      </c>
      <c r="DZ97" s="55">
        <f t="shared" si="647"/>
        <v>0.89</v>
      </c>
      <c r="EA97" s="55">
        <f t="shared" si="647"/>
        <v>0.87</v>
      </c>
      <c r="EB97" s="55">
        <f t="shared" si="647"/>
        <v>0.85</v>
      </c>
      <c r="EC97" s="55">
        <f t="shared" si="647"/>
        <v>0.83</v>
      </c>
      <c r="ED97" s="55">
        <f t="shared" si="647"/>
        <v>0.80999999999999994</v>
      </c>
      <c r="EE97" s="55">
        <f t="shared" si="647"/>
        <v>0.78999999999999992</v>
      </c>
      <c r="EF97" s="55">
        <f t="shared" si="647"/>
        <v>0.76999999999999991</v>
      </c>
      <c r="EG97" s="55">
        <f t="shared" si="647"/>
        <v>0.74999999999999989</v>
      </c>
      <c r="EH97" s="55">
        <f t="shared" si="647"/>
        <v>0.72999999999999987</v>
      </c>
      <c r="EI97" s="55">
        <f t="shared" si="647"/>
        <v>0.70999999999999985</v>
      </c>
      <c r="EJ97" s="55">
        <f t="shared" si="647"/>
        <v>0.68999999999999984</v>
      </c>
      <c r="EK97" s="55">
        <f t="shared" si="647"/>
        <v>0.66999999999999982</v>
      </c>
      <c r="EL97" s="55">
        <f t="shared" si="647"/>
        <v>0.6499999999999998</v>
      </c>
      <c r="EM97" s="55">
        <f t="shared" si="647"/>
        <v>0.62999999999999978</v>
      </c>
      <c r="EN97" s="55">
        <f t="shared" si="647"/>
        <v>0.60999999999999976</v>
      </c>
      <c r="EO97" s="55">
        <f t="shared" si="647"/>
        <v>0.58999999999999975</v>
      </c>
      <c r="EP97" s="55">
        <f t="shared" si="647"/>
        <v>0.56999999999999973</v>
      </c>
      <c r="ER97" s="55">
        <f t="shared" si="648"/>
        <v>0</v>
      </c>
      <c r="ES97" s="55">
        <f t="shared" si="510"/>
        <v>0</v>
      </c>
      <c r="ET97" s="59">
        <f t="shared" si="602"/>
        <v>0</v>
      </c>
      <c r="EU97" s="55">
        <f t="shared" si="603"/>
        <v>0</v>
      </c>
      <c r="EV97" s="59">
        <f t="shared" si="604"/>
        <v>0</v>
      </c>
      <c r="EW97" s="55">
        <f t="shared" si="605"/>
        <v>0</v>
      </c>
      <c r="EX97" s="59">
        <f t="shared" si="606"/>
        <v>0</v>
      </c>
      <c r="EY97" s="55">
        <f t="shared" si="607"/>
        <v>0</v>
      </c>
      <c r="EZ97" s="59">
        <f t="shared" si="608"/>
        <v>0</v>
      </c>
      <c r="FA97" s="57">
        <f t="shared" si="609"/>
        <v>0</v>
      </c>
      <c r="FB97" s="59">
        <f t="shared" si="610"/>
        <v>0</v>
      </c>
      <c r="FC97" s="55">
        <f t="shared" si="611"/>
        <v>0</v>
      </c>
      <c r="FD97" s="59">
        <f t="shared" si="612"/>
        <v>0</v>
      </c>
      <c r="FE97" s="57">
        <f t="shared" si="613"/>
        <v>0</v>
      </c>
      <c r="FF97" s="59">
        <f t="shared" si="614"/>
        <v>0</v>
      </c>
      <c r="FG97" s="60">
        <f t="shared" si="615"/>
        <v>0</v>
      </c>
      <c r="FH97" s="59">
        <f t="shared" si="616"/>
        <v>0</v>
      </c>
      <c r="FI97" s="57">
        <f t="shared" si="617"/>
        <v>0</v>
      </c>
      <c r="FJ97" s="59">
        <f t="shared" si="618"/>
        <v>0</v>
      </c>
      <c r="FK97" s="55">
        <f t="shared" si="619"/>
        <v>0</v>
      </c>
      <c r="FL97" s="59">
        <f t="shared" si="620"/>
        <v>0</v>
      </c>
      <c r="FM97" s="60">
        <f t="shared" si="621"/>
        <v>0</v>
      </c>
      <c r="FN97" s="59">
        <f t="shared" si="622"/>
        <v>0</v>
      </c>
      <c r="FO97" s="60">
        <f t="shared" si="623"/>
        <v>0</v>
      </c>
      <c r="FP97" s="59">
        <f t="shared" si="624"/>
        <v>0</v>
      </c>
      <c r="FQ97" s="60">
        <f t="shared" si="625"/>
        <v>0</v>
      </c>
      <c r="FR97" s="59">
        <f t="shared" si="626"/>
        <v>0</v>
      </c>
      <c r="FS97" s="55">
        <f t="shared" si="627"/>
        <v>0</v>
      </c>
      <c r="FT97" s="59">
        <f t="shared" si="628"/>
        <v>0</v>
      </c>
      <c r="FU97" s="60">
        <f t="shared" si="629"/>
        <v>0</v>
      </c>
      <c r="FV97" s="59">
        <f t="shared" si="630"/>
        <v>0</v>
      </c>
      <c r="FW97" s="60">
        <f t="shared" si="631"/>
        <v>0</v>
      </c>
      <c r="FX97" s="59">
        <f t="shared" si="632"/>
        <v>0</v>
      </c>
      <c r="FY97" s="60">
        <f t="shared" si="633"/>
        <v>0</v>
      </c>
      <c r="FZ97" s="59">
        <f t="shared" si="634"/>
        <v>0</v>
      </c>
      <c r="GA97" s="60">
        <f t="shared" si="635"/>
        <v>0</v>
      </c>
      <c r="GB97" s="59">
        <f t="shared" si="636"/>
        <v>0</v>
      </c>
      <c r="GC97" s="55">
        <f t="shared" si="637"/>
        <v>0</v>
      </c>
      <c r="GD97" s="59">
        <f t="shared" si="638"/>
        <v>0</v>
      </c>
      <c r="GE97" s="60">
        <f t="shared" si="639"/>
        <v>0</v>
      </c>
      <c r="GF97" s="59">
        <f t="shared" si="640"/>
        <v>0</v>
      </c>
      <c r="GG97" s="60">
        <f t="shared" si="641"/>
        <v>0</v>
      </c>
      <c r="GH97" s="59">
        <f t="shared" si="642"/>
        <v>0</v>
      </c>
      <c r="GI97" s="55">
        <f t="shared" si="643"/>
        <v>0</v>
      </c>
      <c r="GJ97" s="59">
        <f t="shared" si="644"/>
        <v>0</v>
      </c>
      <c r="GK97" s="55"/>
      <c r="GL97" s="55"/>
      <c r="GM97" s="55">
        <v>1</v>
      </c>
      <c r="GN97" s="55">
        <v>0.97</v>
      </c>
      <c r="GO97" s="55">
        <v>0.95</v>
      </c>
      <c r="GP97" s="55">
        <v>0.93</v>
      </c>
      <c r="GQ97" s="55">
        <f t="shared" si="649"/>
        <v>0.91</v>
      </c>
      <c r="GR97" s="55">
        <f t="shared" si="649"/>
        <v>0.89</v>
      </c>
      <c r="GS97" s="55">
        <f t="shared" si="649"/>
        <v>0.87</v>
      </c>
      <c r="GT97" s="55">
        <f t="shared" si="649"/>
        <v>0.85</v>
      </c>
      <c r="GU97" s="55">
        <f t="shared" si="649"/>
        <v>0.83</v>
      </c>
      <c r="GV97" s="55">
        <f t="shared" si="649"/>
        <v>0.80999999999999994</v>
      </c>
      <c r="GW97" s="55">
        <f t="shared" si="649"/>
        <v>0.78999999999999992</v>
      </c>
      <c r="GX97" s="55">
        <f t="shared" si="649"/>
        <v>0.76999999999999991</v>
      </c>
      <c r="GY97" s="55">
        <f t="shared" si="649"/>
        <v>0.74999999999999989</v>
      </c>
      <c r="GZ97" s="55">
        <f t="shared" si="649"/>
        <v>0.72999999999999987</v>
      </c>
      <c r="HA97" s="55">
        <f t="shared" si="649"/>
        <v>0.70999999999999985</v>
      </c>
      <c r="HB97" s="55">
        <f t="shared" si="649"/>
        <v>0.68999999999999984</v>
      </c>
      <c r="HC97" s="55">
        <f t="shared" si="649"/>
        <v>0.66999999999999982</v>
      </c>
      <c r="HD97" s="55">
        <f t="shared" si="649"/>
        <v>0.6499999999999998</v>
      </c>
      <c r="HE97" s="55">
        <f t="shared" si="649"/>
        <v>0.62999999999999978</v>
      </c>
      <c r="HF97" s="55">
        <f t="shared" si="649"/>
        <v>0.60999999999999976</v>
      </c>
      <c r="HG97" s="55">
        <f t="shared" si="649"/>
        <v>0.58999999999999975</v>
      </c>
      <c r="HH97" s="55">
        <f t="shared" si="649"/>
        <v>0.56999999999999973</v>
      </c>
    </row>
    <row r="98" spans="1:216" x14ac:dyDescent="0.3">
      <c r="A98" s="2">
        <v>7</v>
      </c>
      <c r="C98" s="38" t="s">
        <v>45</v>
      </c>
      <c r="D98" s="42">
        <v>0</v>
      </c>
      <c r="E98" s="71">
        <f t="shared" si="515"/>
        <v>0</v>
      </c>
      <c r="H98" s="55">
        <f t="shared" si="505"/>
        <v>0</v>
      </c>
      <c r="I98" s="55">
        <f t="shared" si="506"/>
        <v>0</v>
      </c>
      <c r="J98" s="59">
        <f t="shared" si="507"/>
        <v>0</v>
      </c>
      <c r="K98" s="55">
        <f t="shared" si="516"/>
        <v>0</v>
      </c>
      <c r="L98" s="59">
        <f t="shared" si="517"/>
        <v>0</v>
      </c>
      <c r="M98" s="55">
        <f t="shared" si="518"/>
        <v>0</v>
      </c>
      <c r="N98" s="59">
        <f t="shared" si="519"/>
        <v>0</v>
      </c>
      <c r="O98" s="55">
        <f t="shared" si="520"/>
        <v>0</v>
      </c>
      <c r="P98" s="59">
        <f t="shared" si="521"/>
        <v>0</v>
      </c>
      <c r="Q98" s="57">
        <f t="shared" si="522"/>
        <v>0</v>
      </c>
      <c r="R98" s="59">
        <f t="shared" si="523"/>
        <v>0</v>
      </c>
      <c r="S98" s="55">
        <f t="shared" si="524"/>
        <v>0</v>
      </c>
      <c r="T98" s="59">
        <f t="shared" si="525"/>
        <v>0</v>
      </c>
      <c r="U98" s="57">
        <f t="shared" si="526"/>
        <v>0</v>
      </c>
      <c r="V98" s="59">
        <f t="shared" si="527"/>
        <v>0</v>
      </c>
      <c r="W98" s="60">
        <f t="shared" si="528"/>
        <v>0</v>
      </c>
      <c r="X98" s="59">
        <f t="shared" si="529"/>
        <v>0</v>
      </c>
      <c r="Y98" s="57">
        <f t="shared" si="530"/>
        <v>0</v>
      </c>
      <c r="Z98" s="59">
        <f t="shared" si="531"/>
        <v>0</v>
      </c>
      <c r="AA98" s="55">
        <f t="shared" si="532"/>
        <v>0</v>
      </c>
      <c r="AB98" s="59">
        <f t="shared" si="533"/>
        <v>0</v>
      </c>
      <c r="AC98" s="60">
        <f t="shared" si="534"/>
        <v>0</v>
      </c>
      <c r="AD98" s="59">
        <f t="shared" si="535"/>
        <v>0</v>
      </c>
      <c r="AE98" s="60">
        <f t="shared" si="536"/>
        <v>0</v>
      </c>
      <c r="AF98" s="59">
        <f t="shared" si="537"/>
        <v>0</v>
      </c>
      <c r="AG98" s="60">
        <f t="shared" si="538"/>
        <v>0</v>
      </c>
      <c r="AH98" s="59">
        <f t="shared" si="539"/>
        <v>0</v>
      </c>
      <c r="AI98" s="55">
        <f t="shared" si="540"/>
        <v>0</v>
      </c>
      <c r="AJ98" s="59">
        <f t="shared" si="541"/>
        <v>0</v>
      </c>
      <c r="AK98" s="60">
        <f t="shared" si="542"/>
        <v>0</v>
      </c>
      <c r="AL98" s="59">
        <f t="shared" si="543"/>
        <v>0</v>
      </c>
      <c r="AM98" s="60">
        <f t="shared" si="544"/>
        <v>0</v>
      </c>
      <c r="AN98" s="59">
        <f t="shared" si="545"/>
        <v>0</v>
      </c>
      <c r="AO98" s="60">
        <f t="shared" si="546"/>
        <v>0</v>
      </c>
      <c r="AP98" s="59">
        <f t="shared" si="547"/>
        <v>0</v>
      </c>
      <c r="AQ98" s="60">
        <f t="shared" si="548"/>
        <v>0</v>
      </c>
      <c r="AR98" s="59">
        <f t="shared" si="549"/>
        <v>0</v>
      </c>
      <c r="AS98" s="55">
        <f t="shared" si="550"/>
        <v>0</v>
      </c>
      <c r="AT98" s="59">
        <f t="shared" si="551"/>
        <v>0</v>
      </c>
      <c r="AU98" s="60">
        <f t="shared" si="552"/>
        <v>0</v>
      </c>
      <c r="AV98" s="59">
        <f t="shared" si="553"/>
        <v>0</v>
      </c>
      <c r="AW98" s="60">
        <f t="shared" si="554"/>
        <v>0</v>
      </c>
      <c r="AX98" s="59">
        <f t="shared" si="555"/>
        <v>0</v>
      </c>
      <c r="AY98" s="55">
        <f t="shared" si="556"/>
        <v>0</v>
      </c>
      <c r="AZ98" s="59">
        <f t="shared" si="557"/>
        <v>0</v>
      </c>
      <c r="BC98" s="55">
        <v>1</v>
      </c>
      <c r="BD98" s="55">
        <v>0.97</v>
      </c>
      <c r="BE98" s="55">
        <v>0.95</v>
      </c>
      <c r="BF98" s="55">
        <v>0.93</v>
      </c>
      <c r="BG98" s="55">
        <f t="shared" si="558"/>
        <v>0.91</v>
      </c>
      <c r="BH98" s="55">
        <f t="shared" si="558"/>
        <v>0.89</v>
      </c>
      <c r="BI98" s="55">
        <f t="shared" si="558"/>
        <v>0.87</v>
      </c>
      <c r="BJ98" s="55">
        <f t="shared" si="558"/>
        <v>0.85</v>
      </c>
      <c r="BK98" s="55">
        <f t="shared" si="558"/>
        <v>0.83</v>
      </c>
      <c r="BL98" s="55">
        <f t="shared" si="558"/>
        <v>0.80999999999999994</v>
      </c>
      <c r="BM98" s="55">
        <f t="shared" si="558"/>
        <v>0.78999999999999992</v>
      </c>
      <c r="BN98" s="55">
        <f t="shared" si="558"/>
        <v>0.76999999999999991</v>
      </c>
      <c r="BO98" s="55">
        <f t="shared" si="558"/>
        <v>0.74999999999999989</v>
      </c>
      <c r="BP98" s="55">
        <f t="shared" si="558"/>
        <v>0.72999999999999987</v>
      </c>
      <c r="BQ98" s="55">
        <f t="shared" si="558"/>
        <v>0.70999999999999985</v>
      </c>
      <c r="BR98" s="55">
        <f t="shared" si="558"/>
        <v>0.68999999999999984</v>
      </c>
      <c r="BS98" s="55">
        <f t="shared" si="558"/>
        <v>0.66999999999999982</v>
      </c>
      <c r="BT98" s="55">
        <f t="shared" si="558"/>
        <v>0.6499999999999998</v>
      </c>
      <c r="BU98" s="55">
        <f t="shared" si="558"/>
        <v>0.62999999999999978</v>
      </c>
      <c r="BV98" s="55">
        <f t="shared" si="558"/>
        <v>0.60999999999999976</v>
      </c>
      <c r="BW98" s="55">
        <f t="shared" si="558"/>
        <v>0.58999999999999975</v>
      </c>
      <c r="BX98" s="55">
        <f t="shared" si="558"/>
        <v>0.56999999999999973</v>
      </c>
      <c r="BZ98" s="55">
        <f t="shared" si="508"/>
        <v>0</v>
      </c>
      <c r="CA98" s="55">
        <f t="shared" si="509"/>
        <v>0</v>
      </c>
      <c r="CB98" s="59">
        <f t="shared" si="559"/>
        <v>0</v>
      </c>
      <c r="CC98" s="55">
        <f t="shared" si="560"/>
        <v>0</v>
      </c>
      <c r="CD98" s="59">
        <f t="shared" si="561"/>
        <v>0</v>
      </c>
      <c r="CE98" s="55">
        <f t="shared" si="562"/>
        <v>0</v>
      </c>
      <c r="CF98" s="59">
        <f t="shared" si="563"/>
        <v>0</v>
      </c>
      <c r="CG98" s="55">
        <f t="shared" si="564"/>
        <v>0</v>
      </c>
      <c r="CH98" s="59">
        <f t="shared" si="565"/>
        <v>0</v>
      </c>
      <c r="CI98" s="57">
        <f t="shared" si="566"/>
        <v>0</v>
      </c>
      <c r="CJ98" s="59">
        <f t="shared" si="567"/>
        <v>0</v>
      </c>
      <c r="CK98" s="55">
        <f t="shared" si="568"/>
        <v>0</v>
      </c>
      <c r="CL98" s="59">
        <f t="shared" si="569"/>
        <v>0</v>
      </c>
      <c r="CM98" s="57">
        <f t="shared" si="570"/>
        <v>0</v>
      </c>
      <c r="CN98" s="59">
        <f t="shared" si="571"/>
        <v>0</v>
      </c>
      <c r="CO98" s="60">
        <f t="shared" si="572"/>
        <v>0</v>
      </c>
      <c r="CP98" s="59">
        <f t="shared" si="573"/>
        <v>0</v>
      </c>
      <c r="CQ98" s="57">
        <f t="shared" si="574"/>
        <v>0</v>
      </c>
      <c r="CR98" s="59">
        <f t="shared" si="575"/>
        <v>0</v>
      </c>
      <c r="CS98" s="55">
        <f t="shared" si="576"/>
        <v>0</v>
      </c>
      <c r="CT98" s="59">
        <f t="shared" si="577"/>
        <v>0</v>
      </c>
      <c r="CU98" s="60">
        <f t="shared" si="578"/>
        <v>0</v>
      </c>
      <c r="CV98" s="59">
        <f t="shared" si="579"/>
        <v>0</v>
      </c>
      <c r="CW98" s="60">
        <f t="shared" si="580"/>
        <v>0</v>
      </c>
      <c r="CX98" s="59">
        <f t="shared" si="581"/>
        <v>0</v>
      </c>
      <c r="CY98" s="60">
        <f t="shared" si="582"/>
        <v>0</v>
      </c>
      <c r="CZ98" s="59">
        <f t="shared" si="583"/>
        <v>0</v>
      </c>
      <c r="DA98" s="55">
        <f t="shared" si="584"/>
        <v>0</v>
      </c>
      <c r="DB98" s="59">
        <f t="shared" si="585"/>
        <v>0</v>
      </c>
      <c r="DC98" s="60">
        <f t="shared" si="586"/>
        <v>0</v>
      </c>
      <c r="DD98" s="59">
        <f t="shared" si="587"/>
        <v>0</v>
      </c>
      <c r="DE98" s="60">
        <f t="shared" si="588"/>
        <v>0</v>
      </c>
      <c r="DF98" s="59">
        <f t="shared" si="589"/>
        <v>0</v>
      </c>
      <c r="DG98" s="60">
        <f t="shared" si="590"/>
        <v>0</v>
      </c>
      <c r="DH98" s="59">
        <f t="shared" si="591"/>
        <v>0</v>
      </c>
      <c r="DI98" s="60">
        <f t="shared" si="592"/>
        <v>0</v>
      </c>
      <c r="DJ98" s="59">
        <f t="shared" si="593"/>
        <v>0</v>
      </c>
      <c r="DK98" s="55">
        <f t="shared" si="594"/>
        <v>0</v>
      </c>
      <c r="DL98" s="59">
        <f t="shared" si="595"/>
        <v>0</v>
      </c>
      <c r="DM98" s="60">
        <f t="shared" si="596"/>
        <v>0</v>
      </c>
      <c r="DN98" s="59">
        <f t="shared" si="597"/>
        <v>0</v>
      </c>
      <c r="DO98" s="60">
        <f t="shared" si="598"/>
        <v>0</v>
      </c>
      <c r="DP98" s="59">
        <f t="shared" si="599"/>
        <v>0</v>
      </c>
      <c r="DQ98" s="55">
        <f t="shared" si="600"/>
        <v>0</v>
      </c>
      <c r="DR98" s="59">
        <f t="shared" si="601"/>
        <v>0</v>
      </c>
      <c r="DU98" s="55">
        <v>1</v>
      </c>
      <c r="DV98" s="55">
        <v>0.97</v>
      </c>
      <c r="DW98" s="55">
        <v>0.95</v>
      </c>
      <c r="DX98" s="55">
        <v>0.93</v>
      </c>
      <c r="DY98" s="55">
        <f t="shared" si="647"/>
        <v>0.91</v>
      </c>
      <c r="DZ98" s="55">
        <f t="shared" si="647"/>
        <v>0.89</v>
      </c>
      <c r="EA98" s="55">
        <f t="shared" si="647"/>
        <v>0.87</v>
      </c>
      <c r="EB98" s="55">
        <f t="shared" si="647"/>
        <v>0.85</v>
      </c>
      <c r="EC98" s="55">
        <f t="shared" si="647"/>
        <v>0.83</v>
      </c>
      <c r="ED98" s="55">
        <f t="shared" si="647"/>
        <v>0.80999999999999994</v>
      </c>
      <c r="EE98" s="55">
        <f t="shared" si="647"/>
        <v>0.78999999999999992</v>
      </c>
      <c r="EF98" s="55">
        <f t="shared" si="647"/>
        <v>0.76999999999999991</v>
      </c>
      <c r="EG98" s="55">
        <f t="shared" si="647"/>
        <v>0.74999999999999989</v>
      </c>
      <c r="EH98" s="55">
        <f t="shared" si="647"/>
        <v>0.72999999999999987</v>
      </c>
      <c r="EI98" s="55">
        <f t="shared" si="647"/>
        <v>0.70999999999999985</v>
      </c>
      <c r="EJ98" s="55">
        <f t="shared" si="647"/>
        <v>0.68999999999999984</v>
      </c>
      <c r="EK98" s="55">
        <f t="shared" si="647"/>
        <v>0.66999999999999982</v>
      </c>
      <c r="EL98" s="55">
        <f t="shared" si="647"/>
        <v>0.6499999999999998</v>
      </c>
      <c r="EM98" s="55">
        <f t="shared" si="647"/>
        <v>0.62999999999999978</v>
      </c>
      <c r="EN98" s="55">
        <f t="shared" si="647"/>
        <v>0.60999999999999976</v>
      </c>
      <c r="EO98" s="55">
        <f t="shared" si="647"/>
        <v>0.58999999999999975</v>
      </c>
      <c r="EP98" s="55">
        <f t="shared" si="647"/>
        <v>0.56999999999999973</v>
      </c>
      <c r="ER98" s="55">
        <f t="shared" si="648"/>
        <v>0</v>
      </c>
      <c r="ES98" s="55">
        <f t="shared" si="510"/>
        <v>0</v>
      </c>
      <c r="ET98" s="59">
        <f t="shared" si="602"/>
        <v>0</v>
      </c>
      <c r="EU98" s="55">
        <f t="shared" si="603"/>
        <v>0</v>
      </c>
      <c r="EV98" s="59">
        <f t="shared" si="604"/>
        <v>0</v>
      </c>
      <c r="EW98" s="55">
        <f t="shared" si="605"/>
        <v>0</v>
      </c>
      <c r="EX98" s="59">
        <f t="shared" si="606"/>
        <v>0</v>
      </c>
      <c r="EY98" s="55">
        <f t="shared" si="607"/>
        <v>0</v>
      </c>
      <c r="EZ98" s="59">
        <f t="shared" si="608"/>
        <v>0</v>
      </c>
      <c r="FA98" s="57">
        <f t="shared" si="609"/>
        <v>0</v>
      </c>
      <c r="FB98" s="59">
        <f t="shared" si="610"/>
        <v>0</v>
      </c>
      <c r="FC98" s="55">
        <f t="shared" si="611"/>
        <v>0</v>
      </c>
      <c r="FD98" s="59">
        <f t="shared" si="612"/>
        <v>0</v>
      </c>
      <c r="FE98" s="57">
        <f t="shared" si="613"/>
        <v>0</v>
      </c>
      <c r="FF98" s="59">
        <f t="shared" si="614"/>
        <v>0</v>
      </c>
      <c r="FG98" s="60">
        <f t="shared" si="615"/>
        <v>0</v>
      </c>
      <c r="FH98" s="59">
        <f t="shared" si="616"/>
        <v>0</v>
      </c>
      <c r="FI98" s="57">
        <f t="shared" si="617"/>
        <v>0</v>
      </c>
      <c r="FJ98" s="59">
        <f t="shared" si="618"/>
        <v>0</v>
      </c>
      <c r="FK98" s="55">
        <f t="shared" si="619"/>
        <v>0</v>
      </c>
      <c r="FL98" s="59">
        <f t="shared" si="620"/>
        <v>0</v>
      </c>
      <c r="FM98" s="60">
        <f t="shared" si="621"/>
        <v>0</v>
      </c>
      <c r="FN98" s="59">
        <f t="shared" si="622"/>
        <v>0</v>
      </c>
      <c r="FO98" s="60">
        <f t="shared" si="623"/>
        <v>0</v>
      </c>
      <c r="FP98" s="59">
        <f t="shared" si="624"/>
        <v>0</v>
      </c>
      <c r="FQ98" s="60">
        <f t="shared" si="625"/>
        <v>0</v>
      </c>
      <c r="FR98" s="59">
        <f t="shared" si="626"/>
        <v>0</v>
      </c>
      <c r="FS98" s="55">
        <f t="shared" si="627"/>
        <v>0</v>
      </c>
      <c r="FT98" s="59">
        <f t="shared" si="628"/>
        <v>0</v>
      </c>
      <c r="FU98" s="60">
        <f t="shared" si="629"/>
        <v>0</v>
      </c>
      <c r="FV98" s="59">
        <f t="shared" si="630"/>
        <v>0</v>
      </c>
      <c r="FW98" s="60">
        <f t="shared" si="631"/>
        <v>0</v>
      </c>
      <c r="FX98" s="59">
        <f t="shared" si="632"/>
        <v>0</v>
      </c>
      <c r="FY98" s="60">
        <f t="shared" si="633"/>
        <v>0</v>
      </c>
      <c r="FZ98" s="59">
        <f t="shared" si="634"/>
        <v>0</v>
      </c>
      <c r="GA98" s="60">
        <f t="shared" si="635"/>
        <v>0</v>
      </c>
      <c r="GB98" s="59">
        <f t="shared" si="636"/>
        <v>0</v>
      </c>
      <c r="GC98" s="55">
        <f t="shared" si="637"/>
        <v>0</v>
      </c>
      <c r="GD98" s="59">
        <f t="shared" si="638"/>
        <v>0</v>
      </c>
      <c r="GE98" s="60">
        <f t="shared" si="639"/>
        <v>0</v>
      </c>
      <c r="GF98" s="59">
        <f t="shared" si="640"/>
        <v>0</v>
      </c>
      <c r="GG98" s="60">
        <f t="shared" si="641"/>
        <v>0</v>
      </c>
      <c r="GH98" s="59">
        <f t="shared" si="642"/>
        <v>0</v>
      </c>
      <c r="GI98" s="55">
        <f t="shared" si="643"/>
        <v>0</v>
      </c>
      <c r="GJ98" s="59">
        <f t="shared" si="644"/>
        <v>0</v>
      </c>
      <c r="GK98" s="55"/>
      <c r="GL98" s="55"/>
      <c r="GM98" s="55">
        <v>1</v>
      </c>
      <c r="GN98" s="55">
        <v>0.97</v>
      </c>
      <c r="GO98" s="55">
        <v>0.95</v>
      </c>
      <c r="GP98" s="55">
        <v>0.93</v>
      </c>
      <c r="GQ98" s="55">
        <f t="shared" si="649"/>
        <v>0.91</v>
      </c>
      <c r="GR98" s="55">
        <f t="shared" si="649"/>
        <v>0.89</v>
      </c>
      <c r="GS98" s="55">
        <f t="shared" si="649"/>
        <v>0.87</v>
      </c>
      <c r="GT98" s="55">
        <f t="shared" si="649"/>
        <v>0.85</v>
      </c>
      <c r="GU98" s="55">
        <f t="shared" si="649"/>
        <v>0.83</v>
      </c>
      <c r="GV98" s="55">
        <f t="shared" si="649"/>
        <v>0.80999999999999994</v>
      </c>
      <c r="GW98" s="55">
        <f t="shared" si="649"/>
        <v>0.78999999999999992</v>
      </c>
      <c r="GX98" s="55">
        <f t="shared" si="649"/>
        <v>0.76999999999999991</v>
      </c>
      <c r="GY98" s="55">
        <f t="shared" si="649"/>
        <v>0.74999999999999989</v>
      </c>
      <c r="GZ98" s="55">
        <f t="shared" si="649"/>
        <v>0.72999999999999987</v>
      </c>
      <c r="HA98" s="55">
        <f t="shared" si="649"/>
        <v>0.70999999999999985</v>
      </c>
      <c r="HB98" s="55">
        <f t="shared" si="649"/>
        <v>0.68999999999999984</v>
      </c>
      <c r="HC98" s="55">
        <f t="shared" si="649"/>
        <v>0.66999999999999982</v>
      </c>
      <c r="HD98" s="55">
        <f t="shared" si="649"/>
        <v>0.6499999999999998</v>
      </c>
      <c r="HE98" s="55">
        <f t="shared" si="649"/>
        <v>0.62999999999999978</v>
      </c>
      <c r="HF98" s="55">
        <f t="shared" si="649"/>
        <v>0.60999999999999976</v>
      </c>
      <c r="HG98" s="55">
        <f t="shared" si="649"/>
        <v>0.58999999999999975</v>
      </c>
      <c r="HH98" s="55">
        <f t="shared" si="649"/>
        <v>0.56999999999999973</v>
      </c>
    </row>
    <row r="99" spans="1:216" x14ac:dyDescent="0.3">
      <c r="A99" s="2">
        <v>8</v>
      </c>
      <c r="C99" s="38" t="s">
        <v>46</v>
      </c>
      <c r="D99" s="42">
        <f>TRUNC(4179.63754614168,-1)</f>
        <v>4170</v>
      </c>
      <c r="E99" s="71">
        <f t="shared" si="515"/>
        <v>13780</v>
      </c>
      <c r="F99" s="2" t="s">
        <v>311</v>
      </c>
      <c r="H99" s="55">
        <f t="shared" si="505"/>
        <v>15158.000000000002</v>
      </c>
      <c r="I99" s="55">
        <f t="shared" si="506"/>
        <v>15158.000000000002</v>
      </c>
      <c r="J99" s="59">
        <f t="shared" si="507"/>
        <v>50109.316400000011</v>
      </c>
      <c r="K99" s="55">
        <f t="shared" si="516"/>
        <v>14703.260000000002</v>
      </c>
      <c r="L99" s="59">
        <f t="shared" si="517"/>
        <v>48606.036908000009</v>
      </c>
      <c r="M99" s="55">
        <f t="shared" si="518"/>
        <v>14400.1</v>
      </c>
      <c r="N99" s="59">
        <f t="shared" si="519"/>
        <v>47603.850580000006</v>
      </c>
      <c r="O99" s="55">
        <f t="shared" si="520"/>
        <v>14096.940000000002</v>
      </c>
      <c r="P99" s="59">
        <f t="shared" si="521"/>
        <v>46601.66425200001</v>
      </c>
      <c r="Q99" s="57">
        <f t="shared" si="522"/>
        <v>13793.780000000002</v>
      </c>
      <c r="R99" s="59">
        <f t="shared" si="523"/>
        <v>45599.477924000006</v>
      </c>
      <c r="S99" s="55">
        <f t="shared" si="524"/>
        <v>13490.620000000003</v>
      </c>
      <c r="T99" s="59">
        <f t="shared" si="525"/>
        <v>44597.29159600001</v>
      </c>
      <c r="U99" s="57">
        <f t="shared" si="526"/>
        <v>13187.460000000001</v>
      </c>
      <c r="V99" s="59">
        <f t="shared" si="527"/>
        <v>43595.105268000007</v>
      </c>
      <c r="W99" s="60">
        <f t="shared" si="528"/>
        <v>12884.300000000001</v>
      </c>
      <c r="X99" s="59">
        <f t="shared" si="529"/>
        <v>42592.918940000003</v>
      </c>
      <c r="Y99" s="57">
        <f t="shared" si="530"/>
        <v>12581.140000000001</v>
      </c>
      <c r="Z99" s="59">
        <f t="shared" si="531"/>
        <v>41590.732612000007</v>
      </c>
      <c r="AA99" s="55">
        <f t="shared" si="532"/>
        <v>12277.980000000001</v>
      </c>
      <c r="AB99" s="59">
        <f t="shared" si="533"/>
        <v>40588.546284000004</v>
      </c>
      <c r="AC99" s="60">
        <f t="shared" si="534"/>
        <v>11974.82</v>
      </c>
      <c r="AD99" s="59">
        <f t="shared" si="535"/>
        <v>39586.359956</v>
      </c>
      <c r="AE99" s="60">
        <f t="shared" si="536"/>
        <v>11671.66</v>
      </c>
      <c r="AF99" s="59">
        <f t="shared" si="537"/>
        <v>38584.173627999997</v>
      </c>
      <c r="AG99" s="60">
        <f t="shared" si="538"/>
        <v>11368.5</v>
      </c>
      <c r="AH99" s="59">
        <f t="shared" si="539"/>
        <v>37581.987300000001</v>
      </c>
      <c r="AI99" s="55">
        <f t="shared" si="540"/>
        <v>11065.34</v>
      </c>
      <c r="AJ99" s="59">
        <f t="shared" si="541"/>
        <v>36579.800972000005</v>
      </c>
      <c r="AK99" s="60">
        <f t="shared" si="542"/>
        <v>10762.179999999998</v>
      </c>
      <c r="AL99" s="59">
        <f t="shared" si="543"/>
        <v>35577.614643999994</v>
      </c>
      <c r="AM99" s="60">
        <f t="shared" si="544"/>
        <v>10459.019999999999</v>
      </c>
      <c r="AN99" s="59">
        <f t="shared" si="545"/>
        <v>34575.428315999998</v>
      </c>
      <c r="AO99" s="60">
        <f t="shared" si="546"/>
        <v>10155.859999999999</v>
      </c>
      <c r="AP99" s="59">
        <f t="shared" si="547"/>
        <v>33573.241987999994</v>
      </c>
      <c r="AQ99" s="60">
        <f t="shared" si="548"/>
        <v>9852.6999999999989</v>
      </c>
      <c r="AR99" s="59">
        <f t="shared" si="549"/>
        <v>32571.055659999998</v>
      </c>
      <c r="AS99" s="55">
        <f t="shared" si="550"/>
        <v>9549.5399999999972</v>
      </c>
      <c r="AT99" s="59">
        <f t="shared" si="551"/>
        <v>31568.869331999991</v>
      </c>
      <c r="AU99" s="60">
        <f t="shared" si="552"/>
        <v>9246.3799999999974</v>
      </c>
      <c r="AV99" s="59">
        <f t="shared" si="553"/>
        <v>30566.683003999991</v>
      </c>
      <c r="AW99" s="60">
        <f t="shared" si="554"/>
        <v>8943.2199999999975</v>
      </c>
      <c r="AX99" s="59">
        <f t="shared" si="555"/>
        <v>29564.496675999992</v>
      </c>
      <c r="AY99" s="55">
        <f t="shared" si="556"/>
        <v>8640.0599999999977</v>
      </c>
      <c r="AZ99" s="59">
        <f t="shared" si="557"/>
        <v>28562.310347999992</v>
      </c>
      <c r="BC99" s="55">
        <v>1</v>
      </c>
      <c r="BD99" s="55">
        <v>0.97</v>
      </c>
      <c r="BE99" s="55">
        <v>0.95</v>
      </c>
      <c r="BF99" s="55">
        <v>0.93</v>
      </c>
      <c r="BG99" s="55">
        <f t="shared" si="558"/>
        <v>0.91</v>
      </c>
      <c r="BH99" s="55">
        <f t="shared" si="558"/>
        <v>0.89</v>
      </c>
      <c r="BI99" s="55">
        <f t="shared" si="558"/>
        <v>0.87</v>
      </c>
      <c r="BJ99" s="55">
        <f t="shared" si="558"/>
        <v>0.85</v>
      </c>
      <c r="BK99" s="55">
        <f t="shared" si="558"/>
        <v>0.83</v>
      </c>
      <c r="BL99" s="55">
        <f t="shared" si="558"/>
        <v>0.80999999999999994</v>
      </c>
      <c r="BM99" s="55">
        <f t="shared" si="558"/>
        <v>0.78999999999999992</v>
      </c>
      <c r="BN99" s="55">
        <f t="shared" si="558"/>
        <v>0.76999999999999991</v>
      </c>
      <c r="BO99" s="55">
        <f t="shared" si="558"/>
        <v>0.74999999999999989</v>
      </c>
      <c r="BP99" s="55">
        <f t="shared" si="558"/>
        <v>0.72999999999999987</v>
      </c>
      <c r="BQ99" s="55">
        <f t="shared" si="558"/>
        <v>0.70999999999999985</v>
      </c>
      <c r="BR99" s="55">
        <f t="shared" si="558"/>
        <v>0.68999999999999984</v>
      </c>
      <c r="BS99" s="55">
        <f t="shared" si="558"/>
        <v>0.66999999999999982</v>
      </c>
      <c r="BT99" s="55">
        <f t="shared" si="558"/>
        <v>0.6499999999999998</v>
      </c>
      <c r="BU99" s="55">
        <f t="shared" si="558"/>
        <v>0.62999999999999978</v>
      </c>
      <c r="BV99" s="55">
        <f t="shared" si="558"/>
        <v>0.60999999999999976</v>
      </c>
      <c r="BW99" s="55">
        <f t="shared" si="558"/>
        <v>0.58999999999999975</v>
      </c>
      <c r="BX99" s="55">
        <f t="shared" si="558"/>
        <v>0.56999999999999973</v>
      </c>
      <c r="BZ99" s="55">
        <f t="shared" si="508"/>
        <v>13793.780000000002</v>
      </c>
      <c r="CA99" s="55">
        <f t="shared" si="509"/>
        <v>13793.780000000002</v>
      </c>
      <c r="CB99" s="59">
        <f t="shared" si="559"/>
        <v>45599.477924000006</v>
      </c>
      <c r="CC99" s="55">
        <f t="shared" si="560"/>
        <v>13379.966600000002</v>
      </c>
      <c r="CD99" s="59">
        <f t="shared" si="561"/>
        <v>44231.493586280005</v>
      </c>
      <c r="CE99" s="55">
        <f t="shared" si="562"/>
        <v>13104.091000000002</v>
      </c>
      <c r="CF99" s="59">
        <f t="shared" si="563"/>
        <v>43319.504027800009</v>
      </c>
      <c r="CG99" s="55">
        <f t="shared" si="564"/>
        <v>12828.215400000003</v>
      </c>
      <c r="CH99" s="59">
        <f t="shared" si="565"/>
        <v>42407.514469320013</v>
      </c>
      <c r="CI99" s="57">
        <f t="shared" si="566"/>
        <v>12552.339800000003</v>
      </c>
      <c r="CJ99" s="59">
        <f t="shared" si="567"/>
        <v>41495.524910840009</v>
      </c>
      <c r="CK99" s="55">
        <f t="shared" si="568"/>
        <v>12276.464200000002</v>
      </c>
      <c r="CL99" s="59">
        <f t="shared" si="569"/>
        <v>40583.535352360006</v>
      </c>
      <c r="CM99" s="57">
        <f t="shared" si="570"/>
        <v>12000.588600000003</v>
      </c>
      <c r="CN99" s="59">
        <f t="shared" si="571"/>
        <v>39671.54579388001</v>
      </c>
      <c r="CO99" s="60">
        <f t="shared" si="572"/>
        <v>11724.713000000002</v>
      </c>
      <c r="CP99" s="59">
        <f t="shared" si="573"/>
        <v>38759.556235400007</v>
      </c>
      <c r="CQ99" s="57">
        <f t="shared" si="574"/>
        <v>11448.837400000002</v>
      </c>
      <c r="CR99" s="59">
        <f t="shared" si="575"/>
        <v>37847.566676920011</v>
      </c>
      <c r="CS99" s="55">
        <f t="shared" si="576"/>
        <v>11172.961800000001</v>
      </c>
      <c r="CT99" s="59">
        <f t="shared" si="577"/>
        <v>36935.577118440007</v>
      </c>
      <c r="CU99" s="60">
        <f t="shared" si="578"/>
        <v>10897.086200000002</v>
      </c>
      <c r="CV99" s="59">
        <f t="shared" si="579"/>
        <v>36023.587559960004</v>
      </c>
      <c r="CW99" s="60">
        <f t="shared" si="580"/>
        <v>10621.2106</v>
      </c>
      <c r="CX99" s="59">
        <f t="shared" si="581"/>
        <v>35111.598001480001</v>
      </c>
      <c r="CY99" s="60">
        <f t="shared" si="582"/>
        <v>10345.335000000001</v>
      </c>
      <c r="CZ99" s="59">
        <f t="shared" si="583"/>
        <v>34199.608443000005</v>
      </c>
      <c r="DA99" s="55">
        <f t="shared" si="584"/>
        <v>10069.4594</v>
      </c>
      <c r="DB99" s="59">
        <f t="shared" si="585"/>
        <v>33287.618884520001</v>
      </c>
      <c r="DC99" s="60">
        <f t="shared" si="586"/>
        <v>9793.5838000000003</v>
      </c>
      <c r="DD99" s="59">
        <f t="shared" si="587"/>
        <v>32375.629326040002</v>
      </c>
      <c r="DE99" s="60">
        <f t="shared" si="588"/>
        <v>9517.7081999999991</v>
      </c>
      <c r="DF99" s="59">
        <f t="shared" si="589"/>
        <v>31463.639767559998</v>
      </c>
      <c r="DG99" s="60">
        <f t="shared" si="590"/>
        <v>9241.8325999999997</v>
      </c>
      <c r="DH99" s="59">
        <f t="shared" si="591"/>
        <v>30551.650209079999</v>
      </c>
      <c r="DI99" s="60">
        <f t="shared" si="592"/>
        <v>8965.9569999999985</v>
      </c>
      <c r="DJ99" s="59">
        <f t="shared" si="593"/>
        <v>29639.660650599995</v>
      </c>
      <c r="DK99" s="55">
        <f t="shared" si="594"/>
        <v>8690.0813999999991</v>
      </c>
      <c r="DL99" s="59">
        <f t="shared" si="595"/>
        <v>28727.671092119999</v>
      </c>
      <c r="DM99" s="60">
        <f t="shared" si="596"/>
        <v>8414.2057999999979</v>
      </c>
      <c r="DN99" s="59">
        <f t="shared" si="597"/>
        <v>27815.681533639992</v>
      </c>
      <c r="DO99" s="60">
        <f t="shared" si="598"/>
        <v>8138.3301999999976</v>
      </c>
      <c r="DP99" s="59">
        <f t="shared" si="599"/>
        <v>26903.691975159993</v>
      </c>
      <c r="DQ99" s="55">
        <f t="shared" si="600"/>
        <v>7862.4545999999973</v>
      </c>
      <c r="DR99" s="59">
        <f t="shared" si="601"/>
        <v>25991.702416679993</v>
      </c>
      <c r="DU99" s="55">
        <v>1</v>
      </c>
      <c r="DV99" s="55">
        <v>0.97</v>
      </c>
      <c r="DW99" s="55">
        <v>0.95</v>
      </c>
      <c r="DX99" s="55">
        <v>0.93</v>
      </c>
      <c r="DY99" s="55">
        <f t="shared" si="647"/>
        <v>0.91</v>
      </c>
      <c r="DZ99" s="55">
        <f t="shared" si="647"/>
        <v>0.89</v>
      </c>
      <c r="EA99" s="55">
        <f t="shared" si="647"/>
        <v>0.87</v>
      </c>
      <c r="EB99" s="55">
        <f t="shared" si="647"/>
        <v>0.85</v>
      </c>
      <c r="EC99" s="55">
        <f t="shared" si="647"/>
        <v>0.83</v>
      </c>
      <c r="ED99" s="55">
        <f t="shared" si="647"/>
        <v>0.80999999999999994</v>
      </c>
      <c r="EE99" s="55">
        <f t="shared" si="647"/>
        <v>0.78999999999999992</v>
      </c>
      <c r="EF99" s="55">
        <f t="shared" si="647"/>
        <v>0.76999999999999991</v>
      </c>
      <c r="EG99" s="55">
        <f t="shared" si="647"/>
        <v>0.74999999999999989</v>
      </c>
      <c r="EH99" s="55">
        <f t="shared" si="647"/>
        <v>0.72999999999999987</v>
      </c>
      <c r="EI99" s="55">
        <f t="shared" si="647"/>
        <v>0.70999999999999985</v>
      </c>
      <c r="EJ99" s="55">
        <f t="shared" si="647"/>
        <v>0.68999999999999984</v>
      </c>
      <c r="EK99" s="55">
        <f t="shared" si="647"/>
        <v>0.66999999999999982</v>
      </c>
      <c r="EL99" s="55">
        <f t="shared" si="647"/>
        <v>0.6499999999999998</v>
      </c>
      <c r="EM99" s="55">
        <f t="shared" si="647"/>
        <v>0.62999999999999978</v>
      </c>
      <c r="EN99" s="55">
        <f t="shared" si="647"/>
        <v>0.60999999999999976</v>
      </c>
      <c r="EO99" s="55">
        <f t="shared" si="647"/>
        <v>0.58999999999999975</v>
      </c>
      <c r="EP99" s="55">
        <f t="shared" si="647"/>
        <v>0.56999999999999973</v>
      </c>
      <c r="ER99" s="55">
        <f t="shared" si="648"/>
        <v>12552.339800000003</v>
      </c>
      <c r="ES99" s="55">
        <f t="shared" si="510"/>
        <v>12552.339800000003</v>
      </c>
      <c r="ET99" s="59">
        <f t="shared" si="602"/>
        <v>41495.524910840009</v>
      </c>
      <c r="EU99" s="55">
        <f t="shared" si="603"/>
        <v>12175.769606000003</v>
      </c>
      <c r="EV99" s="59">
        <f t="shared" si="604"/>
        <v>40250.659163514814</v>
      </c>
      <c r="EW99" s="55">
        <f t="shared" si="605"/>
        <v>11924.722810000003</v>
      </c>
      <c r="EX99" s="59">
        <f t="shared" si="606"/>
        <v>39420.748665298008</v>
      </c>
      <c r="EY99" s="55">
        <f t="shared" si="607"/>
        <v>11673.676014000004</v>
      </c>
      <c r="EZ99" s="59">
        <f t="shared" si="608"/>
        <v>38590.838167081216</v>
      </c>
      <c r="FA99" s="57">
        <f t="shared" si="609"/>
        <v>11422.629218000004</v>
      </c>
      <c r="FB99" s="59">
        <f t="shared" si="610"/>
        <v>37760.927668864409</v>
      </c>
      <c r="FC99" s="55">
        <f t="shared" si="611"/>
        <v>11171.582422000003</v>
      </c>
      <c r="FD99" s="59">
        <f t="shared" si="612"/>
        <v>36931.01717064761</v>
      </c>
      <c r="FE99" s="57">
        <f t="shared" si="613"/>
        <v>10920.535626000003</v>
      </c>
      <c r="FF99" s="59">
        <f t="shared" si="614"/>
        <v>36101.106672430811</v>
      </c>
      <c r="FG99" s="60">
        <f t="shared" si="615"/>
        <v>10669.488830000002</v>
      </c>
      <c r="FH99" s="59">
        <f t="shared" si="616"/>
        <v>35271.196174214005</v>
      </c>
      <c r="FI99" s="57">
        <f t="shared" si="617"/>
        <v>10418.442034000002</v>
      </c>
      <c r="FJ99" s="59">
        <f t="shared" si="618"/>
        <v>34441.285675997206</v>
      </c>
      <c r="FK99" s="55">
        <f t="shared" si="619"/>
        <v>10167.395238000003</v>
      </c>
      <c r="FL99" s="59">
        <f t="shared" si="620"/>
        <v>33611.375177780406</v>
      </c>
      <c r="FM99" s="60">
        <f t="shared" si="621"/>
        <v>9916.3484420000023</v>
      </c>
      <c r="FN99" s="59">
        <f t="shared" si="622"/>
        <v>32781.464679563607</v>
      </c>
      <c r="FO99" s="60">
        <f t="shared" si="623"/>
        <v>9665.3016460000017</v>
      </c>
      <c r="FP99" s="59">
        <f t="shared" si="624"/>
        <v>31951.554181346808</v>
      </c>
      <c r="FQ99" s="60">
        <f t="shared" si="625"/>
        <v>9414.2548500000012</v>
      </c>
      <c r="FR99" s="59">
        <f t="shared" si="626"/>
        <v>31121.643683130005</v>
      </c>
      <c r="FS99" s="55">
        <f t="shared" si="627"/>
        <v>9163.2080540000006</v>
      </c>
      <c r="FT99" s="59">
        <f t="shared" si="628"/>
        <v>30291.733184913202</v>
      </c>
      <c r="FU99" s="60">
        <f t="shared" si="629"/>
        <v>8912.1612580000001</v>
      </c>
      <c r="FV99" s="59">
        <f t="shared" si="630"/>
        <v>29461.8226866964</v>
      </c>
      <c r="FW99" s="60">
        <f t="shared" si="631"/>
        <v>8661.1144619999995</v>
      </c>
      <c r="FX99" s="59">
        <f t="shared" si="632"/>
        <v>28631.9121884796</v>
      </c>
      <c r="FY99" s="60">
        <f t="shared" si="633"/>
        <v>8410.0676660000008</v>
      </c>
      <c r="FZ99" s="59">
        <f t="shared" si="634"/>
        <v>27802.001690262805</v>
      </c>
      <c r="GA99" s="60">
        <f t="shared" si="635"/>
        <v>8159.0208699999994</v>
      </c>
      <c r="GB99" s="59">
        <f t="shared" si="636"/>
        <v>26972.091192045998</v>
      </c>
      <c r="GC99" s="55">
        <f t="shared" si="637"/>
        <v>7907.9740739999997</v>
      </c>
      <c r="GD99" s="59">
        <f t="shared" si="638"/>
        <v>26142.180693829199</v>
      </c>
      <c r="GE99" s="60">
        <f t="shared" si="639"/>
        <v>7656.9272779999992</v>
      </c>
      <c r="GF99" s="59">
        <f t="shared" si="640"/>
        <v>25312.270195612396</v>
      </c>
      <c r="GG99" s="60">
        <f t="shared" si="641"/>
        <v>7405.8804819999987</v>
      </c>
      <c r="GH99" s="59">
        <f t="shared" si="642"/>
        <v>24482.359697395597</v>
      </c>
      <c r="GI99" s="55">
        <f t="shared" si="643"/>
        <v>7154.8336859999981</v>
      </c>
      <c r="GJ99" s="59">
        <f t="shared" si="644"/>
        <v>23652.449199178795</v>
      </c>
      <c r="GK99" s="55"/>
      <c r="GL99" s="55"/>
      <c r="GM99" s="55">
        <v>1</v>
      </c>
      <c r="GN99" s="55">
        <v>0.97</v>
      </c>
      <c r="GO99" s="55">
        <v>0.95</v>
      </c>
      <c r="GP99" s="55">
        <v>0.93</v>
      </c>
      <c r="GQ99" s="55">
        <f t="shared" si="649"/>
        <v>0.91</v>
      </c>
      <c r="GR99" s="55">
        <f t="shared" si="649"/>
        <v>0.89</v>
      </c>
      <c r="GS99" s="55">
        <f t="shared" si="649"/>
        <v>0.87</v>
      </c>
      <c r="GT99" s="55">
        <f t="shared" si="649"/>
        <v>0.85</v>
      </c>
      <c r="GU99" s="55">
        <f t="shared" si="649"/>
        <v>0.83</v>
      </c>
      <c r="GV99" s="55">
        <f t="shared" si="649"/>
        <v>0.80999999999999994</v>
      </c>
      <c r="GW99" s="55">
        <f t="shared" si="649"/>
        <v>0.78999999999999992</v>
      </c>
      <c r="GX99" s="55">
        <f t="shared" si="649"/>
        <v>0.76999999999999991</v>
      </c>
      <c r="GY99" s="55">
        <f t="shared" si="649"/>
        <v>0.74999999999999989</v>
      </c>
      <c r="GZ99" s="55">
        <f t="shared" si="649"/>
        <v>0.72999999999999987</v>
      </c>
      <c r="HA99" s="55">
        <f t="shared" si="649"/>
        <v>0.70999999999999985</v>
      </c>
      <c r="HB99" s="55">
        <f t="shared" si="649"/>
        <v>0.68999999999999984</v>
      </c>
      <c r="HC99" s="55">
        <f t="shared" si="649"/>
        <v>0.66999999999999982</v>
      </c>
      <c r="HD99" s="55">
        <f t="shared" si="649"/>
        <v>0.6499999999999998</v>
      </c>
      <c r="HE99" s="55">
        <f t="shared" si="649"/>
        <v>0.62999999999999978</v>
      </c>
      <c r="HF99" s="55">
        <f t="shared" si="649"/>
        <v>0.60999999999999976</v>
      </c>
      <c r="HG99" s="55">
        <f t="shared" si="649"/>
        <v>0.58999999999999975</v>
      </c>
      <c r="HH99" s="55">
        <f t="shared" si="649"/>
        <v>0.56999999999999973</v>
      </c>
    </row>
    <row r="100" spans="1:216" x14ac:dyDescent="0.3">
      <c r="A100" s="2">
        <v>9</v>
      </c>
      <c r="C100" s="38" t="s">
        <v>136</v>
      </c>
      <c r="D100" s="42">
        <v>0</v>
      </c>
      <c r="E100" s="71">
        <f t="shared" si="515"/>
        <v>0</v>
      </c>
      <c r="H100" s="55">
        <f t="shared" si="505"/>
        <v>0</v>
      </c>
      <c r="I100" s="55">
        <f t="shared" si="506"/>
        <v>0</v>
      </c>
      <c r="J100" s="59">
        <f t="shared" si="507"/>
        <v>0</v>
      </c>
      <c r="K100" s="55">
        <f t="shared" si="516"/>
        <v>0</v>
      </c>
      <c r="L100" s="59">
        <f t="shared" si="517"/>
        <v>0</v>
      </c>
      <c r="M100" s="55">
        <f t="shared" si="518"/>
        <v>0</v>
      </c>
      <c r="N100" s="59">
        <f t="shared" si="519"/>
        <v>0</v>
      </c>
      <c r="O100" s="55">
        <f t="shared" si="520"/>
        <v>0</v>
      </c>
      <c r="P100" s="59">
        <f t="shared" si="521"/>
        <v>0</v>
      </c>
      <c r="Q100" s="57">
        <f t="shared" si="522"/>
        <v>0</v>
      </c>
      <c r="R100" s="59">
        <f t="shared" si="523"/>
        <v>0</v>
      </c>
      <c r="S100" s="55">
        <f t="shared" si="524"/>
        <v>0</v>
      </c>
      <c r="T100" s="59">
        <f t="shared" si="525"/>
        <v>0</v>
      </c>
      <c r="U100" s="57">
        <f t="shared" si="526"/>
        <v>0</v>
      </c>
      <c r="V100" s="59">
        <f t="shared" si="527"/>
        <v>0</v>
      </c>
      <c r="W100" s="60">
        <f t="shared" si="528"/>
        <v>0</v>
      </c>
      <c r="X100" s="59">
        <f t="shared" si="529"/>
        <v>0</v>
      </c>
      <c r="Y100" s="57">
        <f t="shared" si="530"/>
        <v>0</v>
      </c>
      <c r="Z100" s="59">
        <f t="shared" si="531"/>
        <v>0</v>
      </c>
      <c r="AA100" s="55">
        <f t="shared" si="532"/>
        <v>0</v>
      </c>
      <c r="AB100" s="59">
        <f t="shared" si="533"/>
        <v>0</v>
      </c>
      <c r="AC100" s="60">
        <f t="shared" si="534"/>
        <v>0</v>
      </c>
      <c r="AD100" s="59">
        <f t="shared" si="535"/>
        <v>0</v>
      </c>
      <c r="AE100" s="60">
        <f t="shared" si="536"/>
        <v>0</v>
      </c>
      <c r="AF100" s="59">
        <f t="shared" si="537"/>
        <v>0</v>
      </c>
      <c r="AG100" s="60">
        <f t="shared" si="538"/>
        <v>0</v>
      </c>
      <c r="AH100" s="59">
        <f t="shared" si="539"/>
        <v>0</v>
      </c>
      <c r="AI100" s="55">
        <f t="shared" si="540"/>
        <v>0</v>
      </c>
      <c r="AJ100" s="59">
        <f t="shared" si="541"/>
        <v>0</v>
      </c>
      <c r="AK100" s="60">
        <f t="shared" si="542"/>
        <v>0</v>
      </c>
      <c r="AL100" s="59">
        <f t="shared" si="543"/>
        <v>0</v>
      </c>
      <c r="AM100" s="60">
        <f t="shared" si="544"/>
        <v>0</v>
      </c>
      <c r="AN100" s="59">
        <f t="shared" si="545"/>
        <v>0</v>
      </c>
      <c r="AO100" s="60">
        <f t="shared" si="546"/>
        <v>0</v>
      </c>
      <c r="AP100" s="59">
        <f t="shared" si="547"/>
        <v>0</v>
      </c>
      <c r="AQ100" s="60">
        <f t="shared" si="548"/>
        <v>0</v>
      </c>
      <c r="AR100" s="59">
        <f t="shared" si="549"/>
        <v>0</v>
      </c>
      <c r="AS100" s="55">
        <f t="shared" si="550"/>
        <v>0</v>
      </c>
      <c r="AT100" s="59">
        <f t="shared" si="551"/>
        <v>0</v>
      </c>
      <c r="AU100" s="60">
        <f t="shared" si="552"/>
        <v>0</v>
      </c>
      <c r="AV100" s="59">
        <f t="shared" si="553"/>
        <v>0</v>
      </c>
      <c r="AW100" s="60">
        <f t="shared" si="554"/>
        <v>0</v>
      </c>
      <c r="AX100" s="59">
        <f t="shared" si="555"/>
        <v>0</v>
      </c>
      <c r="AY100" s="55">
        <f t="shared" si="556"/>
        <v>0</v>
      </c>
      <c r="AZ100" s="59">
        <f t="shared" si="557"/>
        <v>0</v>
      </c>
      <c r="BC100" s="55">
        <v>1</v>
      </c>
      <c r="BD100" s="55">
        <v>0.97</v>
      </c>
      <c r="BE100" s="55">
        <v>0.95</v>
      </c>
      <c r="BF100" s="55">
        <v>0.93</v>
      </c>
      <c r="BG100" s="55">
        <f t="shared" si="558"/>
        <v>0.91</v>
      </c>
      <c r="BH100" s="55">
        <f t="shared" si="558"/>
        <v>0.89</v>
      </c>
      <c r="BI100" s="55">
        <f t="shared" si="558"/>
        <v>0.87</v>
      </c>
      <c r="BJ100" s="55">
        <f t="shared" si="558"/>
        <v>0.85</v>
      </c>
      <c r="BK100" s="55">
        <f t="shared" si="558"/>
        <v>0.83</v>
      </c>
      <c r="BL100" s="55">
        <f t="shared" si="558"/>
        <v>0.80999999999999994</v>
      </c>
      <c r="BM100" s="55">
        <f t="shared" si="558"/>
        <v>0.78999999999999992</v>
      </c>
      <c r="BN100" s="55">
        <f t="shared" si="558"/>
        <v>0.76999999999999991</v>
      </c>
      <c r="BO100" s="55">
        <f t="shared" si="558"/>
        <v>0.74999999999999989</v>
      </c>
      <c r="BP100" s="55">
        <f t="shared" si="558"/>
        <v>0.72999999999999987</v>
      </c>
      <c r="BQ100" s="55">
        <f t="shared" si="558"/>
        <v>0.70999999999999985</v>
      </c>
      <c r="BR100" s="55">
        <f t="shared" si="558"/>
        <v>0.68999999999999984</v>
      </c>
      <c r="BS100" s="55">
        <f t="shared" si="558"/>
        <v>0.66999999999999982</v>
      </c>
      <c r="BT100" s="55">
        <f t="shared" si="558"/>
        <v>0.6499999999999998</v>
      </c>
      <c r="BU100" s="55">
        <f t="shared" si="558"/>
        <v>0.62999999999999978</v>
      </c>
      <c r="BV100" s="55">
        <f t="shared" si="558"/>
        <v>0.60999999999999976</v>
      </c>
      <c r="BW100" s="55">
        <f t="shared" si="558"/>
        <v>0.58999999999999975</v>
      </c>
      <c r="BX100" s="55">
        <f t="shared" si="558"/>
        <v>0.56999999999999973</v>
      </c>
      <c r="BZ100" s="55">
        <f t="shared" si="508"/>
        <v>0</v>
      </c>
      <c r="CA100" s="55">
        <f t="shared" si="509"/>
        <v>0</v>
      </c>
      <c r="CB100" s="59">
        <f t="shared" si="559"/>
        <v>0</v>
      </c>
      <c r="CC100" s="55">
        <f t="shared" si="560"/>
        <v>0</v>
      </c>
      <c r="CD100" s="59">
        <f t="shared" si="561"/>
        <v>0</v>
      </c>
      <c r="CE100" s="55">
        <f t="shared" si="562"/>
        <v>0</v>
      </c>
      <c r="CF100" s="59">
        <f t="shared" si="563"/>
        <v>0</v>
      </c>
      <c r="CG100" s="55">
        <f t="shared" si="564"/>
        <v>0</v>
      </c>
      <c r="CH100" s="59">
        <f t="shared" si="565"/>
        <v>0</v>
      </c>
      <c r="CI100" s="57">
        <f t="shared" si="566"/>
        <v>0</v>
      </c>
      <c r="CJ100" s="59">
        <f t="shared" si="567"/>
        <v>0</v>
      </c>
      <c r="CK100" s="55">
        <f t="shared" si="568"/>
        <v>0</v>
      </c>
      <c r="CL100" s="59">
        <f t="shared" si="569"/>
        <v>0</v>
      </c>
      <c r="CM100" s="57">
        <f t="shared" si="570"/>
        <v>0</v>
      </c>
      <c r="CN100" s="59">
        <f t="shared" si="571"/>
        <v>0</v>
      </c>
      <c r="CO100" s="60">
        <f t="shared" si="572"/>
        <v>0</v>
      </c>
      <c r="CP100" s="59">
        <f t="shared" si="573"/>
        <v>0</v>
      </c>
      <c r="CQ100" s="57">
        <f t="shared" si="574"/>
        <v>0</v>
      </c>
      <c r="CR100" s="59">
        <f t="shared" si="575"/>
        <v>0</v>
      </c>
      <c r="CS100" s="55">
        <f t="shared" si="576"/>
        <v>0</v>
      </c>
      <c r="CT100" s="59">
        <f t="shared" si="577"/>
        <v>0</v>
      </c>
      <c r="CU100" s="60">
        <f t="shared" si="578"/>
        <v>0</v>
      </c>
      <c r="CV100" s="59">
        <f t="shared" si="579"/>
        <v>0</v>
      </c>
      <c r="CW100" s="60">
        <f t="shared" si="580"/>
        <v>0</v>
      </c>
      <c r="CX100" s="59">
        <f t="shared" si="581"/>
        <v>0</v>
      </c>
      <c r="CY100" s="60">
        <f t="shared" si="582"/>
        <v>0</v>
      </c>
      <c r="CZ100" s="59">
        <f t="shared" si="583"/>
        <v>0</v>
      </c>
      <c r="DA100" s="55">
        <f t="shared" si="584"/>
        <v>0</v>
      </c>
      <c r="DB100" s="59">
        <f t="shared" si="585"/>
        <v>0</v>
      </c>
      <c r="DC100" s="60">
        <f t="shared" si="586"/>
        <v>0</v>
      </c>
      <c r="DD100" s="59">
        <f t="shared" si="587"/>
        <v>0</v>
      </c>
      <c r="DE100" s="60">
        <f t="shared" si="588"/>
        <v>0</v>
      </c>
      <c r="DF100" s="59">
        <f t="shared" si="589"/>
        <v>0</v>
      </c>
      <c r="DG100" s="60">
        <f t="shared" si="590"/>
        <v>0</v>
      </c>
      <c r="DH100" s="59">
        <f t="shared" si="591"/>
        <v>0</v>
      </c>
      <c r="DI100" s="60">
        <f t="shared" si="592"/>
        <v>0</v>
      </c>
      <c r="DJ100" s="59">
        <f t="shared" si="593"/>
        <v>0</v>
      </c>
      <c r="DK100" s="55">
        <f t="shared" si="594"/>
        <v>0</v>
      </c>
      <c r="DL100" s="59">
        <f t="shared" si="595"/>
        <v>0</v>
      </c>
      <c r="DM100" s="60">
        <f t="shared" si="596"/>
        <v>0</v>
      </c>
      <c r="DN100" s="59">
        <f t="shared" si="597"/>
        <v>0</v>
      </c>
      <c r="DO100" s="60">
        <f t="shared" si="598"/>
        <v>0</v>
      </c>
      <c r="DP100" s="59">
        <f t="shared" si="599"/>
        <v>0</v>
      </c>
      <c r="DQ100" s="55">
        <f t="shared" si="600"/>
        <v>0</v>
      </c>
      <c r="DR100" s="59">
        <f t="shared" si="601"/>
        <v>0</v>
      </c>
      <c r="DU100" s="55">
        <v>1</v>
      </c>
      <c r="DV100" s="55">
        <v>0.97</v>
      </c>
      <c r="DW100" s="55">
        <v>0.95</v>
      </c>
      <c r="DX100" s="55">
        <v>0.93</v>
      </c>
      <c r="DY100" s="55">
        <f t="shared" si="647"/>
        <v>0.91</v>
      </c>
      <c r="DZ100" s="55">
        <f t="shared" si="647"/>
        <v>0.89</v>
      </c>
      <c r="EA100" s="55">
        <f t="shared" si="647"/>
        <v>0.87</v>
      </c>
      <c r="EB100" s="55">
        <f t="shared" si="647"/>
        <v>0.85</v>
      </c>
      <c r="EC100" s="55">
        <f t="shared" si="647"/>
        <v>0.83</v>
      </c>
      <c r="ED100" s="55">
        <f t="shared" si="647"/>
        <v>0.80999999999999994</v>
      </c>
      <c r="EE100" s="55">
        <f t="shared" si="647"/>
        <v>0.78999999999999992</v>
      </c>
      <c r="EF100" s="55">
        <f t="shared" si="647"/>
        <v>0.76999999999999991</v>
      </c>
      <c r="EG100" s="55">
        <f t="shared" si="647"/>
        <v>0.74999999999999989</v>
      </c>
      <c r="EH100" s="55">
        <f t="shared" si="647"/>
        <v>0.72999999999999987</v>
      </c>
      <c r="EI100" s="55">
        <f t="shared" si="647"/>
        <v>0.70999999999999985</v>
      </c>
      <c r="EJ100" s="55">
        <f t="shared" si="647"/>
        <v>0.68999999999999984</v>
      </c>
      <c r="EK100" s="55">
        <f t="shared" si="647"/>
        <v>0.66999999999999982</v>
      </c>
      <c r="EL100" s="55">
        <f t="shared" si="647"/>
        <v>0.6499999999999998</v>
      </c>
      <c r="EM100" s="55">
        <f t="shared" si="647"/>
        <v>0.62999999999999978</v>
      </c>
      <c r="EN100" s="55">
        <f t="shared" si="647"/>
        <v>0.60999999999999976</v>
      </c>
      <c r="EO100" s="55">
        <f t="shared" si="647"/>
        <v>0.58999999999999975</v>
      </c>
      <c r="EP100" s="55">
        <f t="shared" si="647"/>
        <v>0.56999999999999973</v>
      </c>
      <c r="ER100" s="55">
        <f t="shared" si="648"/>
        <v>0</v>
      </c>
      <c r="ES100" s="55">
        <f t="shared" si="510"/>
        <v>0</v>
      </c>
      <c r="ET100" s="59">
        <f t="shared" si="602"/>
        <v>0</v>
      </c>
      <c r="EU100" s="55">
        <f t="shared" si="603"/>
        <v>0</v>
      </c>
      <c r="EV100" s="59">
        <f t="shared" si="604"/>
        <v>0</v>
      </c>
      <c r="EW100" s="55">
        <f t="shared" si="605"/>
        <v>0</v>
      </c>
      <c r="EX100" s="59">
        <f t="shared" si="606"/>
        <v>0</v>
      </c>
      <c r="EY100" s="55">
        <f t="shared" si="607"/>
        <v>0</v>
      </c>
      <c r="EZ100" s="59">
        <f t="shared" si="608"/>
        <v>0</v>
      </c>
      <c r="FA100" s="57">
        <f t="shared" si="609"/>
        <v>0</v>
      </c>
      <c r="FB100" s="59">
        <f t="shared" si="610"/>
        <v>0</v>
      </c>
      <c r="FC100" s="55">
        <f t="shared" si="611"/>
        <v>0</v>
      </c>
      <c r="FD100" s="59">
        <f t="shared" si="612"/>
        <v>0</v>
      </c>
      <c r="FE100" s="57">
        <f t="shared" si="613"/>
        <v>0</v>
      </c>
      <c r="FF100" s="59">
        <f t="shared" si="614"/>
        <v>0</v>
      </c>
      <c r="FG100" s="60">
        <f t="shared" si="615"/>
        <v>0</v>
      </c>
      <c r="FH100" s="59">
        <f t="shared" si="616"/>
        <v>0</v>
      </c>
      <c r="FI100" s="57">
        <f t="shared" si="617"/>
        <v>0</v>
      </c>
      <c r="FJ100" s="59">
        <f t="shared" si="618"/>
        <v>0</v>
      </c>
      <c r="FK100" s="55">
        <f t="shared" si="619"/>
        <v>0</v>
      </c>
      <c r="FL100" s="59">
        <f t="shared" si="620"/>
        <v>0</v>
      </c>
      <c r="FM100" s="60">
        <f t="shared" si="621"/>
        <v>0</v>
      </c>
      <c r="FN100" s="59">
        <f t="shared" si="622"/>
        <v>0</v>
      </c>
      <c r="FO100" s="60">
        <f t="shared" si="623"/>
        <v>0</v>
      </c>
      <c r="FP100" s="59">
        <f t="shared" si="624"/>
        <v>0</v>
      </c>
      <c r="FQ100" s="60">
        <f t="shared" si="625"/>
        <v>0</v>
      </c>
      <c r="FR100" s="59">
        <f t="shared" si="626"/>
        <v>0</v>
      </c>
      <c r="FS100" s="55">
        <f t="shared" si="627"/>
        <v>0</v>
      </c>
      <c r="FT100" s="59">
        <f t="shared" si="628"/>
        <v>0</v>
      </c>
      <c r="FU100" s="60">
        <f t="shared" si="629"/>
        <v>0</v>
      </c>
      <c r="FV100" s="59">
        <f t="shared" si="630"/>
        <v>0</v>
      </c>
      <c r="FW100" s="60">
        <f t="shared" si="631"/>
        <v>0</v>
      </c>
      <c r="FX100" s="59">
        <f t="shared" si="632"/>
        <v>0</v>
      </c>
      <c r="FY100" s="60">
        <f t="shared" si="633"/>
        <v>0</v>
      </c>
      <c r="FZ100" s="59">
        <f t="shared" si="634"/>
        <v>0</v>
      </c>
      <c r="GA100" s="60">
        <f t="shared" si="635"/>
        <v>0</v>
      </c>
      <c r="GB100" s="59">
        <f t="shared" si="636"/>
        <v>0</v>
      </c>
      <c r="GC100" s="55">
        <f t="shared" si="637"/>
        <v>0</v>
      </c>
      <c r="GD100" s="59">
        <f t="shared" si="638"/>
        <v>0</v>
      </c>
      <c r="GE100" s="60">
        <f t="shared" si="639"/>
        <v>0</v>
      </c>
      <c r="GF100" s="59">
        <f t="shared" si="640"/>
        <v>0</v>
      </c>
      <c r="GG100" s="60">
        <f t="shared" si="641"/>
        <v>0</v>
      </c>
      <c r="GH100" s="59">
        <f t="shared" si="642"/>
        <v>0</v>
      </c>
      <c r="GI100" s="55">
        <f t="shared" si="643"/>
        <v>0</v>
      </c>
      <c r="GJ100" s="59">
        <f t="shared" si="644"/>
        <v>0</v>
      </c>
      <c r="GK100" s="55"/>
      <c r="GL100" s="55"/>
      <c r="GM100" s="55">
        <v>1</v>
      </c>
      <c r="GN100" s="55">
        <v>0.97</v>
      </c>
      <c r="GO100" s="55">
        <v>0.95</v>
      </c>
      <c r="GP100" s="55">
        <v>0.93</v>
      </c>
      <c r="GQ100" s="55">
        <f t="shared" si="649"/>
        <v>0.91</v>
      </c>
      <c r="GR100" s="55">
        <f t="shared" si="649"/>
        <v>0.89</v>
      </c>
      <c r="GS100" s="55">
        <f t="shared" si="649"/>
        <v>0.87</v>
      </c>
      <c r="GT100" s="55">
        <f t="shared" si="649"/>
        <v>0.85</v>
      </c>
      <c r="GU100" s="55">
        <f t="shared" si="649"/>
        <v>0.83</v>
      </c>
      <c r="GV100" s="55">
        <f t="shared" si="649"/>
        <v>0.80999999999999994</v>
      </c>
      <c r="GW100" s="55">
        <f t="shared" si="649"/>
        <v>0.78999999999999992</v>
      </c>
      <c r="GX100" s="55">
        <f t="shared" si="649"/>
        <v>0.76999999999999991</v>
      </c>
      <c r="GY100" s="55">
        <f t="shared" si="649"/>
        <v>0.74999999999999989</v>
      </c>
      <c r="GZ100" s="55">
        <f t="shared" si="649"/>
        <v>0.72999999999999987</v>
      </c>
      <c r="HA100" s="55">
        <f t="shared" si="649"/>
        <v>0.70999999999999985</v>
      </c>
      <c r="HB100" s="55">
        <f t="shared" si="649"/>
        <v>0.68999999999999984</v>
      </c>
      <c r="HC100" s="55">
        <f t="shared" si="649"/>
        <v>0.66999999999999982</v>
      </c>
      <c r="HD100" s="55">
        <f t="shared" si="649"/>
        <v>0.6499999999999998</v>
      </c>
      <c r="HE100" s="55">
        <f t="shared" si="649"/>
        <v>0.62999999999999978</v>
      </c>
      <c r="HF100" s="55">
        <f t="shared" si="649"/>
        <v>0.60999999999999976</v>
      </c>
      <c r="HG100" s="55">
        <f t="shared" si="649"/>
        <v>0.58999999999999975</v>
      </c>
      <c r="HH100" s="55">
        <f t="shared" si="649"/>
        <v>0.56999999999999973</v>
      </c>
    </row>
    <row r="101" spans="1:216" x14ac:dyDescent="0.3">
      <c r="A101" s="2">
        <v>10</v>
      </c>
      <c r="C101" s="38" t="s">
        <v>118</v>
      </c>
      <c r="D101" s="42">
        <v>0</v>
      </c>
      <c r="E101" s="71">
        <f t="shared" si="515"/>
        <v>0</v>
      </c>
      <c r="H101" s="55">
        <f t="shared" si="505"/>
        <v>0</v>
      </c>
      <c r="I101" s="55">
        <f t="shared" si="506"/>
        <v>0</v>
      </c>
      <c r="J101" s="59">
        <f t="shared" si="507"/>
        <v>0</v>
      </c>
      <c r="K101" s="55">
        <f t="shared" si="516"/>
        <v>0</v>
      </c>
      <c r="L101" s="59">
        <f t="shared" si="517"/>
        <v>0</v>
      </c>
      <c r="M101" s="55">
        <f t="shared" si="518"/>
        <v>0</v>
      </c>
      <c r="N101" s="59">
        <f t="shared" si="519"/>
        <v>0</v>
      </c>
      <c r="O101" s="55">
        <f t="shared" si="520"/>
        <v>0</v>
      </c>
      <c r="P101" s="59">
        <f t="shared" si="521"/>
        <v>0</v>
      </c>
      <c r="Q101" s="57">
        <f t="shared" si="522"/>
        <v>0</v>
      </c>
      <c r="R101" s="59">
        <f t="shared" si="523"/>
        <v>0</v>
      </c>
      <c r="S101" s="55">
        <f t="shared" si="524"/>
        <v>0</v>
      </c>
      <c r="T101" s="59">
        <f t="shared" si="525"/>
        <v>0</v>
      </c>
      <c r="U101" s="57">
        <f t="shared" si="526"/>
        <v>0</v>
      </c>
      <c r="V101" s="59">
        <f t="shared" si="527"/>
        <v>0</v>
      </c>
      <c r="W101" s="60">
        <f t="shared" si="528"/>
        <v>0</v>
      </c>
      <c r="X101" s="59">
        <f t="shared" si="529"/>
        <v>0</v>
      </c>
      <c r="Y101" s="57">
        <f t="shared" si="530"/>
        <v>0</v>
      </c>
      <c r="Z101" s="59">
        <f t="shared" si="531"/>
        <v>0</v>
      </c>
      <c r="AA101" s="55">
        <f t="shared" si="532"/>
        <v>0</v>
      </c>
      <c r="AB101" s="59">
        <f t="shared" si="533"/>
        <v>0</v>
      </c>
      <c r="AC101" s="60">
        <f t="shared" si="534"/>
        <v>0</v>
      </c>
      <c r="AD101" s="59">
        <f t="shared" si="535"/>
        <v>0</v>
      </c>
      <c r="AE101" s="60">
        <f t="shared" si="536"/>
        <v>0</v>
      </c>
      <c r="AF101" s="59">
        <f t="shared" si="537"/>
        <v>0</v>
      </c>
      <c r="AG101" s="60">
        <f t="shared" si="538"/>
        <v>0</v>
      </c>
      <c r="AH101" s="59">
        <f t="shared" si="539"/>
        <v>0</v>
      </c>
      <c r="AI101" s="55">
        <f t="shared" si="540"/>
        <v>0</v>
      </c>
      <c r="AJ101" s="59">
        <f t="shared" si="541"/>
        <v>0</v>
      </c>
      <c r="AK101" s="60">
        <f t="shared" si="542"/>
        <v>0</v>
      </c>
      <c r="AL101" s="59">
        <f t="shared" si="543"/>
        <v>0</v>
      </c>
      <c r="AM101" s="60">
        <f t="shared" si="544"/>
        <v>0</v>
      </c>
      <c r="AN101" s="59">
        <f t="shared" si="545"/>
        <v>0</v>
      </c>
      <c r="AO101" s="60">
        <f t="shared" si="546"/>
        <v>0</v>
      </c>
      <c r="AP101" s="59">
        <f t="shared" si="547"/>
        <v>0</v>
      </c>
      <c r="AQ101" s="60">
        <f t="shared" si="548"/>
        <v>0</v>
      </c>
      <c r="AR101" s="59">
        <f t="shared" si="549"/>
        <v>0</v>
      </c>
      <c r="AS101" s="55">
        <f t="shared" si="550"/>
        <v>0</v>
      </c>
      <c r="AT101" s="59">
        <f t="shared" si="551"/>
        <v>0</v>
      </c>
      <c r="AU101" s="60">
        <f t="shared" si="552"/>
        <v>0</v>
      </c>
      <c r="AV101" s="59">
        <f t="shared" si="553"/>
        <v>0</v>
      </c>
      <c r="AW101" s="60">
        <f t="shared" si="554"/>
        <v>0</v>
      </c>
      <c r="AX101" s="59">
        <f t="shared" si="555"/>
        <v>0</v>
      </c>
      <c r="AY101" s="55">
        <f t="shared" si="556"/>
        <v>0</v>
      </c>
      <c r="AZ101" s="59">
        <f t="shared" si="557"/>
        <v>0</v>
      </c>
      <c r="BC101" s="55">
        <v>1</v>
      </c>
      <c r="BD101" s="55">
        <v>0.97</v>
      </c>
      <c r="BE101" s="55">
        <v>0.95</v>
      </c>
      <c r="BF101" s="55">
        <v>0.93</v>
      </c>
      <c r="BG101" s="55">
        <f t="shared" si="558"/>
        <v>0.91</v>
      </c>
      <c r="BH101" s="55">
        <f t="shared" si="558"/>
        <v>0.89</v>
      </c>
      <c r="BI101" s="55">
        <f t="shared" si="558"/>
        <v>0.87</v>
      </c>
      <c r="BJ101" s="55">
        <f t="shared" si="558"/>
        <v>0.85</v>
      </c>
      <c r="BK101" s="55">
        <f t="shared" si="558"/>
        <v>0.83</v>
      </c>
      <c r="BL101" s="55">
        <f t="shared" si="558"/>
        <v>0.80999999999999994</v>
      </c>
      <c r="BM101" s="55">
        <f t="shared" si="558"/>
        <v>0.78999999999999992</v>
      </c>
      <c r="BN101" s="55">
        <f t="shared" si="558"/>
        <v>0.76999999999999991</v>
      </c>
      <c r="BO101" s="55">
        <f t="shared" si="558"/>
        <v>0.74999999999999989</v>
      </c>
      <c r="BP101" s="55">
        <f t="shared" si="558"/>
        <v>0.72999999999999987</v>
      </c>
      <c r="BQ101" s="55">
        <f t="shared" si="558"/>
        <v>0.70999999999999985</v>
      </c>
      <c r="BR101" s="55">
        <f t="shared" si="558"/>
        <v>0.68999999999999984</v>
      </c>
      <c r="BS101" s="55">
        <f t="shared" si="558"/>
        <v>0.66999999999999982</v>
      </c>
      <c r="BT101" s="55">
        <f t="shared" si="558"/>
        <v>0.6499999999999998</v>
      </c>
      <c r="BU101" s="55">
        <f t="shared" si="558"/>
        <v>0.62999999999999978</v>
      </c>
      <c r="BV101" s="55">
        <f t="shared" si="558"/>
        <v>0.60999999999999976</v>
      </c>
      <c r="BW101" s="55">
        <f t="shared" si="558"/>
        <v>0.58999999999999975</v>
      </c>
      <c r="BX101" s="55">
        <f t="shared" si="558"/>
        <v>0.56999999999999973</v>
      </c>
      <c r="BZ101" s="55">
        <f t="shared" si="508"/>
        <v>0</v>
      </c>
      <c r="CA101" s="55">
        <f t="shared" si="509"/>
        <v>0</v>
      </c>
      <c r="CB101" s="59">
        <f t="shared" si="559"/>
        <v>0</v>
      </c>
      <c r="CC101" s="55">
        <f t="shared" si="560"/>
        <v>0</v>
      </c>
      <c r="CD101" s="59">
        <f t="shared" si="561"/>
        <v>0</v>
      </c>
      <c r="CE101" s="55">
        <f t="shared" si="562"/>
        <v>0</v>
      </c>
      <c r="CF101" s="59">
        <f t="shared" si="563"/>
        <v>0</v>
      </c>
      <c r="CG101" s="55">
        <f t="shared" si="564"/>
        <v>0</v>
      </c>
      <c r="CH101" s="59">
        <f t="shared" si="565"/>
        <v>0</v>
      </c>
      <c r="CI101" s="57">
        <f t="shared" si="566"/>
        <v>0</v>
      </c>
      <c r="CJ101" s="59">
        <f t="shared" si="567"/>
        <v>0</v>
      </c>
      <c r="CK101" s="55">
        <f t="shared" si="568"/>
        <v>0</v>
      </c>
      <c r="CL101" s="59">
        <f t="shared" si="569"/>
        <v>0</v>
      </c>
      <c r="CM101" s="57">
        <f t="shared" si="570"/>
        <v>0</v>
      </c>
      <c r="CN101" s="59">
        <f t="shared" si="571"/>
        <v>0</v>
      </c>
      <c r="CO101" s="60">
        <f t="shared" si="572"/>
        <v>0</v>
      </c>
      <c r="CP101" s="59">
        <f t="shared" si="573"/>
        <v>0</v>
      </c>
      <c r="CQ101" s="57">
        <f t="shared" si="574"/>
        <v>0</v>
      </c>
      <c r="CR101" s="59">
        <f t="shared" si="575"/>
        <v>0</v>
      </c>
      <c r="CS101" s="55">
        <f t="shared" si="576"/>
        <v>0</v>
      </c>
      <c r="CT101" s="59">
        <f t="shared" si="577"/>
        <v>0</v>
      </c>
      <c r="CU101" s="60">
        <f t="shared" si="578"/>
        <v>0</v>
      </c>
      <c r="CV101" s="59">
        <f t="shared" si="579"/>
        <v>0</v>
      </c>
      <c r="CW101" s="60">
        <f t="shared" si="580"/>
        <v>0</v>
      </c>
      <c r="CX101" s="59">
        <f t="shared" si="581"/>
        <v>0</v>
      </c>
      <c r="CY101" s="60">
        <f t="shared" si="582"/>
        <v>0</v>
      </c>
      <c r="CZ101" s="59">
        <f t="shared" si="583"/>
        <v>0</v>
      </c>
      <c r="DA101" s="55">
        <f t="shared" si="584"/>
        <v>0</v>
      </c>
      <c r="DB101" s="59">
        <f t="shared" si="585"/>
        <v>0</v>
      </c>
      <c r="DC101" s="60">
        <f t="shared" si="586"/>
        <v>0</v>
      </c>
      <c r="DD101" s="59">
        <f t="shared" si="587"/>
        <v>0</v>
      </c>
      <c r="DE101" s="60">
        <f t="shared" si="588"/>
        <v>0</v>
      </c>
      <c r="DF101" s="59">
        <f t="shared" si="589"/>
        <v>0</v>
      </c>
      <c r="DG101" s="60">
        <f t="shared" si="590"/>
        <v>0</v>
      </c>
      <c r="DH101" s="59">
        <f t="shared" si="591"/>
        <v>0</v>
      </c>
      <c r="DI101" s="60">
        <f t="shared" si="592"/>
        <v>0</v>
      </c>
      <c r="DJ101" s="59">
        <f t="shared" si="593"/>
        <v>0</v>
      </c>
      <c r="DK101" s="55">
        <f t="shared" si="594"/>
        <v>0</v>
      </c>
      <c r="DL101" s="59">
        <f t="shared" si="595"/>
        <v>0</v>
      </c>
      <c r="DM101" s="60">
        <f t="shared" si="596"/>
        <v>0</v>
      </c>
      <c r="DN101" s="59">
        <f t="shared" si="597"/>
        <v>0</v>
      </c>
      <c r="DO101" s="60">
        <f t="shared" si="598"/>
        <v>0</v>
      </c>
      <c r="DP101" s="59">
        <f t="shared" si="599"/>
        <v>0</v>
      </c>
      <c r="DQ101" s="55">
        <f t="shared" si="600"/>
        <v>0</v>
      </c>
      <c r="DR101" s="59">
        <f t="shared" si="601"/>
        <v>0</v>
      </c>
      <c r="DU101" s="55">
        <v>1</v>
      </c>
      <c r="DV101" s="55">
        <v>0.97</v>
      </c>
      <c r="DW101" s="55">
        <v>0.95</v>
      </c>
      <c r="DX101" s="55">
        <v>0.93</v>
      </c>
      <c r="DY101" s="55">
        <f t="shared" si="647"/>
        <v>0.91</v>
      </c>
      <c r="DZ101" s="55">
        <f t="shared" si="647"/>
        <v>0.89</v>
      </c>
      <c r="EA101" s="55">
        <f t="shared" si="647"/>
        <v>0.87</v>
      </c>
      <c r="EB101" s="55">
        <f t="shared" si="647"/>
        <v>0.85</v>
      </c>
      <c r="EC101" s="55">
        <f t="shared" si="647"/>
        <v>0.83</v>
      </c>
      <c r="ED101" s="55">
        <f t="shared" si="647"/>
        <v>0.80999999999999994</v>
      </c>
      <c r="EE101" s="55">
        <f t="shared" si="647"/>
        <v>0.78999999999999992</v>
      </c>
      <c r="EF101" s="55">
        <f t="shared" si="647"/>
        <v>0.76999999999999991</v>
      </c>
      <c r="EG101" s="55">
        <f t="shared" si="647"/>
        <v>0.74999999999999989</v>
      </c>
      <c r="EH101" s="55">
        <f t="shared" si="647"/>
        <v>0.72999999999999987</v>
      </c>
      <c r="EI101" s="55">
        <f t="shared" si="647"/>
        <v>0.70999999999999985</v>
      </c>
      <c r="EJ101" s="55">
        <f t="shared" si="647"/>
        <v>0.68999999999999984</v>
      </c>
      <c r="EK101" s="55">
        <f t="shared" si="647"/>
        <v>0.66999999999999982</v>
      </c>
      <c r="EL101" s="55">
        <f t="shared" si="647"/>
        <v>0.6499999999999998</v>
      </c>
      <c r="EM101" s="55">
        <f t="shared" si="647"/>
        <v>0.62999999999999978</v>
      </c>
      <c r="EN101" s="55">
        <f t="shared" si="647"/>
        <v>0.60999999999999976</v>
      </c>
      <c r="EO101" s="55">
        <f t="shared" si="647"/>
        <v>0.58999999999999975</v>
      </c>
      <c r="EP101" s="55">
        <f t="shared" si="647"/>
        <v>0.56999999999999973</v>
      </c>
      <c r="ER101" s="55">
        <f t="shared" si="648"/>
        <v>0</v>
      </c>
      <c r="ES101" s="55">
        <f t="shared" si="510"/>
        <v>0</v>
      </c>
      <c r="ET101" s="59">
        <f t="shared" si="602"/>
        <v>0</v>
      </c>
      <c r="EU101" s="55">
        <f t="shared" si="603"/>
        <v>0</v>
      </c>
      <c r="EV101" s="59">
        <f t="shared" si="604"/>
        <v>0</v>
      </c>
      <c r="EW101" s="55">
        <f t="shared" si="605"/>
        <v>0</v>
      </c>
      <c r="EX101" s="59">
        <f t="shared" si="606"/>
        <v>0</v>
      </c>
      <c r="EY101" s="55">
        <f t="shared" si="607"/>
        <v>0</v>
      </c>
      <c r="EZ101" s="59">
        <f t="shared" si="608"/>
        <v>0</v>
      </c>
      <c r="FA101" s="57">
        <f t="shared" si="609"/>
        <v>0</v>
      </c>
      <c r="FB101" s="59">
        <f t="shared" si="610"/>
        <v>0</v>
      </c>
      <c r="FC101" s="55">
        <f t="shared" si="611"/>
        <v>0</v>
      </c>
      <c r="FD101" s="59">
        <f t="shared" si="612"/>
        <v>0</v>
      </c>
      <c r="FE101" s="57">
        <f t="shared" si="613"/>
        <v>0</v>
      </c>
      <c r="FF101" s="59">
        <f t="shared" si="614"/>
        <v>0</v>
      </c>
      <c r="FG101" s="60">
        <f t="shared" si="615"/>
        <v>0</v>
      </c>
      <c r="FH101" s="59">
        <f t="shared" si="616"/>
        <v>0</v>
      </c>
      <c r="FI101" s="57">
        <f t="shared" si="617"/>
        <v>0</v>
      </c>
      <c r="FJ101" s="59">
        <f t="shared" si="618"/>
        <v>0</v>
      </c>
      <c r="FK101" s="55">
        <f t="shared" si="619"/>
        <v>0</v>
      </c>
      <c r="FL101" s="59">
        <f t="shared" si="620"/>
        <v>0</v>
      </c>
      <c r="FM101" s="60">
        <f t="shared" si="621"/>
        <v>0</v>
      </c>
      <c r="FN101" s="59">
        <f t="shared" si="622"/>
        <v>0</v>
      </c>
      <c r="FO101" s="60">
        <f t="shared" si="623"/>
        <v>0</v>
      </c>
      <c r="FP101" s="59">
        <f t="shared" si="624"/>
        <v>0</v>
      </c>
      <c r="FQ101" s="60">
        <f t="shared" si="625"/>
        <v>0</v>
      </c>
      <c r="FR101" s="59">
        <f t="shared" si="626"/>
        <v>0</v>
      </c>
      <c r="FS101" s="55">
        <f t="shared" si="627"/>
        <v>0</v>
      </c>
      <c r="FT101" s="59">
        <f t="shared" si="628"/>
        <v>0</v>
      </c>
      <c r="FU101" s="60">
        <f t="shared" si="629"/>
        <v>0</v>
      </c>
      <c r="FV101" s="59">
        <f t="shared" si="630"/>
        <v>0</v>
      </c>
      <c r="FW101" s="60">
        <f t="shared" si="631"/>
        <v>0</v>
      </c>
      <c r="FX101" s="59">
        <f t="shared" si="632"/>
        <v>0</v>
      </c>
      <c r="FY101" s="60">
        <f t="shared" si="633"/>
        <v>0</v>
      </c>
      <c r="FZ101" s="59">
        <f t="shared" si="634"/>
        <v>0</v>
      </c>
      <c r="GA101" s="60">
        <f t="shared" si="635"/>
        <v>0</v>
      </c>
      <c r="GB101" s="59">
        <f t="shared" si="636"/>
        <v>0</v>
      </c>
      <c r="GC101" s="55">
        <f t="shared" si="637"/>
        <v>0</v>
      </c>
      <c r="GD101" s="59">
        <f t="shared" si="638"/>
        <v>0</v>
      </c>
      <c r="GE101" s="60">
        <f t="shared" si="639"/>
        <v>0</v>
      </c>
      <c r="GF101" s="59">
        <f t="shared" si="640"/>
        <v>0</v>
      </c>
      <c r="GG101" s="60">
        <f t="shared" si="641"/>
        <v>0</v>
      </c>
      <c r="GH101" s="59">
        <f t="shared" si="642"/>
        <v>0</v>
      </c>
      <c r="GI101" s="55">
        <f t="shared" si="643"/>
        <v>0</v>
      </c>
      <c r="GJ101" s="59">
        <f t="shared" si="644"/>
        <v>0</v>
      </c>
      <c r="GK101" s="55"/>
      <c r="GL101" s="55"/>
      <c r="GM101" s="55">
        <v>1</v>
      </c>
      <c r="GN101" s="55">
        <v>0.97</v>
      </c>
      <c r="GO101" s="55">
        <v>0.95</v>
      </c>
      <c r="GP101" s="55">
        <v>0.93</v>
      </c>
      <c r="GQ101" s="55">
        <f t="shared" si="649"/>
        <v>0.91</v>
      </c>
      <c r="GR101" s="55">
        <f t="shared" si="649"/>
        <v>0.89</v>
      </c>
      <c r="GS101" s="55">
        <f t="shared" si="649"/>
        <v>0.87</v>
      </c>
      <c r="GT101" s="55">
        <f t="shared" si="649"/>
        <v>0.85</v>
      </c>
      <c r="GU101" s="55">
        <f t="shared" si="649"/>
        <v>0.83</v>
      </c>
      <c r="GV101" s="55">
        <f t="shared" si="649"/>
        <v>0.80999999999999994</v>
      </c>
      <c r="GW101" s="55">
        <f t="shared" si="649"/>
        <v>0.78999999999999992</v>
      </c>
      <c r="GX101" s="55">
        <f t="shared" si="649"/>
        <v>0.76999999999999991</v>
      </c>
      <c r="GY101" s="55">
        <f t="shared" si="649"/>
        <v>0.74999999999999989</v>
      </c>
      <c r="GZ101" s="55">
        <f t="shared" si="649"/>
        <v>0.72999999999999987</v>
      </c>
      <c r="HA101" s="55">
        <f t="shared" si="649"/>
        <v>0.70999999999999985</v>
      </c>
      <c r="HB101" s="55">
        <f t="shared" si="649"/>
        <v>0.68999999999999984</v>
      </c>
      <c r="HC101" s="55">
        <f t="shared" si="649"/>
        <v>0.66999999999999982</v>
      </c>
      <c r="HD101" s="55">
        <f t="shared" si="649"/>
        <v>0.6499999999999998</v>
      </c>
      <c r="HE101" s="55">
        <f t="shared" si="649"/>
        <v>0.62999999999999978</v>
      </c>
      <c r="HF101" s="55">
        <f t="shared" si="649"/>
        <v>0.60999999999999976</v>
      </c>
      <c r="HG101" s="55">
        <f t="shared" si="649"/>
        <v>0.58999999999999975</v>
      </c>
      <c r="HH101" s="55">
        <f t="shared" si="649"/>
        <v>0.56999999999999973</v>
      </c>
    </row>
    <row r="102" spans="1:216" x14ac:dyDescent="0.3">
      <c r="A102" s="2">
        <v>11</v>
      </c>
      <c r="C102" s="38" t="s">
        <v>121</v>
      </c>
      <c r="D102" s="42">
        <v>0</v>
      </c>
      <c r="E102" s="71">
        <f t="shared" si="515"/>
        <v>0</v>
      </c>
      <c r="H102" s="55">
        <f t="shared" si="505"/>
        <v>0</v>
      </c>
      <c r="I102" s="55">
        <f t="shared" si="506"/>
        <v>0</v>
      </c>
      <c r="J102" s="59">
        <f t="shared" si="507"/>
        <v>0</v>
      </c>
      <c r="K102" s="55">
        <f t="shared" si="516"/>
        <v>0</v>
      </c>
      <c r="L102" s="59">
        <f t="shared" si="517"/>
        <v>0</v>
      </c>
      <c r="M102" s="55">
        <f t="shared" si="518"/>
        <v>0</v>
      </c>
      <c r="N102" s="59">
        <f t="shared" si="519"/>
        <v>0</v>
      </c>
      <c r="O102" s="55">
        <f t="shared" si="520"/>
        <v>0</v>
      </c>
      <c r="P102" s="59">
        <f t="shared" si="521"/>
        <v>0</v>
      </c>
      <c r="Q102" s="57">
        <f t="shared" si="522"/>
        <v>0</v>
      </c>
      <c r="R102" s="59">
        <f t="shared" si="523"/>
        <v>0</v>
      </c>
      <c r="S102" s="55">
        <f t="shared" si="524"/>
        <v>0</v>
      </c>
      <c r="T102" s="59">
        <f t="shared" si="525"/>
        <v>0</v>
      </c>
      <c r="U102" s="57">
        <f t="shared" si="526"/>
        <v>0</v>
      </c>
      <c r="V102" s="59">
        <f t="shared" si="527"/>
        <v>0</v>
      </c>
      <c r="W102" s="60">
        <f t="shared" si="528"/>
        <v>0</v>
      </c>
      <c r="X102" s="59">
        <f t="shared" si="529"/>
        <v>0</v>
      </c>
      <c r="Y102" s="57">
        <f t="shared" si="530"/>
        <v>0</v>
      </c>
      <c r="Z102" s="59">
        <f t="shared" si="531"/>
        <v>0</v>
      </c>
      <c r="AA102" s="55">
        <f t="shared" si="532"/>
        <v>0</v>
      </c>
      <c r="AB102" s="59">
        <f t="shared" si="533"/>
        <v>0</v>
      </c>
      <c r="AC102" s="60">
        <f t="shared" si="534"/>
        <v>0</v>
      </c>
      <c r="AD102" s="59">
        <f t="shared" si="535"/>
        <v>0</v>
      </c>
      <c r="AE102" s="60">
        <f t="shared" si="536"/>
        <v>0</v>
      </c>
      <c r="AF102" s="59">
        <f t="shared" si="537"/>
        <v>0</v>
      </c>
      <c r="AG102" s="60">
        <f t="shared" si="538"/>
        <v>0</v>
      </c>
      <c r="AH102" s="59">
        <f t="shared" si="539"/>
        <v>0</v>
      </c>
      <c r="AI102" s="55">
        <f t="shared" si="540"/>
        <v>0</v>
      </c>
      <c r="AJ102" s="59">
        <f t="shared" si="541"/>
        <v>0</v>
      </c>
      <c r="AK102" s="60">
        <f t="shared" si="542"/>
        <v>0</v>
      </c>
      <c r="AL102" s="59">
        <f t="shared" si="543"/>
        <v>0</v>
      </c>
      <c r="AM102" s="60">
        <f t="shared" si="544"/>
        <v>0</v>
      </c>
      <c r="AN102" s="59">
        <f t="shared" si="545"/>
        <v>0</v>
      </c>
      <c r="AO102" s="60">
        <f t="shared" si="546"/>
        <v>0</v>
      </c>
      <c r="AP102" s="59">
        <f t="shared" si="547"/>
        <v>0</v>
      </c>
      <c r="AQ102" s="60">
        <f t="shared" si="548"/>
        <v>0</v>
      </c>
      <c r="AR102" s="59">
        <f t="shared" si="549"/>
        <v>0</v>
      </c>
      <c r="AS102" s="55">
        <f t="shared" si="550"/>
        <v>0</v>
      </c>
      <c r="AT102" s="59">
        <f t="shared" si="551"/>
        <v>0</v>
      </c>
      <c r="AU102" s="60">
        <f t="shared" si="552"/>
        <v>0</v>
      </c>
      <c r="AV102" s="59">
        <f t="shared" si="553"/>
        <v>0</v>
      </c>
      <c r="AW102" s="60">
        <f t="shared" si="554"/>
        <v>0</v>
      </c>
      <c r="AX102" s="59">
        <f t="shared" si="555"/>
        <v>0</v>
      </c>
      <c r="AY102" s="55">
        <f t="shared" si="556"/>
        <v>0</v>
      </c>
      <c r="AZ102" s="59">
        <f t="shared" si="557"/>
        <v>0</v>
      </c>
      <c r="BC102" s="55">
        <v>1</v>
      </c>
      <c r="BD102" s="55">
        <v>0.97</v>
      </c>
      <c r="BE102" s="55">
        <v>0.95</v>
      </c>
      <c r="BF102" s="55">
        <v>0.93</v>
      </c>
      <c r="BG102" s="55">
        <f t="shared" si="558"/>
        <v>0.91</v>
      </c>
      <c r="BH102" s="55">
        <f t="shared" si="558"/>
        <v>0.89</v>
      </c>
      <c r="BI102" s="55">
        <f t="shared" si="558"/>
        <v>0.87</v>
      </c>
      <c r="BJ102" s="55">
        <f t="shared" si="558"/>
        <v>0.85</v>
      </c>
      <c r="BK102" s="55">
        <f t="shared" si="558"/>
        <v>0.83</v>
      </c>
      <c r="BL102" s="55">
        <f t="shared" si="558"/>
        <v>0.80999999999999994</v>
      </c>
      <c r="BM102" s="55">
        <f t="shared" si="558"/>
        <v>0.78999999999999992</v>
      </c>
      <c r="BN102" s="55">
        <f t="shared" si="558"/>
        <v>0.76999999999999991</v>
      </c>
      <c r="BO102" s="55">
        <f t="shared" si="558"/>
        <v>0.74999999999999989</v>
      </c>
      <c r="BP102" s="55">
        <f t="shared" si="558"/>
        <v>0.72999999999999987</v>
      </c>
      <c r="BQ102" s="55">
        <f t="shared" si="558"/>
        <v>0.70999999999999985</v>
      </c>
      <c r="BR102" s="55">
        <f t="shared" si="558"/>
        <v>0.68999999999999984</v>
      </c>
      <c r="BS102" s="55">
        <f t="shared" si="558"/>
        <v>0.66999999999999982</v>
      </c>
      <c r="BT102" s="55">
        <f t="shared" si="558"/>
        <v>0.6499999999999998</v>
      </c>
      <c r="BU102" s="55">
        <f t="shared" si="558"/>
        <v>0.62999999999999978</v>
      </c>
      <c r="BV102" s="55">
        <f t="shared" si="558"/>
        <v>0.60999999999999976</v>
      </c>
      <c r="BW102" s="55">
        <f t="shared" si="558"/>
        <v>0.58999999999999975</v>
      </c>
      <c r="BX102" s="55">
        <f t="shared" si="558"/>
        <v>0.56999999999999973</v>
      </c>
      <c r="BZ102" s="55">
        <f t="shared" si="508"/>
        <v>0</v>
      </c>
      <c r="CA102" s="55">
        <f t="shared" si="509"/>
        <v>0</v>
      </c>
      <c r="CB102" s="59">
        <f t="shared" si="559"/>
        <v>0</v>
      </c>
      <c r="CC102" s="55">
        <f t="shared" si="560"/>
        <v>0</v>
      </c>
      <c r="CD102" s="59">
        <f t="shared" si="561"/>
        <v>0</v>
      </c>
      <c r="CE102" s="55">
        <f t="shared" si="562"/>
        <v>0</v>
      </c>
      <c r="CF102" s="59">
        <f t="shared" si="563"/>
        <v>0</v>
      </c>
      <c r="CG102" s="55">
        <f t="shared" si="564"/>
        <v>0</v>
      </c>
      <c r="CH102" s="59">
        <f t="shared" si="565"/>
        <v>0</v>
      </c>
      <c r="CI102" s="57">
        <f t="shared" si="566"/>
        <v>0</v>
      </c>
      <c r="CJ102" s="59">
        <f t="shared" si="567"/>
        <v>0</v>
      </c>
      <c r="CK102" s="55">
        <f t="shared" si="568"/>
        <v>0</v>
      </c>
      <c r="CL102" s="59">
        <f t="shared" si="569"/>
        <v>0</v>
      </c>
      <c r="CM102" s="57">
        <f t="shared" si="570"/>
        <v>0</v>
      </c>
      <c r="CN102" s="59">
        <f t="shared" si="571"/>
        <v>0</v>
      </c>
      <c r="CO102" s="60">
        <f t="shared" si="572"/>
        <v>0</v>
      </c>
      <c r="CP102" s="59">
        <f t="shared" si="573"/>
        <v>0</v>
      </c>
      <c r="CQ102" s="57">
        <f t="shared" si="574"/>
        <v>0</v>
      </c>
      <c r="CR102" s="59">
        <f t="shared" si="575"/>
        <v>0</v>
      </c>
      <c r="CS102" s="55">
        <f t="shared" si="576"/>
        <v>0</v>
      </c>
      <c r="CT102" s="59">
        <f t="shared" si="577"/>
        <v>0</v>
      </c>
      <c r="CU102" s="60">
        <f t="shared" si="578"/>
        <v>0</v>
      </c>
      <c r="CV102" s="59">
        <f t="shared" si="579"/>
        <v>0</v>
      </c>
      <c r="CW102" s="60">
        <f t="shared" si="580"/>
        <v>0</v>
      </c>
      <c r="CX102" s="59">
        <f t="shared" si="581"/>
        <v>0</v>
      </c>
      <c r="CY102" s="60">
        <f t="shared" si="582"/>
        <v>0</v>
      </c>
      <c r="CZ102" s="59">
        <f t="shared" si="583"/>
        <v>0</v>
      </c>
      <c r="DA102" s="55">
        <f t="shared" si="584"/>
        <v>0</v>
      </c>
      <c r="DB102" s="59">
        <f t="shared" si="585"/>
        <v>0</v>
      </c>
      <c r="DC102" s="60">
        <f t="shared" si="586"/>
        <v>0</v>
      </c>
      <c r="DD102" s="59">
        <f t="shared" si="587"/>
        <v>0</v>
      </c>
      <c r="DE102" s="60">
        <f t="shared" si="588"/>
        <v>0</v>
      </c>
      <c r="DF102" s="59">
        <f t="shared" si="589"/>
        <v>0</v>
      </c>
      <c r="DG102" s="60">
        <f t="shared" si="590"/>
        <v>0</v>
      </c>
      <c r="DH102" s="59">
        <f t="shared" si="591"/>
        <v>0</v>
      </c>
      <c r="DI102" s="60">
        <f t="shared" si="592"/>
        <v>0</v>
      </c>
      <c r="DJ102" s="59">
        <f t="shared" si="593"/>
        <v>0</v>
      </c>
      <c r="DK102" s="55">
        <f t="shared" si="594"/>
        <v>0</v>
      </c>
      <c r="DL102" s="59">
        <f t="shared" si="595"/>
        <v>0</v>
      </c>
      <c r="DM102" s="60">
        <f t="shared" si="596"/>
        <v>0</v>
      </c>
      <c r="DN102" s="59">
        <f t="shared" si="597"/>
        <v>0</v>
      </c>
      <c r="DO102" s="60">
        <f t="shared" si="598"/>
        <v>0</v>
      </c>
      <c r="DP102" s="59">
        <f t="shared" si="599"/>
        <v>0</v>
      </c>
      <c r="DQ102" s="55">
        <f t="shared" si="600"/>
        <v>0</v>
      </c>
      <c r="DR102" s="59">
        <f t="shared" si="601"/>
        <v>0</v>
      </c>
      <c r="DU102" s="55">
        <v>1</v>
      </c>
      <c r="DV102" s="55">
        <v>0.97</v>
      </c>
      <c r="DW102" s="55">
        <v>0.95</v>
      </c>
      <c r="DX102" s="55">
        <v>0.93</v>
      </c>
      <c r="DY102" s="55">
        <f t="shared" si="647"/>
        <v>0.91</v>
      </c>
      <c r="DZ102" s="55">
        <f t="shared" si="647"/>
        <v>0.89</v>
      </c>
      <c r="EA102" s="55">
        <f t="shared" si="647"/>
        <v>0.87</v>
      </c>
      <c r="EB102" s="55">
        <f t="shared" si="647"/>
        <v>0.85</v>
      </c>
      <c r="EC102" s="55">
        <f t="shared" si="647"/>
        <v>0.83</v>
      </c>
      <c r="ED102" s="55">
        <f t="shared" si="647"/>
        <v>0.80999999999999994</v>
      </c>
      <c r="EE102" s="55">
        <f t="shared" si="647"/>
        <v>0.78999999999999992</v>
      </c>
      <c r="EF102" s="55">
        <f t="shared" si="647"/>
        <v>0.76999999999999991</v>
      </c>
      <c r="EG102" s="55">
        <f t="shared" si="647"/>
        <v>0.74999999999999989</v>
      </c>
      <c r="EH102" s="55">
        <f t="shared" si="647"/>
        <v>0.72999999999999987</v>
      </c>
      <c r="EI102" s="55">
        <f t="shared" si="647"/>
        <v>0.70999999999999985</v>
      </c>
      <c r="EJ102" s="55">
        <f t="shared" si="647"/>
        <v>0.68999999999999984</v>
      </c>
      <c r="EK102" s="55">
        <f t="shared" si="647"/>
        <v>0.66999999999999982</v>
      </c>
      <c r="EL102" s="55">
        <f t="shared" si="647"/>
        <v>0.6499999999999998</v>
      </c>
      <c r="EM102" s="55">
        <f t="shared" si="647"/>
        <v>0.62999999999999978</v>
      </c>
      <c r="EN102" s="55">
        <f t="shared" si="647"/>
        <v>0.60999999999999976</v>
      </c>
      <c r="EO102" s="55">
        <f t="shared" si="647"/>
        <v>0.58999999999999975</v>
      </c>
      <c r="EP102" s="55">
        <f t="shared" si="647"/>
        <v>0.56999999999999973</v>
      </c>
      <c r="ER102" s="55">
        <f t="shared" si="648"/>
        <v>0</v>
      </c>
      <c r="ES102" s="55">
        <f t="shared" si="510"/>
        <v>0</v>
      </c>
      <c r="ET102" s="59">
        <f t="shared" si="602"/>
        <v>0</v>
      </c>
      <c r="EU102" s="55">
        <f t="shared" si="603"/>
        <v>0</v>
      </c>
      <c r="EV102" s="59">
        <f t="shared" si="604"/>
        <v>0</v>
      </c>
      <c r="EW102" s="55">
        <f t="shared" si="605"/>
        <v>0</v>
      </c>
      <c r="EX102" s="59">
        <f t="shared" si="606"/>
        <v>0</v>
      </c>
      <c r="EY102" s="55">
        <f t="shared" si="607"/>
        <v>0</v>
      </c>
      <c r="EZ102" s="59">
        <f t="shared" si="608"/>
        <v>0</v>
      </c>
      <c r="FA102" s="57">
        <f t="shared" si="609"/>
        <v>0</v>
      </c>
      <c r="FB102" s="59">
        <f t="shared" si="610"/>
        <v>0</v>
      </c>
      <c r="FC102" s="55">
        <f t="shared" si="611"/>
        <v>0</v>
      </c>
      <c r="FD102" s="59">
        <f t="shared" si="612"/>
        <v>0</v>
      </c>
      <c r="FE102" s="57">
        <f t="shared" si="613"/>
        <v>0</v>
      </c>
      <c r="FF102" s="59">
        <f t="shared" si="614"/>
        <v>0</v>
      </c>
      <c r="FG102" s="60">
        <f t="shared" si="615"/>
        <v>0</v>
      </c>
      <c r="FH102" s="59">
        <f t="shared" si="616"/>
        <v>0</v>
      </c>
      <c r="FI102" s="57">
        <f t="shared" si="617"/>
        <v>0</v>
      </c>
      <c r="FJ102" s="59">
        <f t="shared" si="618"/>
        <v>0</v>
      </c>
      <c r="FK102" s="55">
        <f t="shared" si="619"/>
        <v>0</v>
      </c>
      <c r="FL102" s="59">
        <f t="shared" si="620"/>
        <v>0</v>
      </c>
      <c r="FM102" s="60">
        <f t="shared" si="621"/>
        <v>0</v>
      </c>
      <c r="FN102" s="59">
        <f t="shared" si="622"/>
        <v>0</v>
      </c>
      <c r="FO102" s="60">
        <f t="shared" si="623"/>
        <v>0</v>
      </c>
      <c r="FP102" s="59">
        <f t="shared" si="624"/>
        <v>0</v>
      </c>
      <c r="FQ102" s="60">
        <f t="shared" si="625"/>
        <v>0</v>
      </c>
      <c r="FR102" s="59">
        <f t="shared" si="626"/>
        <v>0</v>
      </c>
      <c r="FS102" s="55">
        <f t="shared" si="627"/>
        <v>0</v>
      </c>
      <c r="FT102" s="59">
        <f t="shared" si="628"/>
        <v>0</v>
      </c>
      <c r="FU102" s="60">
        <f t="shared" si="629"/>
        <v>0</v>
      </c>
      <c r="FV102" s="59">
        <f t="shared" si="630"/>
        <v>0</v>
      </c>
      <c r="FW102" s="60">
        <f t="shared" si="631"/>
        <v>0</v>
      </c>
      <c r="FX102" s="59">
        <f t="shared" si="632"/>
        <v>0</v>
      </c>
      <c r="FY102" s="60">
        <f t="shared" si="633"/>
        <v>0</v>
      </c>
      <c r="FZ102" s="59">
        <f t="shared" si="634"/>
        <v>0</v>
      </c>
      <c r="GA102" s="60">
        <f t="shared" si="635"/>
        <v>0</v>
      </c>
      <c r="GB102" s="59">
        <f t="shared" si="636"/>
        <v>0</v>
      </c>
      <c r="GC102" s="55">
        <f t="shared" si="637"/>
        <v>0</v>
      </c>
      <c r="GD102" s="59">
        <f t="shared" si="638"/>
        <v>0</v>
      </c>
      <c r="GE102" s="60">
        <f t="shared" si="639"/>
        <v>0</v>
      </c>
      <c r="GF102" s="59">
        <f t="shared" si="640"/>
        <v>0</v>
      </c>
      <c r="GG102" s="60">
        <f t="shared" si="641"/>
        <v>0</v>
      </c>
      <c r="GH102" s="59">
        <f t="shared" si="642"/>
        <v>0</v>
      </c>
      <c r="GI102" s="55">
        <f t="shared" si="643"/>
        <v>0</v>
      </c>
      <c r="GJ102" s="59">
        <f t="shared" si="644"/>
        <v>0</v>
      </c>
      <c r="GK102" s="55"/>
      <c r="GL102" s="55"/>
      <c r="GM102" s="55">
        <v>1</v>
      </c>
      <c r="GN102" s="55">
        <v>0.97</v>
      </c>
      <c r="GO102" s="55">
        <v>0.95</v>
      </c>
      <c r="GP102" s="55">
        <v>0.93</v>
      </c>
      <c r="GQ102" s="55">
        <f t="shared" si="649"/>
        <v>0.91</v>
      </c>
      <c r="GR102" s="55">
        <f t="shared" si="649"/>
        <v>0.89</v>
      </c>
      <c r="GS102" s="55">
        <f t="shared" si="649"/>
        <v>0.87</v>
      </c>
      <c r="GT102" s="55">
        <f t="shared" si="649"/>
        <v>0.85</v>
      </c>
      <c r="GU102" s="55">
        <f t="shared" si="649"/>
        <v>0.83</v>
      </c>
      <c r="GV102" s="55">
        <f t="shared" si="649"/>
        <v>0.80999999999999994</v>
      </c>
      <c r="GW102" s="55">
        <f t="shared" si="649"/>
        <v>0.78999999999999992</v>
      </c>
      <c r="GX102" s="55">
        <f t="shared" si="649"/>
        <v>0.76999999999999991</v>
      </c>
      <c r="GY102" s="55">
        <f t="shared" si="649"/>
        <v>0.74999999999999989</v>
      </c>
      <c r="GZ102" s="55">
        <f t="shared" si="649"/>
        <v>0.72999999999999987</v>
      </c>
      <c r="HA102" s="55">
        <f t="shared" si="649"/>
        <v>0.70999999999999985</v>
      </c>
      <c r="HB102" s="55">
        <f t="shared" si="649"/>
        <v>0.68999999999999984</v>
      </c>
      <c r="HC102" s="55">
        <f t="shared" si="649"/>
        <v>0.66999999999999982</v>
      </c>
      <c r="HD102" s="55">
        <f t="shared" si="649"/>
        <v>0.6499999999999998</v>
      </c>
      <c r="HE102" s="55">
        <f t="shared" si="649"/>
        <v>0.62999999999999978</v>
      </c>
      <c r="HF102" s="55">
        <f t="shared" si="649"/>
        <v>0.60999999999999976</v>
      </c>
      <c r="HG102" s="55">
        <f t="shared" si="649"/>
        <v>0.58999999999999975</v>
      </c>
      <c r="HH102" s="55">
        <f t="shared" si="649"/>
        <v>0.56999999999999973</v>
      </c>
    </row>
    <row r="103" spans="1:216" x14ac:dyDescent="0.3">
      <c r="A103" s="2">
        <v>12</v>
      </c>
      <c r="C103" s="38" t="s">
        <v>126</v>
      </c>
      <c r="D103" s="42">
        <v>0</v>
      </c>
      <c r="E103" s="71">
        <f t="shared" si="515"/>
        <v>0</v>
      </c>
      <c r="H103" s="55">
        <f t="shared" si="505"/>
        <v>0</v>
      </c>
      <c r="I103" s="55">
        <f t="shared" si="506"/>
        <v>0</v>
      </c>
      <c r="J103" s="59">
        <f t="shared" si="507"/>
        <v>0</v>
      </c>
      <c r="K103" s="55">
        <f t="shared" si="516"/>
        <v>0</v>
      </c>
      <c r="L103" s="59">
        <f t="shared" si="517"/>
        <v>0</v>
      </c>
      <c r="M103" s="55">
        <f t="shared" si="518"/>
        <v>0</v>
      </c>
      <c r="N103" s="59">
        <f t="shared" si="519"/>
        <v>0</v>
      </c>
      <c r="O103" s="55">
        <f t="shared" si="520"/>
        <v>0</v>
      </c>
      <c r="P103" s="59">
        <f t="shared" si="521"/>
        <v>0</v>
      </c>
      <c r="Q103" s="57">
        <f t="shared" si="522"/>
        <v>0</v>
      </c>
      <c r="R103" s="59">
        <f t="shared" si="523"/>
        <v>0</v>
      </c>
      <c r="S103" s="55">
        <f t="shared" si="524"/>
        <v>0</v>
      </c>
      <c r="T103" s="59">
        <f t="shared" si="525"/>
        <v>0</v>
      </c>
      <c r="U103" s="57">
        <f t="shared" si="526"/>
        <v>0</v>
      </c>
      <c r="V103" s="59">
        <f t="shared" si="527"/>
        <v>0</v>
      </c>
      <c r="W103" s="60">
        <f t="shared" si="528"/>
        <v>0</v>
      </c>
      <c r="X103" s="59">
        <f t="shared" si="529"/>
        <v>0</v>
      </c>
      <c r="Y103" s="57">
        <f t="shared" si="530"/>
        <v>0</v>
      </c>
      <c r="Z103" s="59">
        <f t="shared" si="531"/>
        <v>0</v>
      </c>
      <c r="AA103" s="55">
        <f t="shared" si="532"/>
        <v>0</v>
      </c>
      <c r="AB103" s="59">
        <f t="shared" si="533"/>
        <v>0</v>
      </c>
      <c r="AC103" s="60">
        <f t="shared" si="534"/>
        <v>0</v>
      </c>
      <c r="AD103" s="59">
        <f t="shared" si="535"/>
        <v>0</v>
      </c>
      <c r="AE103" s="60">
        <f t="shared" si="536"/>
        <v>0</v>
      </c>
      <c r="AF103" s="59">
        <f t="shared" si="537"/>
        <v>0</v>
      </c>
      <c r="AG103" s="60">
        <f t="shared" si="538"/>
        <v>0</v>
      </c>
      <c r="AH103" s="59">
        <f t="shared" si="539"/>
        <v>0</v>
      </c>
      <c r="AI103" s="55">
        <f t="shared" si="540"/>
        <v>0</v>
      </c>
      <c r="AJ103" s="59">
        <f t="shared" si="541"/>
        <v>0</v>
      </c>
      <c r="AK103" s="60">
        <f t="shared" si="542"/>
        <v>0</v>
      </c>
      <c r="AL103" s="59">
        <f t="shared" si="543"/>
        <v>0</v>
      </c>
      <c r="AM103" s="60">
        <f t="shared" si="544"/>
        <v>0</v>
      </c>
      <c r="AN103" s="59">
        <f t="shared" si="545"/>
        <v>0</v>
      </c>
      <c r="AO103" s="60">
        <f t="shared" si="546"/>
        <v>0</v>
      </c>
      <c r="AP103" s="59">
        <f t="shared" si="547"/>
        <v>0</v>
      </c>
      <c r="AQ103" s="60">
        <f t="shared" si="548"/>
        <v>0</v>
      </c>
      <c r="AR103" s="59">
        <f t="shared" si="549"/>
        <v>0</v>
      </c>
      <c r="AS103" s="55">
        <f t="shared" si="550"/>
        <v>0</v>
      </c>
      <c r="AT103" s="59">
        <f t="shared" si="551"/>
        <v>0</v>
      </c>
      <c r="AU103" s="60">
        <f t="shared" si="552"/>
        <v>0</v>
      </c>
      <c r="AV103" s="59">
        <f t="shared" si="553"/>
        <v>0</v>
      </c>
      <c r="AW103" s="60">
        <f t="shared" si="554"/>
        <v>0</v>
      </c>
      <c r="AX103" s="59">
        <f t="shared" si="555"/>
        <v>0</v>
      </c>
      <c r="AY103" s="55">
        <f t="shared" si="556"/>
        <v>0</v>
      </c>
      <c r="AZ103" s="59">
        <f t="shared" si="557"/>
        <v>0</v>
      </c>
      <c r="BC103" s="55">
        <v>1</v>
      </c>
      <c r="BD103" s="55">
        <v>0.97</v>
      </c>
      <c r="BE103" s="55">
        <v>0.95</v>
      </c>
      <c r="BF103" s="55">
        <v>0.93</v>
      </c>
      <c r="BG103" s="55">
        <f t="shared" si="558"/>
        <v>0.91</v>
      </c>
      <c r="BH103" s="55">
        <f t="shared" si="558"/>
        <v>0.89</v>
      </c>
      <c r="BI103" s="55">
        <f t="shared" si="558"/>
        <v>0.87</v>
      </c>
      <c r="BJ103" s="55">
        <f t="shared" si="558"/>
        <v>0.85</v>
      </c>
      <c r="BK103" s="55">
        <f t="shared" si="558"/>
        <v>0.83</v>
      </c>
      <c r="BL103" s="55">
        <f t="shared" si="558"/>
        <v>0.80999999999999994</v>
      </c>
      <c r="BM103" s="55">
        <f t="shared" si="558"/>
        <v>0.78999999999999992</v>
      </c>
      <c r="BN103" s="55">
        <f t="shared" si="558"/>
        <v>0.76999999999999991</v>
      </c>
      <c r="BO103" s="55">
        <f t="shared" si="558"/>
        <v>0.74999999999999989</v>
      </c>
      <c r="BP103" s="55">
        <f t="shared" si="558"/>
        <v>0.72999999999999987</v>
      </c>
      <c r="BQ103" s="55">
        <f t="shared" si="558"/>
        <v>0.70999999999999985</v>
      </c>
      <c r="BR103" s="55">
        <f t="shared" si="558"/>
        <v>0.68999999999999984</v>
      </c>
      <c r="BS103" s="55">
        <f t="shared" si="558"/>
        <v>0.66999999999999982</v>
      </c>
      <c r="BT103" s="55">
        <f t="shared" si="558"/>
        <v>0.6499999999999998</v>
      </c>
      <c r="BU103" s="55">
        <f t="shared" si="558"/>
        <v>0.62999999999999978</v>
      </c>
      <c r="BV103" s="55">
        <f t="shared" si="558"/>
        <v>0.60999999999999976</v>
      </c>
      <c r="BW103" s="55">
        <f t="shared" si="558"/>
        <v>0.58999999999999975</v>
      </c>
      <c r="BX103" s="55">
        <f t="shared" si="558"/>
        <v>0.56999999999999973</v>
      </c>
      <c r="BZ103" s="55">
        <f t="shared" si="508"/>
        <v>0</v>
      </c>
      <c r="CA103" s="55">
        <f t="shared" si="509"/>
        <v>0</v>
      </c>
      <c r="CB103" s="59">
        <f t="shared" si="559"/>
        <v>0</v>
      </c>
      <c r="CC103" s="55">
        <f t="shared" si="560"/>
        <v>0</v>
      </c>
      <c r="CD103" s="59">
        <f t="shared" si="561"/>
        <v>0</v>
      </c>
      <c r="CE103" s="55">
        <f t="shared" si="562"/>
        <v>0</v>
      </c>
      <c r="CF103" s="59">
        <f t="shared" si="563"/>
        <v>0</v>
      </c>
      <c r="CG103" s="55">
        <f t="shared" si="564"/>
        <v>0</v>
      </c>
      <c r="CH103" s="59">
        <f t="shared" si="565"/>
        <v>0</v>
      </c>
      <c r="CI103" s="57">
        <f t="shared" si="566"/>
        <v>0</v>
      </c>
      <c r="CJ103" s="59">
        <f t="shared" si="567"/>
        <v>0</v>
      </c>
      <c r="CK103" s="55">
        <f t="shared" si="568"/>
        <v>0</v>
      </c>
      <c r="CL103" s="59">
        <f t="shared" si="569"/>
        <v>0</v>
      </c>
      <c r="CM103" s="57">
        <f t="shared" si="570"/>
        <v>0</v>
      </c>
      <c r="CN103" s="59">
        <f t="shared" si="571"/>
        <v>0</v>
      </c>
      <c r="CO103" s="60">
        <f t="shared" si="572"/>
        <v>0</v>
      </c>
      <c r="CP103" s="59">
        <f t="shared" si="573"/>
        <v>0</v>
      </c>
      <c r="CQ103" s="57">
        <f t="shared" si="574"/>
        <v>0</v>
      </c>
      <c r="CR103" s="59">
        <f t="shared" si="575"/>
        <v>0</v>
      </c>
      <c r="CS103" s="55">
        <f t="shared" si="576"/>
        <v>0</v>
      </c>
      <c r="CT103" s="59">
        <f t="shared" si="577"/>
        <v>0</v>
      </c>
      <c r="CU103" s="60">
        <f t="shared" si="578"/>
        <v>0</v>
      </c>
      <c r="CV103" s="59">
        <f t="shared" si="579"/>
        <v>0</v>
      </c>
      <c r="CW103" s="60">
        <f t="shared" si="580"/>
        <v>0</v>
      </c>
      <c r="CX103" s="59">
        <f t="shared" si="581"/>
        <v>0</v>
      </c>
      <c r="CY103" s="60">
        <f t="shared" si="582"/>
        <v>0</v>
      </c>
      <c r="CZ103" s="59">
        <f t="shared" si="583"/>
        <v>0</v>
      </c>
      <c r="DA103" s="55">
        <f t="shared" si="584"/>
        <v>0</v>
      </c>
      <c r="DB103" s="59">
        <f t="shared" si="585"/>
        <v>0</v>
      </c>
      <c r="DC103" s="60">
        <f t="shared" si="586"/>
        <v>0</v>
      </c>
      <c r="DD103" s="59">
        <f t="shared" si="587"/>
        <v>0</v>
      </c>
      <c r="DE103" s="60">
        <f t="shared" si="588"/>
        <v>0</v>
      </c>
      <c r="DF103" s="59">
        <f t="shared" si="589"/>
        <v>0</v>
      </c>
      <c r="DG103" s="60">
        <f t="shared" si="590"/>
        <v>0</v>
      </c>
      <c r="DH103" s="59">
        <f t="shared" si="591"/>
        <v>0</v>
      </c>
      <c r="DI103" s="60">
        <f t="shared" si="592"/>
        <v>0</v>
      </c>
      <c r="DJ103" s="59">
        <f t="shared" si="593"/>
        <v>0</v>
      </c>
      <c r="DK103" s="55">
        <f t="shared" si="594"/>
        <v>0</v>
      </c>
      <c r="DL103" s="59">
        <f t="shared" si="595"/>
        <v>0</v>
      </c>
      <c r="DM103" s="60">
        <f t="shared" si="596"/>
        <v>0</v>
      </c>
      <c r="DN103" s="59">
        <f t="shared" si="597"/>
        <v>0</v>
      </c>
      <c r="DO103" s="60">
        <f t="shared" si="598"/>
        <v>0</v>
      </c>
      <c r="DP103" s="59">
        <f t="shared" si="599"/>
        <v>0</v>
      </c>
      <c r="DQ103" s="55">
        <f t="shared" si="600"/>
        <v>0</v>
      </c>
      <c r="DR103" s="59">
        <f t="shared" si="601"/>
        <v>0</v>
      </c>
      <c r="DU103" s="55">
        <v>1</v>
      </c>
      <c r="DV103" s="55">
        <v>0.97</v>
      </c>
      <c r="DW103" s="55">
        <v>0.95</v>
      </c>
      <c r="DX103" s="55">
        <v>0.93</v>
      </c>
      <c r="DY103" s="55">
        <f t="shared" si="647"/>
        <v>0.91</v>
      </c>
      <c r="DZ103" s="55">
        <f t="shared" si="647"/>
        <v>0.89</v>
      </c>
      <c r="EA103" s="55">
        <f t="shared" si="647"/>
        <v>0.87</v>
      </c>
      <c r="EB103" s="55">
        <f t="shared" si="647"/>
        <v>0.85</v>
      </c>
      <c r="EC103" s="55">
        <f t="shared" si="647"/>
        <v>0.83</v>
      </c>
      <c r="ED103" s="55">
        <f t="shared" si="647"/>
        <v>0.80999999999999994</v>
      </c>
      <c r="EE103" s="55">
        <f t="shared" si="647"/>
        <v>0.78999999999999992</v>
      </c>
      <c r="EF103" s="55">
        <f t="shared" si="647"/>
        <v>0.76999999999999991</v>
      </c>
      <c r="EG103" s="55">
        <f t="shared" si="647"/>
        <v>0.74999999999999989</v>
      </c>
      <c r="EH103" s="55">
        <f t="shared" si="647"/>
        <v>0.72999999999999987</v>
      </c>
      <c r="EI103" s="55">
        <f t="shared" si="647"/>
        <v>0.70999999999999985</v>
      </c>
      <c r="EJ103" s="55">
        <f t="shared" si="647"/>
        <v>0.68999999999999984</v>
      </c>
      <c r="EK103" s="55">
        <f t="shared" si="647"/>
        <v>0.66999999999999982</v>
      </c>
      <c r="EL103" s="55">
        <f t="shared" si="647"/>
        <v>0.6499999999999998</v>
      </c>
      <c r="EM103" s="55">
        <f t="shared" si="647"/>
        <v>0.62999999999999978</v>
      </c>
      <c r="EN103" s="55">
        <f t="shared" si="647"/>
        <v>0.60999999999999976</v>
      </c>
      <c r="EO103" s="55">
        <f t="shared" si="647"/>
        <v>0.58999999999999975</v>
      </c>
      <c r="EP103" s="55">
        <f t="shared" si="647"/>
        <v>0.56999999999999973</v>
      </c>
      <c r="ER103" s="55">
        <f t="shared" si="648"/>
        <v>0</v>
      </c>
      <c r="ES103" s="55">
        <f t="shared" si="510"/>
        <v>0</v>
      </c>
      <c r="ET103" s="59">
        <f t="shared" si="602"/>
        <v>0</v>
      </c>
      <c r="EU103" s="55">
        <f t="shared" si="603"/>
        <v>0</v>
      </c>
      <c r="EV103" s="59">
        <f t="shared" si="604"/>
        <v>0</v>
      </c>
      <c r="EW103" s="55">
        <f t="shared" si="605"/>
        <v>0</v>
      </c>
      <c r="EX103" s="59">
        <f t="shared" si="606"/>
        <v>0</v>
      </c>
      <c r="EY103" s="55">
        <f t="shared" si="607"/>
        <v>0</v>
      </c>
      <c r="EZ103" s="59">
        <f t="shared" si="608"/>
        <v>0</v>
      </c>
      <c r="FA103" s="57">
        <f t="shared" si="609"/>
        <v>0</v>
      </c>
      <c r="FB103" s="59">
        <f t="shared" si="610"/>
        <v>0</v>
      </c>
      <c r="FC103" s="55">
        <f t="shared" si="611"/>
        <v>0</v>
      </c>
      <c r="FD103" s="59">
        <f t="shared" si="612"/>
        <v>0</v>
      </c>
      <c r="FE103" s="57">
        <f t="shared" si="613"/>
        <v>0</v>
      </c>
      <c r="FF103" s="59">
        <f t="shared" si="614"/>
        <v>0</v>
      </c>
      <c r="FG103" s="60">
        <f t="shared" si="615"/>
        <v>0</v>
      </c>
      <c r="FH103" s="59">
        <f t="shared" si="616"/>
        <v>0</v>
      </c>
      <c r="FI103" s="57">
        <f t="shared" si="617"/>
        <v>0</v>
      </c>
      <c r="FJ103" s="59">
        <f t="shared" si="618"/>
        <v>0</v>
      </c>
      <c r="FK103" s="55">
        <f t="shared" si="619"/>
        <v>0</v>
      </c>
      <c r="FL103" s="59">
        <f t="shared" si="620"/>
        <v>0</v>
      </c>
      <c r="FM103" s="60">
        <f t="shared" si="621"/>
        <v>0</v>
      </c>
      <c r="FN103" s="59">
        <f t="shared" si="622"/>
        <v>0</v>
      </c>
      <c r="FO103" s="60">
        <f t="shared" si="623"/>
        <v>0</v>
      </c>
      <c r="FP103" s="59">
        <f t="shared" si="624"/>
        <v>0</v>
      </c>
      <c r="FQ103" s="60">
        <f t="shared" si="625"/>
        <v>0</v>
      </c>
      <c r="FR103" s="59">
        <f t="shared" si="626"/>
        <v>0</v>
      </c>
      <c r="FS103" s="55">
        <f t="shared" si="627"/>
        <v>0</v>
      </c>
      <c r="FT103" s="59">
        <f t="shared" si="628"/>
        <v>0</v>
      </c>
      <c r="FU103" s="60">
        <f t="shared" si="629"/>
        <v>0</v>
      </c>
      <c r="FV103" s="59">
        <f t="shared" si="630"/>
        <v>0</v>
      </c>
      <c r="FW103" s="60">
        <f t="shared" si="631"/>
        <v>0</v>
      </c>
      <c r="FX103" s="59">
        <f t="shared" si="632"/>
        <v>0</v>
      </c>
      <c r="FY103" s="60">
        <f t="shared" si="633"/>
        <v>0</v>
      </c>
      <c r="FZ103" s="59">
        <f t="shared" si="634"/>
        <v>0</v>
      </c>
      <c r="GA103" s="60">
        <f t="shared" si="635"/>
        <v>0</v>
      </c>
      <c r="GB103" s="59">
        <f t="shared" si="636"/>
        <v>0</v>
      </c>
      <c r="GC103" s="55">
        <f t="shared" si="637"/>
        <v>0</v>
      </c>
      <c r="GD103" s="59">
        <f t="shared" si="638"/>
        <v>0</v>
      </c>
      <c r="GE103" s="60">
        <f t="shared" si="639"/>
        <v>0</v>
      </c>
      <c r="GF103" s="59">
        <f t="shared" si="640"/>
        <v>0</v>
      </c>
      <c r="GG103" s="60">
        <f t="shared" si="641"/>
        <v>0</v>
      </c>
      <c r="GH103" s="59">
        <f t="shared" si="642"/>
        <v>0</v>
      </c>
      <c r="GI103" s="55">
        <f t="shared" si="643"/>
        <v>0</v>
      </c>
      <c r="GJ103" s="59">
        <f t="shared" si="644"/>
        <v>0</v>
      </c>
      <c r="GK103" s="55"/>
      <c r="GL103" s="55"/>
      <c r="GM103" s="55">
        <v>1</v>
      </c>
      <c r="GN103" s="55">
        <v>0.97</v>
      </c>
      <c r="GO103" s="55">
        <v>0.95</v>
      </c>
      <c r="GP103" s="55">
        <v>0.93</v>
      </c>
      <c r="GQ103" s="55">
        <f t="shared" si="649"/>
        <v>0.91</v>
      </c>
      <c r="GR103" s="55">
        <f t="shared" si="649"/>
        <v>0.89</v>
      </c>
      <c r="GS103" s="55">
        <f t="shared" si="649"/>
        <v>0.87</v>
      </c>
      <c r="GT103" s="55">
        <f t="shared" si="649"/>
        <v>0.85</v>
      </c>
      <c r="GU103" s="55">
        <f t="shared" si="649"/>
        <v>0.83</v>
      </c>
      <c r="GV103" s="55">
        <f t="shared" si="649"/>
        <v>0.80999999999999994</v>
      </c>
      <c r="GW103" s="55">
        <f t="shared" si="649"/>
        <v>0.78999999999999992</v>
      </c>
      <c r="GX103" s="55">
        <f t="shared" si="649"/>
        <v>0.76999999999999991</v>
      </c>
      <c r="GY103" s="55">
        <f t="shared" si="649"/>
        <v>0.74999999999999989</v>
      </c>
      <c r="GZ103" s="55">
        <f t="shared" si="649"/>
        <v>0.72999999999999987</v>
      </c>
      <c r="HA103" s="55">
        <f t="shared" si="649"/>
        <v>0.70999999999999985</v>
      </c>
      <c r="HB103" s="55">
        <f t="shared" si="649"/>
        <v>0.68999999999999984</v>
      </c>
      <c r="HC103" s="55">
        <f t="shared" si="649"/>
        <v>0.66999999999999982</v>
      </c>
      <c r="HD103" s="55">
        <f t="shared" si="649"/>
        <v>0.6499999999999998</v>
      </c>
      <c r="HE103" s="55">
        <f t="shared" si="649"/>
        <v>0.62999999999999978</v>
      </c>
      <c r="HF103" s="55">
        <f t="shared" si="649"/>
        <v>0.60999999999999976</v>
      </c>
      <c r="HG103" s="55">
        <f t="shared" si="649"/>
        <v>0.58999999999999975</v>
      </c>
      <c r="HH103" s="55">
        <f t="shared" si="649"/>
        <v>0.56999999999999973</v>
      </c>
    </row>
    <row r="104" spans="1:216" x14ac:dyDescent="0.3">
      <c r="A104" s="2">
        <v>13</v>
      </c>
      <c r="C104" s="38" t="s">
        <v>128</v>
      </c>
      <c r="D104" s="42">
        <v>0</v>
      </c>
      <c r="E104" s="71">
        <f t="shared" si="515"/>
        <v>0</v>
      </c>
      <c r="H104" s="55">
        <f t="shared" si="505"/>
        <v>0</v>
      </c>
      <c r="I104" s="55">
        <f t="shared" si="506"/>
        <v>0</v>
      </c>
      <c r="J104" s="59">
        <f t="shared" si="507"/>
        <v>0</v>
      </c>
      <c r="K104" s="55">
        <f t="shared" si="516"/>
        <v>0</v>
      </c>
      <c r="L104" s="59">
        <f t="shared" si="517"/>
        <v>0</v>
      </c>
      <c r="M104" s="55">
        <f t="shared" si="518"/>
        <v>0</v>
      </c>
      <c r="N104" s="59">
        <f t="shared" si="519"/>
        <v>0</v>
      </c>
      <c r="O104" s="55">
        <f t="shared" si="520"/>
        <v>0</v>
      </c>
      <c r="P104" s="59">
        <f t="shared" si="521"/>
        <v>0</v>
      </c>
      <c r="Q104" s="57">
        <f t="shared" si="522"/>
        <v>0</v>
      </c>
      <c r="R104" s="59">
        <f t="shared" si="523"/>
        <v>0</v>
      </c>
      <c r="S104" s="55">
        <f t="shared" si="524"/>
        <v>0</v>
      </c>
      <c r="T104" s="59">
        <f t="shared" si="525"/>
        <v>0</v>
      </c>
      <c r="U104" s="57">
        <f t="shared" si="526"/>
        <v>0</v>
      </c>
      <c r="V104" s="59">
        <f t="shared" si="527"/>
        <v>0</v>
      </c>
      <c r="W104" s="60">
        <f t="shared" si="528"/>
        <v>0</v>
      </c>
      <c r="X104" s="59">
        <f t="shared" si="529"/>
        <v>0</v>
      </c>
      <c r="Y104" s="57">
        <f t="shared" si="530"/>
        <v>0</v>
      </c>
      <c r="Z104" s="59">
        <f t="shared" si="531"/>
        <v>0</v>
      </c>
      <c r="AA104" s="55">
        <f t="shared" si="532"/>
        <v>0</v>
      </c>
      <c r="AB104" s="59">
        <f t="shared" si="533"/>
        <v>0</v>
      </c>
      <c r="AC104" s="60">
        <f t="shared" si="534"/>
        <v>0</v>
      </c>
      <c r="AD104" s="59">
        <f t="shared" si="535"/>
        <v>0</v>
      </c>
      <c r="AE104" s="60">
        <f t="shared" si="536"/>
        <v>0</v>
      </c>
      <c r="AF104" s="59">
        <f t="shared" si="537"/>
        <v>0</v>
      </c>
      <c r="AG104" s="60">
        <f t="shared" si="538"/>
        <v>0</v>
      </c>
      <c r="AH104" s="59">
        <f t="shared" si="539"/>
        <v>0</v>
      </c>
      <c r="AI104" s="55">
        <f t="shared" si="540"/>
        <v>0</v>
      </c>
      <c r="AJ104" s="59">
        <f t="shared" si="541"/>
        <v>0</v>
      </c>
      <c r="AK104" s="60">
        <f t="shared" si="542"/>
        <v>0</v>
      </c>
      <c r="AL104" s="59">
        <f t="shared" si="543"/>
        <v>0</v>
      </c>
      <c r="AM104" s="60">
        <f t="shared" si="544"/>
        <v>0</v>
      </c>
      <c r="AN104" s="59">
        <f t="shared" si="545"/>
        <v>0</v>
      </c>
      <c r="AO104" s="60">
        <f t="shared" si="546"/>
        <v>0</v>
      </c>
      <c r="AP104" s="59">
        <f t="shared" si="547"/>
        <v>0</v>
      </c>
      <c r="AQ104" s="60">
        <f t="shared" si="548"/>
        <v>0</v>
      </c>
      <c r="AR104" s="59">
        <f t="shared" si="549"/>
        <v>0</v>
      </c>
      <c r="AS104" s="55">
        <f t="shared" si="550"/>
        <v>0</v>
      </c>
      <c r="AT104" s="59">
        <f t="shared" si="551"/>
        <v>0</v>
      </c>
      <c r="AU104" s="60">
        <f t="shared" si="552"/>
        <v>0</v>
      </c>
      <c r="AV104" s="59">
        <f t="shared" si="553"/>
        <v>0</v>
      </c>
      <c r="AW104" s="60">
        <f t="shared" si="554"/>
        <v>0</v>
      </c>
      <c r="AX104" s="59">
        <f t="shared" si="555"/>
        <v>0</v>
      </c>
      <c r="AY104" s="55">
        <f t="shared" si="556"/>
        <v>0</v>
      </c>
      <c r="AZ104" s="59">
        <f t="shared" si="557"/>
        <v>0</v>
      </c>
      <c r="BC104" s="55">
        <v>1</v>
      </c>
      <c r="BD104" s="55">
        <v>0.97</v>
      </c>
      <c r="BE104" s="55">
        <v>0.95</v>
      </c>
      <c r="BF104" s="55">
        <v>0.93</v>
      </c>
      <c r="BG104" s="55">
        <f t="shared" si="558"/>
        <v>0.91</v>
      </c>
      <c r="BH104" s="55">
        <f t="shared" si="558"/>
        <v>0.89</v>
      </c>
      <c r="BI104" s="55">
        <f t="shared" si="558"/>
        <v>0.87</v>
      </c>
      <c r="BJ104" s="55">
        <f t="shared" si="558"/>
        <v>0.85</v>
      </c>
      <c r="BK104" s="55">
        <f t="shared" si="558"/>
        <v>0.83</v>
      </c>
      <c r="BL104" s="55">
        <f t="shared" si="558"/>
        <v>0.80999999999999994</v>
      </c>
      <c r="BM104" s="55">
        <f t="shared" si="558"/>
        <v>0.78999999999999992</v>
      </c>
      <c r="BN104" s="55">
        <f t="shared" si="558"/>
        <v>0.76999999999999991</v>
      </c>
      <c r="BO104" s="55">
        <f t="shared" si="558"/>
        <v>0.74999999999999989</v>
      </c>
      <c r="BP104" s="55">
        <f t="shared" si="558"/>
        <v>0.72999999999999987</v>
      </c>
      <c r="BQ104" s="55">
        <f t="shared" si="558"/>
        <v>0.70999999999999985</v>
      </c>
      <c r="BR104" s="55">
        <f t="shared" si="558"/>
        <v>0.68999999999999984</v>
      </c>
      <c r="BS104" s="55">
        <f t="shared" si="558"/>
        <v>0.66999999999999982</v>
      </c>
      <c r="BT104" s="55">
        <f t="shared" si="558"/>
        <v>0.6499999999999998</v>
      </c>
      <c r="BU104" s="55">
        <f t="shared" si="558"/>
        <v>0.62999999999999978</v>
      </c>
      <c r="BV104" s="55">
        <f t="shared" si="558"/>
        <v>0.60999999999999976</v>
      </c>
      <c r="BW104" s="55">
        <f t="shared" si="558"/>
        <v>0.58999999999999975</v>
      </c>
      <c r="BX104" s="55">
        <f t="shared" si="558"/>
        <v>0.56999999999999973</v>
      </c>
      <c r="BZ104" s="55">
        <f t="shared" si="508"/>
        <v>0</v>
      </c>
      <c r="CA104" s="55">
        <f t="shared" si="509"/>
        <v>0</v>
      </c>
      <c r="CB104" s="59">
        <f t="shared" si="559"/>
        <v>0</v>
      </c>
      <c r="CC104" s="55">
        <f t="shared" si="560"/>
        <v>0</v>
      </c>
      <c r="CD104" s="59">
        <f t="shared" si="561"/>
        <v>0</v>
      </c>
      <c r="CE104" s="55">
        <f t="shared" si="562"/>
        <v>0</v>
      </c>
      <c r="CF104" s="59">
        <f t="shared" si="563"/>
        <v>0</v>
      </c>
      <c r="CG104" s="55">
        <f t="shared" si="564"/>
        <v>0</v>
      </c>
      <c r="CH104" s="59">
        <f t="shared" si="565"/>
        <v>0</v>
      </c>
      <c r="CI104" s="57">
        <f t="shared" si="566"/>
        <v>0</v>
      </c>
      <c r="CJ104" s="59">
        <f t="shared" si="567"/>
        <v>0</v>
      </c>
      <c r="CK104" s="55">
        <f t="shared" si="568"/>
        <v>0</v>
      </c>
      <c r="CL104" s="59">
        <f t="shared" si="569"/>
        <v>0</v>
      </c>
      <c r="CM104" s="57">
        <f t="shared" si="570"/>
        <v>0</v>
      </c>
      <c r="CN104" s="59">
        <f t="shared" si="571"/>
        <v>0</v>
      </c>
      <c r="CO104" s="60">
        <f t="shared" si="572"/>
        <v>0</v>
      </c>
      <c r="CP104" s="59">
        <f t="shared" si="573"/>
        <v>0</v>
      </c>
      <c r="CQ104" s="57">
        <f t="shared" si="574"/>
        <v>0</v>
      </c>
      <c r="CR104" s="59">
        <f t="shared" si="575"/>
        <v>0</v>
      </c>
      <c r="CS104" s="55">
        <f t="shared" si="576"/>
        <v>0</v>
      </c>
      <c r="CT104" s="59">
        <f t="shared" si="577"/>
        <v>0</v>
      </c>
      <c r="CU104" s="60">
        <f t="shared" si="578"/>
        <v>0</v>
      </c>
      <c r="CV104" s="59">
        <f t="shared" si="579"/>
        <v>0</v>
      </c>
      <c r="CW104" s="60">
        <f t="shared" si="580"/>
        <v>0</v>
      </c>
      <c r="CX104" s="59">
        <f t="shared" si="581"/>
        <v>0</v>
      </c>
      <c r="CY104" s="60">
        <f t="shared" si="582"/>
        <v>0</v>
      </c>
      <c r="CZ104" s="59">
        <f t="shared" si="583"/>
        <v>0</v>
      </c>
      <c r="DA104" s="55">
        <f t="shared" si="584"/>
        <v>0</v>
      </c>
      <c r="DB104" s="59">
        <f t="shared" si="585"/>
        <v>0</v>
      </c>
      <c r="DC104" s="60">
        <f t="shared" si="586"/>
        <v>0</v>
      </c>
      <c r="DD104" s="59">
        <f t="shared" si="587"/>
        <v>0</v>
      </c>
      <c r="DE104" s="60">
        <f t="shared" si="588"/>
        <v>0</v>
      </c>
      <c r="DF104" s="59">
        <f t="shared" si="589"/>
        <v>0</v>
      </c>
      <c r="DG104" s="60">
        <f t="shared" si="590"/>
        <v>0</v>
      </c>
      <c r="DH104" s="59">
        <f t="shared" si="591"/>
        <v>0</v>
      </c>
      <c r="DI104" s="60">
        <f t="shared" si="592"/>
        <v>0</v>
      </c>
      <c r="DJ104" s="59">
        <f t="shared" si="593"/>
        <v>0</v>
      </c>
      <c r="DK104" s="55">
        <f t="shared" si="594"/>
        <v>0</v>
      </c>
      <c r="DL104" s="59">
        <f t="shared" si="595"/>
        <v>0</v>
      </c>
      <c r="DM104" s="60">
        <f t="shared" si="596"/>
        <v>0</v>
      </c>
      <c r="DN104" s="59">
        <f t="shared" si="597"/>
        <v>0</v>
      </c>
      <c r="DO104" s="60">
        <f t="shared" si="598"/>
        <v>0</v>
      </c>
      <c r="DP104" s="59">
        <f t="shared" si="599"/>
        <v>0</v>
      </c>
      <c r="DQ104" s="55">
        <f t="shared" si="600"/>
        <v>0</v>
      </c>
      <c r="DR104" s="59">
        <f t="shared" si="601"/>
        <v>0</v>
      </c>
      <c r="DU104" s="55">
        <v>1</v>
      </c>
      <c r="DV104" s="55">
        <v>0.97</v>
      </c>
      <c r="DW104" s="55">
        <v>0.95</v>
      </c>
      <c r="DX104" s="55">
        <v>0.93</v>
      </c>
      <c r="DY104" s="55">
        <f t="shared" si="647"/>
        <v>0.91</v>
      </c>
      <c r="DZ104" s="55">
        <f t="shared" si="647"/>
        <v>0.89</v>
      </c>
      <c r="EA104" s="55">
        <f t="shared" si="647"/>
        <v>0.87</v>
      </c>
      <c r="EB104" s="55">
        <f t="shared" si="647"/>
        <v>0.85</v>
      </c>
      <c r="EC104" s="55">
        <f t="shared" si="647"/>
        <v>0.83</v>
      </c>
      <c r="ED104" s="55">
        <f t="shared" si="647"/>
        <v>0.80999999999999994</v>
      </c>
      <c r="EE104" s="55">
        <f t="shared" si="647"/>
        <v>0.78999999999999992</v>
      </c>
      <c r="EF104" s="55">
        <f t="shared" si="647"/>
        <v>0.76999999999999991</v>
      </c>
      <c r="EG104" s="55">
        <f t="shared" si="647"/>
        <v>0.74999999999999989</v>
      </c>
      <c r="EH104" s="55">
        <f t="shared" si="647"/>
        <v>0.72999999999999987</v>
      </c>
      <c r="EI104" s="55">
        <f t="shared" si="647"/>
        <v>0.70999999999999985</v>
      </c>
      <c r="EJ104" s="55">
        <f t="shared" si="647"/>
        <v>0.68999999999999984</v>
      </c>
      <c r="EK104" s="55">
        <f t="shared" si="647"/>
        <v>0.66999999999999982</v>
      </c>
      <c r="EL104" s="55">
        <f t="shared" si="647"/>
        <v>0.6499999999999998</v>
      </c>
      <c r="EM104" s="55">
        <f t="shared" si="647"/>
        <v>0.62999999999999978</v>
      </c>
      <c r="EN104" s="55">
        <f t="shared" si="647"/>
        <v>0.60999999999999976</v>
      </c>
      <c r="EO104" s="55">
        <f t="shared" si="647"/>
        <v>0.58999999999999975</v>
      </c>
      <c r="EP104" s="55">
        <f t="shared" si="647"/>
        <v>0.56999999999999973</v>
      </c>
      <c r="ER104" s="55">
        <f t="shared" si="648"/>
        <v>0</v>
      </c>
      <c r="ES104" s="55">
        <f t="shared" si="510"/>
        <v>0</v>
      </c>
      <c r="ET104" s="59">
        <f t="shared" si="602"/>
        <v>0</v>
      </c>
      <c r="EU104" s="55">
        <f t="shared" si="603"/>
        <v>0</v>
      </c>
      <c r="EV104" s="59">
        <f t="shared" si="604"/>
        <v>0</v>
      </c>
      <c r="EW104" s="55">
        <f t="shared" si="605"/>
        <v>0</v>
      </c>
      <c r="EX104" s="59">
        <f t="shared" si="606"/>
        <v>0</v>
      </c>
      <c r="EY104" s="55">
        <f t="shared" si="607"/>
        <v>0</v>
      </c>
      <c r="EZ104" s="59">
        <f t="shared" si="608"/>
        <v>0</v>
      </c>
      <c r="FA104" s="57">
        <f t="shared" si="609"/>
        <v>0</v>
      </c>
      <c r="FB104" s="59">
        <f t="shared" si="610"/>
        <v>0</v>
      </c>
      <c r="FC104" s="55">
        <f t="shared" si="611"/>
        <v>0</v>
      </c>
      <c r="FD104" s="59">
        <f t="shared" si="612"/>
        <v>0</v>
      </c>
      <c r="FE104" s="57">
        <f t="shared" si="613"/>
        <v>0</v>
      </c>
      <c r="FF104" s="59">
        <f t="shared" si="614"/>
        <v>0</v>
      </c>
      <c r="FG104" s="60">
        <f t="shared" si="615"/>
        <v>0</v>
      </c>
      <c r="FH104" s="59">
        <f t="shared" si="616"/>
        <v>0</v>
      </c>
      <c r="FI104" s="57">
        <f t="shared" si="617"/>
        <v>0</v>
      </c>
      <c r="FJ104" s="59">
        <f t="shared" si="618"/>
        <v>0</v>
      </c>
      <c r="FK104" s="55">
        <f t="shared" si="619"/>
        <v>0</v>
      </c>
      <c r="FL104" s="59">
        <f t="shared" si="620"/>
        <v>0</v>
      </c>
      <c r="FM104" s="60">
        <f t="shared" si="621"/>
        <v>0</v>
      </c>
      <c r="FN104" s="59">
        <f t="shared" si="622"/>
        <v>0</v>
      </c>
      <c r="FO104" s="60">
        <f t="shared" si="623"/>
        <v>0</v>
      </c>
      <c r="FP104" s="59">
        <f t="shared" si="624"/>
        <v>0</v>
      </c>
      <c r="FQ104" s="60">
        <f t="shared" si="625"/>
        <v>0</v>
      </c>
      <c r="FR104" s="59">
        <f t="shared" si="626"/>
        <v>0</v>
      </c>
      <c r="FS104" s="55">
        <f t="shared" si="627"/>
        <v>0</v>
      </c>
      <c r="FT104" s="59">
        <f t="shared" si="628"/>
        <v>0</v>
      </c>
      <c r="FU104" s="60">
        <f t="shared" si="629"/>
        <v>0</v>
      </c>
      <c r="FV104" s="59">
        <f t="shared" si="630"/>
        <v>0</v>
      </c>
      <c r="FW104" s="60">
        <f t="shared" si="631"/>
        <v>0</v>
      </c>
      <c r="FX104" s="59">
        <f t="shared" si="632"/>
        <v>0</v>
      </c>
      <c r="FY104" s="60">
        <f t="shared" si="633"/>
        <v>0</v>
      </c>
      <c r="FZ104" s="59">
        <f t="shared" si="634"/>
        <v>0</v>
      </c>
      <c r="GA104" s="60">
        <f t="shared" si="635"/>
        <v>0</v>
      </c>
      <c r="GB104" s="59">
        <f t="shared" si="636"/>
        <v>0</v>
      </c>
      <c r="GC104" s="55">
        <f t="shared" si="637"/>
        <v>0</v>
      </c>
      <c r="GD104" s="59">
        <f t="shared" si="638"/>
        <v>0</v>
      </c>
      <c r="GE104" s="60">
        <f t="shared" si="639"/>
        <v>0</v>
      </c>
      <c r="GF104" s="59">
        <f t="shared" si="640"/>
        <v>0</v>
      </c>
      <c r="GG104" s="60">
        <f t="shared" si="641"/>
        <v>0</v>
      </c>
      <c r="GH104" s="59">
        <f t="shared" si="642"/>
        <v>0</v>
      </c>
      <c r="GI104" s="55">
        <f t="shared" si="643"/>
        <v>0</v>
      </c>
      <c r="GJ104" s="59">
        <f t="shared" si="644"/>
        <v>0</v>
      </c>
      <c r="GK104" s="55"/>
      <c r="GL104" s="55"/>
      <c r="GM104" s="55">
        <v>1</v>
      </c>
      <c r="GN104" s="55">
        <v>0.97</v>
      </c>
      <c r="GO104" s="55">
        <v>0.95</v>
      </c>
      <c r="GP104" s="55">
        <v>0.93</v>
      </c>
      <c r="GQ104" s="55">
        <f t="shared" si="649"/>
        <v>0.91</v>
      </c>
      <c r="GR104" s="55">
        <f t="shared" si="649"/>
        <v>0.89</v>
      </c>
      <c r="GS104" s="55">
        <f t="shared" si="649"/>
        <v>0.87</v>
      </c>
      <c r="GT104" s="55">
        <f t="shared" si="649"/>
        <v>0.85</v>
      </c>
      <c r="GU104" s="55">
        <f t="shared" si="649"/>
        <v>0.83</v>
      </c>
      <c r="GV104" s="55">
        <f t="shared" si="649"/>
        <v>0.80999999999999994</v>
      </c>
      <c r="GW104" s="55">
        <f t="shared" si="649"/>
        <v>0.78999999999999992</v>
      </c>
      <c r="GX104" s="55">
        <f t="shared" si="649"/>
        <v>0.76999999999999991</v>
      </c>
      <c r="GY104" s="55">
        <f t="shared" si="649"/>
        <v>0.74999999999999989</v>
      </c>
      <c r="GZ104" s="55">
        <f t="shared" si="649"/>
        <v>0.72999999999999987</v>
      </c>
      <c r="HA104" s="55">
        <f t="shared" si="649"/>
        <v>0.70999999999999985</v>
      </c>
      <c r="HB104" s="55">
        <f t="shared" si="649"/>
        <v>0.68999999999999984</v>
      </c>
      <c r="HC104" s="55">
        <f t="shared" si="649"/>
        <v>0.66999999999999982</v>
      </c>
      <c r="HD104" s="55">
        <f t="shared" si="649"/>
        <v>0.6499999999999998</v>
      </c>
      <c r="HE104" s="55">
        <f t="shared" si="649"/>
        <v>0.62999999999999978</v>
      </c>
      <c r="HF104" s="55">
        <f t="shared" si="649"/>
        <v>0.60999999999999976</v>
      </c>
      <c r="HG104" s="55">
        <f t="shared" si="649"/>
        <v>0.58999999999999975</v>
      </c>
      <c r="HH104" s="55">
        <f t="shared" si="649"/>
        <v>0.56999999999999973</v>
      </c>
    </row>
    <row r="105" spans="1:216" x14ac:dyDescent="0.3">
      <c r="A105" s="2">
        <v>14</v>
      </c>
      <c r="C105" s="38" t="s">
        <v>130</v>
      </c>
      <c r="D105" s="42">
        <v>0</v>
      </c>
      <c r="E105" s="71">
        <f t="shared" si="515"/>
        <v>0</v>
      </c>
      <c r="H105" s="55">
        <f t="shared" si="505"/>
        <v>0</v>
      </c>
      <c r="I105" s="55">
        <f t="shared" si="506"/>
        <v>0</v>
      </c>
      <c r="J105" s="59">
        <f t="shared" si="507"/>
        <v>0</v>
      </c>
      <c r="K105" s="55">
        <f t="shared" si="516"/>
        <v>0</v>
      </c>
      <c r="L105" s="59">
        <f t="shared" si="517"/>
        <v>0</v>
      </c>
      <c r="M105" s="55">
        <f t="shared" si="518"/>
        <v>0</v>
      </c>
      <c r="N105" s="59">
        <f t="shared" si="519"/>
        <v>0</v>
      </c>
      <c r="O105" s="55">
        <f t="shared" si="520"/>
        <v>0</v>
      </c>
      <c r="P105" s="59">
        <f t="shared" si="521"/>
        <v>0</v>
      </c>
      <c r="Q105" s="57">
        <f t="shared" si="522"/>
        <v>0</v>
      </c>
      <c r="R105" s="59">
        <f t="shared" si="523"/>
        <v>0</v>
      </c>
      <c r="S105" s="55">
        <f t="shared" si="524"/>
        <v>0</v>
      </c>
      <c r="T105" s="59">
        <f t="shared" si="525"/>
        <v>0</v>
      </c>
      <c r="U105" s="57">
        <f t="shared" si="526"/>
        <v>0</v>
      </c>
      <c r="V105" s="59">
        <f t="shared" si="527"/>
        <v>0</v>
      </c>
      <c r="W105" s="60">
        <f t="shared" si="528"/>
        <v>0</v>
      </c>
      <c r="X105" s="59">
        <f t="shared" si="529"/>
        <v>0</v>
      </c>
      <c r="Y105" s="57">
        <f t="shared" si="530"/>
        <v>0</v>
      </c>
      <c r="Z105" s="59">
        <f t="shared" si="531"/>
        <v>0</v>
      </c>
      <c r="AA105" s="55">
        <f t="shared" si="532"/>
        <v>0</v>
      </c>
      <c r="AB105" s="59">
        <f t="shared" si="533"/>
        <v>0</v>
      </c>
      <c r="AC105" s="60">
        <f t="shared" si="534"/>
        <v>0</v>
      </c>
      <c r="AD105" s="59">
        <f t="shared" si="535"/>
        <v>0</v>
      </c>
      <c r="AE105" s="60">
        <f t="shared" si="536"/>
        <v>0</v>
      </c>
      <c r="AF105" s="59">
        <f t="shared" si="537"/>
        <v>0</v>
      </c>
      <c r="AG105" s="60">
        <f t="shared" si="538"/>
        <v>0</v>
      </c>
      <c r="AH105" s="59">
        <f t="shared" si="539"/>
        <v>0</v>
      </c>
      <c r="AI105" s="55">
        <f t="shared" si="540"/>
        <v>0</v>
      </c>
      <c r="AJ105" s="59">
        <f t="shared" si="541"/>
        <v>0</v>
      </c>
      <c r="AK105" s="60">
        <f t="shared" si="542"/>
        <v>0</v>
      </c>
      <c r="AL105" s="59">
        <f t="shared" si="543"/>
        <v>0</v>
      </c>
      <c r="AM105" s="60">
        <f t="shared" si="544"/>
        <v>0</v>
      </c>
      <c r="AN105" s="59">
        <f t="shared" si="545"/>
        <v>0</v>
      </c>
      <c r="AO105" s="60">
        <f t="shared" si="546"/>
        <v>0</v>
      </c>
      <c r="AP105" s="59">
        <f t="shared" si="547"/>
        <v>0</v>
      </c>
      <c r="AQ105" s="60">
        <f t="shared" si="548"/>
        <v>0</v>
      </c>
      <c r="AR105" s="59">
        <f t="shared" si="549"/>
        <v>0</v>
      </c>
      <c r="AS105" s="55">
        <f t="shared" si="550"/>
        <v>0</v>
      </c>
      <c r="AT105" s="59">
        <f t="shared" si="551"/>
        <v>0</v>
      </c>
      <c r="AU105" s="60">
        <f t="shared" si="552"/>
        <v>0</v>
      </c>
      <c r="AV105" s="59">
        <f t="shared" si="553"/>
        <v>0</v>
      </c>
      <c r="AW105" s="60">
        <f t="shared" si="554"/>
        <v>0</v>
      </c>
      <c r="AX105" s="59">
        <f t="shared" si="555"/>
        <v>0</v>
      </c>
      <c r="AY105" s="55">
        <f t="shared" si="556"/>
        <v>0</v>
      </c>
      <c r="AZ105" s="59">
        <f t="shared" si="557"/>
        <v>0</v>
      </c>
      <c r="BC105" s="55">
        <v>1</v>
      </c>
      <c r="BD105" s="55">
        <v>0.97</v>
      </c>
      <c r="BE105" s="55">
        <v>0.95</v>
      </c>
      <c r="BF105" s="55">
        <v>0.93</v>
      </c>
      <c r="BG105" s="55">
        <f t="shared" si="558"/>
        <v>0.91</v>
      </c>
      <c r="BH105" s="55">
        <f t="shared" si="558"/>
        <v>0.89</v>
      </c>
      <c r="BI105" s="55">
        <f t="shared" si="558"/>
        <v>0.87</v>
      </c>
      <c r="BJ105" s="55">
        <f t="shared" si="558"/>
        <v>0.85</v>
      </c>
      <c r="BK105" s="55">
        <f t="shared" si="558"/>
        <v>0.83</v>
      </c>
      <c r="BL105" s="55">
        <f t="shared" si="558"/>
        <v>0.80999999999999994</v>
      </c>
      <c r="BM105" s="55">
        <f t="shared" si="558"/>
        <v>0.78999999999999992</v>
      </c>
      <c r="BN105" s="55">
        <f t="shared" si="558"/>
        <v>0.76999999999999991</v>
      </c>
      <c r="BO105" s="55">
        <f t="shared" si="558"/>
        <v>0.74999999999999989</v>
      </c>
      <c r="BP105" s="55">
        <f t="shared" si="558"/>
        <v>0.72999999999999987</v>
      </c>
      <c r="BQ105" s="55">
        <f t="shared" si="558"/>
        <v>0.70999999999999985</v>
      </c>
      <c r="BR105" s="55">
        <f t="shared" si="558"/>
        <v>0.68999999999999984</v>
      </c>
      <c r="BS105" s="55">
        <f t="shared" si="558"/>
        <v>0.66999999999999982</v>
      </c>
      <c r="BT105" s="55">
        <f t="shared" si="558"/>
        <v>0.6499999999999998</v>
      </c>
      <c r="BU105" s="55">
        <f t="shared" si="558"/>
        <v>0.62999999999999978</v>
      </c>
      <c r="BV105" s="55">
        <f t="shared" si="558"/>
        <v>0.60999999999999976</v>
      </c>
      <c r="BW105" s="55">
        <f t="shared" si="558"/>
        <v>0.58999999999999975</v>
      </c>
      <c r="BX105" s="55">
        <f t="shared" si="558"/>
        <v>0.56999999999999973</v>
      </c>
      <c r="BZ105" s="55">
        <f t="shared" si="508"/>
        <v>0</v>
      </c>
      <c r="CA105" s="55">
        <f t="shared" si="509"/>
        <v>0</v>
      </c>
      <c r="CB105" s="59">
        <f t="shared" si="559"/>
        <v>0</v>
      </c>
      <c r="CC105" s="55">
        <f t="shared" si="560"/>
        <v>0</v>
      </c>
      <c r="CD105" s="59">
        <f t="shared" si="561"/>
        <v>0</v>
      </c>
      <c r="CE105" s="55">
        <f t="shared" si="562"/>
        <v>0</v>
      </c>
      <c r="CF105" s="59">
        <f t="shared" si="563"/>
        <v>0</v>
      </c>
      <c r="CG105" s="55">
        <f t="shared" si="564"/>
        <v>0</v>
      </c>
      <c r="CH105" s="59">
        <f t="shared" si="565"/>
        <v>0</v>
      </c>
      <c r="CI105" s="57">
        <f t="shared" si="566"/>
        <v>0</v>
      </c>
      <c r="CJ105" s="59">
        <f t="shared" si="567"/>
        <v>0</v>
      </c>
      <c r="CK105" s="55">
        <f t="shared" si="568"/>
        <v>0</v>
      </c>
      <c r="CL105" s="59">
        <f t="shared" si="569"/>
        <v>0</v>
      </c>
      <c r="CM105" s="57">
        <f t="shared" si="570"/>
        <v>0</v>
      </c>
      <c r="CN105" s="59">
        <f t="shared" si="571"/>
        <v>0</v>
      </c>
      <c r="CO105" s="60">
        <f t="shared" si="572"/>
        <v>0</v>
      </c>
      <c r="CP105" s="59">
        <f t="shared" si="573"/>
        <v>0</v>
      </c>
      <c r="CQ105" s="57">
        <f t="shared" si="574"/>
        <v>0</v>
      </c>
      <c r="CR105" s="59">
        <f t="shared" si="575"/>
        <v>0</v>
      </c>
      <c r="CS105" s="55">
        <f t="shared" si="576"/>
        <v>0</v>
      </c>
      <c r="CT105" s="59">
        <f t="shared" si="577"/>
        <v>0</v>
      </c>
      <c r="CU105" s="60">
        <f t="shared" si="578"/>
        <v>0</v>
      </c>
      <c r="CV105" s="59">
        <f t="shared" si="579"/>
        <v>0</v>
      </c>
      <c r="CW105" s="60">
        <f t="shared" si="580"/>
        <v>0</v>
      </c>
      <c r="CX105" s="59">
        <f t="shared" si="581"/>
        <v>0</v>
      </c>
      <c r="CY105" s="60">
        <f t="shared" si="582"/>
        <v>0</v>
      </c>
      <c r="CZ105" s="59">
        <f t="shared" si="583"/>
        <v>0</v>
      </c>
      <c r="DA105" s="55">
        <f t="shared" si="584"/>
        <v>0</v>
      </c>
      <c r="DB105" s="59">
        <f t="shared" si="585"/>
        <v>0</v>
      </c>
      <c r="DC105" s="60">
        <f t="shared" si="586"/>
        <v>0</v>
      </c>
      <c r="DD105" s="59">
        <f t="shared" si="587"/>
        <v>0</v>
      </c>
      <c r="DE105" s="60">
        <f t="shared" si="588"/>
        <v>0</v>
      </c>
      <c r="DF105" s="59">
        <f t="shared" si="589"/>
        <v>0</v>
      </c>
      <c r="DG105" s="60">
        <f t="shared" si="590"/>
        <v>0</v>
      </c>
      <c r="DH105" s="59">
        <f t="shared" si="591"/>
        <v>0</v>
      </c>
      <c r="DI105" s="60">
        <f t="shared" si="592"/>
        <v>0</v>
      </c>
      <c r="DJ105" s="59">
        <f t="shared" si="593"/>
        <v>0</v>
      </c>
      <c r="DK105" s="55">
        <f t="shared" si="594"/>
        <v>0</v>
      </c>
      <c r="DL105" s="59">
        <f t="shared" si="595"/>
        <v>0</v>
      </c>
      <c r="DM105" s="60">
        <f t="shared" si="596"/>
        <v>0</v>
      </c>
      <c r="DN105" s="59">
        <f t="shared" si="597"/>
        <v>0</v>
      </c>
      <c r="DO105" s="60">
        <f t="shared" si="598"/>
        <v>0</v>
      </c>
      <c r="DP105" s="59">
        <f t="shared" si="599"/>
        <v>0</v>
      </c>
      <c r="DQ105" s="55">
        <f t="shared" si="600"/>
        <v>0</v>
      </c>
      <c r="DR105" s="59">
        <f t="shared" si="601"/>
        <v>0</v>
      </c>
      <c r="DU105" s="55">
        <v>1</v>
      </c>
      <c r="DV105" s="55">
        <v>0.97</v>
      </c>
      <c r="DW105" s="55">
        <v>0.95</v>
      </c>
      <c r="DX105" s="55">
        <v>0.93</v>
      </c>
      <c r="DY105" s="55">
        <f t="shared" si="647"/>
        <v>0.91</v>
      </c>
      <c r="DZ105" s="55">
        <f t="shared" si="647"/>
        <v>0.89</v>
      </c>
      <c r="EA105" s="55">
        <f t="shared" si="647"/>
        <v>0.87</v>
      </c>
      <c r="EB105" s="55">
        <f t="shared" si="647"/>
        <v>0.85</v>
      </c>
      <c r="EC105" s="55">
        <f t="shared" si="647"/>
        <v>0.83</v>
      </c>
      <c r="ED105" s="55">
        <f t="shared" si="647"/>
        <v>0.80999999999999994</v>
      </c>
      <c r="EE105" s="55">
        <f t="shared" si="647"/>
        <v>0.78999999999999992</v>
      </c>
      <c r="EF105" s="55">
        <f t="shared" si="647"/>
        <v>0.76999999999999991</v>
      </c>
      <c r="EG105" s="55">
        <f t="shared" si="647"/>
        <v>0.74999999999999989</v>
      </c>
      <c r="EH105" s="55">
        <f t="shared" si="647"/>
        <v>0.72999999999999987</v>
      </c>
      <c r="EI105" s="55">
        <f t="shared" si="647"/>
        <v>0.70999999999999985</v>
      </c>
      <c r="EJ105" s="55">
        <f t="shared" si="647"/>
        <v>0.68999999999999984</v>
      </c>
      <c r="EK105" s="55">
        <f t="shared" si="647"/>
        <v>0.66999999999999982</v>
      </c>
      <c r="EL105" s="55">
        <f t="shared" si="647"/>
        <v>0.6499999999999998</v>
      </c>
      <c r="EM105" s="55">
        <f t="shared" si="647"/>
        <v>0.62999999999999978</v>
      </c>
      <c r="EN105" s="55">
        <f t="shared" si="647"/>
        <v>0.60999999999999976</v>
      </c>
      <c r="EO105" s="55">
        <f t="shared" si="647"/>
        <v>0.58999999999999975</v>
      </c>
      <c r="EP105" s="55">
        <f t="shared" si="647"/>
        <v>0.56999999999999973</v>
      </c>
      <c r="ER105" s="55">
        <f t="shared" si="648"/>
        <v>0</v>
      </c>
      <c r="ES105" s="55">
        <f t="shared" si="510"/>
        <v>0</v>
      </c>
      <c r="ET105" s="59">
        <f t="shared" si="602"/>
        <v>0</v>
      </c>
      <c r="EU105" s="55">
        <f t="shared" si="603"/>
        <v>0</v>
      </c>
      <c r="EV105" s="59">
        <f t="shared" si="604"/>
        <v>0</v>
      </c>
      <c r="EW105" s="55">
        <f t="shared" si="605"/>
        <v>0</v>
      </c>
      <c r="EX105" s="59">
        <f t="shared" si="606"/>
        <v>0</v>
      </c>
      <c r="EY105" s="55">
        <f t="shared" si="607"/>
        <v>0</v>
      </c>
      <c r="EZ105" s="59">
        <f t="shared" si="608"/>
        <v>0</v>
      </c>
      <c r="FA105" s="57">
        <f t="shared" si="609"/>
        <v>0</v>
      </c>
      <c r="FB105" s="59">
        <f t="shared" si="610"/>
        <v>0</v>
      </c>
      <c r="FC105" s="55">
        <f t="shared" si="611"/>
        <v>0</v>
      </c>
      <c r="FD105" s="59">
        <f t="shared" si="612"/>
        <v>0</v>
      </c>
      <c r="FE105" s="57">
        <f t="shared" si="613"/>
        <v>0</v>
      </c>
      <c r="FF105" s="59">
        <f t="shared" si="614"/>
        <v>0</v>
      </c>
      <c r="FG105" s="60">
        <f t="shared" si="615"/>
        <v>0</v>
      </c>
      <c r="FH105" s="59">
        <f t="shared" si="616"/>
        <v>0</v>
      </c>
      <c r="FI105" s="57">
        <f t="shared" si="617"/>
        <v>0</v>
      </c>
      <c r="FJ105" s="59">
        <f t="shared" si="618"/>
        <v>0</v>
      </c>
      <c r="FK105" s="55">
        <f t="shared" si="619"/>
        <v>0</v>
      </c>
      <c r="FL105" s="59">
        <f t="shared" si="620"/>
        <v>0</v>
      </c>
      <c r="FM105" s="60">
        <f t="shared" si="621"/>
        <v>0</v>
      </c>
      <c r="FN105" s="59">
        <f t="shared" si="622"/>
        <v>0</v>
      </c>
      <c r="FO105" s="60">
        <f t="shared" si="623"/>
        <v>0</v>
      </c>
      <c r="FP105" s="59">
        <f t="shared" si="624"/>
        <v>0</v>
      </c>
      <c r="FQ105" s="60">
        <f t="shared" si="625"/>
        <v>0</v>
      </c>
      <c r="FR105" s="59">
        <f t="shared" si="626"/>
        <v>0</v>
      </c>
      <c r="FS105" s="55">
        <f t="shared" si="627"/>
        <v>0</v>
      </c>
      <c r="FT105" s="59">
        <f t="shared" si="628"/>
        <v>0</v>
      </c>
      <c r="FU105" s="60">
        <f t="shared" si="629"/>
        <v>0</v>
      </c>
      <c r="FV105" s="59">
        <f t="shared" si="630"/>
        <v>0</v>
      </c>
      <c r="FW105" s="60">
        <f t="shared" si="631"/>
        <v>0</v>
      </c>
      <c r="FX105" s="59">
        <f t="shared" si="632"/>
        <v>0</v>
      </c>
      <c r="FY105" s="60">
        <f t="shared" si="633"/>
        <v>0</v>
      </c>
      <c r="FZ105" s="59">
        <f t="shared" si="634"/>
        <v>0</v>
      </c>
      <c r="GA105" s="60">
        <f t="shared" si="635"/>
        <v>0</v>
      </c>
      <c r="GB105" s="59">
        <f t="shared" si="636"/>
        <v>0</v>
      </c>
      <c r="GC105" s="55">
        <f t="shared" si="637"/>
        <v>0</v>
      </c>
      <c r="GD105" s="59">
        <f t="shared" si="638"/>
        <v>0</v>
      </c>
      <c r="GE105" s="60">
        <f t="shared" si="639"/>
        <v>0</v>
      </c>
      <c r="GF105" s="59">
        <f t="shared" si="640"/>
        <v>0</v>
      </c>
      <c r="GG105" s="60">
        <f t="shared" si="641"/>
        <v>0</v>
      </c>
      <c r="GH105" s="59">
        <f t="shared" si="642"/>
        <v>0</v>
      </c>
      <c r="GI105" s="55">
        <f t="shared" si="643"/>
        <v>0</v>
      </c>
      <c r="GJ105" s="59">
        <f t="shared" si="644"/>
        <v>0</v>
      </c>
      <c r="GK105" s="55"/>
      <c r="GL105" s="55"/>
      <c r="GM105" s="55">
        <v>1</v>
      </c>
      <c r="GN105" s="55">
        <v>0.97</v>
      </c>
      <c r="GO105" s="55">
        <v>0.95</v>
      </c>
      <c r="GP105" s="55">
        <v>0.93</v>
      </c>
      <c r="GQ105" s="55">
        <f t="shared" si="649"/>
        <v>0.91</v>
      </c>
      <c r="GR105" s="55">
        <f t="shared" si="649"/>
        <v>0.89</v>
      </c>
      <c r="GS105" s="55">
        <f t="shared" si="649"/>
        <v>0.87</v>
      </c>
      <c r="GT105" s="55">
        <f t="shared" si="649"/>
        <v>0.85</v>
      </c>
      <c r="GU105" s="55">
        <f t="shared" si="649"/>
        <v>0.83</v>
      </c>
      <c r="GV105" s="55">
        <f t="shared" si="649"/>
        <v>0.80999999999999994</v>
      </c>
      <c r="GW105" s="55">
        <f t="shared" si="649"/>
        <v>0.78999999999999992</v>
      </c>
      <c r="GX105" s="55">
        <f t="shared" si="649"/>
        <v>0.76999999999999991</v>
      </c>
      <c r="GY105" s="55">
        <f t="shared" si="649"/>
        <v>0.74999999999999989</v>
      </c>
      <c r="GZ105" s="55">
        <f t="shared" si="649"/>
        <v>0.72999999999999987</v>
      </c>
      <c r="HA105" s="55">
        <f t="shared" si="649"/>
        <v>0.70999999999999985</v>
      </c>
      <c r="HB105" s="55">
        <f t="shared" si="649"/>
        <v>0.68999999999999984</v>
      </c>
      <c r="HC105" s="55">
        <f t="shared" si="649"/>
        <v>0.66999999999999982</v>
      </c>
      <c r="HD105" s="55">
        <f t="shared" si="649"/>
        <v>0.6499999999999998</v>
      </c>
      <c r="HE105" s="55">
        <f t="shared" si="649"/>
        <v>0.62999999999999978</v>
      </c>
      <c r="HF105" s="55">
        <f t="shared" si="649"/>
        <v>0.60999999999999976</v>
      </c>
      <c r="HG105" s="55">
        <f t="shared" si="649"/>
        <v>0.58999999999999975</v>
      </c>
      <c r="HH105" s="55">
        <f t="shared" si="649"/>
        <v>0.56999999999999973</v>
      </c>
    </row>
    <row r="106" spans="1:216" x14ac:dyDescent="0.3">
      <c r="A106" s="2">
        <v>15</v>
      </c>
      <c r="C106" s="38" t="s">
        <v>133</v>
      </c>
      <c r="D106" s="42">
        <v>0</v>
      </c>
      <c r="E106" s="71">
        <f t="shared" si="515"/>
        <v>0</v>
      </c>
      <c r="H106" s="55">
        <f t="shared" si="505"/>
        <v>0</v>
      </c>
      <c r="I106" s="55">
        <f t="shared" si="506"/>
        <v>0</v>
      </c>
      <c r="J106" s="59">
        <f t="shared" si="507"/>
        <v>0</v>
      </c>
      <c r="K106" s="55">
        <f t="shared" si="516"/>
        <v>0</v>
      </c>
      <c r="L106" s="59">
        <f t="shared" si="517"/>
        <v>0</v>
      </c>
      <c r="M106" s="55">
        <f t="shared" si="518"/>
        <v>0</v>
      </c>
      <c r="N106" s="59">
        <f t="shared" si="519"/>
        <v>0</v>
      </c>
      <c r="O106" s="55">
        <f t="shared" si="520"/>
        <v>0</v>
      </c>
      <c r="P106" s="59">
        <f t="shared" si="521"/>
        <v>0</v>
      </c>
      <c r="Q106" s="57">
        <f t="shared" si="522"/>
        <v>0</v>
      </c>
      <c r="R106" s="59">
        <f t="shared" si="523"/>
        <v>0</v>
      </c>
      <c r="S106" s="55">
        <f t="shared" si="524"/>
        <v>0</v>
      </c>
      <c r="T106" s="59">
        <f t="shared" si="525"/>
        <v>0</v>
      </c>
      <c r="U106" s="57">
        <f t="shared" si="526"/>
        <v>0</v>
      </c>
      <c r="V106" s="59">
        <f t="shared" si="527"/>
        <v>0</v>
      </c>
      <c r="W106" s="60">
        <f t="shared" si="528"/>
        <v>0</v>
      </c>
      <c r="X106" s="59">
        <f t="shared" si="529"/>
        <v>0</v>
      </c>
      <c r="Y106" s="57">
        <f t="shared" si="530"/>
        <v>0</v>
      </c>
      <c r="Z106" s="59">
        <f t="shared" si="531"/>
        <v>0</v>
      </c>
      <c r="AA106" s="55">
        <f t="shared" si="532"/>
        <v>0</v>
      </c>
      <c r="AB106" s="59">
        <f t="shared" si="533"/>
        <v>0</v>
      </c>
      <c r="AC106" s="60">
        <f t="shared" si="534"/>
        <v>0</v>
      </c>
      <c r="AD106" s="59">
        <f t="shared" si="535"/>
        <v>0</v>
      </c>
      <c r="AE106" s="60">
        <f t="shared" si="536"/>
        <v>0</v>
      </c>
      <c r="AF106" s="59">
        <f t="shared" si="537"/>
        <v>0</v>
      </c>
      <c r="AG106" s="60">
        <f t="shared" si="538"/>
        <v>0</v>
      </c>
      <c r="AH106" s="59">
        <f t="shared" si="539"/>
        <v>0</v>
      </c>
      <c r="AI106" s="55">
        <f t="shared" si="540"/>
        <v>0</v>
      </c>
      <c r="AJ106" s="59">
        <f t="shared" si="541"/>
        <v>0</v>
      </c>
      <c r="AK106" s="60">
        <f t="shared" si="542"/>
        <v>0</v>
      </c>
      <c r="AL106" s="59">
        <f t="shared" si="543"/>
        <v>0</v>
      </c>
      <c r="AM106" s="60">
        <f t="shared" si="544"/>
        <v>0</v>
      </c>
      <c r="AN106" s="59">
        <f t="shared" si="545"/>
        <v>0</v>
      </c>
      <c r="AO106" s="60">
        <f t="shared" si="546"/>
        <v>0</v>
      </c>
      <c r="AP106" s="59">
        <f t="shared" si="547"/>
        <v>0</v>
      </c>
      <c r="AQ106" s="60">
        <f t="shared" si="548"/>
        <v>0</v>
      </c>
      <c r="AR106" s="59">
        <f t="shared" si="549"/>
        <v>0</v>
      </c>
      <c r="AS106" s="55">
        <f t="shared" si="550"/>
        <v>0</v>
      </c>
      <c r="AT106" s="59">
        <f t="shared" si="551"/>
        <v>0</v>
      </c>
      <c r="AU106" s="60">
        <f t="shared" si="552"/>
        <v>0</v>
      </c>
      <c r="AV106" s="59">
        <f t="shared" si="553"/>
        <v>0</v>
      </c>
      <c r="AW106" s="60">
        <f t="shared" si="554"/>
        <v>0</v>
      </c>
      <c r="AX106" s="59">
        <f t="shared" si="555"/>
        <v>0</v>
      </c>
      <c r="AY106" s="55">
        <f t="shared" si="556"/>
        <v>0</v>
      </c>
      <c r="AZ106" s="59">
        <f t="shared" si="557"/>
        <v>0</v>
      </c>
      <c r="BC106" s="55">
        <v>1</v>
      </c>
      <c r="BD106" s="55">
        <v>0.97</v>
      </c>
      <c r="BE106" s="55">
        <v>0.95</v>
      </c>
      <c r="BF106" s="55">
        <v>0.93</v>
      </c>
      <c r="BG106" s="55">
        <f t="shared" si="558"/>
        <v>0.91</v>
      </c>
      <c r="BH106" s="55">
        <f t="shared" si="558"/>
        <v>0.89</v>
      </c>
      <c r="BI106" s="55">
        <f t="shared" si="558"/>
        <v>0.87</v>
      </c>
      <c r="BJ106" s="55">
        <f t="shared" ref="BJ106:BX106" si="650">+BI106-0.02</f>
        <v>0.85</v>
      </c>
      <c r="BK106" s="55">
        <f t="shared" si="650"/>
        <v>0.83</v>
      </c>
      <c r="BL106" s="55">
        <f t="shared" si="650"/>
        <v>0.80999999999999994</v>
      </c>
      <c r="BM106" s="55">
        <f t="shared" si="650"/>
        <v>0.78999999999999992</v>
      </c>
      <c r="BN106" s="55">
        <f t="shared" si="650"/>
        <v>0.76999999999999991</v>
      </c>
      <c r="BO106" s="55">
        <f t="shared" si="650"/>
        <v>0.74999999999999989</v>
      </c>
      <c r="BP106" s="55">
        <f t="shared" si="650"/>
        <v>0.72999999999999987</v>
      </c>
      <c r="BQ106" s="55">
        <f t="shared" si="650"/>
        <v>0.70999999999999985</v>
      </c>
      <c r="BR106" s="55">
        <f t="shared" si="650"/>
        <v>0.68999999999999984</v>
      </c>
      <c r="BS106" s="55">
        <f t="shared" si="650"/>
        <v>0.66999999999999982</v>
      </c>
      <c r="BT106" s="55">
        <f t="shared" si="650"/>
        <v>0.6499999999999998</v>
      </c>
      <c r="BU106" s="55">
        <f t="shared" si="650"/>
        <v>0.62999999999999978</v>
      </c>
      <c r="BV106" s="55">
        <f t="shared" si="650"/>
        <v>0.60999999999999976</v>
      </c>
      <c r="BW106" s="55">
        <f t="shared" si="650"/>
        <v>0.58999999999999975</v>
      </c>
      <c r="BX106" s="55">
        <f t="shared" si="650"/>
        <v>0.56999999999999973</v>
      </c>
      <c r="BZ106" s="55">
        <f t="shared" si="508"/>
        <v>0</v>
      </c>
      <c r="CA106" s="55">
        <f t="shared" si="509"/>
        <v>0</v>
      </c>
      <c r="CB106" s="59">
        <f t="shared" si="559"/>
        <v>0</v>
      </c>
      <c r="CC106" s="55">
        <f t="shared" si="560"/>
        <v>0</v>
      </c>
      <c r="CD106" s="59">
        <f t="shared" si="561"/>
        <v>0</v>
      </c>
      <c r="CE106" s="55">
        <f t="shared" si="562"/>
        <v>0</v>
      </c>
      <c r="CF106" s="59">
        <f t="shared" si="563"/>
        <v>0</v>
      </c>
      <c r="CG106" s="55">
        <f t="shared" si="564"/>
        <v>0</v>
      </c>
      <c r="CH106" s="59">
        <f t="shared" si="565"/>
        <v>0</v>
      </c>
      <c r="CI106" s="57">
        <f t="shared" si="566"/>
        <v>0</v>
      </c>
      <c r="CJ106" s="59">
        <f t="shared" si="567"/>
        <v>0</v>
      </c>
      <c r="CK106" s="55">
        <f t="shared" si="568"/>
        <v>0</v>
      </c>
      <c r="CL106" s="59">
        <f t="shared" si="569"/>
        <v>0</v>
      </c>
      <c r="CM106" s="57">
        <f t="shared" si="570"/>
        <v>0</v>
      </c>
      <c r="CN106" s="59">
        <f t="shared" si="571"/>
        <v>0</v>
      </c>
      <c r="CO106" s="60">
        <f t="shared" si="572"/>
        <v>0</v>
      </c>
      <c r="CP106" s="59">
        <f t="shared" si="573"/>
        <v>0</v>
      </c>
      <c r="CQ106" s="57">
        <f t="shared" si="574"/>
        <v>0</v>
      </c>
      <c r="CR106" s="59">
        <f t="shared" si="575"/>
        <v>0</v>
      </c>
      <c r="CS106" s="55">
        <f t="shared" si="576"/>
        <v>0</v>
      </c>
      <c r="CT106" s="59">
        <f t="shared" si="577"/>
        <v>0</v>
      </c>
      <c r="CU106" s="60">
        <f t="shared" si="578"/>
        <v>0</v>
      </c>
      <c r="CV106" s="59">
        <f t="shared" si="579"/>
        <v>0</v>
      </c>
      <c r="CW106" s="60">
        <f t="shared" si="580"/>
        <v>0</v>
      </c>
      <c r="CX106" s="59">
        <f t="shared" si="581"/>
        <v>0</v>
      </c>
      <c r="CY106" s="60">
        <f t="shared" si="582"/>
        <v>0</v>
      </c>
      <c r="CZ106" s="59">
        <f t="shared" si="583"/>
        <v>0</v>
      </c>
      <c r="DA106" s="55">
        <f t="shared" si="584"/>
        <v>0</v>
      </c>
      <c r="DB106" s="59">
        <f t="shared" si="585"/>
        <v>0</v>
      </c>
      <c r="DC106" s="60">
        <f t="shared" si="586"/>
        <v>0</v>
      </c>
      <c r="DD106" s="59">
        <f t="shared" si="587"/>
        <v>0</v>
      </c>
      <c r="DE106" s="60">
        <f t="shared" si="588"/>
        <v>0</v>
      </c>
      <c r="DF106" s="59">
        <f t="shared" si="589"/>
        <v>0</v>
      </c>
      <c r="DG106" s="60">
        <f t="shared" si="590"/>
        <v>0</v>
      </c>
      <c r="DH106" s="59">
        <f t="shared" si="591"/>
        <v>0</v>
      </c>
      <c r="DI106" s="60">
        <f t="shared" si="592"/>
        <v>0</v>
      </c>
      <c r="DJ106" s="59">
        <f t="shared" si="593"/>
        <v>0</v>
      </c>
      <c r="DK106" s="55">
        <f t="shared" si="594"/>
        <v>0</v>
      </c>
      <c r="DL106" s="59">
        <f t="shared" si="595"/>
        <v>0</v>
      </c>
      <c r="DM106" s="60">
        <f t="shared" si="596"/>
        <v>0</v>
      </c>
      <c r="DN106" s="59">
        <f t="shared" si="597"/>
        <v>0</v>
      </c>
      <c r="DO106" s="60">
        <f t="shared" si="598"/>
        <v>0</v>
      </c>
      <c r="DP106" s="59">
        <f t="shared" si="599"/>
        <v>0</v>
      </c>
      <c r="DQ106" s="55">
        <f t="shared" si="600"/>
        <v>0</v>
      </c>
      <c r="DR106" s="59">
        <f t="shared" si="601"/>
        <v>0</v>
      </c>
      <c r="DU106" s="55">
        <v>1</v>
      </c>
      <c r="DV106" s="55">
        <v>0.97</v>
      </c>
      <c r="DW106" s="55">
        <v>0.95</v>
      </c>
      <c r="DX106" s="55">
        <v>0.93</v>
      </c>
      <c r="DY106" s="55">
        <f t="shared" si="647"/>
        <v>0.91</v>
      </c>
      <c r="DZ106" s="55">
        <f t="shared" si="647"/>
        <v>0.89</v>
      </c>
      <c r="EA106" s="55">
        <f t="shared" si="647"/>
        <v>0.87</v>
      </c>
      <c r="EB106" s="55">
        <f t="shared" si="647"/>
        <v>0.85</v>
      </c>
      <c r="EC106" s="55">
        <f t="shared" si="647"/>
        <v>0.83</v>
      </c>
      <c r="ED106" s="55">
        <f t="shared" si="647"/>
        <v>0.80999999999999994</v>
      </c>
      <c r="EE106" s="55">
        <f t="shared" si="647"/>
        <v>0.78999999999999992</v>
      </c>
      <c r="EF106" s="55">
        <f t="shared" si="647"/>
        <v>0.76999999999999991</v>
      </c>
      <c r="EG106" s="55">
        <f t="shared" si="647"/>
        <v>0.74999999999999989</v>
      </c>
      <c r="EH106" s="55">
        <f t="shared" si="647"/>
        <v>0.72999999999999987</v>
      </c>
      <c r="EI106" s="55">
        <f t="shared" si="647"/>
        <v>0.70999999999999985</v>
      </c>
      <c r="EJ106" s="55">
        <f t="shared" si="647"/>
        <v>0.68999999999999984</v>
      </c>
      <c r="EK106" s="55">
        <f t="shared" si="647"/>
        <v>0.66999999999999982</v>
      </c>
      <c r="EL106" s="55">
        <f t="shared" si="647"/>
        <v>0.6499999999999998</v>
      </c>
      <c r="EM106" s="55">
        <f t="shared" si="647"/>
        <v>0.62999999999999978</v>
      </c>
      <c r="EN106" s="55">
        <f t="shared" si="647"/>
        <v>0.60999999999999976</v>
      </c>
      <c r="EO106" s="55">
        <f t="shared" si="647"/>
        <v>0.58999999999999975</v>
      </c>
      <c r="EP106" s="55">
        <f t="shared" si="647"/>
        <v>0.56999999999999973</v>
      </c>
      <c r="ER106" s="55">
        <f t="shared" si="648"/>
        <v>0</v>
      </c>
      <c r="ES106" s="55">
        <f t="shared" si="510"/>
        <v>0</v>
      </c>
      <c r="ET106" s="59">
        <f t="shared" si="602"/>
        <v>0</v>
      </c>
      <c r="EU106" s="55">
        <f t="shared" si="603"/>
        <v>0</v>
      </c>
      <c r="EV106" s="59">
        <f t="shared" si="604"/>
        <v>0</v>
      </c>
      <c r="EW106" s="55">
        <f t="shared" si="605"/>
        <v>0</v>
      </c>
      <c r="EX106" s="59">
        <f t="shared" si="606"/>
        <v>0</v>
      </c>
      <c r="EY106" s="55">
        <f t="shared" si="607"/>
        <v>0</v>
      </c>
      <c r="EZ106" s="59">
        <f t="shared" si="608"/>
        <v>0</v>
      </c>
      <c r="FA106" s="57">
        <f t="shared" si="609"/>
        <v>0</v>
      </c>
      <c r="FB106" s="59">
        <f t="shared" si="610"/>
        <v>0</v>
      </c>
      <c r="FC106" s="55">
        <f t="shared" si="611"/>
        <v>0</v>
      </c>
      <c r="FD106" s="59">
        <f t="shared" si="612"/>
        <v>0</v>
      </c>
      <c r="FE106" s="57">
        <f t="shared" si="613"/>
        <v>0</v>
      </c>
      <c r="FF106" s="59">
        <f t="shared" si="614"/>
        <v>0</v>
      </c>
      <c r="FG106" s="60">
        <f t="shared" si="615"/>
        <v>0</v>
      </c>
      <c r="FH106" s="59">
        <f t="shared" si="616"/>
        <v>0</v>
      </c>
      <c r="FI106" s="57">
        <f t="shared" si="617"/>
        <v>0</v>
      </c>
      <c r="FJ106" s="59">
        <f t="shared" si="618"/>
        <v>0</v>
      </c>
      <c r="FK106" s="55">
        <f t="shared" si="619"/>
        <v>0</v>
      </c>
      <c r="FL106" s="59">
        <f t="shared" si="620"/>
        <v>0</v>
      </c>
      <c r="FM106" s="60">
        <f t="shared" si="621"/>
        <v>0</v>
      </c>
      <c r="FN106" s="59">
        <f t="shared" si="622"/>
        <v>0</v>
      </c>
      <c r="FO106" s="60">
        <f t="shared" si="623"/>
        <v>0</v>
      </c>
      <c r="FP106" s="59">
        <f t="shared" si="624"/>
        <v>0</v>
      </c>
      <c r="FQ106" s="60">
        <f t="shared" si="625"/>
        <v>0</v>
      </c>
      <c r="FR106" s="59">
        <f t="shared" si="626"/>
        <v>0</v>
      </c>
      <c r="FS106" s="55">
        <f t="shared" si="627"/>
        <v>0</v>
      </c>
      <c r="FT106" s="59">
        <f t="shared" si="628"/>
        <v>0</v>
      </c>
      <c r="FU106" s="60">
        <f t="shared" si="629"/>
        <v>0</v>
      </c>
      <c r="FV106" s="59">
        <f t="shared" si="630"/>
        <v>0</v>
      </c>
      <c r="FW106" s="60">
        <f t="shared" si="631"/>
        <v>0</v>
      </c>
      <c r="FX106" s="59">
        <f t="shared" si="632"/>
        <v>0</v>
      </c>
      <c r="FY106" s="60">
        <f t="shared" si="633"/>
        <v>0</v>
      </c>
      <c r="FZ106" s="59">
        <f t="shared" si="634"/>
        <v>0</v>
      </c>
      <c r="GA106" s="60">
        <f t="shared" si="635"/>
        <v>0</v>
      </c>
      <c r="GB106" s="59">
        <f t="shared" si="636"/>
        <v>0</v>
      </c>
      <c r="GC106" s="55">
        <f t="shared" si="637"/>
        <v>0</v>
      </c>
      <c r="GD106" s="59">
        <f t="shared" si="638"/>
        <v>0</v>
      </c>
      <c r="GE106" s="60">
        <f t="shared" si="639"/>
        <v>0</v>
      </c>
      <c r="GF106" s="59">
        <f t="shared" si="640"/>
        <v>0</v>
      </c>
      <c r="GG106" s="60">
        <f t="shared" si="641"/>
        <v>0</v>
      </c>
      <c r="GH106" s="59">
        <f t="shared" si="642"/>
        <v>0</v>
      </c>
      <c r="GI106" s="55">
        <f t="shared" si="643"/>
        <v>0</v>
      </c>
      <c r="GJ106" s="59">
        <f t="shared" si="644"/>
        <v>0</v>
      </c>
      <c r="GK106" s="55"/>
      <c r="GL106" s="55"/>
      <c r="GM106" s="55">
        <v>1</v>
      </c>
      <c r="GN106" s="55">
        <v>0.97</v>
      </c>
      <c r="GO106" s="55">
        <v>0.95</v>
      </c>
      <c r="GP106" s="55">
        <v>0.93</v>
      </c>
      <c r="GQ106" s="55">
        <f t="shared" si="649"/>
        <v>0.91</v>
      </c>
      <c r="GR106" s="55">
        <f t="shared" si="649"/>
        <v>0.89</v>
      </c>
      <c r="GS106" s="55">
        <f t="shared" si="649"/>
        <v>0.87</v>
      </c>
      <c r="GT106" s="55">
        <f t="shared" si="649"/>
        <v>0.85</v>
      </c>
      <c r="GU106" s="55">
        <f t="shared" si="649"/>
        <v>0.83</v>
      </c>
      <c r="GV106" s="55">
        <f t="shared" si="649"/>
        <v>0.80999999999999994</v>
      </c>
      <c r="GW106" s="55">
        <f t="shared" si="649"/>
        <v>0.78999999999999992</v>
      </c>
      <c r="GX106" s="55">
        <f t="shared" si="649"/>
        <v>0.76999999999999991</v>
      </c>
      <c r="GY106" s="55">
        <f t="shared" si="649"/>
        <v>0.74999999999999989</v>
      </c>
      <c r="GZ106" s="55">
        <f t="shared" si="649"/>
        <v>0.72999999999999987</v>
      </c>
      <c r="HA106" s="55">
        <f t="shared" si="649"/>
        <v>0.70999999999999985</v>
      </c>
      <c r="HB106" s="55">
        <f t="shared" si="649"/>
        <v>0.68999999999999984</v>
      </c>
      <c r="HC106" s="55">
        <f t="shared" si="649"/>
        <v>0.66999999999999982</v>
      </c>
      <c r="HD106" s="55">
        <f t="shared" si="649"/>
        <v>0.6499999999999998</v>
      </c>
      <c r="HE106" s="55">
        <f t="shared" si="649"/>
        <v>0.62999999999999978</v>
      </c>
      <c r="HF106" s="55">
        <f t="shared" si="649"/>
        <v>0.60999999999999976</v>
      </c>
      <c r="HG106" s="55">
        <f t="shared" si="649"/>
        <v>0.58999999999999975</v>
      </c>
      <c r="HH106" s="55">
        <f t="shared" si="649"/>
        <v>0.56999999999999973</v>
      </c>
    </row>
    <row r="107" spans="1:216" x14ac:dyDescent="0.3">
      <c r="A107" s="2">
        <v>16</v>
      </c>
      <c r="C107" s="38" t="s">
        <v>119</v>
      </c>
      <c r="D107" s="42">
        <v>0</v>
      </c>
      <c r="E107" s="71">
        <f t="shared" si="515"/>
        <v>0</v>
      </c>
      <c r="H107" s="55">
        <f t="shared" si="505"/>
        <v>0</v>
      </c>
      <c r="I107" s="55">
        <f t="shared" si="506"/>
        <v>0</v>
      </c>
      <c r="J107" s="59">
        <f t="shared" si="507"/>
        <v>0</v>
      </c>
      <c r="K107" s="55">
        <f t="shared" si="516"/>
        <v>0</v>
      </c>
      <c r="L107" s="59">
        <f t="shared" si="517"/>
        <v>0</v>
      </c>
      <c r="M107" s="55">
        <f t="shared" si="518"/>
        <v>0</v>
      </c>
      <c r="N107" s="59">
        <f t="shared" si="519"/>
        <v>0</v>
      </c>
      <c r="O107" s="55">
        <f t="shared" si="520"/>
        <v>0</v>
      </c>
      <c r="P107" s="59">
        <f t="shared" si="521"/>
        <v>0</v>
      </c>
      <c r="Q107" s="57">
        <f t="shared" si="522"/>
        <v>0</v>
      </c>
      <c r="R107" s="59">
        <f t="shared" si="523"/>
        <v>0</v>
      </c>
      <c r="S107" s="55">
        <f t="shared" si="524"/>
        <v>0</v>
      </c>
      <c r="T107" s="59">
        <f t="shared" si="525"/>
        <v>0</v>
      </c>
      <c r="U107" s="57">
        <f t="shared" si="526"/>
        <v>0</v>
      </c>
      <c r="V107" s="59">
        <f t="shared" si="527"/>
        <v>0</v>
      </c>
      <c r="W107" s="60">
        <f t="shared" si="528"/>
        <v>0</v>
      </c>
      <c r="X107" s="59">
        <f t="shared" si="529"/>
        <v>0</v>
      </c>
      <c r="Y107" s="57">
        <f t="shared" si="530"/>
        <v>0</v>
      </c>
      <c r="Z107" s="59">
        <f t="shared" si="531"/>
        <v>0</v>
      </c>
      <c r="AA107" s="55">
        <f t="shared" si="532"/>
        <v>0</v>
      </c>
      <c r="AB107" s="59">
        <f t="shared" si="533"/>
        <v>0</v>
      </c>
      <c r="AC107" s="60">
        <f t="shared" si="534"/>
        <v>0</v>
      </c>
      <c r="AD107" s="59">
        <f t="shared" si="535"/>
        <v>0</v>
      </c>
      <c r="AE107" s="60">
        <f t="shared" si="536"/>
        <v>0</v>
      </c>
      <c r="AF107" s="59">
        <f t="shared" si="537"/>
        <v>0</v>
      </c>
      <c r="AG107" s="60">
        <f t="shared" si="538"/>
        <v>0</v>
      </c>
      <c r="AH107" s="59">
        <f t="shared" si="539"/>
        <v>0</v>
      </c>
      <c r="AI107" s="55">
        <f t="shared" si="540"/>
        <v>0</v>
      </c>
      <c r="AJ107" s="59">
        <f t="shared" si="541"/>
        <v>0</v>
      </c>
      <c r="AK107" s="60">
        <f t="shared" si="542"/>
        <v>0</v>
      </c>
      <c r="AL107" s="59">
        <f t="shared" si="543"/>
        <v>0</v>
      </c>
      <c r="AM107" s="60">
        <f t="shared" si="544"/>
        <v>0</v>
      </c>
      <c r="AN107" s="59">
        <f t="shared" si="545"/>
        <v>0</v>
      </c>
      <c r="AO107" s="60">
        <f t="shared" si="546"/>
        <v>0</v>
      </c>
      <c r="AP107" s="59">
        <f t="shared" si="547"/>
        <v>0</v>
      </c>
      <c r="AQ107" s="60">
        <f t="shared" si="548"/>
        <v>0</v>
      </c>
      <c r="AR107" s="59">
        <f t="shared" si="549"/>
        <v>0</v>
      </c>
      <c r="AS107" s="55">
        <f t="shared" si="550"/>
        <v>0</v>
      </c>
      <c r="AT107" s="59">
        <f t="shared" si="551"/>
        <v>0</v>
      </c>
      <c r="AU107" s="60">
        <f t="shared" si="552"/>
        <v>0</v>
      </c>
      <c r="AV107" s="59">
        <f t="shared" si="553"/>
        <v>0</v>
      </c>
      <c r="AW107" s="60">
        <f t="shared" si="554"/>
        <v>0</v>
      </c>
      <c r="AX107" s="59">
        <f t="shared" si="555"/>
        <v>0</v>
      </c>
      <c r="AY107" s="55">
        <f t="shared" si="556"/>
        <v>0</v>
      </c>
      <c r="AZ107" s="59">
        <f t="shared" si="557"/>
        <v>0</v>
      </c>
      <c r="BC107" s="55">
        <v>1</v>
      </c>
      <c r="BD107" s="55">
        <v>0.97</v>
      </c>
      <c r="BE107" s="55">
        <v>0.95</v>
      </c>
      <c r="BF107" s="55">
        <v>0.93</v>
      </c>
      <c r="BG107" s="55">
        <f t="shared" ref="BG107:BX113" si="651">+BF107-0.02</f>
        <v>0.91</v>
      </c>
      <c r="BH107" s="55">
        <f t="shared" si="651"/>
        <v>0.89</v>
      </c>
      <c r="BI107" s="55">
        <f t="shared" si="651"/>
        <v>0.87</v>
      </c>
      <c r="BJ107" s="55">
        <f t="shared" si="651"/>
        <v>0.85</v>
      </c>
      <c r="BK107" s="55">
        <f t="shared" si="651"/>
        <v>0.83</v>
      </c>
      <c r="BL107" s="55">
        <f t="shared" si="651"/>
        <v>0.80999999999999994</v>
      </c>
      <c r="BM107" s="55">
        <f t="shared" si="651"/>
        <v>0.78999999999999992</v>
      </c>
      <c r="BN107" s="55">
        <f t="shared" si="651"/>
        <v>0.76999999999999991</v>
      </c>
      <c r="BO107" s="55">
        <f t="shared" si="651"/>
        <v>0.74999999999999989</v>
      </c>
      <c r="BP107" s="55">
        <f t="shared" si="651"/>
        <v>0.72999999999999987</v>
      </c>
      <c r="BQ107" s="55">
        <f t="shared" si="651"/>
        <v>0.70999999999999985</v>
      </c>
      <c r="BR107" s="55">
        <f t="shared" si="651"/>
        <v>0.68999999999999984</v>
      </c>
      <c r="BS107" s="55">
        <f t="shared" si="651"/>
        <v>0.66999999999999982</v>
      </c>
      <c r="BT107" s="55">
        <f t="shared" si="651"/>
        <v>0.6499999999999998</v>
      </c>
      <c r="BU107" s="55">
        <f t="shared" si="651"/>
        <v>0.62999999999999978</v>
      </c>
      <c r="BV107" s="55">
        <f t="shared" si="651"/>
        <v>0.60999999999999976</v>
      </c>
      <c r="BW107" s="55">
        <f t="shared" si="651"/>
        <v>0.58999999999999975</v>
      </c>
      <c r="BX107" s="55">
        <f t="shared" si="651"/>
        <v>0.56999999999999973</v>
      </c>
      <c r="BZ107" s="55">
        <f t="shared" si="508"/>
        <v>0</v>
      </c>
      <c r="CA107" s="55">
        <f t="shared" si="509"/>
        <v>0</v>
      </c>
      <c r="CB107" s="59">
        <f t="shared" si="559"/>
        <v>0</v>
      </c>
      <c r="CC107" s="55">
        <f t="shared" si="560"/>
        <v>0</v>
      </c>
      <c r="CD107" s="59">
        <f t="shared" si="561"/>
        <v>0</v>
      </c>
      <c r="CE107" s="55">
        <f t="shared" si="562"/>
        <v>0</v>
      </c>
      <c r="CF107" s="59">
        <f t="shared" si="563"/>
        <v>0</v>
      </c>
      <c r="CG107" s="55">
        <f t="shared" si="564"/>
        <v>0</v>
      </c>
      <c r="CH107" s="59">
        <f t="shared" si="565"/>
        <v>0</v>
      </c>
      <c r="CI107" s="57">
        <f t="shared" si="566"/>
        <v>0</v>
      </c>
      <c r="CJ107" s="59">
        <f t="shared" si="567"/>
        <v>0</v>
      </c>
      <c r="CK107" s="55">
        <f t="shared" si="568"/>
        <v>0</v>
      </c>
      <c r="CL107" s="59">
        <f t="shared" si="569"/>
        <v>0</v>
      </c>
      <c r="CM107" s="57">
        <f t="shared" si="570"/>
        <v>0</v>
      </c>
      <c r="CN107" s="59">
        <f t="shared" si="571"/>
        <v>0</v>
      </c>
      <c r="CO107" s="60">
        <f t="shared" si="572"/>
        <v>0</v>
      </c>
      <c r="CP107" s="59">
        <f t="shared" si="573"/>
        <v>0</v>
      </c>
      <c r="CQ107" s="57">
        <f t="shared" si="574"/>
        <v>0</v>
      </c>
      <c r="CR107" s="59">
        <f t="shared" si="575"/>
        <v>0</v>
      </c>
      <c r="CS107" s="55">
        <f t="shared" si="576"/>
        <v>0</v>
      </c>
      <c r="CT107" s="59">
        <f t="shared" si="577"/>
        <v>0</v>
      </c>
      <c r="CU107" s="60">
        <f t="shared" si="578"/>
        <v>0</v>
      </c>
      <c r="CV107" s="59">
        <f t="shared" si="579"/>
        <v>0</v>
      </c>
      <c r="CW107" s="60">
        <f t="shared" si="580"/>
        <v>0</v>
      </c>
      <c r="CX107" s="59">
        <f t="shared" si="581"/>
        <v>0</v>
      </c>
      <c r="CY107" s="60">
        <f t="shared" si="582"/>
        <v>0</v>
      </c>
      <c r="CZ107" s="59">
        <f t="shared" si="583"/>
        <v>0</v>
      </c>
      <c r="DA107" s="55">
        <f t="shared" si="584"/>
        <v>0</v>
      </c>
      <c r="DB107" s="59">
        <f t="shared" si="585"/>
        <v>0</v>
      </c>
      <c r="DC107" s="60">
        <f t="shared" si="586"/>
        <v>0</v>
      </c>
      <c r="DD107" s="59">
        <f t="shared" si="587"/>
        <v>0</v>
      </c>
      <c r="DE107" s="60">
        <f t="shared" si="588"/>
        <v>0</v>
      </c>
      <c r="DF107" s="59">
        <f t="shared" si="589"/>
        <v>0</v>
      </c>
      <c r="DG107" s="60">
        <f t="shared" si="590"/>
        <v>0</v>
      </c>
      <c r="DH107" s="59">
        <f t="shared" si="591"/>
        <v>0</v>
      </c>
      <c r="DI107" s="60">
        <f t="shared" si="592"/>
        <v>0</v>
      </c>
      <c r="DJ107" s="59">
        <f t="shared" si="593"/>
        <v>0</v>
      </c>
      <c r="DK107" s="55">
        <f t="shared" si="594"/>
        <v>0</v>
      </c>
      <c r="DL107" s="59">
        <f t="shared" si="595"/>
        <v>0</v>
      </c>
      <c r="DM107" s="60">
        <f t="shared" si="596"/>
        <v>0</v>
      </c>
      <c r="DN107" s="59">
        <f t="shared" si="597"/>
        <v>0</v>
      </c>
      <c r="DO107" s="60">
        <f t="shared" si="598"/>
        <v>0</v>
      </c>
      <c r="DP107" s="59">
        <f t="shared" si="599"/>
        <v>0</v>
      </c>
      <c r="DQ107" s="55">
        <f t="shared" si="600"/>
        <v>0</v>
      </c>
      <c r="DR107" s="59">
        <f t="shared" si="601"/>
        <v>0</v>
      </c>
      <c r="DU107" s="55">
        <v>1</v>
      </c>
      <c r="DV107" s="55">
        <v>0.97</v>
      </c>
      <c r="DW107" s="55">
        <v>0.95</v>
      </c>
      <c r="DX107" s="55">
        <v>0.93</v>
      </c>
      <c r="DY107" s="55">
        <f t="shared" si="647"/>
        <v>0.91</v>
      </c>
      <c r="DZ107" s="55">
        <f t="shared" si="647"/>
        <v>0.89</v>
      </c>
      <c r="EA107" s="55">
        <f t="shared" si="647"/>
        <v>0.87</v>
      </c>
      <c r="EB107" s="55">
        <f t="shared" si="647"/>
        <v>0.85</v>
      </c>
      <c r="EC107" s="55">
        <f t="shared" si="647"/>
        <v>0.83</v>
      </c>
      <c r="ED107" s="55">
        <f t="shared" si="647"/>
        <v>0.80999999999999994</v>
      </c>
      <c r="EE107" s="55">
        <f t="shared" si="647"/>
        <v>0.78999999999999992</v>
      </c>
      <c r="EF107" s="55">
        <f t="shared" si="647"/>
        <v>0.76999999999999991</v>
      </c>
      <c r="EG107" s="55">
        <f t="shared" si="647"/>
        <v>0.74999999999999989</v>
      </c>
      <c r="EH107" s="55">
        <f t="shared" si="647"/>
        <v>0.72999999999999987</v>
      </c>
      <c r="EI107" s="55">
        <f t="shared" si="647"/>
        <v>0.70999999999999985</v>
      </c>
      <c r="EJ107" s="55">
        <f t="shared" si="647"/>
        <v>0.68999999999999984</v>
      </c>
      <c r="EK107" s="55">
        <f t="shared" si="647"/>
        <v>0.66999999999999982</v>
      </c>
      <c r="EL107" s="55">
        <f t="shared" si="647"/>
        <v>0.6499999999999998</v>
      </c>
      <c r="EM107" s="55">
        <f t="shared" si="647"/>
        <v>0.62999999999999978</v>
      </c>
      <c r="EN107" s="55">
        <f t="shared" si="647"/>
        <v>0.60999999999999976</v>
      </c>
      <c r="EO107" s="55">
        <f t="shared" si="647"/>
        <v>0.58999999999999975</v>
      </c>
      <c r="EP107" s="55">
        <f t="shared" si="647"/>
        <v>0.56999999999999973</v>
      </c>
      <c r="ER107" s="55">
        <f t="shared" si="648"/>
        <v>0</v>
      </c>
      <c r="ES107" s="55">
        <f t="shared" si="510"/>
        <v>0</v>
      </c>
      <c r="ET107" s="59">
        <f t="shared" si="602"/>
        <v>0</v>
      </c>
      <c r="EU107" s="55">
        <f t="shared" si="603"/>
        <v>0</v>
      </c>
      <c r="EV107" s="59">
        <f t="shared" si="604"/>
        <v>0</v>
      </c>
      <c r="EW107" s="55">
        <f t="shared" si="605"/>
        <v>0</v>
      </c>
      <c r="EX107" s="59">
        <f t="shared" si="606"/>
        <v>0</v>
      </c>
      <c r="EY107" s="55">
        <f t="shared" si="607"/>
        <v>0</v>
      </c>
      <c r="EZ107" s="59">
        <f t="shared" si="608"/>
        <v>0</v>
      </c>
      <c r="FA107" s="57">
        <f t="shared" si="609"/>
        <v>0</v>
      </c>
      <c r="FB107" s="59">
        <f t="shared" si="610"/>
        <v>0</v>
      </c>
      <c r="FC107" s="55">
        <f t="shared" si="611"/>
        <v>0</v>
      </c>
      <c r="FD107" s="59">
        <f t="shared" si="612"/>
        <v>0</v>
      </c>
      <c r="FE107" s="57">
        <f t="shared" si="613"/>
        <v>0</v>
      </c>
      <c r="FF107" s="59">
        <f t="shared" si="614"/>
        <v>0</v>
      </c>
      <c r="FG107" s="60">
        <f t="shared" si="615"/>
        <v>0</v>
      </c>
      <c r="FH107" s="59">
        <f t="shared" si="616"/>
        <v>0</v>
      </c>
      <c r="FI107" s="57">
        <f t="shared" si="617"/>
        <v>0</v>
      </c>
      <c r="FJ107" s="59">
        <f t="shared" si="618"/>
        <v>0</v>
      </c>
      <c r="FK107" s="55">
        <f t="shared" si="619"/>
        <v>0</v>
      </c>
      <c r="FL107" s="59">
        <f t="shared" si="620"/>
        <v>0</v>
      </c>
      <c r="FM107" s="60">
        <f t="shared" si="621"/>
        <v>0</v>
      </c>
      <c r="FN107" s="59">
        <f t="shared" si="622"/>
        <v>0</v>
      </c>
      <c r="FO107" s="60">
        <f t="shared" si="623"/>
        <v>0</v>
      </c>
      <c r="FP107" s="59">
        <f t="shared" si="624"/>
        <v>0</v>
      </c>
      <c r="FQ107" s="60">
        <f t="shared" si="625"/>
        <v>0</v>
      </c>
      <c r="FR107" s="59">
        <f t="shared" si="626"/>
        <v>0</v>
      </c>
      <c r="FS107" s="55">
        <f t="shared" si="627"/>
        <v>0</v>
      </c>
      <c r="FT107" s="59">
        <f t="shared" si="628"/>
        <v>0</v>
      </c>
      <c r="FU107" s="60">
        <f t="shared" si="629"/>
        <v>0</v>
      </c>
      <c r="FV107" s="59">
        <f t="shared" si="630"/>
        <v>0</v>
      </c>
      <c r="FW107" s="60">
        <f t="shared" si="631"/>
        <v>0</v>
      </c>
      <c r="FX107" s="59">
        <f t="shared" si="632"/>
        <v>0</v>
      </c>
      <c r="FY107" s="60">
        <f t="shared" si="633"/>
        <v>0</v>
      </c>
      <c r="FZ107" s="59">
        <f t="shared" si="634"/>
        <v>0</v>
      </c>
      <c r="GA107" s="60">
        <f t="shared" si="635"/>
        <v>0</v>
      </c>
      <c r="GB107" s="59">
        <f t="shared" si="636"/>
        <v>0</v>
      </c>
      <c r="GC107" s="55">
        <f t="shared" si="637"/>
        <v>0</v>
      </c>
      <c r="GD107" s="59">
        <f t="shared" si="638"/>
        <v>0</v>
      </c>
      <c r="GE107" s="60">
        <f t="shared" si="639"/>
        <v>0</v>
      </c>
      <c r="GF107" s="59">
        <f t="shared" si="640"/>
        <v>0</v>
      </c>
      <c r="GG107" s="60">
        <f t="shared" si="641"/>
        <v>0</v>
      </c>
      <c r="GH107" s="59">
        <f t="shared" si="642"/>
        <v>0</v>
      </c>
      <c r="GI107" s="55">
        <f t="shared" si="643"/>
        <v>0</v>
      </c>
      <c r="GJ107" s="59">
        <f t="shared" si="644"/>
        <v>0</v>
      </c>
      <c r="GK107" s="55"/>
      <c r="GL107" s="55"/>
      <c r="GM107" s="55">
        <v>1</v>
      </c>
      <c r="GN107" s="55">
        <v>0.97</v>
      </c>
      <c r="GO107" s="55">
        <v>0.95</v>
      </c>
      <c r="GP107" s="55">
        <v>0.93</v>
      </c>
      <c r="GQ107" s="55">
        <f t="shared" si="649"/>
        <v>0.91</v>
      </c>
      <c r="GR107" s="55">
        <f t="shared" si="649"/>
        <v>0.89</v>
      </c>
      <c r="GS107" s="55">
        <f t="shared" si="649"/>
        <v>0.87</v>
      </c>
      <c r="GT107" s="55">
        <f t="shared" si="649"/>
        <v>0.85</v>
      </c>
      <c r="GU107" s="55">
        <f t="shared" si="649"/>
        <v>0.83</v>
      </c>
      <c r="GV107" s="55">
        <f t="shared" si="649"/>
        <v>0.80999999999999994</v>
      </c>
      <c r="GW107" s="55">
        <f t="shared" si="649"/>
        <v>0.78999999999999992</v>
      </c>
      <c r="GX107" s="55">
        <f t="shared" si="649"/>
        <v>0.76999999999999991</v>
      </c>
      <c r="GY107" s="55">
        <f t="shared" si="649"/>
        <v>0.74999999999999989</v>
      </c>
      <c r="GZ107" s="55">
        <f t="shared" si="649"/>
        <v>0.72999999999999987</v>
      </c>
      <c r="HA107" s="55">
        <f t="shared" si="649"/>
        <v>0.70999999999999985</v>
      </c>
      <c r="HB107" s="55">
        <f t="shared" si="649"/>
        <v>0.68999999999999984</v>
      </c>
      <c r="HC107" s="55">
        <f t="shared" si="649"/>
        <v>0.66999999999999982</v>
      </c>
      <c r="HD107" s="55">
        <f t="shared" si="649"/>
        <v>0.6499999999999998</v>
      </c>
      <c r="HE107" s="55">
        <f t="shared" si="649"/>
        <v>0.62999999999999978</v>
      </c>
      <c r="HF107" s="55">
        <f t="shared" si="649"/>
        <v>0.60999999999999976</v>
      </c>
      <c r="HG107" s="55">
        <f t="shared" si="649"/>
        <v>0.58999999999999975</v>
      </c>
      <c r="HH107" s="55">
        <f t="shared" si="649"/>
        <v>0.56999999999999973</v>
      </c>
    </row>
    <row r="108" spans="1:216" x14ac:dyDescent="0.3">
      <c r="A108" s="2">
        <v>17</v>
      </c>
      <c r="C108" s="38" t="s">
        <v>131</v>
      </c>
      <c r="D108" s="42">
        <v>0</v>
      </c>
      <c r="E108" s="71">
        <f t="shared" si="515"/>
        <v>0</v>
      </c>
      <c r="H108" s="55">
        <f t="shared" si="505"/>
        <v>0</v>
      </c>
      <c r="I108" s="55">
        <f t="shared" si="506"/>
        <v>0</v>
      </c>
      <c r="J108" s="59">
        <f t="shared" si="507"/>
        <v>0</v>
      </c>
      <c r="K108" s="55">
        <f t="shared" si="516"/>
        <v>0</v>
      </c>
      <c r="L108" s="59">
        <f t="shared" si="517"/>
        <v>0</v>
      </c>
      <c r="M108" s="55">
        <f t="shared" si="518"/>
        <v>0</v>
      </c>
      <c r="N108" s="59">
        <f t="shared" si="519"/>
        <v>0</v>
      </c>
      <c r="O108" s="55">
        <f t="shared" si="520"/>
        <v>0</v>
      </c>
      <c r="P108" s="59">
        <f t="shared" si="521"/>
        <v>0</v>
      </c>
      <c r="Q108" s="57">
        <f t="shared" si="522"/>
        <v>0</v>
      </c>
      <c r="R108" s="59">
        <f t="shared" si="523"/>
        <v>0</v>
      </c>
      <c r="S108" s="55">
        <f t="shared" si="524"/>
        <v>0</v>
      </c>
      <c r="T108" s="59">
        <f t="shared" si="525"/>
        <v>0</v>
      </c>
      <c r="U108" s="57">
        <f t="shared" si="526"/>
        <v>0</v>
      </c>
      <c r="V108" s="59">
        <f t="shared" si="527"/>
        <v>0</v>
      </c>
      <c r="W108" s="60">
        <f t="shared" si="528"/>
        <v>0</v>
      </c>
      <c r="X108" s="59">
        <f t="shared" si="529"/>
        <v>0</v>
      </c>
      <c r="Y108" s="57">
        <f t="shared" si="530"/>
        <v>0</v>
      </c>
      <c r="Z108" s="59">
        <f t="shared" si="531"/>
        <v>0</v>
      </c>
      <c r="AA108" s="55">
        <f t="shared" si="532"/>
        <v>0</v>
      </c>
      <c r="AB108" s="59">
        <f t="shared" si="533"/>
        <v>0</v>
      </c>
      <c r="AC108" s="60">
        <f t="shared" si="534"/>
        <v>0</v>
      </c>
      <c r="AD108" s="59">
        <f t="shared" si="535"/>
        <v>0</v>
      </c>
      <c r="AE108" s="60">
        <f t="shared" si="536"/>
        <v>0</v>
      </c>
      <c r="AF108" s="59">
        <f t="shared" si="537"/>
        <v>0</v>
      </c>
      <c r="AG108" s="60">
        <f t="shared" si="538"/>
        <v>0</v>
      </c>
      <c r="AH108" s="59">
        <f t="shared" si="539"/>
        <v>0</v>
      </c>
      <c r="AI108" s="55">
        <f t="shared" si="540"/>
        <v>0</v>
      </c>
      <c r="AJ108" s="59">
        <f t="shared" si="541"/>
        <v>0</v>
      </c>
      <c r="AK108" s="60">
        <f t="shared" si="542"/>
        <v>0</v>
      </c>
      <c r="AL108" s="59">
        <f t="shared" si="543"/>
        <v>0</v>
      </c>
      <c r="AM108" s="60">
        <f t="shared" si="544"/>
        <v>0</v>
      </c>
      <c r="AN108" s="59">
        <f t="shared" si="545"/>
        <v>0</v>
      </c>
      <c r="AO108" s="60">
        <f t="shared" si="546"/>
        <v>0</v>
      </c>
      <c r="AP108" s="59">
        <f t="shared" si="547"/>
        <v>0</v>
      </c>
      <c r="AQ108" s="60">
        <f t="shared" si="548"/>
        <v>0</v>
      </c>
      <c r="AR108" s="59">
        <f t="shared" si="549"/>
        <v>0</v>
      </c>
      <c r="AS108" s="55">
        <f t="shared" si="550"/>
        <v>0</v>
      </c>
      <c r="AT108" s="59">
        <f t="shared" si="551"/>
        <v>0</v>
      </c>
      <c r="AU108" s="60">
        <f t="shared" si="552"/>
        <v>0</v>
      </c>
      <c r="AV108" s="59">
        <f t="shared" si="553"/>
        <v>0</v>
      </c>
      <c r="AW108" s="60">
        <f t="shared" si="554"/>
        <v>0</v>
      </c>
      <c r="AX108" s="59">
        <f t="shared" si="555"/>
        <v>0</v>
      </c>
      <c r="AY108" s="55">
        <f t="shared" si="556"/>
        <v>0</v>
      </c>
      <c r="AZ108" s="59">
        <f t="shared" si="557"/>
        <v>0</v>
      </c>
      <c r="BC108" s="55">
        <v>1</v>
      </c>
      <c r="BD108" s="55">
        <v>0.97</v>
      </c>
      <c r="BE108" s="55">
        <v>0.95</v>
      </c>
      <c r="BF108" s="55">
        <v>0.93</v>
      </c>
      <c r="BG108" s="55">
        <f t="shared" si="651"/>
        <v>0.91</v>
      </c>
      <c r="BH108" s="55">
        <f t="shared" si="651"/>
        <v>0.89</v>
      </c>
      <c r="BI108" s="55">
        <f t="shared" si="651"/>
        <v>0.87</v>
      </c>
      <c r="BJ108" s="55">
        <f t="shared" si="651"/>
        <v>0.85</v>
      </c>
      <c r="BK108" s="55">
        <f t="shared" si="651"/>
        <v>0.83</v>
      </c>
      <c r="BL108" s="55">
        <f t="shared" si="651"/>
        <v>0.80999999999999994</v>
      </c>
      <c r="BM108" s="55">
        <f t="shared" si="651"/>
        <v>0.78999999999999992</v>
      </c>
      <c r="BN108" s="55">
        <f t="shared" si="651"/>
        <v>0.76999999999999991</v>
      </c>
      <c r="BO108" s="55">
        <f t="shared" si="651"/>
        <v>0.74999999999999989</v>
      </c>
      <c r="BP108" s="55">
        <f t="shared" si="651"/>
        <v>0.72999999999999987</v>
      </c>
      <c r="BQ108" s="55">
        <f t="shared" si="651"/>
        <v>0.70999999999999985</v>
      </c>
      <c r="BR108" s="55">
        <f t="shared" si="651"/>
        <v>0.68999999999999984</v>
      </c>
      <c r="BS108" s="55">
        <f t="shared" si="651"/>
        <v>0.66999999999999982</v>
      </c>
      <c r="BT108" s="55">
        <f t="shared" si="651"/>
        <v>0.6499999999999998</v>
      </c>
      <c r="BU108" s="55">
        <f t="shared" si="651"/>
        <v>0.62999999999999978</v>
      </c>
      <c r="BV108" s="55">
        <f t="shared" si="651"/>
        <v>0.60999999999999976</v>
      </c>
      <c r="BW108" s="55">
        <f t="shared" si="651"/>
        <v>0.58999999999999975</v>
      </c>
      <c r="BX108" s="55">
        <f t="shared" si="651"/>
        <v>0.56999999999999973</v>
      </c>
      <c r="BZ108" s="55">
        <f t="shared" si="508"/>
        <v>0</v>
      </c>
      <c r="CA108" s="55">
        <f t="shared" si="509"/>
        <v>0</v>
      </c>
      <c r="CB108" s="59">
        <f t="shared" si="559"/>
        <v>0</v>
      </c>
      <c r="CC108" s="55">
        <f t="shared" si="560"/>
        <v>0</v>
      </c>
      <c r="CD108" s="59">
        <f t="shared" si="561"/>
        <v>0</v>
      </c>
      <c r="CE108" s="55">
        <f t="shared" si="562"/>
        <v>0</v>
      </c>
      <c r="CF108" s="59">
        <f t="shared" si="563"/>
        <v>0</v>
      </c>
      <c r="CG108" s="55">
        <f t="shared" si="564"/>
        <v>0</v>
      </c>
      <c r="CH108" s="59">
        <f t="shared" si="565"/>
        <v>0</v>
      </c>
      <c r="CI108" s="57">
        <f t="shared" si="566"/>
        <v>0</v>
      </c>
      <c r="CJ108" s="59">
        <f t="shared" si="567"/>
        <v>0</v>
      </c>
      <c r="CK108" s="55">
        <f t="shared" si="568"/>
        <v>0</v>
      </c>
      <c r="CL108" s="59">
        <f t="shared" si="569"/>
        <v>0</v>
      </c>
      <c r="CM108" s="57">
        <f t="shared" si="570"/>
        <v>0</v>
      </c>
      <c r="CN108" s="59">
        <f t="shared" si="571"/>
        <v>0</v>
      </c>
      <c r="CO108" s="60">
        <f t="shared" si="572"/>
        <v>0</v>
      </c>
      <c r="CP108" s="59">
        <f t="shared" si="573"/>
        <v>0</v>
      </c>
      <c r="CQ108" s="57">
        <f t="shared" si="574"/>
        <v>0</v>
      </c>
      <c r="CR108" s="59">
        <f t="shared" si="575"/>
        <v>0</v>
      </c>
      <c r="CS108" s="55">
        <f t="shared" si="576"/>
        <v>0</v>
      </c>
      <c r="CT108" s="59">
        <f t="shared" si="577"/>
        <v>0</v>
      </c>
      <c r="CU108" s="60">
        <f t="shared" si="578"/>
        <v>0</v>
      </c>
      <c r="CV108" s="59">
        <f t="shared" si="579"/>
        <v>0</v>
      </c>
      <c r="CW108" s="60">
        <f t="shared" si="580"/>
        <v>0</v>
      </c>
      <c r="CX108" s="59">
        <f t="shared" si="581"/>
        <v>0</v>
      </c>
      <c r="CY108" s="60">
        <f t="shared" si="582"/>
        <v>0</v>
      </c>
      <c r="CZ108" s="59">
        <f t="shared" si="583"/>
        <v>0</v>
      </c>
      <c r="DA108" s="55">
        <f t="shared" si="584"/>
        <v>0</v>
      </c>
      <c r="DB108" s="59">
        <f t="shared" si="585"/>
        <v>0</v>
      </c>
      <c r="DC108" s="60">
        <f t="shared" si="586"/>
        <v>0</v>
      </c>
      <c r="DD108" s="59">
        <f t="shared" si="587"/>
        <v>0</v>
      </c>
      <c r="DE108" s="60">
        <f t="shared" si="588"/>
        <v>0</v>
      </c>
      <c r="DF108" s="59">
        <f t="shared" si="589"/>
        <v>0</v>
      </c>
      <c r="DG108" s="60">
        <f t="shared" si="590"/>
        <v>0</v>
      </c>
      <c r="DH108" s="59">
        <f t="shared" si="591"/>
        <v>0</v>
      </c>
      <c r="DI108" s="60">
        <f t="shared" si="592"/>
        <v>0</v>
      </c>
      <c r="DJ108" s="59">
        <f t="shared" si="593"/>
        <v>0</v>
      </c>
      <c r="DK108" s="55">
        <f t="shared" si="594"/>
        <v>0</v>
      </c>
      <c r="DL108" s="59">
        <f t="shared" si="595"/>
        <v>0</v>
      </c>
      <c r="DM108" s="60">
        <f t="shared" si="596"/>
        <v>0</v>
      </c>
      <c r="DN108" s="59">
        <f t="shared" si="597"/>
        <v>0</v>
      </c>
      <c r="DO108" s="60">
        <f t="shared" si="598"/>
        <v>0</v>
      </c>
      <c r="DP108" s="59">
        <f t="shared" si="599"/>
        <v>0</v>
      </c>
      <c r="DQ108" s="55">
        <f t="shared" si="600"/>
        <v>0</v>
      </c>
      <c r="DR108" s="59">
        <f t="shared" si="601"/>
        <v>0</v>
      </c>
      <c r="DU108" s="55">
        <v>1</v>
      </c>
      <c r="DV108" s="55">
        <v>0.97</v>
      </c>
      <c r="DW108" s="55">
        <v>0.95</v>
      </c>
      <c r="DX108" s="55">
        <v>0.93</v>
      </c>
      <c r="DY108" s="55">
        <f t="shared" si="647"/>
        <v>0.91</v>
      </c>
      <c r="DZ108" s="55">
        <f t="shared" si="647"/>
        <v>0.89</v>
      </c>
      <c r="EA108" s="55">
        <f t="shared" si="647"/>
        <v>0.87</v>
      </c>
      <c r="EB108" s="55">
        <f t="shared" ref="EB108:EP108" si="652">+EA108-0.02</f>
        <v>0.85</v>
      </c>
      <c r="EC108" s="55">
        <f t="shared" si="652"/>
        <v>0.83</v>
      </c>
      <c r="ED108" s="55">
        <f t="shared" si="652"/>
        <v>0.80999999999999994</v>
      </c>
      <c r="EE108" s="55">
        <f t="shared" si="652"/>
        <v>0.78999999999999992</v>
      </c>
      <c r="EF108" s="55">
        <f t="shared" si="652"/>
        <v>0.76999999999999991</v>
      </c>
      <c r="EG108" s="55">
        <f t="shared" si="652"/>
        <v>0.74999999999999989</v>
      </c>
      <c r="EH108" s="55">
        <f t="shared" si="652"/>
        <v>0.72999999999999987</v>
      </c>
      <c r="EI108" s="55">
        <f t="shared" si="652"/>
        <v>0.70999999999999985</v>
      </c>
      <c r="EJ108" s="55">
        <f t="shared" si="652"/>
        <v>0.68999999999999984</v>
      </c>
      <c r="EK108" s="55">
        <f t="shared" si="652"/>
        <v>0.66999999999999982</v>
      </c>
      <c r="EL108" s="55">
        <f t="shared" si="652"/>
        <v>0.6499999999999998</v>
      </c>
      <c r="EM108" s="55">
        <f t="shared" si="652"/>
        <v>0.62999999999999978</v>
      </c>
      <c r="EN108" s="55">
        <f t="shared" si="652"/>
        <v>0.60999999999999976</v>
      </c>
      <c r="EO108" s="55">
        <f t="shared" si="652"/>
        <v>0.58999999999999975</v>
      </c>
      <c r="EP108" s="55">
        <f t="shared" si="652"/>
        <v>0.56999999999999973</v>
      </c>
      <c r="ER108" s="55">
        <f t="shared" si="648"/>
        <v>0</v>
      </c>
      <c r="ES108" s="55">
        <f t="shared" si="510"/>
        <v>0</v>
      </c>
      <c r="ET108" s="59">
        <f t="shared" si="602"/>
        <v>0</v>
      </c>
      <c r="EU108" s="55">
        <f t="shared" si="603"/>
        <v>0</v>
      </c>
      <c r="EV108" s="59">
        <f t="shared" si="604"/>
        <v>0</v>
      </c>
      <c r="EW108" s="55">
        <f t="shared" si="605"/>
        <v>0</v>
      </c>
      <c r="EX108" s="59">
        <f t="shared" si="606"/>
        <v>0</v>
      </c>
      <c r="EY108" s="55">
        <f t="shared" si="607"/>
        <v>0</v>
      </c>
      <c r="EZ108" s="59">
        <f t="shared" si="608"/>
        <v>0</v>
      </c>
      <c r="FA108" s="57">
        <f t="shared" si="609"/>
        <v>0</v>
      </c>
      <c r="FB108" s="59">
        <f t="shared" si="610"/>
        <v>0</v>
      </c>
      <c r="FC108" s="55">
        <f t="shared" si="611"/>
        <v>0</v>
      </c>
      <c r="FD108" s="59">
        <f t="shared" si="612"/>
        <v>0</v>
      </c>
      <c r="FE108" s="57">
        <f t="shared" si="613"/>
        <v>0</v>
      </c>
      <c r="FF108" s="59">
        <f t="shared" si="614"/>
        <v>0</v>
      </c>
      <c r="FG108" s="60">
        <f t="shared" si="615"/>
        <v>0</v>
      </c>
      <c r="FH108" s="59">
        <f t="shared" si="616"/>
        <v>0</v>
      </c>
      <c r="FI108" s="57">
        <f t="shared" si="617"/>
        <v>0</v>
      </c>
      <c r="FJ108" s="59">
        <f t="shared" si="618"/>
        <v>0</v>
      </c>
      <c r="FK108" s="55">
        <f t="shared" si="619"/>
        <v>0</v>
      </c>
      <c r="FL108" s="59">
        <f t="shared" si="620"/>
        <v>0</v>
      </c>
      <c r="FM108" s="60">
        <f t="shared" si="621"/>
        <v>0</v>
      </c>
      <c r="FN108" s="59">
        <f t="shared" si="622"/>
        <v>0</v>
      </c>
      <c r="FO108" s="60">
        <f t="shared" si="623"/>
        <v>0</v>
      </c>
      <c r="FP108" s="59">
        <f t="shared" si="624"/>
        <v>0</v>
      </c>
      <c r="FQ108" s="60">
        <f t="shared" si="625"/>
        <v>0</v>
      </c>
      <c r="FR108" s="59">
        <f t="shared" si="626"/>
        <v>0</v>
      </c>
      <c r="FS108" s="55">
        <f t="shared" si="627"/>
        <v>0</v>
      </c>
      <c r="FT108" s="59">
        <f t="shared" si="628"/>
        <v>0</v>
      </c>
      <c r="FU108" s="60">
        <f t="shared" si="629"/>
        <v>0</v>
      </c>
      <c r="FV108" s="59">
        <f t="shared" si="630"/>
        <v>0</v>
      </c>
      <c r="FW108" s="60">
        <f t="shared" si="631"/>
        <v>0</v>
      </c>
      <c r="FX108" s="59">
        <f t="shared" si="632"/>
        <v>0</v>
      </c>
      <c r="FY108" s="60">
        <f t="shared" si="633"/>
        <v>0</v>
      </c>
      <c r="FZ108" s="59">
        <f t="shared" si="634"/>
        <v>0</v>
      </c>
      <c r="GA108" s="60">
        <f t="shared" si="635"/>
        <v>0</v>
      </c>
      <c r="GB108" s="59">
        <f t="shared" si="636"/>
        <v>0</v>
      </c>
      <c r="GC108" s="55">
        <f t="shared" si="637"/>
        <v>0</v>
      </c>
      <c r="GD108" s="59">
        <f t="shared" si="638"/>
        <v>0</v>
      </c>
      <c r="GE108" s="60">
        <f t="shared" si="639"/>
        <v>0</v>
      </c>
      <c r="GF108" s="59">
        <f t="shared" si="640"/>
        <v>0</v>
      </c>
      <c r="GG108" s="60">
        <f t="shared" si="641"/>
        <v>0</v>
      </c>
      <c r="GH108" s="59">
        <f t="shared" si="642"/>
        <v>0</v>
      </c>
      <c r="GI108" s="55">
        <f t="shared" si="643"/>
        <v>0</v>
      </c>
      <c r="GJ108" s="59">
        <f t="shared" si="644"/>
        <v>0</v>
      </c>
      <c r="GK108" s="55"/>
      <c r="GL108" s="55"/>
      <c r="GM108" s="55">
        <v>1</v>
      </c>
      <c r="GN108" s="55">
        <v>0.97</v>
      </c>
      <c r="GO108" s="55">
        <v>0.95</v>
      </c>
      <c r="GP108" s="55">
        <v>0.93</v>
      </c>
      <c r="GQ108" s="55">
        <f t="shared" si="649"/>
        <v>0.91</v>
      </c>
      <c r="GR108" s="55">
        <f t="shared" si="649"/>
        <v>0.89</v>
      </c>
      <c r="GS108" s="55">
        <f t="shared" si="649"/>
        <v>0.87</v>
      </c>
      <c r="GT108" s="55">
        <f t="shared" ref="GT108:HH108" si="653">+GS108-0.02</f>
        <v>0.85</v>
      </c>
      <c r="GU108" s="55">
        <f t="shared" si="653"/>
        <v>0.83</v>
      </c>
      <c r="GV108" s="55">
        <f t="shared" si="653"/>
        <v>0.80999999999999994</v>
      </c>
      <c r="GW108" s="55">
        <f t="shared" si="653"/>
        <v>0.78999999999999992</v>
      </c>
      <c r="GX108" s="55">
        <f t="shared" si="653"/>
        <v>0.76999999999999991</v>
      </c>
      <c r="GY108" s="55">
        <f t="shared" si="653"/>
        <v>0.74999999999999989</v>
      </c>
      <c r="GZ108" s="55">
        <f t="shared" si="653"/>
        <v>0.72999999999999987</v>
      </c>
      <c r="HA108" s="55">
        <f t="shared" si="653"/>
        <v>0.70999999999999985</v>
      </c>
      <c r="HB108" s="55">
        <f t="shared" si="653"/>
        <v>0.68999999999999984</v>
      </c>
      <c r="HC108" s="55">
        <f t="shared" si="653"/>
        <v>0.66999999999999982</v>
      </c>
      <c r="HD108" s="55">
        <f t="shared" si="653"/>
        <v>0.6499999999999998</v>
      </c>
      <c r="HE108" s="55">
        <f t="shared" si="653"/>
        <v>0.62999999999999978</v>
      </c>
      <c r="HF108" s="55">
        <f t="shared" si="653"/>
        <v>0.60999999999999976</v>
      </c>
      <c r="HG108" s="55">
        <f t="shared" si="653"/>
        <v>0.58999999999999975</v>
      </c>
      <c r="HH108" s="55">
        <f t="shared" si="653"/>
        <v>0.56999999999999973</v>
      </c>
    </row>
    <row r="109" spans="1:216" x14ac:dyDescent="0.3">
      <c r="A109" s="2">
        <v>18</v>
      </c>
      <c r="C109" s="38" t="s">
        <v>117</v>
      </c>
      <c r="D109" s="42">
        <f>TRUNC(6502.08226401828,-1)</f>
        <v>6500</v>
      </c>
      <c r="E109" s="71">
        <f t="shared" si="515"/>
        <v>21480</v>
      </c>
      <c r="F109" s="2" t="s">
        <v>309</v>
      </c>
      <c r="H109" s="55">
        <f t="shared" si="505"/>
        <v>23628.000000000004</v>
      </c>
      <c r="I109" s="55">
        <f t="shared" si="506"/>
        <v>23628.000000000004</v>
      </c>
      <c r="J109" s="59">
        <f t="shared" si="507"/>
        <v>78109.442400000014</v>
      </c>
      <c r="K109" s="55">
        <f t="shared" si="516"/>
        <v>22919.160000000003</v>
      </c>
      <c r="L109" s="59">
        <f t="shared" si="517"/>
        <v>75766.159128000014</v>
      </c>
      <c r="M109" s="55">
        <f t="shared" si="518"/>
        <v>22446.600000000002</v>
      </c>
      <c r="N109" s="59">
        <f t="shared" si="519"/>
        <v>74203.970280000009</v>
      </c>
      <c r="O109" s="55">
        <f t="shared" si="520"/>
        <v>21974.040000000005</v>
      </c>
      <c r="P109" s="59">
        <f t="shared" si="521"/>
        <v>72641.781432000018</v>
      </c>
      <c r="Q109" s="57">
        <f t="shared" si="522"/>
        <v>21501.480000000003</v>
      </c>
      <c r="R109" s="59">
        <f t="shared" si="523"/>
        <v>71079.592584000013</v>
      </c>
      <c r="S109" s="55">
        <f t="shared" si="524"/>
        <v>21028.920000000002</v>
      </c>
      <c r="T109" s="59">
        <f t="shared" si="525"/>
        <v>69517.403736000007</v>
      </c>
      <c r="U109" s="57">
        <f t="shared" si="526"/>
        <v>20556.360000000004</v>
      </c>
      <c r="V109" s="59">
        <f t="shared" si="527"/>
        <v>67955.214888000017</v>
      </c>
      <c r="W109" s="60">
        <f t="shared" si="528"/>
        <v>20083.800000000003</v>
      </c>
      <c r="X109" s="59">
        <f t="shared" si="529"/>
        <v>66393.026040000012</v>
      </c>
      <c r="Y109" s="57">
        <f t="shared" si="530"/>
        <v>19611.240000000002</v>
      </c>
      <c r="Z109" s="59">
        <f t="shared" si="531"/>
        <v>64830.837192000006</v>
      </c>
      <c r="AA109" s="55">
        <f t="shared" si="532"/>
        <v>19138.68</v>
      </c>
      <c r="AB109" s="59">
        <f t="shared" si="533"/>
        <v>63268.648344000001</v>
      </c>
      <c r="AC109" s="60">
        <f t="shared" si="534"/>
        <v>18666.120000000003</v>
      </c>
      <c r="AD109" s="59">
        <f t="shared" si="535"/>
        <v>61706.45949600001</v>
      </c>
      <c r="AE109" s="60">
        <f t="shared" si="536"/>
        <v>18193.560000000001</v>
      </c>
      <c r="AF109" s="59">
        <f t="shared" si="537"/>
        <v>60144.270648000005</v>
      </c>
      <c r="AG109" s="60">
        <f t="shared" si="538"/>
        <v>17721</v>
      </c>
      <c r="AH109" s="59">
        <f t="shared" si="539"/>
        <v>58582.0818</v>
      </c>
      <c r="AI109" s="55">
        <f t="shared" si="540"/>
        <v>17248.439999999999</v>
      </c>
      <c r="AJ109" s="59">
        <f t="shared" si="541"/>
        <v>57019.892951999995</v>
      </c>
      <c r="AK109" s="60">
        <f t="shared" si="542"/>
        <v>16775.879999999997</v>
      </c>
      <c r="AL109" s="59">
        <f t="shared" si="543"/>
        <v>55457.704103999989</v>
      </c>
      <c r="AM109" s="60">
        <f t="shared" si="544"/>
        <v>16303.319999999998</v>
      </c>
      <c r="AN109" s="59">
        <f t="shared" si="545"/>
        <v>53895.515255999991</v>
      </c>
      <c r="AO109" s="60">
        <f t="shared" si="546"/>
        <v>15830.759999999998</v>
      </c>
      <c r="AP109" s="59">
        <f t="shared" si="547"/>
        <v>52333.326407999994</v>
      </c>
      <c r="AQ109" s="60">
        <f t="shared" si="548"/>
        <v>15358.199999999997</v>
      </c>
      <c r="AR109" s="59">
        <f t="shared" si="549"/>
        <v>50771.137559999988</v>
      </c>
      <c r="AS109" s="55">
        <f t="shared" si="550"/>
        <v>14885.639999999998</v>
      </c>
      <c r="AT109" s="59">
        <f t="shared" si="551"/>
        <v>49208.94871199999</v>
      </c>
      <c r="AU109" s="60">
        <f t="shared" si="552"/>
        <v>14413.079999999996</v>
      </c>
      <c r="AV109" s="59">
        <f t="shared" si="553"/>
        <v>47646.759863999992</v>
      </c>
      <c r="AW109" s="60">
        <f t="shared" si="554"/>
        <v>13940.519999999997</v>
      </c>
      <c r="AX109" s="59">
        <f t="shared" si="555"/>
        <v>46084.571015999987</v>
      </c>
      <c r="AY109" s="55">
        <f t="shared" si="556"/>
        <v>13467.959999999995</v>
      </c>
      <c r="AZ109" s="59">
        <f t="shared" si="557"/>
        <v>44522.382167999989</v>
      </c>
      <c r="BC109" s="55">
        <v>1</v>
      </c>
      <c r="BD109" s="55">
        <v>0.97</v>
      </c>
      <c r="BE109" s="55">
        <v>0.95</v>
      </c>
      <c r="BF109" s="55">
        <v>0.93</v>
      </c>
      <c r="BG109" s="55">
        <f t="shared" si="651"/>
        <v>0.91</v>
      </c>
      <c r="BH109" s="55">
        <f t="shared" si="651"/>
        <v>0.89</v>
      </c>
      <c r="BI109" s="55">
        <f t="shared" si="651"/>
        <v>0.87</v>
      </c>
      <c r="BJ109" s="55">
        <f t="shared" si="651"/>
        <v>0.85</v>
      </c>
      <c r="BK109" s="55">
        <f t="shared" si="651"/>
        <v>0.83</v>
      </c>
      <c r="BL109" s="55">
        <f t="shared" si="651"/>
        <v>0.80999999999999994</v>
      </c>
      <c r="BM109" s="55">
        <f t="shared" si="651"/>
        <v>0.78999999999999992</v>
      </c>
      <c r="BN109" s="55">
        <f t="shared" si="651"/>
        <v>0.76999999999999991</v>
      </c>
      <c r="BO109" s="55">
        <f t="shared" si="651"/>
        <v>0.74999999999999989</v>
      </c>
      <c r="BP109" s="55">
        <f t="shared" si="651"/>
        <v>0.72999999999999987</v>
      </c>
      <c r="BQ109" s="55">
        <f t="shared" si="651"/>
        <v>0.70999999999999985</v>
      </c>
      <c r="BR109" s="55">
        <f t="shared" si="651"/>
        <v>0.68999999999999984</v>
      </c>
      <c r="BS109" s="55">
        <f t="shared" si="651"/>
        <v>0.66999999999999982</v>
      </c>
      <c r="BT109" s="55">
        <f t="shared" si="651"/>
        <v>0.6499999999999998</v>
      </c>
      <c r="BU109" s="55">
        <f t="shared" si="651"/>
        <v>0.62999999999999978</v>
      </c>
      <c r="BV109" s="55">
        <f t="shared" si="651"/>
        <v>0.60999999999999976</v>
      </c>
      <c r="BW109" s="55">
        <f t="shared" si="651"/>
        <v>0.58999999999999975</v>
      </c>
      <c r="BX109" s="55">
        <f t="shared" si="651"/>
        <v>0.56999999999999973</v>
      </c>
      <c r="BZ109" s="55">
        <f t="shared" si="508"/>
        <v>21501.480000000003</v>
      </c>
      <c r="CA109" s="55">
        <f t="shared" si="509"/>
        <v>21501.480000000003</v>
      </c>
      <c r="CB109" s="59">
        <f t="shared" si="559"/>
        <v>71079.592584000013</v>
      </c>
      <c r="CC109" s="55">
        <f t="shared" si="560"/>
        <v>20856.435600000004</v>
      </c>
      <c r="CD109" s="59">
        <f t="shared" si="561"/>
        <v>68947.204806480018</v>
      </c>
      <c r="CE109" s="55">
        <f t="shared" si="562"/>
        <v>20426.406000000003</v>
      </c>
      <c r="CF109" s="59">
        <f t="shared" si="563"/>
        <v>67525.612954800017</v>
      </c>
      <c r="CG109" s="55">
        <f t="shared" si="564"/>
        <v>19996.376400000005</v>
      </c>
      <c r="CH109" s="59">
        <f t="shared" si="565"/>
        <v>66104.021103120016</v>
      </c>
      <c r="CI109" s="57">
        <f t="shared" si="566"/>
        <v>19566.346800000003</v>
      </c>
      <c r="CJ109" s="59">
        <f t="shared" si="567"/>
        <v>64682.429251440008</v>
      </c>
      <c r="CK109" s="55">
        <f t="shared" si="568"/>
        <v>19136.317200000001</v>
      </c>
      <c r="CL109" s="59">
        <f t="shared" si="569"/>
        <v>63260.837399760007</v>
      </c>
      <c r="CM109" s="57">
        <f t="shared" si="570"/>
        <v>18706.287600000003</v>
      </c>
      <c r="CN109" s="59">
        <f t="shared" si="571"/>
        <v>61839.245548080013</v>
      </c>
      <c r="CO109" s="60">
        <f t="shared" si="572"/>
        <v>18276.258000000002</v>
      </c>
      <c r="CP109" s="59">
        <f t="shared" si="573"/>
        <v>60417.653696400004</v>
      </c>
      <c r="CQ109" s="57">
        <f t="shared" si="574"/>
        <v>17846.228400000004</v>
      </c>
      <c r="CR109" s="59">
        <f t="shared" si="575"/>
        <v>58996.06184472001</v>
      </c>
      <c r="CS109" s="55">
        <f t="shared" si="576"/>
        <v>17416.198800000002</v>
      </c>
      <c r="CT109" s="59">
        <f t="shared" si="577"/>
        <v>57574.469993040009</v>
      </c>
      <c r="CU109" s="60">
        <f t="shared" si="578"/>
        <v>16986.1692</v>
      </c>
      <c r="CV109" s="59">
        <f t="shared" si="579"/>
        <v>56152.878141360001</v>
      </c>
      <c r="CW109" s="60">
        <f t="shared" si="580"/>
        <v>16556.139600000002</v>
      </c>
      <c r="CX109" s="59">
        <f t="shared" si="581"/>
        <v>54731.286289680007</v>
      </c>
      <c r="CY109" s="60">
        <f t="shared" si="582"/>
        <v>16126.11</v>
      </c>
      <c r="CZ109" s="59">
        <f t="shared" si="583"/>
        <v>53309.694438000006</v>
      </c>
      <c r="DA109" s="55">
        <f t="shared" si="584"/>
        <v>15696.080399999999</v>
      </c>
      <c r="DB109" s="59">
        <f t="shared" si="585"/>
        <v>51888.102586319997</v>
      </c>
      <c r="DC109" s="60">
        <f t="shared" si="586"/>
        <v>15266.050799999999</v>
      </c>
      <c r="DD109" s="59">
        <f t="shared" si="587"/>
        <v>50466.510734639996</v>
      </c>
      <c r="DE109" s="60">
        <f t="shared" si="588"/>
        <v>14836.021199999999</v>
      </c>
      <c r="DF109" s="59">
        <f t="shared" si="589"/>
        <v>49044.918882959995</v>
      </c>
      <c r="DG109" s="60">
        <f t="shared" si="590"/>
        <v>14405.991599999998</v>
      </c>
      <c r="DH109" s="59">
        <f t="shared" si="591"/>
        <v>47623.327031279994</v>
      </c>
      <c r="DI109" s="60">
        <f t="shared" si="592"/>
        <v>13975.961999999998</v>
      </c>
      <c r="DJ109" s="59">
        <f t="shared" si="593"/>
        <v>46201.735179599993</v>
      </c>
      <c r="DK109" s="55">
        <f t="shared" si="594"/>
        <v>13545.932399999998</v>
      </c>
      <c r="DL109" s="59">
        <f t="shared" si="595"/>
        <v>44780.143327919992</v>
      </c>
      <c r="DM109" s="60">
        <f t="shared" si="596"/>
        <v>13115.902799999996</v>
      </c>
      <c r="DN109" s="59">
        <f t="shared" si="597"/>
        <v>43358.551476239991</v>
      </c>
      <c r="DO109" s="60">
        <f t="shared" si="598"/>
        <v>12685.873199999996</v>
      </c>
      <c r="DP109" s="59">
        <f t="shared" si="599"/>
        <v>41936.95962455999</v>
      </c>
      <c r="DQ109" s="55">
        <f t="shared" si="600"/>
        <v>12255.843599999997</v>
      </c>
      <c r="DR109" s="59">
        <f t="shared" si="601"/>
        <v>40515.367772879988</v>
      </c>
      <c r="DU109" s="55">
        <v>1</v>
      </c>
      <c r="DV109" s="55">
        <v>0.97</v>
      </c>
      <c r="DW109" s="55">
        <v>0.95</v>
      </c>
      <c r="DX109" s="55">
        <v>0.93</v>
      </c>
      <c r="DY109" s="55">
        <f t="shared" ref="DY109:EP123" si="654">+DX109-0.02</f>
        <v>0.91</v>
      </c>
      <c r="DZ109" s="55">
        <f t="shared" si="654"/>
        <v>0.89</v>
      </c>
      <c r="EA109" s="55">
        <f t="shared" si="654"/>
        <v>0.87</v>
      </c>
      <c r="EB109" s="55">
        <f t="shared" si="654"/>
        <v>0.85</v>
      </c>
      <c r="EC109" s="55">
        <f t="shared" si="654"/>
        <v>0.83</v>
      </c>
      <c r="ED109" s="55">
        <f t="shared" si="654"/>
        <v>0.80999999999999994</v>
      </c>
      <c r="EE109" s="55">
        <f t="shared" si="654"/>
        <v>0.78999999999999992</v>
      </c>
      <c r="EF109" s="55">
        <f t="shared" si="654"/>
        <v>0.76999999999999991</v>
      </c>
      <c r="EG109" s="55">
        <f t="shared" si="654"/>
        <v>0.74999999999999989</v>
      </c>
      <c r="EH109" s="55">
        <f t="shared" si="654"/>
        <v>0.72999999999999987</v>
      </c>
      <c r="EI109" s="55">
        <f t="shared" si="654"/>
        <v>0.70999999999999985</v>
      </c>
      <c r="EJ109" s="55">
        <f t="shared" si="654"/>
        <v>0.68999999999999984</v>
      </c>
      <c r="EK109" s="55">
        <f t="shared" si="654"/>
        <v>0.66999999999999982</v>
      </c>
      <c r="EL109" s="55">
        <f t="shared" si="654"/>
        <v>0.6499999999999998</v>
      </c>
      <c r="EM109" s="55">
        <f t="shared" si="654"/>
        <v>0.62999999999999978</v>
      </c>
      <c r="EN109" s="55">
        <f t="shared" si="654"/>
        <v>0.60999999999999976</v>
      </c>
      <c r="EO109" s="55">
        <f t="shared" si="654"/>
        <v>0.58999999999999975</v>
      </c>
      <c r="EP109" s="55">
        <f t="shared" si="654"/>
        <v>0.56999999999999973</v>
      </c>
      <c r="ER109" s="55">
        <f t="shared" si="648"/>
        <v>19566.346800000003</v>
      </c>
      <c r="ES109" s="55">
        <f t="shared" si="510"/>
        <v>19566.346800000003</v>
      </c>
      <c r="ET109" s="59">
        <f t="shared" si="602"/>
        <v>64682.429251440008</v>
      </c>
      <c r="EU109" s="55">
        <f t="shared" si="603"/>
        <v>18979.356396000003</v>
      </c>
      <c r="EV109" s="59">
        <f t="shared" si="604"/>
        <v>62741.956373896814</v>
      </c>
      <c r="EW109" s="55">
        <f t="shared" si="605"/>
        <v>18588.029460000002</v>
      </c>
      <c r="EX109" s="59">
        <f t="shared" si="606"/>
        <v>61448.307788868005</v>
      </c>
      <c r="EY109" s="55">
        <f t="shared" si="607"/>
        <v>18196.702524000004</v>
      </c>
      <c r="EZ109" s="59">
        <f t="shared" si="608"/>
        <v>60154.659203839212</v>
      </c>
      <c r="FA109" s="57">
        <f t="shared" si="609"/>
        <v>17805.375588000003</v>
      </c>
      <c r="FB109" s="59">
        <f t="shared" si="610"/>
        <v>58861.010618810411</v>
      </c>
      <c r="FC109" s="55">
        <f t="shared" si="611"/>
        <v>17414.048652000001</v>
      </c>
      <c r="FD109" s="59">
        <f t="shared" si="612"/>
        <v>57567.362033781603</v>
      </c>
      <c r="FE109" s="57">
        <f t="shared" si="613"/>
        <v>17022.721716000004</v>
      </c>
      <c r="FF109" s="59">
        <f t="shared" si="614"/>
        <v>56273.713448752816</v>
      </c>
      <c r="FG109" s="60">
        <f t="shared" si="615"/>
        <v>16631.394780000002</v>
      </c>
      <c r="FH109" s="59">
        <f t="shared" si="616"/>
        <v>54980.064863724008</v>
      </c>
      <c r="FI109" s="57">
        <f t="shared" si="617"/>
        <v>16240.067844000001</v>
      </c>
      <c r="FJ109" s="59">
        <f t="shared" si="618"/>
        <v>53686.416278695207</v>
      </c>
      <c r="FK109" s="55">
        <f t="shared" si="619"/>
        <v>15848.740908000002</v>
      </c>
      <c r="FL109" s="59">
        <f t="shared" si="620"/>
        <v>52392.767693666407</v>
      </c>
      <c r="FM109" s="60">
        <f t="shared" si="621"/>
        <v>15457.413972</v>
      </c>
      <c r="FN109" s="59">
        <f t="shared" si="622"/>
        <v>51099.119108637606</v>
      </c>
      <c r="FO109" s="60">
        <f t="shared" si="623"/>
        <v>15066.087036000001</v>
      </c>
      <c r="FP109" s="59">
        <f t="shared" si="624"/>
        <v>49805.470523608805</v>
      </c>
      <c r="FQ109" s="60">
        <f t="shared" si="625"/>
        <v>14674.7601</v>
      </c>
      <c r="FR109" s="59">
        <f t="shared" si="626"/>
        <v>48511.821938579997</v>
      </c>
      <c r="FS109" s="55">
        <f t="shared" si="627"/>
        <v>14283.433164</v>
      </c>
      <c r="FT109" s="59">
        <f t="shared" si="628"/>
        <v>47218.173353551203</v>
      </c>
      <c r="FU109" s="60">
        <f t="shared" si="629"/>
        <v>13892.106227999999</v>
      </c>
      <c r="FV109" s="59">
        <f t="shared" si="630"/>
        <v>45924.524768522395</v>
      </c>
      <c r="FW109" s="60">
        <f t="shared" si="631"/>
        <v>13500.779291999999</v>
      </c>
      <c r="FX109" s="59">
        <f t="shared" si="632"/>
        <v>44630.876183493601</v>
      </c>
      <c r="FY109" s="60">
        <f t="shared" si="633"/>
        <v>13109.452355999998</v>
      </c>
      <c r="FZ109" s="59">
        <f t="shared" si="634"/>
        <v>43337.227598464793</v>
      </c>
      <c r="GA109" s="60">
        <f t="shared" si="635"/>
        <v>12718.125419999998</v>
      </c>
      <c r="GB109" s="59">
        <f t="shared" si="636"/>
        <v>42043.579013436</v>
      </c>
      <c r="GC109" s="55">
        <f t="shared" si="637"/>
        <v>12326.798483999997</v>
      </c>
      <c r="GD109" s="59">
        <f t="shared" si="638"/>
        <v>40749.930428407191</v>
      </c>
      <c r="GE109" s="60">
        <f t="shared" si="639"/>
        <v>11935.471547999998</v>
      </c>
      <c r="GF109" s="59">
        <f t="shared" si="640"/>
        <v>39456.28184337839</v>
      </c>
      <c r="GG109" s="60">
        <f t="shared" si="641"/>
        <v>11544.144611999996</v>
      </c>
      <c r="GH109" s="59">
        <f t="shared" si="642"/>
        <v>38162.63325834959</v>
      </c>
      <c r="GI109" s="55">
        <f t="shared" si="643"/>
        <v>11152.817675999997</v>
      </c>
      <c r="GJ109" s="59">
        <f t="shared" si="644"/>
        <v>36868.984673320789</v>
      </c>
      <c r="GK109" s="55"/>
      <c r="GL109" s="55"/>
      <c r="GM109" s="55">
        <v>1</v>
      </c>
      <c r="GN109" s="55">
        <v>0.97</v>
      </c>
      <c r="GO109" s="55">
        <v>0.95</v>
      </c>
      <c r="GP109" s="55">
        <v>0.93</v>
      </c>
      <c r="GQ109" s="55">
        <f t="shared" ref="GQ109:HH123" si="655">+GP109-0.02</f>
        <v>0.91</v>
      </c>
      <c r="GR109" s="55">
        <f t="shared" si="655"/>
        <v>0.89</v>
      </c>
      <c r="GS109" s="55">
        <f t="shared" si="655"/>
        <v>0.87</v>
      </c>
      <c r="GT109" s="55">
        <f t="shared" si="655"/>
        <v>0.85</v>
      </c>
      <c r="GU109" s="55">
        <f t="shared" si="655"/>
        <v>0.83</v>
      </c>
      <c r="GV109" s="55">
        <f t="shared" si="655"/>
        <v>0.80999999999999994</v>
      </c>
      <c r="GW109" s="55">
        <f t="shared" si="655"/>
        <v>0.78999999999999992</v>
      </c>
      <c r="GX109" s="55">
        <f t="shared" si="655"/>
        <v>0.76999999999999991</v>
      </c>
      <c r="GY109" s="55">
        <f t="shared" si="655"/>
        <v>0.74999999999999989</v>
      </c>
      <c r="GZ109" s="55">
        <f t="shared" si="655"/>
        <v>0.72999999999999987</v>
      </c>
      <c r="HA109" s="55">
        <f t="shared" si="655"/>
        <v>0.70999999999999985</v>
      </c>
      <c r="HB109" s="55">
        <f t="shared" si="655"/>
        <v>0.68999999999999984</v>
      </c>
      <c r="HC109" s="55">
        <f t="shared" si="655"/>
        <v>0.66999999999999982</v>
      </c>
      <c r="HD109" s="55">
        <f t="shared" si="655"/>
        <v>0.6499999999999998</v>
      </c>
      <c r="HE109" s="55">
        <f t="shared" si="655"/>
        <v>0.62999999999999978</v>
      </c>
      <c r="HF109" s="55">
        <f t="shared" si="655"/>
        <v>0.60999999999999976</v>
      </c>
      <c r="HG109" s="55">
        <f t="shared" si="655"/>
        <v>0.58999999999999975</v>
      </c>
      <c r="HH109" s="55">
        <f t="shared" si="655"/>
        <v>0.56999999999999973</v>
      </c>
    </row>
    <row r="110" spans="1:216" x14ac:dyDescent="0.3">
      <c r="A110" s="2">
        <v>19</v>
      </c>
      <c r="C110" s="38" t="s">
        <v>116</v>
      </c>
      <c r="D110" s="42">
        <v>0</v>
      </c>
      <c r="E110" s="71">
        <f t="shared" si="515"/>
        <v>0</v>
      </c>
      <c r="H110" s="55">
        <f t="shared" si="505"/>
        <v>0</v>
      </c>
      <c r="I110" s="55">
        <f t="shared" si="506"/>
        <v>0</v>
      </c>
      <c r="J110" s="59">
        <f t="shared" si="507"/>
        <v>0</v>
      </c>
      <c r="K110" s="55">
        <f t="shared" si="516"/>
        <v>0</v>
      </c>
      <c r="L110" s="59">
        <f t="shared" si="517"/>
        <v>0</v>
      </c>
      <c r="M110" s="55">
        <f t="shared" si="518"/>
        <v>0</v>
      </c>
      <c r="N110" s="59">
        <f t="shared" si="519"/>
        <v>0</v>
      </c>
      <c r="O110" s="55">
        <f t="shared" si="520"/>
        <v>0</v>
      </c>
      <c r="P110" s="59">
        <f t="shared" si="521"/>
        <v>0</v>
      </c>
      <c r="Q110" s="57">
        <f t="shared" si="522"/>
        <v>0</v>
      </c>
      <c r="R110" s="59">
        <f t="shared" si="523"/>
        <v>0</v>
      </c>
      <c r="S110" s="55">
        <f t="shared" si="524"/>
        <v>0</v>
      </c>
      <c r="T110" s="59">
        <f t="shared" si="525"/>
        <v>0</v>
      </c>
      <c r="U110" s="57">
        <f t="shared" si="526"/>
        <v>0</v>
      </c>
      <c r="V110" s="59">
        <f t="shared" si="527"/>
        <v>0</v>
      </c>
      <c r="W110" s="60">
        <f t="shared" si="528"/>
        <v>0</v>
      </c>
      <c r="X110" s="59">
        <f t="shared" si="529"/>
        <v>0</v>
      </c>
      <c r="Y110" s="57">
        <f t="shared" si="530"/>
        <v>0</v>
      </c>
      <c r="Z110" s="59">
        <f t="shared" si="531"/>
        <v>0</v>
      </c>
      <c r="AA110" s="55">
        <f t="shared" si="532"/>
        <v>0</v>
      </c>
      <c r="AB110" s="59">
        <f t="shared" si="533"/>
        <v>0</v>
      </c>
      <c r="AC110" s="60">
        <f t="shared" si="534"/>
        <v>0</v>
      </c>
      <c r="AD110" s="59">
        <f t="shared" si="535"/>
        <v>0</v>
      </c>
      <c r="AE110" s="60">
        <f t="shared" si="536"/>
        <v>0</v>
      </c>
      <c r="AF110" s="59">
        <f t="shared" si="537"/>
        <v>0</v>
      </c>
      <c r="AG110" s="60">
        <f t="shared" si="538"/>
        <v>0</v>
      </c>
      <c r="AH110" s="59">
        <f t="shared" si="539"/>
        <v>0</v>
      </c>
      <c r="AI110" s="55">
        <f t="shared" si="540"/>
        <v>0</v>
      </c>
      <c r="AJ110" s="59">
        <f t="shared" si="541"/>
        <v>0</v>
      </c>
      <c r="AK110" s="60">
        <f t="shared" si="542"/>
        <v>0</v>
      </c>
      <c r="AL110" s="59">
        <f t="shared" si="543"/>
        <v>0</v>
      </c>
      <c r="AM110" s="60">
        <f t="shared" si="544"/>
        <v>0</v>
      </c>
      <c r="AN110" s="59">
        <f t="shared" si="545"/>
        <v>0</v>
      </c>
      <c r="AO110" s="60">
        <f t="shared" si="546"/>
        <v>0</v>
      </c>
      <c r="AP110" s="59">
        <f t="shared" si="547"/>
        <v>0</v>
      </c>
      <c r="AQ110" s="60">
        <f t="shared" si="548"/>
        <v>0</v>
      </c>
      <c r="AR110" s="59">
        <f t="shared" si="549"/>
        <v>0</v>
      </c>
      <c r="AS110" s="55">
        <f t="shared" si="550"/>
        <v>0</v>
      </c>
      <c r="AT110" s="59">
        <f t="shared" si="551"/>
        <v>0</v>
      </c>
      <c r="AU110" s="60">
        <f t="shared" si="552"/>
        <v>0</v>
      </c>
      <c r="AV110" s="59">
        <f t="shared" si="553"/>
        <v>0</v>
      </c>
      <c r="AW110" s="60">
        <f t="shared" si="554"/>
        <v>0</v>
      </c>
      <c r="AX110" s="59">
        <f t="shared" si="555"/>
        <v>0</v>
      </c>
      <c r="AY110" s="55">
        <f t="shared" si="556"/>
        <v>0</v>
      </c>
      <c r="AZ110" s="59">
        <f t="shared" si="557"/>
        <v>0</v>
      </c>
      <c r="BC110" s="55">
        <v>1</v>
      </c>
      <c r="BD110" s="55">
        <v>0.97</v>
      </c>
      <c r="BE110" s="55">
        <v>0.95</v>
      </c>
      <c r="BF110" s="55">
        <v>0.93</v>
      </c>
      <c r="BG110" s="55">
        <f t="shared" si="651"/>
        <v>0.91</v>
      </c>
      <c r="BH110" s="55">
        <f t="shared" si="651"/>
        <v>0.89</v>
      </c>
      <c r="BI110" s="55">
        <f t="shared" si="651"/>
        <v>0.87</v>
      </c>
      <c r="BJ110" s="55">
        <f t="shared" si="651"/>
        <v>0.85</v>
      </c>
      <c r="BK110" s="55">
        <f t="shared" si="651"/>
        <v>0.83</v>
      </c>
      <c r="BL110" s="55">
        <f t="shared" si="651"/>
        <v>0.80999999999999994</v>
      </c>
      <c r="BM110" s="55">
        <f t="shared" si="651"/>
        <v>0.78999999999999992</v>
      </c>
      <c r="BN110" s="55">
        <f t="shared" si="651"/>
        <v>0.76999999999999991</v>
      </c>
      <c r="BO110" s="55">
        <f t="shared" si="651"/>
        <v>0.74999999999999989</v>
      </c>
      <c r="BP110" s="55">
        <f t="shared" si="651"/>
        <v>0.72999999999999987</v>
      </c>
      <c r="BQ110" s="55">
        <f t="shared" si="651"/>
        <v>0.70999999999999985</v>
      </c>
      <c r="BR110" s="55">
        <f t="shared" si="651"/>
        <v>0.68999999999999984</v>
      </c>
      <c r="BS110" s="55">
        <f t="shared" si="651"/>
        <v>0.66999999999999982</v>
      </c>
      <c r="BT110" s="55">
        <f t="shared" si="651"/>
        <v>0.6499999999999998</v>
      </c>
      <c r="BU110" s="55">
        <f t="shared" si="651"/>
        <v>0.62999999999999978</v>
      </c>
      <c r="BV110" s="55">
        <f t="shared" si="651"/>
        <v>0.60999999999999976</v>
      </c>
      <c r="BW110" s="55">
        <f t="shared" si="651"/>
        <v>0.58999999999999975</v>
      </c>
      <c r="BX110" s="55">
        <f t="shared" si="651"/>
        <v>0.56999999999999973</v>
      </c>
      <c r="BZ110" s="55">
        <f t="shared" si="508"/>
        <v>0</v>
      </c>
      <c r="CA110" s="55">
        <f t="shared" si="509"/>
        <v>0</v>
      </c>
      <c r="CB110" s="59">
        <f t="shared" si="559"/>
        <v>0</v>
      </c>
      <c r="CC110" s="55">
        <f t="shared" si="560"/>
        <v>0</v>
      </c>
      <c r="CD110" s="59">
        <f t="shared" si="561"/>
        <v>0</v>
      </c>
      <c r="CE110" s="55">
        <f t="shared" si="562"/>
        <v>0</v>
      </c>
      <c r="CF110" s="59">
        <f t="shared" si="563"/>
        <v>0</v>
      </c>
      <c r="CG110" s="55">
        <f t="shared" si="564"/>
        <v>0</v>
      </c>
      <c r="CH110" s="59">
        <f t="shared" si="565"/>
        <v>0</v>
      </c>
      <c r="CI110" s="57">
        <f t="shared" si="566"/>
        <v>0</v>
      </c>
      <c r="CJ110" s="59">
        <f t="shared" si="567"/>
        <v>0</v>
      </c>
      <c r="CK110" s="55">
        <f t="shared" si="568"/>
        <v>0</v>
      </c>
      <c r="CL110" s="59">
        <f t="shared" si="569"/>
        <v>0</v>
      </c>
      <c r="CM110" s="57">
        <f t="shared" si="570"/>
        <v>0</v>
      </c>
      <c r="CN110" s="59">
        <f t="shared" si="571"/>
        <v>0</v>
      </c>
      <c r="CO110" s="60">
        <f t="shared" si="572"/>
        <v>0</v>
      </c>
      <c r="CP110" s="59">
        <f t="shared" si="573"/>
        <v>0</v>
      </c>
      <c r="CQ110" s="57">
        <f t="shared" si="574"/>
        <v>0</v>
      </c>
      <c r="CR110" s="59">
        <f t="shared" si="575"/>
        <v>0</v>
      </c>
      <c r="CS110" s="55">
        <f t="shared" si="576"/>
        <v>0</v>
      </c>
      <c r="CT110" s="59">
        <f t="shared" si="577"/>
        <v>0</v>
      </c>
      <c r="CU110" s="60">
        <f t="shared" si="578"/>
        <v>0</v>
      </c>
      <c r="CV110" s="59">
        <f t="shared" si="579"/>
        <v>0</v>
      </c>
      <c r="CW110" s="60">
        <f t="shared" si="580"/>
        <v>0</v>
      </c>
      <c r="CX110" s="59">
        <f t="shared" si="581"/>
        <v>0</v>
      </c>
      <c r="CY110" s="60">
        <f t="shared" si="582"/>
        <v>0</v>
      </c>
      <c r="CZ110" s="59">
        <f t="shared" si="583"/>
        <v>0</v>
      </c>
      <c r="DA110" s="55">
        <f t="shared" si="584"/>
        <v>0</v>
      </c>
      <c r="DB110" s="59">
        <f t="shared" si="585"/>
        <v>0</v>
      </c>
      <c r="DC110" s="60">
        <f t="shared" si="586"/>
        <v>0</v>
      </c>
      <c r="DD110" s="59">
        <f t="shared" si="587"/>
        <v>0</v>
      </c>
      <c r="DE110" s="60">
        <f t="shared" si="588"/>
        <v>0</v>
      </c>
      <c r="DF110" s="59">
        <f t="shared" si="589"/>
        <v>0</v>
      </c>
      <c r="DG110" s="60">
        <f t="shared" si="590"/>
        <v>0</v>
      </c>
      <c r="DH110" s="59">
        <f t="shared" si="591"/>
        <v>0</v>
      </c>
      <c r="DI110" s="60">
        <f t="shared" si="592"/>
        <v>0</v>
      </c>
      <c r="DJ110" s="59">
        <f t="shared" si="593"/>
        <v>0</v>
      </c>
      <c r="DK110" s="55">
        <f t="shared" si="594"/>
        <v>0</v>
      </c>
      <c r="DL110" s="59">
        <f t="shared" si="595"/>
        <v>0</v>
      </c>
      <c r="DM110" s="60">
        <f t="shared" si="596"/>
        <v>0</v>
      </c>
      <c r="DN110" s="59">
        <f t="shared" si="597"/>
        <v>0</v>
      </c>
      <c r="DO110" s="60">
        <f t="shared" si="598"/>
        <v>0</v>
      </c>
      <c r="DP110" s="59">
        <f t="shared" si="599"/>
        <v>0</v>
      </c>
      <c r="DQ110" s="55">
        <f t="shared" si="600"/>
        <v>0</v>
      </c>
      <c r="DR110" s="59">
        <f t="shared" si="601"/>
        <v>0</v>
      </c>
      <c r="DU110" s="55">
        <v>1</v>
      </c>
      <c r="DV110" s="55">
        <v>0.97</v>
      </c>
      <c r="DW110" s="55">
        <v>0.95</v>
      </c>
      <c r="DX110" s="55">
        <v>0.93</v>
      </c>
      <c r="DY110" s="55">
        <f t="shared" si="654"/>
        <v>0.91</v>
      </c>
      <c r="DZ110" s="55">
        <f t="shared" si="654"/>
        <v>0.89</v>
      </c>
      <c r="EA110" s="55">
        <f t="shared" si="654"/>
        <v>0.87</v>
      </c>
      <c r="EB110" s="55">
        <f t="shared" si="654"/>
        <v>0.85</v>
      </c>
      <c r="EC110" s="55">
        <f t="shared" si="654"/>
        <v>0.83</v>
      </c>
      <c r="ED110" s="55">
        <f t="shared" si="654"/>
        <v>0.80999999999999994</v>
      </c>
      <c r="EE110" s="55">
        <f t="shared" si="654"/>
        <v>0.78999999999999992</v>
      </c>
      <c r="EF110" s="55">
        <f t="shared" si="654"/>
        <v>0.76999999999999991</v>
      </c>
      <c r="EG110" s="55">
        <f t="shared" si="654"/>
        <v>0.74999999999999989</v>
      </c>
      <c r="EH110" s="55">
        <f t="shared" si="654"/>
        <v>0.72999999999999987</v>
      </c>
      <c r="EI110" s="55">
        <f t="shared" si="654"/>
        <v>0.70999999999999985</v>
      </c>
      <c r="EJ110" s="55">
        <f t="shared" si="654"/>
        <v>0.68999999999999984</v>
      </c>
      <c r="EK110" s="55">
        <f t="shared" si="654"/>
        <v>0.66999999999999982</v>
      </c>
      <c r="EL110" s="55">
        <f t="shared" si="654"/>
        <v>0.6499999999999998</v>
      </c>
      <c r="EM110" s="55">
        <f t="shared" si="654"/>
        <v>0.62999999999999978</v>
      </c>
      <c r="EN110" s="55">
        <f t="shared" si="654"/>
        <v>0.60999999999999976</v>
      </c>
      <c r="EO110" s="55">
        <f t="shared" si="654"/>
        <v>0.58999999999999975</v>
      </c>
      <c r="EP110" s="55">
        <f t="shared" si="654"/>
        <v>0.56999999999999973</v>
      </c>
      <c r="ER110" s="55">
        <f t="shared" si="648"/>
        <v>0</v>
      </c>
      <c r="ES110" s="55">
        <f t="shared" si="510"/>
        <v>0</v>
      </c>
      <c r="ET110" s="59">
        <f t="shared" si="602"/>
        <v>0</v>
      </c>
      <c r="EU110" s="55">
        <f t="shared" si="603"/>
        <v>0</v>
      </c>
      <c r="EV110" s="59">
        <f t="shared" si="604"/>
        <v>0</v>
      </c>
      <c r="EW110" s="55">
        <f t="shared" si="605"/>
        <v>0</v>
      </c>
      <c r="EX110" s="59">
        <f t="shared" si="606"/>
        <v>0</v>
      </c>
      <c r="EY110" s="55">
        <f t="shared" si="607"/>
        <v>0</v>
      </c>
      <c r="EZ110" s="59">
        <f t="shared" si="608"/>
        <v>0</v>
      </c>
      <c r="FA110" s="57">
        <f t="shared" si="609"/>
        <v>0</v>
      </c>
      <c r="FB110" s="59">
        <f t="shared" si="610"/>
        <v>0</v>
      </c>
      <c r="FC110" s="55">
        <f t="shared" si="611"/>
        <v>0</v>
      </c>
      <c r="FD110" s="59">
        <f t="shared" si="612"/>
        <v>0</v>
      </c>
      <c r="FE110" s="57">
        <f t="shared" si="613"/>
        <v>0</v>
      </c>
      <c r="FF110" s="59">
        <f t="shared" si="614"/>
        <v>0</v>
      </c>
      <c r="FG110" s="60">
        <f t="shared" si="615"/>
        <v>0</v>
      </c>
      <c r="FH110" s="59">
        <f t="shared" si="616"/>
        <v>0</v>
      </c>
      <c r="FI110" s="57">
        <f t="shared" si="617"/>
        <v>0</v>
      </c>
      <c r="FJ110" s="59">
        <f t="shared" si="618"/>
        <v>0</v>
      </c>
      <c r="FK110" s="55">
        <f t="shared" si="619"/>
        <v>0</v>
      </c>
      <c r="FL110" s="59">
        <f t="shared" si="620"/>
        <v>0</v>
      </c>
      <c r="FM110" s="60">
        <f t="shared" si="621"/>
        <v>0</v>
      </c>
      <c r="FN110" s="59">
        <f t="shared" si="622"/>
        <v>0</v>
      </c>
      <c r="FO110" s="60">
        <f t="shared" si="623"/>
        <v>0</v>
      </c>
      <c r="FP110" s="59">
        <f t="shared" si="624"/>
        <v>0</v>
      </c>
      <c r="FQ110" s="60">
        <f t="shared" si="625"/>
        <v>0</v>
      </c>
      <c r="FR110" s="59">
        <f t="shared" si="626"/>
        <v>0</v>
      </c>
      <c r="FS110" s="55">
        <f t="shared" si="627"/>
        <v>0</v>
      </c>
      <c r="FT110" s="59">
        <f t="shared" si="628"/>
        <v>0</v>
      </c>
      <c r="FU110" s="60">
        <f t="shared" si="629"/>
        <v>0</v>
      </c>
      <c r="FV110" s="59">
        <f t="shared" si="630"/>
        <v>0</v>
      </c>
      <c r="FW110" s="60">
        <f t="shared" si="631"/>
        <v>0</v>
      </c>
      <c r="FX110" s="59">
        <f t="shared" si="632"/>
        <v>0</v>
      </c>
      <c r="FY110" s="60">
        <f t="shared" si="633"/>
        <v>0</v>
      </c>
      <c r="FZ110" s="59">
        <f t="shared" si="634"/>
        <v>0</v>
      </c>
      <c r="GA110" s="60">
        <f t="shared" si="635"/>
        <v>0</v>
      </c>
      <c r="GB110" s="59">
        <f t="shared" si="636"/>
        <v>0</v>
      </c>
      <c r="GC110" s="55">
        <f t="shared" si="637"/>
        <v>0</v>
      </c>
      <c r="GD110" s="59">
        <f t="shared" si="638"/>
        <v>0</v>
      </c>
      <c r="GE110" s="60">
        <f t="shared" si="639"/>
        <v>0</v>
      </c>
      <c r="GF110" s="59">
        <f t="shared" si="640"/>
        <v>0</v>
      </c>
      <c r="GG110" s="60">
        <f t="shared" si="641"/>
        <v>0</v>
      </c>
      <c r="GH110" s="59">
        <f t="shared" si="642"/>
        <v>0</v>
      </c>
      <c r="GI110" s="55">
        <f t="shared" si="643"/>
        <v>0</v>
      </c>
      <c r="GJ110" s="59">
        <f t="shared" si="644"/>
        <v>0</v>
      </c>
      <c r="GK110" s="55"/>
      <c r="GL110" s="55"/>
      <c r="GM110" s="55">
        <v>1</v>
      </c>
      <c r="GN110" s="55">
        <v>0.97</v>
      </c>
      <c r="GO110" s="55">
        <v>0.95</v>
      </c>
      <c r="GP110" s="55">
        <v>0.93</v>
      </c>
      <c r="GQ110" s="55">
        <f t="shared" si="655"/>
        <v>0.91</v>
      </c>
      <c r="GR110" s="55">
        <f t="shared" si="655"/>
        <v>0.89</v>
      </c>
      <c r="GS110" s="55">
        <f t="shared" si="655"/>
        <v>0.87</v>
      </c>
      <c r="GT110" s="55">
        <f t="shared" si="655"/>
        <v>0.85</v>
      </c>
      <c r="GU110" s="55">
        <f t="shared" si="655"/>
        <v>0.83</v>
      </c>
      <c r="GV110" s="55">
        <f t="shared" si="655"/>
        <v>0.80999999999999994</v>
      </c>
      <c r="GW110" s="55">
        <f t="shared" si="655"/>
        <v>0.78999999999999992</v>
      </c>
      <c r="GX110" s="55">
        <f t="shared" si="655"/>
        <v>0.76999999999999991</v>
      </c>
      <c r="GY110" s="55">
        <f t="shared" si="655"/>
        <v>0.74999999999999989</v>
      </c>
      <c r="GZ110" s="55">
        <f t="shared" si="655"/>
        <v>0.72999999999999987</v>
      </c>
      <c r="HA110" s="55">
        <f t="shared" si="655"/>
        <v>0.70999999999999985</v>
      </c>
      <c r="HB110" s="55">
        <f t="shared" si="655"/>
        <v>0.68999999999999984</v>
      </c>
      <c r="HC110" s="55">
        <f t="shared" si="655"/>
        <v>0.66999999999999982</v>
      </c>
      <c r="HD110" s="55">
        <f t="shared" si="655"/>
        <v>0.6499999999999998</v>
      </c>
      <c r="HE110" s="55">
        <f t="shared" si="655"/>
        <v>0.62999999999999978</v>
      </c>
      <c r="HF110" s="55">
        <f t="shared" si="655"/>
        <v>0.60999999999999976</v>
      </c>
      <c r="HG110" s="55">
        <f t="shared" si="655"/>
        <v>0.58999999999999975</v>
      </c>
      <c r="HH110" s="55">
        <f t="shared" si="655"/>
        <v>0.56999999999999973</v>
      </c>
    </row>
    <row r="111" spans="1:216" x14ac:dyDescent="0.3">
      <c r="A111" s="2">
        <v>20</v>
      </c>
      <c r="C111" s="38" t="s">
        <v>150</v>
      </c>
      <c r="D111" s="42">
        <f>TRUNC(44027.9486728775+65181.0511513447,-1)</f>
        <v>109200</v>
      </c>
      <c r="E111" s="71">
        <f t="shared" si="515"/>
        <v>360990</v>
      </c>
      <c r="H111" s="55">
        <f t="shared" si="505"/>
        <v>397089.00000000006</v>
      </c>
      <c r="I111" s="55">
        <f t="shared" si="506"/>
        <v>397089.00000000006</v>
      </c>
      <c r="J111" s="59">
        <f t="shared" si="507"/>
        <v>1312696.8162000002</v>
      </c>
      <c r="K111" s="55">
        <f t="shared" si="516"/>
        <v>385176.33000000007</v>
      </c>
      <c r="L111" s="59">
        <f t="shared" si="517"/>
        <v>1273315.9117140002</v>
      </c>
      <c r="M111" s="55">
        <f t="shared" si="518"/>
        <v>377234.55000000005</v>
      </c>
      <c r="N111" s="59">
        <f t="shared" si="519"/>
        <v>1247061.9753900003</v>
      </c>
      <c r="O111" s="55">
        <f t="shared" si="520"/>
        <v>369292.77000000008</v>
      </c>
      <c r="P111" s="59">
        <f t="shared" si="521"/>
        <v>1220808.0390660004</v>
      </c>
      <c r="Q111" s="57">
        <f t="shared" si="522"/>
        <v>361350.99000000005</v>
      </c>
      <c r="R111" s="59">
        <f t="shared" si="523"/>
        <v>1194554.1027420003</v>
      </c>
      <c r="S111" s="55">
        <f t="shared" si="524"/>
        <v>353409.21000000008</v>
      </c>
      <c r="T111" s="59">
        <f t="shared" si="525"/>
        <v>1168300.1664180004</v>
      </c>
      <c r="U111" s="57">
        <f t="shared" si="526"/>
        <v>345467.43000000005</v>
      </c>
      <c r="V111" s="59">
        <f t="shared" si="527"/>
        <v>1142046.2300940002</v>
      </c>
      <c r="W111" s="60">
        <f t="shared" si="528"/>
        <v>337525.65</v>
      </c>
      <c r="X111" s="59">
        <f t="shared" si="529"/>
        <v>1115792.2937700001</v>
      </c>
      <c r="Y111" s="57">
        <f t="shared" si="530"/>
        <v>329583.87000000005</v>
      </c>
      <c r="Z111" s="59">
        <f t="shared" si="531"/>
        <v>1089538.3574460002</v>
      </c>
      <c r="AA111" s="55">
        <f t="shared" si="532"/>
        <v>321642.09000000003</v>
      </c>
      <c r="AB111" s="59">
        <f t="shared" si="533"/>
        <v>1063284.4211220001</v>
      </c>
      <c r="AC111" s="60">
        <f t="shared" si="534"/>
        <v>313700.31</v>
      </c>
      <c r="AD111" s="59">
        <f t="shared" si="535"/>
        <v>1037030.484798</v>
      </c>
      <c r="AE111" s="60">
        <f t="shared" si="536"/>
        <v>305758.53000000003</v>
      </c>
      <c r="AF111" s="59">
        <f t="shared" si="537"/>
        <v>1010776.5484740001</v>
      </c>
      <c r="AG111" s="60">
        <f t="shared" si="538"/>
        <v>297816.75</v>
      </c>
      <c r="AH111" s="59">
        <f t="shared" si="539"/>
        <v>984522.61215000006</v>
      </c>
      <c r="AI111" s="55">
        <f t="shared" si="540"/>
        <v>289874.96999999997</v>
      </c>
      <c r="AJ111" s="59">
        <f t="shared" si="541"/>
        <v>958268.67582599993</v>
      </c>
      <c r="AK111" s="60">
        <f t="shared" si="542"/>
        <v>281933.19</v>
      </c>
      <c r="AL111" s="59">
        <f t="shared" si="543"/>
        <v>932014.73950200004</v>
      </c>
      <c r="AM111" s="60">
        <f t="shared" si="544"/>
        <v>273991.40999999997</v>
      </c>
      <c r="AN111" s="59">
        <f t="shared" si="545"/>
        <v>905760.80317799991</v>
      </c>
      <c r="AO111" s="60">
        <f t="shared" si="546"/>
        <v>266049.62999999995</v>
      </c>
      <c r="AP111" s="59">
        <f t="shared" si="547"/>
        <v>879506.86685399979</v>
      </c>
      <c r="AQ111" s="60">
        <f t="shared" si="548"/>
        <v>258107.84999999995</v>
      </c>
      <c r="AR111" s="59">
        <f t="shared" si="549"/>
        <v>853252.9305299999</v>
      </c>
      <c r="AS111" s="55">
        <f t="shared" si="550"/>
        <v>250166.06999999995</v>
      </c>
      <c r="AT111" s="59">
        <f t="shared" si="551"/>
        <v>826998.99420599989</v>
      </c>
      <c r="AU111" s="60">
        <f t="shared" si="552"/>
        <v>242224.28999999995</v>
      </c>
      <c r="AV111" s="59">
        <f t="shared" si="553"/>
        <v>800745.05788199988</v>
      </c>
      <c r="AW111" s="60">
        <f t="shared" si="554"/>
        <v>234282.50999999992</v>
      </c>
      <c r="AX111" s="59">
        <f t="shared" si="555"/>
        <v>774491.12155799975</v>
      </c>
      <c r="AY111" s="55">
        <f t="shared" si="556"/>
        <v>226340.72999999992</v>
      </c>
      <c r="AZ111" s="59">
        <f t="shared" si="557"/>
        <v>748237.18523399974</v>
      </c>
      <c r="BC111" s="55">
        <v>1</v>
      </c>
      <c r="BD111" s="55">
        <v>0.97</v>
      </c>
      <c r="BE111" s="55">
        <v>0.95</v>
      </c>
      <c r="BF111" s="55">
        <v>0.93</v>
      </c>
      <c r="BG111" s="55">
        <f t="shared" si="651"/>
        <v>0.91</v>
      </c>
      <c r="BH111" s="55">
        <f t="shared" si="651"/>
        <v>0.89</v>
      </c>
      <c r="BI111" s="55">
        <f t="shared" si="651"/>
        <v>0.87</v>
      </c>
      <c r="BJ111" s="55">
        <f t="shared" si="651"/>
        <v>0.85</v>
      </c>
      <c r="BK111" s="55">
        <f t="shared" si="651"/>
        <v>0.83</v>
      </c>
      <c r="BL111" s="55">
        <f t="shared" si="651"/>
        <v>0.80999999999999994</v>
      </c>
      <c r="BM111" s="55">
        <f t="shared" si="651"/>
        <v>0.78999999999999992</v>
      </c>
      <c r="BN111" s="55">
        <f t="shared" si="651"/>
        <v>0.76999999999999991</v>
      </c>
      <c r="BO111" s="55">
        <f t="shared" si="651"/>
        <v>0.74999999999999989</v>
      </c>
      <c r="BP111" s="55">
        <f t="shared" si="651"/>
        <v>0.72999999999999987</v>
      </c>
      <c r="BQ111" s="55">
        <f t="shared" si="651"/>
        <v>0.70999999999999985</v>
      </c>
      <c r="BR111" s="55">
        <f t="shared" si="651"/>
        <v>0.68999999999999984</v>
      </c>
      <c r="BS111" s="55">
        <f t="shared" si="651"/>
        <v>0.66999999999999982</v>
      </c>
      <c r="BT111" s="55">
        <f t="shared" si="651"/>
        <v>0.6499999999999998</v>
      </c>
      <c r="BU111" s="55">
        <f t="shared" si="651"/>
        <v>0.62999999999999978</v>
      </c>
      <c r="BV111" s="55">
        <f t="shared" si="651"/>
        <v>0.60999999999999976</v>
      </c>
      <c r="BW111" s="55">
        <f t="shared" si="651"/>
        <v>0.58999999999999975</v>
      </c>
      <c r="BX111" s="55">
        <f t="shared" si="651"/>
        <v>0.56999999999999973</v>
      </c>
      <c r="BZ111" s="55">
        <f t="shared" si="508"/>
        <v>361350.99000000005</v>
      </c>
      <c r="CA111" s="55">
        <f t="shared" si="509"/>
        <v>361350.99000000005</v>
      </c>
      <c r="CB111" s="59">
        <f t="shared" si="559"/>
        <v>1194554.1027420003</v>
      </c>
      <c r="CC111" s="55">
        <f t="shared" si="560"/>
        <v>350510.46030000004</v>
      </c>
      <c r="CD111" s="59">
        <f t="shared" si="561"/>
        <v>1158717.4796597401</v>
      </c>
      <c r="CE111" s="55">
        <f t="shared" si="562"/>
        <v>343283.44050000003</v>
      </c>
      <c r="CF111" s="59">
        <f t="shared" si="563"/>
        <v>1134826.3976049002</v>
      </c>
      <c r="CG111" s="55">
        <f t="shared" si="564"/>
        <v>336056.42070000008</v>
      </c>
      <c r="CH111" s="59">
        <f t="shared" si="565"/>
        <v>1110935.3155500602</v>
      </c>
      <c r="CI111" s="57">
        <f t="shared" si="566"/>
        <v>328829.40090000007</v>
      </c>
      <c r="CJ111" s="59">
        <f t="shared" si="567"/>
        <v>1087044.2334952203</v>
      </c>
      <c r="CK111" s="55">
        <f t="shared" si="568"/>
        <v>321602.38110000006</v>
      </c>
      <c r="CL111" s="59">
        <f t="shared" si="569"/>
        <v>1063153.1514403801</v>
      </c>
      <c r="CM111" s="57">
        <f t="shared" si="570"/>
        <v>314375.36130000005</v>
      </c>
      <c r="CN111" s="59">
        <f t="shared" si="571"/>
        <v>1039262.0693855402</v>
      </c>
      <c r="CO111" s="60">
        <f t="shared" si="572"/>
        <v>307148.34150000004</v>
      </c>
      <c r="CP111" s="59">
        <f t="shared" si="573"/>
        <v>1015370.9873307002</v>
      </c>
      <c r="CQ111" s="57">
        <f t="shared" si="574"/>
        <v>299921.32170000003</v>
      </c>
      <c r="CR111" s="59">
        <f t="shared" si="575"/>
        <v>991479.9052758601</v>
      </c>
      <c r="CS111" s="55">
        <f t="shared" si="576"/>
        <v>292694.30190000002</v>
      </c>
      <c r="CT111" s="59">
        <f t="shared" si="577"/>
        <v>967588.82322102005</v>
      </c>
      <c r="CU111" s="60">
        <f t="shared" si="578"/>
        <v>285467.28210000001</v>
      </c>
      <c r="CV111" s="59">
        <f t="shared" si="579"/>
        <v>943697.74116618</v>
      </c>
      <c r="CW111" s="60">
        <f t="shared" si="580"/>
        <v>278240.2623</v>
      </c>
      <c r="CX111" s="59">
        <f t="shared" si="581"/>
        <v>919806.65911134006</v>
      </c>
      <c r="CY111" s="60">
        <f t="shared" si="582"/>
        <v>271013.24249999999</v>
      </c>
      <c r="CZ111" s="59">
        <f t="shared" si="583"/>
        <v>895915.57705650001</v>
      </c>
      <c r="DA111" s="55">
        <f t="shared" si="584"/>
        <v>263786.22269999998</v>
      </c>
      <c r="DB111" s="59">
        <f t="shared" si="585"/>
        <v>872024.49500165996</v>
      </c>
      <c r="DC111" s="60">
        <f t="shared" si="586"/>
        <v>256559.20289999997</v>
      </c>
      <c r="DD111" s="59">
        <f t="shared" si="587"/>
        <v>848133.41294681991</v>
      </c>
      <c r="DE111" s="60">
        <f t="shared" si="588"/>
        <v>249332.18309999997</v>
      </c>
      <c r="DF111" s="59">
        <f t="shared" si="589"/>
        <v>824242.33089197986</v>
      </c>
      <c r="DG111" s="60">
        <f t="shared" si="590"/>
        <v>242105.16329999996</v>
      </c>
      <c r="DH111" s="59">
        <f t="shared" si="591"/>
        <v>800351.24883713992</v>
      </c>
      <c r="DI111" s="60">
        <f t="shared" si="592"/>
        <v>234878.14349999995</v>
      </c>
      <c r="DJ111" s="59">
        <f t="shared" si="593"/>
        <v>776460.16678229987</v>
      </c>
      <c r="DK111" s="55">
        <f t="shared" si="594"/>
        <v>227651.12369999994</v>
      </c>
      <c r="DL111" s="59">
        <f t="shared" si="595"/>
        <v>752569.08472745982</v>
      </c>
      <c r="DM111" s="60">
        <f t="shared" si="596"/>
        <v>220424.10389999996</v>
      </c>
      <c r="DN111" s="59">
        <f t="shared" si="597"/>
        <v>728678.00267261988</v>
      </c>
      <c r="DO111" s="60">
        <f t="shared" si="598"/>
        <v>213197.08409999995</v>
      </c>
      <c r="DP111" s="59">
        <f t="shared" si="599"/>
        <v>704786.92061777983</v>
      </c>
      <c r="DQ111" s="55">
        <f t="shared" si="600"/>
        <v>205970.06429999994</v>
      </c>
      <c r="DR111" s="59">
        <f t="shared" si="601"/>
        <v>680895.83856293978</v>
      </c>
      <c r="DU111" s="55">
        <v>1</v>
      </c>
      <c r="DV111" s="55">
        <v>0.97</v>
      </c>
      <c r="DW111" s="55">
        <v>0.95</v>
      </c>
      <c r="DX111" s="55">
        <v>0.93</v>
      </c>
      <c r="DY111" s="55">
        <f t="shared" si="654"/>
        <v>0.91</v>
      </c>
      <c r="DZ111" s="55">
        <f t="shared" si="654"/>
        <v>0.89</v>
      </c>
      <c r="EA111" s="55">
        <f t="shared" si="654"/>
        <v>0.87</v>
      </c>
      <c r="EB111" s="55">
        <f t="shared" si="654"/>
        <v>0.85</v>
      </c>
      <c r="EC111" s="55">
        <f t="shared" si="654"/>
        <v>0.83</v>
      </c>
      <c r="ED111" s="55">
        <f t="shared" si="654"/>
        <v>0.80999999999999994</v>
      </c>
      <c r="EE111" s="55">
        <f t="shared" si="654"/>
        <v>0.78999999999999992</v>
      </c>
      <c r="EF111" s="55">
        <f t="shared" si="654"/>
        <v>0.76999999999999991</v>
      </c>
      <c r="EG111" s="55">
        <f t="shared" si="654"/>
        <v>0.74999999999999989</v>
      </c>
      <c r="EH111" s="55">
        <f t="shared" si="654"/>
        <v>0.72999999999999987</v>
      </c>
      <c r="EI111" s="55">
        <f t="shared" si="654"/>
        <v>0.70999999999999985</v>
      </c>
      <c r="EJ111" s="55">
        <f t="shared" si="654"/>
        <v>0.68999999999999984</v>
      </c>
      <c r="EK111" s="55">
        <f t="shared" si="654"/>
        <v>0.66999999999999982</v>
      </c>
      <c r="EL111" s="55">
        <f t="shared" si="654"/>
        <v>0.6499999999999998</v>
      </c>
      <c r="EM111" s="55">
        <f t="shared" si="654"/>
        <v>0.62999999999999978</v>
      </c>
      <c r="EN111" s="55">
        <f t="shared" si="654"/>
        <v>0.60999999999999976</v>
      </c>
      <c r="EO111" s="55">
        <f t="shared" si="654"/>
        <v>0.58999999999999975</v>
      </c>
      <c r="EP111" s="55">
        <f t="shared" si="654"/>
        <v>0.56999999999999973</v>
      </c>
      <c r="ER111" s="55">
        <f t="shared" si="648"/>
        <v>328829.40090000007</v>
      </c>
      <c r="ES111" s="55">
        <f t="shared" si="510"/>
        <v>328829.40090000007</v>
      </c>
      <c r="ET111" s="59">
        <f t="shared" si="602"/>
        <v>1087044.2334952203</v>
      </c>
      <c r="EU111" s="55">
        <f t="shared" si="603"/>
        <v>318964.51887300005</v>
      </c>
      <c r="EV111" s="59">
        <f t="shared" si="604"/>
        <v>1054432.9064903636</v>
      </c>
      <c r="EW111" s="55">
        <f t="shared" si="605"/>
        <v>312387.93085500004</v>
      </c>
      <c r="EX111" s="59">
        <f t="shared" si="606"/>
        <v>1032692.0218204592</v>
      </c>
      <c r="EY111" s="55">
        <f t="shared" si="607"/>
        <v>305811.34283700009</v>
      </c>
      <c r="EZ111" s="59">
        <f t="shared" si="608"/>
        <v>1010951.1371505549</v>
      </c>
      <c r="FA111" s="57">
        <f t="shared" si="609"/>
        <v>299234.75481900008</v>
      </c>
      <c r="FB111" s="59">
        <f t="shared" si="610"/>
        <v>989210.25248065044</v>
      </c>
      <c r="FC111" s="55">
        <f t="shared" si="611"/>
        <v>292658.16680100007</v>
      </c>
      <c r="FD111" s="59">
        <f t="shared" si="612"/>
        <v>967469.36781074607</v>
      </c>
      <c r="FE111" s="57">
        <f t="shared" si="613"/>
        <v>286081.57878300006</v>
      </c>
      <c r="FF111" s="59">
        <f t="shared" si="614"/>
        <v>945728.48314084159</v>
      </c>
      <c r="FG111" s="60">
        <f t="shared" si="615"/>
        <v>279504.99076500005</v>
      </c>
      <c r="FH111" s="59">
        <f t="shared" si="616"/>
        <v>923987.59847093723</v>
      </c>
      <c r="FI111" s="57">
        <f t="shared" si="617"/>
        <v>272928.40274700004</v>
      </c>
      <c r="FJ111" s="59">
        <f t="shared" si="618"/>
        <v>902246.71380103275</v>
      </c>
      <c r="FK111" s="55">
        <f t="shared" si="619"/>
        <v>266351.81472900003</v>
      </c>
      <c r="FL111" s="59">
        <f t="shared" si="620"/>
        <v>880505.82913112838</v>
      </c>
      <c r="FM111" s="60">
        <f t="shared" si="621"/>
        <v>259775.22671100002</v>
      </c>
      <c r="FN111" s="59">
        <f t="shared" si="622"/>
        <v>858764.9444612239</v>
      </c>
      <c r="FO111" s="60">
        <f t="shared" si="623"/>
        <v>253198.63869300002</v>
      </c>
      <c r="FP111" s="59">
        <f t="shared" si="624"/>
        <v>837024.05979131942</v>
      </c>
      <c r="FQ111" s="60">
        <f t="shared" si="625"/>
        <v>246622.05067500001</v>
      </c>
      <c r="FR111" s="59">
        <f t="shared" si="626"/>
        <v>815283.17512141506</v>
      </c>
      <c r="FS111" s="55">
        <f t="shared" si="627"/>
        <v>240045.462657</v>
      </c>
      <c r="FT111" s="59">
        <f t="shared" si="628"/>
        <v>793542.29045151058</v>
      </c>
      <c r="FU111" s="60">
        <f t="shared" si="629"/>
        <v>233468.87463899999</v>
      </c>
      <c r="FV111" s="59">
        <f t="shared" si="630"/>
        <v>771801.40578160621</v>
      </c>
      <c r="FW111" s="60">
        <f t="shared" si="631"/>
        <v>226892.28662099998</v>
      </c>
      <c r="FX111" s="59">
        <f t="shared" si="632"/>
        <v>750060.52111170173</v>
      </c>
      <c r="FY111" s="60">
        <f t="shared" si="633"/>
        <v>220315.698603</v>
      </c>
      <c r="FZ111" s="59">
        <f t="shared" si="634"/>
        <v>728319.63644179737</v>
      </c>
      <c r="GA111" s="60">
        <f t="shared" si="635"/>
        <v>213739.11058499999</v>
      </c>
      <c r="GB111" s="59">
        <f t="shared" si="636"/>
        <v>706578.751771893</v>
      </c>
      <c r="GC111" s="55">
        <f t="shared" si="637"/>
        <v>207162.52256699998</v>
      </c>
      <c r="GD111" s="59">
        <f t="shared" si="638"/>
        <v>684837.86710198852</v>
      </c>
      <c r="GE111" s="60">
        <f t="shared" si="639"/>
        <v>200585.93454899997</v>
      </c>
      <c r="GF111" s="59">
        <f t="shared" si="640"/>
        <v>663096.98243208416</v>
      </c>
      <c r="GG111" s="60">
        <f t="shared" si="641"/>
        <v>194009.34653099996</v>
      </c>
      <c r="GH111" s="59">
        <f t="shared" si="642"/>
        <v>641356.09776217968</v>
      </c>
      <c r="GI111" s="55">
        <f t="shared" si="643"/>
        <v>187432.75851299995</v>
      </c>
      <c r="GJ111" s="59">
        <f t="shared" si="644"/>
        <v>619615.2130922752</v>
      </c>
      <c r="GK111" s="55"/>
      <c r="GL111" s="55"/>
      <c r="GM111" s="55">
        <v>1</v>
      </c>
      <c r="GN111" s="55">
        <v>0.97</v>
      </c>
      <c r="GO111" s="55">
        <v>0.95</v>
      </c>
      <c r="GP111" s="55">
        <v>0.93</v>
      </c>
      <c r="GQ111" s="55">
        <f t="shared" si="655"/>
        <v>0.91</v>
      </c>
      <c r="GR111" s="55">
        <f t="shared" si="655"/>
        <v>0.89</v>
      </c>
      <c r="GS111" s="55">
        <f t="shared" si="655"/>
        <v>0.87</v>
      </c>
      <c r="GT111" s="55">
        <f t="shared" si="655"/>
        <v>0.85</v>
      </c>
      <c r="GU111" s="55">
        <f t="shared" si="655"/>
        <v>0.83</v>
      </c>
      <c r="GV111" s="55">
        <f t="shared" si="655"/>
        <v>0.80999999999999994</v>
      </c>
      <c r="GW111" s="55">
        <f t="shared" si="655"/>
        <v>0.78999999999999992</v>
      </c>
      <c r="GX111" s="55">
        <f t="shared" si="655"/>
        <v>0.76999999999999991</v>
      </c>
      <c r="GY111" s="55">
        <f t="shared" si="655"/>
        <v>0.74999999999999989</v>
      </c>
      <c r="GZ111" s="55">
        <f t="shared" si="655"/>
        <v>0.72999999999999987</v>
      </c>
      <c r="HA111" s="55">
        <f t="shared" si="655"/>
        <v>0.70999999999999985</v>
      </c>
      <c r="HB111" s="55">
        <f t="shared" si="655"/>
        <v>0.68999999999999984</v>
      </c>
      <c r="HC111" s="55">
        <f t="shared" si="655"/>
        <v>0.66999999999999982</v>
      </c>
      <c r="HD111" s="55">
        <f t="shared" si="655"/>
        <v>0.6499999999999998</v>
      </c>
      <c r="HE111" s="55">
        <f t="shared" si="655"/>
        <v>0.62999999999999978</v>
      </c>
      <c r="HF111" s="55">
        <f t="shared" si="655"/>
        <v>0.60999999999999976</v>
      </c>
      <c r="HG111" s="55">
        <f t="shared" si="655"/>
        <v>0.58999999999999975</v>
      </c>
      <c r="HH111" s="55">
        <f t="shared" si="655"/>
        <v>0.56999999999999973</v>
      </c>
    </row>
    <row r="112" spans="1:216" ht="17.25" thickBot="1" x14ac:dyDescent="0.35">
      <c r="A112" s="2">
        <v>21</v>
      </c>
      <c r="C112" s="38" t="s">
        <v>47</v>
      </c>
      <c r="D112" s="43">
        <f>TRUNC(96.6777992617332,-1)</f>
        <v>90</v>
      </c>
      <c r="E112" s="72">
        <f t="shared" si="515"/>
        <v>290</v>
      </c>
      <c r="F112" s="2" t="s">
        <v>312</v>
      </c>
      <c r="H112" s="55">
        <f t="shared" si="505"/>
        <v>319</v>
      </c>
      <c r="I112" s="55">
        <f t="shared" si="506"/>
        <v>319</v>
      </c>
      <c r="J112" s="59">
        <f t="shared" si="507"/>
        <v>1054.5502000000001</v>
      </c>
      <c r="K112" s="55">
        <f t="shared" si="516"/>
        <v>309.43</v>
      </c>
      <c r="L112" s="59">
        <f t="shared" si="517"/>
        <v>1022.9136940000001</v>
      </c>
      <c r="M112" s="55">
        <f t="shared" si="518"/>
        <v>303.05</v>
      </c>
      <c r="N112" s="59">
        <f t="shared" si="519"/>
        <v>1001.8226900000001</v>
      </c>
      <c r="O112" s="55">
        <f t="shared" si="520"/>
        <v>296.67</v>
      </c>
      <c r="P112" s="59">
        <f t="shared" si="521"/>
        <v>980.73168600000008</v>
      </c>
      <c r="Q112" s="57">
        <f t="shared" si="522"/>
        <v>290.29000000000002</v>
      </c>
      <c r="R112" s="59">
        <f t="shared" si="523"/>
        <v>959.64068200000008</v>
      </c>
      <c r="S112" s="55">
        <f t="shared" si="524"/>
        <v>283.91000000000003</v>
      </c>
      <c r="T112" s="59">
        <f t="shared" si="525"/>
        <v>938.54967800000009</v>
      </c>
      <c r="U112" s="57">
        <f t="shared" si="526"/>
        <v>277.52999999999997</v>
      </c>
      <c r="V112" s="59">
        <f t="shared" si="527"/>
        <v>917.45867399999997</v>
      </c>
      <c r="W112" s="60">
        <f t="shared" si="528"/>
        <v>271.14999999999998</v>
      </c>
      <c r="X112" s="59">
        <f t="shared" si="529"/>
        <v>896.36766999999998</v>
      </c>
      <c r="Y112" s="57">
        <f t="shared" si="530"/>
        <v>264.77</v>
      </c>
      <c r="Z112" s="59">
        <f t="shared" si="531"/>
        <v>875.27666599999998</v>
      </c>
      <c r="AA112" s="55">
        <f t="shared" si="532"/>
        <v>258.39</v>
      </c>
      <c r="AB112" s="59">
        <f t="shared" si="533"/>
        <v>854.18566199999998</v>
      </c>
      <c r="AC112" s="60">
        <f t="shared" si="534"/>
        <v>252.00999999999996</v>
      </c>
      <c r="AD112" s="59">
        <f t="shared" si="535"/>
        <v>833.09465799999987</v>
      </c>
      <c r="AE112" s="60">
        <f t="shared" si="536"/>
        <v>245.62999999999997</v>
      </c>
      <c r="AF112" s="59">
        <f t="shared" si="537"/>
        <v>812.00365399999987</v>
      </c>
      <c r="AG112" s="60">
        <f t="shared" si="538"/>
        <v>239.24999999999997</v>
      </c>
      <c r="AH112" s="59">
        <f t="shared" si="539"/>
        <v>790.91264999999987</v>
      </c>
      <c r="AI112" s="55">
        <f t="shared" si="540"/>
        <v>232.86999999999995</v>
      </c>
      <c r="AJ112" s="59">
        <f t="shared" si="541"/>
        <v>769.82164599999987</v>
      </c>
      <c r="AK112" s="60">
        <f t="shared" si="542"/>
        <v>226.48999999999995</v>
      </c>
      <c r="AL112" s="59">
        <f t="shared" si="543"/>
        <v>748.73064199999988</v>
      </c>
      <c r="AM112" s="60">
        <f t="shared" si="544"/>
        <v>220.10999999999996</v>
      </c>
      <c r="AN112" s="59">
        <f t="shared" si="545"/>
        <v>727.63963799999988</v>
      </c>
      <c r="AO112" s="60">
        <f t="shared" si="546"/>
        <v>213.72999999999993</v>
      </c>
      <c r="AP112" s="59">
        <f t="shared" si="547"/>
        <v>706.54863399999977</v>
      </c>
      <c r="AQ112" s="60">
        <f t="shared" si="548"/>
        <v>207.34999999999994</v>
      </c>
      <c r="AR112" s="59">
        <f t="shared" si="549"/>
        <v>685.45762999999977</v>
      </c>
      <c r="AS112" s="55">
        <f t="shared" si="550"/>
        <v>200.96999999999994</v>
      </c>
      <c r="AT112" s="59">
        <f t="shared" si="551"/>
        <v>664.36662599999977</v>
      </c>
      <c r="AU112" s="60">
        <f t="shared" si="552"/>
        <v>194.58999999999992</v>
      </c>
      <c r="AV112" s="59">
        <f t="shared" si="553"/>
        <v>643.27562199999977</v>
      </c>
      <c r="AW112" s="60">
        <f t="shared" si="554"/>
        <v>188.20999999999992</v>
      </c>
      <c r="AX112" s="59">
        <f t="shared" si="555"/>
        <v>622.18461799999977</v>
      </c>
      <c r="AY112" s="55">
        <f t="shared" si="556"/>
        <v>181.82999999999993</v>
      </c>
      <c r="AZ112" s="59">
        <f t="shared" si="557"/>
        <v>601.09361399999977</v>
      </c>
      <c r="BC112" s="55">
        <v>1</v>
      </c>
      <c r="BD112" s="55">
        <v>0.97</v>
      </c>
      <c r="BE112" s="55">
        <v>0.95</v>
      </c>
      <c r="BF112" s="55">
        <v>0.93</v>
      </c>
      <c r="BG112" s="55">
        <f t="shared" si="651"/>
        <v>0.91</v>
      </c>
      <c r="BH112" s="55">
        <f t="shared" si="651"/>
        <v>0.89</v>
      </c>
      <c r="BI112" s="55">
        <f t="shared" si="651"/>
        <v>0.87</v>
      </c>
      <c r="BJ112" s="55">
        <f t="shared" si="651"/>
        <v>0.85</v>
      </c>
      <c r="BK112" s="55">
        <f t="shared" si="651"/>
        <v>0.83</v>
      </c>
      <c r="BL112" s="55">
        <f t="shared" si="651"/>
        <v>0.80999999999999994</v>
      </c>
      <c r="BM112" s="55">
        <f t="shared" si="651"/>
        <v>0.78999999999999992</v>
      </c>
      <c r="BN112" s="55">
        <f t="shared" si="651"/>
        <v>0.76999999999999991</v>
      </c>
      <c r="BO112" s="55">
        <f t="shared" si="651"/>
        <v>0.74999999999999989</v>
      </c>
      <c r="BP112" s="55">
        <f t="shared" si="651"/>
        <v>0.72999999999999987</v>
      </c>
      <c r="BQ112" s="55">
        <f t="shared" si="651"/>
        <v>0.70999999999999985</v>
      </c>
      <c r="BR112" s="55">
        <f t="shared" si="651"/>
        <v>0.68999999999999984</v>
      </c>
      <c r="BS112" s="55">
        <f t="shared" si="651"/>
        <v>0.66999999999999982</v>
      </c>
      <c r="BT112" s="55">
        <f t="shared" si="651"/>
        <v>0.6499999999999998</v>
      </c>
      <c r="BU112" s="55">
        <f t="shared" si="651"/>
        <v>0.62999999999999978</v>
      </c>
      <c r="BV112" s="55">
        <f t="shared" si="651"/>
        <v>0.60999999999999976</v>
      </c>
      <c r="BW112" s="55">
        <f t="shared" si="651"/>
        <v>0.58999999999999975</v>
      </c>
      <c r="BX112" s="55">
        <f t="shared" si="651"/>
        <v>0.56999999999999973</v>
      </c>
      <c r="BZ112" s="55">
        <f t="shared" si="508"/>
        <v>290.29000000000002</v>
      </c>
      <c r="CA112" s="55">
        <f t="shared" si="509"/>
        <v>290.29000000000002</v>
      </c>
      <c r="CB112" s="59">
        <f t="shared" si="559"/>
        <v>959.64068200000008</v>
      </c>
      <c r="CC112" s="55">
        <f t="shared" si="560"/>
        <v>281.5813</v>
      </c>
      <c r="CD112" s="59">
        <f t="shared" si="561"/>
        <v>930.85146154000006</v>
      </c>
      <c r="CE112" s="55">
        <f t="shared" si="562"/>
        <v>275.77550000000002</v>
      </c>
      <c r="CF112" s="59">
        <f t="shared" si="563"/>
        <v>911.65864790000012</v>
      </c>
      <c r="CG112" s="55">
        <f t="shared" si="564"/>
        <v>269.96970000000005</v>
      </c>
      <c r="CH112" s="59">
        <f t="shared" si="565"/>
        <v>892.46583426000018</v>
      </c>
      <c r="CI112" s="57">
        <f t="shared" si="566"/>
        <v>264.16390000000001</v>
      </c>
      <c r="CJ112" s="59">
        <f t="shared" si="567"/>
        <v>873.27302062000001</v>
      </c>
      <c r="CK112" s="55">
        <f t="shared" si="568"/>
        <v>258.35810000000004</v>
      </c>
      <c r="CL112" s="59">
        <f t="shared" si="569"/>
        <v>854.08020698000018</v>
      </c>
      <c r="CM112" s="57">
        <f t="shared" si="570"/>
        <v>252.5523</v>
      </c>
      <c r="CN112" s="59">
        <f t="shared" si="571"/>
        <v>834.88739334000002</v>
      </c>
      <c r="CO112" s="60">
        <f t="shared" si="572"/>
        <v>246.7465</v>
      </c>
      <c r="CP112" s="59">
        <f t="shared" si="573"/>
        <v>815.69457969999996</v>
      </c>
      <c r="CQ112" s="57">
        <f t="shared" si="574"/>
        <v>240.94069999999999</v>
      </c>
      <c r="CR112" s="59">
        <f t="shared" si="575"/>
        <v>796.50176606000002</v>
      </c>
      <c r="CS112" s="55">
        <f t="shared" si="576"/>
        <v>235.13489999999999</v>
      </c>
      <c r="CT112" s="59">
        <f t="shared" si="577"/>
        <v>777.30895241999997</v>
      </c>
      <c r="CU112" s="60">
        <f t="shared" si="578"/>
        <v>229.32909999999998</v>
      </c>
      <c r="CV112" s="59">
        <f t="shared" si="579"/>
        <v>758.11613877999991</v>
      </c>
      <c r="CW112" s="60">
        <f t="shared" si="580"/>
        <v>223.52329999999998</v>
      </c>
      <c r="CX112" s="59">
        <f t="shared" si="581"/>
        <v>738.92332513999997</v>
      </c>
      <c r="CY112" s="60">
        <f t="shared" si="582"/>
        <v>217.71749999999997</v>
      </c>
      <c r="CZ112" s="59">
        <f t="shared" si="583"/>
        <v>719.73051149999992</v>
      </c>
      <c r="DA112" s="55">
        <f t="shared" si="584"/>
        <v>211.91169999999997</v>
      </c>
      <c r="DB112" s="59">
        <f t="shared" si="585"/>
        <v>700.53769785999987</v>
      </c>
      <c r="DC112" s="60">
        <f t="shared" si="586"/>
        <v>206.10589999999996</v>
      </c>
      <c r="DD112" s="59">
        <f t="shared" si="587"/>
        <v>681.34488421999993</v>
      </c>
      <c r="DE112" s="60">
        <f t="shared" si="588"/>
        <v>200.30009999999996</v>
      </c>
      <c r="DF112" s="59">
        <f t="shared" si="589"/>
        <v>662.15207057999987</v>
      </c>
      <c r="DG112" s="60">
        <f t="shared" si="590"/>
        <v>194.49429999999995</v>
      </c>
      <c r="DH112" s="59">
        <f t="shared" si="591"/>
        <v>642.95925693999982</v>
      </c>
      <c r="DI112" s="60">
        <f t="shared" si="592"/>
        <v>188.68849999999995</v>
      </c>
      <c r="DJ112" s="59">
        <f t="shared" si="593"/>
        <v>623.76644329999988</v>
      </c>
      <c r="DK112" s="55">
        <f t="shared" si="594"/>
        <v>182.88269999999994</v>
      </c>
      <c r="DL112" s="59">
        <f t="shared" si="595"/>
        <v>604.57362965999982</v>
      </c>
      <c r="DM112" s="60">
        <f t="shared" si="596"/>
        <v>177.07689999999994</v>
      </c>
      <c r="DN112" s="59">
        <f t="shared" si="597"/>
        <v>585.38081601999977</v>
      </c>
      <c r="DO112" s="60">
        <f t="shared" si="598"/>
        <v>171.27109999999993</v>
      </c>
      <c r="DP112" s="59">
        <f t="shared" si="599"/>
        <v>566.18800237999983</v>
      </c>
      <c r="DQ112" s="55">
        <f t="shared" si="600"/>
        <v>165.46529999999993</v>
      </c>
      <c r="DR112" s="59">
        <f t="shared" si="601"/>
        <v>546.99518873999978</v>
      </c>
      <c r="DU112" s="55">
        <v>1</v>
      </c>
      <c r="DV112" s="55">
        <v>0.97</v>
      </c>
      <c r="DW112" s="55">
        <v>0.95</v>
      </c>
      <c r="DX112" s="55">
        <v>0.93</v>
      </c>
      <c r="DY112" s="55">
        <f t="shared" si="654"/>
        <v>0.91</v>
      </c>
      <c r="DZ112" s="55">
        <f t="shared" si="654"/>
        <v>0.89</v>
      </c>
      <c r="EA112" s="55">
        <f t="shared" si="654"/>
        <v>0.87</v>
      </c>
      <c r="EB112" s="55">
        <f t="shared" si="654"/>
        <v>0.85</v>
      </c>
      <c r="EC112" s="55">
        <f t="shared" si="654"/>
        <v>0.83</v>
      </c>
      <c r="ED112" s="55">
        <f t="shared" si="654"/>
        <v>0.80999999999999994</v>
      </c>
      <c r="EE112" s="55">
        <f t="shared" si="654"/>
        <v>0.78999999999999992</v>
      </c>
      <c r="EF112" s="55">
        <f t="shared" si="654"/>
        <v>0.76999999999999991</v>
      </c>
      <c r="EG112" s="55">
        <f t="shared" si="654"/>
        <v>0.74999999999999989</v>
      </c>
      <c r="EH112" s="55">
        <f t="shared" si="654"/>
        <v>0.72999999999999987</v>
      </c>
      <c r="EI112" s="55">
        <f t="shared" si="654"/>
        <v>0.70999999999999985</v>
      </c>
      <c r="EJ112" s="55">
        <f t="shared" si="654"/>
        <v>0.68999999999999984</v>
      </c>
      <c r="EK112" s="55">
        <f t="shared" si="654"/>
        <v>0.66999999999999982</v>
      </c>
      <c r="EL112" s="55">
        <f t="shared" si="654"/>
        <v>0.6499999999999998</v>
      </c>
      <c r="EM112" s="55">
        <f t="shared" si="654"/>
        <v>0.62999999999999978</v>
      </c>
      <c r="EN112" s="55">
        <f t="shared" si="654"/>
        <v>0.60999999999999976</v>
      </c>
      <c r="EO112" s="55">
        <f t="shared" si="654"/>
        <v>0.58999999999999975</v>
      </c>
      <c r="EP112" s="55">
        <f t="shared" si="654"/>
        <v>0.56999999999999973</v>
      </c>
      <c r="ER112" s="55">
        <f t="shared" si="648"/>
        <v>264.16390000000001</v>
      </c>
      <c r="ES112" s="55">
        <f t="shared" si="510"/>
        <v>264.16390000000001</v>
      </c>
      <c r="ET112" s="59">
        <f t="shared" si="602"/>
        <v>873.27302062000001</v>
      </c>
      <c r="EU112" s="55">
        <f t="shared" si="603"/>
        <v>256.23898300000002</v>
      </c>
      <c r="EV112" s="59">
        <f t="shared" si="604"/>
        <v>847.07483000140007</v>
      </c>
      <c r="EW112" s="55">
        <f t="shared" si="605"/>
        <v>250.95570499999999</v>
      </c>
      <c r="EX112" s="59">
        <f t="shared" si="606"/>
        <v>829.60936958900004</v>
      </c>
      <c r="EY112" s="55">
        <f t="shared" si="607"/>
        <v>245.67242700000003</v>
      </c>
      <c r="EZ112" s="59">
        <f t="shared" si="608"/>
        <v>812.14390917660012</v>
      </c>
      <c r="FA112" s="57">
        <f t="shared" si="609"/>
        <v>240.38914900000003</v>
      </c>
      <c r="FB112" s="59">
        <f t="shared" si="610"/>
        <v>794.67844876420008</v>
      </c>
      <c r="FC112" s="55">
        <f t="shared" si="611"/>
        <v>235.10587100000001</v>
      </c>
      <c r="FD112" s="59">
        <f t="shared" si="612"/>
        <v>777.21298835180005</v>
      </c>
      <c r="FE112" s="57">
        <f t="shared" si="613"/>
        <v>229.82259300000001</v>
      </c>
      <c r="FF112" s="59">
        <f t="shared" si="614"/>
        <v>759.74752793940002</v>
      </c>
      <c r="FG112" s="60">
        <f t="shared" si="615"/>
        <v>224.53931500000002</v>
      </c>
      <c r="FH112" s="59">
        <f t="shared" si="616"/>
        <v>742.28206752700009</v>
      </c>
      <c r="FI112" s="57">
        <f t="shared" si="617"/>
        <v>219.25603699999999</v>
      </c>
      <c r="FJ112" s="59">
        <f t="shared" si="618"/>
        <v>724.81660711459995</v>
      </c>
      <c r="FK112" s="55">
        <f t="shared" si="619"/>
        <v>213.972759</v>
      </c>
      <c r="FL112" s="59">
        <f t="shared" si="620"/>
        <v>707.35114670220003</v>
      </c>
      <c r="FM112" s="60">
        <f t="shared" si="621"/>
        <v>208.689481</v>
      </c>
      <c r="FN112" s="59">
        <f t="shared" si="622"/>
        <v>689.88568628979999</v>
      </c>
      <c r="FO112" s="60">
        <f t="shared" si="623"/>
        <v>203.40620299999998</v>
      </c>
      <c r="FP112" s="59">
        <f t="shared" si="624"/>
        <v>672.42022587739996</v>
      </c>
      <c r="FQ112" s="60">
        <f t="shared" si="625"/>
        <v>198.12292499999998</v>
      </c>
      <c r="FR112" s="59">
        <f t="shared" si="626"/>
        <v>654.95476546499992</v>
      </c>
      <c r="FS112" s="55">
        <f t="shared" si="627"/>
        <v>192.83964699999999</v>
      </c>
      <c r="FT112" s="59">
        <f t="shared" si="628"/>
        <v>637.4893050526</v>
      </c>
      <c r="FU112" s="60">
        <f t="shared" si="629"/>
        <v>187.55636899999996</v>
      </c>
      <c r="FV112" s="59">
        <f t="shared" si="630"/>
        <v>620.02384464019985</v>
      </c>
      <c r="FW112" s="60">
        <f t="shared" si="631"/>
        <v>182.27309099999997</v>
      </c>
      <c r="FX112" s="59">
        <f t="shared" si="632"/>
        <v>602.55838422779993</v>
      </c>
      <c r="FY112" s="60">
        <f t="shared" si="633"/>
        <v>176.98981299999997</v>
      </c>
      <c r="FZ112" s="59">
        <f t="shared" si="634"/>
        <v>585.0929238153999</v>
      </c>
      <c r="GA112" s="60">
        <f t="shared" si="635"/>
        <v>171.70653499999995</v>
      </c>
      <c r="GB112" s="59">
        <f t="shared" si="636"/>
        <v>567.62746340299987</v>
      </c>
      <c r="GC112" s="55">
        <f t="shared" si="637"/>
        <v>166.42325699999995</v>
      </c>
      <c r="GD112" s="59">
        <f t="shared" si="638"/>
        <v>550.16200299059983</v>
      </c>
      <c r="GE112" s="60">
        <f t="shared" si="639"/>
        <v>161.13997899999995</v>
      </c>
      <c r="GF112" s="59">
        <f t="shared" si="640"/>
        <v>532.69654257819991</v>
      </c>
      <c r="GG112" s="60">
        <f t="shared" si="641"/>
        <v>155.85670099999993</v>
      </c>
      <c r="GH112" s="59">
        <f t="shared" si="642"/>
        <v>515.23108216579976</v>
      </c>
      <c r="GI112" s="55">
        <f t="shared" si="643"/>
        <v>150.57342299999993</v>
      </c>
      <c r="GJ112" s="59">
        <f t="shared" si="644"/>
        <v>497.76562175339978</v>
      </c>
      <c r="GK112" s="55"/>
      <c r="GL112" s="55"/>
      <c r="GM112" s="55">
        <v>1</v>
      </c>
      <c r="GN112" s="55">
        <v>0.97</v>
      </c>
      <c r="GO112" s="55">
        <v>0.95</v>
      </c>
      <c r="GP112" s="55">
        <v>0.93</v>
      </c>
      <c r="GQ112" s="55">
        <f t="shared" si="655"/>
        <v>0.91</v>
      </c>
      <c r="GR112" s="55">
        <f t="shared" si="655"/>
        <v>0.89</v>
      </c>
      <c r="GS112" s="55">
        <f t="shared" si="655"/>
        <v>0.87</v>
      </c>
      <c r="GT112" s="55">
        <f t="shared" si="655"/>
        <v>0.85</v>
      </c>
      <c r="GU112" s="55">
        <f t="shared" si="655"/>
        <v>0.83</v>
      </c>
      <c r="GV112" s="55">
        <f t="shared" si="655"/>
        <v>0.80999999999999994</v>
      </c>
      <c r="GW112" s="55">
        <f t="shared" si="655"/>
        <v>0.78999999999999992</v>
      </c>
      <c r="GX112" s="55">
        <f t="shared" si="655"/>
        <v>0.76999999999999991</v>
      </c>
      <c r="GY112" s="55">
        <f t="shared" si="655"/>
        <v>0.74999999999999989</v>
      </c>
      <c r="GZ112" s="55">
        <f t="shared" si="655"/>
        <v>0.72999999999999987</v>
      </c>
      <c r="HA112" s="55">
        <f t="shared" si="655"/>
        <v>0.70999999999999985</v>
      </c>
      <c r="HB112" s="55">
        <f t="shared" si="655"/>
        <v>0.68999999999999984</v>
      </c>
      <c r="HC112" s="55">
        <f t="shared" si="655"/>
        <v>0.66999999999999982</v>
      </c>
      <c r="HD112" s="55">
        <f t="shared" si="655"/>
        <v>0.6499999999999998</v>
      </c>
      <c r="HE112" s="55">
        <f t="shared" si="655"/>
        <v>0.62999999999999978</v>
      </c>
      <c r="HF112" s="55">
        <f t="shared" si="655"/>
        <v>0.60999999999999976</v>
      </c>
      <c r="HG112" s="55">
        <f t="shared" si="655"/>
        <v>0.58999999999999975</v>
      </c>
      <c r="HH112" s="55">
        <f t="shared" si="655"/>
        <v>0.56999999999999973</v>
      </c>
    </row>
    <row r="113" spans="1:216" x14ac:dyDescent="0.3">
      <c r="A113" s="2">
        <v>22</v>
      </c>
      <c r="C113" s="27" t="s">
        <v>113</v>
      </c>
      <c r="D113" s="39">
        <f>SUM(D92:D112)</f>
        <v>181650</v>
      </c>
      <c r="E113" s="39">
        <f>SUM(E92:E112)</f>
        <v>600440</v>
      </c>
      <c r="H113" s="55">
        <f t="shared" si="505"/>
        <v>660484</v>
      </c>
      <c r="I113" s="55">
        <f t="shared" si="506"/>
        <v>660484</v>
      </c>
      <c r="J113" s="59">
        <f t="shared" si="507"/>
        <v>2183428.0071999999</v>
      </c>
      <c r="K113" s="55">
        <f t="shared" si="516"/>
        <v>640669.48</v>
      </c>
      <c r="L113" s="59">
        <f t="shared" si="517"/>
        <v>2117925.1669839998</v>
      </c>
      <c r="M113" s="55">
        <f t="shared" si="518"/>
        <v>627459.79999999993</v>
      </c>
      <c r="N113" s="59">
        <f t="shared" si="519"/>
        <v>2074256.6068399998</v>
      </c>
      <c r="O113" s="55">
        <f t="shared" si="520"/>
        <v>614250.12</v>
      </c>
      <c r="P113" s="59">
        <f t="shared" si="521"/>
        <v>2030588.046696</v>
      </c>
      <c r="Q113" s="57">
        <f t="shared" si="522"/>
        <v>601040.44000000006</v>
      </c>
      <c r="R113" s="59">
        <f t="shared" si="523"/>
        <v>1986919.4865520003</v>
      </c>
      <c r="S113" s="55">
        <f t="shared" si="524"/>
        <v>587830.76</v>
      </c>
      <c r="T113" s="59">
        <f t="shared" si="525"/>
        <v>1943250.9264080001</v>
      </c>
      <c r="U113" s="57">
        <f t="shared" si="526"/>
        <v>574621.07999999996</v>
      </c>
      <c r="V113" s="59">
        <f t="shared" si="527"/>
        <v>1899582.3662639998</v>
      </c>
      <c r="W113" s="60">
        <f t="shared" si="528"/>
        <v>561411.4</v>
      </c>
      <c r="X113" s="59">
        <f t="shared" si="529"/>
        <v>1855913.8061200001</v>
      </c>
      <c r="Y113" s="57">
        <f t="shared" si="530"/>
        <v>548201.72</v>
      </c>
      <c r="Z113" s="59">
        <f t="shared" si="531"/>
        <v>1812245.2459759999</v>
      </c>
      <c r="AA113" s="55">
        <f t="shared" si="532"/>
        <v>534992.03999999992</v>
      </c>
      <c r="AB113" s="59">
        <f t="shared" si="533"/>
        <v>1768576.6858319999</v>
      </c>
      <c r="AC113" s="60">
        <f t="shared" si="534"/>
        <v>521782.35999999993</v>
      </c>
      <c r="AD113" s="59">
        <f t="shared" si="535"/>
        <v>1724908.1256879999</v>
      </c>
      <c r="AE113" s="60">
        <f t="shared" si="536"/>
        <v>508572.67999999993</v>
      </c>
      <c r="AF113" s="59">
        <f t="shared" si="537"/>
        <v>1681239.5655439999</v>
      </c>
      <c r="AG113" s="60">
        <f t="shared" si="538"/>
        <v>495362.99999999994</v>
      </c>
      <c r="AH113" s="59">
        <f t="shared" si="539"/>
        <v>1637571.0053999999</v>
      </c>
      <c r="AI113" s="55">
        <f t="shared" si="540"/>
        <v>482153.31999999989</v>
      </c>
      <c r="AJ113" s="59">
        <f t="shared" si="541"/>
        <v>1593902.4452559997</v>
      </c>
      <c r="AK113" s="60">
        <f t="shared" si="542"/>
        <v>468943.6399999999</v>
      </c>
      <c r="AL113" s="59">
        <f t="shared" si="543"/>
        <v>1550233.8851119997</v>
      </c>
      <c r="AM113" s="60">
        <f t="shared" si="544"/>
        <v>455733.9599999999</v>
      </c>
      <c r="AN113" s="59">
        <f t="shared" si="545"/>
        <v>1506565.3249679997</v>
      </c>
      <c r="AO113" s="60">
        <f t="shared" si="546"/>
        <v>442524.27999999985</v>
      </c>
      <c r="AP113" s="59">
        <f t="shared" si="547"/>
        <v>1462896.7648239995</v>
      </c>
      <c r="AQ113" s="60">
        <f t="shared" si="548"/>
        <v>429314.59999999986</v>
      </c>
      <c r="AR113" s="59">
        <f t="shared" si="549"/>
        <v>1419228.2046799995</v>
      </c>
      <c r="AS113" s="55">
        <f t="shared" si="550"/>
        <v>416104.91999999987</v>
      </c>
      <c r="AT113" s="59">
        <f t="shared" si="551"/>
        <v>1375559.6445359995</v>
      </c>
      <c r="AU113" s="60">
        <f t="shared" si="552"/>
        <v>402895.23999999982</v>
      </c>
      <c r="AV113" s="59">
        <f t="shared" si="553"/>
        <v>1331891.0843919995</v>
      </c>
      <c r="AW113" s="60">
        <f t="shared" si="554"/>
        <v>389685.55999999982</v>
      </c>
      <c r="AX113" s="59">
        <f t="shared" si="555"/>
        <v>1288222.5242479995</v>
      </c>
      <c r="AY113" s="55">
        <f t="shared" si="556"/>
        <v>376475.87999999983</v>
      </c>
      <c r="AZ113" s="59">
        <f t="shared" si="557"/>
        <v>1244553.9641039995</v>
      </c>
      <c r="BC113" s="55">
        <v>1</v>
      </c>
      <c r="BD113" s="55">
        <v>0.97</v>
      </c>
      <c r="BE113" s="55">
        <v>0.95</v>
      </c>
      <c r="BF113" s="55">
        <v>0.93</v>
      </c>
      <c r="BG113" s="55">
        <f t="shared" si="651"/>
        <v>0.91</v>
      </c>
      <c r="BH113" s="55">
        <f t="shared" si="651"/>
        <v>0.89</v>
      </c>
      <c r="BI113" s="55">
        <f t="shared" si="651"/>
        <v>0.87</v>
      </c>
      <c r="BJ113" s="55">
        <f t="shared" si="651"/>
        <v>0.85</v>
      </c>
      <c r="BK113" s="55">
        <f t="shared" si="651"/>
        <v>0.83</v>
      </c>
      <c r="BL113" s="55">
        <f t="shared" si="651"/>
        <v>0.80999999999999994</v>
      </c>
      <c r="BM113" s="55">
        <f t="shared" si="651"/>
        <v>0.78999999999999992</v>
      </c>
      <c r="BN113" s="55">
        <f t="shared" si="651"/>
        <v>0.76999999999999991</v>
      </c>
      <c r="BO113" s="55">
        <f t="shared" si="651"/>
        <v>0.74999999999999989</v>
      </c>
      <c r="BP113" s="55">
        <f t="shared" si="651"/>
        <v>0.72999999999999987</v>
      </c>
      <c r="BQ113" s="55">
        <f t="shared" si="651"/>
        <v>0.70999999999999985</v>
      </c>
      <c r="BR113" s="55">
        <f t="shared" si="651"/>
        <v>0.68999999999999984</v>
      </c>
      <c r="BS113" s="55">
        <f t="shared" si="651"/>
        <v>0.66999999999999982</v>
      </c>
      <c r="BT113" s="55">
        <f t="shared" si="651"/>
        <v>0.6499999999999998</v>
      </c>
      <c r="BU113" s="55">
        <f t="shared" si="651"/>
        <v>0.62999999999999978</v>
      </c>
      <c r="BV113" s="55">
        <f t="shared" si="651"/>
        <v>0.60999999999999976</v>
      </c>
      <c r="BW113" s="55">
        <f t="shared" si="651"/>
        <v>0.58999999999999975</v>
      </c>
      <c r="BX113" s="55">
        <f t="shared" si="651"/>
        <v>0.56999999999999973</v>
      </c>
      <c r="BZ113" s="55">
        <f t="shared" si="508"/>
        <v>601040.44000000006</v>
      </c>
      <c r="CA113" s="55">
        <f t="shared" si="509"/>
        <v>601040.44000000006</v>
      </c>
      <c r="CB113" s="59">
        <f t="shared" si="559"/>
        <v>1986919.4865520003</v>
      </c>
      <c r="CC113" s="55">
        <f t="shared" si="560"/>
        <v>583009.22680000006</v>
      </c>
      <c r="CD113" s="59">
        <f t="shared" si="561"/>
        <v>1927311.9019554402</v>
      </c>
      <c r="CE113" s="55">
        <f t="shared" si="562"/>
        <v>570988.41800000006</v>
      </c>
      <c r="CF113" s="59">
        <f t="shared" si="563"/>
        <v>1887573.5122244002</v>
      </c>
      <c r="CG113" s="55">
        <f t="shared" si="564"/>
        <v>558967.60920000006</v>
      </c>
      <c r="CH113" s="59">
        <f t="shared" si="565"/>
        <v>1847835.1224933602</v>
      </c>
      <c r="CI113" s="57">
        <f t="shared" si="566"/>
        <v>546946.80040000007</v>
      </c>
      <c r="CJ113" s="59">
        <f t="shared" si="567"/>
        <v>1808096.7327623202</v>
      </c>
      <c r="CK113" s="55">
        <f t="shared" si="568"/>
        <v>534925.99160000007</v>
      </c>
      <c r="CL113" s="59">
        <f t="shared" si="569"/>
        <v>1768358.3430312802</v>
      </c>
      <c r="CM113" s="57">
        <f t="shared" si="570"/>
        <v>522905.18280000007</v>
      </c>
      <c r="CN113" s="59">
        <f t="shared" si="571"/>
        <v>1728619.9533002402</v>
      </c>
      <c r="CO113" s="60">
        <f t="shared" si="572"/>
        <v>510884.37400000001</v>
      </c>
      <c r="CP113" s="59">
        <f t="shared" si="573"/>
        <v>1688881.5635692</v>
      </c>
      <c r="CQ113" s="57">
        <f t="shared" si="574"/>
        <v>498863.56520000001</v>
      </c>
      <c r="CR113" s="59">
        <f t="shared" si="575"/>
        <v>1649143.17383816</v>
      </c>
      <c r="CS113" s="55">
        <f t="shared" si="576"/>
        <v>486842.75640000001</v>
      </c>
      <c r="CT113" s="59">
        <f t="shared" si="577"/>
        <v>1609404.78410712</v>
      </c>
      <c r="CU113" s="60">
        <f t="shared" si="578"/>
        <v>474821.94760000001</v>
      </c>
      <c r="CV113" s="59">
        <f t="shared" si="579"/>
        <v>1569666.39437608</v>
      </c>
      <c r="CW113" s="60">
        <f t="shared" si="580"/>
        <v>462801.13880000002</v>
      </c>
      <c r="CX113" s="59">
        <f t="shared" si="581"/>
        <v>1529928.00464504</v>
      </c>
      <c r="CY113" s="60">
        <f t="shared" si="582"/>
        <v>450780.32999999996</v>
      </c>
      <c r="CZ113" s="59">
        <f t="shared" si="583"/>
        <v>1490189.6149139998</v>
      </c>
      <c r="DA113" s="55">
        <f t="shared" si="584"/>
        <v>438759.52119999996</v>
      </c>
      <c r="DB113" s="59">
        <f t="shared" si="585"/>
        <v>1450451.2251829598</v>
      </c>
      <c r="DC113" s="60">
        <f t="shared" si="586"/>
        <v>426738.71239999996</v>
      </c>
      <c r="DD113" s="59">
        <f t="shared" si="587"/>
        <v>1410712.8354519198</v>
      </c>
      <c r="DE113" s="60">
        <f t="shared" si="588"/>
        <v>414717.90359999996</v>
      </c>
      <c r="DF113" s="59">
        <f t="shared" si="589"/>
        <v>1370974.4457208798</v>
      </c>
      <c r="DG113" s="60">
        <f t="shared" si="590"/>
        <v>402697.0947999999</v>
      </c>
      <c r="DH113" s="59">
        <f t="shared" si="591"/>
        <v>1331236.0559898396</v>
      </c>
      <c r="DI113" s="60">
        <f t="shared" si="592"/>
        <v>390676.28599999991</v>
      </c>
      <c r="DJ113" s="59">
        <f t="shared" si="593"/>
        <v>1291497.6662587996</v>
      </c>
      <c r="DK113" s="55">
        <f t="shared" si="594"/>
        <v>378655.47719999991</v>
      </c>
      <c r="DL113" s="59">
        <f t="shared" si="595"/>
        <v>1251759.2765277596</v>
      </c>
      <c r="DM113" s="60">
        <f t="shared" si="596"/>
        <v>366634.66839999991</v>
      </c>
      <c r="DN113" s="59">
        <f t="shared" si="597"/>
        <v>1212020.8867967196</v>
      </c>
      <c r="DO113" s="60">
        <f t="shared" si="598"/>
        <v>354613.85959999991</v>
      </c>
      <c r="DP113" s="59">
        <f t="shared" si="599"/>
        <v>1172282.4970656796</v>
      </c>
      <c r="DQ113" s="55">
        <f t="shared" si="600"/>
        <v>342593.05079999985</v>
      </c>
      <c r="DR113" s="59">
        <f t="shared" si="601"/>
        <v>1132544.1073346396</v>
      </c>
      <c r="DU113" s="55">
        <v>1</v>
      </c>
      <c r="DV113" s="55">
        <v>0.97</v>
      </c>
      <c r="DW113" s="55">
        <v>0.95</v>
      </c>
      <c r="DX113" s="55">
        <v>0.93</v>
      </c>
      <c r="DY113" s="55">
        <f t="shared" si="654"/>
        <v>0.91</v>
      </c>
      <c r="DZ113" s="55">
        <f t="shared" si="654"/>
        <v>0.89</v>
      </c>
      <c r="EA113" s="55">
        <f t="shared" si="654"/>
        <v>0.87</v>
      </c>
      <c r="EB113" s="55">
        <f t="shared" si="654"/>
        <v>0.85</v>
      </c>
      <c r="EC113" s="55">
        <f t="shared" si="654"/>
        <v>0.83</v>
      </c>
      <c r="ED113" s="55">
        <f t="shared" si="654"/>
        <v>0.80999999999999994</v>
      </c>
      <c r="EE113" s="55">
        <f t="shared" si="654"/>
        <v>0.78999999999999992</v>
      </c>
      <c r="EF113" s="55">
        <f t="shared" si="654"/>
        <v>0.76999999999999991</v>
      </c>
      <c r="EG113" s="55">
        <f t="shared" si="654"/>
        <v>0.74999999999999989</v>
      </c>
      <c r="EH113" s="55">
        <f t="shared" si="654"/>
        <v>0.72999999999999987</v>
      </c>
      <c r="EI113" s="55">
        <f t="shared" si="654"/>
        <v>0.70999999999999985</v>
      </c>
      <c r="EJ113" s="55">
        <f t="shared" si="654"/>
        <v>0.68999999999999984</v>
      </c>
      <c r="EK113" s="55">
        <f t="shared" si="654"/>
        <v>0.66999999999999982</v>
      </c>
      <c r="EL113" s="55">
        <f t="shared" si="654"/>
        <v>0.6499999999999998</v>
      </c>
      <c r="EM113" s="55">
        <f t="shared" si="654"/>
        <v>0.62999999999999978</v>
      </c>
      <c r="EN113" s="55">
        <f t="shared" si="654"/>
        <v>0.60999999999999976</v>
      </c>
      <c r="EO113" s="55">
        <f t="shared" si="654"/>
        <v>0.58999999999999975</v>
      </c>
      <c r="EP113" s="55">
        <f t="shared" si="654"/>
        <v>0.56999999999999973</v>
      </c>
      <c r="ER113" s="55">
        <f t="shared" si="648"/>
        <v>546946.80040000007</v>
      </c>
      <c r="ES113" s="55">
        <f t="shared" si="510"/>
        <v>546946.80040000007</v>
      </c>
      <c r="ET113" s="59">
        <f t="shared" si="602"/>
        <v>1808096.7327623202</v>
      </c>
      <c r="EU113" s="55">
        <f t="shared" si="603"/>
        <v>530538.39638799999</v>
      </c>
      <c r="EV113" s="59">
        <f t="shared" si="604"/>
        <v>1753853.8307794505</v>
      </c>
      <c r="EW113" s="55">
        <f t="shared" si="605"/>
        <v>519599.46038000006</v>
      </c>
      <c r="EX113" s="59">
        <f t="shared" si="606"/>
        <v>1717691.8961242042</v>
      </c>
      <c r="EY113" s="55">
        <f t="shared" si="607"/>
        <v>508660.52437200007</v>
      </c>
      <c r="EZ113" s="59">
        <f t="shared" si="608"/>
        <v>1681529.9614689578</v>
      </c>
      <c r="FA113" s="57">
        <f t="shared" si="609"/>
        <v>497721.58836400008</v>
      </c>
      <c r="FB113" s="59">
        <f t="shared" si="610"/>
        <v>1645368.0268137115</v>
      </c>
      <c r="FC113" s="55">
        <f t="shared" si="611"/>
        <v>486782.65235600009</v>
      </c>
      <c r="FD113" s="59">
        <f t="shared" si="612"/>
        <v>1609206.0921584652</v>
      </c>
      <c r="FE113" s="57">
        <f t="shared" si="613"/>
        <v>475843.71634800005</v>
      </c>
      <c r="FF113" s="59">
        <f t="shared" si="614"/>
        <v>1573044.1575032186</v>
      </c>
      <c r="FG113" s="60">
        <f t="shared" si="615"/>
        <v>464904.78034000006</v>
      </c>
      <c r="FH113" s="59">
        <f t="shared" si="616"/>
        <v>1536882.2228479723</v>
      </c>
      <c r="FI113" s="57">
        <f t="shared" si="617"/>
        <v>453965.84433200001</v>
      </c>
      <c r="FJ113" s="59">
        <f t="shared" si="618"/>
        <v>1500720.2881927257</v>
      </c>
      <c r="FK113" s="55">
        <f t="shared" si="619"/>
        <v>443026.90832400002</v>
      </c>
      <c r="FL113" s="59">
        <f t="shared" si="620"/>
        <v>1464558.3535374792</v>
      </c>
      <c r="FM113" s="60">
        <f t="shared" si="621"/>
        <v>432087.97231600003</v>
      </c>
      <c r="FN113" s="59">
        <f t="shared" si="622"/>
        <v>1428396.4188822329</v>
      </c>
      <c r="FO113" s="60">
        <f t="shared" si="623"/>
        <v>421149.03630799998</v>
      </c>
      <c r="FP113" s="59">
        <f t="shared" si="624"/>
        <v>1392234.4842269863</v>
      </c>
      <c r="FQ113" s="60">
        <f t="shared" si="625"/>
        <v>410210.10029999999</v>
      </c>
      <c r="FR113" s="59">
        <f t="shared" si="626"/>
        <v>1356072.54957174</v>
      </c>
      <c r="FS113" s="55">
        <f t="shared" si="627"/>
        <v>399271.164292</v>
      </c>
      <c r="FT113" s="59">
        <f t="shared" si="628"/>
        <v>1319910.6149164937</v>
      </c>
      <c r="FU113" s="60">
        <f t="shared" si="629"/>
        <v>388332.22828399995</v>
      </c>
      <c r="FV113" s="59">
        <f t="shared" si="630"/>
        <v>1283748.6802612471</v>
      </c>
      <c r="FW113" s="60">
        <f t="shared" si="631"/>
        <v>377393.29227599996</v>
      </c>
      <c r="FX113" s="59">
        <f t="shared" si="632"/>
        <v>1247586.7456060008</v>
      </c>
      <c r="FY113" s="60">
        <f t="shared" si="633"/>
        <v>366454.35626799992</v>
      </c>
      <c r="FZ113" s="59">
        <f t="shared" si="634"/>
        <v>1211424.8109507542</v>
      </c>
      <c r="GA113" s="60">
        <f t="shared" si="635"/>
        <v>355515.42025999993</v>
      </c>
      <c r="GB113" s="59">
        <f t="shared" si="636"/>
        <v>1175262.8762955079</v>
      </c>
      <c r="GC113" s="55">
        <f t="shared" si="637"/>
        <v>344576.48425199994</v>
      </c>
      <c r="GD113" s="59">
        <f t="shared" si="638"/>
        <v>1139100.9416402613</v>
      </c>
      <c r="GE113" s="60">
        <f t="shared" si="639"/>
        <v>333637.54824399989</v>
      </c>
      <c r="GF113" s="59">
        <f t="shared" si="640"/>
        <v>1102939.0069850148</v>
      </c>
      <c r="GG113" s="60">
        <f t="shared" si="641"/>
        <v>322698.6122359999</v>
      </c>
      <c r="GH113" s="59">
        <f t="shared" si="642"/>
        <v>1066777.0723297684</v>
      </c>
      <c r="GI113" s="55">
        <f t="shared" si="643"/>
        <v>311759.67622799991</v>
      </c>
      <c r="GJ113" s="59">
        <f t="shared" si="644"/>
        <v>1030615.1376745221</v>
      </c>
      <c r="GK113" s="55"/>
      <c r="GL113" s="55"/>
      <c r="GM113" s="55">
        <v>1</v>
      </c>
      <c r="GN113" s="55">
        <v>0.97</v>
      </c>
      <c r="GO113" s="55">
        <v>0.95</v>
      </c>
      <c r="GP113" s="55">
        <v>0.93</v>
      </c>
      <c r="GQ113" s="55">
        <f t="shared" si="655"/>
        <v>0.91</v>
      </c>
      <c r="GR113" s="55">
        <f t="shared" si="655"/>
        <v>0.89</v>
      </c>
      <c r="GS113" s="55">
        <f t="shared" si="655"/>
        <v>0.87</v>
      </c>
      <c r="GT113" s="55">
        <f t="shared" si="655"/>
        <v>0.85</v>
      </c>
      <c r="GU113" s="55">
        <f t="shared" si="655"/>
        <v>0.83</v>
      </c>
      <c r="GV113" s="55">
        <f t="shared" si="655"/>
        <v>0.80999999999999994</v>
      </c>
      <c r="GW113" s="55">
        <f t="shared" si="655"/>
        <v>0.78999999999999992</v>
      </c>
      <c r="GX113" s="55">
        <f t="shared" si="655"/>
        <v>0.76999999999999991</v>
      </c>
      <c r="GY113" s="55">
        <f t="shared" si="655"/>
        <v>0.74999999999999989</v>
      </c>
      <c r="GZ113" s="55">
        <f t="shared" si="655"/>
        <v>0.72999999999999987</v>
      </c>
      <c r="HA113" s="55">
        <f t="shared" si="655"/>
        <v>0.70999999999999985</v>
      </c>
      <c r="HB113" s="55">
        <f t="shared" si="655"/>
        <v>0.68999999999999984</v>
      </c>
      <c r="HC113" s="55">
        <f t="shared" si="655"/>
        <v>0.66999999999999982</v>
      </c>
      <c r="HD113" s="55">
        <f t="shared" si="655"/>
        <v>0.6499999999999998</v>
      </c>
      <c r="HE113" s="55">
        <f t="shared" si="655"/>
        <v>0.62999999999999978</v>
      </c>
      <c r="HF113" s="55">
        <f t="shared" si="655"/>
        <v>0.60999999999999976</v>
      </c>
      <c r="HG113" s="55">
        <f t="shared" si="655"/>
        <v>0.58999999999999975</v>
      </c>
      <c r="HH113" s="55">
        <f t="shared" si="655"/>
        <v>0.56999999999999973</v>
      </c>
    </row>
    <row r="114" spans="1:216" s="64" customFormat="1" x14ac:dyDescent="0.3">
      <c r="C114" s="65"/>
      <c r="D114" s="65"/>
      <c r="E114" s="65"/>
      <c r="G114" s="61"/>
      <c r="H114" s="61"/>
      <c r="I114" s="61"/>
      <c r="J114" s="61"/>
      <c r="K114" s="61"/>
      <c r="L114" s="61"/>
      <c r="M114" s="61"/>
      <c r="N114" s="61"/>
      <c r="O114" s="61"/>
      <c r="P114" s="62"/>
      <c r="Q114" s="61"/>
      <c r="R114" s="61"/>
      <c r="S114" s="61"/>
      <c r="T114" s="62"/>
      <c r="U114" s="61"/>
      <c r="V114" s="63"/>
      <c r="W114" s="61"/>
      <c r="X114" s="62"/>
      <c r="Y114" s="61"/>
      <c r="Z114" s="61"/>
      <c r="AA114" s="61"/>
      <c r="AB114" s="63"/>
      <c r="AC114" s="61"/>
      <c r="AD114" s="63"/>
      <c r="AE114" s="61"/>
      <c r="AF114" s="63"/>
      <c r="AG114" s="61"/>
      <c r="AH114" s="61"/>
      <c r="AI114" s="61"/>
      <c r="AJ114" s="63"/>
      <c r="AK114" s="61"/>
      <c r="AL114" s="63"/>
      <c r="AM114" s="61"/>
      <c r="AN114" s="63"/>
      <c r="AO114" s="61"/>
      <c r="AP114" s="63"/>
      <c r="AQ114" s="61"/>
      <c r="AR114" s="61"/>
      <c r="AS114" s="61"/>
      <c r="AT114" s="63"/>
      <c r="AU114" s="61"/>
      <c r="AV114" s="63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>
        <f t="shared" ref="BY114:BY115" si="656">+G114*0.91</f>
        <v>0</v>
      </c>
      <c r="BZ114" s="61"/>
      <c r="CA114" s="61"/>
      <c r="CB114" s="61"/>
      <c r="CC114" s="61"/>
      <c r="CD114" s="61"/>
      <c r="CE114" s="61"/>
      <c r="CF114" s="61"/>
      <c r="CG114" s="61"/>
      <c r="CH114" s="62"/>
      <c r="CI114" s="61"/>
      <c r="CJ114" s="61"/>
      <c r="CK114" s="61"/>
      <c r="CL114" s="62"/>
      <c r="CM114" s="61"/>
      <c r="CN114" s="63"/>
      <c r="CO114" s="61"/>
      <c r="CP114" s="62"/>
      <c r="CQ114" s="61"/>
      <c r="CR114" s="61"/>
      <c r="CS114" s="61"/>
      <c r="CT114" s="63"/>
      <c r="CU114" s="61"/>
      <c r="CV114" s="63"/>
      <c r="CW114" s="61"/>
      <c r="CX114" s="63"/>
      <c r="CY114" s="61"/>
      <c r="CZ114" s="61"/>
      <c r="DA114" s="61"/>
      <c r="DB114" s="63"/>
      <c r="DC114" s="61"/>
      <c r="DD114" s="63"/>
      <c r="DE114" s="61"/>
      <c r="DF114" s="63"/>
      <c r="DG114" s="61"/>
      <c r="DH114" s="63"/>
      <c r="DI114" s="61"/>
      <c r="DJ114" s="61"/>
      <c r="DK114" s="61"/>
      <c r="DL114" s="63"/>
      <c r="DM114" s="61"/>
      <c r="DN114" s="63"/>
      <c r="DO114" s="61"/>
      <c r="DP114" s="61"/>
      <c r="DQ114" s="61"/>
      <c r="DR114" s="61"/>
      <c r="DS114" s="61"/>
      <c r="DT114" s="61">
        <v>1</v>
      </c>
      <c r="DU114" s="61">
        <v>0.97</v>
      </c>
      <c r="DV114" s="61">
        <v>0.95</v>
      </c>
      <c r="DW114" s="61">
        <v>0.93</v>
      </c>
      <c r="DX114" s="61">
        <f t="shared" ref="DX114:EO115" si="657">+DW114-0.02</f>
        <v>0.91</v>
      </c>
      <c r="DY114" s="61">
        <f t="shared" si="657"/>
        <v>0.89</v>
      </c>
      <c r="DZ114" s="61">
        <f t="shared" si="657"/>
        <v>0.87</v>
      </c>
      <c r="EA114" s="61">
        <f t="shared" si="657"/>
        <v>0.85</v>
      </c>
      <c r="EB114" s="61">
        <f t="shared" si="657"/>
        <v>0.83</v>
      </c>
      <c r="EC114" s="61">
        <f t="shared" si="657"/>
        <v>0.80999999999999994</v>
      </c>
      <c r="ED114" s="61">
        <f t="shared" si="657"/>
        <v>0.78999999999999992</v>
      </c>
      <c r="EE114" s="61">
        <f t="shared" si="657"/>
        <v>0.76999999999999991</v>
      </c>
      <c r="EF114" s="61">
        <f t="shared" si="657"/>
        <v>0.74999999999999989</v>
      </c>
      <c r="EG114" s="61">
        <f t="shared" si="657"/>
        <v>0.72999999999999987</v>
      </c>
      <c r="EH114" s="61">
        <f t="shared" si="657"/>
        <v>0.70999999999999985</v>
      </c>
      <c r="EI114" s="61">
        <f t="shared" si="657"/>
        <v>0.68999999999999984</v>
      </c>
      <c r="EJ114" s="61">
        <f t="shared" si="657"/>
        <v>0.66999999999999982</v>
      </c>
      <c r="EK114" s="61">
        <f t="shared" si="657"/>
        <v>0.6499999999999998</v>
      </c>
      <c r="EL114" s="61">
        <f t="shared" si="657"/>
        <v>0.62999999999999978</v>
      </c>
      <c r="EM114" s="61">
        <f t="shared" si="657"/>
        <v>0.60999999999999976</v>
      </c>
      <c r="EN114" s="61">
        <f t="shared" si="657"/>
        <v>0.58999999999999975</v>
      </c>
      <c r="EO114" s="61">
        <f t="shared" si="657"/>
        <v>0.56999999999999973</v>
      </c>
      <c r="EQ114" s="61">
        <f t="shared" ref="EQ114:EQ115" si="658">+BY114*0.91</f>
        <v>0</v>
      </c>
      <c r="ER114" s="61"/>
      <c r="ES114" s="61"/>
      <c r="ET114" s="61"/>
      <c r="EU114" s="61"/>
      <c r="EV114" s="61"/>
      <c r="EW114" s="61"/>
      <c r="EX114" s="61"/>
      <c r="EY114" s="61"/>
      <c r="EZ114" s="62"/>
      <c r="FA114" s="61"/>
      <c r="FB114" s="61"/>
      <c r="FC114" s="61"/>
      <c r="FD114" s="62"/>
      <c r="FE114" s="61"/>
      <c r="FF114" s="63"/>
      <c r="FG114" s="61"/>
      <c r="FH114" s="62"/>
      <c r="FI114" s="61"/>
      <c r="FJ114" s="61"/>
      <c r="FK114" s="61"/>
      <c r="FL114" s="63"/>
      <c r="FM114" s="61"/>
      <c r="FN114" s="63"/>
      <c r="FO114" s="61"/>
      <c r="FP114" s="63"/>
      <c r="FQ114" s="61"/>
      <c r="FR114" s="61"/>
      <c r="FS114" s="61"/>
      <c r="FT114" s="63"/>
      <c r="FU114" s="61"/>
      <c r="FV114" s="63"/>
      <c r="FW114" s="61"/>
      <c r="FX114" s="63"/>
      <c r="FY114" s="61"/>
      <c r="FZ114" s="63"/>
      <c r="GA114" s="61"/>
      <c r="GB114" s="61"/>
      <c r="GC114" s="61"/>
      <c r="GD114" s="63"/>
      <c r="GE114" s="61"/>
      <c r="GF114" s="63"/>
      <c r="GG114" s="61"/>
      <c r="GH114" s="61"/>
      <c r="GI114" s="61"/>
      <c r="GJ114" s="61"/>
      <c r="GK114" s="61"/>
      <c r="GL114" s="61">
        <v>1</v>
      </c>
      <c r="GM114" s="61">
        <v>0.97</v>
      </c>
      <c r="GN114" s="61">
        <v>0.95</v>
      </c>
      <c r="GO114" s="61">
        <v>0.93</v>
      </c>
      <c r="GP114" s="61">
        <f t="shared" ref="GP114:HG115" si="659">+GO114-0.02</f>
        <v>0.91</v>
      </c>
      <c r="GQ114" s="61">
        <f t="shared" si="659"/>
        <v>0.89</v>
      </c>
      <c r="GR114" s="61">
        <f t="shared" si="659"/>
        <v>0.87</v>
      </c>
      <c r="GS114" s="61">
        <f t="shared" si="659"/>
        <v>0.85</v>
      </c>
      <c r="GT114" s="61">
        <f t="shared" si="659"/>
        <v>0.83</v>
      </c>
      <c r="GU114" s="61">
        <f t="shared" si="659"/>
        <v>0.80999999999999994</v>
      </c>
      <c r="GV114" s="61">
        <f t="shared" si="659"/>
        <v>0.78999999999999992</v>
      </c>
      <c r="GW114" s="61">
        <f t="shared" si="659"/>
        <v>0.76999999999999991</v>
      </c>
      <c r="GX114" s="61">
        <f t="shared" si="659"/>
        <v>0.74999999999999989</v>
      </c>
      <c r="GY114" s="61">
        <f t="shared" si="659"/>
        <v>0.72999999999999987</v>
      </c>
      <c r="GZ114" s="61">
        <f t="shared" si="659"/>
        <v>0.70999999999999985</v>
      </c>
      <c r="HA114" s="61">
        <f t="shared" si="659"/>
        <v>0.68999999999999984</v>
      </c>
      <c r="HB114" s="61">
        <f t="shared" si="659"/>
        <v>0.66999999999999982</v>
      </c>
      <c r="HC114" s="61">
        <f t="shared" si="659"/>
        <v>0.6499999999999998</v>
      </c>
      <c r="HD114" s="61">
        <f t="shared" si="659"/>
        <v>0.62999999999999978</v>
      </c>
      <c r="HE114" s="61">
        <f t="shared" si="659"/>
        <v>0.60999999999999976</v>
      </c>
      <c r="HF114" s="61">
        <f t="shared" si="659"/>
        <v>0.58999999999999975</v>
      </c>
      <c r="HG114" s="61">
        <f t="shared" si="659"/>
        <v>0.56999999999999973</v>
      </c>
    </row>
    <row r="115" spans="1:216" s="64" customFormat="1" ht="17.25" thickBot="1" x14ac:dyDescent="0.35">
      <c r="B115" s="64" t="s">
        <v>300</v>
      </c>
      <c r="C115" s="64" t="s">
        <v>298</v>
      </c>
      <c r="D115" s="65" t="s">
        <v>272</v>
      </c>
      <c r="E115" s="65" t="s">
        <v>155</v>
      </c>
      <c r="G115" s="61"/>
      <c r="H115" s="61"/>
      <c r="I115" s="61"/>
      <c r="J115" s="61"/>
      <c r="K115" s="61"/>
      <c r="L115" s="61"/>
      <c r="M115" s="61"/>
      <c r="N115" s="61"/>
      <c r="O115" s="61"/>
      <c r="P115" s="62"/>
      <c r="Q115" s="61"/>
      <c r="R115" s="61"/>
      <c r="S115" s="61"/>
      <c r="T115" s="62"/>
      <c r="U115" s="61"/>
      <c r="V115" s="63"/>
      <c r="W115" s="61"/>
      <c r="X115" s="62"/>
      <c r="Y115" s="61"/>
      <c r="Z115" s="61"/>
      <c r="AA115" s="61"/>
      <c r="AB115" s="63"/>
      <c r="AC115" s="61"/>
      <c r="AD115" s="63"/>
      <c r="AE115" s="61"/>
      <c r="AF115" s="63"/>
      <c r="AG115" s="61"/>
      <c r="AH115" s="61"/>
      <c r="AI115" s="61"/>
      <c r="AJ115" s="63"/>
      <c r="AK115" s="61"/>
      <c r="AL115" s="63"/>
      <c r="AM115" s="61"/>
      <c r="AN115" s="63"/>
      <c r="AO115" s="61"/>
      <c r="AP115" s="63"/>
      <c r="AQ115" s="61"/>
      <c r="AR115" s="61"/>
      <c r="AS115" s="61"/>
      <c r="AT115" s="63"/>
      <c r="AU115" s="61"/>
      <c r="AV115" s="63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>
        <f t="shared" si="656"/>
        <v>0</v>
      </c>
      <c r="BZ115" s="61"/>
      <c r="CA115" s="61"/>
      <c r="CB115" s="61"/>
      <c r="CC115" s="61"/>
      <c r="CD115" s="61"/>
      <c r="CE115" s="61"/>
      <c r="CF115" s="61"/>
      <c r="CG115" s="61"/>
      <c r="CH115" s="62"/>
      <c r="CI115" s="61"/>
      <c r="CJ115" s="61"/>
      <c r="CK115" s="61"/>
      <c r="CL115" s="62"/>
      <c r="CM115" s="61"/>
      <c r="CN115" s="63"/>
      <c r="CO115" s="61"/>
      <c r="CP115" s="62"/>
      <c r="CQ115" s="61"/>
      <c r="CR115" s="61"/>
      <c r="CS115" s="61"/>
      <c r="CT115" s="63"/>
      <c r="CU115" s="61"/>
      <c r="CV115" s="63"/>
      <c r="CW115" s="61"/>
      <c r="CX115" s="63"/>
      <c r="CY115" s="61"/>
      <c r="CZ115" s="61"/>
      <c r="DA115" s="61"/>
      <c r="DB115" s="63"/>
      <c r="DC115" s="61"/>
      <c r="DD115" s="63"/>
      <c r="DE115" s="61"/>
      <c r="DF115" s="63"/>
      <c r="DG115" s="61"/>
      <c r="DH115" s="63"/>
      <c r="DI115" s="61"/>
      <c r="DJ115" s="61"/>
      <c r="DK115" s="61"/>
      <c r="DL115" s="63"/>
      <c r="DM115" s="61"/>
      <c r="DN115" s="63"/>
      <c r="DO115" s="61"/>
      <c r="DP115" s="61"/>
      <c r="DQ115" s="61"/>
      <c r="DR115" s="61"/>
      <c r="DS115" s="61"/>
      <c r="DT115" s="61">
        <v>1</v>
      </c>
      <c r="DU115" s="61">
        <v>0.97</v>
      </c>
      <c r="DV115" s="61">
        <v>0.95</v>
      </c>
      <c r="DW115" s="61">
        <v>0.93</v>
      </c>
      <c r="DX115" s="61">
        <f t="shared" si="657"/>
        <v>0.91</v>
      </c>
      <c r="DY115" s="61">
        <f t="shared" si="657"/>
        <v>0.89</v>
      </c>
      <c r="DZ115" s="61">
        <f t="shared" si="657"/>
        <v>0.87</v>
      </c>
      <c r="EA115" s="61">
        <f t="shared" si="657"/>
        <v>0.85</v>
      </c>
      <c r="EB115" s="61">
        <f t="shared" si="657"/>
        <v>0.83</v>
      </c>
      <c r="EC115" s="61">
        <f t="shared" si="657"/>
        <v>0.80999999999999994</v>
      </c>
      <c r="ED115" s="61">
        <f t="shared" si="657"/>
        <v>0.78999999999999992</v>
      </c>
      <c r="EE115" s="61">
        <f t="shared" si="657"/>
        <v>0.76999999999999991</v>
      </c>
      <c r="EF115" s="61">
        <f t="shared" si="657"/>
        <v>0.74999999999999989</v>
      </c>
      <c r="EG115" s="61">
        <f t="shared" si="657"/>
        <v>0.72999999999999987</v>
      </c>
      <c r="EH115" s="61">
        <f t="shared" si="657"/>
        <v>0.70999999999999985</v>
      </c>
      <c r="EI115" s="61">
        <f t="shared" si="657"/>
        <v>0.68999999999999984</v>
      </c>
      <c r="EJ115" s="61">
        <f t="shared" si="657"/>
        <v>0.66999999999999982</v>
      </c>
      <c r="EK115" s="61">
        <f t="shared" si="657"/>
        <v>0.6499999999999998</v>
      </c>
      <c r="EL115" s="61">
        <f t="shared" si="657"/>
        <v>0.62999999999999978</v>
      </c>
      <c r="EM115" s="61">
        <f t="shared" si="657"/>
        <v>0.60999999999999976</v>
      </c>
      <c r="EN115" s="61">
        <f t="shared" si="657"/>
        <v>0.58999999999999975</v>
      </c>
      <c r="EO115" s="61">
        <f t="shared" si="657"/>
        <v>0.56999999999999973</v>
      </c>
      <c r="EQ115" s="61">
        <f t="shared" si="658"/>
        <v>0</v>
      </c>
      <c r="ER115" s="61"/>
      <c r="ES115" s="61"/>
      <c r="ET115" s="61"/>
      <c r="EU115" s="61"/>
      <c r="EV115" s="61"/>
      <c r="EW115" s="61"/>
      <c r="EX115" s="61"/>
      <c r="EY115" s="61"/>
      <c r="EZ115" s="62"/>
      <c r="FA115" s="61"/>
      <c r="FB115" s="61"/>
      <c r="FC115" s="61"/>
      <c r="FD115" s="62"/>
      <c r="FE115" s="61"/>
      <c r="FF115" s="63"/>
      <c r="FG115" s="61"/>
      <c r="FH115" s="62"/>
      <c r="FI115" s="61"/>
      <c r="FJ115" s="61"/>
      <c r="FK115" s="61"/>
      <c r="FL115" s="63"/>
      <c r="FM115" s="61"/>
      <c r="FN115" s="63"/>
      <c r="FO115" s="61"/>
      <c r="FP115" s="63"/>
      <c r="FQ115" s="61"/>
      <c r="FR115" s="61"/>
      <c r="FS115" s="61"/>
      <c r="FT115" s="63"/>
      <c r="FU115" s="61"/>
      <c r="FV115" s="63"/>
      <c r="FW115" s="61"/>
      <c r="FX115" s="63"/>
      <c r="FY115" s="61"/>
      <c r="FZ115" s="63"/>
      <c r="GA115" s="61"/>
      <c r="GB115" s="61"/>
      <c r="GC115" s="61"/>
      <c r="GD115" s="63"/>
      <c r="GE115" s="61"/>
      <c r="GF115" s="63"/>
      <c r="GG115" s="61"/>
      <c r="GH115" s="61"/>
      <c r="GI115" s="61"/>
      <c r="GJ115" s="61"/>
      <c r="GK115" s="61"/>
      <c r="GL115" s="61">
        <v>1</v>
      </c>
      <c r="GM115" s="61">
        <v>0.97</v>
      </c>
      <c r="GN115" s="61">
        <v>0.95</v>
      </c>
      <c r="GO115" s="61">
        <v>0.93</v>
      </c>
      <c r="GP115" s="61">
        <f t="shared" si="659"/>
        <v>0.91</v>
      </c>
      <c r="GQ115" s="61">
        <f t="shared" si="659"/>
        <v>0.89</v>
      </c>
      <c r="GR115" s="61">
        <f t="shared" si="659"/>
        <v>0.87</v>
      </c>
      <c r="GS115" s="61">
        <f t="shared" si="659"/>
        <v>0.85</v>
      </c>
      <c r="GT115" s="61">
        <f t="shared" si="659"/>
        <v>0.83</v>
      </c>
      <c r="GU115" s="61">
        <f t="shared" si="659"/>
        <v>0.80999999999999994</v>
      </c>
      <c r="GV115" s="61">
        <f t="shared" si="659"/>
        <v>0.78999999999999992</v>
      </c>
      <c r="GW115" s="61">
        <f t="shared" si="659"/>
        <v>0.76999999999999991</v>
      </c>
      <c r="GX115" s="61">
        <f t="shared" si="659"/>
        <v>0.74999999999999989</v>
      </c>
      <c r="GY115" s="61">
        <f t="shared" si="659"/>
        <v>0.72999999999999987</v>
      </c>
      <c r="GZ115" s="61">
        <f t="shared" si="659"/>
        <v>0.70999999999999985</v>
      </c>
      <c r="HA115" s="61">
        <f t="shared" si="659"/>
        <v>0.68999999999999984</v>
      </c>
      <c r="HB115" s="61">
        <f t="shared" si="659"/>
        <v>0.66999999999999982</v>
      </c>
      <c r="HC115" s="61">
        <f t="shared" si="659"/>
        <v>0.6499999999999998</v>
      </c>
      <c r="HD115" s="61">
        <f t="shared" si="659"/>
        <v>0.62999999999999978</v>
      </c>
      <c r="HE115" s="61">
        <f t="shared" si="659"/>
        <v>0.60999999999999976</v>
      </c>
      <c r="HF115" s="61">
        <f t="shared" si="659"/>
        <v>0.58999999999999975</v>
      </c>
      <c r="HG115" s="61">
        <f t="shared" si="659"/>
        <v>0.56999999999999973</v>
      </c>
    </row>
    <row r="116" spans="1:216" x14ac:dyDescent="0.3">
      <c r="A116" s="2">
        <v>1</v>
      </c>
      <c r="C116" s="38" t="s">
        <v>55</v>
      </c>
      <c r="D116" s="40">
        <f>TRUNC(1390.3497099666,-1)</f>
        <v>1390</v>
      </c>
      <c r="E116" s="70">
        <f t="shared" ref="E116:E126" si="660">TRUNC(+D116*3.3058,-1)</f>
        <v>4590</v>
      </c>
      <c r="H116" s="55">
        <f t="shared" si="505"/>
        <v>5049</v>
      </c>
      <c r="I116" s="55">
        <f t="shared" si="506"/>
        <v>5049</v>
      </c>
      <c r="J116" s="59">
        <f t="shared" si="507"/>
        <v>16690.984199999999</v>
      </c>
      <c r="K116" s="55">
        <f t="shared" ref="K116:K127" si="661">+I116*BD116</f>
        <v>4897.53</v>
      </c>
      <c r="L116" s="59">
        <f t="shared" ref="L116:L127" si="662">+K116*3.3058</f>
        <v>16190.254674</v>
      </c>
      <c r="M116" s="55">
        <f t="shared" ref="M116:M127" si="663">+I116*BE116</f>
        <v>4796.55</v>
      </c>
      <c r="N116" s="59">
        <f t="shared" ref="N116:N127" si="664">+M116*3.3058</f>
        <v>15856.434990000002</v>
      </c>
      <c r="O116" s="55">
        <f t="shared" ref="O116:O127" si="665">+I116*BF116</f>
        <v>4695.5700000000006</v>
      </c>
      <c r="P116" s="59">
        <f t="shared" ref="P116:P127" si="666">+O116*3.3058</f>
        <v>15522.615306000002</v>
      </c>
      <c r="Q116" s="57">
        <f t="shared" ref="Q116:Q127" si="667">+I116*BG116</f>
        <v>4594.59</v>
      </c>
      <c r="R116" s="59">
        <f t="shared" ref="R116:R127" si="668">+Q116*3.3058</f>
        <v>15188.795622000001</v>
      </c>
      <c r="S116" s="55">
        <f t="shared" ref="S116:S127" si="669">+I116*BH116</f>
        <v>4493.6099999999997</v>
      </c>
      <c r="T116" s="59">
        <f t="shared" ref="T116:T127" si="670">+S116*3.3058</f>
        <v>14854.975938</v>
      </c>
      <c r="U116" s="57">
        <f t="shared" ref="U116:U127" si="671">+I116*BI116</f>
        <v>4392.63</v>
      </c>
      <c r="V116" s="59">
        <f t="shared" ref="V116:V127" si="672">+U116*3.3058</f>
        <v>14521.156254000001</v>
      </c>
      <c r="W116" s="60">
        <f t="shared" ref="W116:W127" si="673">+I116*BJ116</f>
        <v>4291.6499999999996</v>
      </c>
      <c r="X116" s="59">
        <f t="shared" ref="X116:X127" si="674">+W116*3.3058</f>
        <v>14187.336569999999</v>
      </c>
      <c r="Y116" s="57">
        <f t="shared" ref="Y116:Y127" si="675">+I116*BK116</f>
        <v>4190.67</v>
      </c>
      <c r="Z116" s="59">
        <f t="shared" ref="Z116:Z127" si="676">+Y116*3.3058</f>
        <v>13853.516886000001</v>
      </c>
      <c r="AA116" s="55">
        <f t="shared" ref="AA116:AA127" si="677">+I116*BL116</f>
        <v>4089.6899999999996</v>
      </c>
      <c r="AB116" s="59">
        <f t="shared" ref="AB116:AB127" si="678">+AA116*3.3058</f>
        <v>13519.697201999999</v>
      </c>
      <c r="AC116" s="60">
        <f t="shared" ref="AC116:AC127" si="679">+I116*BM116</f>
        <v>3988.7099999999996</v>
      </c>
      <c r="AD116" s="59">
        <f t="shared" ref="AD116:AD127" si="680">+AC116*3.3058</f>
        <v>13185.877517999999</v>
      </c>
      <c r="AE116" s="60">
        <f t="shared" ref="AE116:AE127" si="681">+I116*BN116</f>
        <v>3887.7299999999996</v>
      </c>
      <c r="AF116" s="59">
        <f t="shared" ref="AF116:AF127" si="682">+AE116*3.3058</f>
        <v>12852.057833999999</v>
      </c>
      <c r="AG116" s="60">
        <f t="shared" ref="AG116:AG127" si="683">+I116*BO116</f>
        <v>3786.7499999999995</v>
      </c>
      <c r="AH116" s="59">
        <f t="shared" ref="AH116:AH127" si="684">+AG116*3.3058</f>
        <v>12518.238149999999</v>
      </c>
      <c r="AI116" s="55">
        <f t="shared" ref="AI116:AI127" si="685">+I116*BP116</f>
        <v>3685.7699999999995</v>
      </c>
      <c r="AJ116" s="59">
        <f t="shared" ref="AJ116:AJ127" si="686">+AI116*3.3058</f>
        <v>12184.418465999999</v>
      </c>
      <c r="AK116" s="60">
        <f t="shared" ref="AK116:AK127" si="687">+I116*BQ116</f>
        <v>3584.7899999999991</v>
      </c>
      <c r="AL116" s="59">
        <f t="shared" ref="AL116:AL127" si="688">+AK116*3.3058</f>
        <v>11850.598781999997</v>
      </c>
      <c r="AM116" s="60">
        <f t="shared" ref="AM116:AM127" si="689">+I116*BR116</f>
        <v>3483.809999999999</v>
      </c>
      <c r="AN116" s="59">
        <f t="shared" ref="AN116:AN127" si="690">+AM116*3.3058</f>
        <v>11516.779097999997</v>
      </c>
      <c r="AO116" s="60">
        <f t="shared" ref="AO116:AO127" si="691">+I116*BS116</f>
        <v>3382.829999999999</v>
      </c>
      <c r="AP116" s="59">
        <f t="shared" ref="AP116:AP127" si="692">+AO116*3.3058</f>
        <v>11182.959413999997</v>
      </c>
      <c r="AQ116" s="60">
        <f t="shared" ref="AQ116:AQ127" si="693">+I116*BT116</f>
        <v>3281.849999999999</v>
      </c>
      <c r="AR116" s="59">
        <f t="shared" ref="AR116:AR127" si="694">+AQ116*3.3058</f>
        <v>10849.139729999997</v>
      </c>
      <c r="AS116" s="55">
        <f t="shared" ref="AS116:AS127" si="695">+I116*BU116</f>
        <v>3180.869999999999</v>
      </c>
      <c r="AT116" s="59">
        <f t="shared" ref="AT116:AT127" si="696">+AS116*3.3058</f>
        <v>10515.320045999997</v>
      </c>
      <c r="AU116" s="60">
        <f t="shared" ref="AU116:AU127" si="697">+I116*BV116</f>
        <v>3079.889999999999</v>
      </c>
      <c r="AV116" s="59">
        <f t="shared" ref="AV116:AV127" si="698">+AU116*3.3058</f>
        <v>10181.500361999997</v>
      </c>
      <c r="AW116" s="60">
        <f t="shared" ref="AW116:AW127" si="699">+I116*BW116</f>
        <v>2978.9099999999989</v>
      </c>
      <c r="AX116" s="59">
        <f t="shared" ref="AX116:AX127" si="700">+AW116*3.3058</f>
        <v>9847.680677999997</v>
      </c>
      <c r="AY116" s="55">
        <f t="shared" ref="AY116:AY127" si="701">+I116*BX116</f>
        <v>2877.9299999999985</v>
      </c>
      <c r="AZ116" s="59">
        <f t="shared" ref="AZ116:AZ127" si="702">+AY116*3.3058</f>
        <v>9513.8609939999951</v>
      </c>
      <c r="BC116" s="55">
        <v>1</v>
      </c>
      <c r="BD116" s="55">
        <v>0.97</v>
      </c>
      <c r="BE116" s="55">
        <v>0.95</v>
      </c>
      <c r="BF116" s="55">
        <v>0.93</v>
      </c>
      <c r="BG116" s="55">
        <f t="shared" ref="BG116:BX127" si="703">+BF116-0.02</f>
        <v>0.91</v>
      </c>
      <c r="BH116" s="55">
        <f t="shared" si="703"/>
        <v>0.89</v>
      </c>
      <c r="BI116" s="55">
        <f t="shared" si="703"/>
        <v>0.87</v>
      </c>
      <c r="BJ116" s="55">
        <f t="shared" si="703"/>
        <v>0.85</v>
      </c>
      <c r="BK116" s="55">
        <f t="shared" si="703"/>
        <v>0.83</v>
      </c>
      <c r="BL116" s="55">
        <f t="shared" si="703"/>
        <v>0.80999999999999994</v>
      </c>
      <c r="BM116" s="55">
        <f t="shared" si="703"/>
        <v>0.78999999999999992</v>
      </c>
      <c r="BN116" s="55">
        <f t="shared" si="703"/>
        <v>0.76999999999999991</v>
      </c>
      <c r="BO116" s="55">
        <f t="shared" si="703"/>
        <v>0.74999999999999989</v>
      </c>
      <c r="BP116" s="55">
        <f t="shared" si="703"/>
        <v>0.72999999999999987</v>
      </c>
      <c r="BQ116" s="55">
        <f t="shared" si="703"/>
        <v>0.70999999999999985</v>
      </c>
      <c r="BR116" s="55">
        <f t="shared" si="703"/>
        <v>0.68999999999999984</v>
      </c>
      <c r="BS116" s="55">
        <f t="shared" si="703"/>
        <v>0.66999999999999982</v>
      </c>
      <c r="BT116" s="55">
        <f t="shared" si="703"/>
        <v>0.6499999999999998</v>
      </c>
      <c r="BU116" s="55">
        <f t="shared" si="703"/>
        <v>0.62999999999999978</v>
      </c>
      <c r="BV116" s="55">
        <f t="shared" si="703"/>
        <v>0.60999999999999976</v>
      </c>
      <c r="BW116" s="55">
        <f t="shared" si="703"/>
        <v>0.58999999999999975</v>
      </c>
      <c r="BX116" s="55">
        <f t="shared" si="703"/>
        <v>0.56999999999999973</v>
      </c>
      <c r="BZ116" s="55">
        <f t="shared" si="508"/>
        <v>4594.59</v>
      </c>
      <c r="CA116" s="55">
        <f t="shared" si="509"/>
        <v>4594.59</v>
      </c>
      <c r="CB116" s="59">
        <f t="shared" ref="CB116:CB127" si="704">+CA116*3.3058</f>
        <v>15188.795622000001</v>
      </c>
      <c r="CC116" s="55">
        <f t="shared" ref="CC116:CC127" si="705">+CA116*DV116</f>
        <v>4456.7523000000001</v>
      </c>
      <c r="CD116" s="59">
        <f t="shared" ref="CD116:CD127" si="706">+CC116*3.3058</f>
        <v>14733.131753340002</v>
      </c>
      <c r="CE116" s="55">
        <f t="shared" ref="CE116:CE127" si="707">+CA116*DW116</f>
        <v>4364.8604999999998</v>
      </c>
      <c r="CF116" s="59">
        <f t="shared" ref="CF116:CF127" si="708">+CE116*3.3058</f>
        <v>14429.3558409</v>
      </c>
      <c r="CG116" s="55">
        <f t="shared" ref="CG116:CG127" si="709">+CA116*DX116</f>
        <v>4272.9687000000004</v>
      </c>
      <c r="CH116" s="59">
        <f t="shared" ref="CH116:CH127" si="710">+CG116*3.3058</f>
        <v>14125.579928460002</v>
      </c>
      <c r="CI116" s="57">
        <f t="shared" ref="CI116:CI127" si="711">+CA116*DY116</f>
        <v>4181.0769</v>
      </c>
      <c r="CJ116" s="59">
        <f t="shared" ref="CJ116:CJ127" si="712">+CI116*3.3058</f>
        <v>13821.80401602</v>
      </c>
      <c r="CK116" s="55">
        <f t="shared" ref="CK116:CK127" si="713">+CA116*DZ116</f>
        <v>4089.1851000000001</v>
      </c>
      <c r="CL116" s="59">
        <f t="shared" ref="CL116:CL127" si="714">+CK116*3.3058</f>
        <v>13518.02810358</v>
      </c>
      <c r="CM116" s="57">
        <f t="shared" ref="CM116:CM127" si="715">+CA116*EA116</f>
        <v>3997.2933000000003</v>
      </c>
      <c r="CN116" s="59">
        <f t="shared" ref="CN116:CN127" si="716">+CM116*3.3058</f>
        <v>13214.252191140002</v>
      </c>
      <c r="CO116" s="60">
        <f t="shared" ref="CO116:CO127" si="717">+CA116*EB116</f>
        <v>3905.4014999999999</v>
      </c>
      <c r="CP116" s="59">
        <f t="shared" ref="CP116:CP127" si="718">+CO116*3.3058</f>
        <v>12910.4762787</v>
      </c>
      <c r="CQ116" s="57">
        <f t="shared" ref="CQ116:CQ127" si="719">+CA116*EC116</f>
        <v>3813.5097000000001</v>
      </c>
      <c r="CR116" s="59">
        <f t="shared" ref="CR116:CR127" si="720">+CQ116*3.3058</f>
        <v>12606.70036626</v>
      </c>
      <c r="CS116" s="55">
        <f t="shared" ref="CS116:CS127" si="721">+CA116*ED116</f>
        <v>3721.6178999999997</v>
      </c>
      <c r="CT116" s="59">
        <f t="shared" ref="CT116:CT127" si="722">+CS116*3.3058</f>
        <v>12302.92445382</v>
      </c>
      <c r="CU116" s="60">
        <f t="shared" ref="CU116:CU127" si="723">+CA116*EE116</f>
        <v>3629.7260999999999</v>
      </c>
      <c r="CV116" s="59">
        <f t="shared" ref="CV116:CV127" si="724">+CU116*3.3058</f>
        <v>11999.14854138</v>
      </c>
      <c r="CW116" s="60">
        <f t="shared" ref="CW116:CW127" si="725">+CA116*EF116</f>
        <v>3537.8342999999995</v>
      </c>
      <c r="CX116" s="59">
        <f t="shared" ref="CX116:CX127" si="726">+CW116*3.3058</f>
        <v>11695.372628939998</v>
      </c>
      <c r="CY116" s="60">
        <f t="shared" ref="CY116:CY127" si="727">+CA116*EG116</f>
        <v>3445.9424999999997</v>
      </c>
      <c r="CZ116" s="59">
        <f t="shared" ref="CZ116:CZ127" si="728">+CY116*3.3058</f>
        <v>11391.596716499998</v>
      </c>
      <c r="DA116" s="55">
        <f t="shared" ref="DA116:DA127" si="729">+CA116*EH116</f>
        <v>3354.0506999999993</v>
      </c>
      <c r="DB116" s="59">
        <f t="shared" ref="DB116:DB127" si="730">+DA116*3.3058</f>
        <v>11087.820804059998</v>
      </c>
      <c r="DC116" s="60">
        <f t="shared" ref="DC116:DC127" si="731">+CA116*EI116</f>
        <v>3262.1588999999994</v>
      </c>
      <c r="DD116" s="59">
        <f t="shared" ref="DD116:DD127" si="732">+DC116*3.3058</f>
        <v>10784.044891619998</v>
      </c>
      <c r="DE116" s="60">
        <f t="shared" ref="DE116:DE127" si="733">+CA116*EJ116</f>
        <v>3170.2670999999991</v>
      </c>
      <c r="DF116" s="59">
        <f t="shared" ref="DF116:DF127" si="734">+DE116*3.3058</f>
        <v>10480.268979179997</v>
      </c>
      <c r="DG116" s="60">
        <f t="shared" ref="DG116:DG127" si="735">+CA116*EK116</f>
        <v>3078.3752999999992</v>
      </c>
      <c r="DH116" s="59">
        <f t="shared" ref="DH116:DH127" si="736">+DG116*3.3058</f>
        <v>10176.493066739999</v>
      </c>
      <c r="DI116" s="60">
        <f t="shared" ref="DI116:DI127" si="737">+CA116*EL116</f>
        <v>2986.4834999999994</v>
      </c>
      <c r="DJ116" s="59">
        <f t="shared" ref="DJ116:DJ127" si="738">+DI116*3.3058</f>
        <v>9872.7171542999986</v>
      </c>
      <c r="DK116" s="55">
        <f t="shared" ref="DK116:DK127" si="739">+CA116*EM116</f>
        <v>2894.591699999999</v>
      </c>
      <c r="DL116" s="59">
        <f t="shared" ref="DL116:DL127" si="740">+DK116*3.3058</f>
        <v>9568.9412418599968</v>
      </c>
      <c r="DM116" s="60">
        <f t="shared" ref="DM116:DM127" si="741">+CA116*EN116</f>
        <v>2802.6998999999992</v>
      </c>
      <c r="DN116" s="59">
        <f t="shared" ref="DN116:DN127" si="742">+DM116*3.3058</f>
        <v>9265.1653294199969</v>
      </c>
      <c r="DO116" s="60">
        <f t="shared" ref="DO116:DO127" si="743">+CA116*EO116</f>
        <v>2710.8080999999988</v>
      </c>
      <c r="DP116" s="59">
        <f t="shared" ref="DP116:DP127" si="744">+DO116*3.3058</f>
        <v>8961.3894169799969</v>
      </c>
      <c r="DQ116" s="55">
        <f t="shared" ref="DQ116:DQ127" si="745">+CA116*EP116</f>
        <v>2618.916299999999</v>
      </c>
      <c r="DR116" s="59">
        <f t="shared" ref="DR116:DR127" si="746">+DQ116*3.3058</f>
        <v>8657.6135045399969</v>
      </c>
      <c r="DU116" s="55">
        <v>1</v>
      </c>
      <c r="DV116" s="55">
        <v>0.97</v>
      </c>
      <c r="DW116" s="55">
        <v>0.95</v>
      </c>
      <c r="DX116" s="55">
        <v>0.93</v>
      </c>
      <c r="DY116" s="55">
        <f t="shared" si="654"/>
        <v>0.91</v>
      </c>
      <c r="DZ116" s="55">
        <f t="shared" si="654"/>
        <v>0.89</v>
      </c>
      <c r="EA116" s="55">
        <f t="shared" si="654"/>
        <v>0.87</v>
      </c>
      <c r="EB116" s="55">
        <f t="shared" si="654"/>
        <v>0.85</v>
      </c>
      <c r="EC116" s="55">
        <f t="shared" si="654"/>
        <v>0.83</v>
      </c>
      <c r="ED116" s="55">
        <f t="shared" si="654"/>
        <v>0.80999999999999994</v>
      </c>
      <c r="EE116" s="55">
        <f t="shared" si="654"/>
        <v>0.78999999999999992</v>
      </c>
      <c r="EF116" s="55">
        <f t="shared" si="654"/>
        <v>0.76999999999999991</v>
      </c>
      <c r="EG116" s="55">
        <f t="shared" si="654"/>
        <v>0.74999999999999989</v>
      </c>
      <c r="EH116" s="55">
        <f t="shared" si="654"/>
        <v>0.72999999999999987</v>
      </c>
      <c r="EI116" s="55">
        <f t="shared" si="654"/>
        <v>0.70999999999999985</v>
      </c>
      <c r="EJ116" s="55">
        <f t="shared" si="654"/>
        <v>0.68999999999999984</v>
      </c>
      <c r="EK116" s="55">
        <f t="shared" si="654"/>
        <v>0.66999999999999982</v>
      </c>
      <c r="EL116" s="55">
        <f t="shared" si="654"/>
        <v>0.6499999999999998</v>
      </c>
      <c r="EM116" s="55">
        <f t="shared" si="654"/>
        <v>0.62999999999999978</v>
      </c>
      <c r="EN116" s="55">
        <f t="shared" si="654"/>
        <v>0.60999999999999976</v>
      </c>
      <c r="EO116" s="55">
        <f t="shared" si="654"/>
        <v>0.58999999999999975</v>
      </c>
      <c r="EP116" s="55">
        <f t="shared" si="654"/>
        <v>0.56999999999999973</v>
      </c>
      <c r="ER116" s="55">
        <f t="shared" si="648"/>
        <v>4181.0769</v>
      </c>
      <c r="ES116" s="55">
        <f t="shared" si="510"/>
        <v>4181.0769</v>
      </c>
      <c r="ET116" s="59">
        <f t="shared" ref="ET116:ET127" si="747">+ES116*3.3058</f>
        <v>13821.80401602</v>
      </c>
      <c r="EU116" s="55">
        <f t="shared" ref="EU116:EU127" si="748">+ES116*GN116</f>
        <v>4055.644593</v>
      </c>
      <c r="EV116" s="59">
        <f t="shared" ref="EV116:EV127" si="749">+EU116*3.3058</f>
        <v>13407.1498955394</v>
      </c>
      <c r="EW116" s="55">
        <f t="shared" ref="EW116:EW127" si="750">+ES116*GO116</f>
        <v>3972.0230549999997</v>
      </c>
      <c r="EX116" s="59">
        <f t="shared" ref="EX116:EX127" si="751">+EW116*3.3058</f>
        <v>13130.713815219</v>
      </c>
      <c r="EY116" s="55">
        <f t="shared" ref="EY116:EY127" si="752">+ES116*GP116</f>
        <v>3888.4015170000002</v>
      </c>
      <c r="EZ116" s="59">
        <f t="shared" ref="EZ116:EZ127" si="753">+EY116*3.3058</f>
        <v>12854.277734898602</v>
      </c>
      <c r="FA116" s="57">
        <f t="shared" ref="FA116:FA127" si="754">+ES116*GQ116</f>
        <v>3804.7799790000004</v>
      </c>
      <c r="FB116" s="59">
        <f t="shared" ref="FB116:FB127" si="755">+FA116*3.3058</f>
        <v>12577.841654578202</v>
      </c>
      <c r="FC116" s="55">
        <f t="shared" ref="FC116:FC127" si="756">+ES116*GR116</f>
        <v>3721.158441</v>
      </c>
      <c r="FD116" s="59">
        <f t="shared" ref="FD116:FD127" si="757">+FC116*3.3058</f>
        <v>12301.4055742578</v>
      </c>
      <c r="FE116" s="57">
        <f t="shared" ref="FE116:FE127" si="758">+ES116*GS116</f>
        <v>3637.5369030000002</v>
      </c>
      <c r="FF116" s="59">
        <f t="shared" ref="FF116:FF127" si="759">+FE116*3.3058</f>
        <v>12024.9694939374</v>
      </c>
      <c r="FG116" s="60">
        <f t="shared" ref="FG116:FG127" si="760">+ES116*GT116</f>
        <v>3553.9153649999998</v>
      </c>
      <c r="FH116" s="59">
        <f t="shared" ref="FH116:FH127" si="761">+FG116*3.3058</f>
        <v>11748.533413617</v>
      </c>
      <c r="FI116" s="57">
        <f t="shared" ref="FI116:FI127" si="762">+ES116*GU116</f>
        <v>3470.293827</v>
      </c>
      <c r="FJ116" s="59">
        <f t="shared" ref="FJ116:FJ127" si="763">+FI116*3.3058</f>
        <v>11472.0973332966</v>
      </c>
      <c r="FK116" s="55">
        <f t="shared" ref="FK116:FK127" si="764">+ES116*GV116</f>
        <v>3386.6722889999996</v>
      </c>
      <c r="FL116" s="59">
        <f t="shared" ref="FL116:FL127" si="765">+FK116*3.3058</f>
        <v>11195.661252976199</v>
      </c>
      <c r="FM116" s="60">
        <f t="shared" ref="FM116:FM127" si="766">+ES116*GW116</f>
        <v>3303.0507509999998</v>
      </c>
      <c r="FN116" s="59">
        <f t="shared" ref="FN116:FN127" si="767">+FM116*3.3058</f>
        <v>10919.225172655799</v>
      </c>
      <c r="FO116" s="60">
        <f t="shared" ref="FO116:FO127" si="768">+ES116*GX116</f>
        <v>3219.4292129999994</v>
      </c>
      <c r="FP116" s="59">
        <f t="shared" ref="FP116:FP127" si="769">+FO116*3.3058</f>
        <v>10642.789092335399</v>
      </c>
      <c r="FQ116" s="60">
        <f t="shared" ref="FQ116:FQ127" si="770">+ES116*GY116</f>
        <v>3135.8076749999996</v>
      </c>
      <c r="FR116" s="59">
        <f t="shared" ref="FR116:FR127" si="771">+FQ116*3.3058</f>
        <v>10366.353012014999</v>
      </c>
      <c r="FS116" s="55">
        <f t="shared" ref="FS116:FS127" si="772">+ES116*GZ116</f>
        <v>3052.1861369999997</v>
      </c>
      <c r="FT116" s="59">
        <f t="shared" ref="FT116:FT127" si="773">+FS116*3.3058</f>
        <v>10089.916931694599</v>
      </c>
      <c r="FU116" s="60">
        <f t="shared" ref="FU116:FU127" si="774">+ES116*HA116</f>
        <v>2968.5645989999994</v>
      </c>
      <c r="FV116" s="59">
        <f t="shared" ref="FV116:FV127" si="775">+FU116*3.3058</f>
        <v>9813.4808513741973</v>
      </c>
      <c r="FW116" s="60">
        <f t="shared" ref="FW116:FW127" si="776">+ES116*HB116</f>
        <v>2884.9430609999995</v>
      </c>
      <c r="FX116" s="59">
        <f t="shared" ref="FX116:FX127" si="777">+FW116*3.3058</f>
        <v>9537.0447710537992</v>
      </c>
      <c r="FY116" s="60">
        <f t="shared" ref="FY116:FY127" si="778">+ES116*HC116</f>
        <v>2801.3215229999992</v>
      </c>
      <c r="FZ116" s="59">
        <f t="shared" ref="FZ116:FZ127" si="779">+FY116*3.3058</f>
        <v>9260.6086907333975</v>
      </c>
      <c r="GA116" s="60">
        <f t="shared" ref="GA116:GA127" si="780">+ES116*HD116</f>
        <v>2717.6999849999993</v>
      </c>
      <c r="GB116" s="59">
        <f t="shared" ref="GB116:GB127" si="781">+GA116*3.3058</f>
        <v>8984.1726104129975</v>
      </c>
      <c r="GC116" s="55">
        <f t="shared" ref="GC116:GC127" si="782">+ES116*HE116</f>
        <v>2634.078446999999</v>
      </c>
      <c r="GD116" s="59">
        <f t="shared" ref="GD116:GD127" si="783">+GC116*3.3058</f>
        <v>8707.7365300925976</v>
      </c>
      <c r="GE116" s="60">
        <f t="shared" ref="GE116:GE127" si="784">+ES116*HF116</f>
        <v>2550.4569089999991</v>
      </c>
      <c r="GF116" s="59">
        <f t="shared" ref="GF116:GF127" si="785">+GE116*3.3058</f>
        <v>8431.3004497721977</v>
      </c>
      <c r="GG116" s="60">
        <f t="shared" ref="GG116:GG127" si="786">+ES116*HG116</f>
        <v>2466.8353709999988</v>
      </c>
      <c r="GH116" s="59">
        <f t="shared" ref="GH116:GH127" si="787">+GG116*3.3058</f>
        <v>8154.8643694517959</v>
      </c>
      <c r="GI116" s="55">
        <f t="shared" ref="GI116:GI127" si="788">+ES116*HH116</f>
        <v>2383.2138329999989</v>
      </c>
      <c r="GJ116" s="59">
        <f t="shared" ref="GJ116:GJ127" si="789">+GI116*3.3058</f>
        <v>7878.4282891313969</v>
      </c>
      <c r="GK116" s="55"/>
      <c r="GL116" s="55"/>
      <c r="GM116" s="55">
        <v>1</v>
      </c>
      <c r="GN116" s="55">
        <v>0.97</v>
      </c>
      <c r="GO116" s="55">
        <v>0.95</v>
      </c>
      <c r="GP116" s="55">
        <v>0.93</v>
      </c>
      <c r="GQ116" s="55">
        <f t="shared" si="655"/>
        <v>0.91</v>
      </c>
      <c r="GR116" s="55">
        <f t="shared" si="655"/>
        <v>0.89</v>
      </c>
      <c r="GS116" s="55">
        <f t="shared" si="655"/>
        <v>0.87</v>
      </c>
      <c r="GT116" s="55">
        <f t="shared" si="655"/>
        <v>0.85</v>
      </c>
      <c r="GU116" s="55">
        <f t="shared" si="655"/>
        <v>0.83</v>
      </c>
      <c r="GV116" s="55">
        <f t="shared" si="655"/>
        <v>0.80999999999999994</v>
      </c>
      <c r="GW116" s="55">
        <f t="shared" si="655"/>
        <v>0.78999999999999992</v>
      </c>
      <c r="GX116" s="55">
        <f t="shared" si="655"/>
        <v>0.76999999999999991</v>
      </c>
      <c r="GY116" s="55">
        <f t="shared" si="655"/>
        <v>0.74999999999999989</v>
      </c>
      <c r="GZ116" s="55">
        <f t="shared" si="655"/>
        <v>0.72999999999999987</v>
      </c>
      <c r="HA116" s="55">
        <f t="shared" si="655"/>
        <v>0.70999999999999985</v>
      </c>
      <c r="HB116" s="55">
        <f t="shared" si="655"/>
        <v>0.68999999999999984</v>
      </c>
      <c r="HC116" s="55">
        <f t="shared" si="655"/>
        <v>0.66999999999999982</v>
      </c>
      <c r="HD116" s="55">
        <f t="shared" si="655"/>
        <v>0.6499999999999998</v>
      </c>
      <c r="HE116" s="55">
        <f t="shared" si="655"/>
        <v>0.62999999999999978</v>
      </c>
      <c r="HF116" s="55">
        <f t="shared" si="655"/>
        <v>0.60999999999999976</v>
      </c>
      <c r="HG116" s="55">
        <f t="shared" si="655"/>
        <v>0.58999999999999975</v>
      </c>
      <c r="HH116" s="55">
        <f t="shared" si="655"/>
        <v>0.56999999999999973</v>
      </c>
    </row>
    <row r="117" spans="1:216" x14ac:dyDescent="0.3">
      <c r="A117" s="2">
        <v>2</v>
      </c>
      <c r="C117" s="38" t="s">
        <v>125</v>
      </c>
      <c r="D117" s="42">
        <v>0</v>
      </c>
      <c r="E117" s="71">
        <f t="shared" si="660"/>
        <v>0</v>
      </c>
      <c r="H117" s="55">
        <f t="shared" si="505"/>
        <v>0</v>
      </c>
      <c r="I117" s="55">
        <f t="shared" si="506"/>
        <v>0</v>
      </c>
      <c r="J117" s="59">
        <f t="shared" si="507"/>
        <v>0</v>
      </c>
      <c r="K117" s="55">
        <f t="shared" si="661"/>
        <v>0</v>
      </c>
      <c r="L117" s="59">
        <f t="shared" si="662"/>
        <v>0</v>
      </c>
      <c r="M117" s="55">
        <f t="shared" si="663"/>
        <v>0</v>
      </c>
      <c r="N117" s="59">
        <f t="shared" si="664"/>
        <v>0</v>
      </c>
      <c r="O117" s="55">
        <f t="shared" si="665"/>
        <v>0</v>
      </c>
      <c r="P117" s="59">
        <f t="shared" si="666"/>
        <v>0</v>
      </c>
      <c r="Q117" s="57">
        <f t="shared" si="667"/>
        <v>0</v>
      </c>
      <c r="R117" s="59">
        <f t="shared" si="668"/>
        <v>0</v>
      </c>
      <c r="S117" s="55">
        <f t="shared" si="669"/>
        <v>0</v>
      </c>
      <c r="T117" s="59">
        <f t="shared" si="670"/>
        <v>0</v>
      </c>
      <c r="U117" s="57">
        <f t="shared" si="671"/>
        <v>0</v>
      </c>
      <c r="V117" s="59">
        <f t="shared" si="672"/>
        <v>0</v>
      </c>
      <c r="W117" s="60">
        <f t="shared" si="673"/>
        <v>0</v>
      </c>
      <c r="X117" s="59">
        <f t="shared" si="674"/>
        <v>0</v>
      </c>
      <c r="Y117" s="57">
        <f t="shared" si="675"/>
        <v>0</v>
      </c>
      <c r="Z117" s="59">
        <f t="shared" si="676"/>
        <v>0</v>
      </c>
      <c r="AA117" s="55">
        <f t="shared" si="677"/>
        <v>0</v>
      </c>
      <c r="AB117" s="59">
        <f t="shared" si="678"/>
        <v>0</v>
      </c>
      <c r="AC117" s="60">
        <f t="shared" si="679"/>
        <v>0</v>
      </c>
      <c r="AD117" s="59">
        <f t="shared" si="680"/>
        <v>0</v>
      </c>
      <c r="AE117" s="60">
        <f t="shared" si="681"/>
        <v>0</v>
      </c>
      <c r="AF117" s="59">
        <f t="shared" si="682"/>
        <v>0</v>
      </c>
      <c r="AG117" s="60">
        <f t="shared" si="683"/>
        <v>0</v>
      </c>
      <c r="AH117" s="59">
        <f t="shared" si="684"/>
        <v>0</v>
      </c>
      <c r="AI117" s="55">
        <f t="shared" si="685"/>
        <v>0</v>
      </c>
      <c r="AJ117" s="59">
        <f t="shared" si="686"/>
        <v>0</v>
      </c>
      <c r="AK117" s="60">
        <f t="shared" si="687"/>
        <v>0</v>
      </c>
      <c r="AL117" s="59">
        <f t="shared" si="688"/>
        <v>0</v>
      </c>
      <c r="AM117" s="60">
        <f t="shared" si="689"/>
        <v>0</v>
      </c>
      <c r="AN117" s="59">
        <f t="shared" si="690"/>
        <v>0</v>
      </c>
      <c r="AO117" s="60">
        <f t="shared" si="691"/>
        <v>0</v>
      </c>
      <c r="AP117" s="59">
        <f t="shared" si="692"/>
        <v>0</v>
      </c>
      <c r="AQ117" s="60">
        <f t="shared" si="693"/>
        <v>0</v>
      </c>
      <c r="AR117" s="59">
        <f t="shared" si="694"/>
        <v>0</v>
      </c>
      <c r="AS117" s="55">
        <f t="shared" si="695"/>
        <v>0</v>
      </c>
      <c r="AT117" s="59">
        <f t="shared" si="696"/>
        <v>0</v>
      </c>
      <c r="AU117" s="60">
        <f t="shared" si="697"/>
        <v>0</v>
      </c>
      <c r="AV117" s="59">
        <f t="shared" si="698"/>
        <v>0</v>
      </c>
      <c r="AW117" s="60">
        <f t="shared" si="699"/>
        <v>0</v>
      </c>
      <c r="AX117" s="59">
        <f t="shared" si="700"/>
        <v>0</v>
      </c>
      <c r="AY117" s="55">
        <f t="shared" si="701"/>
        <v>0</v>
      </c>
      <c r="AZ117" s="59">
        <f t="shared" si="702"/>
        <v>0</v>
      </c>
      <c r="BC117" s="55">
        <v>1</v>
      </c>
      <c r="BD117" s="55">
        <v>0.97</v>
      </c>
      <c r="BE117" s="55">
        <v>0.95</v>
      </c>
      <c r="BF117" s="55">
        <v>0.93</v>
      </c>
      <c r="BG117" s="55">
        <f t="shared" si="703"/>
        <v>0.91</v>
      </c>
      <c r="BH117" s="55">
        <f t="shared" si="703"/>
        <v>0.89</v>
      </c>
      <c r="BI117" s="55">
        <f t="shared" si="703"/>
        <v>0.87</v>
      </c>
      <c r="BJ117" s="55">
        <f t="shared" si="703"/>
        <v>0.85</v>
      </c>
      <c r="BK117" s="55">
        <f t="shared" si="703"/>
        <v>0.83</v>
      </c>
      <c r="BL117" s="55">
        <f t="shared" si="703"/>
        <v>0.80999999999999994</v>
      </c>
      <c r="BM117" s="55">
        <f t="shared" si="703"/>
        <v>0.78999999999999992</v>
      </c>
      <c r="BN117" s="55">
        <f t="shared" si="703"/>
        <v>0.76999999999999991</v>
      </c>
      <c r="BO117" s="55">
        <f t="shared" si="703"/>
        <v>0.74999999999999989</v>
      </c>
      <c r="BP117" s="55">
        <f t="shared" si="703"/>
        <v>0.72999999999999987</v>
      </c>
      <c r="BQ117" s="55">
        <f t="shared" si="703"/>
        <v>0.70999999999999985</v>
      </c>
      <c r="BR117" s="55">
        <f t="shared" si="703"/>
        <v>0.68999999999999984</v>
      </c>
      <c r="BS117" s="55">
        <f t="shared" si="703"/>
        <v>0.66999999999999982</v>
      </c>
      <c r="BT117" s="55">
        <f t="shared" si="703"/>
        <v>0.6499999999999998</v>
      </c>
      <c r="BU117" s="55">
        <f t="shared" si="703"/>
        <v>0.62999999999999978</v>
      </c>
      <c r="BV117" s="55">
        <f t="shared" si="703"/>
        <v>0.60999999999999976</v>
      </c>
      <c r="BW117" s="55">
        <f t="shared" si="703"/>
        <v>0.58999999999999975</v>
      </c>
      <c r="BX117" s="55">
        <f t="shared" si="703"/>
        <v>0.56999999999999973</v>
      </c>
      <c r="BZ117" s="55">
        <f t="shared" si="508"/>
        <v>0</v>
      </c>
      <c r="CA117" s="55">
        <f t="shared" si="509"/>
        <v>0</v>
      </c>
      <c r="CB117" s="59">
        <f t="shared" si="704"/>
        <v>0</v>
      </c>
      <c r="CC117" s="55">
        <f t="shared" si="705"/>
        <v>0</v>
      </c>
      <c r="CD117" s="59">
        <f t="shared" si="706"/>
        <v>0</v>
      </c>
      <c r="CE117" s="55">
        <f t="shared" si="707"/>
        <v>0</v>
      </c>
      <c r="CF117" s="59">
        <f t="shared" si="708"/>
        <v>0</v>
      </c>
      <c r="CG117" s="55">
        <f t="shared" si="709"/>
        <v>0</v>
      </c>
      <c r="CH117" s="59">
        <f t="shared" si="710"/>
        <v>0</v>
      </c>
      <c r="CI117" s="57">
        <f t="shared" si="711"/>
        <v>0</v>
      </c>
      <c r="CJ117" s="59">
        <f t="shared" si="712"/>
        <v>0</v>
      </c>
      <c r="CK117" s="55">
        <f t="shared" si="713"/>
        <v>0</v>
      </c>
      <c r="CL117" s="59">
        <f t="shared" si="714"/>
        <v>0</v>
      </c>
      <c r="CM117" s="57">
        <f t="shared" si="715"/>
        <v>0</v>
      </c>
      <c r="CN117" s="59">
        <f t="shared" si="716"/>
        <v>0</v>
      </c>
      <c r="CO117" s="60">
        <f t="shared" si="717"/>
        <v>0</v>
      </c>
      <c r="CP117" s="59">
        <f t="shared" si="718"/>
        <v>0</v>
      </c>
      <c r="CQ117" s="57">
        <f t="shared" si="719"/>
        <v>0</v>
      </c>
      <c r="CR117" s="59">
        <f t="shared" si="720"/>
        <v>0</v>
      </c>
      <c r="CS117" s="55">
        <f t="shared" si="721"/>
        <v>0</v>
      </c>
      <c r="CT117" s="59">
        <f t="shared" si="722"/>
        <v>0</v>
      </c>
      <c r="CU117" s="60">
        <f t="shared" si="723"/>
        <v>0</v>
      </c>
      <c r="CV117" s="59">
        <f t="shared" si="724"/>
        <v>0</v>
      </c>
      <c r="CW117" s="60">
        <f t="shared" si="725"/>
        <v>0</v>
      </c>
      <c r="CX117" s="59">
        <f t="shared" si="726"/>
        <v>0</v>
      </c>
      <c r="CY117" s="60">
        <f t="shared" si="727"/>
        <v>0</v>
      </c>
      <c r="CZ117" s="59">
        <f t="shared" si="728"/>
        <v>0</v>
      </c>
      <c r="DA117" s="55">
        <f t="shared" si="729"/>
        <v>0</v>
      </c>
      <c r="DB117" s="59">
        <f t="shared" si="730"/>
        <v>0</v>
      </c>
      <c r="DC117" s="60">
        <f t="shared" si="731"/>
        <v>0</v>
      </c>
      <c r="DD117" s="59">
        <f t="shared" si="732"/>
        <v>0</v>
      </c>
      <c r="DE117" s="60">
        <f t="shared" si="733"/>
        <v>0</v>
      </c>
      <c r="DF117" s="59">
        <f t="shared" si="734"/>
        <v>0</v>
      </c>
      <c r="DG117" s="60">
        <f t="shared" si="735"/>
        <v>0</v>
      </c>
      <c r="DH117" s="59">
        <f t="shared" si="736"/>
        <v>0</v>
      </c>
      <c r="DI117" s="60">
        <f t="shared" si="737"/>
        <v>0</v>
      </c>
      <c r="DJ117" s="59">
        <f t="shared" si="738"/>
        <v>0</v>
      </c>
      <c r="DK117" s="55">
        <f t="shared" si="739"/>
        <v>0</v>
      </c>
      <c r="DL117" s="59">
        <f t="shared" si="740"/>
        <v>0</v>
      </c>
      <c r="DM117" s="60">
        <f t="shared" si="741"/>
        <v>0</v>
      </c>
      <c r="DN117" s="59">
        <f t="shared" si="742"/>
        <v>0</v>
      </c>
      <c r="DO117" s="60">
        <f t="shared" si="743"/>
        <v>0</v>
      </c>
      <c r="DP117" s="59">
        <f t="shared" si="744"/>
        <v>0</v>
      </c>
      <c r="DQ117" s="55">
        <f t="shared" si="745"/>
        <v>0</v>
      </c>
      <c r="DR117" s="59">
        <f t="shared" si="746"/>
        <v>0</v>
      </c>
      <c r="DU117" s="55">
        <v>1</v>
      </c>
      <c r="DV117" s="55">
        <v>0.97</v>
      </c>
      <c r="DW117" s="55">
        <v>0.95</v>
      </c>
      <c r="DX117" s="55">
        <v>0.93</v>
      </c>
      <c r="DY117" s="55">
        <f t="shared" si="654"/>
        <v>0.91</v>
      </c>
      <c r="DZ117" s="55">
        <f t="shared" si="654"/>
        <v>0.89</v>
      </c>
      <c r="EA117" s="55">
        <f t="shared" si="654"/>
        <v>0.87</v>
      </c>
      <c r="EB117" s="55">
        <f t="shared" si="654"/>
        <v>0.85</v>
      </c>
      <c r="EC117" s="55">
        <f t="shared" si="654"/>
        <v>0.83</v>
      </c>
      <c r="ED117" s="55">
        <f t="shared" si="654"/>
        <v>0.80999999999999994</v>
      </c>
      <c r="EE117" s="55">
        <f t="shared" si="654"/>
        <v>0.78999999999999992</v>
      </c>
      <c r="EF117" s="55">
        <f t="shared" si="654"/>
        <v>0.76999999999999991</v>
      </c>
      <c r="EG117" s="55">
        <f t="shared" si="654"/>
        <v>0.74999999999999989</v>
      </c>
      <c r="EH117" s="55">
        <f t="shared" si="654"/>
        <v>0.72999999999999987</v>
      </c>
      <c r="EI117" s="55">
        <f t="shared" si="654"/>
        <v>0.70999999999999985</v>
      </c>
      <c r="EJ117" s="55">
        <f t="shared" si="654"/>
        <v>0.68999999999999984</v>
      </c>
      <c r="EK117" s="55">
        <f t="shared" si="654"/>
        <v>0.66999999999999982</v>
      </c>
      <c r="EL117" s="55">
        <f t="shared" si="654"/>
        <v>0.6499999999999998</v>
      </c>
      <c r="EM117" s="55">
        <f t="shared" si="654"/>
        <v>0.62999999999999978</v>
      </c>
      <c r="EN117" s="55">
        <f t="shared" si="654"/>
        <v>0.60999999999999976</v>
      </c>
      <c r="EO117" s="55">
        <f t="shared" si="654"/>
        <v>0.58999999999999975</v>
      </c>
      <c r="EP117" s="55">
        <f t="shared" si="654"/>
        <v>0.56999999999999973</v>
      </c>
      <c r="ER117" s="55">
        <f t="shared" si="648"/>
        <v>0</v>
      </c>
      <c r="ES117" s="55">
        <f t="shared" si="510"/>
        <v>0</v>
      </c>
      <c r="ET117" s="59">
        <f t="shared" si="747"/>
        <v>0</v>
      </c>
      <c r="EU117" s="55">
        <f t="shared" si="748"/>
        <v>0</v>
      </c>
      <c r="EV117" s="59">
        <f t="shared" si="749"/>
        <v>0</v>
      </c>
      <c r="EW117" s="55">
        <f t="shared" si="750"/>
        <v>0</v>
      </c>
      <c r="EX117" s="59">
        <f t="shared" si="751"/>
        <v>0</v>
      </c>
      <c r="EY117" s="55">
        <f t="shared" si="752"/>
        <v>0</v>
      </c>
      <c r="EZ117" s="59">
        <f t="shared" si="753"/>
        <v>0</v>
      </c>
      <c r="FA117" s="57">
        <f t="shared" si="754"/>
        <v>0</v>
      </c>
      <c r="FB117" s="59">
        <f t="shared" si="755"/>
        <v>0</v>
      </c>
      <c r="FC117" s="55">
        <f t="shared" si="756"/>
        <v>0</v>
      </c>
      <c r="FD117" s="59">
        <f t="shared" si="757"/>
        <v>0</v>
      </c>
      <c r="FE117" s="57">
        <f t="shared" si="758"/>
        <v>0</v>
      </c>
      <c r="FF117" s="59">
        <f t="shared" si="759"/>
        <v>0</v>
      </c>
      <c r="FG117" s="60">
        <f t="shared" si="760"/>
        <v>0</v>
      </c>
      <c r="FH117" s="59">
        <f t="shared" si="761"/>
        <v>0</v>
      </c>
      <c r="FI117" s="57">
        <f t="shared" si="762"/>
        <v>0</v>
      </c>
      <c r="FJ117" s="59">
        <f t="shared" si="763"/>
        <v>0</v>
      </c>
      <c r="FK117" s="55">
        <f t="shared" si="764"/>
        <v>0</v>
      </c>
      <c r="FL117" s="59">
        <f t="shared" si="765"/>
        <v>0</v>
      </c>
      <c r="FM117" s="60">
        <f t="shared" si="766"/>
        <v>0</v>
      </c>
      <c r="FN117" s="59">
        <f t="shared" si="767"/>
        <v>0</v>
      </c>
      <c r="FO117" s="60">
        <f t="shared" si="768"/>
        <v>0</v>
      </c>
      <c r="FP117" s="59">
        <f t="shared" si="769"/>
        <v>0</v>
      </c>
      <c r="FQ117" s="60">
        <f t="shared" si="770"/>
        <v>0</v>
      </c>
      <c r="FR117" s="59">
        <f t="shared" si="771"/>
        <v>0</v>
      </c>
      <c r="FS117" s="55">
        <f t="shared" si="772"/>
        <v>0</v>
      </c>
      <c r="FT117" s="59">
        <f t="shared" si="773"/>
        <v>0</v>
      </c>
      <c r="FU117" s="60">
        <f t="shared" si="774"/>
        <v>0</v>
      </c>
      <c r="FV117" s="59">
        <f t="shared" si="775"/>
        <v>0</v>
      </c>
      <c r="FW117" s="60">
        <f t="shared" si="776"/>
        <v>0</v>
      </c>
      <c r="FX117" s="59">
        <f t="shared" si="777"/>
        <v>0</v>
      </c>
      <c r="FY117" s="60">
        <f t="shared" si="778"/>
        <v>0</v>
      </c>
      <c r="FZ117" s="59">
        <f t="shared" si="779"/>
        <v>0</v>
      </c>
      <c r="GA117" s="60">
        <f t="shared" si="780"/>
        <v>0</v>
      </c>
      <c r="GB117" s="59">
        <f t="shared" si="781"/>
        <v>0</v>
      </c>
      <c r="GC117" s="55">
        <f t="shared" si="782"/>
        <v>0</v>
      </c>
      <c r="GD117" s="59">
        <f t="shared" si="783"/>
        <v>0</v>
      </c>
      <c r="GE117" s="60">
        <f t="shared" si="784"/>
        <v>0</v>
      </c>
      <c r="GF117" s="59">
        <f t="shared" si="785"/>
        <v>0</v>
      </c>
      <c r="GG117" s="60">
        <f t="shared" si="786"/>
        <v>0</v>
      </c>
      <c r="GH117" s="59">
        <f t="shared" si="787"/>
        <v>0</v>
      </c>
      <c r="GI117" s="55">
        <f t="shared" si="788"/>
        <v>0</v>
      </c>
      <c r="GJ117" s="59">
        <f t="shared" si="789"/>
        <v>0</v>
      </c>
      <c r="GK117" s="55"/>
      <c r="GL117" s="55"/>
      <c r="GM117" s="55">
        <v>1</v>
      </c>
      <c r="GN117" s="55">
        <v>0.97</v>
      </c>
      <c r="GO117" s="55">
        <v>0.95</v>
      </c>
      <c r="GP117" s="55">
        <v>0.93</v>
      </c>
      <c r="GQ117" s="55">
        <f t="shared" si="655"/>
        <v>0.91</v>
      </c>
      <c r="GR117" s="55">
        <f t="shared" si="655"/>
        <v>0.89</v>
      </c>
      <c r="GS117" s="55">
        <f t="shared" si="655"/>
        <v>0.87</v>
      </c>
      <c r="GT117" s="55">
        <f t="shared" si="655"/>
        <v>0.85</v>
      </c>
      <c r="GU117" s="55">
        <f t="shared" si="655"/>
        <v>0.83</v>
      </c>
      <c r="GV117" s="55">
        <f t="shared" si="655"/>
        <v>0.80999999999999994</v>
      </c>
      <c r="GW117" s="55">
        <f t="shared" si="655"/>
        <v>0.78999999999999992</v>
      </c>
      <c r="GX117" s="55">
        <f t="shared" si="655"/>
        <v>0.76999999999999991</v>
      </c>
      <c r="GY117" s="55">
        <f t="shared" si="655"/>
        <v>0.74999999999999989</v>
      </c>
      <c r="GZ117" s="55">
        <f t="shared" si="655"/>
        <v>0.72999999999999987</v>
      </c>
      <c r="HA117" s="55">
        <f t="shared" si="655"/>
        <v>0.70999999999999985</v>
      </c>
      <c r="HB117" s="55">
        <f t="shared" si="655"/>
        <v>0.68999999999999984</v>
      </c>
      <c r="HC117" s="55">
        <f t="shared" si="655"/>
        <v>0.66999999999999982</v>
      </c>
      <c r="HD117" s="55">
        <f t="shared" si="655"/>
        <v>0.6499999999999998</v>
      </c>
      <c r="HE117" s="55">
        <f t="shared" si="655"/>
        <v>0.62999999999999978</v>
      </c>
      <c r="HF117" s="55">
        <f t="shared" si="655"/>
        <v>0.60999999999999976</v>
      </c>
      <c r="HG117" s="55">
        <f t="shared" si="655"/>
        <v>0.58999999999999975</v>
      </c>
      <c r="HH117" s="55">
        <f t="shared" si="655"/>
        <v>0.56999999999999973</v>
      </c>
    </row>
    <row r="118" spans="1:216" x14ac:dyDescent="0.3">
      <c r="A118" s="2">
        <v>3</v>
      </c>
      <c r="C118" s="38" t="s">
        <v>153</v>
      </c>
      <c r="D118" s="42">
        <v>0</v>
      </c>
      <c r="E118" s="71">
        <f t="shared" si="660"/>
        <v>0</v>
      </c>
      <c r="H118" s="55">
        <f t="shared" si="505"/>
        <v>0</v>
      </c>
      <c r="I118" s="55">
        <f t="shared" si="506"/>
        <v>0</v>
      </c>
      <c r="J118" s="59">
        <f t="shared" si="507"/>
        <v>0</v>
      </c>
      <c r="K118" s="55">
        <f t="shared" si="661"/>
        <v>0</v>
      </c>
      <c r="L118" s="59">
        <f t="shared" si="662"/>
        <v>0</v>
      </c>
      <c r="M118" s="55">
        <f t="shared" si="663"/>
        <v>0</v>
      </c>
      <c r="N118" s="59">
        <f t="shared" si="664"/>
        <v>0</v>
      </c>
      <c r="O118" s="55">
        <f t="shared" si="665"/>
        <v>0</v>
      </c>
      <c r="P118" s="59">
        <f t="shared" si="666"/>
        <v>0</v>
      </c>
      <c r="Q118" s="57">
        <f t="shared" si="667"/>
        <v>0</v>
      </c>
      <c r="R118" s="59">
        <f t="shared" si="668"/>
        <v>0</v>
      </c>
      <c r="S118" s="55">
        <f t="shared" si="669"/>
        <v>0</v>
      </c>
      <c r="T118" s="59">
        <f t="shared" si="670"/>
        <v>0</v>
      </c>
      <c r="U118" s="57">
        <f t="shared" si="671"/>
        <v>0</v>
      </c>
      <c r="V118" s="59">
        <f t="shared" si="672"/>
        <v>0</v>
      </c>
      <c r="W118" s="60">
        <f t="shared" si="673"/>
        <v>0</v>
      </c>
      <c r="X118" s="59">
        <f t="shared" si="674"/>
        <v>0</v>
      </c>
      <c r="Y118" s="57">
        <f t="shared" si="675"/>
        <v>0</v>
      </c>
      <c r="Z118" s="59">
        <f t="shared" si="676"/>
        <v>0</v>
      </c>
      <c r="AA118" s="55">
        <f t="shared" si="677"/>
        <v>0</v>
      </c>
      <c r="AB118" s="59">
        <f t="shared" si="678"/>
        <v>0</v>
      </c>
      <c r="AC118" s="60">
        <f t="shared" si="679"/>
        <v>0</v>
      </c>
      <c r="AD118" s="59">
        <f t="shared" si="680"/>
        <v>0</v>
      </c>
      <c r="AE118" s="60">
        <f t="shared" si="681"/>
        <v>0</v>
      </c>
      <c r="AF118" s="59">
        <f t="shared" si="682"/>
        <v>0</v>
      </c>
      <c r="AG118" s="60">
        <f t="shared" si="683"/>
        <v>0</v>
      </c>
      <c r="AH118" s="59">
        <f t="shared" si="684"/>
        <v>0</v>
      </c>
      <c r="AI118" s="55">
        <f t="shared" si="685"/>
        <v>0</v>
      </c>
      <c r="AJ118" s="59">
        <f t="shared" si="686"/>
        <v>0</v>
      </c>
      <c r="AK118" s="60">
        <f t="shared" si="687"/>
        <v>0</v>
      </c>
      <c r="AL118" s="59">
        <f t="shared" si="688"/>
        <v>0</v>
      </c>
      <c r="AM118" s="60">
        <f t="shared" si="689"/>
        <v>0</v>
      </c>
      <c r="AN118" s="59">
        <f t="shared" si="690"/>
        <v>0</v>
      </c>
      <c r="AO118" s="60">
        <f t="shared" si="691"/>
        <v>0</v>
      </c>
      <c r="AP118" s="59">
        <f t="shared" si="692"/>
        <v>0</v>
      </c>
      <c r="AQ118" s="60">
        <f t="shared" si="693"/>
        <v>0</v>
      </c>
      <c r="AR118" s="59">
        <f t="shared" si="694"/>
        <v>0</v>
      </c>
      <c r="AS118" s="55">
        <f t="shared" si="695"/>
        <v>0</v>
      </c>
      <c r="AT118" s="59">
        <f t="shared" si="696"/>
        <v>0</v>
      </c>
      <c r="AU118" s="60">
        <f t="shared" si="697"/>
        <v>0</v>
      </c>
      <c r="AV118" s="59">
        <f t="shared" si="698"/>
        <v>0</v>
      </c>
      <c r="AW118" s="60">
        <f t="shared" si="699"/>
        <v>0</v>
      </c>
      <c r="AX118" s="59">
        <f t="shared" si="700"/>
        <v>0</v>
      </c>
      <c r="AY118" s="55">
        <f t="shared" si="701"/>
        <v>0</v>
      </c>
      <c r="AZ118" s="59">
        <f t="shared" si="702"/>
        <v>0</v>
      </c>
      <c r="BC118" s="55">
        <v>1</v>
      </c>
      <c r="BD118" s="55">
        <v>0.97</v>
      </c>
      <c r="BE118" s="55">
        <v>0.95</v>
      </c>
      <c r="BF118" s="55">
        <v>0.93</v>
      </c>
      <c r="BG118" s="55">
        <f t="shared" si="703"/>
        <v>0.91</v>
      </c>
      <c r="BH118" s="55">
        <f t="shared" si="703"/>
        <v>0.89</v>
      </c>
      <c r="BI118" s="55">
        <f t="shared" si="703"/>
        <v>0.87</v>
      </c>
      <c r="BJ118" s="55">
        <f t="shared" si="703"/>
        <v>0.85</v>
      </c>
      <c r="BK118" s="55">
        <f t="shared" si="703"/>
        <v>0.83</v>
      </c>
      <c r="BL118" s="55">
        <f t="shared" si="703"/>
        <v>0.80999999999999994</v>
      </c>
      <c r="BM118" s="55">
        <f t="shared" si="703"/>
        <v>0.78999999999999992</v>
      </c>
      <c r="BN118" s="55">
        <f t="shared" si="703"/>
        <v>0.76999999999999991</v>
      </c>
      <c r="BO118" s="55">
        <f t="shared" si="703"/>
        <v>0.74999999999999989</v>
      </c>
      <c r="BP118" s="55">
        <f t="shared" si="703"/>
        <v>0.72999999999999987</v>
      </c>
      <c r="BQ118" s="55">
        <f t="shared" si="703"/>
        <v>0.70999999999999985</v>
      </c>
      <c r="BR118" s="55">
        <f t="shared" si="703"/>
        <v>0.68999999999999984</v>
      </c>
      <c r="BS118" s="55">
        <f t="shared" si="703"/>
        <v>0.66999999999999982</v>
      </c>
      <c r="BT118" s="55">
        <f t="shared" si="703"/>
        <v>0.6499999999999998</v>
      </c>
      <c r="BU118" s="55">
        <f t="shared" si="703"/>
        <v>0.62999999999999978</v>
      </c>
      <c r="BV118" s="55">
        <f t="shared" si="703"/>
        <v>0.60999999999999976</v>
      </c>
      <c r="BW118" s="55">
        <f t="shared" si="703"/>
        <v>0.58999999999999975</v>
      </c>
      <c r="BX118" s="55">
        <f t="shared" si="703"/>
        <v>0.56999999999999973</v>
      </c>
      <c r="BZ118" s="55">
        <f t="shared" si="508"/>
        <v>0</v>
      </c>
      <c r="CA118" s="55">
        <f t="shared" si="509"/>
        <v>0</v>
      </c>
      <c r="CB118" s="59">
        <f t="shared" si="704"/>
        <v>0</v>
      </c>
      <c r="CC118" s="55">
        <f t="shared" si="705"/>
        <v>0</v>
      </c>
      <c r="CD118" s="59">
        <f t="shared" si="706"/>
        <v>0</v>
      </c>
      <c r="CE118" s="55">
        <f t="shared" si="707"/>
        <v>0</v>
      </c>
      <c r="CF118" s="59">
        <f t="shared" si="708"/>
        <v>0</v>
      </c>
      <c r="CG118" s="55">
        <f t="shared" si="709"/>
        <v>0</v>
      </c>
      <c r="CH118" s="59">
        <f t="shared" si="710"/>
        <v>0</v>
      </c>
      <c r="CI118" s="57">
        <f t="shared" si="711"/>
        <v>0</v>
      </c>
      <c r="CJ118" s="59">
        <f t="shared" si="712"/>
        <v>0</v>
      </c>
      <c r="CK118" s="55">
        <f t="shared" si="713"/>
        <v>0</v>
      </c>
      <c r="CL118" s="59">
        <f t="shared" si="714"/>
        <v>0</v>
      </c>
      <c r="CM118" s="57">
        <f t="shared" si="715"/>
        <v>0</v>
      </c>
      <c r="CN118" s="59">
        <f t="shared" si="716"/>
        <v>0</v>
      </c>
      <c r="CO118" s="60">
        <f t="shared" si="717"/>
        <v>0</v>
      </c>
      <c r="CP118" s="59">
        <f t="shared" si="718"/>
        <v>0</v>
      </c>
      <c r="CQ118" s="57">
        <f t="shared" si="719"/>
        <v>0</v>
      </c>
      <c r="CR118" s="59">
        <f t="shared" si="720"/>
        <v>0</v>
      </c>
      <c r="CS118" s="55">
        <f t="shared" si="721"/>
        <v>0</v>
      </c>
      <c r="CT118" s="59">
        <f t="shared" si="722"/>
        <v>0</v>
      </c>
      <c r="CU118" s="60">
        <f t="shared" si="723"/>
        <v>0</v>
      </c>
      <c r="CV118" s="59">
        <f t="shared" si="724"/>
        <v>0</v>
      </c>
      <c r="CW118" s="60">
        <f t="shared" si="725"/>
        <v>0</v>
      </c>
      <c r="CX118" s="59">
        <f t="shared" si="726"/>
        <v>0</v>
      </c>
      <c r="CY118" s="60">
        <f t="shared" si="727"/>
        <v>0</v>
      </c>
      <c r="CZ118" s="59">
        <f t="shared" si="728"/>
        <v>0</v>
      </c>
      <c r="DA118" s="55">
        <f t="shared" si="729"/>
        <v>0</v>
      </c>
      <c r="DB118" s="59">
        <f t="shared" si="730"/>
        <v>0</v>
      </c>
      <c r="DC118" s="60">
        <f t="shared" si="731"/>
        <v>0</v>
      </c>
      <c r="DD118" s="59">
        <f t="shared" si="732"/>
        <v>0</v>
      </c>
      <c r="DE118" s="60">
        <f t="shared" si="733"/>
        <v>0</v>
      </c>
      <c r="DF118" s="59">
        <f t="shared" si="734"/>
        <v>0</v>
      </c>
      <c r="DG118" s="60">
        <f t="shared" si="735"/>
        <v>0</v>
      </c>
      <c r="DH118" s="59">
        <f t="shared" si="736"/>
        <v>0</v>
      </c>
      <c r="DI118" s="60">
        <f t="shared" si="737"/>
        <v>0</v>
      </c>
      <c r="DJ118" s="59">
        <f t="shared" si="738"/>
        <v>0</v>
      </c>
      <c r="DK118" s="55">
        <f t="shared" si="739"/>
        <v>0</v>
      </c>
      <c r="DL118" s="59">
        <f t="shared" si="740"/>
        <v>0</v>
      </c>
      <c r="DM118" s="60">
        <f t="shared" si="741"/>
        <v>0</v>
      </c>
      <c r="DN118" s="59">
        <f t="shared" si="742"/>
        <v>0</v>
      </c>
      <c r="DO118" s="60">
        <f t="shared" si="743"/>
        <v>0</v>
      </c>
      <c r="DP118" s="59">
        <f t="shared" si="744"/>
        <v>0</v>
      </c>
      <c r="DQ118" s="55">
        <f t="shared" si="745"/>
        <v>0</v>
      </c>
      <c r="DR118" s="59">
        <f t="shared" si="746"/>
        <v>0</v>
      </c>
      <c r="DU118" s="55">
        <v>1</v>
      </c>
      <c r="DV118" s="55">
        <v>0.97</v>
      </c>
      <c r="DW118" s="55">
        <v>0.95</v>
      </c>
      <c r="DX118" s="55">
        <v>0.93</v>
      </c>
      <c r="DY118" s="55">
        <f t="shared" si="654"/>
        <v>0.91</v>
      </c>
      <c r="DZ118" s="55">
        <f t="shared" si="654"/>
        <v>0.89</v>
      </c>
      <c r="EA118" s="55">
        <f t="shared" si="654"/>
        <v>0.87</v>
      </c>
      <c r="EB118" s="55">
        <f t="shared" si="654"/>
        <v>0.85</v>
      </c>
      <c r="EC118" s="55">
        <f t="shared" si="654"/>
        <v>0.83</v>
      </c>
      <c r="ED118" s="55">
        <f t="shared" si="654"/>
        <v>0.80999999999999994</v>
      </c>
      <c r="EE118" s="55">
        <f t="shared" si="654"/>
        <v>0.78999999999999992</v>
      </c>
      <c r="EF118" s="55">
        <f t="shared" si="654"/>
        <v>0.76999999999999991</v>
      </c>
      <c r="EG118" s="55">
        <f t="shared" si="654"/>
        <v>0.74999999999999989</v>
      </c>
      <c r="EH118" s="55">
        <f t="shared" si="654"/>
        <v>0.72999999999999987</v>
      </c>
      <c r="EI118" s="55">
        <f t="shared" si="654"/>
        <v>0.70999999999999985</v>
      </c>
      <c r="EJ118" s="55">
        <f t="shared" si="654"/>
        <v>0.68999999999999984</v>
      </c>
      <c r="EK118" s="55">
        <f t="shared" si="654"/>
        <v>0.66999999999999982</v>
      </c>
      <c r="EL118" s="55">
        <f t="shared" si="654"/>
        <v>0.6499999999999998</v>
      </c>
      <c r="EM118" s="55">
        <f t="shared" si="654"/>
        <v>0.62999999999999978</v>
      </c>
      <c r="EN118" s="55">
        <f t="shared" si="654"/>
        <v>0.60999999999999976</v>
      </c>
      <c r="EO118" s="55">
        <f t="shared" si="654"/>
        <v>0.58999999999999975</v>
      </c>
      <c r="EP118" s="55">
        <f t="shared" si="654"/>
        <v>0.56999999999999973</v>
      </c>
      <c r="ER118" s="55">
        <f t="shared" si="648"/>
        <v>0</v>
      </c>
      <c r="ES118" s="55">
        <f t="shared" si="510"/>
        <v>0</v>
      </c>
      <c r="ET118" s="59">
        <f t="shared" si="747"/>
        <v>0</v>
      </c>
      <c r="EU118" s="55">
        <f t="shared" si="748"/>
        <v>0</v>
      </c>
      <c r="EV118" s="59">
        <f t="shared" si="749"/>
        <v>0</v>
      </c>
      <c r="EW118" s="55">
        <f t="shared" si="750"/>
        <v>0</v>
      </c>
      <c r="EX118" s="59">
        <f t="shared" si="751"/>
        <v>0</v>
      </c>
      <c r="EY118" s="55">
        <f t="shared" si="752"/>
        <v>0</v>
      </c>
      <c r="EZ118" s="59">
        <f t="shared" si="753"/>
        <v>0</v>
      </c>
      <c r="FA118" s="57">
        <f t="shared" si="754"/>
        <v>0</v>
      </c>
      <c r="FB118" s="59">
        <f t="shared" si="755"/>
        <v>0</v>
      </c>
      <c r="FC118" s="55">
        <f t="shared" si="756"/>
        <v>0</v>
      </c>
      <c r="FD118" s="59">
        <f t="shared" si="757"/>
        <v>0</v>
      </c>
      <c r="FE118" s="57">
        <f t="shared" si="758"/>
        <v>0</v>
      </c>
      <c r="FF118" s="59">
        <f t="shared" si="759"/>
        <v>0</v>
      </c>
      <c r="FG118" s="60">
        <f t="shared" si="760"/>
        <v>0</v>
      </c>
      <c r="FH118" s="59">
        <f t="shared" si="761"/>
        <v>0</v>
      </c>
      <c r="FI118" s="57">
        <f t="shared" si="762"/>
        <v>0</v>
      </c>
      <c r="FJ118" s="59">
        <f t="shared" si="763"/>
        <v>0</v>
      </c>
      <c r="FK118" s="55">
        <f t="shared" si="764"/>
        <v>0</v>
      </c>
      <c r="FL118" s="59">
        <f t="shared" si="765"/>
        <v>0</v>
      </c>
      <c r="FM118" s="60">
        <f t="shared" si="766"/>
        <v>0</v>
      </c>
      <c r="FN118" s="59">
        <f t="shared" si="767"/>
        <v>0</v>
      </c>
      <c r="FO118" s="60">
        <f t="shared" si="768"/>
        <v>0</v>
      </c>
      <c r="FP118" s="59">
        <f t="shared" si="769"/>
        <v>0</v>
      </c>
      <c r="FQ118" s="60">
        <f t="shared" si="770"/>
        <v>0</v>
      </c>
      <c r="FR118" s="59">
        <f t="shared" si="771"/>
        <v>0</v>
      </c>
      <c r="FS118" s="55">
        <f t="shared" si="772"/>
        <v>0</v>
      </c>
      <c r="FT118" s="59">
        <f t="shared" si="773"/>
        <v>0</v>
      </c>
      <c r="FU118" s="60">
        <f t="shared" si="774"/>
        <v>0</v>
      </c>
      <c r="FV118" s="59">
        <f t="shared" si="775"/>
        <v>0</v>
      </c>
      <c r="FW118" s="60">
        <f t="shared" si="776"/>
        <v>0</v>
      </c>
      <c r="FX118" s="59">
        <f t="shared" si="777"/>
        <v>0</v>
      </c>
      <c r="FY118" s="60">
        <f t="shared" si="778"/>
        <v>0</v>
      </c>
      <c r="FZ118" s="59">
        <f t="shared" si="779"/>
        <v>0</v>
      </c>
      <c r="GA118" s="60">
        <f t="shared" si="780"/>
        <v>0</v>
      </c>
      <c r="GB118" s="59">
        <f t="shared" si="781"/>
        <v>0</v>
      </c>
      <c r="GC118" s="55">
        <f t="shared" si="782"/>
        <v>0</v>
      </c>
      <c r="GD118" s="59">
        <f t="shared" si="783"/>
        <v>0</v>
      </c>
      <c r="GE118" s="60">
        <f t="shared" si="784"/>
        <v>0</v>
      </c>
      <c r="GF118" s="59">
        <f t="shared" si="785"/>
        <v>0</v>
      </c>
      <c r="GG118" s="60">
        <f t="shared" si="786"/>
        <v>0</v>
      </c>
      <c r="GH118" s="59">
        <f t="shared" si="787"/>
        <v>0</v>
      </c>
      <c r="GI118" s="55">
        <f t="shared" si="788"/>
        <v>0</v>
      </c>
      <c r="GJ118" s="59">
        <f t="shared" si="789"/>
        <v>0</v>
      </c>
      <c r="GK118" s="55"/>
      <c r="GL118" s="55"/>
      <c r="GM118" s="55">
        <v>1</v>
      </c>
      <c r="GN118" s="55">
        <v>0.97</v>
      </c>
      <c r="GO118" s="55">
        <v>0.95</v>
      </c>
      <c r="GP118" s="55">
        <v>0.93</v>
      </c>
      <c r="GQ118" s="55">
        <f t="shared" si="655"/>
        <v>0.91</v>
      </c>
      <c r="GR118" s="55">
        <f t="shared" si="655"/>
        <v>0.89</v>
      </c>
      <c r="GS118" s="55">
        <f t="shared" si="655"/>
        <v>0.87</v>
      </c>
      <c r="GT118" s="55">
        <f t="shared" si="655"/>
        <v>0.85</v>
      </c>
      <c r="GU118" s="55">
        <f t="shared" si="655"/>
        <v>0.83</v>
      </c>
      <c r="GV118" s="55">
        <f t="shared" si="655"/>
        <v>0.80999999999999994</v>
      </c>
      <c r="GW118" s="55">
        <f t="shared" si="655"/>
        <v>0.78999999999999992</v>
      </c>
      <c r="GX118" s="55">
        <f t="shared" si="655"/>
        <v>0.76999999999999991</v>
      </c>
      <c r="GY118" s="55">
        <f t="shared" si="655"/>
        <v>0.74999999999999989</v>
      </c>
      <c r="GZ118" s="55">
        <f t="shared" si="655"/>
        <v>0.72999999999999987</v>
      </c>
      <c r="HA118" s="55">
        <f t="shared" si="655"/>
        <v>0.70999999999999985</v>
      </c>
      <c r="HB118" s="55">
        <f t="shared" si="655"/>
        <v>0.68999999999999984</v>
      </c>
      <c r="HC118" s="55">
        <f t="shared" si="655"/>
        <v>0.66999999999999982</v>
      </c>
      <c r="HD118" s="55">
        <f t="shared" si="655"/>
        <v>0.6499999999999998</v>
      </c>
      <c r="HE118" s="55">
        <f t="shared" si="655"/>
        <v>0.62999999999999978</v>
      </c>
      <c r="HF118" s="55">
        <f t="shared" si="655"/>
        <v>0.60999999999999976</v>
      </c>
      <c r="HG118" s="55">
        <f t="shared" si="655"/>
        <v>0.58999999999999975</v>
      </c>
      <c r="HH118" s="55">
        <f t="shared" si="655"/>
        <v>0.56999999999999973</v>
      </c>
    </row>
    <row r="119" spans="1:216" x14ac:dyDescent="0.3">
      <c r="A119" s="2">
        <v>4</v>
      </c>
      <c r="C119" s="38" t="s">
        <v>139</v>
      </c>
      <c r="D119" s="42">
        <f>TRUNC(4551.43584109685,-1)</f>
        <v>4550</v>
      </c>
      <c r="E119" s="71">
        <f t="shared" si="660"/>
        <v>15040</v>
      </c>
      <c r="H119" s="55">
        <f t="shared" si="505"/>
        <v>16544</v>
      </c>
      <c r="I119" s="55">
        <f t="shared" si="506"/>
        <v>16544</v>
      </c>
      <c r="J119" s="59">
        <f t="shared" si="507"/>
        <v>54691.155200000001</v>
      </c>
      <c r="K119" s="55">
        <f t="shared" si="661"/>
        <v>16047.68</v>
      </c>
      <c r="L119" s="59">
        <f t="shared" si="662"/>
        <v>53050.420544000001</v>
      </c>
      <c r="M119" s="55">
        <f t="shared" si="663"/>
        <v>15716.8</v>
      </c>
      <c r="N119" s="59">
        <f t="shared" si="664"/>
        <v>51956.597439999998</v>
      </c>
      <c r="O119" s="55">
        <f t="shared" si="665"/>
        <v>15385.92</v>
      </c>
      <c r="P119" s="59">
        <f t="shared" si="666"/>
        <v>50862.774336000002</v>
      </c>
      <c r="Q119" s="57">
        <f t="shared" si="667"/>
        <v>15055.04</v>
      </c>
      <c r="R119" s="59">
        <f t="shared" si="668"/>
        <v>49768.951232000007</v>
      </c>
      <c r="S119" s="55">
        <f t="shared" si="669"/>
        <v>14724.16</v>
      </c>
      <c r="T119" s="59">
        <f t="shared" si="670"/>
        <v>48675.128128000004</v>
      </c>
      <c r="U119" s="57">
        <f t="shared" si="671"/>
        <v>14393.28</v>
      </c>
      <c r="V119" s="59">
        <f t="shared" si="672"/>
        <v>47581.305024000001</v>
      </c>
      <c r="W119" s="60">
        <f t="shared" si="673"/>
        <v>14062.4</v>
      </c>
      <c r="X119" s="59">
        <f t="shared" si="674"/>
        <v>46487.481919999998</v>
      </c>
      <c r="Y119" s="57">
        <f t="shared" si="675"/>
        <v>13731.519999999999</v>
      </c>
      <c r="Z119" s="59">
        <f t="shared" si="676"/>
        <v>45393.658815999996</v>
      </c>
      <c r="AA119" s="55">
        <f t="shared" si="677"/>
        <v>13400.64</v>
      </c>
      <c r="AB119" s="59">
        <f t="shared" si="678"/>
        <v>44299.835712</v>
      </c>
      <c r="AC119" s="60">
        <f t="shared" si="679"/>
        <v>13069.759999999998</v>
      </c>
      <c r="AD119" s="59">
        <f t="shared" si="680"/>
        <v>43206.012607999997</v>
      </c>
      <c r="AE119" s="60">
        <f t="shared" si="681"/>
        <v>12738.88</v>
      </c>
      <c r="AF119" s="59">
        <f t="shared" si="682"/>
        <v>42112.189504000002</v>
      </c>
      <c r="AG119" s="60">
        <f t="shared" si="683"/>
        <v>12407.999999999998</v>
      </c>
      <c r="AH119" s="59">
        <f t="shared" si="684"/>
        <v>41018.366399999992</v>
      </c>
      <c r="AI119" s="55">
        <f t="shared" si="685"/>
        <v>12077.119999999997</v>
      </c>
      <c r="AJ119" s="59">
        <f t="shared" si="686"/>
        <v>39924.543295999989</v>
      </c>
      <c r="AK119" s="60">
        <f t="shared" si="687"/>
        <v>11746.239999999998</v>
      </c>
      <c r="AL119" s="59">
        <f t="shared" si="688"/>
        <v>38830.720191999993</v>
      </c>
      <c r="AM119" s="60">
        <f t="shared" si="689"/>
        <v>11415.359999999997</v>
      </c>
      <c r="AN119" s="59">
        <f t="shared" si="690"/>
        <v>37736.897087999991</v>
      </c>
      <c r="AO119" s="60">
        <f t="shared" si="691"/>
        <v>11084.479999999998</v>
      </c>
      <c r="AP119" s="59">
        <f t="shared" si="692"/>
        <v>36643.073983999995</v>
      </c>
      <c r="AQ119" s="60">
        <f t="shared" si="693"/>
        <v>10753.599999999997</v>
      </c>
      <c r="AR119" s="59">
        <f t="shared" si="694"/>
        <v>35549.250879999992</v>
      </c>
      <c r="AS119" s="55">
        <f t="shared" si="695"/>
        <v>10422.719999999996</v>
      </c>
      <c r="AT119" s="59">
        <f t="shared" si="696"/>
        <v>34455.42777599999</v>
      </c>
      <c r="AU119" s="60">
        <f t="shared" si="697"/>
        <v>10091.839999999997</v>
      </c>
      <c r="AV119" s="59">
        <f t="shared" si="698"/>
        <v>33361.604671999987</v>
      </c>
      <c r="AW119" s="60">
        <f t="shared" si="699"/>
        <v>9760.9599999999955</v>
      </c>
      <c r="AX119" s="59">
        <f t="shared" si="700"/>
        <v>32267.781567999988</v>
      </c>
      <c r="AY119" s="55">
        <f t="shared" si="701"/>
        <v>9430.0799999999963</v>
      </c>
      <c r="AZ119" s="59">
        <f t="shared" si="702"/>
        <v>31173.958463999988</v>
      </c>
      <c r="BC119" s="55">
        <v>1</v>
      </c>
      <c r="BD119" s="55">
        <v>0.97</v>
      </c>
      <c r="BE119" s="55">
        <v>0.95</v>
      </c>
      <c r="BF119" s="55">
        <v>0.93</v>
      </c>
      <c r="BG119" s="55">
        <f t="shared" si="703"/>
        <v>0.91</v>
      </c>
      <c r="BH119" s="55">
        <f t="shared" si="703"/>
        <v>0.89</v>
      </c>
      <c r="BI119" s="55">
        <f t="shared" si="703"/>
        <v>0.87</v>
      </c>
      <c r="BJ119" s="55">
        <f t="shared" si="703"/>
        <v>0.85</v>
      </c>
      <c r="BK119" s="55">
        <f t="shared" si="703"/>
        <v>0.83</v>
      </c>
      <c r="BL119" s="55">
        <f t="shared" si="703"/>
        <v>0.80999999999999994</v>
      </c>
      <c r="BM119" s="55">
        <f t="shared" si="703"/>
        <v>0.78999999999999992</v>
      </c>
      <c r="BN119" s="55">
        <f t="shared" si="703"/>
        <v>0.76999999999999991</v>
      </c>
      <c r="BO119" s="55">
        <f t="shared" si="703"/>
        <v>0.74999999999999989</v>
      </c>
      <c r="BP119" s="55">
        <f t="shared" si="703"/>
        <v>0.72999999999999987</v>
      </c>
      <c r="BQ119" s="55">
        <f t="shared" si="703"/>
        <v>0.70999999999999985</v>
      </c>
      <c r="BR119" s="55">
        <f t="shared" si="703"/>
        <v>0.68999999999999984</v>
      </c>
      <c r="BS119" s="55">
        <f t="shared" si="703"/>
        <v>0.66999999999999982</v>
      </c>
      <c r="BT119" s="55">
        <f t="shared" si="703"/>
        <v>0.6499999999999998</v>
      </c>
      <c r="BU119" s="55">
        <f t="shared" si="703"/>
        <v>0.62999999999999978</v>
      </c>
      <c r="BV119" s="55">
        <f t="shared" si="703"/>
        <v>0.60999999999999976</v>
      </c>
      <c r="BW119" s="55">
        <f t="shared" si="703"/>
        <v>0.58999999999999975</v>
      </c>
      <c r="BX119" s="55">
        <f t="shared" si="703"/>
        <v>0.56999999999999973</v>
      </c>
      <c r="BZ119" s="55">
        <f t="shared" si="508"/>
        <v>15055.04</v>
      </c>
      <c r="CA119" s="55">
        <f t="shared" si="509"/>
        <v>15055.04</v>
      </c>
      <c r="CB119" s="59">
        <f t="shared" si="704"/>
        <v>49768.951232000007</v>
      </c>
      <c r="CC119" s="55">
        <f t="shared" si="705"/>
        <v>14603.388800000001</v>
      </c>
      <c r="CD119" s="59">
        <f t="shared" si="706"/>
        <v>48275.882695040003</v>
      </c>
      <c r="CE119" s="55">
        <f t="shared" si="707"/>
        <v>14302.288</v>
      </c>
      <c r="CF119" s="59">
        <f t="shared" si="708"/>
        <v>47280.503670400001</v>
      </c>
      <c r="CG119" s="55">
        <f t="shared" si="709"/>
        <v>14001.187200000002</v>
      </c>
      <c r="CH119" s="59">
        <f t="shared" si="710"/>
        <v>46285.124645760006</v>
      </c>
      <c r="CI119" s="57">
        <f t="shared" si="711"/>
        <v>13700.086400000002</v>
      </c>
      <c r="CJ119" s="59">
        <f t="shared" si="712"/>
        <v>45289.745621120004</v>
      </c>
      <c r="CK119" s="55">
        <f t="shared" si="713"/>
        <v>13398.985600000002</v>
      </c>
      <c r="CL119" s="59">
        <f t="shared" si="714"/>
        <v>44294.366596480009</v>
      </c>
      <c r="CM119" s="57">
        <f t="shared" si="715"/>
        <v>13097.8848</v>
      </c>
      <c r="CN119" s="59">
        <f t="shared" si="716"/>
        <v>43298.98757184</v>
      </c>
      <c r="CO119" s="60">
        <f t="shared" si="717"/>
        <v>12796.784</v>
      </c>
      <c r="CP119" s="59">
        <f t="shared" si="718"/>
        <v>42303.608547199998</v>
      </c>
      <c r="CQ119" s="57">
        <f t="shared" si="719"/>
        <v>12495.683199999999</v>
      </c>
      <c r="CR119" s="59">
        <f t="shared" si="720"/>
        <v>41308.229522560003</v>
      </c>
      <c r="CS119" s="55">
        <f t="shared" si="721"/>
        <v>12194.582399999999</v>
      </c>
      <c r="CT119" s="59">
        <f t="shared" si="722"/>
        <v>40312.850497920001</v>
      </c>
      <c r="CU119" s="60">
        <f t="shared" si="723"/>
        <v>11893.481599999999</v>
      </c>
      <c r="CV119" s="59">
        <f t="shared" si="724"/>
        <v>39317.471473279998</v>
      </c>
      <c r="CW119" s="60">
        <f t="shared" si="725"/>
        <v>11592.380799999999</v>
      </c>
      <c r="CX119" s="59">
        <f t="shared" si="726"/>
        <v>38322.092448639996</v>
      </c>
      <c r="CY119" s="60">
        <f t="shared" si="727"/>
        <v>11291.279999999999</v>
      </c>
      <c r="CZ119" s="59">
        <f t="shared" si="728"/>
        <v>37326.713423999994</v>
      </c>
      <c r="DA119" s="55">
        <f t="shared" si="729"/>
        <v>10990.179199999999</v>
      </c>
      <c r="DB119" s="59">
        <f t="shared" si="730"/>
        <v>36331.334399359999</v>
      </c>
      <c r="DC119" s="60">
        <f t="shared" si="731"/>
        <v>10689.078399999999</v>
      </c>
      <c r="DD119" s="59">
        <f t="shared" si="732"/>
        <v>35335.955374719997</v>
      </c>
      <c r="DE119" s="60">
        <f t="shared" si="733"/>
        <v>10387.977599999998</v>
      </c>
      <c r="DF119" s="59">
        <f t="shared" si="734"/>
        <v>34340.576350079995</v>
      </c>
      <c r="DG119" s="60">
        <f t="shared" si="735"/>
        <v>10086.876799999998</v>
      </c>
      <c r="DH119" s="59">
        <f t="shared" si="736"/>
        <v>33345.197325439993</v>
      </c>
      <c r="DI119" s="60">
        <f t="shared" si="737"/>
        <v>9785.775999999998</v>
      </c>
      <c r="DJ119" s="59">
        <f t="shared" si="738"/>
        <v>32349.818300799994</v>
      </c>
      <c r="DK119" s="55">
        <f t="shared" si="739"/>
        <v>9484.6751999999979</v>
      </c>
      <c r="DL119" s="59">
        <f t="shared" si="740"/>
        <v>31354.439276159992</v>
      </c>
      <c r="DM119" s="60">
        <f t="shared" si="741"/>
        <v>9183.5743999999977</v>
      </c>
      <c r="DN119" s="59">
        <f t="shared" si="742"/>
        <v>30359.060251519993</v>
      </c>
      <c r="DO119" s="60">
        <f t="shared" si="743"/>
        <v>8882.4735999999975</v>
      </c>
      <c r="DP119" s="59">
        <f t="shared" si="744"/>
        <v>29363.681226879991</v>
      </c>
      <c r="DQ119" s="55">
        <f t="shared" si="745"/>
        <v>8581.3727999999956</v>
      </c>
      <c r="DR119" s="59">
        <f t="shared" si="746"/>
        <v>28368.302202239985</v>
      </c>
      <c r="DU119" s="55">
        <v>1</v>
      </c>
      <c r="DV119" s="55">
        <v>0.97</v>
      </c>
      <c r="DW119" s="55">
        <v>0.95</v>
      </c>
      <c r="DX119" s="55">
        <v>0.93</v>
      </c>
      <c r="DY119" s="55">
        <f t="shared" si="654"/>
        <v>0.91</v>
      </c>
      <c r="DZ119" s="55">
        <f t="shared" si="654"/>
        <v>0.89</v>
      </c>
      <c r="EA119" s="55">
        <f t="shared" si="654"/>
        <v>0.87</v>
      </c>
      <c r="EB119" s="55">
        <f t="shared" si="654"/>
        <v>0.85</v>
      </c>
      <c r="EC119" s="55">
        <f t="shared" si="654"/>
        <v>0.83</v>
      </c>
      <c r="ED119" s="55">
        <f t="shared" si="654"/>
        <v>0.80999999999999994</v>
      </c>
      <c r="EE119" s="55">
        <f t="shared" si="654"/>
        <v>0.78999999999999992</v>
      </c>
      <c r="EF119" s="55">
        <f t="shared" si="654"/>
        <v>0.76999999999999991</v>
      </c>
      <c r="EG119" s="55">
        <f t="shared" si="654"/>
        <v>0.74999999999999989</v>
      </c>
      <c r="EH119" s="55">
        <f t="shared" si="654"/>
        <v>0.72999999999999987</v>
      </c>
      <c r="EI119" s="55">
        <f t="shared" si="654"/>
        <v>0.70999999999999985</v>
      </c>
      <c r="EJ119" s="55">
        <f t="shared" si="654"/>
        <v>0.68999999999999984</v>
      </c>
      <c r="EK119" s="55">
        <f t="shared" si="654"/>
        <v>0.66999999999999982</v>
      </c>
      <c r="EL119" s="55">
        <f t="shared" si="654"/>
        <v>0.6499999999999998</v>
      </c>
      <c r="EM119" s="55">
        <f t="shared" si="654"/>
        <v>0.62999999999999978</v>
      </c>
      <c r="EN119" s="55">
        <f t="shared" si="654"/>
        <v>0.60999999999999976</v>
      </c>
      <c r="EO119" s="55">
        <f t="shared" si="654"/>
        <v>0.58999999999999975</v>
      </c>
      <c r="EP119" s="55">
        <f t="shared" si="654"/>
        <v>0.56999999999999973</v>
      </c>
      <c r="ER119" s="55">
        <f t="shared" si="648"/>
        <v>13700.086400000002</v>
      </c>
      <c r="ES119" s="55">
        <f t="shared" si="510"/>
        <v>13700.086400000002</v>
      </c>
      <c r="ET119" s="59">
        <f t="shared" si="747"/>
        <v>45289.745621120004</v>
      </c>
      <c r="EU119" s="55">
        <f t="shared" si="748"/>
        <v>13289.083808000001</v>
      </c>
      <c r="EV119" s="59">
        <f t="shared" si="749"/>
        <v>43931.053252486403</v>
      </c>
      <c r="EW119" s="55">
        <f t="shared" si="750"/>
        <v>13015.082080000002</v>
      </c>
      <c r="EX119" s="59">
        <f t="shared" si="751"/>
        <v>43025.258340064007</v>
      </c>
      <c r="EY119" s="55">
        <f t="shared" si="752"/>
        <v>12741.080352000003</v>
      </c>
      <c r="EZ119" s="59">
        <f t="shared" si="753"/>
        <v>42119.463427641611</v>
      </c>
      <c r="FA119" s="57">
        <f t="shared" si="754"/>
        <v>12467.078624000002</v>
      </c>
      <c r="FB119" s="59">
        <f t="shared" si="755"/>
        <v>41213.668515219208</v>
      </c>
      <c r="FC119" s="55">
        <f t="shared" si="756"/>
        <v>12193.076896000002</v>
      </c>
      <c r="FD119" s="59">
        <f t="shared" si="757"/>
        <v>40307.873602796812</v>
      </c>
      <c r="FE119" s="57">
        <f t="shared" si="758"/>
        <v>11919.075168000001</v>
      </c>
      <c r="FF119" s="59">
        <f t="shared" si="759"/>
        <v>39402.078690374408</v>
      </c>
      <c r="FG119" s="60">
        <f t="shared" si="760"/>
        <v>11645.073440000002</v>
      </c>
      <c r="FH119" s="59">
        <f t="shared" si="761"/>
        <v>38496.283777952005</v>
      </c>
      <c r="FI119" s="57">
        <f t="shared" si="762"/>
        <v>11371.071712000001</v>
      </c>
      <c r="FJ119" s="59">
        <f t="shared" si="763"/>
        <v>37590.488865529602</v>
      </c>
      <c r="FK119" s="55">
        <f t="shared" si="764"/>
        <v>11097.069984000002</v>
      </c>
      <c r="FL119" s="59">
        <f t="shared" si="765"/>
        <v>36684.693953107206</v>
      </c>
      <c r="FM119" s="60">
        <f t="shared" si="766"/>
        <v>10823.068256</v>
      </c>
      <c r="FN119" s="59">
        <f t="shared" si="767"/>
        <v>35778.899040684802</v>
      </c>
      <c r="FO119" s="60">
        <f t="shared" si="768"/>
        <v>10549.066527999999</v>
      </c>
      <c r="FP119" s="59">
        <f t="shared" si="769"/>
        <v>34873.104128262399</v>
      </c>
      <c r="FQ119" s="60">
        <f t="shared" si="770"/>
        <v>10275.0648</v>
      </c>
      <c r="FR119" s="59">
        <f t="shared" si="771"/>
        <v>33967.309215840003</v>
      </c>
      <c r="FS119" s="55">
        <f t="shared" si="772"/>
        <v>10001.063071999999</v>
      </c>
      <c r="FT119" s="59">
        <f t="shared" si="773"/>
        <v>33061.5143034176</v>
      </c>
      <c r="FU119" s="60">
        <f t="shared" si="774"/>
        <v>9727.0613439999997</v>
      </c>
      <c r="FV119" s="59">
        <f t="shared" si="775"/>
        <v>32155.7193909952</v>
      </c>
      <c r="FW119" s="60">
        <f t="shared" si="776"/>
        <v>9453.0596159999986</v>
      </c>
      <c r="FX119" s="59">
        <f t="shared" si="777"/>
        <v>31249.924478572797</v>
      </c>
      <c r="FY119" s="60">
        <f t="shared" si="778"/>
        <v>9179.0578879999994</v>
      </c>
      <c r="FZ119" s="59">
        <f t="shared" si="779"/>
        <v>30344.129566150397</v>
      </c>
      <c r="GA119" s="60">
        <f t="shared" si="780"/>
        <v>8905.0561599999983</v>
      </c>
      <c r="GB119" s="59">
        <f t="shared" si="781"/>
        <v>29438.334653727994</v>
      </c>
      <c r="GC119" s="55">
        <f t="shared" si="782"/>
        <v>8631.054431999999</v>
      </c>
      <c r="GD119" s="59">
        <f t="shared" si="783"/>
        <v>28532.539741305598</v>
      </c>
      <c r="GE119" s="60">
        <f t="shared" si="784"/>
        <v>8357.0527039999979</v>
      </c>
      <c r="GF119" s="59">
        <f t="shared" si="785"/>
        <v>27626.744828883195</v>
      </c>
      <c r="GG119" s="60">
        <f t="shared" si="786"/>
        <v>8083.0509759999977</v>
      </c>
      <c r="GH119" s="59">
        <f t="shared" si="787"/>
        <v>26720.949916460791</v>
      </c>
      <c r="GI119" s="55">
        <f t="shared" si="788"/>
        <v>7809.0492479999975</v>
      </c>
      <c r="GJ119" s="59">
        <f t="shared" si="789"/>
        <v>25815.155004038392</v>
      </c>
      <c r="GK119" s="55"/>
      <c r="GL119" s="55"/>
      <c r="GM119" s="55">
        <v>1</v>
      </c>
      <c r="GN119" s="55">
        <v>0.97</v>
      </c>
      <c r="GO119" s="55">
        <v>0.95</v>
      </c>
      <c r="GP119" s="55">
        <v>0.93</v>
      </c>
      <c r="GQ119" s="55">
        <f t="shared" si="655"/>
        <v>0.91</v>
      </c>
      <c r="GR119" s="55">
        <f t="shared" si="655"/>
        <v>0.89</v>
      </c>
      <c r="GS119" s="55">
        <f t="shared" si="655"/>
        <v>0.87</v>
      </c>
      <c r="GT119" s="55">
        <f t="shared" si="655"/>
        <v>0.85</v>
      </c>
      <c r="GU119" s="55">
        <f t="shared" si="655"/>
        <v>0.83</v>
      </c>
      <c r="GV119" s="55">
        <f t="shared" si="655"/>
        <v>0.80999999999999994</v>
      </c>
      <c r="GW119" s="55">
        <f t="shared" si="655"/>
        <v>0.78999999999999992</v>
      </c>
      <c r="GX119" s="55">
        <f t="shared" si="655"/>
        <v>0.76999999999999991</v>
      </c>
      <c r="GY119" s="55">
        <f t="shared" si="655"/>
        <v>0.74999999999999989</v>
      </c>
      <c r="GZ119" s="55">
        <f t="shared" si="655"/>
        <v>0.72999999999999987</v>
      </c>
      <c r="HA119" s="55">
        <f t="shared" si="655"/>
        <v>0.70999999999999985</v>
      </c>
      <c r="HB119" s="55">
        <f t="shared" si="655"/>
        <v>0.68999999999999984</v>
      </c>
      <c r="HC119" s="55">
        <f t="shared" si="655"/>
        <v>0.66999999999999982</v>
      </c>
      <c r="HD119" s="55">
        <f t="shared" si="655"/>
        <v>0.6499999999999998</v>
      </c>
      <c r="HE119" s="55">
        <f t="shared" si="655"/>
        <v>0.62999999999999978</v>
      </c>
      <c r="HF119" s="55">
        <f t="shared" si="655"/>
        <v>0.60999999999999976</v>
      </c>
      <c r="HG119" s="55">
        <f t="shared" si="655"/>
        <v>0.58999999999999975</v>
      </c>
      <c r="HH119" s="55">
        <f t="shared" si="655"/>
        <v>0.56999999999999973</v>
      </c>
    </row>
    <row r="120" spans="1:216" x14ac:dyDescent="0.3">
      <c r="A120" s="2">
        <v>5</v>
      </c>
      <c r="C120" s="38" t="s">
        <v>53</v>
      </c>
      <c r="D120" s="42">
        <v>0</v>
      </c>
      <c r="E120" s="71">
        <f t="shared" si="660"/>
        <v>0</v>
      </c>
      <c r="H120" s="55">
        <f t="shared" si="505"/>
        <v>0</v>
      </c>
      <c r="I120" s="55">
        <f t="shared" si="506"/>
        <v>0</v>
      </c>
      <c r="J120" s="59">
        <f t="shared" si="507"/>
        <v>0</v>
      </c>
      <c r="K120" s="55">
        <f t="shared" si="661"/>
        <v>0</v>
      </c>
      <c r="L120" s="59">
        <f t="shared" si="662"/>
        <v>0</v>
      </c>
      <c r="M120" s="55">
        <f t="shared" si="663"/>
        <v>0</v>
      </c>
      <c r="N120" s="59">
        <f t="shared" si="664"/>
        <v>0</v>
      </c>
      <c r="O120" s="55">
        <f t="shared" si="665"/>
        <v>0</v>
      </c>
      <c r="P120" s="59">
        <f t="shared" si="666"/>
        <v>0</v>
      </c>
      <c r="Q120" s="57">
        <f t="shared" si="667"/>
        <v>0</v>
      </c>
      <c r="R120" s="59">
        <f t="shared" si="668"/>
        <v>0</v>
      </c>
      <c r="S120" s="55">
        <f t="shared" si="669"/>
        <v>0</v>
      </c>
      <c r="T120" s="59">
        <f t="shared" si="670"/>
        <v>0</v>
      </c>
      <c r="U120" s="57">
        <f t="shared" si="671"/>
        <v>0</v>
      </c>
      <c r="V120" s="59">
        <f t="shared" si="672"/>
        <v>0</v>
      </c>
      <c r="W120" s="60">
        <f t="shared" si="673"/>
        <v>0</v>
      </c>
      <c r="X120" s="59">
        <f t="shared" si="674"/>
        <v>0</v>
      </c>
      <c r="Y120" s="57">
        <f t="shared" si="675"/>
        <v>0</v>
      </c>
      <c r="Z120" s="59">
        <f t="shared" si="676"/>
        <v>0</v>
      </c>
      <c r="AA120" s="55">
        <f t="shared" si="677"/>
        <v>0</v>
      </c>
      <c r="AB120" s="59">
        <f t="shared" si="678"/>
        <v>0</v>
      </c>
      <c r="AC120" s="60">
        <f t="shared" si="679"/>
        <v>0</v>
      </c>
      <c r="AD120" s="59">
        <f t="shared" si="680"/>
        <v>0</v>
      </c>
      <c r="AE120" s="60">
        <f t="shared" si="681"/>
        <v>0</v>
      </c>
      <c r="AF120" s="59">
        <f t="shared" si="682"/>
        <v>0</v>
      </c>
      <c r="AG120" s="60">
        <f t="shared" si="683"/>
        <v>0</v>
      </c>
      <c r="AH120" s="59">
        <f t="shared" si="684"/>
        <v>0</v>
      </c>
      <c r="AI120" s="55">
        <f t="shared" si="685"/>
        <v>0</v>
      </c>
      <c r="AJ120" s="59">
        <f t="shared" si="686"/>
        <v>0</v>
      </c>
      <c r="AK120" s="60">
        <f t="shared" si="687"/>
        <v>0</v>
      </c>
      <c r="AL120" s="59">
        <f t="shared" si="688"/>
        <v>0</v>
      </c>
      <c r="AM120" s="60">
        <f t="shared" si="689"/>
        <v>0</v>
      </c>
      <c r="AN120" s="59">
        <f t="shared" si="690"/>
        <v>0</v>
      </c>
      <c r="AO120" s="60">
        <f t="shared" si="691"/>
        <v>0</v>
      </c>
      <c r="AP120" s="59">
        <f t="shared" si="692"/>
        <v>0</v>
      </c>
      <c r="AQ120" s="60">
        <f t="shared" si="693"/>
        <v>0</v>
      </c>
      <c r="AR120" s="59">
        <f t="shared" si="694"/>
        <v>0</v>
      </c>
      <c r="AS120" s="55">
        <f t="shared" si="695"/>
        <v>0</v>
      </c>
      <c r="AT120" s="59">
        <f t="shared" si="696"/>
        <v>0</v>
      </c>
      <c r="AU120" s="60">
        <f t="shared" si="697"/>
        <v>0</v>
      </c>
      <c r="AV120" s="59">
        <f t="shared" si="698"/>
        <v>0</v>
      </c>
      <c r="AW120" s="60">
        <f t="shared" si="699"/>
        <v>0</v>
      </c>
      <c r="AX120" s="59">
        <f t="shared" si="700"/>
        <v>0</v>
      </c>
      <c r="AY120" s="55">
        <f t="shared" si="701"/>
        <v>0</v>
      </c>
      <c r="AZ120" s="59">
        <f t="shared" si="702"/>
        <v>0</v>
      </c>
      <c r="BC120" s="55">
        <v>1</v>
      </c>
      <c r="BD120" s="55">
        <v>0.97</v>
      </c>
      <c r="BE120" s="55">
        <v>0.95</v>
      </c>
      <c r="BF120" s="55">
        <v>0.93</v>
      </c>
      <c r="BG120" s="55">
        <f t="shared" si="703"/>
        <v>0.91</v>
      </c>
      <c r="BH120" s="55">
        <f t="shared" si="703"/>
        <v>0.89</v>
      </c>
      <c r="BI120" s="55">
        <f t="shared" si="703"/>
        <v>0.87</v>
      </c>
      <c r="BJ120" s="55">
        <f t="shared" si="703"/>
        <v>0.85</v>
      </c>
      <c r="BK120" s="55">
        <f t="shared" si="703"/>
        <v>0.83</v>
      </c>
      <c r="BL120" s="55">
        <f t="shared" si="703"/>
        <v>0.80999999999999994</v>
      </c>
      <c r="BM120" s="55">
        <f t="shared" si="703"/>
        <v>0.78999999999999992</v>
      </c>
      <c r="BN120" s="55">
        <f t="shared" si="703"/>
        <v>0.76999999999999991</v>
      </c>
      <c r="BO120" s="55">
        <f t="shared" si="703"/>
        <v>0.74999999999999989</v>
      </c>
      <c r="BP120" s="55">
        <f t="shared" si="703"/>
        <v>0.72999999999999987</v>
      </c>
      <c r="BQ120" s="55">
        <f t="shared" si="703"/>
        <v>0.70999999999999985</v>
      </c>
      <c r="BR120" s="55">
        <f t="shared" si="703"/>
        <v>0.68999999999999984</v>
      </c>
      <c r="BS120" s="55">
        <f t="shared" si="703"/>
        <v>0.66999999999999982</v>
      </c>
      <c r="BT120" s="55">
        <f t="shared" si="703"/>
        <v>0.6499999999999998</v>
      </c>
      <c r="BU120" s="55">
        <f t="shared" si="703"/>
        <v>0.62999999999999978</v>
      </c>
      <c r="BV120" s="55">
        <f t="shared" si="703"/>
        <v>0.60999999999999976</v>
      </c>
      <c r="BW120" s="55">
        <f t="shared" si="703"/>
        <v>0.58999999999999975</v>
      </c>
      <c r="BX120" s="55">
        <f t="shared" si="703"/>
        <v>0.56999999999999973</v>
      </c>
      <c r="BZ120" s="55">
        <f t="shared" si="508"/>
        <v>0</v>
      </c>
      <c r="CA120" s="55">
        <f t="shared" si="509"/>
        <v>0</v>
      </c>
      <c r="CB120" s="59">
        <f t="shared" si="704"/>
        <v>0</v>
      </c>
      <c r="CC120" s="55">
        <f t="shared" si="705"/>
        <v>0</v>
      </c>
      <c r="CD120" s="59">
        <f t="shared" si="706"/>
        <v>0</v>
      </c>
      <c r="CE120" s="55">
        <f t="shared" si="707"/>
        <v>0</v>
      </c>
      <c r="CF120" s="59">
        <f t="shared" si="708"/>
        <v>0</v>
      </c>
      <c r="CG120" s="55">
        <f t="shared" si="709"/>
        <v>0</v>
      </c>
      <c r="CH120" s="59">
        <f t="shared" si="710"/>
        <v>0</v>
      </c>
      <c r="CI120" s="57">
        <f t="shared" si="711"/>
        <v>0</v>
      </c>
      <c r="CJ120" s="59">
        <f t="shared" si="712"/>
        <v>0</v>
      </c>
      <c r="CK120" s="55">
        <f t="shared" si="713"/>
        <v>0</v>
      </c>
      <c r="CL120" s="59">
        <f t="shared" si="714"/>
        <v>0</v>
      </c>
      <c r="CM120" s="57">
        <f t="shared" si="715"/>
        <v>0</v>
      </c>
      <c r="CN120" s="59">
        <f t="shared" si="716"/>
        <v>0</v>
      </c>
      <c r="CO120" s="60">
        <f t="shared" si="717"/>
        <v>0</v>
      </c>
      <c r="CP120" s="59">
        <f t="shared" si="718"/>
        <v>0</v>
      </c>
      <c r="CQ120" s="57">
        <f t="shared" si="719"/>
        <v>0</v>
      </c>
      <c r="CR120" s="59">
        <f t="shared" si="720"/>
        <v>0</v>
      </c>
      <c r="CS120" s="55">
        <f t="shared" si="721"/>
        <v>0</v>
      </c>
      <c r="CT120" s="59">
        <f t="shared" si="722"/>
        <v>0</v>
      </c>
      <c r="CU120" s="60">
        <f t="shared" si="723"/>
        <v>0</v>
      </c>
      <c r="CV120" s="59">
        <f t="shared" si="724"/>
        <v>0</v>
      </c>
      <c r="CW120" s="60">
        <f t="shared" si="725"/>
        <v>0</v>
      </c>
      <c r="CX120" s="59">
        <f t="shared" si="726"/>
        <v>0</v>
      </c>
      <c r="CY120" s="60">
        <f t="shared" si="727"/>
        <v>0</v>
      </c>
      <c r="CZ120" s="59">
        <f t="shared" si="728"/>
        <v>0</v>
      </c>
      <c r="DA120" s="55">
        <f t="shared" si="729"/>
        <v>0</v>
      </c>
      <c r="DB120" s="59">
        <f t="shared" si="730"/>
        <v>0</v>
      </c>
      <c r="DC120" s="60">
        <f t="shared" si="731"/>
        <v>0</v>
      </c>
      <c r="DD120" s="59">
        <f t="shared" si="732"/>
        <v>0</v>
      </c>
      <c r="DE120" s="60">
        <f t="shared" si="733"/>
        <v>0</v>
      </c>
      <c r="DF120" s="59">
        <f t="shared" si="734"/>
        <v>0</v>
      </c>
      <c r="DG120" s="60">
        <f t="shared" si="735"/>
        <v>0</v>
      </c>
      <c r="DH120" s="59">
        <f t="shared" si="736"/>
        <v>0</v>
      </c>
      <c r="DI120" s="60">
        <f t="shared" si="737"/>
        <v>0</v>
      </c>
      <c r="DJ120" s="59">
        <f t="shared" si="738"/>
        <v>0</v>
      </c>
      <c r="DK120" s="55">
        <f t="shared" si="739"/>
        <v>0</v>
      </c>
      <c r="DL120" s="59">
        <f t="shared" si="740"/>
        <v>0</v>
      </c>
      <c r="DM120" s="60">
        <f t="shared" si="741"/>
        <v>0</v>
      </c>
      <c r="DN120" s="59">
        <f t="shared" si="742"/>
        <v>0</v>
      </c>
      <c r="DO120" s="60">
        <f t="shared" si="743"/>
        <v>0</v>
      </c>
      <c r="DP120" s="59">
        <f t="shared" si="744"/>
        <v>0</v>
      </c>
      <c r="DQ120" s="55">
        <f t="shared" si="745"/>
        <v>0</v>
      </c>
      <c r="DR120" s="59">
        <f t="shared" si="746"/>
        <v>0</v>
      </c>
      <c r="DU120" s="55">
        <v>1</v>
      </c>
      <c r="DV120" s="55">
        <v>0.97</v>
      </c>
      <c r="DW120" s="55">
        <v>0.95</v>
      </c>
      <c r="DX120" s="55">
        <v>0.93</v>
      </c>
      <c r="DY120" s="55">
        <f t="shared" si="654"/>
        <v>0.91</v>
      </c>
      <c r="DZ120" s="55">
        <f t="shared" si="654"/>
        <v>0.89</v>
      </c>
      <c r="EA120" s="55">
        <f t="shared" si="654"/>
        <v>0.87</v>
      </c>
      <c r="EB120" s="55">
        <f t="shared" si="654"/>
        <v>0.85</v>
      </c>
      <c r="EC120" s="55">
        <f t="shared" si="654"/>
        <v>0.83</v>
      </c>
      <c r="ED120" s="55">
        <f t="shared" si="654"/>
        <v>0.80999999999999994</v>
      </c>
      <c r="EE120" s="55">
        <f t="shared" si="654"/>
        <v>0.78999999999999992</v>
      </c>
      <c r="EF120" s="55">
        <f t="shared" si="654"/>
        <v>0.76999999999999991</v>
      </c>
      <c r="EG120" s="55">
        <f t="shared" si="654"/>
        <v>0.74999999999999989</v>
      </c>
      <c r="EH120" s="55">
        <f t="shared" si="654"/>
        <v>0.72999999999999987</v>
      </c>
      <c r="EI120" s="55">
        <f t="shared" si="654"/>
        <v>0.70999999999999985</v>
      </c>
      <c r="EJ120" s="55">
        <f t="shared" si="654"/>
        <v>0.68999999999999984</v>
      </c>
      <c r="EK120" s="55">
        <f t="shared" si="654"/>
        <v>0.66999999999999982</v>
      </c>
      <c r="EL120" s="55">
        <f t="shared" si="654"/>
        <v>0.6499999999999998</v>
      </c>
      <c r="EM120" s="55">
        <f t="shared" si="654"/>
        <v>0.62999999999999978</v>
      </c>
      <c r="EN120" s="55">
        <f t="shared" si="654"/>
        <v>0.60999999999999976</v>
      </c>
      <c r="EO120" s="55">
        <f t="shared" si="654"/>
        <v>0.58999999999999975</v>
      </c>
      <c r="EP120" s="55">
        <f t="shared" si="654"/>
        <v>0.56999999999999973</v>
      </c>
      <c r="ER120" s="55">
        <f t="shared" si="648"/>
        <v>0</v>
      </c>
      <c r="ES120" s="55">
        <f t="shared" si="510"/>
        <v>0</v>
      </c>
      <c r="ET120" s="59">
        <f t="shared" si="747"/>
        <v>0</v>
      </c>
      <c r="EU120" s="55">
        <f t="shared" si="748"/>
        <v>0</v>
      </c>
      <c r="EV120" s="59">
        <f t="shared" si="749"/>
        <v>0</v>
      </c>
      <c r="EW120" s="55">
        <f t="shared" si="750"/>
        <v>0</v>
      </c>
      <c r="EX120" s="59">
        <f t="shared" si="751"/>
        <v>0</v>
      </c>
      <c r="EY120" s="55">
        <f t="shared" si="752"/>
        <v>0</v>
      </c>
      <c r="EZ120" s="59">
        <f t="shared" si="753"/>
        <v>0</v>
      </c>
      <c r="FA120" s="57">
        <f t="shared" si="754"/>
        <v>0</v>
      </c>
      <c r="FB120" s="59">
        <f t="shared" si="755"/>
        <v>0</v>
      </c>
      <c r="FC120" s="55">
        <f t="shared" si="756"/>
        <v>0</v>
      </c>
      <c r="FD120" s="59">
        <f t="shared" si="757"/>
        <v>0</v>
      </c>
      <c r="FE120" s="57">
        <f t="shared" si="758"/>
        <v>0</v>
      </c>
      <c r="FF120" s="59">
        <f t="shared" si="759"/>
        <v>0</v>
      </c>
      <c r="FG120" s="60">
        <f t="shared" si="760"/>
        <v>0</v>
      </c>
      <c r="FH120" s="59">
        <f t="shared" si="761"/>
        <v>0</v>
      </c>
      <c r="FI120" s="57">
        <f t="shared" si="762"/>
        <v>0</v>
      </c>
      <c r="FJ120" s="59">
        <f t="shared" si="763"/>
        <v>0</v>
      </c>
      <c r="FK120" s="55">
        <f t="shared" si="764"/>
        <v>0</v>
      </c>
      <c r="FL120" s="59">
        <f t="shared" si="765"/>
        <v>0</v>
      </c>
      <c r="FM120" s="60">
        <f t="shared" si="766"/>
        <v>0</v>
      </c>
      <c r="FN120" s="59">
        <f t="shared" si="767"/>
        <v>0</v>
      </c>
      <c r="FO120" s="60">
        <f t="shared" si="768"/>
        <v>0</v>
      </c>
      <c r="FP120" s="59">
        <f t="shared" si="769"/>
        <v>0</v>
      </c>
      <c r="FQ120" s="60">
        <f t="shared" si="770"/>
        <v>0</v>
      </c>
      <c r="FR120" s="59">
        <f t="shared" si="771"/>
        <v>0</v>
      </c>
      <c r="FS120" s="55">
        <f t="shared" si="772"/>
        <v>0</v>
      </c>
      <c r="FT120" s="59">
        <f t="shared" si="773"/>
        <v>0</v>
      </c>
      <c r="FU120" s="60">
        <f t="shared" si="774"/>
        <v>0</v>
      </c>
      <c r="FV120" s="59">
        <f t="shared" si="775"/>
        <v>0</v>
      </c>
      <c r="FW120" s="60">
        <f t="shared" si="776"/>
        <v>0</v>
      </c>
      <c r="FX120" s="59">
        <f t="shared" si="777"/>
        <v>0</v>
      </c>
      <c r="FY120" s="60">
        <f t="shared" si="778"/>
        <v>0</v>
      </c>
      <c r="FZ120" s="59">
        <f t="shared" si="779"/>
        <v>0</v>
      </c>
      <c r="GA120" s="60">
        <f t="shared" si="780"/>
        <v>0</v>
      </c>
      <c r="GB120" s="59">
        <f t="shared" si="781"/>
        <v>0</v>
      </c>
      <c r="GC120" s="55">
        <f t="shared" si="782"/>
        <v>0</v>
      </c>
      <c r="GD120" s="59">
        <f t="shared" si="783"/>
        <v>0</v>
      </c>
      <c r="GE120" s="60">
        <f t="shared" si="784"/>
        <v>0</v>
      </c>
      <c r="GF120" s="59">
        <f t="shared" si="785"/>
        <v>0</v>
      </c>
      <c r="GG120" s="60">
        <f t="shared" si="786"/>
        <v>0</v>
      </c>
      <c r="GH120" s="59">
        <f t="shared" si="787"/>
        <v>0</v>
      </c>
      <c r="GI120" s="55">
        <f t="shared" si="788"/>
        <v>0</v>
      </c>
      <c r="GJ120" s="59">
        <f t="shared" si="789"/>
        <v>0</v>
      </c>
      <c r="GK120" s="55"/>
      <c r="GL120" s="55"/>
      <c r="GM120" s="55">
        <v>1</v>
      </c>
      <c r="GN120" s="55">
        <v>0.97</v>
      </c>
      <c r="GO120" s="55">
        <v>0.95</v>
      </c>
      <c r="GP120" s="55">
        <v>0.93</v>
      </c>
      <c r="GQ120" s="55">
        <f t="shared" si="655"/>
        <v>0.91</v>
      </c>
      <c r="GR120" s="55">
        <f t="shared" si="655"/>
        <v>0.89</v>
      </c>
      <c r="GS120" s="55">
        <f t="shared" si="655"/>
        <v>0.87</v>
      </c>
      <c r="GT120" s="55">
        <f t="shared" si="655"/>
        <v>0.85</v>
      </c>
      <c r="GU120" s="55">
        <f t="shared" si="655"/>
        <v>0.83</v>
      </c>
      <c r="GV120" s="55">
        <f t="shared" si="655"/>
        <v>0.80999999999999994</v>
      </c>
      <c r="GW120" s="55">
        <f t="shared" si="655"/>
        <v>0.78999999999999992</v>
      </c>
      <c r="GX120" s="55">
        <f t="shared" si="655"/>
        <v>0.76999999999999991</v>
      </c>
      <c r="GY120" s="55">
        <f t="shared" si="655"/>
        <v>0.74999999999999989</v>
      </c>
      <c r="GZ120" s="55">
        <f t="shared" si="655"/>
        <v>0.72999999999999987</v>
      </c>
      <c r="HA120" s="55">
        <f t="shared" si="655"/>
        <v>0.70999999999999985</v>
      </c>
      <c r="HB120" s="55">
        <f t="shared" si="655"/>
        <v>0.68999999999999984</v>
      </c>
      <c r="HC120" s="55">
        <f t="shared" si="655"/>
        <v>0.66999999999999982</v>
      </c>
      <c r="HD120" s="55">
        <f t="shared" si="655"/>
        <v>0.6499999999999998</v>
      </c>
      <c r="HE120" s="55">
        <f t="shared" si="655"/>
        <v>0.62999999999999978</v>
      </c>
      <c r="HF120" s="55">
        <f t="shared" si="655"/>
        <v>0.60999999999999976</v>
      </c>
      <c r="HG120" s="55">
        <f t="shared" si="655"/>
        <v>0.58999999999999975</v>
      </c>
      <c r="HH120" s="55">
        <f t="shared" si="655"/>
        <v>0.56999999999999973</v>
      </c>
    </row>
    <row r="121" spans="1:216" x14ac:dyDescent="0.3">
      <c r="A121" s="2">
        <v>6</v>
      </c>
      <c r="C121" s="38" t="s">
        <v>56</v>
      </c>
      <c r="D121" s="42">
        <v>0</v>
      </c>
      <c r="E121" s="71">
        <f t="shared" si="660"/>
        <v>0</v>
      </c>
      <c r="H121" s="55">
        <f t="shared" si="505"/>
        <v>0</v>
      </c>
      <c r="I121" s="55">
        <f t="shared" si="506"/>
        <v>0</v>
      </c>
      <c r="J121" s="59">
        <f t="shared" si="507"/>
        <v>0</v>
      </c>
      <c r="K121" s="55">
        <f t="shared" si="661"/>
        <v>0</v>
      </c>
      <c r="L121" s="59">
        <f t="shared" si="662"/>
        <v>0</v>
      </c>
      <c r="M121" s="55">
        <f t="shared" si="663"/>
        <v>0</v>
      </c>
      <c r="N121" s="59">
        <f t="shared" si="664"/>
        <v>0</v>
      </c>
      <c r="O121" s="55">
        <f t="shared" si="665"/>
        <v>0</v>
      </c>
      <c r="P121" s="59">
        <f t="shared" si="666"/>
        <v>0</v>
      </c>
      <c r="Q121" s="57">
        <f t="shared" si="667"/>
        <v>0</v>
      </c>
      <c r="R121" s="59">
        <f t="shared" si="668"/>
        <v>0</v>
      </c>
      <c r="S121" s="55">
        <f t="shared" si="669"/>
        <v>0</v>
      </c>
      <c r="T121" s="59">
        <f t="shared" si="670"/>
        <v>0</v>
      </c>
      <c r="U121" s="57">
        <f t="shared" si="671"/>
        <v>0</v>
      </c>
      <c r="V121" s="59">
        <f t="shared" si="672"/>
        <v>0</v>
      </c>
      <c r="W121" s="60">
        <f t="shared" si="673"/>
        <v>0</v>
      </c>
      <c r="X121" s="59">
        <f t="shared" si="674"/>
        <v>0</v>
      </c>
      <c r="Y121" s="57">
        <f t="shared" si="675"/>
        <v>0</v>
      </c>
      <c r="Z121" s="59">
        <f t="shared" si="676"/>
        <v>0</v>
      </c>
      <c r="AA121" s="55">
        <f t="shared" si="677"/>
        <v>0</v>
      </c>
      <c r="AB121" s="59">
        <f t="shared" si="678"/>
        <v>0</v>
      </c>
      <c r="AC121" s="60">
        <f t="shared" si="679"/>
        <v>0</v>
      </c>
      <c r="AD121" s="59">
        <f t="shared" si="680"/>
        <v>0</v>
      </c>
      <c r="AE121" s="60">
        <f t="shared" si="681"/>
        <v>0</v>
      </c>
      <c r="AF121" s="59">
        <f t="shared" si="682"/>
        <v>0</v>
      </c>
      <c r="AG121" s="60">
        <f t="shared" si="683"/>
        <v>0</v>
      </c>
      <c r="AH121" s="59">
        <f t="shared" si="684"/>
        <v>0</v>
      </c>
      <c r="AI121" s="55">
        <f t="shared" si="685"/>
        <v>0</v>
      </c>
      <c r="AJ121" s="59">
        <f t="shared" si="686"/>
        <v>0</v>
      </c>
      <c r="AK121" s="60">
        <f t="shared" si="687"/>
        <v>0</v>
      </c>
      <c r="AL121" s="59">
        <f t="shared" si="688"/>
        <v>0</v>
      </c>
      <c r="AM121" s="60">
        <f t="shared" si="689"/>
        <v>0</v>
      </c>
      <c r="AN121" s="59">
        <f t="shared" si="690"/>
        <v>0</v>
      </c>
      <c r="AO121" s="60">
        <f t="shared" si="691"/>
        <v>0</v>
      </c>
      <c r="AP121" s="59">
        <f t="shared" si="692"/>
        <v>0</v>
      </c>
      <c r="AQ121" s="60">
        <f t="shared" si="693"/>
        <v>0</v>
      </c>
      <c r="AR121" s="59">
        <f t="shared" si="694"/>
        <v>0</v>
      </c>
      <c r="AS121" s="55">
        <f t="shared" si="695"/>
        <v>0</v>
      </c>
      <c r="AT121" s="59">
        <f t="shared" si="696"/>
        <v>0</v>
      </c>
      <c r="AU121" s="60">
        <f t="shared" si="697"/>
        <v>0</v>
      </c>
      <c r="AV121" s="59">
        <f t="shared" si="698"/>
        <v>0</v>
      </c>
      <c r="AW121" s="60">
        <f t="shared" si="699"/>
        <v>0</v>
      </c>
      <c r="AX121" s="59">
        <f t="shared" si="700"/>
        <v>0</v>
      </c>
      <c r="AY121" s="55">
        <f t="shared" si="701"/>
        <v>0</v>
      </c>
      <c r="AZ121" s="59">
        <f t="shared" si="702"/>
        <v>0</v>
      </c>
      <c r="BC121" s="55">
        <v>1</v>
      </c>
      <c r="BD121" s="55">
        <v>0.97</v>
      </c>
      <c r="BE121" s="55">
        <v>0.95</v>
      </c>
      <c r="BF121" s="55">
        <v>0.93</v>
      </c>
      <c r="BG121" s="55">
        <f t="shared" si="703"/>
        <v>0.91</v>
      </c>
      <c r="BH121" s="55">
        <f t="shared" si="703"/>
        <v>0.89</v>
      </c>
      <c r="BI121" s="55">
        <f t="shared" si="703"/>
        <v>0.87</v>
      </c>
      <c r="BJ121" s="55">
        <f t="shared" si="703"/>
        <v>0.85</v>
      </c>
      <c r="BK121" s="55">
        <f t="shared" si="703"/>
        <v>0.83</v>
      </c>
      <c r="BL121" s="55">
        <f t="shared" si="703"/>
        <v>0.80999999999999994</v>
      </c>
      <c r="BM121" s="55">
        <f t="shared" si="703"/>
        <v>0.78999999999999992</v>
      </c>
      <c r="BN121" s="55">
        <f t="shared" si="703"/>
        <v>0.76999999999999991</v>
      </c>
      <c r="BO121" s="55">
        <f t="shared" si="703"/>
        <v>0.74999999999999989</v>
      </c>
      <c r="BP121" s="55">
        <f t="shared" si="703"/>
        <v>0.72999999999999987</v>
      </c>
      <c r="BQ121" s="55">
        <f t="shared" si="703"/>
        <v>0.70999999999999985</v>
      </c>
      <c r="BR121" s="55">
        <f t="shared" si="703"/>
        <v>0.68999999999999984</v>
      </c>
      <c r="BS121" s="55">
        <f t="shared" si="703"/>
        <v>0.66999999999999982</v>
      </c>
      <c r="BT121" s="55">
        <f t="shared" si="703"/>
        <v>0.6499999999999998</v>
      </c>
      <c r="BU121" s="55">
        <f t="shared" si="703"/>
        <v>0.62999999999999978</v>
      </c>
      <c r="BV121" s="55">
        <f t="shared" si="703"/>
        <v>0.60999999999999976</v>
      </c>
      <c r="BW121" s="55">
        <f t="shared" si="703"/>
        <v>0.58999999999999975</v>
      </c>
      <c r="BX121" s="55">
        <f t="shared" si="703"/>
        <v>0.56999999999999973</v>
      </c>
      <c r="BZ121" s="55">
        <f t="shared" si="508"/>
        <v>0</v>
      </c>
      <c r="CA121" s="55">
        <f t="shared" si="509"/>
        <v>0</v>
      </c>
      <c r="CB121" s="59">
        <f t="shared" si="704"/>
        <v>0</v>
      </c>
      <c r="CC121" s="55">
        <f t="shared" si="705"/>
        <v>0</v>
      </c>
      <c r="CD121" s="59">
        <f t="shared" si="706"/>
        <v>0</v>
      </c>
      <c r="CE121" s="55">
        <f t="shared" si="707"/>
        <v>0</v>
      </c>
      <c r="CF121" s="59">
        <f t="shared" si="708"/>
        <v>0</v>
      </c>
      <c r="CG121" s="55">
        <f t="shared" si="709"/>
        <v>0</v>
      </c>
      <c r="CH121" s="59">
        <f t="shared" si="710"/>
        <v>0</v>
      </c>
      <c r="CI121" s="57">
        <f t="shared" si="711"/>
        <v>0</v>
      </c>
      <c r="CJ121" s="59">
        <f t="shared" si="712"/>
        <v>0</v>
      </c>
      <c r="CK121" s="55">
        <f t="shared" si="713"/>
        <v>0</v>
      </c>
      <c r="CL121" s="59">
        <f t="shared" si="714"/>
        <v>0</v>
      </c>
      <c r="CM121" s="57">
        <f t="shared" si="715"/>
        <v>0</v>
      </c>
      <c r="CN121" s="59">
        <f t="shared" si="716"/>
        <v>0</v>
      </c>
      <c r="CO121" s="60">
        <f t="shared" si="717"/>
        <v>0</v>
      </c>
      <c r="CP121" s="59">
        <f t="shared" si="718"/>
        <v>0</v>
      </c>
      <c r="CQ121" s="57">
        <f t="shared" si="719"/>
        <v>0</v>
      </c>
      <c r="CR121" s="59">
        <f t="shared" si="720"/>
        <v>0</v>
      </c>
      <c r="CS121" s="55">
        <f t="shared" si="721"/>
        <v>0</v>
      </c>
      <c r="CT121" s="59">
        <f t="shared" si="722"/>
        <v>0</v>
      </c>
      <c r="CU121" s="60">
        <f t="shared" si="723"/>
        <v>0</v>
      </c>
      <c r="CV121" s="59">
        <f t="shared" si="724"/>
        <v>0</v>
      </c>
      <c r="CW121" s="60">
        <f t="shared" si="725"/>
        <v>0</v>
      </c>
      <c r="CX121" s="59">
        <f t="shared" si="726"/>
        <v>0</v>
      </c>
      <c r="CY121" s="60">
        <f t="shared" si="727"/>
        <v>0</v>
      </c>
      <c r="CZ121" s="59">
        <f t="shared" si="728"/>
        <v>0</v>
      </c>
      <c r="DA121" s="55">
        <f t="shared" si="729"/>
        <v>0</v>
      </c>
      <c r="DB121" s="59">
        <f t="shared" si="730"/>
        <v>0</v>
      </c>
      <c r="DC121" s="60">
        <f t="shared" si="731"/>
        <v>0</v>
      </c>
      <c r="DD121" s="59">
        <f t="shared" si="732"/>
        <v>0</v>
      </c>
      <c r="DE121" s="60">
        <f t="shared" si="733"/>
        <v>0</v>
      </c>
      <c r="DF121" s="59">
        <f t="shared" si="734"/>
        <v>0</v>
      </c>
      <c r="DG121" s="60">
        <f t="shared" si="735"/>
        <v>0</v>
      </c>
      <c r="DH121" s="59">
        <f t="shared" si="736"/>
        <v>0</v>
      </c>
      <c r="DI121" s="60">
        <f t="shared" si="737"/>
        <v>0</v>
      </c>
      <c r="DJ121" s="59">
        <f t="shared" si="738"/>
        <v>0</v>
      </c>
      <c r="DK121" s="55">
        <f t="shared" si="739"/>
        <v>0</v>
      </c>
      <c r="DL121" s="59">
        <f t="shared" si="740"/>
        <v>0</v>
      </c>
      <c r="DM121" s="60">
        <f t="shared" si="741"/>
        <v>0</v>
      </c>
      <c r="DN121" s="59">
        <f t="shared" si="742"/>
        <v>0</v>
      </c>
      <c r="DO121" s="60">
        <f t="shared" si="743"/>
        <v>0</v>
      </c>
      <c r="DP121" s="59">
        <f t="shared" si="744"/>
        <v>0</v>
      </c>
      <c r="DQ121" s="55">
        <f t="shared" si="745"/>
        <v>0</v>
      </c>
      <c r="DR121" s="59">
        <f t="shared" si="746"/>
        <v>0</v>
      </c>
      <c r="DU121" s="55">
        <v>1</v>
      </c>
      <c r="DV121" s="55">
        <v>0.97</v>
      </c>
      <c r="DW121" s="55">
        <v>0.95</v>
      </c>
      <c r="DX121" s="55">
        <v>0.93</v>
      </c>
      <c r="DY121" s="55">
        <f t="shared" si="654"/>
        <v>0.91</v>
      </c>
      <c r="DZ121" s="55">
        <f t="shared" si="654"/>
        <v>0.89</v>
      </c>
      <c r="EA121" s="55">
        <f t="shared" si="654"/>
        <v>0.87</v>
      </c>
      <c r="EB121" s="55">
        <f t="shared" si="654"/>
        <v>0.85</v>
      </c>
      <c r="EC121" s="55">
        <f t="shared" si="654"/>
        <v>0.83</v>
      </c>
      <c r="ED121" s="55">
        <f t="shared" si="654"/>
        <v>0.80999999999999994</v>
      </c>
      <c r="EE121" s="55">
        <f t="shared" si="654"/>
        <v>0.78999999999999992</v>
      </c>
      <c r="EF121" s="55">
        <f t="shared" si="654"/>
        <v>0.76999999999999991</v>
      </c>
      <c r="EG121" s="55">
        <f t="shared" si="654"/>
        <v>0.74999999999999989</v>
      </c>
      <c r="EH121" s="55">
        <f t="shared" si="654"/>
        <v>0.72999999999999987</v>
      </c>
      <c r="EI121" s="55">
        <f t="shared" si="654"/>
        <v>0.70999999999999985</v>
      </c>
      <c r="EJ121" s="55">
        <f t="shared" si="654"/>
        <v>0.68999999999999984</v>
      </c>
      <c r="EK121" s="55">
        <f t="shared" si="654"/>
        <v>0.66999999999999982</v>
      </c>
      <c r="EL121" s="55">
        <f t="shared" si="654"/>
        <v>0.6499999999999998</v>
      </c>
      <c r="EM121" s="55">
        <f t="shared" si="654"/>
        <v>0.62999999999999978</v>
      </c>
      <c r="EN121" s="55">
        <f t="shared" si="654"/>
        <v>0.60999999999999976</v>
      </c>
      <c r="EO121" s="55">
        <f t="shared" si="654"/>
        <v>0.58999999999999975</v>
      </c>
      <c r="EP121" s="55">
        <f t="shared" si="654"/>
        <v>0.56999999999999973</v>
      </c>
      <c r="ER121" s="55">
        <f t="shared" si="648"/>
        <v>0</v>
      </c>
      <c r="ES121" s="55">
        <f t="shared" si="510"/>
        <v>0</v>
      </c>
      <c r="ET121" s="59">
        <f t="shared" si="747"/>
        <v>0</v>
      </c>
      <c r="EU121" s="55">
        <f t="shared" si="748"/>
        <v>0</v>
      </c>
      <c r="EV121" s="59">
        <f t="shared" si="749"/>
        <v>0</v>
      </c>
      <c r="EW121" s="55">
        <f t="shared" si="750"/>
        <v>0</v>
      </c>
      <c r="EX121" s="59">
        <f t="shared" si="751"/>
        <v>0</v>
      </c>
      <c r="EY121" s="55">
        <f t="shared" si="752"/>
        <v>0</v>
      </c>
      <c r="EZ121" s="59">
        <f t="shared" si="753"/>
        <v>0</v>
      </c>
      <c r="FA121" s="57">
        <f t="shared" si="754"/>
        <v>0</v>
      </c>
      <c r="FB121" s="59">
        <f t="shared" si="755"/>
        <v>0</v>
      </c>
      <c r="FC121" s="55">
        <f t="shared" si="756"/>
        <v>0</v>
      </c>
      <c r="FD121" s="59">
        <f t="shared" si="757"/>
        <v>0</v>
      </c>
      <c r="FE121" s="57">
        <f t="shared" si="758"/>
        <v>0</v>
      </c>
      <c r="FF121" s="59">
        <f t="shared" si="759"/>
        <v>0</v>
      </c>
      <c r="FG121" s="60">
        <f t="shared" si="760"/>
        <v>0</v>
      </c>
      <c r="FH121" s="59">
        <f t="shared" si="761"/>
        <v>0</v>
      </c>
      <c r="FI121" s="57">
        <f t="shared" si="762"/>
        <v>0</v>
      </c>
      <c r="FJ121" s="59">
        <f t="shared" si="763"/>
        <v>0</v>
      </c>
      <c r="FK121" s="55">
        <f t="shared" si="764"/>
        <v>0</v>
      </c>
      <c r="FL121" s="59">
        <f t="shared" si="765"/>
        <v>0</v>
      </c>
      <c r="FM121" s="60">
        <f t="shared" si="766"/>
        <v>0</v>
      </c>
      <c r="FN121" s="59">
        <f t="shared" si="767"/>
        <v>0</v>
      </c>
      <c r="FO121" s="60">
        <f t="shared" si="768"/>
        <v>0</v>
      </c>
      <c r="FP121" s="59">
        <f t="shared" si="769"/>
        <v>0</v>
      </c>
      <c r="FQ121" s="60">
        <f t="shared" si="770"/>
        <v>0</v>
      </c>
      <c r="FR121" s="59">
        <f t="shared" si="771"/>
        <v>0</v>
      </c>
      <c r="FS121" s="55">
        <f t="shared" si="772"/>
        <v>0</v>
      </c>
      <c r="FT121" s="59">
        <f t="shared" si="773"/>
        <v>0</v>
      </c>
      <c r="FU121" s="60">
        <f t="shared" si="774"/>
        <v>0</v>
      </c>
      <c r="FV121" s="59">
        <f t="shared" si="775"/>
        <v>0</v>
      </c>
      <c r="FW121" s="60">
        <f t="shared" si="776"/>
        <v>0</v>
      </c>
      <c r="FX121" s="59">
        <f t="shared" si="777"/>
        <v>0</v>
      </c>
      <c r="FY121" s="60">
        <f t="shared" si="778"/>
        <v>0</v>
      </c>
      <c r="FZ121" s="59">
        <f t="shared" si="779"/>
        <v>0</v>
      </c>
      <c r="GA121" s="60">
        <f t="shared" si="780"/>
        <v>0</v>
      </c>
      <c r="GB121" s="59">
        <f t="shared" si="781"/>
        <v>0</v>
      </c>
      <c r="GC121" s="55">
        <f t="shared" si="782"/>
        <v>0</v>
      </c>
      <c r="GD121" s="59">
        <f t="shared" si="783"/>
        <v>0</v>
      </c>
      <c r="GE121" s="60">
        <f t="shared" si="784"/>
        <v>0</v>
      </c>
      <c r="GF121" s="59">
        <f t="shared" si="785"/>
        <v>0</v>
      </c>
      <c r="GG121" s="60">
        <f t="shared" si="786"/>
        <v>0</v>
      </c>
      <c r="GH121" s="59">
        <f t="shared" si="787"/>
        <v>0</v>
      </c>
      <c r="GI121" s="55">
        <f t="shared" si="788"/>
        <v>0</v>
      </c>
      <c r="GJ121" s="59">
        <f t="shared" si="789"/>
        <v>0</v>
      </c>
      <c r="GK121" s="55"/>
      <c r="GL121" s="55"/>
      <c r="GM121" s="55">
        <v>1</v>
      </c>
      <c r="GN121" s="55">
        <v>0.97</v>
      </c>
      <c r="GO121" s="55">
        <v>0.95</v>
      </c>
      <c r="GP121" s="55">
        <v>0.93</v>
      </c>
      <c r="GQ121" s="55">
        <f t="shared" si="655"/>
        <v>0.91</v>
      </c>
      <c r="GR121" s="55">
        <f t="shared" si="655"/>
        <v>0.89</v>
      </c>
      <c r="GS121" s="55">
        <f t="shared" si="655"/>
        <v>0.87</v>
      </c>
      <c r="GT121" s="55">
        <f t="shared" si="655"/>
        <v>0.85</v>
      </c>
      <c r="GU121" s="55">
        <f t="shared" si="655"/>
        <v>0.83</v>
      </c>
      <c r="GV121" s="55">
        <f t="shared" si="655"/>
        <v>0.80999999999999994</v>
      </c>
      <c r="GW121" s="55">
        <f t="shared" si="655"/>
        <v>0.78999999999999992</v>
      </c>
      <c r="GX121" s="55">
        <f t="shared" si="655"/>
        <v>0.76999999999999991</v>
      </c>
      <c r="GY121" s="55">
        <f t="shared" si="655"/>
        <v>0.74999999999999989</v>
      </c>
      <c r="GZ121" s="55">
        <f t="shared" si="655"/>
        <v>0.72999999999999987</v>
      </c>
      <c r="HA121" s="55">
        <f t="shared" si="655"/>
        <v>0.70999999999999985</v>
      </c>
      <c r="HB121" s="55">
        <f t="shared" si="655"/>
        <v>0.68999999999999984</v>
      </c>
      <c r="HC121" s="55">
        <f t="shared" si="655"/>
        <v>0.66999999999999982</v>
      </c>
      <c r="HD121" s="55">
        <f t="shared" si="655"/>
        <v>0.6499999999999998</v>
      </c>
      <c r="HE121" s="55">
        <f t="shared" si="655"/>
        <v>0.62999999999999978</v>
      </c>
      <c r="HF121" s="55">
        <f t="shared" si="655"/>
        <v>0.60999999999999976</v>
      </c>
      <c r="HG121" s="55">
        <f t="shared" si="655"/>
        <v>0.58999999999999975</v>
      </c>
      <c r="HH121" s="55">
        <f t="shared" si="655"/>
        <v>0.56999999999999973</v>
      </c>
    </row>
    <row r="122" spans="1:216" x14ac:dyDescent="0.3">
      <c r="A122" s="2">
        <v>7</v>
      </c>
      <c r="C122" s="38" t="s">
        <v>46</v>
      </c>
      <c r="D122" s="42">
        <f>TRUNC(2978.32431007207,-1)</f>
        <v>2970</v>
      </c>
      <c r="E122" s="71">
        <f t="shared" si="660"/>
        <v>9810</v>
      </c>
      <c r="H122" s="55">
        <f t="shared" si="505"/>
        <v>10791</v>
      </c>
      <c r="I122" s="55">
        <f t="shared" si="506"/>
        <v>10791</v>
      </c>
      <c r="J122" s="59">
        <f t="shared" si="507"/>
        <v>35672.887800000004</v>
      </c>
      <c r="K122" s="55">
        <f t="shared" si="661"/>
        <v>10467.27</v>
      </c>
      <c r="L122" s="59">
        <f t="shared" si="662"/>
        <v>34602.701165999999</v>
      </c>
      <c r="M122" s="55">
        <f t="shared" si="663"/>
        <v>10251.449999999999</v>
      </c>
      <c r="N122" s="59">
        <f t="shared" si="664"/>
        <v>33889.243409999995</v>
      </c>
      <c r="O122" s="55">
        <f t="shared" si="665"/>
        <v>10035.630000000001</v>
      </c>
      <c r="P122" s="59">
        <f t="shared" si="666"/>
        <v>33175.785654000007</v>
      </c>
      <c r="Q122" s="57">
        <f t="shared" si="667"/>
        <v>9819.81</v>
      </c>
      <c r="R122" s="59">
        <f t="shared" si="668"/>
        <v>32462.327898</v>
      </c>
      <c r="S122" s="55">
        <f t="shared" si="669"/>
        <v>9603.99</v>
      </c>
      <c r="T122" s="59">
        <f t="shared" si="670"/>
        <v>31748.870142</v>
      </c>
      <c r="U122" s="57">
        <f t="shared" si="671"/>
        <v>9388.17</v>
      </c>
      <c r="V122" s="59">
        <f t="shared" si="672"/>
        <v>31035.412386</v>
      </c>
      <c r="W122" s="60">
        <f t="shared" si="673"/>
        <v>9172.35</v>
      </c>
      <c r="X122" s="59">
        <f t="shared" si="674"/>
        <v>30321.95463</v>
      </c>
      <c r="Y122" s="57">
        <f t="shared" si="675"/>
        <v>8956.5299999999988</v>
      </c>
      <c r="Z122" s="59">
        <f t="shared" si="676"/>
        <v>29608.496873999997</v>
      </c>
      <c r="AA122" s="55">
        <f t="shared" si="677"/>
        <v>8740.7099999999991</v>
      </c>
      <c r="AB122" s="59">
        <f t="shared" si="678"/>
        <v>28895.039117999997</v>
      </c>
      <c r="AC122" s="60">
        <f t="shared" si="679"/>
        <v>8524.89</v>
      </c>
      <c r="AD122" s="59">
        <f t="shared" si="680"/>
        <v>28181.581361999997</v>
      </c>
      <c r="AE122" s="60">
        <f t="shared" si="681"/>
        <v>8309.07</v>
      </c>
      <c r="AF122" s="59">
        <f t="shared" si="682"/>
        <v>27468.123606000001</v>
      </c>
      <c r="AG122" s="60">
        <f t="shared" si="683"/>
        <v>8093.2499999999991</v>
      </c>
      <c r="AH122" s="59">
        <f t="shared" si="684"/>
        <v>26754.665849999998</v>
      </c>
      <c r="AI122" s="55">
        <f t="shared" si="685"/>
        <v>7877.4299999999985</v>
      </c>
      <c r="AJ122" s="59">
        <f t="shared" si="686"/>
        <v>26041.208093999994</v>
      </c>
      <c r="AK122" s="60">
        <f t="shared" si="687"/>
        <v>7661.6099999999988</v>
      </c>
      <c r="AL122" s="59">
        <f t="shared" si="688"/>
        <v>25327.750337999998</v>
      </c>
      <c r="AM122" s="60">
        <f t="shared" si="689"/>
        <v>7445.7899999999981</v>
      </c>
      <c r="AN122" s="59">
        <f t="shared" si="690"/>
        <v>24614.292581999995</v>
      </c>
      <c r="AO122" s="60">
        <f t="shared" si="691"/>
        <v>7229.9699999999984</v>
      </c>
      <c r="AP122" s="59">
        <f t="shared" si="692"/>
        <v>23900.834825999995</v>
      </c>
      <c r="AQ122" s="60">
        <f t="shared" si="693"/>
        <v>7014.1499999999978</v>
      </c>
      <c r="AR122" s="59">
        <f t="shared" si="694"/>
        <v>23187.377069999995</v>
      </c>
      <c r="AS122" s="55">
        <f t="shared" si="695"/>
        <v>6798.3299999999972</v>
      </c>
      <c r="AT122" s="59">
        <f t="shared" si="696"/>
        <v>22473.919313999992</v>
      </c>
      <c r="AU122" s="60">
        <f t="shared" si="697"/>
        <v>6582.5099999999975</v>
      </c>
      <c r="AV122" s="59">
        <f t="shared" si="698"/>
        <v>21760.461557999992</v>
      </c>
      <c r="AW122" s="60">
        <f t="shared" si="699"/>
        <v>6366.6899999999969</v>
      </c>
      <c r="AX122" s="59">
        <f t="shared" si="700"/>
        <v>21047.003801999988</v>
      </c>
      <c r="AY122" s="55">
        <f t="shared" si="701"/>
        <v>6150.8699999999972</v>
      </c>
      <c r="AZ122" s="59">
        <f t="shared" si="702"/>
        <v>20333.546045999992</v>
      </c>
      <c r="BC122" s="55">
        <v>1</v>
      </c>
      <c r="BD122" s="55">
        <v>0.97</v>
      </c>
      <c r="BE122" s="55">
        <v>0.95</v>
      </c>
      <c r="BF122" s="55">
        <v>0.93</v>
      </c>
      <c r="BG122" s="55">
        <f t="shared" si="703"/>
        <v>0.91</v>
      </c>
      <c r="BH122" s="55">
        <f t="shared" si="703"/>
        <v>0.89</v>
      </c>
      <c r="BI122" s="55">
        <f t="shared" si="703"/>
        <v>0.87</v>
      </c>
      <c r="BJ122" s="55">
        <f t="shared" si="703"/>
        <v>0.85</v>
      </c>
      <c r="BK122" s="55">
        <f t="shared" si="703"/>
        <v>0.83</v>
      </c>
      <c r="BL122" s="55">
        <f t="shared" si="703"/>
        <v>0.80999999999999994</v>
      </c>
      <c r="BM122" s="55">
        <f t="shared" si="703"/>
        <v>0.78999999999999992</v>
      </c>
      <c r="BN122" s="55">
        <f t="shared" si="703"/>
        <v>0.76999999999999991</v>
      </c>
      <c r="BO122" s="55">
        <f t="shared" si="703"/>
        <v>0.74999999999999989</v>
      </c>
      <c r="BP122" s="55">
        <f t="shared" si="703"/>
        <v>0.72999999999999987</v>
      </c>
      <c r="BQ122" s="55">
        <f t="shared" si="703"/>
        <v>0.70999999999999985</v>
      </c>
      <c r="BR122" s="55">
        <f t="shared" si="703"/>
        <v>0.68999999999999984</v>
      </c>
      <c r="BS122" s="55">
        <f t="shared" si="703"/>
        <v>0.66999999999999982</v>
      </c>
      <c r="BT122" s="55">
        <f t="shared" si="703"/>
        <v>0.6499999999999998</v>
      </c>
      <c r="BU122" s="55">
        <f t="shared" si="703"/>
        <v>0.62999999999999978</v>
      </c>
      <c r="BV122" s="55">
        <f t="shared" si="703"/>
        <v>0.60999999999999976</v>
      </c>
      <c r="BW122" s="55">
        <f t="shared" si="703"/>
        <v>0.58999999999999975</v>
      </c>
      <c r="BX122" s="55">
        <f t="shared" si="703"/>
        <v>0.56999999999999973</v>
      </c>
      <c r="BZ122" s="55">
        <f t="shared" si="508"/>
        <v>9819.81</v>
      </c>
      <c r="CA122" s="55">
        <f t="shared" si="509"/>
        <v>9819.81</v>
      </c>
      <c r="CB122" s="59">
        <f t="shared" si="704"/>
        <v>32462.327898</v>
      </c>
      <c r="CC122" s="55">
        <f t="shared" si="705"/>
        <v>9525.2156999999988</v>
      </c>
      <c r="CD122" s="59">
        <f t="shared" si="706"/>
        <v>31488.458061059995</v>
      </c>
      <c r="CE122" s="55">
        <f t="shared" si="707"/>
        <v>9328.8194999999996</v>
      </c>
      <c r="CF122" s="59">
        <f t="shared" si="708"/>
        <v>30839.211503099999</v>
      </c>
      <c r="CG122" s="55">
        <f t="shared" si="709"/>
        <v>9132.4233000000004</v>
      </c>
      <c r="CH122" s="59">
        <f t="shared" si="710"/>
        <v>30189.964945140004</v>
      </c>
      <c r="CI122" s="57">
        <f t="shared" si="711"/>
        <v>8936.0270999999993</v>
      </c>
      <c r="CJ122" s="59">
        <f t="shared" si="712"/>
        <v>29540.718387179997</v>
      </c>
      <c r="CK122" s="55">
        <f t="shared" si="713"/>
        <v>8739.6309000000001</v>
      </c>
      <c r="CL122" s="59">
        <f t="shared" si="714"/>
        <v>28891.471829220001</v>
      </c>
      <c r="CM122" s="57">
        <f t="shared" si="715"/>
        <v>8543.2346999999991</v>
      </c>
      <c r="CN122" s="59">
        <f t="shared" si="716"/>
        <v>28242.225271259998</v>
      </c>
      <c r="CO122" s="60">
        <f t="shared" si="717"/>
        <v>8346.8384999999998</v>
      </c>
      <c r="CP122" s="59">
        <f t="shared" si="718"/>
        <v>27592.978713299999</v>
      </c>
      <c r="CQ122" s="57">
        <f t="shared" si="719"/>
        <v>8150.4422999999988</v>
      </c>
      <c r="CR122" s="59">
        <f t="shared" si="720"/>
        <v>26943.732155339996</v>
      </c>
      <c r="CS122" s="55">
        <f t="shared" si="721"/>
        <v>7954.0460999999987</v>
      </c>
      <c r="CT122" s="59">
        <f t="shared" si="722"/>
        <v>26294.485597379997</v>
      </c>
      <c r="CU122" s="60">
        <f t="shared" si="723"/>
        <v>7757.6498999999985</v>
      </c>
      <c r="CV122" s="59">
        <f t="shared" si="724"/>
        <v>25645.239039419997</v>
      </c>
      <c r="CW122" s="60">
        <f t="shared" si="725"/>
        <v>7561.2536999999984</v>
      </c>
      <c r="CX122" s="59">
        <f t="shared" si="726"/>
        <v>24995.992481459994</v>
      </c>
      <c r="CY122" s="60">
        <f t="shared" si="727"/>
        <v>7364.8574999999983</v>
      </c>
      <c r="CZ122" s="59">
        <f t="shared" si="728"/>
        <v>24346.745923499995</v>
      </c>
      <c r="DA122" s="55">
        <f t="shared" si="729"/>
        <v>7168.4612999999981</v>
      </c>
      <c r="DB122" s="59">
        <f t="shared" si="730"/>
        <v>23697.499365539996</v>
      </c>
      <c r="DC122" s="60">
        <f t="shared" si="731"/>
        <v>6972.065099999998</v>
      </c>
      <c r="DD122" s="59">
        <f t="shared" si="732"/>
        <v>23048.252807579993</v>
      </c>
      <c r="DE122" s="60">
        <f t="shared" si="733"/>
        <v>6775.6688999999978</v>
      </c>
      <c r="DF122" s="59">
        <f t="shared" si="734"/>
        <v>22399.006249619993</v>
      </c>
      <c r="DG122" s="60">
        <f t="shared" si="735"/>
        <v>6579.2726999999977</v>
      </c>
      <c r="DH122" s="59">
        <f t="shared" si="736"/>
        <v>21749.759691659994</v>
      </c>
      <c r="DI122" s="60">
        <f t="shared" si="737"/>
        <v>6382.8764999999976</v>
      </c>
      <c r="DJ122" s="59">
        <f t="shared" si="738"/>
        <v>21100.513133699991</v>
      </c>
      <c r="DK122" s="55">
        <f t="shared" si="739"/>
        <v>6186.4802999999974</v>
      </c>
      <c r="DL122" s="59">
        <f t="shared" si="740"/>
        <v>20451.266575739992</v>
      </c>
      <c r="DM122" s="60">
        <f t="shared" si="741"/>
        <v>5990.0840999999973</v>
      </c>
      <c r="DN122" s="59">
        <f t="shared" si="742"/>
        <v>19802.020017779992</v>
      </c>
      <c r="DO122" s="60">
        <f t="shared" si="743"/>
        <v>5793.6878999999972</v>
      </c>
      <c r="DP122" s="59">
        <f t="shared" si="744"/>
        <v>19152.77345981999</v>
      </c>
      <c r="DQ122" s="55">
        <f t="shared" si="745"/>
        <v>5597.291699999997</v>
      </c>
      <c r="DR122" s="59">
        <f t="shared" si="746"/>
        <v>18503.52690185999</v>
      </c>
      <c r="DU122" s="55">
        <v>1</v>
      </c>
      <c r="DV122" s="55">
        <v>0.97</v>
      </c>
      <c r="DW122" s="55">
        <v>0.95</v>
      </c>
      <c r="DX122" s="55">
        <v>0.93</v>
      </c>
      <c r="DY122" s="55">
        <f t="shared" si="654"/>
        <v>0.91</v>
      </c>
      <c r="DZ122" s="55">
        <f t="shared" si="654"/>
        <v>0.89</v>
      </c>
      <c r="EA122" s="55">
        <f t="shared" si="654"/>
        <v>0.87</v>
      </c>
      <c r="EB122" s="55">
        <f t="shared" si="654"/>
        <v>0.85</v>
      </c>
      <c r="EC122" s="55">
        <f t="shared" si="654"/>
        <v>0.83</v>
      </c>
      <c r="ED122" s="55">
        <f t="shared" si="654"/>
        <v>0.80999999999999994</v>
      </c>
      <c r="EE122" s="55">
        <f t="shared" si="654"/>
        <v>0.78999999999999992</v>
      </c>
      <c r="EF122" s="55">
        <f t="shared" si="654"/>
        <v>0.76999999999999991</v>
      </c>
      <c r="EG122" s="55">
        <f t="shared" si="654"/>
        <v>0.74999999999999989</v>
      </c>
      <c r="EH122" s="55">
        <f t="shared" si="654"/>
        <v>0.72999999999999987</v>
      </c>
      <c r="EI122" s="55">
        <f t="shared" si="654"/>
        <v>0.70999999999999985</v>
      </c>
      <c r="EJ122" s="55">
        <f t="shared" si="654"/>
        <v>0.68999999999999984</v>
      </c>
      <c r="EK122" s="55">
        <f t="shared" si="654"/>
        <v>0.66999999999999982</v>
      </c>
      <c r="EL122" s="55">
        <f t="shared" si="654"/>
        <v>0.6499999999999998</v>
      </c>
      <c r="EM122" s="55">
        <f t="shared" si="654"/>
        <v>0.62999999999999978</v>
      </c>
      <c r="EN122" s="55">
        <f t="shared" si="654"/>
        <v>0.60999999999999976</v>
      </c>
      <c r="EO122" s="55">
        <f t="shared" si="654"/>
        <v>0.58999999999999975</v>
      </c>
      <c r="EP122" s="55">
        <f t="shared" si="654"/>
        <v>0.56999999999999973</v>
      </c>
      <c r="ER122" s="55">
        <f t="shared" si="648"/>
        <v>8936.0270999999993</v>
      </c>
      <c r="ES122" s="55">
        <f t="shared" si="510"/>
        <v>8936.0270999999993</v>
      </c>
      <c r="ET122" s="59">
        <f t="shared" si="747"/>
        <v>29540.718387179997</v>
      </c>
      <c r="EU122" s="55">
        <f t="shared" si="748"/>
        <v>8667.9462869999988</v>
      </c>
      <c r="EV122" s="59">
        <f t="shared" si="749"/>
        <v>28654.496835564598</v>
      </c>
      <c r="EW122" s="55">
        <f t="shared" si="750"/>
        <v>8489.2257449999997</v>
      </c>
      <c r="EX122" s="59">
        <f t="shared" si="751"/>
        <v>28063.682467821</v>
      </c>
      <c r="EY122" s="55">
        <f t="shared" si="752"/>
        <v>8310.5052030000006</v>
      </c>
      <c r="EZ122" s="59">
        <f t="shared" si="753"/>
        <v>27472.868100077401</v>
      </c>
      <c r="FA122" s="57">
        <f t="shared" si="754"/>
        <v>8131.7846609999997</v>
      </c>
      <c r="FB122" s="59">
        <f t="shared" si="755"/>
        <v>26882.053732333799</v>
      </c>
      <c r="FC122" s="55">
        <f t="shared" si="756"/>
        <v>7953.0641189999997</v>
      </c>
      <c r="FD122" s="59">
        <f t="shared" si="757"/>
        <v>26291.239364590201</v>
      </c>
      <c r="FE122" s="57">
        <f t="shared" si="758"/>
        <v>7774.3435769999996</v>
      </c>
      <c r="FF122" s="59">
        <f t="shared" si="759"/>
        <v>25700.424996846599</v>
      </c>
      <c r="FG122" s="60">
        <f t="shared" si="760"/>
        <v>7595.6230349999996</v>
      </c>
      <c r="FH122" s="59">
        <f t="shared" si="761"/>
        <v>25109.610629103001</v>
      </c>
      <c r="FI122" s="57">
        <f t="shared" si="762"/>
        <v>7416.9024929999987</v>
      </c>
      <c r="FJ122" s="59">
        <f t="shared" si="763"/>
        <v>24518.796261359395</v>
      </c>
      <c r="FK122" s="55">
        <f t="shared" si="764"/>
        <v>7238.1819509999987</v>
      </c>
      <c r="FL122" s="59">
        <f t="shared" si="765"/>
        <v>23927.981893615797</v>
      </c>
      <c r="FM122" s="60">
        <f t="shared" si="766"/>
        <v>7059.4614089999986</v>
      </c>
      <c r="FN122" s="59">
        <f t="shared" si="767"/>
        <v>23337.167525872195</v>
      </c>
      <c r="FO122" s="60">
        <f t="shared" si="768"/>
        <v>6880.7408669999986</v>
      </c>
      <c r="FP122" s="59">
        <f t="shared" si="769"/>
        <v>22746.353158128597</v>
      </c>
      <c r="FQ122" s="60">
        <f t="shared" si="770"/>
        <v>6702.0203249999986</v>
      </c>
      <c r="FR122" s="59">
        <f t="shared" si="771"/>
        <v>22155.538790384995</v>
      </c>
      <c r="FS122" s="55">
        <f t="shared" si="772"/>
        <v>6523.2997829999986</v>
      </c>
      <c r="FT122" s="59">
        <f t="shared" si="773"/>
        <v>21564.724422641397</v>
      </c>
      <c r="FU122" s="60">
        <f t="shared" si="774"/>
        <v>6344.5792409999985</v>
      </c>
      <c r="FV122" s="59">
        <f t="shared" si="775"/>
        <v>20973.910054897795</v>
      </c>
      <c r="FW122" s="60">
        <f t="shared" si="776"/>
        <v>6165.8586989999985</v>
      </c>
      <c r="FX122" s="59">
        <f t="shared" si="777"/>
        <v>20383.095687154197</v>
      </c>
      <c r="FY122" s="60">
        <f t="shared" si="778"/>
        <v>5987.1381569999976</v>
      </c>
      <c r="FZ122" s="59">
        <f t="shared" si="779"/>
        <v>19792.281319410591</v>
      </c>
      <c r="GA122" s="60">
        <f t="shared" si="780"/>
        <v>5808.4176149999976</v>
      </c>
      <c r="GB122" s="59">
        <f t="shared" si="781"/>
        <v>19201.466951666993</v>
      </c>
      <c r="GC122" s="55">
        <f t="shared" si="782"/>
        <v>5629.6970729999975</v>
      </c>
      <c r="GD122" s="59">
        <f t="shared" si="783"/>
        <v>18610.652583923391</v>
      </c>
      <c r="GE122" s="60">
        <f t="shared" si="784"/>
        <v>5450.9765309999975</v>
      </c>
      <c r="GF122" s="59">
        <f t="shared" si="785"/>
        <v>18019.838216179793</v>
      </c>
      <c r="GG122" s="60">
        <f t="shared" si="786"/>
        <v>5272.2559889999975</v>
      </c>
      <c r="GH122" s="59">
        <f t="shared" si="787"/>
        <v>17429.023848436191</v>
      </c>
      <c r="GI122" s="55">
        <f t="shared" si="788"/>
        <v>5093.5354469999975</v>
      </c>
      <c r="GJ122" s="59">
        <f t="shared" si="789"/>
        <v>16838.209480692592</v>
      </c>
      <c r="GK122" s="55"/>
      <c r="GL122" s="55"/>
      <c r="GM122" s="55">
        <v>1</v>
      </c>
      <c r="GN122" s="55">
        <v>0.97</v>
      </c>
      <c r="GO122" s="55">
        <v>0.95</v>
      </c>
      <c r="GP122" s="55">
        <v>0.93</v>
      </c>
      <c r="GQ122" s="55">
        <f t="shared" si="655"/>
        <v>0.91</v>
      </c>
      <c r="GR122" s="55">
        <f t="shared" si="655"/>
        <v>0.89</v>
      </c>
      <c r="GS122" s="55">
        <f t="shared" si="655"/>
        <v>0.87</v>
      </c>
      <c r="GT122" s="55">
        <f t="shared" si="655"/>
        <v>0.85</v>
      </c>
      <c r="GU122" s="55">
        <f t="shared" si="655"/>
        <v>0.83</v>
      </c>
      <c r="GV122" s="55">
        <f t="shared" si="655"/>
        <v>0.80999999999999994</v>
      </c>
      <c r="GW122" s="55">
        <f t="shared" si="655"/>
        <v>0.78999999999999992</v>
      </c>
      <c r="GX122" s="55">
        <f t="shared" si="655"/>
        <v>0.76999999999999991</v>
      </c>
      <c r="GY122" s="55">
        <f t="shared" si="655"/>
        <v>0.74999999999999989</v>
      </c>
      <c r="GZ122" s="55">
        <f t="shared" si="655"/>
        <v>0.72999999999999987</v>
      </c>
      <c r="HA122" s="55">
        <f t="shared" si="655"/>
        <v>0.70999999999999985</v>
      </c>
      <c r="HB122" s="55">
        <f t="shared" si="655"/>
        <v>0.68999999999999984</v>
      </c>
      <c r="HC122" s="55">
        <f t="shared" si="655"/>
        <v>0.66999999999999982</v>
      </c>
      <c r="HD122" s="55">
        <f t="shared" si="655"/>
        <v>0.6499999999999998</v>
      </c>
      <c r="HE122" s="55">
        <f t="shared" si="655"/>
        <v>0.62999999999999978</v>
      </c>
      <c r="HF122" s="55">
        <f t="shared" si="655"/>
        <v>0.60999999999999976</v>
      </c>
      <c r="HG122" s="55">
        <f t="shared" si="655"/>
        <v>0.58999999999999975</v>
      </c>
      <c r="HH122" s="55">
        <f t="shared" si="655"/>
        <v>0.56999999999999973</v>
      </c>
    </row>
    <row r="123" spans="1:216" x14ac:dyDescent="0.3">
      <c r="A123" s="2">
        <v>8</v>
      </c>
      <c r="C123" s="38" t="s">
        <v>127</v>
      </c>
      <c r="D123" s="42">
        <v>0</v>
      </c>
      <c r="E123" s="71">
        <f t="shared" si="660"/>
        <v>0</v>
      </c>
      <c r="H123" s="55">
        <f t="shared" si="505"/>
        <v>0</v>
      </c>
      <c r="I123" s="55">
        <f t="shared" si="506"/>
        <v>0</v>
      </c>
      <c r="J123" s="59">
        <f t="shared" si="507"/>
        <v>0</v>
      </c>
      <c r="K123" s="55">
        <f t="shared" si="661"/>
        <v>0</v>
      </c>
      <c r="L123" s="59">
        <f t="shared" si="662"/>
        <v>0</v>
      </c>
      <c r="M123" s="55">
        <f t="shared" si="663"/>
        <v>0</v>
      </c>
      <c r="N123" s="59">
        <f t="shared" si="664"/>
        <v>0</v>
      </c>
      <c r="O123" s="55">
        <f t="shared" si="665"/>
        <v>0</v>
      </c>
      <c r="P123" s="59">
        <f t="shared" si="666"/>
        <v>0</v>
      </c>
      <c r="Q123" s="57">
        <f t="shared" si="667"/>
        <v>0</v>
      </c>
      <c r="R123" s="59">
        <f t="shared" si="668"/>
        <v>0</v>
      </c>
      <c r="S123" s="55">
        <f t="shared" si="669"/>
        <v>0</v>
      </c>
      <c r="T123" s="59">
        <f t="shared" si="670"/>
        <v>0</v>
      </c>
      <c r="U123" s="57">
        <f t="shared" si="671"/>
        <v>0</v>
      </c>
      <c r="V123" s="59">
        <f t="shared" si="672"/>
        <v>0</v>
      </c>
      <c r="W123" s="60">
        <f t="shared" si="673"/>
        <v>0</v>
      </c>
      <c r="X123" s="59">
        <f t="shared" si="674"/>
        <v>0</v>
      </c>
      <c r="Y123" s="57">
        <f t="shared" si="675"/>
        <v>0</v>
      </c>
      <c r="Z123" s="59">
        <f t="shared" si="676"/>
        <v>0</v>
      </c>
      <c r="AA123" s="55">
        <f t="shared" si="677"/>
        <v>0</v>
      </c>
      <c r="AB123" s="59">
        <f t="shared" si="678"/>
        <v>0</v>
      </c>
      <c r="AC123" s="60">
        <f t="shared" si="679"/>
        <v>0</v>
      </c>
      <c r="AD123" s="59">
        <f t="shared" si="680"/>
        <v>0</v>
      </c>
      <c r="AE123" s="60">
        <f t="shared" si="681"/>
        <v>0</v>
      </c>
      <c r="AF123" s="59">
        <f t="shared" si="682"/>
        <v>0</v>
      </c>
      <c r="AG123" s="60">
        <f t="shared" si="683"/>
        <v>0</v>
      </c>
      <c r="AH123" s="59">
        <f t="shared" si="684"/>
        <v>0</v>
      </c>
      <c r="AI123" s="55">
        <f t="shared" si="685"/>
        <v>0</v>
      </c>
      <c r="AJ123" s="59">
        <f t="shared" si="686"/>
        <v>0</v>
      </c>
      <c r="AK123" s="60">
        <f t="shared" si="687"/>
        <v>0</v>
      </c>
      <c r="AL123" s="59">
        <f t="shared" si="688"/>
        <v>0</v>
      </c>
      <c r="AM123" s="60">
        <f t="shared" si="689"/>
        <v>0</v>
      </c>
      <c r="AN123" s="59">
        <f t="shared" si="690"/>
        <v>0</v>
      </c>
      <c r="AO123" s="60">
        <f t="shared" si="691"/>
        <v>0</v>
      </c>
      <c r="AP123" s="59">
        <f t="shared" si="692"/>
        <v>0</v>
      </c>
      <c r="AQ123" s="60">
        <f t="shared" si="693"/>
        <v>0</v>
      </c>
      <c r="AR123" s="59">
        <f t="shared" si="694"/>
        <v>0</v>
      </c>
      <c r="AS123" s="55">
        <f t="shared" si="695"/>
        <v>0</v>
      </c>
      <c r="AT123" s="59">
        <f t="shared" si="696"/>
        <v>0</v>
      </c>
      <c r="AU123" s="60">
        <f t="shared" si="697"/>
        <v>0</v>
      </c>
      <c r="AV123" s="59">
        <f t="shared" si="698"/>
        <v>0</v>
      </c>
      <c r="AW123" s="60">
        <f t="shared" si="699"/>
        <v>0</v>
      </c>
      <c r="AX123" s="59">
        <f t="shared" si="700"/>
        <v>0</v>
      </c>
      <c r="AY123" s="55">
        <f t="shared" si="701"/>
        <v>0</v>
      </c>
      <c r="AZ123" s="59">
        <f t="shared" si="702"/>
        <v>0</v>
      </c>
      <c r="BC123" s="55">
        <v>1</v>
      </c>
      <c r="BD123" s="55">
        <v>0.97</v>
      </c>
      <c r="BE123" s="55">
        <v>0.95</v>
      </c>
      <c r="BF123" s="55">
        <v>0.93</v>
      </c>
      <c r="BG123" s="55">
        <f t="shared" si="703"/>
        <v>0.91</v>
      </c>
      <c r="BH123" s="55">
        <f t="shared" si="703"/>
        <v>0.89</v>
      </c>
      <c r="BI123" s="55">
        <f t="shared" si="703"/>
        <v>0.87</v>
      </c>
      <c r="BJ123" s="55">
        <f t="shared" si="703"/>
        <v>0.85</v>
      </c>
      <c r="BK123" s="55">
        <f t="shared" si="703"/>
        <v>0.83</v>
      </c>
      <c r="BL123" s="55">
        <f t="shared" si="703"/>
        <v>0.80999999999999994</v>
      </c>
      <c r="BM123" s="55">
        <f t="shared" si="703"/>
        <v>0.78999999999999992</v>
      </c>
      <c r="BN123" s="55">
        <f t="shared" si="703"/>
        <v>0.76999999999999991</v>
      </c>
      <c r="BO123" s="55">
        <f t="shared" si="703"/>
        <v>0.74999999999999989</v>
      </c>
      <c r="BP123" s="55">
        <f t="shared" si="703"/>
        <v>0.72999999999999987</v>
      </c>
      <c r="BQ123" s="55">
        <f t="shared" si="703"/>
        <v>0.70999999999999985</v>
      </c>
      <c r="BR123" s="55">
        <f t="shared" si="703"/>
        <v>0.68999999999999984</v>
      </c>
      <c r="BS123" s="55">
        <f t="shared" si="703"/>
        <v>0.66999999999999982</v>
      </c>
      <c r="BT123" s="55">
        <f t="shared" si="703"/>
        <v>0.6499999999999998</v>
      </c>
      <c r="BU123" s="55">
        <f t="shared" si="703"/>
        <v>0.62999999999999978</v>
      </c>
      <c r="BV123" s="55">
        <f t="shared" si="703"/>
        <v>0.60999999999999976</v>
      </c>
      <c r="BW123" s="55">
        <f t="shared" si="703"/>
        <v>0.58999999999999975</v>
      </c>
      <c r="BX123" s="55">
        <f t="shared" si="703"/>
        <v>0.56999999999999973</v>
      </c>
      <c r="BZ123" s="55">
        <f t="shared" si="508"/>
        <v>0</v>
      </c>
      <c r="CA123" s="55">
        <f t="shared" si="509"/>
        <v>0</v>
      </c>
      <c r="CB123" s="59">
        <f t="shared" si="704"/>
        <v>0</v>
      </c>
      <c r="CC123" s="55">
        <f t="shared" si="705"/>
        <v>0</v>
      </c>
      <c r="CD123" s="59">
        <f t="shared" si="706"/>
        <v>0</v>
      </c>
      <c r="CE123" s="55">
        <f t="shared" si="707"/>
        <v>0</v>
      </c>
      <c r="CF123" s="59">
        <f t="shared" si="708"/>
        <v>0</v>
      </c>
      <c r="CG123" s="55">
        <f t="shared" si="709"/>
        <v>0</v>
      </c>
      <c r="CH123" s="59">
        <f t="shared" si="710"/>
        <v>0</v>
      </c>
      <c r="CI123" s="57">
        <f t="shared" si="711"/>
        <v>0</v>
      </c>
      <c r="CJ123" s="59">
        <f t="shared" si="712"/>
        <v>0</v>
      </c>
      <c r="CK123" s="55">
        <f t="shared" si="713"/>
        <v>0</v>
      </c>
      <c r="CL123" s="59">
        <f t="shared" si="714"/>
        <v>0</v>
      </c>
      <c r="CM123" s="57">
        <f t="shared" si="715"/>
        <v>0</v>
      </c>
      <c r="CN123" s="59">
        <f t="shared" si="716"/>
        <v>0</v>
      </c>
      <c r="CO123" s="60">
        <f t="shared" si="717"/>
        <v>0</v>
      </c>
      <c r="CP123" s="59">
        <f t="shared" si="718"/>
        <v>0</v>
      </c>
      <c r="CQ123" s="57">
        <f t="shared" si="719"/>
        <v>0</v>
      </c>
      <c r="CR123" s="59">
        <f t="shared" si="720"/>
        <v>0</v>
      </c>
      <c r="CS123" s="55">
        <f t="shared" si="721"/>
        <v>0</v>
      </c>
      <c r="CT123" s="59">
        <f t="shared" si="722"/>
        <v>0</v>
      </c>
      <c r="CU123" s="60">
        <f t="shared" si="723"/>
        <v>0</v>
      </c>
      <c r="CV123" s="59">
        <f t="shared" si="724"/>
        <v>0</v>
      </c>
      <c r="CW123" s="60">
        <f t="shared" si="725"/>
        <v>0</v>
      </c>
      <c r="CX123" s="59">
        <f t="shared" si="726"/>
        <v>0</v>
      </c>
      <c r="CY123" s="60">
        <f t="shared" si="727"/>
        <v>0</v>
      </c>
      <c r="CZ123" s="59">
        <f t="shared" si="728"/>
        <v>0</v>
      </c>
      <c r="DA123" s="55">
        <f t="shared" si="729"/>
        <v>0</v>
      </c>
      <c r="DB123" s="59">
        <f t="shared" si="730"/>
        <v>0</v>
      </c>
      <c r="DC123" s="60">
        <f t="shared" si="731"/>
        <v>0</v>
      </c>
      <c r="DD123" s="59">
        <f t="shared" si="732"/>
        <v>0</v>
      </c>
      <c r="DE123" s="60">
        <f t="shared" si="733"/>
        <v>0</v>
      </c>
      <c r="DF123" s="59">
        <f t="shared" si="734"/>
        <v>0</v>
      </c>
      <c r="DG123" s="60">
        <f t="shared" si="735"/>
        <v>0</v>
      </c>
      <c r="DH123" s="59">
        <f t="shared" si="736"/>
        <v>0</v>
      </c>
      <c r="DI123" s="60">
        <f t="shared" si="737"/>
        <v>0</v>
      </c>
      <c r="DJ123" s="59">
        <f t="shared" si="738"/>
        <v>0</v>
      </c>
      <c r="DK123" s="55">
        <f t="shared" si="739"/>
        <v>0</v>
      </c>
      <c r="DL123" s="59">
        <f t="shared" si="740"/>
        <v>0</v>
      </c>
      <c r="DM123" s="60">
        <f t="shared" si="741"/>
        <v>0</v>
      </c>
      <c r="DN123" s="59">
        <f t="shared" si="742"/>
        <v>0</v>
      </c>
      <c r="DO123" s="60">
        <f t="shared" si="743"/>
        <v>0</v>
      </c>
      <c r="DP123" s="59">
        <f t="shared" si="744"/>
        <v>0</v>
      </c>
      <c r="DQ123" s="55">
        <f t="shared" si="745"/>
        <v>0</v>
      </c>
      <c r="DR123" s="59">
        <f t="shared" si="746"/>
        <v>0</v>
      </c>
      <c r="DU123" s="55">
        <v>1</v>
      </c>
      <c r="DV123" s="55">
        <v>0.97</v>
      </c>
      <c r="DW123" s="55">
        <v>0.95</v>
      </c>
      <c r="DX123" s="55">
        <v>0.93</v>
      </c>
      <c r="DY123" s="55">
        <f t="shared" si="654"/>
        <v>0.91</v>
      </c>
      <c r="DZ123" s="55">
        <f t="shared" si="654"/>
        <v>0.89</v>
      </c>
      <c r="EA123" s="55">
        <f t="shared" si="654"/>
        <v>0.87</v>
      </c>
      <c r="EB123" s="55">
        <f t="shared" ref="EB123:EP123" si="790">+EA123-0.02</f>
        <v>0.85</v>
      </c>
      <c r="EC123" s="55">
        <f t="shared" si="790"/>
        <v>0.83</v>
      </c>
      <c r="ED123" s="55">
        <f t="shared" si="790"/>
        <v>0.80999999999999994</v>
      </c>
      <c r="EE123" s="55">
        <f t="shared" si="790"/>
        <v>0.78999999999999992</v>
      </c>
      <c r="EF123" s="55">
        <f t="shared" si="790"/>
        <v>0.76999999999999991</v>
      </c>
      <c r="EG123" s="55">
        <f t="shared" si="790"/>
        <v>0.74999999999999989</v>
      </c>
      <c r="EH123" s="55">
        <f t="shared" si="790"/>
        <v>0.72999999999999987</v>
      </c>
      <c r="EI123" s="55">
        <f t="shared" si="790"/>
        <v>0.70999999999999985</v>
      </c>
      <c r="EJ123" s="55">
        <f t="shared" si="790"/>
        <v>0.68999999999999984</v>
      </c>
      <c r="EK123" s="55">
        <f t="shared" si="790"/>
        <v>0.66999999999999982</v>
      </c>
      <c r="EL123" s="55">
        <f t="shared" si="790"/>
        <v>0.6499999999999998</v>
      </c>
      <c r="EM123" s="55">
        <f t="shared" si="790"/>
        <v>0.62999999999999978</v>
      </c>
      <c r="EN123" s="55">
        <f t="shared" si="790"/>
        <v>0.60999999999999976</v>
      </c>
      <c r="EO123" s="55">
        <f t="shared" si="790"/>
        <v>0.58999999999999975</v>
      </c>
      <c r="EP123" s="55">
        <f t="shared" si="790"/>
        <v>0.56999999999999973</v>
      </c>
      <c r="ER123" s="55">
        <f t="shared" si="648"/>
        <v>0</v>
      </c>
      <c r="ES123" s="55">
        <f t="shared" si="510"/>
        <v>0</v>
      </c>
      <c r="ET123" s="59">
        <f t="shared" si="747"/>
        <v>0</v>
      </c>
      <c r="EU123" s="55">
        <f t="shared" si="748"/>
        <v>0</v>
      </c>
      <c r="EV123" s="59">
        <f t="shared" si="749"/>
        <v>0</v>
      </c>
      <c r="EW123" s="55">
        <f t="shared" si="750"/>
        <v>0</v>
      </c>
      <c r="EX123" s="59">
        <f t="shared" si="751"/>
        <v>0</v>
      </c>
      <c r="EY123" s="55">
        <f t="shared" si="752"/>
        <v>0</v>
      </c>
      <c r="EZ123" s="59">
        <f t="shared" si="753"/>
        <v>0</v>
      </c>
      <c r="FA123" s="57">
        <f t="shared" si="754"/>
        <v>0</v>
      </c>
      <c r="FB123" s="59">
        <f t="shared" si="755"/>
        <v>0</v>
      </c>
      <c r="FC123" s="55">
        <f t="shared" si="756"/>
        <v>0</v>
      </c>
      <c r="FD123" s="59">
        <f t="shared" si="757"/>
        <v>0</v>
      </c>
      <c r="FE123" s="57">
        <f t="shared" si="758"/>
        <v>0</v>
      </c>
      <c r="FF123" s="59">
        <f t="shared" si="759"/>
        <v>0</v>
      </c>
      <c r="FG123" s="60">
        <f t="shared" si="760"/>
        <v>0</v>
      </c>
      <c r="FH123" s="59">
        <f t="shared" si="761"/>
        <v>0</v>
      </c>
      <c r="FI123" s="57">
        <f t="shared" si="762"/>
        <v>0</v>
      </c>
      <c r="FJ123" s="59">
        <f t="shared" si="763"/>
        <v>0</v>
      </c>
      <c r="FK123" s="55">
        <f t="shared" si="764"/>
        <v>0</v>
      </c>
      <c r="FL123" s="59">
        <f t="shared" si="765"/>
        <v>0</v>
      </c>
      <c r="FM123" s="60">
        <f t="shared" si="766"/>
        <v>0</v>
      </c>
      <c r="FN123" s="59">
        <f t="shared" si="767"/>
        <v>0</v>
      </c>
      <c r="FO123" s="60">
        <f t="shared" si="768"/>
        <v>0</v>
      </c>
      <c r="FP123" s="59">
        <f t="shared" si="769"/>
        <v>0</v>
      </c>
      <c r="FQ123" s="60">
        <f t="shared" si="770"/>
        <v>0</v>
      </c>
      <c r="FR123" s="59">
        <f t="shared" si="771"/>
        <v>0</v>
      </c>
      <c r="FS123" s="55">
        <f t="shared" si="772"/>
        <v>0</v>
      </c>
      <c r="FT123" s="59">
        <f t="shared" si="773"/>
        <v>0</v>
      </c>
      <c r="FU123" s="60">
        <f t="shared" si="774"/>
        <v>0</v>
      </c>
      <c r="FV123" s="59">
        <f t="shared" si="775"/>
        <v>0</v>
      </c>
      <c r="FW123" s="60">
        <f t="shared" si="776"/>
        <v>0</v>
      </c>
      <c r="FX123" s="59">
        <f t="shared" si="777"/>
        <v>0</v>
      </c>
      <c r="FY123" s="60">
        <f t="shared" si="778"/>
        <v>0</v>
      </c>
      <c r="FZ123" s="59">
        <f t="shared" si="779"/>
        <v>0</v>
      </c>
      <c r="GA123" s="60">
        <f t="shared" si="780"/>
        <v>0</v>
      </c>
      <c r="GB123" s="59">
        <f t="shared" si="781"/>
        <v>0</v>
      </c>
      <c r="GC123" s="55">
        <f t="shared" si="782"/>
        <v>0</v>
      </c>
      <c r="GD123" s="59">
        <f t="shared" si="783"/>
        <v>0</v>
      </c>
      <c r="GE123" s="60">
        <f t="shared" si="784"/>
        <v>0</v>
      </c>
      <c r="GF123" s="59">
        <f t="shared" si="785"/>
        <v>0</v>
      </c>
      <c r="GG123" s="60">
        <f t="shared" si="786"/>
        <v>0</v>
      </c>
      <c r="GH123" s="59">
        <f t="shared" si="787"/>
        <v>0</v>
      </c>
      <c r="GI123" s="55">
        <f t="shared" si="788"/>
        <v>0</v>
      </c>
      <c r="GJ123" s="59">
        <f t="shared" si="789"/>
        <v>0</v>
      </c>
      <c r="GK123" s="55"/>
      <c r="GL123" s="55"/>
      <c r="GM123" s="55">
        <v>1</v>
      </c>
      <c r="GN123" s="55">
        <v>0.97</v>
      </c>
      <c r="GO123" s="55">
        <v>0.95</v>
      </c>
      <c r="GP123" s="55">
        <v>0.93</v>
      </c>
      <c r="GQ123" s="55">
        <f t="shared" si="655"/>
        <v>0.91</v>
      </c>
      <c r="GR123" s="55">
        <f t="shared" si="655"/>
        <v>0.89</v>
      </c>
      <c r="GS123" s="55">
        <f t="shared" si="655"/>
        <v>0.87</v>
      </c>
      <c r="GT123" s="55">
        <f t="shared" ref="GT123:HH123" si="791">+GS123-0.02</f>
        <v>0.85</v>
      </c>
      <c r="GU123" s="55">
        <f t="shared" si="791"/>
        <v>0.83</v>
      </c>
      <c r="GV123" s="55">
        <f t="shared" si="791"/>
        <v>0.80999999999999994</v>
      </c>
      <c r="GW123" s="55">
        <f t="shared" si="791"/>
        <v>0.78999999999999992</v>
      </c>
      <c r="GX123" s="55">
        <f t="shared" si="791"/>
        <v>0.76999999999999991</v>
      </c>
      <c r="GY123" s="55">
        <f t="shared" si="791"/>
        <v>0.74999999999999989</v>
      </c>
      <c r="GZ123" s="55">
        <f t="shared" si="791"/>
        <v>0.72999999999999987</v>
      </c>
      <c r="HA123" s="55">
        <f t="shared" si="791"/>
        <v>0.70999999999999985</v>
      </c>
      <c r="HB123" s="55">
        <f t="shared" si="791"/>
        <v>0.68999999999999984</v>
      </c>
      <c r="HC123" s="55">
        <f t="shared" si="791"/>
        <v>0.66999999999999982</v>
      </c>
      <c r="HD123" s="55">
        <f t="shared" si="791"/>
        <v>0.6499999999999998</v>
      </c>
      <c r="HE123" s="55">
        <f t="shared" si="791"/>
        <v>0.62999999999999978</v>
      </c>
      <c r="HF123" s="55">
        <f t="shared" si="791"/>
        <v>0.60999999999999976</v>
      </c>
      <c r="HG123" s="55">
        <f t="shared" si="791"/>
        <v>0.58999999999999975</v>
      </c>
      <c r="HH123" s="55">
        <f t="shared" si="791"/>
        <v>0.56999999999999973</v>
      </c>
    </row>
    <row r="124" spans="1:216" ht="17.25" customHeight="1" x14ac:dyDescent="0.3">
      <c r="A124" s="2">
        <v>9</v>
      </c>
      <c r="C124" s="38" t="s">
        <v>54</v>
      </c>
      <c r="D124" s="42">
        <v>0</v>
      </c>
      <c r="E124" s="71">
        <f t="shared" si="660"/>
        <v>0</v>
      </c>
      <c r="H124" s="55">
        <f t="shared" si="505"/>
        <v>0</v>
      </c>
      <c r="I124" s="55">
        <f t="shared" si="506"/>
        <v>0</v>
      </c>
      <c r="J124" s="59">
        <f t="shared" si="507"/>
        <v>0</v>
      </c>
      <c r="K124" s="55">
        <f t="shared" si="661"/>
        <v>0</v>
      </c>
      <c r="L124" s="59">
        <f t="shared" si="662"/>
        <v>0</v>
      </c>
      <c r="M124" s="55">
        <f t="shared" si="663"/>
        <v>0</v>
      </c>
      <c r="N124" s="59">
        <f t="shared" si="664"/>
        <v>0</v>
      </c>
      <c r="O124" s="55">
        <f t="shared" si="665"/>
        <v>0</v>
      </c>
      <c r="P124" s="59">
        <f t="shared" si="666"/>
        <v>0</v>
      </c>
      <c r="Q124" s="57">
        <f t="shared" si="667"/>
        <v>0</v>
      </c>
      <c r="R124" s="59">
        <f t="shared" si="668"/>
        <v>0</v>
      </c>
      <c r="S124" s="55">
        <f t="shared" si="669"/>
        <v>0</v>
      </c>
      <c r="T124" s="59">
        <f t="shared" si="670"/>
        <v>0</v>
      </c>
      <c r="U124" s="57">
        <f t="shared" si="671"/>
        <v>0</v>
      </c>
      <c r="V124" s="59">
        <f t="shared" si="672"/>
        <v>0</v>
      </c>
      <c r="W124" s="60">
        <f t="shared" si="673"/>
        <v>0</v>
      </c>
      <c r="X124" s="59">
        <f t="shared" si="674"/>
        <v>0</v>
      </c>
      <c r="Y124" s="57">
        <f t="shared" si="675"/>
        <v>0</v>
      </c>
      <c r="Z124" s="59">
        <f t="shared" si="676"/>
        <v>0</v>
      </c>
      <c r="AA124" s="55">
        <f t="shared" si="677"/>
        <v>0</v>
      </c>
      <c r="AB124" s="59">
        <f t="shared" si="678"/>
        <v>0</v>
      </c>
      <c r="AC124" s="60">
        <f t="shared" si="679"/>
        <v>0</v>
      </c>
      <c r="AD124" s="59">
        <f t="shared" si="680"/>
        <v>0</v>
      </c>
      <c r="AE124" s="60">
        <f t="shared" si="681"/>
        <v>0</v>
      </c>
      <c r="AF124" s="59">
        <f t="shared" si="682"/>
        <v>0</v>
      </c>
      <c r="AG124" s="60">
        <f t="shared" si="683"/>
        <v>0</v>
      </c>
      <c r="AH124" s="59">
        <f t="shared" si="684"/>
        <v>0</v>
      </c>
      <c r="AI124" s="55">
        <f t="shared" si="685"/>
        <v>0</v>
      </c>
      <c r="AJ124" s="59">
        <f t="shared" si="686"/>
        <v>0</v>
      </c>
      <c r="AK124" s="60">
        <f t="shared" si="687"/>
        <v>0</v>
      </c>
      <c r="AL124" s="59">
        <f t="shared" si="688"/>
        <v>0</v>
      </c>
      <c r="AM124" s="60">
        <f t="shared" si="689"/>
        <v>0</v>
      </c>
      <c r="AN124" s="59">
        <f t="shared" si="690"/>
        <v>0</v>
      </c>
      <c r="AO124" s="60">
        <f t="shared" si="691"/>
        <v>0</v>
      </c>
      <c r="AP124" s="59">
        <f t="shared" si="692"/>
        <v>0</v>
      </c>
      <c r="AQ124" s="60">
        <f t="shared" si="693"/>
        <v>0</v>
      </c>
      <c r="AR124" s="59">
        <f t="shared" si="694"/>
        <v>0</v>
      </c>
      <c r="AS124" s="55">
        <f t="shared" si="695"/>
        <v>0</v>
      </c>
      <c r="AT124" s="59">
        <f t="shared" si="696"/>
        <v>0</v>
      </c>
      <c r="AU124" s="60">
        <f t="shared" si="697"/>
        <v>0</v>
      </c>
      <c r="AV124" s="59">
        <f t="shared" si="698"/>
        <v>0</v>
      </c>
      <c r="AW124" s="60">
        <f t="shared" si="699"/>
        <v>0</v>
      </c>
      <c r="AX124" s="59">
        <f t="shared" si="700"/>
        <v>0</v>
      </c>
      <c r="AY124" s="55">
        <f t="shared" si="701"/>
        <v>0</v>
      </c>
      <c r="AZ124" s="59">
        <f t="shared" si="702"/>
        <v>0</v>
      </c>
      <c r="BC124" s="55">
        <v>1</v>
      </c>
      <c r="BD124" s="55">
        <v>0.97</v>
      </c>
      <c r="BE124" s="55">
        <v>0.95</v>
      </c>
      <c r="BF124" s="55">
        <v>0.93</v>
      </c>
      <c r="BG124" s="55">
        <f t="shared" si="703"/>
        <v>0.91</v>
      </c>
      <c r="BH124" s="55">
        <f t="shared" si="703"/>
        <v>0.89</v>
      </c>
      <c r="BI124" s="55">
        <f t="shared" si="703"/>
        <v>0.87</v>
      </c>
      <c r="BJ124" s="55">
        <f t="shared" si="703"/>
        <v>0.85</v>
      </c>
      <c r="BK124" s="55">
        <f t="shared" si="703"/>
        <v>0.83</v>
      </c>
      <c r="BL124" s="55">
        <f t="shared" si="703"/>
        <v>0.80999999999999994</v>
      </c>
      <c r="BM124" s="55">
        <f t="shared" si="703"/>
        <v>0.78999999999999992</v>
      </c>
      <c r="BN124" s="55">
        <f t="shared" si="703"/>
        <v>0.76999999999999991</v>
      </c>
      <c r="BO124" s="55">
        <f t="shared" si="703"/>
        <v>0.74999999999999989</v>
      </c>
      <c r="BP124" s="55">
        <f t="shared" si="703"/>
        <v>0.72999999999999987</v>
      </c>
      <c r="BQ124" s="55">
        <f t="shared" si="703"/>
        <v>0.70999999999999985</v>
      </c>
      <c r="BR124" s="55">
        <f t="shared" si="703"/>
        <v>0.68999999999999984</v>
      </c>
      <c r="BS124" s="55">
        <f t="shared" si="703"/>
        <v>0.66999999999999982</v>
      </c>
      <c r="BT124" s="55">
        <f t="shared" si="703"/>
        <v>0.6499999999999998</v>
      </c>
      <c r="BU124" s="55">
        <f t="shared" si="703"/>
        <v>0.62999999999999978</v>
      </c>
      <c r="BV124" s="55">
        <f t="shared" si="703"/>
        <v>0.60999999999999976</v>
      </c>
      <c r="BW124" s="55">
        <f t="shared" si="703"/>
        <v>0.58999999999999975</v>
      </c>
      <c r="BX124" s="55">
        <f t="shared" si="703"/>
        <v>0.56999999999999973</v>
      </c>
      <c r="BZ124" s="55">
        <f t="shared" si="508"/>
        <v>0</v>
      </c>
      <c r="CA124" s="55">
        <f t="shared" si="509"/>
        <v>0</v>
      </c>
      <c r="CB124" s="59">
        <f t="shared" si="704"/>
        <v>0</v>
      </c>
      <c r="CC124" s="55">
        <f t="shared" si="705"/>
        <v>0</v>
      </c>
      <c r="CD124" s="59">
        <f t="shared" si="706"/>
        <v>0</v>
      </c>
      <c r="CE124" s="55">
        <f t="shared" si="707"/>
        <v>0</v>
      </c>
      <c r="CF124" s="59">
        <f t="shared" si="708"/>
        <v>0</v>
      </c>
      <c r="CG124" s="55">
        <f t="shared" si="709"/>
        <v>0</v>
      </c>
      <c r="CH124" s="59">
        <f t="shared" si="710"/>
        <v>0</v>
      </c>
      <c r="CI124" s="57">
        <f t="shared" si="711"/>
        <v>0</v>
      </c>
      <c r="CJ124" s="59">
        <f t="shared" si="712"/>
        <v>0</v>
      </c>
      <c r="CK124" s="55">
        <f t="shared" si="713"/>
        <v>0</v>
      </c>
      <c r="CL124" s="59">
        <f t="shared" si="714"/>
        <v>0</v>
      </c>
      <c r="CM124" s="57">
        <f t="shared" si="715"/>
        <v>0</v>
      </c>
      <c r="CN124" s="59">
        <f t="shared" si="716"/>
        <v>0</v>
      </c>
      <c r="CO124" s="60">
        <f t="shared" si="717"/>
        <v>0</v>
      </c>
      <c r="CP124" s="59">
        <f t="shared" si="718"/>
        <v>0</v>
      </c>
      <c r="CQ124" s="57">
        <f t="shared" si="719"/>
        <v>0</v>
      </c>
      <c r="CR124" s="59">
        <f t="shared" si="720"/>
        <v>0</v>
      </c>
      <c r="CS124" s="55">
        <f t="shared" si="721"/>
        <v>0</v>
      </c>
      <c r="CT124" s="59">
        <f t="shared" si="722"/>
        <v>0</v>
      </c>
      <c r="CU124" s="60">
        <f t="shared" si="723"/>
        <v>0</v>
      </c>
      <c r="CV124" s="59">
        <f t="shared" si="724"/>
        <v>0</v>
      </c>
      <c r="CW124" s="60">
        <f t="shared" si="725"/>
        <v>0</v>
      </c>
      <c r="CX124" s="59">
        <f t="shared" si="726"/>
        <v>0</v>
      </c>
      <c r="CY124" s="60">
        <f t="shared" si="727"/>
        <v>0</v>
      </c>
      <c r="CZ124" s="59">
        <f t="shared" si="728"/>
        <v>0</v>
      </c>
      <c r="DA124" s="55">
        <f t="shared" si="729"/>
        <v>0</v>
      </c>
      <c r="DB124" s="59">
        <f t="shared" si="730"/>
        <v>0</v>
      </c>
      <c r="DC124" s="60">
        <f t="shared" si="731"/>
        <v>0</v>
      </c>
      <c r="DD124" s="59">
        <f t="shared" si="732"/>
        <v>0</v>
      </c>
      <c r="DE124" s="60">
        <f t="shared" si="733"/>
        <v>0</v>
      </c>
      <c r="DF124" s="59">
        <f t="shared" si="734"/>
        <v>0</v>
      </c>
      <c r="DG124" s="60">
        <f t="shared" si="735"/>
        <v>0</v>
      </c>
      <c r="DH124" s="59">
        <f t="shared" si="736"/>
        <v>0</v>
      </c>
      <c r="DI124" s="60">
        <f t="shared" si="737"/>
        <v>0</v>
      </c>
      <c r="DJ124" s="59">
        <f t="shared" si="738"/>
        <v>0</v>
      </c>
      <c r="DK124" s="55">
        <f t="shared" si="739"/>
        <v>0</v>
      </c>
      <c r="DL124" s="59">
        <f t="shared" si="740"/>
        <v>0</v>
      </c>
      <c r="DM124" s="60">
        <f t="shared" si="741"/>
        <v>0</v>
      </c>
      <c r="DN124" s="59">
        <f t="shared" si="742"/>
        <v>0</v>
      </c>
      <c r="DO124" s="60">
        <f t="shared" si="743"/>
        <v>0</v>
      </c>
      <c r="DP124" s="59">
        <f t="shared" si="744"/>
        <v>0</v>
      </c>
      <c r="DQ124" s="55">
        <f t="shared" si="745"/>
        <v>0</v>
      </c>
      <c r="DR124" s="59">
        <f t="shared" si="746"/>
        <v>0</v>
      </c>
      <c r="DU124" s="55">
        <v>1</v>
      </c>
      <c r="DV124" s="55">
        <v>0.97</v>
      </c>
      <c r="DW124" s="55">
        <v>0.95</v>
      </c>
      <c r="DX124" s="55">
        <v>0.93</v>
      </c>
      <c r="DY124" s="55">
        <f t="shared" ref="DY124:EP138" si="792">+DX124-0.02</f>
        <v>0.91</v>
      </c>
      <c r="DZ124" s="55">
        <f t="shared" si="792"/>
        <v>0.89</v>
      </c>
      <c r="EA124" s="55">
        <f t="shared" si="792"/>
        <v>0.87</v>
      </c>
      <c r="EB124" s="55">
        <f t="shared" si="792"/>
        <v>0.85</v>
      </c>
      <c r="EC124" s="55">
        <f t="shared" si="792"/>
        <v>0.83</v>
      </c>
      <c r="ED124" s="55">
        <f t="shared" si="792"/>
        <v>0.80999999999999994</v>
      </c>
      <c r="EE124" s="55">
        <f t="shared" si="792"/>
        <v>0.78999999999999992</v>
      </c>
      <c r="EF124" s="55">
        <f t="shared" si="792"/>
        <v>0.76999999999999991</v>
      </c>
      <c r="EG124" s="55">
        <f t="shared" si="792"/>
        <v>0.74999999999999989</v>
      </c>
      <c r="EH124" s="55">
        <f t="shared" si="792"/>
        <v>0.72999999999999987</v>
      </c>
      <c r="EI124" s="55">
        <f t="shared" si="792"/>
        <v>0.70999999999999985</v>
      </c>
      <c r="EJ124" s="55">
        <f t="shared" si="792"/>
        <v>0.68999999999999984</v>
      </c>
      <c r="EK124" s="55">
        <f t="shared" si="792"/>
        <v>0.66999999999999982</v>
      </c>
      <c r="EL124" s="55">
        <f t="shared" si="792"/>
        <v>0.6499999999999998</v>
      </c>
      <c r="EM124" s="55">
        <f t="shared" si="792"/>
        <v>0.62999999999999978</v>
      </c>
      <c r="EN124" s="55">
        <f t="shared" si="792"/>
        <v>0.60999999999999976</v>
      </c>
      <c r="EO124" s="55">
        <f t="shared" si="792"/>
        <v>0.58999999999999975</v>
      </c>
      <c r="EP124" s="55">
        <f t="shared" si="792"/>
        <v>0.56999999999999973</v>
      </c>
      <c r="ER124" s="55">
        <f t="shared" si="648"/>
        <v>0</v>
      </c>
      <c r="ES124" s="55">
        <f t="shared" si="510"/>
        <v>0</v>
      </c>
      <c r="ET124" s="59">
        <f t="shared" si="747"/>
        <v>0</v>
      </c>
      <c r="EU124" s="55">
        <f t="shared" si="748"/>
        <v>0</v>
      </c>
      <c r="EV124" s="59">
        <f t="shared" si="749"/>
        <v>0</v>
      </c>
      <c r="EW124" s="55">
        <f t="shared" si="750"/>
        <v>0</v>
      </c>
      <c r="EX124" s="59">
        <f t="shared" si="751"/>
        <v>0</v>
      </c>
      <c r="EY124" s="55">
        <f t="shared" si="752"/>
        <v>0</v>
      </c>
      <c r="EZ124" s="59">
        <f t="shared" si="753"/>
        <v>0</v>
      </c>
      <c r="FA124" s="57">
        <f t="shared" si="754"/>
        <v>0</v>
      </c>
      <c r="FB124" s="59">
        <f t="shared" si="755"/>
        <v>0</v>
      </c>
      <c r="FC124" s="55">
        <f t="shared" si="756"/>
        <v>0</v>
      </c>
      <c r="FD124" s="59">
        <f t="shared" si="757"/>
        <v>0</v>
      </c>
      <c r="FE124" s="57">
        <f t="shared" si="758"/>
        <v>0</v>
      </c>
      <c r="FF124" s="59">
        <f t="shared" si="759"/>
        <v>0</v>
      </c>
      <c r="FG124" s="60">
        <f t="shared" si="760"/>
        <v>0</v>
      </c>
      <c r="FH124" s="59">
        <f t="shared" si="761"/>
        <v>0</v>
      </c>
      <c r="FI124" s="57">
        <f t="shared" si="762"/>
        <v>0</v>
      </c>
      <c r="FJ124" s="59">
        <f t="shared" si="763"/>
        <v>0</v>
      </c>
      <c r="FK124" s="55">
        <f t="shared" si="764"/>
        <v>0</v>
      </c>
      <c r="FL124" s="59">
        <f t="shared" si="765"/>
        <v>0</v>
      </c>
      <c r="FM124" s="60">
        <f t="shared" si="766"/>
        <v>0</v>
      </c>
      <c r="FN124" s="59">
        <f t="shared" si="767"/>
        <v>0</v>
      </c>
      <c r="FO124" s="60">
        <f t="shared" si="768"/>
        <v>0</v>
      </c>
      <c r="FP124" s="59">
        <f t="shared" si="769"/>
        <v>0</v>
      </c>
      <c r="FQ124" s="60">
        <f t="shared" si="770"/>
        <v>0</v>
      </c>
      <c r="FR124" s="59">
        <f t="shared" si="771"/>
        <v>0</v>
      </c>
      <c r="FS124" s="55">
        <f t="shared" si="772"/>
        <v>0</v>
      </c>
      <c r="FT124" s="59">
        <f t="shared" si="773"/>
        <v>0</v>
      </c>
      <c r="FU124" s="60">
        <f t="shared" si="774"/>
        <v>0</v>
      </c>
      <c r="FV124" s="59">
        <f t="shared" si="775"/>
        <v>0</v>
      </c>
      <c r="FW124" s="60">
        <f t="shared" si="776"/>
        <v>0</v>
      </c>
      <c r="FX124" s="59">
        <f t="shared" si="777"/>
        <v>0</v>
      </c>
      <c r="FY124" s="60">
        <f t="shared" si="778"/>
        <v>0</v>
      </c>
      <c r="FZ124" s="59">
        <f t="shared" si="779"/>
        <v>0</v>
      </c>
      <c r="GA124" s="60">
        <f t="shared" si="780"/>
        <v>0</v>
      </c>
      <c r="GB124" s="59">
        <f t="shared" si="781"/>
        <v>0</v>
      </c>
      <c r="GC124" s="55">
        <f t="shared" si="782"/>
        <v>0</v>
      </c>
      <c r="GD124" s="59">
        <f t="shared" si="783"/>
        <v>0</v>
      </c>
      <c r="GE124" s="60">
        <f t="shared" si="784"/>
        <v>0</v>
      </c>
      <c r="GF124" s="59">
        <f t="shared" si="785"/>
        <v>0</v>
      </c>
      <c r="GG124" s="60">
        <f t="shared" si="786"/>
        <v>0</v>
      </c>
      <c r="GH124" s="59">
        <f t="shared" si="787"/>
        <v>0</v>
      </c>
      <c r="GI124" s="55">
        <f t="shared" si="788"/>
        <v>0</v>
      </c>
      <c r="GJ124" s="59">
        <f t="shared" si="789"/>
        <v>0</v>
      </c>
      <c r="GK124" s="55"/>
      <c r="GL124" s="55"/>
      <c r="GM124" s="55">
        <v>1</v>
      </c>
      <c r="GN124" s="55">
        <v>0.97</v>
      </c>
      <c r="GO124" s="55">
        <v>0.95</v>
      </c>
      <c r="GP124" s="55">
        <v>0.93</v>
      </c>
      <c r="GQ124" s="55">
        <f t="shared" ref="GQ124:HH138" si="793">+GP124-0.02</f>
        <v>0.91</v>
      </c>
      <c r="GR124" s="55">
        <f t="shared" si="793"/>
        <v>0.89</v>
      </c>
      <c r="GS124" s="55">
        <f t="shared" si="793"/>
        <v>0.87</v>
      </c>
      <c r="GT124" s="55">
        <f t="shared" si="793"/>
        <v>0.85</v>
      </c>
      <c r="GU124" s="55">
        <f t="shared" si="793"/>
        <v>0.83</v>
      </c>
      <c r="GV124" s="55">
        <f t="shared" si="793"/>
        <v>0.80999999999999994</v>
      </c>
      <c r="GW124" s="55">
        <f t="shared" si="793"/>
        <v>0.78999999999999992</v>
      </c>
      <c r="GX124" s="55">
        <f t="shared" si="793"/>
        <v>0.76999999999999991</v>
      </c>
      <c r="GY124" s="55">
        <f t="shared" si="793"/>
        <v>0.74999999999999989</v>
      </c>
      <c r="GZ124" s="55">
        <f t="shared" si="793"/>
        <v>0.72999999999999987</v>
      </c>
      <c r="HA124" s="55">
        <f t="shared" si="793"/>
        <v>0.70999999999999985</v>
      </c>
      <c r="HB124" s="55">
        <f t="shared" si="793"/>
        <v>0.68999999999999984</v>
      </c>
      <c r="HC124" s="55">
        <f t="shared" si="793"/>
        <v>0.66999999999999982</v>
      </c>
      <c r="HD124" s="55">
        <f t="shared" si="793"/>
        <v>0.6499999999999998</v>
      </c>
      <c r="HE124" s="55">
        <f t="shared" si="793"/>
        <v>0.62999999999999978</v>
      </c>
      <c r="HF124" s="55">
        <f t="shared" si="793"/>
        <v>0.60999999999999976</v>
      </c>
      <c r="HG124" s="55">
        <f t="shared" si="793"/>
        <v>0.58999999999999975</v>
      </c>
      <c r="HH124" s="55">
        <f t="shared" si="793"/>
        <v>0.56999999999999973</v>
      </c>
    </row>
    <row r="125" spans="1:216" x14ac:dyDescent="0.3">
      <c r="A125" s="2">
        <v>10</v>
      </c>
      <c r="C125" s="38" t="s">
        <v>150</v>
      </c>
      <c r="D125" s="42">
        <f>TRUNC(48769.5552821234,-1)</f>
        <v>48760</v>
      </c>
      <c r="E125" s="71">
        <f t="shared" si="660"/>
        <v>161190</v>
      </c>
      <c r="H125" s="55">
        <f t="shared" si="505"/>
        <v>177309</v>
      </c>
      <c r="I125" s="55">
        <f t="shared" si="506"/>
        <v>177309</v>
      </c>
      <c r="J125" s="59">
        <f t="shared" si="507"/>
        <v>586148.09219999996</v>
      </c>
      <c r="K125" s="55">
        <f t="shared" si="661"/>
        <v>171989.72999999998</v>
      </c>
      <c r="L125" s="59">
        <f t="shared" si="662"/>
        <v>568563.6494339999</v>
      </c>
      <c r="M125" s="55">
        <f t="shared" si="663"/>
        <v>168443.55</v>
      </c>
      <c r="N125" s="59">
        <f t="shared" si="664"/>
        <v>556840.68758999999</v>
      </c>
      <c r="O125" s="55">
        <f t="shared" si="665"/>
        <v>164897.37</v>
      </c>
      <c r="P125" s="59">
        <f t="shared" si="666"/>
        <v>545117.72574599995</v>
      </c>
      <c r="Q125" s="57">
        <f t="shared" si="667"/>
        <v>161351.19</v>
      </c>
      <c r="R125" s="59">
        <f t="shared" si="668"/>
        <v>533394.76390200004</v>
      </c>
      <c r="S125" s="55">
        <f t="shared" si="669"/>
        <v>157805.01</v>
      </c>
      <c r="T125" s="59">
        <f t="shared" si="670"/>
        <v>521671.80205800006</v>
      </c>
      <c r="U125" s="57">
        <f t="shared" si="671"/>
        <v>154258.82999999999</v>
      </c>
      <c r="V125" s="59">
        <f t="shared" si="672"/>
        <v>509948.84021399997</v>
      </c>
      <c r="W125" s="60">
        <f t="shared" si="673"/>
        <v>150712.65</v>
      </c>
      <c r="X125" s="59">
        <f t="shared" si="674"/>
        <v>498225.87836999999</v>
      </c>
      <c r="Y125" s="57">
        <f t="shared" si="675"/>
        <v>147166.47</v>
      </c>
      <c r="Z125" s="59">
        <f t="shared" si="676"/>
        <v>486502.91652600002</v>
      </c>
      <c r="AA125" s="55">
        <f t="shared" si="677"/>
        <v>143620.28999999998</v>
      </c>
      <c r="AB125" s="59">
        <f t="shared" si="678"/>
        <v>474779.95468199992</v>
      </c>
      <c r="AC125" s="60">
        <f t="shared" si="679"/>
        <v>140074.10999999999</v>
      </c>
      <c r="AD125" s="59">
        <f t="shared" si="680"/>
        <v>463056.99283799995</v>
      </c>
      <c r="AE125" s="60">
        <f t="shared" si="681"/>
        <v>136527.93</v>
      </c>
      <c r="AF125" s="59">
        <f t="shared" si="682"/>
        <v>451334.03099399997</v>
      </c>
      <c r="AG125" s="60">
        <f t="shared" si="683"/>
        <v>132981.74999999997</v>
      </c>
      <c r="AH125" s="59">
        <f t="shared" si="684"/>
        <v>439611.06914999994</v>
      </c>
      <c r="AI125" s="55">
        <f t="shared" si="685"/>
        <v>129435.56999999998</v>
      </c>
      <c r="AJ125" s="59">
        <f t="shared" si="686"/>
        <v>427888.10730599996</v>
      </c>
      <c r="AK125" s="60">
        <f t="shared" si="687"/>
        <v>125889.38999999997</v>
      </c>
      <c r="AL125" s="59">
        <f t="shared" si="688"/>
        <v>416165.14546199993</v>
      </c>
      <c r="AM125" s="60">
        <f t="shared" si="689"/>
        <v>122343.20999999998</v>
      </c>
      <c r="AN125" s="59">
        <f t="shared" si="690"/>
        <v>404442.18361799995</v>
      </c>
      <c r="AO125" s="60">
        <f t="shared" si="691"/>
        <v>118797.02999999997</v>
      </c>
      <c r="AP125" s="59">
        <f t="shared" si="692"/>
        <v>392719.22177399992</v>
      </c>
      <c r="AQ125" s="60">
        <f t="shared" si="693"/>
        <v>115250.84999999996</v>
      </c>
      <c r="AR125" s="59">
        <f t="shared" si="694"/>
        <v>380996.25992999988</v>
      </c>
      <c r="AS125" s="55">
        <f t="shared" si="695"/>
        <v>111704.66999999995</v>
      </c>
      <c r="AT125" s="59">
        <f t="shared" si="696"/>
        <v>369273.29808599985</v>
      </c>
      <c r="AU125" s="60">
        <f t="shared" si="697"/>
        <v>108158.48999999996</v>
      </c>
      <c r="AV125" s="59">
        <f t="shared" si="698"/>
        <v>357550.33624199987</v>
      </c>
      <c r="AW125" s="60">
        <f t="shared" si="699"/>
        <v>104612.30999999995</v>
      </c>
      <c r="AX125" s="59">
        <f t="shared" si="700"/>
        <v>345827.37439799984</v>
      </c>
      <c r="AY125" s="55">
        <f t="shared" si="701"/>
        <v>101066.12999999995</v>
      </c>
      <c r="AZ125" s="59">
        <f t="shared" si="702"/>
        <v>334104.41255399981</v>
      </c>
      <c r="BC125" s="55">
        <v>1</v>
      </c>
      <c r="BD125" s="55">
        <v>0.97</v>
      </c>
      <c r="BE125" s="55">
        <v>0.95</v>
      </c>
      <c r="BF125" s="55">
        <v>0.93</v>
      </c>
      <c r="BG125" s="55">
        <f t="shared" si="703"/>
        <v>0.91</v>
      </c>
      <c r="BH125" s="55">
        <f t="shared" si="703"/>
        <v>0.89</v>
      </c>
      <c r="BI125" s="55">
        <f t="shared" si="703"/>
        <v>0.87</v>
      </c>
      <c r="BJ125" s="55">
        <f t="shared" si="703"/>
        <v>0.85</v>
      </c>
      <c r="BK125" s="55">
        <f t="shared" si="703"/>
        <v>0.83</v>
      </c>
      <c r="BL125" s="55">
        <f t="shared" si="703"/>
        <v>0.80999999999999994</v>
      </c>
      <c r="BM125" s="55">
        <f t="shared" si="703"/>
        <v>0.78999999999999992</v>
      </c>
      <c r="BN125" s="55">
        <f t="shared" si="703"/>
        <v>0.76999999999999991</v>
      </c>
      <c r="BO125" s="55">
        <f t="shared" si="703"/>
        <v>0.74999999999999989</v>
      </c>
      <c r="BP125" s="55">
        <f t="shared" si="703"/>
        <v>0.72999999999999987</v>
      </c>
      <c r="BQ125" s="55">
        <f t="shared" si="703"/>
        <v>0.70999999999999985</v>
      </c>
      <c r="BR125" s="55">
        <f t="shared" si="703"/>
        <v>0.68999999999999984</v>
      </c>
      <c r="BS125" s="55">
        <f t="shared" si="703"/>
        <v>0.66999999999999982</v>
      </c>
      <c r="BT125" s="55">
        <f t="shared" si="703"/>
        <v>0.6499999999999998</v>
      </c>
      <c r="BU125" s="55">
        <f t="shared" si="703"/>
        <v>0.62999999999999978</v>
      </c>
      <c r="BV125" s="55">
        <f t="shared" si="703"/>
        <v>0.60999999999999976</v>
      </c>
      <c r="BW125" s="55">
        <f t="shared" si="703"/>
        <v>0.58999999999999975</v>
      </c>
      <c r="BX125" s="55">
        <f t="shared" si="703"/>
        <v>0.56999999999999973</v>
      </c>
      <c r="BZ125" s="55">
        <f t="shared" si="508"/>
        <v>161351.19</v>
      </c>
      <c r="CA125" s="55">
        <f t="shared" si="509"/>
        <v>161351.19</v>
      </c>
      <c r="CB125" s="59">
        <f t="shared" si="704"/>
        <v>533394.76390200004</v>
      </c>
      <c r="CC125" s="55">
        <f t="shared" si="705"/>
        <v>156510.65429999999</v>
      </c>
      <c r="CD125" s="59">
        <f t="shared" si="706"/>
        <v>517392.92098494002</v>
      </c>
      <c r="CE125" s="55">
        <f t="shared" si="707"/>
        <v>153283.6305</v>
      </c>
      <c r="CF125" s="59">
        <f t="shared" si="708"/>
        <v>506725.02570689999</v>
      </c>
      <c r="CG125" s="55">
        <f t="shared" si="709"/>
        <v>150056.6067</v>
      </c>
      <c r="CH125" s="59">
        <f t="shared" si="710"/>
        <v>496057.13042886002</v>
      </c>
      <c r="CI125" s="57">
        <f t="shared" si="711"/>
        <v>146829.58290000001</v>
      </c>
      <c r="CJ125" s="59">
        <f t="shared" si="712"/>
        <v>485389.23515082005</v>
      </c>
      <c r="CK125" s="55">
        <f t="shared" si="713"/>
        <v>143602.55910000001</v>
      </c>
      <c r="CL125" s="59">
        <f t="shared" si="714"/>
        <v>474721.33987278008</v>
      </c>
      <c r="CM125" s="57">
        <f t="shared" si="715"/>
        <v>140375.53529999999</v>
      </c>
      <c r="CN125" s="59">
        <f t="shared" si="716"/>
        <v>464053.44459473999</v>
      </c>
      <c r="CO125" s="60">
        <f t="shared" si="717"/>
        <v>137148.51149999999</v>
      </c>
      <c r="CP125" s="59">
        <f t="shared" si="718"/>
        <v>453385.54931669997</v>
      </c>
      <c r="CQ125" s="57">
        <f t="shared" si="719"/>
        <v>133921.4877</v>
      </c>
      <c r="CR125" s="59">
        <f t="shared" si="720"/>
        <v>442717.65403866</v>
      </c>
      <c r="CS125" s="55">
        <f t="shared" si="721"/>
        <v>130694.46389999999</v>
      </c>
      <c r="CT125" s="59">
        <f t="shared" si="722"/>
        <v>432049.75876061997</v>
      </c>
      <c r="CU125" s="60">
        <f t="shared" si="723"/>
        <v>127467.44009999999</v>
      </c>
      <c r="CV125" s="59">
        <f t="shared" si="724"/>
        <v>421381.86348258</v>
      </c>
      <c r="CW125" s="60">
        <f t="shared" si="725"/>
        <v>124240.41629999998</v>
      </c>
      <c r="CX125" s="59">
        <f t="shared" si="726"/>
        <v>410713.96820453997</v>
      </c>
      <c r="CY125" s="60">
        <f t="shared" si="727"/>
        <v>121013.39249999999</v>
      </c>
      <c r="CZ125" s="59">
        <f t="shared" si="728"/>
        <v>400046.07292649994</v>
      </c>
      <c r="DA125" s="55">
        <f t="shared" si="729"/>
        <v>117786.36869999998</v>
      </c>
      <c r="DB125" s="59">
        <f t="shared" si="730"/>
        <v>389378.17764845991</v>
      </c>
      <c r="DC125" s="60">
        <f t="shared" si="731"/>
        <v>114559.34489999998</v>
      </c>
      <c r="DD125" s="59">
        <f t="shared" si="732"/>
        <v>378710.28237041994</v>
      </c>
      <c r="DE125" s="60">
        <f t="shared" si="733"/>
        <v>111332.32109999997</v>
      </c>
      <c r="DF125" s="59">
        <f t="shared" si="734"/>
        <v>368042.38709237991</v>
      </c>
      <c r="DG125" s="60">
        <f t="shared" si="735"/>
        <v>108105.29729999998</v>
      </c>
      <c r="DH125" s="59">
        <f t="shared" si="736"/>
        <v>357374.49181433994</v>
      </c>
      <c r="DI125" s="60">
        <f t="shared" si="737"/>
        <v>104878.27349999997</v>
      </c>
      <c r="DJ125" s="59">
        <f t="shared" si="738"/>
        <v>346706.59653629991</v>
      </c>
      <c r="DK125" s="55">
        <f t="shared" si="739"/>
        <v>101651.24969999997</v>
      </c>
      <c r="DL125" s="59">
        <f t="shared" si="740"/>
        <v>336038.70125825988</v>
      </c>
      <c r="DM125" s="60">
        <f t="shared" si="741"/>
        <v>98424.225899999961</v>
      </c>
      <c r="DN125" s="59">
        <f t="shared" si="742"/>
        <v>325370.80598021985</v>
      </c>
      <c r="DO125" s="60">
        <f t="shared" si="743"/>
        <v>95197.202099999966</v>
      </c>
      <c r="DP125" s="59">
        <f t="shared" si="744"/>
        <v>314702.91070217988</v>
      </c>
      <c r="DQ125" s="55">
        <f t="shared" si="745"/>
        <v>91970.178299999956</v>
      </c>
      <c r="DR125" s="59">
        <f t="shared" si="746"/>
        <v>304035.01542413986</v>
      </c>
      <c r="DU125" s="55">
        <v>1</v>
      </c>
      <c r="DV125" s="55">
        <v>0.97</v>
      </c>
      <c r="DW125" s="55">
        <v>0.95</v>
      </c>
      <c r="DX125" s="55">
        <v>0.93</v>
      </c>
      <c r="DY125" s="55">
        <f t="shared" si="792"/>
        <v>0.91</v>
      </c>
      <c r="DZ125" s="55">
        <f t="shared" si="792"/>
        <v>0.89</v>
      </c>
      <c r="EA125" s="55">
        <f t="shared" si="792"/>
        <v>0.87</v>
      </c>
      <c r="EB125" s="55">
        <f t="shared" si="792"/>
        <v>0.85</v>
      </c>
      <c r="EC125" s="55">
        <f t="shared" si="792"/>
        <v>0.83</v>
      </c>
      <c r="ED125" s="55">
        <f t="shared" si="792"/>
        <v>0.80999999999999994</v>
      </c>
      <c r="EE125" s="55">
        <f t="shared" si="792"/>
        <v>0.78999999999999992</v>
      </c>
      <c r="EF125" s="55">
        <f t="shared" si="792"/>
        <v>0.76999999999999991</v>
      </c>
      <c r="EG125" s="55">
        <f t="shared" si="792"/>
        <v>0.74999999999999989</v>
      </c>
      <c r="EH125" s="55">
        <f t="shared" si="792"/>
        <v>0.72999999999999987</v>
      </c>
      <c r="EI125" s="55">
        <f t="shared" si="792"/>
        <v>0.70999999999999985</v>
      </c>
      <c r="EJ125" s="55">
        <f t="shared" si="792"/>
        <v>0.68999999999999984</v>
      </c>
      <c r="EK125" s="55">
        <f t="shared" si="792"/>
        <v>0.66999999999999982</v>
      </c>
      <c r="EL125" s="55">
        <f t="shared" si="792"/>
        <v>0.6499999999999998</v>
      </c>
      <c r="EM125" s="55">
        <f t="shared" si="792"/>
        <v>0.62999999999999978</v>
      </c>
      <c r="EN125" s="55">
        <f t="shared" si="792"/>
        <v>0.60999999999999976</v>
      </c>
      <c r="EO125" s="55">
        <f t="shared" si="792"/>
        <v>0.58999999999999975</v>
      </c>
      <c r="EP125" s="55">
        <f t="shared" si="792"/>
        <v>0.56999999999999973</v>
      </c>
      <c r="ER125" s="55">
        <f t="shared" si="648"/>
        <v>146829.58290000001</v>
      </c>
      <c r="ES125" s="55">
        <f t="shared" si="510"/>
        <v>146829.58290000001</v>
      </c>
      <c r="ET125" s="59">
        <f t="shared" si="747"/>
        <v>485389.23515082005</v>
      </c>
      <c r="EU125" s="55">
        <f t="shared" si="748"/>
        <v>142424.69541300001</v>
      </c>
      <c r="EV125" s="59">
        <f t="shared" si="749"/>
        <v>470827.55809629546</v>
      </c>
      <c r="EW125" s="55">
        <f t="shared" si="750"/>
        <v>139488.10375499999</v>
      </c>
      <c r="EX125" s="59">
        <f t="shared" si="751"/>
        <v>461119.773393279</v>
      </c>
      <c r="EY125" s="55">
        <f t="shared" si="752"/>
        <v>136551.51209700003</v>
      </c>
      <c r="EZ125" s="59">
        <f t="shared" si="753"/>
        <v>451411.98869026272</v>
      </c>
      <c r="FA125" s="57">
        <f t="shared" si="754"/>
        <v>133614.92043900001</v>
      </c>
      <c r="FB125" s="59">
        <f t="shared" si="755"/>
        <v>441704.20398724626</v>
      </c>
      <c r="FC125" s="55">
        <f t="shared" si="756"/>
        <v>130678.328781</v>
      </c>
      <c r="FD125" s="59">
        <f t="shared" si="757"/>
        <v>431996.41928422981</v>
      </c>
      <c r="FE125" s="57">
        <f t="shared" si="758"/>
        <v>127741.73712300001</v>
      </c>
      <c r="FF125" s="59">
        <f t="shared" si="759"/>
        <v>422288.63458121347</v>
      </c>
      <c r="FG125" s="60">
        <f t="shared" si="760"/>
        <v>124805.14546500001</v>
      </c>
      <c r="FH125" s="59">
        <f t="shared" si="761"/>
        <v>412580.84987819701</v>
      </c>
      <c r="FI125" s="57">
        <f t="shared" si="762"/>
        <v>121868.553807</v>
      </c>
      <c r="FJ125" s="59">
        <f t="shared" si="763"/>
        <v>402873.06517518061</v>
      </c>
      <c r="FK125" s="55">
        <f t="shared" si="764"/>
        <v>118931.962149</v>
      </c>
      <c r="FL125" s="59">
        <f t="shared" si="765"/>
        <v>393165.28047216422</v>
      </c>
      <c r="FM125" s="60">
        <f t="shared" si="766"/>
        <v>115995.37049099999</v>
      </c>
      <c r="FN125" s="59">
        <f t="shared" si="767"/>
        <v>383457.49576914776</v>
      </c>
      <c r="FO125" s="60">
        <f t="shared" si="768"/>
        <v>113058.77883299999</v>
      </c>
      <c r="FP125" s="59">
        <f t="shared" si="769"/>
        <v>373749.71106613136</v>
      </c>
      <c r="FQ125" s="60">
        <f t="shared" si="770"/>
        <v>110122.18717499998</v>
      </c>
      <c r="FR125" s="59">
        <f t="shared" si="771"/>
        <v>364041.92636311497</v>
      </c>
      <c r="FS125" s="55">
        <f t="shared" si="772"/>
        <v>107185.59551699999</v>
      </c>
      <c r="FT125" s="59">
        <f t="shared" si="773"/>
        <v>354334.14166009857</v>
      </c>
      <c r="FU125" s="60">
        <f t="shared" si="774"/>
        <v>104249.00385899999</v>
      </c>
      <c r="FV125" s="59">
        <f t="shared" si="775"/>
        <v>344626.35695708217</v>
      </c>
      <c r="FW125" s="60">
        <f t="shared" si="776"/>
        <v>101312.41220099998</v>
      </c>
      <c r="FX125" s="59">
        <f t="shared" si="777"/>
        <v>334918.57225406577</v>
      </c>
      <c r="FY125" s="60">
        <f t="shared" si="778"/>
        <v>98375.82054299998</v>
      </c>
      <c r="FZ125" s="59">
        <f t="shared" si="779"/>
        <v>325210.78755104932</v>
      </c>
      <c r="GA125" s="60">
        <f t="shared" si="780"/>
        <v>95439.228884999975</v>
      </c>
      <c r="GB125" s="59">
        <f t="shared" si="781"/>
        <v>315503.00284803292</v>
      </c>
      <c r="GC125" s="55">
        <f t="shared" si="782"/>
        <v>92502.63722699997</v>
      </c>
      <c r="GD125" s="59">
        <f t="shared" si="783"/>
        <v>305795.21814501652</v>
      </c>
      <c r="GE125" s="60">
        <f t="shared" si="784"/>
        <v>89566.045568999965</v>
      </c>
      <c r="GF125" s="59">
        <f t="shared" si="785"/>
        <v>296087.43344200007</v>
      </c>
      <c r="GG125" s="60">
        <f t="shared" si="786"/>
        <v>86629.453910999975</v>
      </c>
      <c r="GH125" s="59">
        <f t="shared" si="787"/>
        <v>286379.64873898373</v>
      </c>
      <c r="GI125" s="55">
        <f t="shared" si="788"/>
        <v>83692.86225299997</v>
      </c>
      <c r="GJ125" s="59">
        <f t="shared" si="789"/>
        <v>276671.86403596733</v>
      </c>
      <c r="GK125" s="55"/>
      <c r="GL125" s="55"/>
      <c r="GM125" s="55">
        <v>1</v>
      </c>
      <c r="GN125" s="55">
        <v>0.97</v>
      </c>
      <c r="GO125" s="55">
        <v>0.95</v>
      </c>
      <c r="GP125" s="55">
        <v>0.93</v>
      </c>
      <c r="GQ125" s="55">
        <f t="shared" si="793"/>
        <v>0.91</v>
      </c>
      <c r="GR125" s="55">
        <f t="shared" si="793"/>
        <v>0.89</v>
      </c>
      <c r="GS125" s="55">
        <f t="shared" si="793"/>
        <v>0.87</v>
      </c>
      <c r="GT125" s="55">
        <f t="shared" si="793"/>
        <v>0.85</v>
      </c>
      <c r="GU125" s="55">
        <f t="shared" si="793"/>
        <v>0.83</v>
      </c>
      <c r="GV125" s="55">
        <f t="shared" si="793"/>
        <v>0.80999999999999994</v>
      </c>
      <c r="GW125" s="55">
        <f t="shared" si="793"/>
        <v>0.78999999999999992</v>
      </c>
      <c r="GX125" s="55">
        <f t="shared" si="793"/>
        <v>0.76999999999999991</v>
      </c>
      <c r="GY125" s="55">
        <f t="shared" si="793"/>
        <v>0.74999999999999989</v>
      </c>
      <c r="GZ125" s="55">
        <f t="shared" si="793"/>
        <v>0.72999999999999987</v>
      </c>
      <c r="HA125" s="55">
        <f t="shared" si="793"/>
        <v>0.70999999999999985</v>
      </c>
      <c r="HB125" s="55">
        <f t="shared" si="793"/>
        <v>0.68999999999999984</v>
      </c>
      <c r="HC125" s="55">
        <f t="shared" si="793"/>
        <v>0.66999999999999982</v>
      </c>
      <c r="HD125" s="55">
        <f t="shared" si="793"/>
        <v>0.6499999999999998</v>
      </c>
      <c r="HE125" s="55">
        <f t="shared" si="793"/>
        <v>0.62999999999999978</v>
      </c>
      <c r="HF125" s="55">
        <f t="shared" si="793"/>
        <v>0.60999999999999976</v>
      </c>
      <c r="HG125" s="55">
        <f t="shared" si="793"/>
        <v>0.58999999999999975</v>
      </c>
      <c r="HH125" s="55">
        <f t="shared" si="793"/>
        <v>0.56999999999999973</v>
      </c>
    </row>
    <row r="126" spans="1:216" ht="18" thickBot="1" x14ac:dyDescent="0.35">
      <c r="A126" s="2">
        <v>11</v>
      </c>
      <c r="C126" s="38" t="s">
        <v>47</v>
      </c>
      <c r="D126" s="43">
        <f>TRUNC(18205.512480225+96.6777992617332,-1)</f>
        <v>18300</v>
      </c>
      <c r="E126" s="72">
        <f t="shared" si="660"/>
        <v>60490</v>
      </c>
      <c r="F126" s="54" t="s">
        <v>307</v>
      </c>
      <c r="H126" s="55">
        <f t="shared" si="505"/>
        <v>66539</v>
      </c>
      <c r="I126" s="55">
        <f t="shared" si="506"/>
        <v>66539</v>
      </c>
      <c r="J126" s="59">
        <f t="shared" si="507"/>
        <v>219964.6262</v>
      </c>
      <c r="K126" s="55">
        <f t="shared" si="661"/>
        <v>64542.83</v>
      </c>
      <c r="L126" s="59">
        <f t="shared" si="662"/>
        <v>213365.68741400001</v>
      </c>
      <c r="M126" s="55">
        <f t="shared" si="663"/>
        <v>63212.049999999996</v>
      </c>
      <c r="N126" s="59">
        <f t="shared" si="664"/>
        <v>208966.39489</v>
      </c>
      <c r="O126" s="55">
        <f t="shared" si="665"/>
        <v>61881.270000000004</v>
      </c>
      <c r="P126" s="59">
        <f t="shared" si="666"/>
        <v>204567.10236600001</v>
      </c>
      <c r="Q126" s="57">
        <f t="shared" si="667"/>
        <v>60550.490000000005</v>
      </c>
      <c r="R126" s="59">
        <f t="shared" si="668"/>
        <v>200167.80984200002</v>
      </c>
      <c r="S126" s="55">
        <f t="shared" si="669"/>
        <v>59219.71</v>
      </c>
      <c r="T126" s="59">
        <f t="shared" si="670"/>
        <v>195768.517318</v>
      </c>
      <c r="U126" s="57">
        <f t="shared" si="671"/>
        <v>57888.93</v>
      </c>
      <c r="V126" s="59">
        <f t="shared" si="672"/>
        <v>191369.22479400001</v>
      </c>
      <c r="W126" s="60">
        <f t="shared" si="673"/>
        <v>56558.15</v>
      </c>
      <c r="X126" s="59">
        <f t="shared" si="674"/>
        <v>186969.93227000002</v>
      </c>
      <c r="Y126" s="57">
        <f t="shared" si="675"/>
        <v>55227.369999999995</v>
      </c>
      <c r="Z126" s="59">
        <f t="shared" si="676"/>
        <v>182570.639746</v>
      </c>
      <c r="AA126" s="55">
        <f t="shared" si="677"/>
        <v>53896.59</v>
      </c>
      <c r="AB126" s="59">
        <f t="shared" si="678"/>
        <v>178171.34722199998</v>
      </c>
      <c r="AC126" s="60">
        <f t="shared" si="679"/>
        <v>52565.81</v>
      </c>
      <c r="AD126" s="59">
        <f t="shared" si="680"/>
        <v>173772.05469799999</v>
      </c>
      <c r="AE126" s="60">
        <f t="shared" si="681"/>
        <v>51235.029999999992</v>
      </c>
      <c r="AF126" s="59">
        <f t="shared" si="682"/>
        <v>169372.76217399997</v>
      </c>
      <c r="AG126" s="60">
        <f t="shared" si="683"/>
        <v>49904.249999999993</v>
      </c>
      <c r="AH126" s="59">
        <f t="shared" si="684"/>
        <v>164973.46964999998</v>
      </c>
      <c r="AI126" s="55">
        <f t="shared" si="685"/>
        <v>48573.469999999994</v>
      </c>
      <c r="AJ126" s="59">
        <f t="shared" si="686"/>
        <v>160574.177126</v>
      </c>
      <c r="AK126" s="60">
        <f t="shared" si="687"/>
        <v>47242.689999999988</v>
      </c>
      <c r="AL126" s="59">
        <f t="shared" si="688"/>
        <v>156174.88460199998</v>
      </c>
      <c r="AM126" s="60">
        <f t="shared" si="689"/>
        <v>45911.909999999989</v>
      </c>
      <c r="AN126" s="59">
        <f t="shared" si="690"/>
        <v>151775.59207799996</v>
      </c>
      <c r="AO126" s="60">
        <f t="shared" si="691"/>
        <v>44581.12999999999</v>
      </c>
      <c r="AP126" s="59">
        <f t="shared" si="692"/>
        <v>147376.29955399997</v>
      </c>
      <c r="AQ126" s="60">
        <f t="shared" si="693"/>
        <v>43250.349999999984</v>
      </c>
      <c r="AR126" s="59">
        <f t="shared" si="694"/>
        <v>142977.00702999995</v>
      </c>
      <c r="AS126" s="55">
        <f t="shared" si="695"/>
        <v>41919.569999999985</v>
      </c>
      <c r="AT126" s="59">
        <f t="shared" si="696"/>
        <v>138577.71450599996</v>
      </c>
      <c r="AU126" s="60">
        <f t="shared" si="697"/>
        <v>40588.789999999986</v>
      </c>
      <c r="AV126" s="59">
        <f t="shared" si="698"/>
        <v>134178.42198199997</v>
      </c>
      <c r="AW126" s="60">
        <f t="shared" si="699"/>
        <v>39258.00999999998</v>
      </c>
      <c r="AX126" s="59">
        <f t="shared" si="700"/>
        <v>129779.12945799994</v>
      </c>
      <c r="AY126" s="55">
        <f t="shared" si="701"/>
        <v>37927.229999999981</v>
      </c>
      <c r="AZ126" s="59">
        <f t="shared" si="702"/>
        <v>125379.83693399995</v>
      </c>
      <c r="BC126" s="55">
        <v>1</v>
      </c>
      <c r="BD126" s="55">
        <v>0.97</v>
      </c>
      <c r="BE126" s="55">
        <v>0.95</v>
      </c>
      <c r="BF126" s="55">
        <v>0.93</v>
      </c>
      <c r="BG126" s="55">
        <f t="shared" si="703"/>
        <v>0.91</v>
      </c>
      <c r="BH126" s="55">
        <f t="shared" si="703"/>
        <v>0.89</v>
      </c>
      <c r="BI126" s="55">
        <f t="shared" si="703"/>
        <v>0.87</v>
      </c>
      <c r="BJ126" s="55">
        <f t="shared" si="703"/>
        <v>0.85</v>
      </c>
      <c r="BK126" s="55">
        <f t="shared" si="703"/>
        <v>0.83</v>
      </c>
      <c r="BL126" s="55">
        <f t="shared" si="703"/>
        <v>0.80999999999999994</v>
      </c>
      <c r="BM126" s="55">
        <f t="shared" si="703"/>
        <v>0.78999999999999992</v>
      </c>
      <c r="BN126" s="55">
        <f t="shared" si="703"/>
        <v>0.76999999999999991</v>
      </c>
      <c r="BO126" s="55">
        <f t="shared" si="703"/>
        <v>0.74999999999999989</v>
      </c>
      <c r="BP126" s="55">
        <f t="shared" si="703"/>
        <v>0.72999999999999987</v>
      </c>
      <c r="BQ126" s="55">
        <f t="shared" si="703"/>
        <v>0.70999999999999985</v>
      </c>
      <c r="BR126" s="55">
        <f t="shared" si="703"/>
        <v>0.68999999999999984</v>
      </c>
      <c r="BS126" s="55">
        <f t="shared" si="703"/>
        <v>0.66999999999999982</v>
      </c>
      <c r="BT126" s="55">
        <f t="shared" si="703"/>
        <v>0.6499999999999998</v>
      </c>
      <c r="BU126" s="55">
        <f t="shared" si="703"/>
        <v>0.62999999999999978</v>
      </c>
      <c r="BV126" s="55">
        <f t="shared" si="703"/>
        <v>0.60999999999999976</v>
      </c>
      <c r="BW126" s="55">
        <f t="shared" si="703"/>
        <v>0.58999999999999975</v>
      </c>
      <c r="BX126" s="55">
        <f t="shared" si="703"/>
        <v>0.56999999999999973</v>
      </c>
      <c r="BZ126" s="55">
        <f t="shared" si="508"/>
        <v>60550.490000000005</v>
      </c>
      <c r="CA126" s="55">
        <f t="shared" si="509"/>
        <v>60550.490000000005</v>
      </c>
      <c r="CB126" s="59">
        <f t="shared" si="704"/>
        <v>200167.80984200002</v>
      </c>
      <c r="CC126" s="55">
        <f t="shared" si="705"/>
        <v>58733.975300000006</v>
      </c>
      <c r="CD126" s="59">
        <f t="shared" si="706"/>
        <v>194162.77554674001</v>
      </c>
      <c r="CE126" s="55">
        <f t="shared" si="707"/>
        <v>57522.965500000006</v>
      </c>
      <c r="CF126" s="59">
        <f t="shared" si="708"/>
        <v>190159.41934990001</v>
      </c>
      <c r="CG126" s="55">
        <f t="shared" si="709"/>
        <v>56311.955700000006</v>
      </c>
      <c r="CH126" s="59">
        <f t="shared" si="710"/>
        <v>186156.06315306004</v>
      </c>
      <c r="CI126" s="57">
        <f t="shared" si="711"/>
        <v>55100.945900000006</v>
      </c>
      <c r="CJ126" s="59">
        <f t="shared" si="712"/>
        <v>182152.70695622003</v>
      </c>
      <c r="CK126" s="55">
        <f t="shared" si="713"/>
        <v>53889.936100000006</v>
      </c>
      <c r="CL126" s="59">
        <f t="shared" si="714"/>
        <v>178149.35075938003</v>
      </c>
      <c r="CM126" s="57">
        <f t="shared" si="715"/>
        <v>52678.926300000006</v>
      </c>
      <c r="CN126" s="59">
        <f t="shared" si="716"/>
        <v>174145.99456254003</v>
      </c>
      <c r="CO126" s="60">
        <f t="shared" si="717"/>
        <v>51467.916500000007</v>
      </c>
      <c r="CP126" s="59">
        <f t="shared" si="718"/>
        <v>170142.63836570003</v>
      </c>
      <c r="CQ126" s="57">
        <f t="shared" si="719"/>
        <v>50256.9067</v>
      </c>
      <c r="CR126" s="59">
        <f t="shared" si="720"/>
        <v>166139.28216885999</v>
      </c>
      <c r="CS126" s="55">
        <f t="shared" si="721"/>
        <v>49045.8969</v>
      </c>
      <c r="CT126" s="59">
        <f t="shared" si="722"/>
        <v>162135.92597201999</v>
      </c>
      <c r="CU126" s="60">
        <f t="shared" si="723"/>
        <v>47834.8871</v>
      </c>
      <c r="CV126" s="59">
        <f t="shared" si="724"/>
        <v>158132.56977517999</v>
      </c>
      <c r="CW126" s="60">
        <f t="shared" si="725"/>
        <v>46623.8773</v>
      </c>
      <c r="CX126" s="59">
        <f t="shared" si="726"/>
        <v>154129.21357834002</v>
      </c>
      <c r="CY126" s="60">
        <f t="shared" si="727"/>
        <v>45412.8675</v>
      </c>
      <c r="CZ126" s="59">
        <f t="shared" si="728"/>
        <v>150125.85738150001</v>
      </c>
      <c r="DA126" s="55">
        <f t="shared" si="729"/>
        <v>44201.857699999993</v>
      </c>
      <c r="DB126" s="59">
        <f t="shared" si="730"/>
        <v>146122.50118465998</v>
      </c>
      <c r="DC126" s="60">
        <f t="shared" si="731"/>
        <v>42990.847899999993</v>
      </c>
      <c r="DD126" s="59">
        <f t="shared" si="732"/>
        <v>142119.14498781998</v>
      </c>
      <c r="DE126" s="60">
        <f t="shared" si="733"/>
        <v>41779.838099999994</v>
      </c>
      <c r="DF126" s="59">
        <f t="shared" si="734"/>
        <v>138115.78879097998</v>
      </c>
      <c r="DG126" s="60">
        <f t="shared" si="735"/>
        <v>40568.828299999994</v>
      </c>
      <c r="DH126" s="59">
        <f t="shared" si="736"/>
        <v>134112.43259413997</v>
      </c>
      <c r="DI126" s="60">
        <f t="shared" si="737"/>
        <v>39357.818499999994</v>
      </c>
      <c r="DJ126" s="59">
        <f t="shared" si="738"/>
        <v>130109.07639729998</v>
      </c>
      <c r="DK126" s="55">
        <f t="shared" si="739"/>
        <v>38146.808699999987</v>
      </c>
      <c r="DL126" s="59">
        <f t="shared" si="740"/>
        <v>126105.72020045995</v>
      </c>
      <c r="DM126" s="60">
        <f t="shared" si="741"/>
        <v>36935.798899999987</v>
      </c>
      <c r="DN126" s="59">
        <f t="shared" si="742"/>
        <v>122102.36400361996</v>
      </c>
      <c r="DO126" s="60">
        <f t="shared" si="743"/>
        <v>35724.789099999987</v>
      </c>
      <c r="DP126" s="59">
        <f t="shared" si="744"/>
        <v>118099.00780677996</v>
      </c>
      <c r="DQ126" s="55">
        <f t="shared" si="745"/>
        <v>34513.779299999987</v>
      </c>
      <c r="DR126" s="59">
        <f t="shared" si="746"/>
        <v>114095.65160993996</v>
      </c>
      <c r="DU126" s="55">
        <v>1</v>
      </c>
      <c r="DV126" s="55">
        <v>0.97</v>
      </c>
      <c r="DW126" s="55">
        <v>0.95</v>
      </c>
      <c r="DX126" s="55">
        <v>0.93</v>
      </c>
      <c r="DY126" s="55">
        <f t="shared" si="792"/>
        <v>0.91</v>
      </c>
      <c r="DZ126" s="55">
        <f t="shared" si="792"/>
        <v>0.89</v>
      </c>
      <c r="EA126" s="55">
        <f t="shared" si="792"/>
        <v>0.87</v>
      </c>
      <c r="EB126" s="55">
        <f t="shared" si="792"/>
        <v>0.85</v>
      </c>
      <c r="EC126" s="55">
        <f t="shared" si="792"/>
        <v>0.83</v>
      </c>
      <c r="ED126" s="55">
        <f t="shared" si="792"/>
        <v>0.80999999999999994</v>
      </c>
      <c r="EE126" s="55">
        <f t="shared" si="792"/>
        <v>0.78999999999999992</v>
      </c>
      <c r="EF126" s="55">
        <f t="shared" si="792"/>
        <v>0.76999999999999991</v>
      </c>
      <c r="EG126" s="55">
        <f t="shared" si="792"/>
        <v>0.74999999999999989</v>
      </c>
      <c r="EH126" s="55">
        <f t="shared" si="792"/>
        <v>0.72999999999999987</v>
      </c>
      <c r="EI126" s="55">
        <f t="shared" si="792"/>
        <v>0.70999999999999985</v>
      </c>
      <c r="EJ126" s="55">
        <f t="shared" si="792"/>
        <v>0.68999999999999984</v>
      </c>
      <c r="EK126" s="55">
        <f t="shared" si="792"/>
        <v>0.66999999999999982</v>
      </c>
      <c r="EL126" s="55">
        <f t="shared" si="792"/>
        <v>0.6499999999999998</v>
      </c>
      <c r="EM126" s="55">
        <f t="shared" si="792"/>
        <v>0.62999999999999978</v>
      </c>
      <c r="EN126" s="55">
        <f t="shared" si="792"/>
        <v>0.60999999999999976</v>
      </c>
      <c r="EO126" s="55">
        <f t="shared" si="792"/>
        <v>0.58999999999999975</v>
      </c>
      <c r="EP126" s="55">
        <f t="shared" si="792"/>
        <v>0.56999999999999973</v>
      </c>
      <c r="ER126" s="55">
        <f t="shared" si="648"/>
        <v>55100.945900000006</v>
      </c>
      <c r="ES126" s="55">
        <f t="shared" si="510"/>
        <v>55100.945900000006</v>
      </c>
      <c r="ET126" s="59">
        <f t="shared" si="747"/>
        <v>182152.70695622003</v>
      </c>
      <c r="EU126" s="55">
        <f t="shared" si="748"/>
        <v>53447.917523000004</v>
      </c>
      <c r="EV126" s="59">
        <f t="shared" si="749"/>
        <v>176688.12574753343</v>
      </c>
      <c r="EW126" s="55">
        <f t="shared" si="750"/>
        <v>52345.898605000002</v>
      </c>
      <c r="EX126" s="59">
        <f t="shared" si="751"/>
        <v>173045.07160840902</v>
      </c>
      <c r="EY126" s="55">
        <f t="shared" si="752"/>
        <v>51243.879687000008</v>
      </c>
      <c r="EZ126" s="59">
        <f t="shared" si="753"/>
        <v>169402.01746928462</v>
      </c>
      <c r="FA126" s="57">
        <f t="shared" si="754"/>
        <v>50141.860769000006</v>
      </c>
      <c r="FB126" s="59">
        <f t="shared" si="755"/>
        <v>165758.96333016022</v>
      </c>
      <c r="FC126" s="55">
        <f t="shared" si="756"/>
        <v>49039.841851000005</v>
      </c>
      <c r="FD126" s="59">
        <f t="shared" si="757"/>
        <v>162115.90919103581</v>
      </c>
      <c r="FE126" s="57">
        <f t="shared" si="758"/>
        <v>47937.822933000003</v>
      </c>
      <c r="FF126" s="59">
        <f t="shared" si="759"/>
        <v>158472.85505191141</v>
      </c>
      <c r="FG126" s="60">
        <f t="shared" si="760"/>
        <v>46835.804015000002</v>
      </c>
      <c r="FH126" s="59">
        <f t="shared" si="761"/>
        <v>154829.800912787</v>
      </c>
      <c r="FI126" s="57">
        <f t="shared" si="762"/>
        <v>45733.785097</v>
      </c>
      <c r="FJ126" s="59">
        <f t="shared" si="763"/>
        <v>151186.7467736626</v>
      </c>
      <c r="FK126" s="55">
        <f t="shared" si="764"/>
        <v>44631.766178999998</v>
      </c>
      <c r="FL126" s="59">
        <f t="shared" si="765"/>
        <v>147543.69263453819</v>
      </c>
      <c r="FM126" s="60">
        <f t="shared" si="766"/>
        <v>43529.747261000004</v>
      </c>
      <c r="FN126" s="59">
        <f t="shared" si="767"/>
        <v>143900.63849541382</v>
      </c>
      <c r="FO126" s="60">
        <f t="shared" si="768"/>
        <v>42427.728343000002</v>
      </c>
      <c r="FP126" s="59">
        <f t="shared" si="769"/>
        <v>140257.58435628942</v>
      </c>
      <c r="FQ126" s="60">
        <f t="shared" si="770"/>
        <v>41325.709425000001</v>
      </c>
      <c r="FR126" s="59">
        <f t="shared" si="771"/>
        <v>136614.53021716501</v>
      </c>
      <c r="FS126" s="55">
        <f t="shared" si="772"/>
        <v>40223.690506999999</v>
      </c>
      <c r="FT126" s="59">
        <f t="shared" si="773"/>
        <v>132971.47607804061</v>
      </c>
      <c r="FU126" s="60">
        <f t="shared" si="774"/>
        <v>39121.671588999998</v>
      </c>
      <c r="FV126" s="59">
        <f t="shared" si="775"/>
        <v>129328.4219389162</v>
      </c>
      <c r="FW126" s="60">
        <f t="shared" si="776"/>
        <v>38019.652670999996</v>
      </c>
      <c r="FX126" s="59">
        <f t="shared" si="777"/>
        <v>125685.36779979178</v>
      </c>
      <c r="FY126" s="60">
        <f t="shared" si="778"/>
        <v>36917.633752999995</v>
      </c>
      <c r="FZ126" s="59">
        <f t="shared" si="779"/>
        <v>122042.31366066738</v>
      </c>
      <c r="GA126" s="60">
        <f t="shared" si="780"/>
        <v>35815.614834999993</v>
      </c>
      <c r="GB126" s="59">
        <f t="shared" si="781"/>
        <v>118399.25952154298</v>
      </c>
      <c r="GC126" s="55">
        <f t="shared" si="782"/>
        <v>34713.595916999991</v>
      </c>
      <c r="GD126" s="59">
        <f t="shared" si="783"/>
        <v>114756.20538241857</v>
      </c>
      <c r="GE126" s="60">
        <f t="shared" si="784"/>
        <v>33611.57699899999</v>
      </c>
      <c r="GF126" s="59">
        <f t="shared" si="785"/>
        <v>111113.15124329417</v>
      </c>
      <c r="GG126" s="60">
        <f t="shared" si="786"/>
        <v>32509.558080999988</v>
      </c>
      <c r="GH126" s="59">
        <f t="shared" si="787"/>
        <v>107470.09710416976</v>
      </c>
      <c r="GI126" s="55">
        <f t="shared" si="788"/>
        <v>31407.539162999987</v>
      </c>
      <c r="GJ126" s="59">
        <f t="shared" si="789"/>
        <v>103827.04296504536</v>
      </c>
      <c r="GK126" s="55"/>
      <c r="GL126" s="55"/>
      <c r="GM126" s="55">
        <v>1</v>
      </c>
      <c r="GN126" s="55">
        <v>0.97</v>
      </c>
      <c r="GO126" s="55">
        <v>0.95</v>
      </c>
      <c r="GP126" s="55">
        <v>0.93</v>
      </c>
      <c r="GQ126" s="55">
        <f t="shared" si="793"/>
        <v>0.91</v>
      </c>
      <c r="GR126" s="55">
        <f t="shared" si="793"/>
        <v>0.89</v>
      </c>
      <c r="GS126" s="55">
        <f t="shared" si="793"/>
        <v>0.87</v>
      </c>
      <c r="GT126" s="55">
        <f t="shared" si="793"/>
        <v>0.85</v>
      </c>
      <c r="GU126" s="55">
        <f t="shared" si="793"/>
        <v>0.83</v>
      </c>
      <c r="GV126" s="55">
        <f t="shared" si="793"/>
        <v>0.80999999999999994</v>
      </c>
      <c r="GW126" s="55">
        <f t="shared" si="793"/>
        <v>0.78999999999999992</v>
      </c>
      <c r="GX126" s="55">
        <f t="shared" si="793"/>
        <v>0.76999999999999991</v>
      </c>
      <c r="GY126" s="55">
        <f t="shared" si="793"/>
        <v>0.74999999999999989</v>
      </c>
      <c r="GZ126" s="55">
        <f t="shared" si="793"/>
        <v>0.72999999999999987</v>
      </c>
      <c r="HA126" s="55">
        <f t="shared" si="793"/>
        <v>0.70999999999999985</v>
      </c>
      <c r="HB126" s="55">
        <f t="shared" si="793"/>
        <v>0.68999999999999984</v>
      </c>
      <c r="HC126" s="55">
        <f t="shared" si="793"/>
        <v>0.66999999999999982</v>
      </c>
      <c r="HD126" s="55">
        <f t="shared" si="793"/>
        <v>0.6499999999999998</v>
      </c>
      <c r="HE126" s="55">
        <f t="shared" si="793"/>
        <v>0.62999999999999978</v>
      </c>
      <c r="HF126" s="55">
        <f t="shared" si="793"/>
        <v>0.60999999999999976</v>
      </c>
      <c r="HG126" s="55">
        <f t="shared" si="793"/>
        <v>0.58999999999999975</v>
      </c>
      <c r="HH126" s="55">
        <f t="shared" si="793"/>
        <v>0.56999999999999973</v>
      </c>
    </row>
    <row r="127" spans="1:216" x14ac:dyDescent="0.3">
      <c r="A127" s="2">
        <v>12</v>
      </c>
      <c r="C127" s="27" t="s">
        <v>113</v>
      </c>
      <c r="D127" s="39">
        <f>SUM(D116:D126)</f>
        <v>75970</v>
      </c>
      <c r="E127" s="39">
        <f>SUM(E116:E126)</f>
        <v>251120</v>
      </c>
      <c r="H127" s="55">
        <f t="shared" si="505"/>
        <v>276232</v>
      </c>
      <c r="I127" s="55">
        <f t="shared" si="506"/>
        <v>276232</v>
      </c>
      <c r="J127" s="59">
        <f t="shared" si="507"/>
        <v>913167.74560000002</v>
      </c>
      <c r="K127" s="55">
        <f t="shared" si="661"/>
        <v>267945.03999999998</v>
      </c>
      <c r="L127" s="59">
        <f t="shared" si="662"/>
        <v>885772.71323199989</v>
      </c>
      <c r="M127" s="55">
        <f t="shared" si="663"/>
        <v>262420.39999999997</v>
      </c>
      <c r="N127" s="59">
        <f t="shared" si="664"/>
        <v>867509.35831999988</v>
      </c>
      <c r="O127" s="55">
        <f t="shared" si="665"/>
        <v>256895.76</v>
      </c>
      <c r="P127" s="59">
        <f t="shared" si="666"/>
        <v>849246.00340800011</v>
      </c>
      <c r="Q127" s="57">
        <f t="shared" si="667"/>
        <v>251371.12</v>
      </c>
      <c r="R127" s="59">
        <f t="shared" si="668"/>
        <v>830982.64849599998</v>
      </c>
      <c r="S127" s="55">
        <f t="shared" si="669"/>
        <v>245846.48</v>
      </c>
      <c r="T127" s="59">
        <f t="shared" si="670"/>
        <v>812719.29358400009</v>
      </c>
      <c r="U127" s="57">
        <f t="shared" si="671"/>
        <v>240321.84</v>
      </c>
      <c r="V127" s="59">
        <f t="shared" si="672"/>
        <v>794455.93867199996</v>
      </c>
      <c r="W127" s="60">
        <f t="shared" si="673"/>
        <v>234797.19999999998</v>
      </c>
      <c r="X127" s="59">
        <f t="shared" si="674"/>
        <v>776192.58375999995</v>
      </c>
      <c r="Y127" s="57">
        <f t="shared" si="675"/>
        <v>229272.56</v>
      </c>
      <c r="Z127" s="59">
        <f t="shared" si="676"/>
        <v>757929.22884800006</v>
      </c>
      <c r="AA127" s="55">
        <f t="shared" si="677"/>
        <v>223747.91999999998</v>
      </c>
      <c r="AB127" s="59">
        <f t="shared" si="678"/>
        <v>739665.87393599993</v>
      </c>
      <c r="AC127" s="60">
        <f t="shared" si="679"/>
        <v>218223.27999999997</v>
      </c>
      <c r="AD127" s="59">
        <f t="shared" si="680"/>
        <v>721402.51902399992</v>
      </c>
      <c r="AE127" s="60">
        <f t="shared" si="681"/>
        <v>212698.63999999998</v>
      </c>
      <c r="AF127" s="59">
        <f t="shared" si="682"/>
        <v>703139.16411199991</v>
      </c>
      <c r="AG127" s="60">
        <f t="shared" si="683"/>
        <v>207173.99999999997</v>
      </c>
      <c r="AH127" s="59">
        <f t="shared" si="684"/>
        <v>684875.8091999999</v>
      </c>
      <c r="AI127" s="55">
        <f t="shared" si="685"/>
        <v>201649.35999999996</v>
      </c>
      <c r="AJ127" s="59">
        <f t="shared" si="686"/>
        <v>666612.45428799989</v>
      </c>
      <c r="AK127" s="60">
        <f t="shared" si="687"/>
        <v>196124.71999999997</v>
      </c>
      <c r="AL127" s="59">
        <f t="shared" si="688"/>
        <v>648349.09937599988</v>
      </c>
      <c r="AM127" s="60">
        <f t="shared" si="689"/>
        <v>190600.07999999996</v>
      </c>
      <c r="AN127" s="59">
        <f t="shared" si="690"/>
        <v>630085.74446399987</v>
      </c>
      <c r="AO127" s="60">
        <f t="shared" si="691"/>
        <v>185075.43999999994</v>
      </c>
      <c r="AP127" s="59">
        <f t="shared" si="692"/>
        <v>611822.38955199986</v>
      </c>
      <c r="AQ127" s="60">
        <f t="shared" si="693"/>
        <v>179550.79999999996</v>
      </c>
      <c r="AR127" s="59">
        <f t="shared" si="694"/>
        <v>593559.03463999985</v>
      </c>
      <c r="AS127" s="55">
        <f t="shared" si="695"/>
        <v>174026.15999999995</v>
      </c>
      <c r="AT127" s="59">
        <f t="shared" si="696"/>
        <v>575295.67972799984</v>
      </c>
      <c r="AU127" s="60">
        <f t="shared" si="697"/>
        <v>168501.51999999993</v>
      </c>
      <c r="AV127" s="59">
        <f t="shared" si="698"/>
        <v>557032.32481599983</v>
      </c>
      <c r="AW127" s="60">
        <f t="shared" si="699"/>
        <v>162976.87999999992</v>
      </c>
      <c r="AX127" s="59">
        <f t="shared" si="700"/>
        <v>538768.96990399971</v>
      </c>
      <c r="AY127" s="55">
        <f t="shared" si="701"/>
        <v>157452.23999999993</v>
      </c>
      <c r="AZ127" s="59">
        <f t="shared" si="702"/>
        <v>520505.61499199981</v>
      </c>
      <c r="BC127" s="55">
        <v>1</v>
      </c>
      <c r="BD127" s="55">
        <v>0.97</v>
      </c>
      <c r="BE127" s="55">
        <v>0.95</v>
      </c>
      <c r="BF127" s="55">
        <v>0.93</v>
      </c>
      <c r="BG127" s="55">
        <f t="shared" si="703"/>
        <v>0.91</v>
      </c>
      <c r="BH127" s="55">
        <f t="shared" si="703"/>
        <v>0.89</v>
      </c>
      <c r="BI127" s="55">
        <f t="shared" si="703"/>
        <v>0.87</v>
      </c>
      <c r="BJ127" s="55">
        <f t="shared" si="703"/>
        <v>0.85</v>
      </c>
      <c r="BK127" s="55">
        <f t="shared" si="703"/>
        <v>0.83</v>
      </c>
      <c r="BL127" s="55">
        <f t="shared" si="703"/>
        <v>0.80999999999999994</v>
      </c>
      <c r="BM127" s="55">
        <f t="shared" si="703"/>
        <v>0.78999999999999992</v>
      </c>
      <c r="BN127" s="55">
        <f t="shared" si="703"/>
        <v>0.76999999999999991</v>
      </c>
      <c r="BO127" s="55">
        <f t="shared" si="703"/>
        <v>0.74999999999999989</v>
      </c>
      <c r="BP127" s="55">
        <f t="shared" si="703"/>
        <v>0.72999999999999987</v>
      </c>
      <c r="BQ127" s="55">
        <f t="shared" si="703"/>
        <v>0.70999999999999985</v>
      </c>
      <c r="BR127" s="55">
        <f t="shared" si="703"/>
        <v>0.68999999999999984</v>
      </c>
      <c r="BS127" s="55">
        <f t="shared" si="703"/>
        <v>0.66999999999999982</v>
      </c>
      <c r="BT127" s="55">
        <f t="shared" si="703"/>
        <v>0.6499999999999998</v>
      </c>
      <c r="BU127" s="55">
        <f t="shared" si="703"/>
        <v>0.62999999999999978</v>
      </c>
      <c r="BV127" s="55">
        <f t="shared" si="703"/>
        <v>0.60999999999999976</v>
      </c>
      <c r="BW127" s="55">
        <f t="shared" si="703"/>
        <v>0.58999999999999975</v>
      </c>
      <c r="BX127" s="55">
        <f t="shared" si="703"/>
        <v>0.56999999999999973</v>
      </c>
      <c r="BZ127" s="55">
        <f t="shared" si="508"/>
        <v>251371.12</v>
      </c>
      <c r="CA127" s="55">
        <f t="shared" si="509"/>
        <v>251371.12</v>
      </c>
      <c r="CB127" s="59">
        <f t="shared" si="704"/>
        <v>830982.64849599998</v>
      </c>
      <c r="CC127" s="55">
        <f t="shared" si="705"/>
        <v>243829.98639999999</v>
      </c>
      <c r="CD127" s="59">
        <f t="shared" si="706"/>
        <v>806053.16904111998</v>
      </c>
      <c r="CE127" s="55">
        <f t="shared" si="707"/>
        <v>238802.56399999998</v>
      </c>
      <c r="CF127" s="59">
        <f t="shared" si="708"/>
        <v>789433.51607120002</v>
      </c>
      <c r="CG127" s="55">
        <f t="shared" si="709"/>
        <v>233775.1416</v>
      </c>
      <c r="CH127" s="59">
        <f t="shared" si="710"/>
        <v>772813.86310128006</v>
      </c>
      <c r="CI127" s="57">
        <f t="shared" si="711"/>
        <v>228747.71919999999</v>
      </c>
      <c r="CJ127" s="59">
        <f t="shared" si="712"/>
        <v>756194.21013135999</v>
      </c>
      <c r="CK127" s="55">
        <f t="shared" si="713"/>
        <v>223720.29680000001</v>
      </c>
      <c r="CL127" s="59">
        <f t="shared" si="714"/>
        <v>739574.55716144003</v>
      </c>
      <c r="CM127" s="57">
        <f t="shared" si="715"/>
        <v>218692.8744</v>
      </c>
      <c r="CN127" s="59">
        <f t="shared" si="716"/>
        <v>722954.90419152007</v>
      </c>
      <c r="CO127" s="60">
        <f t="shared" si="717"/>
        <v>213665.45199999999</v>
      </c>
      <c r="CP127" s="59">
        <f t="shared" si="718"/>
        <v>706335.25122159999</v>
      </c>
      <c r="CQ127" s="57">
        <f t="shared" si="719"/>
        <v>208638.02959999998</v>
      </c>
      <c r="CR127" s="59">
        <f t="shared" si="720"/>
        <v>689715.59825167991</v>
      </c>
      <c r="CS127" s="55">
        <f t="shared" si="721"/>
        <v>203610.60719999997</v>
      </c>
      <c r="CT127" s="59">
        <f t="shared" si="722"/>
        <v>673095.94528175995</v>
      </c>
      <c r="CU127" s="60">
        <f t="shared" si="723"/>
        <v>198583.18479999999</v>
      </c>
      <c r="CV127" s="59">
        <f t="shared" si="724"/>
        <v>656476.29231183999</v>
      </c>
      <c r="CW127" s="60">
        <f t="shared" si="725"/>
        <v>193555.76239999998</v>
      </c>
      <c r="CX127" s="59">
        <f t="shared" si="726"/>
        <v>639856.63934191992</v>
      </c>
      <c r="CY127" s="60">
        <f t="shared" si="727"/>
        <v>188528.33999999997</v>
      </c>
      <c r="CZ127" s="59">
        <f t="shared" si="728"/>
        <v>623236.98637199996</v>
      </c>
      <c r="DA127" s="55">
        <f t="shared" si="729"/>
        <v>183500.91759999996</v>
      </c>
      <c r="DB127" s="59">
        <f t="shared" si="730"/>
        <v>606617.33340207988</v>
      </c>
      <c r="DC127" s="60">
        <f t="shared" si="731"/>
        <v>178473.49519999995</v>
      </c>
      <c r="DD127" s="59">
        <f t="shared" si="732"/>
        <v>589997.6804321598</v>
      </c>
      <c r="DE127" s="60">
        <f t="shared" si="733"/>
        <v>173446.07279999997</v>
      </c>
      <c r="DF127" s="59">
        <f t="shared" si="734"/>
        <v>573378.02746223984</v>
      </c>
      <c r="DG127" s="60">
        <f t="shared" si="735"/>
        <v>168418.65039999995</v>
      </c>
      <c r="DH127" s="59">
        <f t="shared" si="736"/>
        <v>556758.37449231988</v>
      </c>
      <c r="DI127" s="60">
        <f t="shared" si="737"/>
        <v>163391.22799999994</v>
      </c>
      <c r="DJ127" s="59">
        <f t="shared" si="738"/>
        <v>540138.72152239981</v>
      </c>
      <c r="DK127" s="55">
        <f t="shared" si="739"/>
        <v>158363.80559999993</v>
      </c>
      <c r="DL127" s="59">
        <f t="shared" si="740"/>
        <v>523519.06855247979</v>
      </c>
      <c r="DM127" s="60">
        <f t="shared" si="741"/>
        <v>153336.38319999992</v>
      </c>
      <c r="DN127" s="59">
        <f t="shared" si="742"/>
        <v>506899.41558255977</v>
      </c>
      <c r="DO127" s="60">
        <f t="shared" si="743"/>
        <v>148308.96079999994</v>
      </c>
      <c r="DP127" s="59">
        <f t="shared" si="744"/>
        <v>490279.76261263981</v>
      </c>
      <c r="DQ127" s="55">
        <f t="shared" si="745"/>
        <v>143281.53839999993</v>
      </c>
      <c r="DR127" s="59">
        <f t="shared" si="746"/>
        <v>473660.10964271979</v>
      </c>
      <c r="DU127" s="55">
        <v>1</v>
      </c>
      <c r="DV127" s="55">
        <v>0.97</v>
      </c>
      <c r="DW127" s="55">
        <v>0.95</v>
      </c>
      <c r="DX127" s="55">
        <v>0.93</v>
      </c>
      <c r="DY127" s="55">
        <f t="shared" si="792"/>
        <v>0.91</v>
      </c>
      <c r="DZ127" s="55">
        <f t="shared" si="792"/>
        <v>0.89</v>
      </c>
      <c r="EA127" s="55">
        <f t="shared" si="792"/>
        <v>0.87</v>
      </c>
      <c r="EB127" s="55">
        <f t="shared" si="792"/>
        <v>0.85</v>
      </c>
      <c r="EC127" s="55">
        <f t="shared" si="792"/>
        <v>0.83</v>
      </c>
      <c r="ED127" s="55">
        <f t="shared" si="792"/>
        <v>0.80999999999999994</v>
      </c>
      <c r="EE127" s="55">
        <f t="shared" si="792"/>
        <v>0.78999999999999992</v>
      </c>
      <c r="EF127" s="55">
        <f t="shared" si="792"/>
        <v>0.76999999999999991</v>
      </c>
      <c r="EG127" s="55">
        <f t="shared" si="792"/>
        <v>0.74999999999999989</v>
      </c>
      <c r="EH127" s="55">
        <f t="shared" si="792"/>
        <v>0.72999999999999987</v>
      </c>
      <c r="EI127" s="55">
        <f t="shared" si="792"/>
        <v>0.70999999999999985</v>
      </c>
      <c r="EJ127" s="55">
        <f t="shared" si="792"/>
        <v>0.68999999999999984</v>
      </c>
      <c r="EK127" s="55">
        <f t="shared" si="792"/>
        <v>0.66999999999999982</v>
      </c>
      <c r="EL127" s="55">
        <f t="shared" si="792"/>
        <v>0.6499999999999998</v>
      </c>
      <c r="EM127" s="55">
        <f t="shared" si="792"/>
        <v>0.62999999999999978</v>
      </c>
      <c r="EN127" s="55">
        <f t="shared" si="792"/>
        <v>0.60999999999999976</v>
      </c>
      <c r="EO127" s="55">
        <f t="shared" si="792"/>
        <v>0.58999999999999975</v>
      </c>
      <c r="EP127" s="55">
        <f t="shared" si="792"/>
        <v>0.56999999999999973</v>
      </c>
      <c r="ER127" s="55">
        <f t="shared" si="648"/>
        <v>228747.71919999999</v>
      </c>
      <c r="ES127" s="55">
        <f t="shared" si="510"/>
        <v>228747.71919999999</v>
      </c>
      <c r="ET127" s="59">
        <f t="shared" si="747"/>
        <v>756194.21013135999</v>
      </c>
      <c r="EU127" s="55">
        <f t="shared" si="748"/>
        <v>221885.28762399999</v>
      </c>
      <c r="EV127" s="59">
        <f t="shared" si="749"/>
        <v>733508.38382741914</v>
      </c>
      <c r="EW127" s="55">
        <f t="shared" si="750"/>
        <v>217310.33323999998</v>
      </c>
      <c r="EX127" s="59">
        <f t="shared" si="751"/>
        <v>718384.4996247919</v>
      </c>
      <c r="EY127" s="55">
        <f t="shared" si="752"/>
        <v>212735.378856</v>
      </c>
      <c r="EZ127" s="59">
        <f t="shared" si="753"/>
        <v>703260.61542216479</v>
      </c>
      <c r="FA127" s="57">
        <f t="shared" si="754"/>
        <v>208160.42447200001</v>
      </c>
      <c r="FB127" s="59">
        <f t="shared" si="755"/>
        <v>688136.73121953767</v>
      </c>
      <c r="FC127" s="55">
        <f t="shared" si="756"/>
        <v>203585.470088</v>
      </c>
      <c r="FD127" s="59">
        <f t="shared" si="757"/>
        <v>673012.84701691044</v>
      </c>
      <c r="FE127" s="57">
        <f t="shared" si="758"/>
        <v>199010.51570399999</v>
      </c>
      <c r="FF127" s="59">
        <f t="shared" si="759"/>
        <v>657888.96281428321</v>
      </c>
      <c r="FG127" s="60">
        <f t="shared" si="760"/>
        <v>194435.56131999998</v>
      </c>
      <c r="FH127" s="59">
        <f t="shared" si="761"/>
        <v>642765.07861165598</v>
      </c>
      <c r="FI127" s="57">
        <f t="shared" si="762"/>
        <v>189860.606936</v>
      </c>
      <c r="FJ127" s="59">
        <f t="shared" si="763"/>
        <v>627641.19440902886</v>
      </c>
      <c r="FK127" s="55">
        <f t="shared" si="764"/>
        <v>185285.65255199999</v>
      </c>
      <c r="FL127" s="59">
        <f t="shared" si="765"/>
        <v>612517.31020640151</v>
      </c>
      <c r="FM127" s="60">
        <f t="shared" si="766"/>
        <v>180710.69816799997</v>
      </c>
      <c r="FN127" s="59">
        <f t="shared" si="767"/>
        <v>597393.42600377428</v>
      </c>
      <c r="FO127" s="60">
        <f t="shared" si="768"/>
        <v>176135.74378399996</v>
      </c>
      <c r="FP127" s="59">
        <f t="shared" si="769"/>
        <v>582269.54180114705</v>
      </c>
      <c r="FQ127" s="60">
        <f t="shared" si="770"/>
        <v>171560.78939999998</v>
      </c>
      <c r="FR127" s="59">
        <f t="shared" si="771"/>
        <v>567145.65759851993</v>
      </c>
      <c r="FS127" s="55">
        <f t="shared" si="772"/>
        <v>166985.83501599997</v>
      </c>
      <c r="FT127" s="59">
        <f t="shared" si="773"/>
        <v>552021.7733958927</v>
      </c>
      <c r="FU127" s="60">
        <f t="shared" si="774"/>
        <v>162410.88063199996</v>
      </c>
      <c r="FV127" s="59">
        <f t="shared" si="775"/>
        <v>536897.88919326547</v>
      </c>
      <c r="FW127" s="60">
        <f t="shared" si="776"/>
        <v>157835.92624799995</v>
      </c>
      <c r="FX127" s="59">
        <f t="shared" si="777"/>
        <v>521774.00499063823</v>
      </c>
      <c r="FY127" s="60">
        <f t="shared" si="778"/>
        <v>153260.97186399996</v>
      </c>
      <c r="FZ127" s="59">
        <f t="shared" si="779"/>
        <v>506650.12078801106</v>
      </c>
      <c r="GA127" s="60">
        <f t="shared" si="780"/>
        <v>148686.01747999995</v>
      </c>
      <c r="GB127" s="59">
        <f t="shared" si="781"/>
        <v>491526.23658538383</v>
      </c>
      <c r="GC127" s="55">
        <f t="shared" si="782"/>
        <v>144111.06309599994</v>
      </c>
      <c r="GD127" s="59">
        <f t="shared" si="783"/>
        <v>476402.3523827566</v>
      </c>
      <c r="GE127" s="60">
        <f t="shared" si="784"/>
        <v>139536.10871199993</v>
      </c>
      <c r="GF127" s="59">
        <f t="shared" si="785"/>
        <v>461278.46818012936</v>
      </c>
      <c r="GG127" s="60">
        <f t="shared" si="786"/>
        <v>134961.15432799995</v>
      </c>
      <c r="GH127" s="59">
        <f t="shared" si="787"/>
        <v>446154.58397750225</v>
      </c>
      <c r="GI127" s="55">
        <f t="shared" si="788"/>
        <v>130386.19994399993</v>
      </c>
      <c r="GJ127" s="59">
        <f t="shared" si="789"/>
        <v>431030.69977487501</v>
      </c>
      <c r="GK127" s="55"/>
      <c r="GL127" s="55"/>
      <c r="GM127" s="55">
        <v>1</v>
      </c>
      <c r="GN127" s="55">
        <v>0.97</v>
      </c>
      <c r="GO127" s="55">
        <v>0.95</v>
      </c>
      <c r="GP127" s="55">
        <v>0.93</v>
      </c>
      <c r="GQ127" s="55">
        <f t="shared" si="793"/>
        <v>0.91</v>
      </c>
      <c r="GR127" s="55">
        <f t="shared" si="793"/>
        <v>0.89</v>
      </c>
      <c r="GS127" s="55">
        <f t="shared" si="793"/>
        <v>0.87</v>
      </c>
      <c r="GT127" s="55">
        <f t="shared" si="793"/>
        <v>0.85</v>
      </c>
      <c r="GU127" s="55">
        <f t="shared" si="793"/>
        <v>0.83</v>
      </c>
      <c r="GV127" s="55">
        <f t="shared" si="793"/>
        <v>0.80999999999999994</v>
      </c>
      <c r="GW127" s="55">
        <f t="shared" si="793"/>
        <v>0.78999999999999992</v>
      </c>
      <c r="GX127" s="55">
        <f t="shared" si="793"/>
        <v>0.76999999999999991</v>
      </c>
      <c r="GY127" s="55">
        <f t="shared" si="793"/>
        <v>0.74999999999999989</v>
      </c>
      <c r="GZ127" s="55">
        <f t="shared" si="793"/>
        <v>0.72999999999999987</v>
      </c>
      <c r="HA127" s="55">
        <f t="shared" si="793"/>
        <v>0.70999999999999985</v>
      </c>
      <c r="HB127" s="55">
        <f t="shared" si="793"/>
        <v>0.68999999999999984</v>
      </c>
      <c r="HC127" s="55">
        <f t="shared" si="793"/>
        <v>0.66999999999999982</v>
      </c>
      <c r="HD127" s="55">
        <f t="shared" si="793"/>
        <v>0.6499999999999998</v>
      </c>
      <c r="HE127" s="55">
        <f t="shared" si="793"/>
        <v>0.62999999999999978</v>
      </c>
      <c r="HF127" s="55">
        <f t="shared" si="793"/>
        <v>0.60999999999999976</v>
      </c>
      <c r="HG127" s="55">
        <f t="shared" si="793"/>
        <v>0.58999999999999975</v>
      </c>
      <c r="HH127" s="55">
        <f t="shared" si="793"/>
        <v>0.56999999999999973</v>
      </c>
    </row>
    <row r="128" spans="1:216" s="64" customFormat="1" x14ac:dyDescent="0.3">
      <c r="C128" s="65"/>
      <c r="D128" s="65"/>
      <c r="E128" s="65"/>
      <c r="G128" s="61"/>
      <c r="H128" s="61"/>
      <c r="I128" s="61"/>
      <c r="J128" s="61"/>
      <c r="K128" s="61"/>
      <c r="L128" s="61"/>
      <c r="M128" s="61"/>
      <c r="N128" s="61"/>
      <c r="O128" s="61"/>
      <c r="P128" s="62"/>
      <c r="Q128" s="61"/>
      <c r="R128" s="61"/>
      <c r="S128" s="61"/>
      <c r="T128" s="62"/>
      <c r="U128" s="61"/>
      <c r="V128" s="63"/>
      <c r="W128" s="61"/>
      <c r="X128" s="62"/>
      <c r="Y128" s="61"/>
      <c r="Z128" s="61"/>
      <c r="AA128" s="61"/>
      <c r="AB128" s="63"/>
      <c r="AC128" s="61"/>
      <c r="AD128" s="63"/>
      <c r="AE128" s="61"/>
      <c r="AF128" s="63"/>
      <c r="AG128" s="61"/>
      <c r="AH128" s="61"/>
      <c r="AI128" s="61"/>
      <c r="AJ128" s="63"/>
      <c r="AK128" s="61"/>
      <c r="AL128" s="63"/>
      <c r="AM128" s="61"/>
      <c r="AN128" s="63"/>
      <c r="AO128" s="61"/>
      <c r="AP128" s="63"/>
      <c r="AQ128" s="61"/>
      <c r="AR128" s="61"/>
      <c r="AS128" s="61"/>
      <c r="AT128" s="63"/>
      <c r="AU128" s="61"/>
      <c r="AV128" s="63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>
        <f t="shared" ref="BY128:BY129" si="794">+G128*0.91</f>
        <v>0</v>
      </c>
      <c r="BZ128" s="61"/>
      <c r="CA128" s="61"/>
      <c r="CB128" s="61"/>
      <c r="CC128" s="61"/>
      <c r="CD128" s="61"/>
      <c r="CE128" s="61"/>
      <c r="CF128" s="61"/>
      <c r="CG128" s="61"/>
      <c r="CH128" s="62"/>
      <c r="CI128" s="61"/>
      <c r="CJ128" s="61"/>
      <c r="CK128" s="61"/>
      <c r="CL128" s="62"/>
      <c r="CM128" s="61"/>
      <c r="CN128" s="63"/>
      <c r="CO128" s="61"/>
      <c r="CP128" s="62"/>
      <c r="CQ128" s="61"/>
      <c r="CR128" s="61"/>
      <c r="CS128" s="61"/>
      <c r="CT128" s="63"/>
      <c r="CU128" s="61"/>
      <c r="CV128" s="63"/>
      <c r="CW128" s="61"/>
      <c r="CX128" s="63"/>
      <c r="CY128" s="61"/>
      <c r="CZ128" s="61"/>
      <c r="DA128" s="61"/>
      <c r="DB128" s="63"/>
      <c r="DC128" s="61"/>
      <c r="DD128" s="63"/>
      <c r="DE128" s="61"/>
      <c r="DF128" s="63"/>
      <c r="DG128" s="61"/>
      <c r="DH128" s="63"/>
      <c r="DI128" s="61"/>
      <c r="DJ128" s="61"/>
      <c r="DK128" s="61"/>
      <c r="DL128" s="63"/>
      <c r="DM128" s="61"/>
      <c r="DN128" s="63"/>
      <c r="DO128" s="61"/>
      <c r="DP128" s="61"/>
      <c r="DQ128" s="61"/>
      <c r="DR128" s="61"/>
      <c r="DS128" s="61"/>
      <c r="DT128" s="61">
        <v>1</v>
      </c>
      <c r="DU128" s="61">
        <v>0.97</v>
      </c>
      <c r="DV128" s="61">
        <v>0.95</v>
      </c>
      <c r="DW128" s="61">
        <v>0.93</v>
      </c>
      <c r="DX128" s="61">
        <f t="shared" ref="DX128:EO129" si="795">+DW128-0.02</f>
        <v>0.91</v>
      </c>
      <c r="DY128" s="61">
        <f t="shared" si="795"/>
        <v>0.89</v>
      </c>
      <c r="DZ128" s="61">
        <f t="shared" si="795"/>
        <v>0.87</v>
      </c>
      <c r="EA128" s="61">
        <f t="shared" si="795"/>
        <v>0.85</v>
      </c>
      <c r="EB128" s="61">
        <f t="shared" si="795"/>
        <v>0.83</v>
      </c>
      <c r="EC128" s="61">
        <f t="shared" si="795"/>
        <v>0.80999999999999994</v>
      </c>
      <c r="ED128" s="61">
        <f t="shared" si="795"/>
        <v>0.78999999999999992</v>
      </c>
      <c r="EE128" s="61">
        <f t="shared" si="795"/>
        <v>0.76999999999999991</v>
      </c>
      <c r="EF128" s="61">
        <f t="shared" si="795"/>
        <v>0.74999999999999989</v>
      </c>
      <c r="EG128" s="61">
        <f t="shared" si="795"/>
        <v>0.72999999999999987</v>
      </c>
      <c r="EH128" s="61">
        <f t="shared" si="795"/>
        <v>0.70999999999999985</v>
      </c>
      <c r="EI128" s="61">
        <f t="shared" si="795"/>
        <v>0.68999999999999984</v>
      </c>
      <c r="EJ128" s="61">
        <f t="shared" si="795"/>
        <v>0.66999999999999982</v>
      </c>
      <c r="EK128" s="61">
        <f t="shared" si="795"/>
        <v>0.6499999999999998</v>
      </c>
      <c r="EL128" s="61">
        <f t="shared" si="795"/>
        <v>0.62999999999999978</v>
      </c>
      <c r="EM128" s="61">
        <f t="shared" si="795"/>
        <v>0.60999999999999976</v>
      </c>
      <c r="EN128" s="61">
        <f t="shared" si="795"/>
        <v>0.58999999999999975</v>
      </c>
      <c r="EO128" s="61">
        <f t="shared" si="795"/>
        <v>0.56999999999999973</v>
      </c>
      <c r="EQ128" s="61">
        <f t="shared" ref="EQ128:EQ129" si="796">+BY128*0.91</f>
        <v>0</v>
      </c>
      <c r="ER128" s="61"/>
      <c r="ES128" s="61"/>
      <c r="ET128" s="61"/>
      <c r="EU128" s="61"/>
      <c r="EV128" s="61"/>
      <c r="EW128" s="61"/>
      <c r="EX128" s="61"/>
      <c r="EY128" s="61"/>
      <c r="EZ128" s="62"/>
      <c r="FA128" s="61"/>
      <c r="FB128" s="61"/>
      <c r="FC128" s="61"/>
      <c r="FD128" s="62"/>
      <c r="FE128" s="61"/>
      <c r="FF128" s="63"/>
      <c r="FG128" s="61"/>
      <c r="FH128" s="62"/>
      <c r="FI128" s="61"/>
      <c r="FJ128" s="61"/>
      <c r="FK128" s="61"/>
      <c r="FL128" s="63"/>
      <c r="FM128" s="61"/>
      <c r="FN128" s="63"/>
      <c r="FO128" s="61"/>
      <c r="FP128" s="63"/>
      <c r="FQ128" s="61"/>
      <c r="FR128" s="61"/>
      <c r="FS128" s="61"/>
      <c r="FT128" s="63"/>
      <c r="FU128" s="61"/>
      <c r="FV128" s="63"/>
      <c r="FW128" s="61"/>
      <c r="FX128" s="63"/>
      <c r="FY128" s="61"/>
      <c r="FZ128" s="63"/>
      <c r="GA128" s="61"/>
      <c r="GB128" s="61"/>
      <c r="GC128" s="61"/>
      <c r="GD128" s="63"/>
      <c r="GE128" s="61"/>
      <c r="GF128" s="63"/>
      <c r="GG128" s="61"/>
      <c r="GH128" s="61"/>
      <c r="GI128" s="61"/>
      <c r="GJ128" s="61"/>
      <c r="GK128" s="61"/>
      <c r="GL128" s="61">
        <v>1</v>
      </c>
      <c r="GM128" s="61">
        <v>0.97</v>
      </c>
      <c r="GN128" s="61">
        <v>0.95</v>
      </c>
      <c r="GO128" s="61">
        <v>0.93</v>
      </c>
      <c r="GP128" s="61">
        <f t="shared" ref="GP128:HG129" si="797">+GO128-0.02</f>
        <v>0.91</v>
      </c>
      <c r="GQ128" s="61">
        <f t="shared" si="797"/>
        <v>0.89</v>
      </c>
      <c r="GR128" s="61">
        <f t="shared" si="797"/>
        <v>0.87</v>
      </c>
      <c r="GS128" s="61">
        <f t="shared" si="797"/>
        <v>0.85</v>
      </c>
      <c r="GT128" s="61">
        <f t="shared" si="797"/>
        <v>0.83</v>
      </c>
      <c r="GU128" s="61">
        <f t="shared" si="797"/>
        <v>0.80999999999999994</v>
      </c>
      <c r="GV128" s="61">
        <f t="shared" si="797"/>
        <v>0.78999999999999992</v>
      </c>
      <c r="GW128" s="61">
        <f t="shared" si="797"/>
        <v>0.76999999999999991</v>
      </c>
      <c r="GX128" s="61">
        <f t="shared" si="797"/>
        <v>0.74999999999999989</v>
      </c>
      <c r="GY128" s="61">
        <f t="shared" si="797"/>
        <v>0.72999999999999987</v>
      </c>
      <c r="GZ128" s="61">
        <f t="shared" si="797"/>
        <v>0.70999999999999985</v>
      </c>
      <c r="HA128" s="61">
        <f t="shared" si="797"/>
        <v>0.68999999999999984</v>
      </c>
      <c r="HB128" s="61">
        <f t="shared" si="797"/>
        <v>0.66999999999999982</v>
      </c>
      <c r="HC128" s="61">
        <f t="shared" si="797"/>
        <v>0.6499999999999998</v>
      </c>
      <c r="HD128" s="61">
        <f t="shared" si="797"/>
        <v>0.62999999999999978</v>
      </c>
      <c r="HE128" s="61">
        <f t="shared" si="797"/>
        <v>0.60999999999999976</v>
      </c>
      <c r="HF128" s="61">
        <f t="shared" si="797"/>
        <v>0.58999999999999975</v>
      </c>
      <c r="HG128" s="61">
        <f t="shared" si="797"/>
        <v>0.56999999999999973</v>
      </c>
    </row>
    <row r="129" spans="1:216" s="64" customFormat="1" ht="17.25" thickBot="1" x14ac:dyDescent="0.35">
      <c r="B129" s="64" t="s">
        <v>301</v>
      </c>
      <c r="C129" s="64" t="s">
        <v>298</v>
      </c>
      <c r="D129" s="65" t="s">
        <v>272</v>
      </c>
      <c r="E129" s="65" t="s">
        <v>155</v>
      </c>
      <c r="G129" s="61"/>
      <c r="H129" s="61"/>
      <c r="I129" s="61"/>
      <c r="J129" s="61"/>
      <c r="K129" s="61"/>
      <c r="L129" s="61"/>
      <c r="M129" s="61"/>
      <c r="N129" s="61"/>
      <c r="O129" s="61"/>
      <c r="P129" s="62"/>
      <c r="Q129" s="61"/>
      <c r="R129" s="61"/>
      <c r="S129" s="61"/>
      <c r="T129" s="62"/>
      <c r="U129" s="61"/>
      <c r="V129" s="63"/>
      <c r="W129" s="61"/>
      <c r="X129" s="62"/>
      <c r="Y129" s="61"/>
      <c r="Z129" s="61"/>
      <c r="AA129" s="61"/>
      <c r="AB129" s="63"/>
      <c r="AC129" s="61"/>
      <c r="AD129" s="63"/>
      <c r="AE129" s="61"/>
      <c r="AF129" s="63"/>
      <c r="AG129" s="61"/>
      <c r="AH129" s="61"/>
      <c r="AI129" s="61"/>
      <c r="AJ129" s="63"/>
      <c r="AK129" s="61"/>
      <c r="AL129" s="63"/>
      <c r="AM129" s="61"/>
      <c r="AN129" s="63"/>
      <c r="AO129" s="61"/>
      <c r="AP129" s="63"/>
      <c r="AQ129" s="61"/>
      <c r="AR129" s="61"/>
      <c r="AS129" s="61"/>
      <c r="AT129" s="63"/>
      <c r="AU129" s="61"/>
      <c r="AV129" s="63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>
        <f t="shared" si="794"/>
        <v>0</v>
      </c>
      <c r="BZ129" s="61"/>
      <c r="CA129" s="61"/>
      <c r="CB129" s="61"/>
      <c r="CC129" s="61"/>
      <c r="CD129" s="61"/>
      <c r="CE129" s="61"/>
      <c r="CF129" s="61"/>
      <c r="CG129" s="61"/>
      <c r="CH129" s="62"/>
      <c r="CI129" s="61"/>
      <c r="CJ129" s="61"/>
      <c r="CK129" s="61"/>
      <c r="CL129" s="62"/>
      <c r="CM129" s="61"/>
      <c r="CN129" s="63"/>
      <c r="CO129" s="61"/>
      <c r="CP129" s="62"/>
      <c r="CQ129" s="61"/>
      <c r="CR129" s="61"/>
      <c r="CS129" s="61"/>
      <c r="CT129" s="63"/>
      <c r="CU129" s="61"/>
      <c r="CV129" s="63"/>
      <c r="CW129" s="61"/>
      <c r="CX129" s="63"/>
      <c r="CY129" s="61"/>
      <c r="CZ129" s="61"/>
      <c r="DA129" s="61"/>
      <c r="DB129" s="63"/>
      <c r="DC129" s="61"/>
      <c r="DD129" s="63"/>
      <c r="DE129" s="61"/>
      <c r="DF129" s="63"/>
      <c r="DG129" s="61"/>
      <c r="DH129" s="63"/>
      <c r="DI129" s="61"/>
      <c r="DJ129" s="61"/>
      <c r="DK129" s="61"/>
      <c r="DL129" s="63"/>
      <c r="DM129" s="61"/>
      <c r="DN129" s="63"/>
      <c r="DO129" s="61"/>
      <c r="DP129" s="61"/>
      <c r="DQ129" s="61"/>
      <c r="DR129" s="61"/>
      <c r="DS129" s="61"/>
      <c r="DT129" s="61">
        <v>1</v>
      </c>
      <c r="DU129" s="61">
        <v>0.97</v>
      </c>
      <c r="DV129" s="61">
        <v>0.95</v>
      </c>
      <c r="DW129" s="61">
        <v>0.93</v>
      </c>
      <c r="DX129" s="61">
        <f t="shared" si="795"/>
        <v>0.91</v>
      </c>
      <c r="DY129" s="61">
        <f t="shared" si="795"/>
        <v>0.89</v>
      </c>
      <c r="DZ129" s="61">
        <f t="shared" si="795"/>
        <v>0.87</v>
      </c>
      <c r="EA129" s="61">
        <f t="shared" si="795"/>
        <v>0.85</v>
      </c>
      <c r="EB129" s="61">
        <f t="shared" si="795"/>
        <v>0.83</v>
      </c>
      <c r="EC129" s="61">
        <f t="shared" si="795"/>
        <v>0.80999999999999994</v>
      </c>
      <c r="ED129" s="61">
        <f t="shared" si="795"/>
        <v>0.78999999999999992</v>
      </c>
      <c r="EE129" s="61">
        <f t="shared" si="795"/>
        <v>0.76999999999999991</v>
      </c>
      <c r="EF129" s="61">
        <f t="shared" si="795"/>
        <v>0.74999999999999989</v>
      </c>
      <c r="EG129" s="61">
        <f t="shared" si="795"/>
        <v>0.72999999999999987</v>
      </c>
      <c r="EH129" s="61">
        <f t="shared" si="795"/>
        <v>0.70999999999999985</v>
      </c>
      <c r="EI129" s="61">
        <f t="shared" si="795"/>
        <v>0.68999999999999984</v>
      </c>
      <c r="EJ129" s="61">
        <f t="shared" si="795"/>
        <v>0.66999999999999982</v>
      </c>
      <c r="EK129" s="61">
        <f t="shared" si="795"/>
        <v>0.6499999999999998</v>
      </c>
      <c r="EL129" s="61">
        <f t="shared" si="795"/>
        <v>0.62999999999999978</v>
      </c>
      <c r="EM129" s="61">
        <f t="shared" si="795"/>
        <v>0.60999999999999976</v>
      </c>
      <c r="EN129" s="61">
        <f t="shared" si="795"/>
        <v>0.58999999999999975</v>
      </c>
      <c r="EO129" s="61">
        <f t="shared" si="795"/>
        <v>0.56999999999999973</v>
      </c>
      <c r="EQ129" s="61">
        <f t="shared" si="796"/>
        <v>0</v>
      </c>
      <c r="ER129" s="61"/>
      <c r="ES129" s="61"/>
      <c r="ET129" s="61"/>
      <c r="EU129" s="61"/>
      <c r="EV129" s="61"/>
      <c r="EW129" s="61"/>
      <c r="EX129" s="61"/>
      <c r="EY129" s="61"/>
      <c r="EZ129" s="62"/>
      <c r="FA129" s="61"/>
      <c r="FB129" s="61"/>
      <c r="FC129" s="61"/>
      <c r="FD129" s="62"/>
      <c r="FE129" s="61"/>
      <c r="FF129" s="63"/>
      <c r="FG129" s="61"/>
      <c r="FH129" s="62"/>
      <c r="FI129" s="61"/>
      <c r="FJ129" s="61"/>
      <c r="FK129" s="61"/>
      <c r="FL129" s="63"/>
      <c r="FM129" s="61"/>
      <c r="FN129" s="63"/>
      <c r="FO129" s="61"/>
      <c r="FP129" s="63"/>
      <c r="FQ129" s="61"/>
      <c r="FR129" s="61"/>
      <c r="FS129" s="61"/>
      <c r="FT129" s="63"/>
      <c r="FU129" s="61"/>
      <c r="FV129" s="63"/>
      <c r="FW129" s="61"/>
      <c r="FX129" s="63"/>
      <c r="FY129" s="61"/>
      <c r="FZ129" s="63"/>
      <c r="GA129" s="61"/>
      <c r="GB129" s="61"/>
      <c r="GC129" s="61"/>
      <c r="GD129" s="63"/>
      <c r="GE129" s="61"/>
      <c r="GF129" s="63"/>
      <c r="GG129" s="61"/>
      <c r="GH129" s="61"/>
      <c r="GI129" s="61"/>
      <c r="GJ129" s="61"/>
      <c r="GK129" s="61"/>
      <c r="GL129" s="61">
        <v>1</v>
      </c>
      <c r="GM129" s="61">
        <v>0.97</v>
      </c>
      <c r="GN129" s="61">
        <v>0.95</v>
      </c>
      <c r="GO129" s="61">
        <v>0.93</v>
      </c>
      <c r="GP129" s="61">
        <f t="shared" si="797"/>
        <v>0.91</v>
      </c>
      <c r="GQ129" s="61">
        <f t="shared" si="797"/>
        <v>0.89</v>
      </c>
      <c r="GR129" s="61">
        <f t="shared" si="797"/>
        <v>0.87</v>
      </c>
      <c r="GS129" s="61">
        <f t="shared" si="797"/>
        <v>0.85</v>
      </c>
      <c r="GT129" s="61">
        <f t="shared" si="797"/>
        <v>0.83</v>
      </c>
      <c r="GU129" s="61">
        <f t="shared" si="797"/>
        <v>0.80999999999999994</v>
      </c>
      <c r="GV129" s="61">
        <f t="shared" si="797"/>
        <v>0.78999999999999992</v>
      </c>
      <c r="GW129" s="61">
        <f t="shared" si="797"/>
        <v>0.76999999999999991</v>
      </c>
      <c r="GX129" s="61">
        <f t="shared" si="797"/>
        <v>0.74999999999999989</v>
      </c>
      <c r="GY129" s="61">
        <f t="shared" si="797"/>
        <v>0.72999999999999987</v>
      </c>
      <c r="GZ129" s="61">
        <f t="shared" si="797"/>
        <v>0.70999999999999985</v>
      </c>
      <c r="HA129" s="61">
        <f t="shared" si="797"/>
        <v>0.68999999999999984</v>
      </c>
      <c r="HB129" s="61">
        <f t="shared" si="797"/>
        <v>0.66999999999999982</v>
      </c>
      <c r="HC129" s="61">
        <f t="shared" si="797"/>
        <v>0.6499999999999998</v>
      </c>
      <c r="HD129" s="61">
        <f t="shared" si="797"/>
        <v>0.62999999999999978</v>
      </c>
      <c r="HE129" s="61">
        <f t="shared" si="797"/>
        <v>0.60999999999999976</v>
      </c>
      <c r="HF129" s="61">
        <f t="shared" si="797"/>
        <v>0.58999999999999975</v>
      </c>
      <c r="HG129" s="61">
        <f t="shared" si="797"/>
        <v>0.56999999999999973</v>
      </c>
    </row>
    <row r="130" spans="1:216" x14ac:dyDescent="0.3">
      <c r="A130" s="2">
        <v>1</v>
      </c>
      <c r="C130" s="38" t="s">
        <v>132</v>
      </c>
      <c r="D130" s="40">
        <f>TRUNC(10130.6734048163,-1)</f>
        <v>10130</v>
      </c>
      <c r="E130" s="70">
        <f t="shared" ref="E130:E139" si="798">TRUNC(+D130*3.3058,-1)</f>
        <v>33480</v>
      </c>
      <c r="F130" s="2" t="s">
        <v>313</v>
      </c>
      <c r="H130" s="55">
        <f t="shared" si="505"/>
        <v>36828</v>
      </c>
      <c r="I130" s="55">
        <f t="shared" si="506"/>
        <v>36828</v>
      </c>
      <c r="J130" s="59">
        <f t="shared" si="507"/>
        <v>121746.0024</v>
      </c>
      <c r="K130" s="55">
        <f t="shared" ref="K130:K140" si="799">+I130*BD130</f>
        <v>35723.159999999996</v>
      </c>
      <c r="L130" s="59">
        <f t="shared" ref="L130:L140" si="800">+K130*3.3058</f>
        <v>118093.62232799998</v>
      </c>
      <c r="M130" s="55">
        <f t="shared" ref="M130:M140" si="801">+I130*BE130</f>
        <v>34986.6</v>
      </c>
      <c r="N130" s="59">
        <f t="shared" ref="N130:N140" si="802">+M130*3.3058</f>
        <v>115658.70228</v>
      </c>
      <c r="O130" s="55">
        <f t="shared" ref="O130:O140" si="803">+I130*BF130</f>
        <v>34250.04</v>
      </c>
      <c r="P130" s="59">
        <f t="shared" ref="P130:P140" si="804">+O130*3.3058</f>
        <v>113223.78223200001</v>
      </c>
      <c r="Q130" s="57">
        <f t="shared" ref="Q130:Q140" si="805">+I130*BG130</f>
        <v>33513.480000000003</v>
      </c>
      <c r="R130" s="59">
        <f t="shared" ref="R130:R140" si="806">+Q130*3.3058</f>
        <v>110788.86218400001</v>
      </c>
      <c r="S130" s="55">
        <f t="shared" ref="S130:S140" si="807">+I130*BH130</f>
        <v>32776.92</v>
      </c>
      <c r="T130" s="59">
        <f t="shared" ref="T130:T140" si="808">+S130*3.3058</f>
        <v>108353.942136</v>
      </c>
      <c r="U130" s="57">
        <f t="shared" ref="U130:U140" si="809">+I130*BI130</f>
        <v>32040.36</v>
      </c>
      <c r="V130" s="59">
        <f t="shared" ref="V130:V140" si="810">+U130*3.3058</f>
        <v>105919.022088</v>
      </c>
      <c r="W130" s="60">
        <f t="shared" ref="W130:W140" si="811">+I130*BJ130</f>
        <v>31303.8</v>
      </c>
      <c r="X130" s="59">
        <f t="shared" ref="X130:X140" si="812">+W130*3.3058</f>
        <v>103484.10204</v>
      </c>
      <c r="Y130" s="57">
        <f t="shared" ref="Y130:Y140" si="813">+I130*BK130</f>
        <v>30567.239999999998</v>
      </c>
      <c r="Z130" s="59">
        <f t="shared" ref="Z130:Z140" si="814">+Y130*3.3058</f>
        <v>101049.181992</v>
      </c>
      <c r="AA130" s="55">
        <f t="shared" ref="AA130:AA140" si="815">+I130*BL130</f>
        <v>29830.679999999997</v>
      </c>
      <c r="AB130" s="59">
        <f t="shared" ref="AB130:AB140" si="816">+AA130*3.3058</f>
        <v>98614.261943999998</v>
      </c>
      <c r="AC130" s="60">
        <f t="shared" ref="AC130:AC140" si="817">+I130*BM130</f>
        <v>29094.12</v>
      </c>
      <c r="AD130" s="59">
        <f t="shared" ref="AD130:AD140" si="818">+AC130*3.3058</f>
        <v>96179.341895999998</v>
      </c>
      <c r="AE130" s="60">
        <f t="shared" ref="AE130:AE140" si="819">+I130*BN130</f>
        <v>28357.559999999998</v>
      </c>
      <c r="AF130" s="59">
        <f t="shared" ref="AF130:AF140" si="820">+AE130*3.3058</f>
        <v>93744.421847999998</v>
      </c>
      <c r="AG130" s="60">
        <f t="shared" ref="AG130:AG140" si="821">+I130*BO130</f>
        <v>27620.999999999996</v>
      </c>
      <c r="AH130" s="59">
        <f t="shared" ref="AH130:AH140" si="822">+AG130*3.3058</f>
        <v>91309.501799999984</v>
      </c>
      <c r="AI130" s="55">
        <f t="shared" ref="AI130:AI140" si="823">+I130*BP130</f>
        <v>26884.439999999995</v>
      </c>
      <c r="AJ130" s="59">
        <f t="shared" ref="AJ130:AJ140" si="824">+AI130*3.3058</f>
        <v>88874.581751999984</v>
      </c>
      <c r="AK130" s="60">
        <f t="shared" ref="AK130:AK140" si="825">+I130*BQ130</f>
        <v>26147.879999999994</v>
      </c>
      <c r="AL130" s="59">
        <f t="shared" ref="AL130:AL140" si="826">+AK130*3.3058</f>
        <v>86439.661703999984</v>
      </c>
      <c r="AM130" s="60">
        <f t="shared" ref="AM130:AM140" si="827">+I130*BR130</f>
        <v>25411.319999999992</v>
      </c>
      <c r="AN130" s="59">
        <f t="shared" ref="AN130:AN140" si="828">+AM130*3.3058</f>
        <v>84004.741655999984</v>
      </c>
      <c r="AO130" s="60">
        <f t="shared" ref="AO130:AO140" si="829">+I130*BS130</f>
        <v>24674.759999999995</v>
      </c>
      <c r="AP130" s="59">
        <f t="shared" ref="AP130:AP140" si="830">+AO130*3.3058</f>
        <v>81569.821607999984</v>
      </c>
      <c r="AQ130" s="60">
        <f t="shared" ref="AQ130:AQ140" si="831">+I130*BT130</f>
        <v>23938.199999999993</v>
      </c>
      <c r="AR130" s="59">
        <f t="shared" ref="AR130:AR140" si="832">+AQ130*3.3058</f>
        <v>79134.901559999984</v>
      </c>
      <c r="AS130" s="55">
        <f t="shared" ref="AS130:AS140" si="833">+I130*BU130</f>
        <v>23201.639999999992</v>
      </c>
      <c r="AT130" s="59">
        <f t="shared" ref="AT130:AT140" si="834">+AS130*3.3058</f>
        <v>76699.981511999969</v>
      </c>
      <c r="AU130" s="60">
        <f t="shared" ref="AU130:AU140" si="835">+I130*BV130</f>
        <v>22465.079999999991</v>
      </c>
      <c r="AV130" s="59">
        <f t="shared" ref="AV130:AV140" si="836">+AU130*3.3058</f>
        <v>74265.061463999969</v>
      </c>
      <c r="AW130" s="60">
        <f t="shared" ref="AW130:AW140" si="837">+I130*BW130</f>
        <v>21728.51999999999</v>
      </c>
      <c r="AX130" s="59">
        <f t="shared" ref="AX130:AX140" si="838">+AW130*3.3058</f>
        <v>71830.141415999969</v>
      </c>
      <c r="AY130" s="55">
        <f t="shared" ref="AY130:AY140" si="839">+I130*BX130</f>
        <v>20991.959999999988</v>
      </c>
      <c r="AZ130" s="59">
        <f t="shared" ref="AZ130:AZ140" si="840">+AY130*3.3058</f>
        <v>69395.22136799997</v>
      </c>
      <c r="BC130" s="55">
        <v>1</v>
      </c>
      <c r="BD130" s="55">
        <v>0.97</v>
      </c>
      <c r="BE130" s="55">
        <v>0.95</v>
      </c>
      <c r="BF130" s="55">
        <v>0.93</v>
      </c>
      <c r="BG130" s="55">
        <f t="shared" ref="BG130:BX140" si="841">+BF130-0.02</f>
        <v>0.91</v>
      </c>
      <c r="BH130" s="55">
        <f t="shared" si="841"/>
        <v>0.89</v>
      </c>
      <c r="BI130" s="55">
        <f t="shared" si="841"/>
        <v>0.87</v>
      </c>
      <c r="BJ130" s="55">
        <f t="shared" si="841"/>
        <v>0.85</v>
      </c>
      <c r="BK130" s="55">
        <f t="shared" si="841"/>
        <v>0.83</v>
      </c>
      <c r="BL130" s="55">
        <f t="shared" si="841"/>
        <v>0.80999999999999994</v>
      </c>
      <c r="BM130" s="55">
        <f t="shared" si="841"/>
        <v>0.78999999999999992</v>
      </c>
      <c r="BN130" s="55">
        <f t="shared" si="841"/>
        <v>0.76999999999999991</v>
      </c>
      <c r="BO130" s="55">
        <f t="shared" si="841"/>
        <v>0.74999999999999989</v>
      </c>
      <c r="BP130" s="55">
        <f t="shared" si="841"/>
        <v>0.72999999999999987</v>
      </c>
      <c r="BQ130" s="55">
        <f t="shared" si="841"/>
        <v>0.70999999999999985</v>
      </c>
      <c r="BR130" s="55">
        <f t="shared" si="841"/>
        <v>0.68999999999999984</v>
      </c>
      <c r="BS130" s="55">
        <f t="shared" si="841"/>
        <v>0.66999999999999982</v>
      </c>
      <c r="BT130" s="55">
        <f t="shared" si="841"/>
        <v>0.6499999999999998</v>
      </c>
      <c r="BU130" s="55">
        <f t="shared" si="841"/>
        <v>0.62999999999999978</v>
      </c>
      <c r="BV130" s="55">
        <f t="shared" si="841"/>
        <v>0.60999999999999976</v>
      </c>
      <c r="BW130" s="55">
        <f t="shared" si="841"/>
        <v>0.58999999999999975</v>
      </c>
      <c r="BX130" s="55">
        <f t="shared" si="841"/>
        <v>0.56999999999999973</v>
      </c>
      <c r="BZ130" s="55">
        <f t="shared" si="508"/>
        <v>33513.480000000003</v>
      </c>
      <c r="CA130" s="55">
        <f t="shared" si="509"/>
        <v>33513.480000000003</v>
      </c>
      <c r="CB130" s="59">
        <f t="shared" ref="CB130:CB140" si="842">+CA130*3.3058</f>
        <v>110788.86218400001</v>
      </c>
      <c r="CC130" s="55">
        <f t="shared" ref="CC130:CC140" si="843">+CA130*DV130</f>
        <v>32508.075600000004</v>
      </c>
      <c r="CD130" s="59">
        <f t="shared" ref="CD130:CD140" si="844">+CC130*3.3058</f>
        <v>107465.19631848001</v>
      </c>
      <c r="CE130" s="55">
        <f t="shared" ref="CE130:CE140" si="845">+CA130*DW130</f>
        <v>31837.806</v>
      </c>
      <c r="CF130" s="59">
        <f t="shared" ref="CF130:CF140" si="846">+CE130*3.3058</f>
        <v>105249.41907480001</v>
      </c>
      <c r="CG130" s="55">
        <f t="shared" ref="CG130:CG140" si="847">+CA130*DX130</f>
        <v>31167.536400000005</v>
      </c>
      <c r="CH130" s="59">
        <f t="shared" ref="CH130:CH140" si="848">+CG130*3.3058</f>
        <v>103033.64183112001</v>
      </c>
      <c r="CI130" s="57">
        <f t="shared" ref="CI130:CI140" si="849">+CA130*DY130</f>
        <v>30497.266800000005</v>
      </c>
      <c r="CJ130" s="59">
        <f t="shared" ref="CJ130:CJ140" si="850">+CI130*3.3058</f>
        <v>100817.86458744002</v>
      </c>
      <c r="CK130" s="55">
        <f t="shared" ref="CK130:CK140" si="851">+CA130*DZ130</f>
        <v>29826.997200000002</v>
      </c>
      <c r="CL130" s="59">
        <f t="shared" ref="CL130:CL140" si="852">+CK130*3.3058</f>
        <v>98602.087343760009</v>
      </c>
      <c r="CM130" s="57">
        <f t="shared" ref="CM130:CM140" si="853">+CA130*EA130</f>
        <v>29156.727600000002</v>
      </c>
      <c r="CN130" s="59">
        <f t="shared" ref="CN130:CN140" si="854">+CM130*3.3058</f>
        <v>96386.310100080009</v>
      </c>
      <c r="CO130" s="60">
        <f t="shared" ref="CO130:CO140" si="855">+CA130*EB130</f>
        <v>28486.458000000002</v>
      </c>
      <c r="CP130" s="59">
        <f t="shared" ref="CP130:CP140" si="856">+CO130*3.3058</f>
        <v>94170.532856400008</v>
      </c>
      <c r="CQ130" s="57">
        <f t="shared" ref="CQ130:CQ140" si="857">+CA130*EC130</f>
        <v>27816.188400000003</v>
      </c>
      <c r="CR130" s="59">
        <f t="shared" ref="CR130:CR140" si="858">+CQ130*3.3058</f>
        <v>91954.755612720008</v>
      </c>
      <c r="CS130" s="55">
        <f t="shared" ref="CS130:CS140" si="859">+CA130*ED130</f>
        <v>27145.918799999999</v>
      </c>
      <c r="CT130" s="59">
        <f t="shared" ref="CT130:CT140" si="860">+CS130*3.3058</f>
        <v>89738.978369040007</v>
      </c>
      <c r="CU130" s="60">
        <f t="shared" ref="CU130:CU140" si="861">+CA130*EE130</f>
        <v>26475.6492</v>
      </c>
      <c r="CV130" s="59">
        <f t="shared" ref="CV130:CV140" si="862">+CU130*3.3058</f>
        <v>87523.201125360007</v>
      </c>
      <c r="CW130" s="60">
        <f t="shared" ref="CW130:CW140" si="863">+CA130*EF130</f>
        <v>25805.3796</v>
      </c>
      <c r="CX130" s="59">
        <f t="shared" ref="CX130:CX140" si="864">+CW130*3.3058</f>
        <v>85307.423881680006</v>
      </c>
      <c r="CY130" s="60">
        <f t="shared" ref="CY130:CY140" si="865">+CA130*EG130</f>
        <v>25135.109999999997</v>
      </c>
      <c r="CZ130" s="59">
        <f t="shared" ref="CZ130:CZ140" si="866">+CY130*3.3058</f>
        <v>83091.646637999991</v>
      </c>
      <c r="DA130" s="55">
        <f t="shared" ref="DA130:DA140" si="867">+CA130*EH130</f>
        <v>24464.840399999997</v>
      </c>
      <c r="DB130" s="59">
        <f t="shared" ref="DB130:DB140" si="868">+DA130*3.3058</f>
        <v>80875.869394319991</v>
      </c>
      <c r="DC130" s="60">
        <f t="shared" ref="DC130:DC140" si="869">+CA130*EI130</f>
        <v>23794.570799999998</v>
      </c>
      <c r="DD130" s="59">
        <f t="shared" ref="DD130:DD140" si="870">+DC130*3.3058</f>
        <v>78660.09215063999</v>
      </c>
      <c r="DE130" s="60">
        <f t="shared" ref="DE130:DE140" si="871">+CA130*EJ130</f>
        <v>23124.301199999998</v>
      </c>
      <c r="DF130" s="59">
        <f t="shared" ref="DF130:DF140" si="872">+DE130*3.3058</f>
        <v>76444.314906959989</v>
      </c>
      <c r="DG130" s="60">
        <f t="shared" ref="DG130:DG140" si="873">+CA130*EK130</f>
        <v>22454.031599999995</v>
      </c>
      <c r="DH130" s="59">
        <f t="shared" ref="DH130:DH140" si="874">+DG130*3.3058</f>
        <v>74228.537663279989</v>
      </c>
      <c r="DI130" s="60">
        <f t="shared" ref="DI130:DI140" si="875">+CA130*EL130</f>
        <v>21783.761999999995</v>
      </c>
      <c r="DJ130" s="59">
        <f t="shared" ref="DJ130:DJ140" si="876">+DI130*3.3058</f>
        <v>72012.760419599988</v>
      </c>
      <c r="DK130" s="55">
        <f t="shared" ref="DK130:DK140" si="877">+CA130*EM130</f>
        <v>21113.492399999996</v>
      </c>
      <c r="DL130" s="59">
        <f t="shared" ref="DL130:DL140" si="878">+DK130*3.3058</f>
        <v>69796.983175919988</v>
      </c>
      <c r="DM130" s="60">
        <f t="shared" ref="DM130:DM140" si="879">+CA130*EN130</f>
        <v>20443.222799999992</v>
      </c>
      <c r="DN130" s="59">
        <f t="shared" ref="DN130:DN140" si="880">+DM130*3.3058</f>
        <v>67581.205932239973</v>
      </c>
      <c r="DO130" s="60">
        <f t="shared" ref="DO130:DO140" si="881">+CA130*EO130</f>
        <v>19772.953199999993</v>
      </c>
      <c r="DP130" s="59">
        <f t="shared" ref="DP130:DP140" si="882">+DO130*3.3058</f>
        <v>65365.428688559979</v>
      </c>
      <c r="DQ130" s="55">
        <f t="shared" ref="DQ130:DQ140" si="883">+CA130*EP130</f>
        <v>19102.683599999993</v>
      </c>
      <c r="DR130" s="59">
        <f t="shared" ref="DR130:DR140" si="884">+DQ130*3.3058</f>
        <v>63149.651444879979</v>
      </c>
      <c r="DU130" s="55">
        <v>1</v>
      </c>
      <c r="DV130" s="55">
        <v>0.97</v>
      </c>
      <c r="DW130" s="55">
        <v>0.95</v>
      </c>
      <c r="DX130" s="55">
        <v>0.93</v>
      </c>
      <c r="DY130" s="55">
        <f t="shared" si="792"/>
        <v>0.91</v>
      </c>
      <c r="DZ130" s="55">
        <f t="shared" si="792"/>
        <v>0.89</v>
      </c>
      <c r="EA130" s="55">
        <f t="shared" si="792"/>
        <v>0.87</v>
      </c>
      <c r="EB130" s="55">
        <f t="shared" si="792"/>
        <v>0.85</v>
      </c>
      <c r="EC130" s="55">
        <f t="shared" si="792"/>
        <v>0.83</v>
      </c>
      <c r="ED130" s="55">
        <f t="shared" si="792"/>
        <v>0.80999999999999994</v>
      </c>
      <c r="EE130" s="55">
        <f t="shared" si="792"/>
        <v>0.78999999999999992</v>
      </c>
      <c r="EF130" s="55">
        <f t="shared" si="792"/>
        <v>0.76999999999999991</v>
      </c>
      <c r="EG130" s="55">
        <f t="shared" si="792"/>
        <v>0.74999999999999989</v>
      </c>
      <c r="EH130" s="55">
        <f t="shared" si="792"/>
        <v>0.72999999999999987</v>
      </c>
      <c r="EI130" s="55">
        <f t="shared" si="792"/>
        <v>0.70999999999999985</v>
      </c>
      <c r="EJ130" s="55">
        <f t="shared" si="792"/>
        <v>0.68999999999999984</v>
      </c>
      <c r="EK130" s="55">
        <f t="shared" si="792"/>
        <v>0.66999999999999982</v>
      </c>
      <c r="EL130" s="55">
        <f t="shared" si="792"/>
        <v>0.6499999999999998</v>
      </c>
      <c r="EM130" s="55">
        <f t="shared" si="792"/>
        <v>0.62999999999999978</v>
      </c>
      <c r="EN130" s="55">
        <f t="shared" si="792"/>
        <v>0.60999999999999976</v>
      </c>
      <c r="EO130" s="55">
        <f t="shared" si="792"/>
        <v>0.58999999999999975</v>
      </c>
      <c r="EP130" s="55">
        <f t="shared" si="792"/>
        <v>0.56999999999999973</v>
      </c>
      <c r="ER130" s="55">
        <f t="shared" si="648"/>
        <v>30497.266800000005</v>
      </c>
      <c r="ES130" s="55">
        <f t="shared" si="510"/>
        <v>30497.266800000005</v>
      </c>
      <c r="ET130" s="59">
        <f t="shared" ref="ET130:ET140" si="885">+ES130*3.3058</f>
        <v>100817.86458744002</v>
      </c>
      <c r="EU130" s="55">
        <f t="shared" ref="EU130:EU140" si="886">+ES130*GN130</f>
        <v>29582.348796000006</v>
      </c>
      <c r="EV130" s="59">
        <f t="shared" ref="EV130:EV140" si="887">+EU130*3.3058</f>
        <v>97793.328649816816</v>
      </c>
      <c r="EW130" s="55">
        <f t="shared" ref="EW130:EW140" si="888">+ES130*GO130</f>
        <v>28972.403460000005</v>
      </c>
      <c r="EX130" s="59">
        <f t="shared" ref="EX130:EX140" si="889">+EW130*3.3058</f>
        <v>95776.971358068025</v>
      </c>
      <c r="EY130" s="55">
        <f t="shared" ref="EY130:EY140" si="890">+ES130*GP130</f>
        <v>28362.458124000004</v>
      </c>
      <c r="EZ130" s="59">
        <f t="shared" ref="EZ130:EZ140" si="891">+EY130*3.3058</f>
        <v>93760.61406631922</v>
      </c>
      <c r="FA130" s="57">
        <f t="shared" ref="FA130:FA140" si="892">+ES130*GQ130</f>
        <v>27752.512788000004</v>
      </c>
      <c r="FB130" s="59">
        <f t="shared" ref="FB130:FB140" si="893">+FA130*3.3058</f>
        <v>91744.256774570415</v>
      </c>
      <c r="FC130" s="55">
        <f t="shared" ref="FC130:FC140" si="894">+ES130*GR130</f>
        <v>27142.567452000003</v>
      </c>
      <c r="FD130" s="59">
        <f t="shared" ref="FD130:FD140" si="895">+FC130*3.3058</f>
        <v>89727.899482821609</v>
      </c>
      <c r="FE130" s="57">
        <f t="shared" ref="FE130:FE140" si="896">+ES130*GS130</f>
        <v>26532.622116000006</v>
      </c>
      <c r="FF130" s="59">
        <f t="shared" ref="FF130:FF140" si="897">+FE130*3.3058</f>
        <v>87711.542191072818</v>
      </c>
      <c r="FG130" s="60">
        <f t="shared" ref="FG130:FG140" si="898">+ES130*GT130</f>
        <v>25922.676780000005</v>
      </c>
      <c r="FH130" s="59">
        <f t="shared" ref="FH130:FH140" si="899">+FG130*3.3058</f>
        <v>85695.184899324013</v>
      </c>
      <c r="FI130" s="57">
        <f t="shared" ref="FI130:FI140" si="900">+ES130*GU130</f>
        <v>25312.731444000005</v>
      </c>
      <c r="FJ130" s="59">
        <f t="shared" ref="FJ130:FJ140" si="901">+FI130*3.3058</f>
        <v>83678.827607575222</v>
      </c>
      <c r="FK130" s="55">
        <f t="shared" ref="FK130:FK140" si="902">+ES130*GV130</f>
        <v>24702.786108000004</v>
      </c>
      <c r="FL130" s="59">
        <f t="shared" ref="FL130:FL140" si="903">+FK130*3.3058</f>
        <v>81662.470315826416</v>
      </c>
      <c r="FM130" s="60">
        <f t="shared" ref="FM130:FM140" si="904">+ES130*GW130</f>
        <v>24092.840772000003</v>
      </c>
      <c r="FN130" s="59">
        <f t="shared" ref="FN130:FN140" si="905">+FM130*3.3058</f>
        <v>79646.113024077611</v>
      </c>
      <c r="FO130" s="60">
        <f t="shared" ref="FO130:FO140" si="906">+ES130*GX130</f>
        <v>23482.895436000003</v>
      </c>
      <c r="FP130" s="59">
        <f t="shared" ref="FP130:FP140" si="907">+FO130*3.3058</f>
        <v>77629.755732328806</v>
      </c>
      <c r="FQ130" s="60">
        <f t="shared" ref="FQ130:FQ140" si="908">+ES130*GY130</f>
        <v>22872.950100000002</v>
      </c>
      <c r="FR130" s="59">
        <f t="shared" ref="FR130:FR140" si="909">+FQ130*3.3058</f>
        <v>75613.398440580015</v>
      </c>
      <c r="FS130" s="55">
        <f t="shared" ref="FS130:FS140" si="910">+ES130*GZ130</f>
        <v>22263.004764000001</v>
      </c>
      <c r="FT130" s="59">
        <f t="shared" ref="FT130:FT140" si="911">+FS130*3.3058</f>
        <v>73597.041148831209</v>
      </c>
      <c r="FU130" s="60">
        <f t="shared" ref="FU130:FU140" si="912">+ES130*HA130</f>
        <v>21653.059428</v>
      </c>
      <c r="FV130" s="59">
        <f t="shared" ref="FV130:FV140" si="913">+FU130*3.3058</f>
        <v>71580.683857082404</v>
      </c>
      <c r="FW130" s="60">
        <f t="shared" ref="FW130:FW140" si="914">+ES130*HB130</f>
        <v>21043.114092</v>
      </c>
      <c r="FX130" s="59">
        <f t="shared" ref="FX130:FX140" si="915">+FW130*3.3058</f>
        <v>69564.326565333598</v>
      </c>
      <c r="FY130" s="60">
        <f t="shared" ref="FY130:FY140" si="916">+ES130*HC130</f>
        <v>20433.168755999999</v>
      </c>
      <c r="FZ130" s="59">
        <f t="shared" ref="FZ130:FZ140" si="917">+FY130*3.3058</f>
        <v>67547.969273584793</v>
      </c>
      <c r="GA130" s="60">
        <f t="shared" ref="GA130:GA140" si="918">+ES130*HD130</f>
        <v>19823.223419999998</v>
      </c>
      <c r="GB130" s="59">
        <f t="shared" ref="GB130:GB140" si="919">+GA130*3.3058</f>
        <v>65531.611981835995</v>
      </c>
      <c r="GC130" s="55">
        <f t="shared" ref="GC130:GC140" si="920">+ES130*HE130</f>
        <v>19213.278083999998</v>
      </c>
      <c r="GD130" s="59">
        <f t="shared" ref="GD130:GD140" si="921">+GC130*3.3058</f>
        <v>63515.254690087197</v>
      </c>
      <c r="GE130" s="60">
        <f t="shared" ref="GE130:GE140" si="922">+ES130*HF130</f>
        <v>18603.332747999997</v>
      </c>
      <c r="GF130" s="59">
        <f t="shared" ref="GF130:GF140" si="923">+GE130*3.3058</f>
        <v>61498.897398338391</v>
      </c>
      <c r="GG130" s="60">
        <f t="shared" ref="GG130:GG140" si="924">+ES130*HG130</f>
        <v>17993.387411999996</v>
      </c>
      <c r="GH130" s="59">
        <f t="shared" ref="GH130:GH140" si="925">+GG130*3.3058</f>
        <v>59482.540106589586</v>
      </c>
      <c r="GI130" s="55">
        <f t="shared" ref="GI130:GI140" si="926">+ES130*HH130</f>
        <v>17383.442075999996</v>
      </c>
      <c r="GJ130" s="59">
        <f t="shared" ref="GJ130:GJ140" si="927">+GI130*3.3058</f>
        <v>57466.182814840788</v>
      </c>
      <c r="GK130" s="55"/>
      <c r="GL130" s="55"/>
      <c r="GM130" s="55">
        <v>1</v>
      </c>
      <c r="GN130" s="55">
        <v>0.97</v>
      </c>
      <c r="GO130" s="55">
        <v>0.95</v>
      </c>
      <c r="GP130" s="55">
        <v>0.93</v>
      </c>
      <c r="GQ130" s="55">
        <f t="shared" si="793"/>
        <v>0.91</v>
      </c>
      <c r="GR130" s="55">
        <f t="shared" si="793"/>
        <v>0.89</v>
      </c>
      <c r="GS130" s="55">
        <f t="shared" si="793"/>
        <v>0.87</v>
      </c>
      <c r="GT130" s="55">
        <f t="shared" si="793"/>
        <v>0.85</v>
      </c>
      <c r="GU130" s="55">
        <f t="shared" si="793"/>
        <v>0.83</v>
      </c>
      <c r="GV130" s="55">
        <f t="shared" si="793"/>
        <v>0.80999999999999994</v>
      </c>
      <c r="GW130" s="55">
        <f t="shared" si="793"/>
        <v>0.78999999999999992</v>
      </c>
      <c r="GX130" s="55">
        <f t="shared" si="793"/>
        <v>0.76999999999999991</v>
      </c>
      <c r="GY130" s="55">
        <f t="shared" si="793"/>
        <v>0.74999999999999989</v>
      </c>
      <c r="GZ130" s="55">
        <f t="shared" si="793"/>
        <v>0.72999999999999987</v>
      </c>
      <c r="HA130" s="55">
        <f t="shared" si="793"/>
        <v>0.70999999999999985</v>
      </c>
      <c r="HB130" s="55">
        <f t="shared" si="793"/>
        <v>0.68999999999999984</v>
      </c>
      <c r="HC130" s="55">
        <f t="shared" si="793"/>
        <v>0.66999999999999982</v>
      </c>
      <c r="HD130" s="55">
        <f t="shared" si="793"/>
        <v>0.6499999999999998</v>
      </c>
      <c r="HE130" s="55">
        <f t="shared" si="793"/>
        <v>0.62999999999999978</v>
      </c>
      <c r="HF130" s="55">
        <f t="shared" si="793"/>
        <v>0.60999999999999976</v>
      </c>
      <c r="HG130" s="55">
        <f t="shared" si="793"/>
        <v>0.58999999999999975</v>
      </c>
      <c r="HH130" s="55">
        <f t="shared" si="793"/>
        <v>0.56999999999999973</v>
      </c>
    </row>
    <row r="131" spans="1:216" x14ac:dyDescent="0.3">
      <c r="A131" s="2">
        <v>2</v>
      </c>
      <c r="C131" s="38" t="s">
        <v>47</v>
      </c>
      <c r="D131" s="42">
        <f>TRUNC(5896.89787308842,-1)</f>
        <v>5890</v>
      </c>
      <c r="E131" s="71">
        <f t="shared" si="798"/>
        <v>19470</v>
      </c>
      <c r="F131" s="2" t="s">
        <v>308</v>
      </c>
      <c r="H131" s="55">
        <f t="shared" si="505"/>
        <v>21417</v>
      </c>
      <c r="I131" s="55">
        <f t="shared" si="506"/>
        <v>21417</v>
      </c>
      <c r="J131" s="59">
        <f t="shared" si="507"/>
        <v>70800.318599999999</v>
      </c>
      <c r="K131" s="55">
        <f t="shared" si="799"/>
        <v>20774.489999999998</v>
      </c>
      <c r="L131" s="59">
        <f t="shared" si="800"/>
        <v>68676.309041999993</v>
      </c>
      <c r="M131" s="55">
        <f t="shared" si="801"/>
        <v>20346.149999999998</v>
      </c>
      <c r="N131" s="59">
        <f t="shared" si="802"/>
        <v>67260.30266999999</v>
      </c>
      <c r="O131" s="55">
        <f t="shared" si="803"/>
        <v>19917.810000000001</v>
      </c>
      <c r="P131" s="59">
        <f t="shared" si="804"/>
        <v>65844.296298000001</v>
      </c>
      <c r="Q131" s="57">
        <f t="shared" si="805"/>
        <v>19489.47</v>
      </c>
      <c r="R131" s="59">
        <f t="shared" si="806"/>
        <v>64428.289926000005</v>
      </c>
      <c r="S131" s="55">
        <f t="shared" si="807"/>
        <v>19061.13</v>
      </c>
      <c r="T131" s="59">
        <f t="shared" si="808"/>
        <v>63012.283554000001</v>
      </c>
      <c r="U131" s="57">
        <f t="shared" si="809"/>
        <v>18632.79</v>
      </c>
      <c r="V131" s="59">
        <f t="shared" si="810"/>
        <v>61596.277182000005</v>
      </c>
      <c r="W131" s="60">
        <f t="shared" si="811"/>
        <v>18204.45</v>
      </c>
      <c r="X131" s="59">
        <f t="shared" si="812"/>
        <v>60180.270810000002</v>
      </c>
      <c r="Y131" s="57">
        <f t="shared" si="813"/>
        <v>17776.11</v>
      </c>
      <c r="Z131" s="59">
        <f t="shared" si="814"/>
        <v>58764.264438000006</v>
      </c>
      <c r="AA131" s="55">
        <f t="shared" si="815"/>
        <v>17347.77</v>
      </c>
      <c r="AB131" s="59">
        <f t="shared" si="816"/>
        <v>57348.258066000002</v>
      </c>
      <c r="AC131" s="60">
        <f t="shared" si="817"/>
        <v>16919.429999999997</v>
      </c>
      <c r="AD131" s="59">
        <f t="shared" si="818"/>
        <v>55932.251693999991</v>
      </c>
      <c r="AE131" s="60">
        <f t="shared" si="819"/>
        <v>16491.089999999997</v>
      </c>
      <c r="AF131" s="59">
        <f t="shared" si="820"/>
        <v>54516.245321999988</v>
      </c>
      <c r="AG131" s="60">
        <f t="shared" si="821"/>
        <v>16062.749999999998</v>
      </c>
      <c r="AH131" s="59">
        <f t="shared" si="822"/>
        <v>53100.238949999992</v>
      </c>
      <c r="AI131" s="55">
        <f t="shared" si="823"/>
        <v>15634.409999999998</v>
      </c>
      <c r="AJ131" s="59">
        <f t="shared" si="824"/>
        <v>51684.232577999996</v>
      </c>
      <c r="AK131" s="60">
        <f t="shared" si="825"/>
        <v>15206.069999999996</v>
      </c>
      <c r="AL131" s="59">
        <f t="shared" si="826"/>
        <v>50268.226205999985</v>
      </c>
      <c r="AM131" s="60">
        <f t="shared" si="827"/>
        <v>14777.729999999996</v>
      </c>
      <c r="AN131" s="59">
        <f t="shared" si="828"/>
        <v>48852.219833999989</v>
      </c>
      <c r="AO131" s="60">
        <f t="shared" si="829"/>
        <v>14349.389999999996</v>
      </c>
      <c r="AP131" s="59">
        <f t="shared" si="830"/>
        <v>47436.213461999985</v>
      </c>
      <c r="AQ131" s="60">
        <f t="shared" si="831"/>
        <v>13921.049999999996</v>
      </c>
      <c r="AR131" s="59">
        <f t="shared" si="832"/>
        <v>46020.207089999989</v>
      </c>
      <c r="AS131" s="55">
        <f t="shared" si="833"/>
        <v>13492.709999999995</v>
      </c>
      <c r="AT131" s="59">
        <f t="shared" si="834"/>
        <v>44604.200717999985</v>
      </c>
      <c r="AU131" s="60">
        <f t="shared" si="835"/>
        <v>13064.369999999995</v>
      </c>
      <c r="AV131" s="59">
        <f t="shared" si="836"/>
        <v>43188.194345999982</v>
      </c>
      <c r="AW131" s="60">
        <f t="shared" si="837"/>
        <v>12636.029999999995</v>
      </c>
      <c r="AX131" s="59">
        <f t="shared" si="838"/>
        <v>41772.187973999986</v>
      </c>
      <c r="AY131" s="55">
        <f t="shared" si="839"/>
        <v>12207.689999999995</v>
      </c>
      <c r="AZ131" s="59">
        <f t="shared" si="840"/>
        <v>40356.181601999982</v>
      </c>
      <c r="BC131" s="55">
        <v>1</v>
      </c>
      <c r="BD131" s="55">
        <v>0.97</v>
      </c>
      <c r="BE131" s="55">
        <v>0.95</v>
      </c>
      <c r="BF131" s="55">
        <v>0.93</v>
      </c>
      <c r="BG131" s="55">
        <f t="shared" si="841"/>
        <v>0.91</v>
      </c>
      <c r="BH131" s="55">
        <f t="shared" si="841"/>
        <v>0.89</v>
      </c>
      <c r="BI131" s="55">
        <f t="shared" si="841"/>
        <v>0.87</v>
      </c>
      <c r="BJ131" s="55">
        <f t="shared" si="841"/>
        <v>0.85</v>
      </c>
      <c r="BK131" s="55">
        <f t="shared" si="841"/>
        <v>0.83</v>
      </c>
      <c r="BL131" s="55">
        <f t="shared" si="841"/>
        <v>0.80999999999999994</v>
      </c>
      <c r="BM131" s="55">
        <f t="shared" si="841"/>
        <v>0.78999999999999992</v>
      </c>
      <c r="BN131" s="55">
        <f t="shared" si="841"/>
        <v>0.76999999999999991</v>
      </c>
      <c r="BO131" s="55">
        <f t="shared" si="841"/>
        <v>0.74999999999999989</v>
      </c>
      <c r="BP131" s="55">
        <f t="shared" si="841"/>
        <v>0.72999999999999987</v>
      </c>
      <c r="BQ131" s="55">
        <f t="shared" si="841"/>
        <v>0.70999999999999985</v>
      </c>
      <c r="BR131" s="55">
        <f t="shared" si="841"/>
        <v>0.68999999999999984</v>
      </c>
      <c r="BS131" s="55">
        <f t="shared" si="841"/>
        <v>0.66999999999999982</v>
      </c>
      <c r="BT131" s="55">
        <f t="shared" si="841"/>
        <v>0.6499999999999998</v>
      </c>
      <c r="BU131" s="55">
        <f t="shared" si="841"/>
        <v>0.62999999999999978</v>
      </c>
      <c r="BV131" s="55">
        <f t="shared" si="841"/>
        <v>0.60999999999999976</v>
      </c>
      <c r="BW131" s="55">
        <f t="shared" si="841"/>
        <v>0.58999999999999975</v>
      </c>
      <c r="BX131" s="55">
        <f t="shared" si="841"/>
        <v>0.56999999999999973</v>
      </c>
      <c r="BZ131" s="55">
        <f t="shared" si="508"/>
        <v>19489.47</v>
      </c>
      <c r="CA131" s="55">
        <f t="shared" si="509"/>
        <v>19489.47</v>
      </c>
      <c r="CB131" s="59">
        <f t="shared" si="842"/>
        <v>64428.289926000005</v>
      </c>
      <c r="CC131" s="55">
        <f t="shared" si="843"/>
        <v>18904.785899999999</v>
      </c>
      <c r="CD131" s="59">
        <f t="shared" si="844"/>
        <v>62495.441228219999</v>
      </c>
      <c r="CE131" s="55">
        <f t="shared" si="845"/>
        <v>18514.996500000001</v>
      </c>
      <c r="CF131" s="59">
        <f t="shared" si="846"/>
        <v>61206.875429700005</v>
      </c>
      <c r="CG131" s="55">
        <f t="shared" si="847"/>
        <v>18125.207100000003</v>
      </c>
      <c r="CH131" s="59">
        <f t="shared" si="848"/>
        <v>59918.309631180011</v>
      </c>
      <c r="CI131" s="57">
        <f t="shared" si="849"/>
        <v>17735.417700000002</v>
      </c>
      <c r="CJ131" s="59">
        <f t="shared" si="850"/>
        <v>58629.74383266001</v>
      </c>
      <c r="CK131" s="55">
        <f t="shared" si="851"/>
        <v>17345.6283</v>
      </c>
      <c r="CL131" s="59">
        <f t="shared" si="852"/>
        <v>57341.178034140001</v>
      </c>
      <c r="CM131" s="57">
        <f t="shared" si="853"/>
        <v>16955.838900000002</v>
      </c>
      <c r="CN131" s="59">
        <f t="shared" si="854"/>
        <v>56052.612235620007</v>
      </c>
      <c r="CO131" s="60">
        <f t="shared" si="855"/>
        <v>16566.049500000001</v>
      </c>
      <c r="CP131" s="59">
        <f t="shared" si="856"/>
        <v>54764.046437100005</v>
      </c>
      <c r="CQ131" s="57">
        <f t="shared" si="857"/>
        <v>16176.2601</v>
      </c>
      <c r="CR131" s="59">
        <f t="shared" si="858"/>
        <v>53475.480638579997</v>
      </c>
      <c r="CS131" s="55">
        <f t="shared" si="859"/>
        <v>15786.4707</v>
      </c>
      <c r="CT131" s="59">
        <f t="shared" si="860"/>
        <v>52186.914840060002</v>
      </c>
      <c r="CU131" s="60">
        <f t="shared" si="861"/>
        <v>15396.6813</v>
      </c>
      <c r="CV131" s="59">
        <f t="shared" si="862"/>
        <v>50898.349041540001</v>
      </c>
      <c r="CW131" s="60">
        <f t="shared" si="863"/>
        <v>15006.891899999999</v>
      </c>
      <c r="CX131" s="59">
        <f t="shared" si="864"/>
        <v>49609.78324302</v>
      </c>
      <c r="CY131" s="60">
        <f t="shared" si="865"/>
        <v>14617.102499999999</v>
      </c>
      <c r="CZ131" s="59">
        <f t="shared" si="866"/>
        <v>48321.217444499998</v>
      </c>
      <c r="DA131" s="55">
        <f t="shared" si="867"/>
        <v>14227.313099999998</v>
      </c>
      <c r="DB131" s="59">
        <f t="shared" si="868"/>
        <v>47032.65164597999</v>
      </c>
      <c r="DC131" s="60">
        <f t="shared" si="869"/>
        <v>13837.523699999998</v>
      </c>
      <c r="DD131" s="59">
        <f t="shared" si="870"/>
        <v>45744.085847459995</v>
      </c>
      <c r="DE131" s="60">
        <f t="shared" si="871"/>
        <v>13447.734299999998</v>
      </c>
      <c r="DF131" s="59">
        <f t="shared" si="872"/>
        <v>44455.520048939994</v>
      </c>
      <c r="DG131" s="60">
        <f t="shared" si="873"/>
        <v>13057.944899999997</v>
      </c>
      <c r="DH131" s="59">
        <f t="shared" si="874"/>
        <v>43166.954250419993</v>
      </c>
      <c r="DI131" s="60">
        <f t="shared" si="875"/>
        <v>12668.155499999997</v>
      </c>
      <c r="DJ131" s="59">
        <f t="shared" si="876"/>
        <v>41878.388451899991</v>
      </c>
      <c r="DK131" s="55">
        <f t="shared" si="877"/>
        <v>12278.366099999996</v>
      </c>
      <c r="DL131" s="59">
        <f t="shared" si="878"/>
        <v>40589.82265337999</v>
      </c>
      <c r="DM131" s="60">
        <f t="shared" si="879"/>
        <v>11888.576699999996</v>
      </c>
      <c r="DN131" s="59">
        <f t="shared" si="880"/>
        <v>39301.256854859988</v>
      </c>
      <c r="DO131" s="60">
        <f t="shared" si="881"/>
        <v>11498.787299999996</v>
      </c>
      <c r="DP131" s="59">
        <f t="shared" si="882"/>
        <v>38012.691056339987</v>
      </c>
      <c r="DQ131" s="55">
        <f t="shared" si="883"/>
        <v>11108.997899999995</v>
      </c>
      <c r="DR131" s="59">
        <f t="shared" si="884"/>
        <v>36724.125257819986</v>
      </c>
      <c r="DU131" s="55">
        <v>1</v>
      </c>
      <c r="DV131" s="55">
        <v>0.97</v>
      </c>
      <c r="DW131" s="55">
        <v>0.95</v>
      </c>
      <c r="DX131" s="55">
        <v>0.93</v>
      </c>
      <c r="DY131" s="55">
        <f t="shared" si="792"/>
        <v>0.91</v>
      </c>
      <c r="DZ131" s="55">
        <f t="shared" si="792"/>
        <v>0.89</v>
      </c>
      <c r="EA131" s="55">
        <f t="shared" si="792"/>
        <v>0.87</v>
      </c>
      <c r="EB131" s="55">
        <f t="shared" si="792"/>
        <v>0.85</v>
      </c>
      <c r="EC131" s="55">
        <f t="shared" si="792"/>
        <v>0.83</v>
      </c>
      <c r="ED131" s="55">
        <f t="shared" si="792"/>
        <v>0.80999999999999994</v>
      </c>
      <c r="EE131" s="55">
        <f t="shared" si="792"/>
        <v>0.78999999999999992</v>
      </c>
      <c r="EF131" s="55">
        <f t="shared" si="792"/>
        <v>0.76999999999999991</v>
      </c>
      <c r="EG131" s="55">
        <f t="shared" si="792"/>
        <v>0.74999999999999989</v>
      </c>
      <c r="EH131" s="55">
        <f t="shared" si="792"/>
        <v>0.72999999999999987</v>
      </c>
      <c r="EI131" s="55">
        <f t="shared" si="792"/>
        <v>0.70999999999999985</v>
      </c>
      <c r="EJ131" s="55">
        <f t="shared" si="792"/>
        <v>0.68999999999999984</v>
      </c>
      <c r="EK131" s="55">
        <f t="shared" si="792"/>
        <v>0.66999999999999982</v>
      </c>
      <c r="EL131" s="55">
        <f t="shared" si="792"/>
        <v>0.6499999999999998</v>
      </c>
      <c r="EM131" s="55">
        <f t="shared" si="792"/>
        <v>0.62999999999999978</v>
      </c>
      <c r="EN131" s="55">
        <f t="shared" si="792"/>
        <v>0.60999999999999976</v>
      </c>
      <c r="EO131" s="55">
        <f t="shared" si="792"/>
        <v>0.58999999999999975</v>
      </c>
      <c r="EP131" s="55">
        <f t="shared" si="792"/>
        <v>0.56999999999999973</v>
      </c>
      <c r="ER131" s="55">
        <f t="shared" si="648"/>
        <v>17735.417700000002</v>
      </c>
      <c r="ES131" s="55">
        <f t="shared" si="510"/>
        <v>17735.417700000002</v>
      </c>
      <c r="ET131" s="59">
        <f t="shared" si="885"/>
        <v>58629.74383266001</v>
      </c>
      <c r="EU131" s="55">
        <f t="shared" si="886"/>
        <v>17203.355169000002</v>
      </c>
      <c r="EV131" s="59">
        <f t="shared" si="887"/>
        <v>56870.85151768021</v>
      </c>
      <c r="EW131" s="55">
        <f t="shared" si="888"/>
        <v>16848.646815</v>
      </c>
      <c r="EX131" s="59">
        <f t="shared" si="889"/>
        <v>55698.256641027001</v>
      </c>
      <c r="EY131" s="55">
        <f t="shared" si="890"/>
        <v>16493.938461000002</v>
      </c>
      <c r="EZ131" s="59">
        <f t="shared" si="891"/>
        <v>54525.661764373806</v>
      </c>
      <c r="FA131" s="57">
        <f t="shared" si="892"/>
        <v>16139.230107000003</v>
      </c>
      <c r="FB131" s="59">
        <f t="shared" si="893"/>
        <v>53353.066887720612</v>
      </c>
      <c r="FC131" s="55">
        <f t="shared" si="894"/>
        <v>15784.521753000003</v>
      </c>
      <c r="FD131" s="59">
        <f t="shared" si="895"/>
        <v>52180.47201106741</v>
      </c>
      <c r="FE131" s="57">
        <f t="shared" si="896"/>
        <v>15429.813399000001</v>
      </c>
      <c r="FF131" s="59">
        <f t="shared" si="897"/>
        <v>51007.877134414201</v>
      </c>
      <c r="FG131" s="60">
        <f t="shared" si="898"/>
        <v>15075.105045</v>
      </c>
      <c r="FH131" s="59">
        <f t="shared" si="899"/>
        <v>49835.282257760999</v>
      </c>
      <c r="FI131" s="57">
        <f t="shared" si="900"/>
        <v>14720.396691</v>
      </c>
      <c r="FJ131" s="59">
        <f t="shared" si="901"/>
        <v>48662.687381107804</v>
      </c>
      <c r="FK131" s="55">
        <f t="shared" si="902"/>
        <v>14365.688337</v>
      </c>
      <c r="FL131" s="59">
        <f t="shared" si="903"/>
        <v>47490.092504454602</v>
      </c>
      <c r="FM131" s="60">
        <f t="shared" si="904"/>
        <v>14010.979982999999</v>
      </c>
      <c r="FN131" s="59">
        <f t="shared" si="905"/>
        <v>46317.4976278014</v>
      </c>
      <c r="FO131" s="60">
        <f t="shared" si="906"/>
        <v>13656.271628999999</v>
      </c>
      <c r="FP131" s="59">
        <f t="shared" si="907"/>
        <v>45144.902751148198</v>
      </c>
      <c r="FQ131" s="60">
        <f t="shared" si="908"/>
        <v>13301.563274999999</v>
      </c>
      <c r="FR131" s="59">
        <f t="shared" si="909"/>
        <v>43972.307874494996</v>
      </c>
      <c r="FS131" s="55">
        <f t="shared" si="910"/>
        <v>12946.854920999998</v>
      </c>
      <c r="FT131" s="59">
        <f t="shared" si="911"/>
        <v>42799.712997841794</v>
      </c>
      <c r="FU131" s="60">
        <f t="shared" si="912"/>
        <v>12592.146566999998</v>
      </c>
      <c r="FV131" s="59">
        <f t="shared" si="913"/>
        <v>41627.118121188592</v>
      </c>
      <c r="FW131" s="60">
        <f t="shared" si="914"/>
        <v>12237.438212999998</v>
      </c>
      <c r="FX131" s="59">
        <f t="shared" si="915"/>
        <v>40454.52324453539</v>
      </c>
      <c r="FY131" s="60">
        <f t="shared" si="916"/>
        <v>11882.729858999997</v>
      </c>
      <c r="FZ131" s="59">
        <f t="shared" si="917"/>
        <v>39281.928367882188</v>
      </c>
      <c r="GA131" s="60">
        <f t="shared" si="918"/>
        <v>11528.021504999997</v>
      </c>
      <c r="GB131" s="59">
        <f t="shared" si="919"/>
        <v>38109.333491228994</v>
      </c>
      <c r="GC131" s="55">
        <f t="shared" si="920"/>
        <v>11173.313150999997</v>
      </c>
      <c r="GD131" s="59">
        <f t="shared" si="921"/>
        <v>36936.738614575792</v>
      </c>
      <c r="GE131" s="60">
        <f t="shared" si="922"/>
        <v>10818.604796999996</v>
      </c>
      <c r="GF131" s="59">
        <f t="shared" si="923"/>
        <v>35764.14373792259</v>
      </c>
      <c r="GG131" s="60">
        <f t="shared" si="924"/>
        <v>10463.896442999996</v>
      </c>
      <c r="GH131" s="59">
        <f t="shared" si="925"/>
        <v>34591.548861269388</v>
      </c>
      <c r="GI131" s="55">
        <f t="shared" si="926"/>
        <v>10109.188088999996</v>
      </c>
      <c r="GJ131" s="59">
        <f t="shared" si="927"/>
        <v>33418.953984616186</v>
      </c>
      <c r="GK131" s="55"/>
      <c r="GL131" s="55"/>
      <c r="GM131" s="55">
        <v>1</v>
      </c>
      <c r="GN131" s="55">
        <v>0.97</v>
      </c>
      <c r="GO131" s="55">
        <v>0.95</v>
      </c>
      <c r="GP131" s="55">
        <v>0.93</v>
      </c>
      <c r="GQ131" s="55">
        <f t="shared" si="793"/>
        <v>0.91</v>
      </c>
      <c r="GR131" s="55">
        <f t="shared" si="793"/>
        <v>0.89</v>
      </c>
      <c r="GS131" s="55">
        <f t="shared" si="793"/>
        <v>0.87</v>
      </c>
      <c r="GT131" s="55">
        <f t="shared" si="793"/>
        <v>0.85</v>
      </c>
      <c r="GU131" s="55">
        <f t="shared" si="793"/>
        <v>0.83</v>
      </c>
      <c r="GV131" s="55">
        <f t="shared" si="793"/>
        <v>0.80999999999999994</v>
      </c>
      <c r="GW131" s="55">
        <f t="shared" si="793"/>
        <v>0.78999999999999992</v>
      </c>
      <c r="GX131" s="55">
        <f t="shared" si="793"/>
        <v>0.76999999999999991</v>
      </c>
      <c r="GY131" s="55">
        <f t="shared" si="793"/>
        <v>0.74999999999999989</v>
      </c>
      <c r="GZ131" s="55">
        <f t="shared" si="793"/>
        <v>0.72999999999999987</v>
      </c>
      <c r="HA131" s="55">
        <f t="shared" si="793"/>
        <v>0.70999999999999985</v>
      </c>
      <c r="HB131" s="55">
        <f t="shared" si="793"/>
        <v>0.68999999999999984</v>
      </c>
      <c r="HC131" s="55">
        <f t="shared" si="793"/>
        <v>0.66999999999999982</v>
      </c>
      <c r="HD131" s="55">
        <f t="shared" si="793"/>
        <v>0.6499999999999998</v>
      </c>
      <c r="HE131" s="55">
        <f t="shared" si="793"/>
        <v>0.62999999999999978</v>
      </c>
      <c r="HF131" s="55">
        <f t="shared" si="793"/>
        <v>0.60999999999999976</v>
      </c>
      <c r="HG131" s="55">
        <f t="shared" si="793"/>
        <v>0.58999999999999975</v>
      </c>
      <c r="HH131" s="55">
        <f t="shared" si="793"/>
        <v>0.56999999999999973</v>
      </c>
    </row>
    <row r="132" spans="1:216" x14ac:dyDescent="0.3">
      <c r="A132" s="2">
        <v>3</v>
      </c>
      <c r="C132" s="38" t="s">
        <v>60</v>
      </c>
      <c r="D132" s="42">
        <v>0</v>
      </c>
      <c r="E132" s="71">
        <f t="shared" si="798"/>
        <v>0</v>
      </c>
      <c r="H132" s="55">
        <f t="shared" si="505"/>
        <v>0</v>
      </c>
      <c r="I132" s="55">
        <f t="shared" si="506"/>
        <v>0</v>
      </c>
      <c r="J132" s="59">
        <f t="shared" si="507"/>
        <v>0</v>
      </c>
      <c r="K132" s="55">
        <f t="shared" si="799"/>
        <v>0</v>
      </c>
      <c r="L132" s="59">
        <f t="shared" si="800"/>
        <v>0</v>
      </c>
      <c r="M132" s="55">
        <f t="shared" si="801"/>
        <v>0</v>
      </c>
      <c r="N132" s="59">
        <f t="shared" si="802"/>
        <v>0</v>
      </c>
      <c r="O132" s="55">
        <f t="shared" si="803"/>
        <v>0</v>
      </c>
      <c r="P132" s="59">
        <f t="shared" si="804"/>
        <v>0</v>
      </c>
      <c r="Q132" s="57">
        <f t="shared" si="805"/>
        <v>0</v>
      </c>
      <c r="R132" s="59">
        <f t="shared" si="806"/>
        <v>0</v>
      </c>
      <c r="S132" s="55">
        <f t="shared" si="807"/>
        <v>0</v>
      </c>
      <c r="T132" s="59">
        <f t="shared" si="808"/>
        <v>0</v>
      </c>
      <c r="U132" s="57">
        <f t="shared" si="809"/>
        <v>0</v>
      </c>
      <c r="V132" s="59">
        <f t="shared" si="810"/>
        <v>0</v>
      </c>
      <c r="W132" s="60">
        <f t="shared" si="811"/>
        <v>0</v>
      </c>
      <c r="X132" s="59">
        <f t="shared" si="812"/>
        <v>0</v>
      </c>
      <c r="Y132" s="57">
        <f t="shared" si="813"/>
        <v>0</v>
      </c>
      <c r="Z132" s="59">
        <f t="shared" si="814"/>
        <v>0</v>
      </c>
      <c r="AA132" s="55">
        <f t="shared" si="815"/>
        <v>0</v>
      </c>
      <c r="AB132" s="59">
        <f t="shared" si="816"/>
        <v>0</v>
      </c>
      <c r="AC132" s="60">
        <f t="shared" si="817"/>
        <v>0</v>
      </c>
      <c r="AD132" s="59">
        <f t="shared" si="818"/>
        <v>0</v>
      </c>
      <c r="AE132" s="60">
        <f t="shared" si="819"/>
        <v>0</v>
      </c>
      <c r="AF132" s="59">
        <f t="shared" si="820"/>
        <v>0</v>
      </c>
      <c r="AG132" s="60">
        <f t="shared" si="821"/>
        <v>0</v>
      </c>
      <c r="AH132" s="59">
        <f t="shared" si="822"/>
        <v>0</v>
      </c>
      <c r="AI132" s="55">
        <f t="shared" si="823"/>
        <v>0</v>
      </c>
      <c r="AJ132" s="59">
        <f t="shared" si="824"/>
        <v>0</v>
      </c>
      <c r="AK132" s="60">
        <f t="shared" si="825"/>
        <v>0</v>
      </c>
      <c r="AL132" s="59">
        <f t="shared" si="826"/>
        <v>0</v>
      </c>
      <c r="AM132" s="60">
        <f t="shared" si="827"/>
        <v>0</v>
      </c>
      <c r="AN132" s="59">
        <f t="shared" si="828"/>
        <v>0</v>
      </c>
      <c r="AO132" s="60">
        <f t="shared" si="829"/>
        <v>0</v>
      </c>
      <c r="AP132" s="59">
        <f t="shared" si="830"/>
        <v>0</v>
      </c>
      <c r="AQ132" s="60">
        <f t="shared" si="831"/>
        <v>0</v>
      </c>
      <c r="AR132" s="59">
        <f t="shared" si="832"/>
        <v>0</v>
      </c>
      <c r="AS132" s="55">
        <f t="shared" si="833"/>
        <v>0</v>
      </c>
      <c r="AT132" s="59">
        <f t="shared" si="834"/>
        <v>0</v>
      </c>
      <c r="AU132" s="60">
        <f t="shared" si="835"/>
        <v>0</v>
      </c>
      <c r="AV132" s="59">
        <f t="shared" si="836"/>
        <v>0</v>
      </c>
      <c r="AW132" s="60">
        <f t="shared" si="837"/>
        <v>0</v>
      </c>
      <c r="AX132" s="59">
        <f t="shared" si="838"/>
        <v>0</v>
      </c>
      <c r="AY132" s="55">
        <f t="shared" si="839"/>
        <v>0</v>
      </c>
      <c r="AZ132" s="59">
        <f t="shared" si="840"/>
        <v>0</v>
      </c>
      <c r="BC132" s="55">
        <v>1</v>
      </c>
      <c r="BD132" s="55">
        <v>0.97</v>
      </c>
      <c r="BE132" s="55">
        <v>0.95</v>
      </c>
      <c r="BF132" s="55">
        <v>0.93</v>
      </c>
      <c r="BG132" s="55">
        <f t="shared" si="841"/>
        <v>0.91</v>
      </c>
      <c r="BH132" s="55">
        <f t="shared" si="841"/>
        <v>0.89</v>
      </c>
      <c r="BI132" s="55">
        <f t="shared" si="841"/>
        <v>0.87</v>
      </c>
      <c r="BJ132" s="55">
        <f t="shared" si="841"/>
        <v>0.85</v>
      </c>
      <c r="BK132" s="55">
        <f t="shared" si="841"/>
        <v>0.83</v>
      </c>
      <c r="BL132" s="55">
        <f t="shared" si="841"/>
        <v>0.80999999999999994</v>
      </c>
      <c r="BM132" s="55">
        <f t="shared" si="841"/>
        <v>0.78999999999999992</v>
      </c>
      <c r="BN132" s="55">
        <f t="shared" si="841"/>
        <v>0.76999999999999991</v>
      </c>
      <c r="BO132" s="55">
        <f t="shared" si="841"/>
        <v>0.74999999999999989</v>
      </c>
      <c r="BP132" s="55">
        <f t="shared" si="841"/>
        <v>0.72999999999999987</v>
      </c>
      <c r="BQ132" s="55">
        <f t="shared" si="841"/>
        <v>0.70999999999999985</v>
      </c>
      <c r="BR132" s="55">
        <f t="shared" si="841"/>
        <v>0.68999999999999984</v>
      </c>
      <c r="BS132" s="55">
        <f t="shared" si="841"/>
        <v>0.66999999999999982</v>
      </c>
      <c r="BT132" s="55">
        <f t="shared" si="841"/>
        <v>0.6499999999999998</v>
      </c>
      <c r="BU132" s="55">
        <f t="shared" si="841"/>
        <v>0.62999999999999978</v>
      </c>
      <c r="BV132" s="55">
        <f t="shared" si="841"/>
        <v>0.60999999999999976</v>
      </c>
      <c r="BW132" s="55">
        <f t="shared" si="841"/>
        <v>0.58999999999999975</v>
      </c>
      <c r="BX132" s="55">
        <f t="shared" si="841"/>
        <v>0.56999999999999973</v>
      </c>
      <c r="BZ132" s="55">
        <f t="shared" si="508"/>
        <v>0</v>
      </c>
      <c r="CA132" s="55">
        <f t="shared" si="509"/>
        <v>0</v>
      </c>
      <c r="CB132" s="59">
        <f t="shared" si="842"/>
        <v>0</v>
      </c>
      <c r="CC132" s="55">
        <f t="shared" si="843"/>
        <v>0</v>
      </c>
      <c r="CD132" s="59">
        <f t="shared" si="844"/>
        <v>0</v>
      </c>
      <c r="CE132" s="55">
        <f t="shared" si="845"/>
        <v>0</v>
      </c>
      <c r="CF132" s="59">
        <f t="shared" si="846"/>
        <v>0</v>
      </c>
      <c r="CG132" s="55">
        <f t="shared" si="847"/>
        <v>0</v>
      </c>
      <c r="CH132" s="59">
        <f t="shared" si="848"/>
        <v>0</v>
      </c>
      <c r="CI132" s="57">
        <f t="shared" si="849"/>
        <v>0</v>
      </c>
      <c r="CJ132" s="59">
        <f t="shared" si="850"/>
        <v>0</v>
      </c>
      <c r="CK132" s="55">
        <f t="shared" si="851"/>
        <v>0</v>
      </c>
      <c r="CL132" s="59">
        <f t="shared" si="852"/>
        <v>0</v>
      </c>
      <c r="CM132" s="57">
        <f t="shared" si="853"/>
        <v>0</v>
      </c>
      <c r="CN132" s="59">
        <f t="shared" si="854"/>
        <v>0</v>
      </c>
      <c r="CO132" s="60">
        <f t="shared" si="855"/>
        <v>0</v>
      </c>
      <c r="CP132" s="59">
        <f t="shared" si="856"/>
        <v>0</v>
      </c>
      <c r="CQ132" s="57">
        <f t="shared" si="857"/>
        <v>0</v>
      </c>
      <c r="CR132" s="59">
        <f t="shared" si="858"/>
        <v>0</v>
      </c>
      <c r="CS132" s="55">
        <f t="shared" si="859"/>
        <v>0</v>
      </c>
      <c r="CT132" s="59">
        <f t="shared" si="860"/>
        <v>0</v>
      </c>
      <c r="CU132" s="60">
        <f t="shared" si="861"/>
        <v>0</v>
      </c>
      <c r="CV132" s="59">
        <f t="shared" si="862"/>
        <v>0</v>
      </c>
      <c r="CW132" s="60">
        <f t="shared" si="863"/>
        <v>0</v>
      </c>
      <c r="CX132" s="59">
        <f t="shared" si="864"/>
        <v>0</v>
      </c>
      <c r="CY132" s="60">
        <f t="shared" si="865"/>
        <v>0</v>
      </c>
      <c r="CZ132" s="59">
        <f t="shared" si="866"/>
        <v>0</v>
      </c>
      <c r="DA132" s="55">
        <f t="shared" si="867"/>
        <v>0</v>
      </c>
      <c r="DB132" s="59">
        <f t="shared" si="868"/>
        <v>0</v>
      </c>
      <c r="DC132" s="60">
        <f t="shared" si="869"/>
        <v>0</v>
      </c>
      <c r="DD132" s="59">
        <f t="shared" si="870"/>
        <v>0</v>
      </c>
      <c r="DE132" s="60">
        <f t="shared" si="871"/>
        <v>0</v>
      </c>
      <c r="DF132" s="59">
        <f t="shared" si="872"/>
        <v>0</v>
      </c>
      <c r="DG132" s="60">
        <f t="shared" si="873"/>
        <v>0</v>
      </c>
      <c r="DH132" s="59">
        <f t="shared" si="874"/>
        <v>0</v>
      </c>
      <c r="DI132" s="60">
        <f t="shared" si="875"/>
        <v>0</v>
      </c>
      <c r="DJ132" s="59">
        <f t="shared" si="876"/>
        <v>0</v>
      </c>
      <c r="DK132" s="55">
        <f t="shared" si="877"/>
        <v>0</v>
      </c>
      <c r="DL132" s="59">
        <f t="shared" si="878"/>
        <v>0</v>
      </c>
      <c r="DM132" s="60">
        <f t="shared" si="879"/>
        <v>0</v>
      </c>
      <c r="DN132" s="59">
        <f t="shared" si="880"/>
        <v>0</v>
      </c>
      <c r="DO132" s="60">
        <f t="shared" si="881"/>
        <v>0</v>
      </c>
      <c r="DP132" s="59">
        <f t="shared" si="882"/>
        <v>0</v>
      </c>
      <c r="DQ132" s="55">
        <f t="shared" si="883"/>
        <v>0</v>
      </c>
      <c r="DR132" s="59">
        <f t="shared" si="884"/>
        <v>0</v>
      </c>
      <c r="DU132" s="55">
        <v>1</v>
      </c>
      <c r="DV132" s="55">
        <v>0.97</v>
      </c>
      <c r="DW132" s="55">
        <v>0.95</v>
      </c>
      <c r="DX132" s="55">
        <v>0.93</v>
      </c>
      <c r="DY132" s="55">
        <f t="shared" si="792"/>
        <v>0.91</v>
      </c>
      <c r="DZ132" s="55">
        <f t="shared" si="792"/>
        <v>0.89</v>
      </c>
      <c r="EA132" s="55">
        <f t="shared" si="792"/>
        <v>0.87</v>
      </c>
      <c r="EB132" s="55">
        <f t="shared" si="792"/>
        <v>0.85</v>
      </c>
      <c r="EC132" s="55">
        <f t="shared" si="792"/>
        <v>0.83</v>
      </c>
      <c r="ED132" s="55">
        <f t="shared" si="792"/>
        <v>0.80999999999999994</v>
      </c>
      <c r="EE132" s="55">
        <f t="shared" si="792"/>
        <v>0.78999999999999992</v>
      </c>
      <c r="EF132" s="55">
        <f t="shared" si="792"/>
        <v>0.76999999999999991</v>
      </c>
      <c r="EG132" s="55">
        <f t="shared" si="792"/>
        <v>0.74999999999999989</v>
      </c>
      <c r="EH132" s="55">
        <f t="shared" si="792"/>
        <v>0.72999999999999987</v>
      </c>
      <c r="EI132" s="55">
        <f t="shared" si="792"/>
        <v>0.70999999999999985</v>
      </c>
      <c r="EJ132" s="55">
        <f t="shared" si="792"/>
        <v>0.68999999999999984</v>
      </c>
      <c r="EK132" s="55">
        <f t="shared" si="792"/>
        <v>0.66999999999999982</v>
      </c>
      <c r="EL132" s="55">
        <f t="shared" si="792"/>
        <v>0.6499999999999998</v>
      </c>
      <c r="EM132" s="55">
        <f t="shared" si="792"/>
        <v>0.62999999999999978</v>
      </c>
      <c r="EN132" s="55">
        <f t="shared" si="792"/>
        <v>0.60999999999999976</v>
      </c>
      <c r="EO132" s="55">
        <f t="shared" si="792"/>
        <v>0.58999999999999975</v>
      </c>
      <c r="EP132" s="55">
        <f t="shared" si="792"/>
        <v>0.56999999999999973</v>
      </c>
      <c r="ER132" s="55">
        <f t="shared" si="648"/>
        <v>0</v>
      </c>
      <c r="ES132" s="55">
        <f t="shared" si="510"/>
        <v>0</v>
      </c>
      <c r="ET132" s="59">
        <f t="shared" si="885"/>
        <v>0</v>
      </c>
      <c r="EU132" s="55">
        <f t="shared" si="886"/>
        <v>0</v>
      </c>
      <c r="EV132" s="59">
        <f t="shared" si="887"/>
        <v>0</v>
      </c>
      <c r="EW132" s="55">
        <f t="shared" si="888"/>
        <v>0</v>
      </c>
      <c r="EX132" s="59">
        <f t="shared" si="889"/>
        <v>0</v>
      </c>
      <c r="EY132" s="55">
        <f t="shared" si="890"/>
        <v>0</v>
      </c>
      <c r="EZ132" s="59">
        <f t="shared" si="891"/>
        <v>0</v>
      </c>
      <c r="FA132" s="57">
        <f t="shared" si="892"/>
        <v>0</v>
      </c>
      <c r="FB132" s="59">
        <f t="shared" si="893"/>
        <v>0</v>
      </c>
      <c r="FC132" s="55">
        <f t="shared" si="894"/>
        <v>0</v>
      </c>
      <c r="FD132" s="59">
        <f t="shared" si="895"/>
        <v>0</v>
      </c>
      <c r="FE132" s="57">
        <f t="shared" si="896"/>
        <v>0</v>
      </c>
      <c r="FF132" s="59">
        <f t="shared" si="897"/>
        <v>0</v>
      </c>
      <c r="FG132" s="60">
        <f t="shared" si="898"/>
        <v>0</v>
      </c>
      <c r="FH132" s="59">
        <f t="shared" si="899"/>
        <v>0</v>
      </c>
      <c r="FI132" s="57">
        <f t="shared" si="900"/>
        <v>0</v>
      </c>
      <c r="FJ132" s="59">
        <f t="shared" si="901"/>
        <v>0</v>
      </c>
      <c r="FK132" s="55">
        <f t="shared" si="902"/>
        <v>0</v>
      </c>
      <c r="FL132" s="59">
        <f t="shared" si="903"/>
        <v>0</v>
      </c>
      <c r="FM132" s="60">
        <f t="shared" si="904"/>
        <v>0</v>
      </c>
      <c r="FN132" s="59">
        <f t="shared" si="905"/>
        <v>0</v>
      </c>
      <c r="FO132" s="60">
        <f t="shared" si="906"/>
        <v>0</v>
      </c>
      <c r="FP132" s="59">
        <f t="shared" si="907"/>
        <v>0</v>
      </c>
      <c r="FQ132" s="60">
        <f t="shared" si="908"/>
        <v>0</v>
      </c>
      <c r="FR132" s="59">
        <f t="shared" si="909"/>
        <v>0</v>
      </c>
      <c r="FS132" s="55">
        <f t="shared" si="910"/>
        <v>0</v>
      </c>
      <c r="FT132" s="59">
        <f t="shared" si="911"/>
        <v>0</v>
      </c>
      <c r="FU132" s="60">
        <f t="shared" si="912"/>
        <v>0</v>
      </c>
      <c r="FV132" s="59">
        <f t="shared" si="913"/>
        <v>0</v>
      </c>
      <c r="FW132" s="60">
        <f t="shared" si="914"/>
        <v>0</v>
      </c>
      <c r="FX132" s="59">
        <f t="shared" si="915"/>
        <v>0</v>
      </c>
      <c r="FY132" s="60">
        <f t="shared" si="916"/>
        <v>0</v>
      </c>
      <c r="FZ132" s="59">
        <f t="shared" si="917"/>
        <v>0</v>
      </c>
      <c r="GA132" s="60">
        <f t="shared" si="918"/>
        <v>0</v>
      </c>
      <c r="GB132" s="59">
        <f t="shared" si="919"/>
        <v>0</v>
      </c>
      <c r="GC132" s="55">
        <f t="shared" si="920"/>
        <v>0</v>
      </c>
      <c r="GD132" s="59">
        <f t="shared" si="921"/>
        <v>0</v>
      </c>
      <c r="GE132" s="60">
        <f t="shared" si="922"/>
        <v>0</v>
      </c>
      <c r="GF132" s="59">
        <f t="shared" si="923"/>
        <v>0</v>
      </c>
      <c r="GG132" s="60">
        <f t="shared" si="924"/>
        <v>0</v>
      </c>
      <c r="GH132" s="59">
        <f t="shared" si="925"/>
        <v>0</v>
      </c>
      <c r="GI132" s="55">
        <f t="shared" si="926"/>
        <v>0</v>
      </c>
      <c r="GJ132" s="59">
        <f t="shared" si="927"/>
        <v>0</v>
      </c>
      <c r="GK132" s="55"/>
      <c r="GL132" s="55"/>
      <c r="GM132" s="55">
        <v>1</v>
      </c>
      <c r="GN132" s="55">
        <v>0.97</v>
      </c>
      <c r="GO132" s="55">
        <v>0.95</v>
      </c>
      <c r="GP132" s="55">
        <v>0.93</v>
      </c>
      <c r="GQ132" s="55">
        <f t="shared" si="793"/>
        <v>0.91</v>
      </c>
      <c r="GR132" s="55">
        <f t="shared" si="793"/>
        <v>0.89</v>
      </c>
      <c r="GS132" s="55">
        <f t="shared" si="793"/>
        <v>0.87</v>
      </c>
      <c r="GT132" s="55">
        <f t="shared" si="793"/>
        <v>0.85</v>
      </c>
      <c r="GU132" s="55">
        <f t="shared" si="793"/>
        <v>0.83</v>
      </c>
      <c r="GV132" s="55">
        <f t="shared" si="793"/>
        <v>0.80999999999999994</v>
      </c>
      <c r="GW132" s="55">
        <f t="shared" si="793"/>
        <v>0.78999999999999992</v>
      </c>
      <c r="GX132" s="55">
        <f t="shared" si="793"/>
        <v>0.76999999999999991</v>
      </c>
      <c r="GY132" s="55">
        <f t="shared" si="793"/>
        <v>0.74999999999999989</v>
      </c>
      <c r="GZ132" s="55">
        <f t="shared" si="793"/>
        <v>0.72999999999999987</v>
      </c>
      <c r="HA132" s="55">
        <f t="shared" si="793"/>
        <v>0.70999999999999985</v>
      </c>
      <c r="HB132" s="55">
        <f t="shared" si="793"/>
        <v>0.68999999999999984</v>
      </c>
      <c r="HC132" s="55">
        <f t="shared" si="793"/>
        <v>0.66999999999999982</v>
      </c>
      <c r="HD132" s="55">
        <f t="shared" si="793"/>
        <v>0.6499999999999998</v>
      </c>
      <c r="HE132" s="55">
        <f t="shared" si="793"/>
        <v>0.62999999999999978</v>
      </c>
      <c r="HF132" s="55">
        <f t="shared" si="793"/>
        <v>0.60999999999999976</v>
      </c>
      <c r="HG132" s="55">
        <f t="shared" si="793"/>
        <v>0.58999999999999975</v>
      </c>
      <c r="HH132" s="55">
        <f t="shared" si="793"/>
        <v>0.56999999999999973</v>
      </c>
    </row>
    <row r="133" spans="1:216" x14ac:dyDescent="0.3">
      <c r="A133" s="2">
        <v>4</v>
      </c>
      <c r="C133" s="38" t="s">
        <v>61</v>
      </c>
      <c r="D133" s="42">
        <v>0</v>
      </c>
      <c r="E133" s="71">
        <f t="shared" si="798"/>
        <v>0</v>
      </c>
      <c r="H133" s="55">
        <f t="shared" si="505"/>
        <v>0</v>
      </c>
      <c r="I133" s="55">
        <f t="shared" si="506"/>
        <v>0</v>
      </c>
      <c r="J133" s="59">
        <f t="shared" si="507"/>
        <v>0</v>
      </c>
      <c r="K133" s="55">
        <f t="shared" si="799"/>
        <v>0</v>
      </c>
      <c r="L133" s="59">
        <f t="shared" si="800"/>
        <v>0</v>
      </c>
      <c r="M133" s="55">
        <f t="shared" si="801"/>
        <v>0</v>
      </c>
      <c r="N133" s="59">
        <f t="shared" si="802"/>
        <v>0</v>
      </c>
      <c r="O133" s="55">
        <f t="shared" si="803"/>
        <v>0</v>
      </c>
      <c r="P133" s="59">
        <f t="shared" si="804"/>
        <v>0</v>
      </c>
      <c r="Q133" s="57">
        <f t="shared" si="805"/>
        <v>0</v>
      </c>
      <c r="R133" s="59">
        <f t="shared" si="806"/>
        <v>0</v>
      </c>
      <c r="S133" s="55">
        <f t="shared" si="807"/>
        <v>0</v>
      </c>
      <c r="T133" s="59">
        <f t="shared" si="808"/>
        <v>0</v>
      </c>
      <c r="U133" s="57">
        <f t="shared" si="809"/>
        <v>0</v>
      </c>
      <c r="V133" s="59">
        <f t="shared" si="810"/>
        <v>0</v>
      </c>
      <c r="W133" s="60">
        <f t="shared" si="811"/>
        <v>0</v>
      </c>
      <c r="X133" s="59">
        <f t="shared" si="812"/>
        <v>0</v>
      </c>
      <c r="Y133" s="57">
        <f t="shared" si="813"/>
        <v>0</v>
      </c>
      <c r="Z133" s="59">
        <f t="shared" si="814"/>
        <v>0</v>
      </c>
      <c r="AA133" s="55">
        <f t="shared" si="815"/>
        <v>0</v>
      </c>
      <c r="AB133" s="59">
        <f t="shared" si="816"/>
        <v>0</v>
      </c>
      <c r="AC133" s="60">
        <f t="shared" si="817"/>
        <v>0</v>
      </c>
      <c r="AD133" s="59">
        <f t="shared" si="818"/>
        <v>0</v>
      </c>
      <c r="AE133" s="60">
        <f t="shared" si="819"/>
        <v>0</v>
      </c>
      <c r="AF133" s="59">
        <f t="shared" si="820"/>
        <v>0</v>
      </c>
      <c r="AG133" s="60">
        <f t="shared" si="821"/>
        <v>0</v>
      </c>
      <c r="AH133" s="59">
        <f t="shared" si="822"/>
        <v>0</v>
      </c>
      <c r="AI133" s="55">
        <f t="shared" si="823"/>
        <v>0</v>
      </c>
      <c r="AJ133" s="59">
        <f t="shared" si="824"/>
        <v>0</v>
      </c>
      <c r="AK133" s="60">
        <f t="shared" si="825"/>
        <v>0</v>
      </c>
      <c r="AL133" s="59">
        <f t="shared" si="826"/>
        <v>0</v>
      </c>
      <c r="AM133" s="60">
        <f t="shared" si="827"/>
        <v>0</v>
      </c>
      <c r="AN133" s="59">
        <f t="shared" si="828"/>
        <v>0</v>
      </c>
      <c r="AO133" s="60">
        <f t="shared" si="829"/>
        <v>0</v>
      </c>
      <c r="AP133" s="59">
        <f t="shared" si="830"/>
        <v>0</v>
      </c>
      <c r="AQ133" s="60">
        <f t="shared" si="831"/>
        <v>0</v>
      </c>
      <c r="AR133" s="59">
        <f t="shared" si="832"/>
        <v>0</v>
      </c>
      <c r="AS133" s="55">
        <f t="shared" si="833"/>
        <v>0</v>
      </c>
      <c r="AT133" s="59">
        <f t="shared" si="834"/>
        <v>0</v>
      </c>
      <c r="AU133" s="60">
        <f t="shared" si="835"/>
        <v>0</v>
      </c>
      <c r="AV133" s="59">
        <f t="shared" si="836"/>
        <v>0</v>
      </c>
      <c r="AW133" s="60">
        <f t="shared" si="837"/>
        <v>0</v>
      </c>
      <c r="AX133" s="59">
        <f t="shared" si="838"/>
        <v>0</v>
      </c>
      <c r="AY133" s="55">
        <f t="shared" si="839"/>
        <v>0</v>
      </c>
      <c r="AZ133" s="59">
        <f t="shared" si="840"/>
        <v>0</v>
      </c>
      <c r="BC133" s="55">
        <v>1</v>
      </c>
      <c r="BD133" s="55">
        <v>0.97</v>
      </c>
      <c r="BE133" s="55">
        <v>0.95</v>
      </c>
      <c r="BF133" s="55">
        <v>0.93</v>
      </c>
      <c r="BG133" s="55">
        <f t="shared" si="841"/>
        <v>0.91</v>
      </c>
      <c r="BH133" s="55">
        <f t="shared" si="841"/>
        <v>0.89</v>
      </c>
      <c r="BI133" s="55">
        <f t="shared" si="841"/>
        <v>0.87</v>
      </c>
      <c r="BJ133" s="55">
        <f t="shared" si="841"/>
        <v>0.85</v>
      </c>
      <c r="BK133" s="55">
        <f t="shared" si="841"/>
        <v>0.83</v>
      </c>
      <c r="BL133" s="55">
        <f t="shared" si="841"/>
        <v>0.80999999999999994</v>
      </c>
      <c r="BM133" s="55">
        <f t="shared" si="841"/>
        <v>0.78999999999999992</v>
      </c>
      <c r="BN133" s="55">
        <f t="shared" si="841"/>
        <v>0.76999999999999991</v>
      </c>
      <c r="BO133" s="55">
        <f t="shared" si="841"/>
        <v>0.74999999999999989</v>
      </c>
      <c r="BP133" s="55">
        <f t="shared" si="841"/>
        <v>0.72999999999999987</v>
      </c>
      <c r="BQ133" s="55">
        <f t="shared" si="841"/>
        <v>0.70999999999999985</v>
      </c>
      <c r="BR133" s="55">
        <f t="shared" si="841"/>
        <v>0.68999999999999984</v>
      </c>
      <c r="BS133" s="55">
        <f t="shared" si="841"/>
        <v>0.66999999999999982</v>
      </c>
      <c r="BT133" s="55">
        <f t="shared" si="841"/>
        <v>0.6499999999999998</v>
      </c>
      <c r="BU133" s="55">
        <f t="shared" si="841"/>
        <v>0.62999999999999978</v>
      </c>
      <c r="BV133" s="55">
        <f t="shared" si="841"/>
        <v>0.60999999999999976</v>
      </c>
      <c r="BW133" s="55">
        <f t="shared" si="841"/>
        <v>0.58999999999999975</v>
      </c>
      <c r="BX133" s="55">
        <f t="shared" si="841"/>
        <v>0.56999999999999973</v>
      </c>
      <c r="BZ133" s="55">
        <f t="shared" si="508"/>
        <v>0</v>
      </c>
      <c r="CA133" s="55">
        <f t="shared" si="509"/>
        <v>0</v>
      </c>
      <c r="CB133" s="59">
        <f t="shared" si="842"/>
        <v>0</v>
      </c>
      <c r="CC133" s="55">
        <f t="shared" si="843"/>
        <v>0</v>
      </c>
      <c r="CD133" s="59">
        <f t="shared" si="844"/>
        <v>0</v>
      </c>
      <c r="CE133" s="55">
        <f t="shared" si="845"/>
        <v>0</v>
      </c>
      <c r="CF133" s="59">
        <f t="shared" si="846"/>
        <v>0</v>
      </c>
      <c r="CG133" s="55">
        <f t="shared" si="847"/>
        <v>0</v>
      </c>
      <c r="CH133" s="59">
        <f t="shared" si="848"/>
        <v>0</v>
      </c>
      <c r="CI133" s="57">
        <f t="shared" si="849"/>
        <v>0</v>
      </c>
      <c r="CJ133" s="59">
        <f t="shared" si="850"/>
        <v>0</v>
      </c>
      <c r="CK133" s="55">
        <f t="shared" si="851"/>
        <v>0</v>
      </c>
      <c r="CL133" s="59">
        <f t="shared" si="852"/>
        <v>0</v>
      </c>
      <c r="CM133" s="57">
        <f t="shared" si="853"/>
        <v>0</v>
      </c>
      <c r="CN133" s="59">
        <f t="shared" si="854"/>
        <v>0</v>
      </c>
      <c r="CO133" s="60">
        <f t="shared" si="855"/>
        <v>0</v>
      </c>
      <c r="CP133" s="59">
        <f t="shared" si="856"/>
        <v>0</v>
      </c>
      <c r="CQ133" s="57">
        <f t="shared" si="857"/>
        <v>0</v>
      </c>
      <c r="CR133" s="59">
        <f t="shared" si="858"/>
        <v>0</v>
      </c>
      <c r="CS133" s="55">
        <f t="shared" si="859"/>
        <v>0</v>
      </c>
      <c r="CT133" s="59">
        <f t="shared" si="860"/>
        <v>0</v>
      </c>
      <c r="CU133" s="60">
        <f t="shared" si="861"/>
        <v>0</v>
      </c>
      <c r="CV133" s="59">
        <f t="shared" si="862"/>
        <v>0</v>
      </c>
      <c r="CW133" s="60">
        <f t="shared" si="863"/>
        <v>0</v>
      </c>
      <c r="CX133" s="59">
        <f t="shared" si="864"/>
        <v>0</v>
      </c>
      <c r="CY133" s="60">
        <f t="shared" si="865"/>
        <v>0</v>
      </c>
      <c r="CZ133" s="59">
        <f t="shared" si="866"/>
        <v>0</v>
      </c>
      <c r="DA133" s="55">
        <f t="shared" si="867"/>
        <v>0</v>
      </c>
      <c r="DB133" s="59">
        <f t="shared" si="868"/>
        <v>0</v>
      </c>
      <c r="DC133" s="60">
        <f t="shared" si="869"/>
        <v>0</v>
      </c>
      <c r="DD133" s="59">
        <f t="shared" si="870"/>
        <v>0</v>
      </c>
      <c r="DE133" s="60">
        <f t="shared" si="871"/>
        <v>0</v>
      </c>
      <c r="DF133" s="59">
        <f t="shared" si="872"/>
        <v>0</v>
      </c>
      <c r="DG133" s="60">
        <f t="shared" si="873"/>
        <v>0</v>
      </c>
      <c r="DH133" s="59">
        <f t="shared" si="874"/>
        <v>0</v>
      </c>
      <c r="DI133" s="60">
        <f t="shared" si="875"/>
        <v>0</v>
      </c>
      <c r="DJ133" s="59">
        <f t="shared" si="876"/>
        <v>0</v>
      </c>
      <c r="DK133" s="55">
        <f t="shared" si="877"/>
        <v>0</v>
      </c>
      <c r="DL133" s="59">
        <f t="shared" si="878"/>
        <v>0</v>
      </c>
      <c r="DM133" s="60">
        <f t="shared" si="879"/>
        <v>0</v>
      </c>
      <c r="DN133" s="59">
        <f t="shared" si="880"/>
        <v>0</v>
      </c>
      <c r="DO133" s="60">
        <f t="shared" si="881"/>
        <v>0</v>
      </c>
      <c r="DP133" s="59">
        <f t="shared" si="882"/>
        <v>0</v>
      </c>
      <c r="DQ133" s="55">
        <f t="shared" si="883"/>
        <v>0</v>
      </c>
      <c r="DR133" s="59">
        <f t="shared" si="884"/>
        <v>0</v>
      </c>
      <c r="DU133" s="55">
        <v>1</v>
      </c>
      <c r="DV133" s="55">
        <v>0.97</v>
      </c>
      <c r="DW133" s="55">
        <v>0.95</v>
      </c>
      <c r="DX133" s="55">
        <v>0.93</v>
      </c>
      <c r="DY133" s="55">
        <f t="shared" si="792"/>
        <v>0.91</v>
      </c>
      <c r="DZ133" s="55">
        <f t="shared" si="792"/>
        <v>0.89</v>
      </c>
      <c r="EA133" s="55">
        <f t="shared" si="792"/>
        <v>0.87</v>
      </c>
      <c r="EB133" s="55">
        <f t="shared" si="792"/>
        <v>0.85</v>
      </c>
      <c r="EC133" s="55">
        <f t="shared" si="792"/>
        <v>0.83</v>
      </c>
      <c r="ED133" s="55">
        <f t="shared" si="792"/>
        <v>0.80999999999999994</v>
      </c>
      <c r="EE133" s="55">
        <f t="shared" si="792"/>
        <v>0.78999999999999992</v>
      </c>
      <c r="EF133" s="55">
        <f t="shared" si="792"/>
        <v>0.76999999999999991</v>
      </c>
      <c r="EG133" s="55">
        <f t="shared" si="792"/>
        <v>0.74999999999999989</v>
      </c>
      <c r="EH133" s="55">
        <f t="shared" si="792"/>
        <v>0.72999999999999987</v>
      </c>
      <c r="EI133" s="55">
        <f t="shared" si="792"/>
        <v>0.70999999999999985</v>
      </c>
      <c r="EJ133" s="55">
        <f t="shared" si="792"/>
        <v>0.68999999999999984</v>
      </c>
      <c r="EK133" s="55">
        <f t="shared" si="792"/>
        <v>0.66999999999999982</v>
      </c>
      <c r="EL133" s="55">
        <f t="shared" si="792"/>
        <v>0.6499999999999998</v>
      </c>
      <c r="EM133" s="55">
        <f t="shared" si="792"/>
        <v>0.62999999999999978</v>
      </c>
      <c r="EN133" s="55">
        <f t="shared" si="792"/>
        <v>0.60999999999999976</v>
      </c>
      <c r="EO133" s="55">
        <f t="shared" si="792"/>
        <v>0.58999999999999975</v>
      </c>
      <c r="EP133" s="55">
        <f t="shared" si="792"/>
        <v>0.56999999999999973</v>
      </c>
      <c r="ER133" s="55">
        <f t="shared" si="648"/>
        <v>0</v>
      </c>
      <c r="ES133" s="55">
        <f t="shared" si="510"/>
        <v>0</v>
      </c>
      <c r="ET133" s="59">
        <f t="shared" si="885"/>
        <v>0</v>
      </c>
      <c r="EU133" s="55">
        <f t="shared" si="886"/>
        <v>0</v>
      </c>
      <c r="EV133" s="59">
        <f t="shared" si="887"/>
        <v>0</v>
      </c>
      <c r="EW133" s="55">
        <f t="shared" si="888"/>
        <v>0</v>
      </c>
      <c r="EX133" s="59">
        <f t="shared" si="889"/>
        <v>0</v>
      </c>
      <c r="EY133" s="55">
        <f t="shared" si="890"/>
        <v>0</v>
      </c>
      <c r="EZ133" s="59">
        <f t="shared" si="891"/>
        <v>0</v>
      </c>
      <c r="FA133" s="57">
        <f t="shared" si="892"/>
        <v>0</v>
      </c>
      <c r="FB133" s="59">
        <f t="shared" si="893"/>
        <v>0</v>
      </c>
      <c r="FC133" s="55">
        <f t="shared" si="894"/>
        <v>0</v>
      </c>
      <c r="FD133" s="59">
        <f t="shared" si="895"/>
        <v>0</v>
      </c>
      <c r="FE133" s="57">
        <f t="shared" si="896"/>
        <v>0</v>
      </c>
      <c r="FF133" s="59">
        <f t="shared" si="897"/>
        <v>0</v>
      </c>
      <c r="FG133" s="60">
        <f t="shared" si="898"/>
        <v>0</v>
      </c>
      <c r="FH133" s="59">
        <f t="shared" si="899"/>
        <v>0</v>
      </c>
      <c r="FI133" s="57">
        <f t="shared" si="900"/>
        <v>0</v>
      </c>
      <c r="FJ133" s="59">
        <f t="shared" si="901"/>
        <v>0</v>
      </c>
      <c r="FK133" s="55">
        <f t="shared" si="902"/>
        <v>0</v>
      </c>
      <c r="FL133" s="59">
        <f t="shared" si="903"/>
        <v>0</v>
      </c>
      <c r="FM133" s="60">
        <f t="shared" si="904"/>
        <v>0</v>
      </c>
      <c r="FN133" s="59">
        <f t="shared" si="905"/>
        <v>0</v>
      </c>
      <c r="FO133" s="60">
        <f t="shared" si="906"/>
        <v>0</v>
      </c>
      <c r="FP133" s="59">
        <f t="shared" si="907"/>
        <v>0</v>
      </c>
      <c r="FQ133" s="60">
        <f t="shared" si="908"/>
        <v>0</v>
      </c>
      <c r="FR133" s="59">
        <f t="shared" si="909"/>
        <v>0</v>
      </c>
      <c r="FS133" s="55">
        <f t="shared" si="910"/>
        <v>0</v>
      </c>
      <c r="FT133" s="59">
        <f t="shared" si="911"/>
        <v>0</v>
      </c>
      <c r="FU133" s="60">
        <f t="shared" si="912"/>
        <v>0</v>
      </c>
      <c r="FV133" s="59">
        <f t="shared" si="913"/>
        <v>0</v>
      </c>
      <c r="FW133" s="60">
        <f t="shared" si="914"/>
        <v>0</v>
      </c>
      <c r="FX133" s="59">
        <f t="shared" si="915"/>
        <v>0</v>
      </c>
      <c r="FY133" s="60">
        <f t="shared" si="916"/>
        <v>0</v>
      </c>
      <c r="FZ133" s="59">
        <f t="shared" si="917"/>
        <v>0</v>
      </c>
      <c r="GA133" s="60">
        <f t="shared" si="918"/>
        <v>0</v>
      </c>
      <c r="GB133" s="59">
        <f t="shared" si="919"/>
        <v>0</v>
      </c>
      <c r="GC133" s="55">
        <f t="shared" si="920"/>
        <v>0</v>
      </c>
      <c r="GD133" s="59">
        <f t="shared" si="921"/>
        <v>0</v>
      </c>
      <c r="GE133" s="60">
        <f t="shared" si="922"/>
        <v>0</v>
      </c>
      <c r="GF133" s="59">
        <f t="shared" si="923"/>
        <v>0</v>
      </c>
      <c r="GG133" s="60">
        <f t="shared" si="924"/>
        <v>0</v>
      </c>
      <c r="GH133" s="59">
        <f t="shared" si="925"/>
        <v>0</v>
      </c>
      <c r="GI133" s="55">
        <f t="shared" si="926"/>
        <v>0</v>
      </c>
      <c r="GJ133" s="59">
        <f t="shared" si="927"/>
        <v>0</v>
      </c>
      <c r="GK133" s="55"/>
      <c r="GL133" s="55"/>
      <c r="GM133" s="55">
        <v>1</v>
      </c>
      <c r="GN133" s="55">
        <v>0.97</v>
      </c>
      <c r="GO133" s="55">
        <v>0.95</v>
      </c>
      <c r="GP133" s="55">
        <v>0.93</v>
      </c>
      <c r="GQ133" s="55">
        <f t="shared" si="793"/>
        <v>0.91</v>
      </c>
      <c r="GR133" s="55">
        <f t="shared" si="793"/>
        <v>0.89</v>
      </c>
      <c r="GS133" s="55">
        <f t="shared" si="793"/>
        <v>0.87</v>
      </c>
      <c r="GT133" s="55">
        <f t="shared" si="793"/>
        <v>0.85</v>
      </c>
      <c r="GU133" s="55">
        <f t="shared" si="793"/>
        <v>0.83</v>
      </c>
      <c r="GV133" s="55">
        <f t="shared" si="793"/>
        <v>0.80999999999999994</v>
      </c>
      <c r="GW133" s="55">
        <f t="shared" si="793"/>
        <v>0.78999999999999992</v>
      </c>
      <c r="GX133" s="55">
        <f t="shared" si="793"/>
        <v>0.76999999999999991</v>
      </c>
      <c r="GY133" s="55">
        <f t="shared" si="793"/>
        <v>0.74999999999999989</v>
      </c>
      <c r="GZ133" s="55">
        <f t="shared" si="793"/>
        <v>0.72999999999999987</v>
      </c>
      <c r="HA133" s="55">
        <f t="shared" si="793"/>
        <v>0.70999999999999985</v>
      </c>
      <c r="HB133" s="55">
        <f t="shared" si="793"/>
        <v>0.68999999999999984</v>
      </c>
      <c r="HC133" s="55">
        <f t="shared" si="793"/>
        <v>0.66999999999999982</v>
      </c>
      <c r="HD133" s="55">
        <f t="shared" si="793"/>
        <v>0.6499999999999998</v>
      </c>
      <c r="HE133" s="55">
        <f t="shared" si="793"/>
        <v>0.62999999999999978</v>
      </c>
      <c r="HF133" s="55">
        <f t="shared" si="793"/>
        <v>0.60999999999999976</v>
      </c>
      <c r="HG133" s="55">
        <f t="shared" si="793"/>
        <v>0.58999999999999975</v>
      </c>
      <c r="HH133" s="55">
        <f t="shared" si="793"/>
        <v>0.56999999999999973</v>
      </c>
    </row>
    <row r="134" spans="1:216" x14ac:dyDescent="0.3">
      <c r="A134" s="2">
        <v>5</v>
      </c>
      <c r="C134" s="38" t="s">
        <v>57</v>
      </c>
      <c r="D134" s="42">
        <v>0</v>
      </c>
      <c r="E134" s="71">
        <f t="shared" si="798"/>
        <v>0</v>
      </c>
      <c r="H134" s="55">
        <f t="shared" si="505"/>
        <v>0</v>
      </c>
      <c r="I134" s="55">
        <f t="shared" si="506"/>
        <v>0</v>
      </c>
      <c r="J134" s="59">
        <f t="shared" si="507"/>
        <v>0</v>
      </c>
      <c r="K134" s="55">
        <f t="shared" si="799"/>
        <v>0</v>
      </c>
      <c r="L134" s="59">
        <f t="shared" si="800"/>
        <v>0</v>
      </c>
      <c r="M134" s="55">
        <f t="shared" si="801"/>
        <v>0</v>
      </c>
      <c r="N134" s="59">
        <f t="shared" si="802"/>
        <v>0</v>
      </c>
      <c r="O134" s="55">
        <f t="shared" si="803"/>
        <v>0</v>
      </c>
      <c r="P134" s="59">
        <f t="shared" si="804"/>
        <v>0</v>
      </c>
      <c r="Q134" s="57">
        <f t="shared" si="805"/>
        <v>0</v>
      </c>
      <c r="R134" s="59">
        <f t="shared" si="806"/>
        <v>0</v>
      </c>
      <c r="S134" s="55">
        <f t="shared" si="807"/>
        <v>0</v>
      </c>
      <c r="T134" s="59">
        <f t="shared" si="808"/>
        <v>0</v>
      </c>
      <c r="U134" s="57">
        <f t="shared" si="809"/>
        <v>0</v>
      </c>
      <c r="V134" s="59">
        <f t="shared" si="810"/>
        <v>0</v>
      </c>
      <c r="W134" s="60">
        <f t="shared" si="811"/>
        <v>0</v>
      </c>
      <c r="X134" s="59">
        <f t="shared" si="812"/>
        <v>0</v>
      </c>
      <c r="Y134" s="57">
        <f t="shared" si="813"/>
        <v>0</v>
      </c>
      <c r="Z134" s="59">
        <f t="shared" si="814"/>
        <v>0</v>
      </c>
      <c r="AA134" s="55">
        <f t="shared" si="815"/>
        <v>0</v>
      </c>
      <c r="AB134" s="59">
        <f t="shared" si="816"/>
        <v>0</v>
      </c>
      <c r="AC134" s="60">
        <f t="shared" si="817"/>
        <v>0</v>
      </c>
      <c r="AD134" s="59">
        <f t="shared" si="818"/>
        <v>0</v>
      </c>
      <c r="AE134" s="60">
        <f t="shared" si="819"/>
        <v>0</v>
      </c>
      <c r="AF134" s="59">
        <f t="shared" si="820"/>
        <v>0</v>
      </c>
      <c r="AG134" s="60">
        <f t="shared" si="821"/>
        <v>0</v>
      </c>
      <c r="AH134" s="59">
        <f t="shared" si="822"/>
        <v>0</v>
      </c>
      <c r="AI134" s="55">
        <f t="shared" si="823"/>
        <v>0</v>
      </c>
      <c r="AJ134" s="59">
        <f t="shared" si="824"/>
        <v>0</v>
      </c>
      <c r="AK134" s="60">
        <f t="shared" si="825"/>
        <v>0</v>
      </c>
      <c r="AL134" s="59">
        <f t="shared" si="826"/>
        <v>0</v>
      </c>
      <c r="AM134" s="60">
        <f t="shared" si="827"/>
        <v>0</v>
      </c>
      <c r="AN134" s="59">
        <f t="shared" si="828"/>
        <v>0</v>
      </c>
      <c r="AO134" s="60">
        <f t="shared" si="829"/>
        <v>0</v>
      </c>
      <c r="AP134" s="59">
        <f t="shared" si="830"/>
        <v>0</v>
      </c>
      <c r="AQ134" s="60">
        <f t="shared" si="831"/>
        <v>0</v>
      </c>
      <c r="AR134" s="59">
        <f t="shared" si="832"/>
        <v>0</v>
      </c>
      <c r="AS134" s="55">
        <f t="shared" si="833"/>
        <v>0</v>
      </c>
      <c r="AT134" s="59">
        <f t="shared" si="834"/>
        <v>0</v>
      </c>
      <c r="AU134" s="60">
        <f t="shared" si="835"/>
        <v>0</v>
      </c>
      <c r="AV134" s="59">
        <f t="shared" si="836"/>
        <v>0</v>
      </c>
      <c r="AW134" s="60">
        <f t="shared" si="837"/>
        <v>0</v>
      </c>
      <c r="AX134" s="59">
        <f t="shared" si="838"/>
        <v>0</v>
      </c>
      <c r="AY134" s="55">
        <f t="shared" si="839"/>
        <v>0</v>
      </c>
      <c r="AZ134" s="59">
        <f t="shared" si="840"/>
        <v>0</v>
      </c>
      <c r="BC134" s="55">
        <v>1</v>
      </c>
      <c r="BD134" s="55">
        <v>0.97</v>
      </c>
      <c r="BE134" s="55">
        <v>0.95</v>
      </c>
      <c r="BF134" s="55">
        <v>0.93</v>
      </c>
      <c r="BG134" s="55">
        <f t="shared" si="841"/>
        <v>0.91</v>
      </c>
      <c r="BH134" s="55">
        <f t="shared" si="841"/>
        <v>0.89</v>
      </c>
      <c r="BI134" s="55">
        <f t="shared" si="841"/>
        <v>0.87</v>
      </c>
      <c r="BJ134" s="55">
        <f t="shared" si="841"/>
        <v>0.85</v>
      </c>
      <c r="BK134" s="55">
        <f t="shared" si="841"/>
        <v>0.83</v>
      </c>
      <c r="BL134" s="55">
        <f t="shared" si="841"/>
        <v>0.80999999999999994</v>
      </c>
      <c r="BM134" s="55">
        <f t="shared" si="841"/>
        <v>0.78999999999999992</v>
      </c>
      <c r="BN134" s="55">
        <f t="shared" si="841"/>
        <v>0.76999999999999991</v>
      </c>
      <c r="BO134" s="55">
        <f t="shared" si="841"/>
        <v>0.74999999999999989</v>
      </c>
      <c r="BP134" s="55">
        <f t="shared" si="841"/>
        <v>0.72999999999999987</v>
      </c>
      <c r="BQ134" s="55">
        <f t="shared" si="841"/>
        <v>0.70999999999999985</v>
      </c>
      <c r="BR134" s="55">
        <f t="shared" si="841"/>
        <v>0.68999999999999984</v>
      </c>
      <c r="BS134" s="55">
        <f t="shared" si="841"/>
        <v>0.66999999999999982</v>
      </c>
      <c r="BT134" s="55">
        <f t="shared" si="841"/>
        <v>0.6499999999999998</v>
      </c>
      <c r="BU134" s="55">
        <f t="shared" si="841"/>
        <v>0.62999999999999978</v>
      </c>
      <c r="BV134" s="55">
        <f t="shared" si="841"/>
        <v>0.60999999999999976</v>
      </c>
      <c r="BW134" s="55">
        <f t="shared" si="841"/>
        <v>0.58999999999999975</v>
      </c>
      <c r="BX134" s="55">
        <f t="shared" si="841"/>
        <v>0.56999999999999973</v>
      </c>
      <c r="BZ134" s="55">
        <f t="shared" si="508"/>
        <v>0</v>
      </c>
      <c r="CA134" s="55">
        <f t="shared" si="509"/>
        <v>0</v>
      </c>
      <c r="CB134" s="59">
        <f t="shared" si="842"/>
        <v>0</v>
      </c>
      <c r="CC134" s="55">
        <f t="shared" si="843"/>
        <v>0</v>
      </c>
      <c r="CD134" s="59">
        <f t="shared" si="844"/>
        <v>0</v>
      </c>
      <c r="CE134" s="55">
        <f t="shared" si="845"/>
        <v>0</v>
      </c>
      <c r="CF134" s="59">
        <f t="shared" si="846"/>
        <v>0</v>
      </c>
      <c r="CG134" s="55">
        <f t="shared" si="847"/>
        <v>0</v>
      </c>
      <c r="CH134" s="59">
        <f t="shared" si="848"/>
        <v>0</v>
      </c>
      <c r="CI134" s="57">
        <f t="shared" si="849"/>
        <v>0</v>
      </c>
      <c r="CJ134" s="59">
        <f t="shared" si="850"/>
        <v>0</v>
      </c>
      <c r="CK134" s="55">
        <f t="shared" si="851"/>
        <v>0</v>
      </c>
      <c r="CL134" s="59">
        <f t="shared" si="852"/>
        <v>0</v>
      </c>
      <c r="CM134" s="57">
        <f t="shared" si="853"/>
        <v>0</v>
      </c>
      <c r="CN134" s="59">
        <f t="shared" si="854"/>
        <v>0</v>
      </c>
      <c r="CO134" s="60">
        <f t="shared" si="855"/>
        <v>0</v>
      </c>
      <c r="CP134" s="59">
        <f t="shared" si="856"/>
        <v>0</v>
      </c>
      <c r="CQ134" s="57">
        <f t="shared" si="857"/>
        <v>0</v>
      </c>
      <c r="CR134" s="59">
        <f t="shared" si="858"/>
        <v>0</v>
      </c>
      <c r="CS134" s="55">
        <f t="shared" si="859"/>
        <v>0</v>
      </c>
      <c r="CT134" s="59">
        <f t="shared" si="860"/>
        <v>0</v>
      </c>
      <c r="CU134" s="60">
        <f t="shared" si="861"/>
        <v>0</v>
      </c>
      <c r="CV134" s="59">
        <f t="shared" si="862"/>
        <v>0</v>
      </c>
      <c r="CW134" s="60">
        <f t="shared" si="863"/>
        <v>0</v>
      </c>
      <c r="CX134" s="59">
        <f t="shared" si="864"/>
        <v>0</v>
      </c>
      <c r="CY134" s="60">
        <f t="shared" si="865"/>
        <v>0</v>
      </c>
      <c r="CZ134" s="59">
        <f t="shared" si="866"/>
        <v>0</v>
      </c>
      <c r="DA134" s="55">
        <f t="shared" si="867"/>
        <v>0</v>
      </c>
      <c r="DB134" s="59">
        <f t="shared" si="868"/>
        <v>0</v>
      </c>
      <c r="DC134" s="60">
        <f t="shared" si="869"/>
        <v>0</v>
      </c>
      <c r="DD134" s="59">
        <f t="shared" si="870"/>
        <v>0</v>
      </c>
      <c r="DE134" s="60">
        <f t="shared" si="871"/>
        <v>0</v>
      </c>
      <c r="DF134" s="59">
        <f t="shared" si="872"/>
        <v>0</v>
      </c>
      <c r="DG134" s="60">
        <f t="shared" si="873"/>
        <v>0</v>
      </c>
      <c r="DH134" s="59">
        <f t="shared" si="874"/>
        <v>0</v>
      </c>
      <c r="DI134" s="60">
        <f t="shared" si="875"/>
        <v>0</v>
      </c>
      <c r="DJ134" s="59">
        <f t="shared" si="876"/>
        <v>0</v>
      </c>
      <c r="DK134" s="55">
        <f t="shared" si="877"/>
        <v>0</v>
      </c>
      <c r="DL134" s="59">
        <f t="shared" si="878"/>
        <v>0</v>
      </c>
      <c r="DM134" s="60">
        <f t="shared" si="879"/>
        <v>0</v>
      </c>
      <c r="DN134" s="59">
        <f t="shared" si="880"/>
        <v>0</v>
      </c>
      <c r="DO134" s="60">
        <f t="shared" si="881"/>
        <v>0</v>
      </c>
      <c r="DP134" s="59">
        <f t="shared" si="882"/>
        <v>0</v>
      </c>
      <c r="DQ134" s="55">
        <f t="shared" si="883"/>
        <v>0</v>
      </c>
      <c r="DR134" s="59">
        <f t="shared" si="884"/>
        <v>0</v>
      </c>
      <c r="DU134" s="55">
        <v>1</v>
      </c>
      <c r="DV134" s="55">
        <v>0.97</v>
      </c>
      <c r="DW134" s="55">
        <v>0.95</v>
      </c>
      <c r="DX134" s="55">
        <v>0.93</v>
      </c>
      <c r="DY134" s="55">
        <f t="shared" si="792"/>
        <v>0.91</v>
      </c>
      <c r="DZ134" s="55">
        <f t="shared" si="792"/>
        <v>0.89</v>
      </c>
      <c r="EA134" s="55">
        <f t="shared" si="792"/>
        <v>0.87</v>
      </c>
      <c r="EB134" s="55">
        <f t="shared" si="792"/>
        <v>0.85</v>
      </c>
      <c r="EC134" s="55">
        <f t="shared" si="792"/>
        <v>0.83</v>
      </c>
      <c r="ED134" s="55">
        <f t="shared" si="792"/>
        <v>0.80999999999999994</v>
      </c>
      <c r="EE134" s="55">
        <f t="shared" si="792"/>
        <v>0.78999999999999992</v>
      </c>
      <c r="EF134" s="55">
        <f t="shared" si="792"/>
        <v>0.76999999999999991</v>
      </c>
      <c r="EG134" s="55">
        <f t="shared" si="792"/>
        <v>0.74999999999999989</v>
      </c>
      <c r="EH134" s="55">
        <f t="shared" si="792"/>
        <v>0.72999999999999987</v>
      </c>
      <c r="EI134" s="55">
        <f t="shared" si="792"/>
        <v>0.70999999999999985</v>
      </c>
      <c r="EJ134" s="55">
        <f t="shared" si="792"/>
        <v>0.68999999999999984</v>
      </c>
      <c r="EK134" s="55">
        <f t="shared" si="792"/>
        <v>0.66999999999999982</v>
      </c>
      <c r="EL134" s="55">
        <f t="shared" si="792"/>
        <v>0.6499999999999998</v>
      </c>
      <c r="EM134" s="55">
        <f t="shared" si="792"/>
        <v>0.62999999999999978</v>
      </c>
      <c r="EN134" s="55">
        <f t="shared" si="792"/>
        <v>0.60999999999999976</v>
      </c>
      <c r="EO134" s="55">
        <f t="shared" si="792"/>
        <v>0.58999999999999975</v>
      </c>
      <c r="EP134" s="55">
        <f t="shared" si="792"/>
        <v>0.56999999999999973</v>
      </c>
      <c r="ER134" s="55">
        <f t="shared" si="648"/>
        <v>0</v>
      </c>
      <c r="ES134" s="55">
        <f t="shared" si="510"/>
        <v>0</v>
      </c>
      <c r="ET134" s="59">
        <f t="shared" si="885"/>
        <v>0</v>
      </c>
      <c r="EU134" s="55">
        <f t="shared" si="886"/>
        <v>0</v>
      </c>
      <c r="EV134" s="59">
        <f t="shared" si="887"/>
        <v>0</v>
      </c>
      <c r="EW134" s="55">
        <f t="shared" si="888"/>
        <v>0</v>
      </c>
      <c r="EX134" s="59">
        <f t="shared" si="889"/>
        <v>0</v>
      </c>
      <c r="EY134" s="55">
        <f t="shared" si="890"/>
        <v>0</v>
      </c>
      <c r="EZ134" s="59">
        <f t="shared" si="891"/>
        <v>0</v>
      </c>
      <c r="FA134" s="57">
        <f t="shared" si="892"/>
        <v>0</v>
      </c>
      <c r="FB134" s="59">
        <f t="shared" si="893"/>
        <v>0</v>
      </c>
      <c r="FC134" s="55">
        <f t="shared" si="894"/>
        <v>0</v>
      </c>
      <c r="FD134" s="59">
        <f t="shared" si="895"/>
        <v>0</v>
      </c>
      <c r="FE134" s="57">
        <f t="shared" si="896"/>
        <v>0</v>
      </c>
      <c r="FF134" s="59">
        <f t="shared" si="897"/>
        <v>0</v>
      </c>
      <c r="FG134" s="60">
        <f t="shared" si="898"/>
        <v>0</v>
      </c>
      <c r="FH134" s="59">
        <f t="shared" si="899"/>
        <v>0</v>
      </c>
      <c r="FI134" s="57">
        <f t="shared" si="900"/>
        <v>0</v>
      </c>
      <c r="FJ134" s="59">
        <f t="shared" si="901"/>
        <v>0</v>
      </c>
      <c r="FK134" s="55">
        <f t="shared" si="902"/>
        <v>0</v>
      </c>
      <c r="FL134" s="59">
        <f t="shared" si="903"/>
        <v>0</v>
      </c>
      <c r="FM134" s="60">
        <f t="shared" si="904"/>
        <v>0</v>
      </c>
      <c r="FN134" s="59">
        <f t="shared" si="905"/>
        <v>0</v>
      </c>
      <c r="FO134" s="60">
        <f t="shared" si="906"/>
        <v>0</v>
      </c>
      <c r="FP134" s="59">
        <f t="shared" si="907"/>
        <v>0</v>
      </c>
      <c r="FQ134" s="60">
        <f t="shared" si="908"/>
        <v>0</v>
      </c>
      <c r="FR134" s="59">
        <f t="shared" si="909"/>
        <v>0</v>
      </c>
      <c r="FS134" s="55">
        <f t="shared" si="910"/>
        <v>0</v>
      </c>
      <c r="FT134" s="59">
        <f t="shared" si="911"/>
        <v>0</v>
      </c>
      <c r="FU134" s="60">
        <f t="shared" si="912"/>
        <v>0</v>
      </c>
      <c r="FV134" s="59">
        <f t="shared" si="913"/>
        <v>0</v>
      </c>
      <c r="FW134" s="60">
        <f t="shared" si="914"/>
        <v>0</v>
      </c>
      <c r="FX134" s="59">
        <f t="shared" si="915"/>
        <v>0</v>
      </c>
      <c r="FY134" s="60">
        <f t="shared" si="916"/>
        <v>0</v>
      </c>
      <c r="FZ134" s="59">
        <f t="shared" si="917"/>
        <v>0</v>
      </c>
      <c r="GA134" s="60">
        <f t="shared" si="918"/>
        <v>0</v>
      </c>
      <c r="GB134" s="59">
        <f t="shared" si="919"/>
        <v>0</v>
      </c>
      <c r="GC134" s="55">
        <f t="shared" si="920"/>
        <v>0</v>
      </c>
      <c r="GD134" s="59">
        <f t="shared" si="921"/>
        <v>0</v>
      </c>
      <c r="GE134" s="60">
        <f t="shared" si="922"/>
        <v>0</v>
      </c>
      <c r="GF134" s="59">
        <f t="shared" si="923"/>
        <v>0</v>
      </c>
      <c r="GG134" s="60">
        <f t="shared" si="924"/>
        <v>0</v>
      </c>
      <c r="GH134" s="59">
        <f t="shared" si="925"/>
        <v>0</v>
      </c>
      <c r="GI134" s="55">
        <f t="shared" si="926"/>
        <v>0</v>
      </c>
      <c r="GJ134" s="59">
        <f t="shared" si="927"/>
        <v>0</v>
      </c>
      <c r="GK134" s="55"/>
      <c r="GL134" s="55"/>
      <c r="GM134" s="55">
        <v>1</v>
      </c>
      <c r="GN134" s="55">
        <v>0.97</v>
      </c>
      <c r="GO134" s="55">
        <v>0.95</v>
      </c>
      <c r="GP134" s="55">
        <v>0.93</v>
      </c>
      <c r="GQ134" s="55">
        <f t="shared" si="793"/>
        <v>0.91</v>
      </c>
      <c r="GR134" s="55">
        <f t="shared" si="793"/>
        <v>0.89</v>
      </c>
      <c r="GS134" s="55">
        <f t="shared" si="793"/>
        <v>0.87</v>
      </c>
      <c r="GT134" s="55">
        <f t="shared" si="793"/>
        <v>0.85</v>
      </c>
      <c r="GU134" s="55">
        <f t="shared" si="793"/>
        <v>0.83</v>
      </c>
      <c r="GV134" s="55">
        <f t="shared" si="793"/>
        <v>0.80999999999999994</v>
      </c>
      <c r="GW134" s="55">
        <f t="shared" si="793"/>
        <v>0.78999999999999992</v>
      </c>
      <c r="GX134" s="55">
        <f t="shared" si="793"/>
        <v>0.76999999999999991</v>
      </c>
      <c r="GY134" s="55">
        <f t="shared" si="793"/>
        <v>0.74999999999999989</v>
      </c>
      <c r="GZ134" s="55">
        <f t="shared" si="793"/>
        <v>0.72999999999999987</v>
      </c>
      <c r="HA134" s="55">
        <f t="shared" si="793"/>
        <v>0.70999999999999985</v>
      </c>
      <c r="HB134" s="55">
        <f t="shared" si="793"/>
        <v>0.68999999999999984</v>
      </c>
      <c r="HC134" s="55">
        <f t="shared" si="793"/>
        <v>0.66999999999999982</v>
      </c>
      <c r="HD134" s="55">
        <f t="shared" si="793"/>
        <v>0.6499999999999998</v>
      </c>
      <c r="HE134" s="55">
        <f t="shared" si="793"/>
        <v>0.62999999999999978</v>
      </c>
      <c r="HF134" s="55">
        <f t="shared" si="793"/>
        <v>0.60999999999999976</v>
      </c>
      <c r="HG134" s="55">
        <f t="shared" si="793"/>
        <v>0.58999999999999975</v>
      </c>
      <c r="HH134" s="55">
        <f t="shared" si="793"/>
        <v>0.56999999999999973</v>
      </c>
    </row>
    <row r="135" spans="1:216" x14ac:dyDescent="0.3">
      <c r="A135" s="2">
        <v>6</v>
      </c>
      <c r="C135" s="38" t="s">
        <v>59</v>
      </c>
      <c r="D135" s="42">
        <v>0</v>
      </c>
      <c r="E135" s="71">
        <f t="shared" si="798"/>
        <v>0</v>
      </c>
      <c r="H135" s="55">
        <f t="shared" si="505"/>
        <v>0</v>
      </c>
      <c r="I135" s="55">
        <f t="shared" si="506"/>
        <v>0</v>
      </c>
      <c r="J135" s="59">
        <f t="shared" si="507"/>
        <v>0</v>
      </c>
      <c r="K135" s="55">
        <f t="shared" si="799"/>
        <v>0</v>
      </c>
      <c r="L135" s="59">
        <f t="shared" si="800"/>
        <v>0</v>
      </c>
      <c r="M135" s="55">
        <f t="shared" si="801"/>
        <v>0</v>
      </c>
      <c r="N135" s="59">
        <f t="shared" si="802"/>
        <v>0</v>
      </c>
      <c r="O135" s="55">
        <f t="shared" si="803"/>
        <v>0</v>
      </c>
      <c r="P135" s="59">
        <f t="shared" si="804"/>
        <v>0</v>
      </c>
      <c r="Q135" s="57">
        <f t="shared" si="805"/>
        <v>0</v>
      </c>
      <c r="R135" s="59">
        <f t="shared" si="806"/>
        <v>0</v>
      </c>
      <c r="S135" s="55">
        <f t="shared" si="807"/>
        <v>0</v>
      </c>
      <c r="T135" s="59">
        <f t="shared" si="808"/>
        <v>0</v>
      </c>
      <c r="U135" s="57">
        <f t="shared" si="809"/>
        <v>0</v>
      </c>
      <c r="V135" s="59">
        <f t="shared" si="810"/>
        <v>0</v>
      </c>
      <c r="W135" s="60">
        <f t="shared" si="811"/>
        <v>0</v>
      </c>
      <c r="X135" s="59">
        <f t="shared" si="812"/>
        <v>0</v>
      </c>
      <c r="Y135" s="57">
        <f t="shared" si="813"/>
        <v>0</v>
      </c>
      <c r="Z135" s="59">
        <f t="shared" si="814"/>
        <v>0</v>
      </c>
      <c r="AA135" s="55">
        <f t="shared" si="815"/>
        <v>0</v>
      </c>
      <c r="AB135" s="59">
        <f t="shared" si="816"/>
        <v>0</v>
      </c>
      <c r="AC135" s="60">
        <f t="shared" si="817"/>
        <v>0</v>
      </c>
      <c r="AD135" s="59">
        <f t="shared" si="818"/>
        <v>0</v>
      </c>
      <c r="AE135" s="60">
        <f t="shared" si="819"/>
        <v>0</v>
      </c>
      <c r="AF135" s="59">
        <f t="shared" si="820"/>
        <v>0</v>
      </c>
      <c r="AG135" s="60">
        <f t="shared" si="821"/>
        <v>0</v>
      </c>
      <c r="AH135" s="59">
        <f t="shared" si="822"/>
        <v>0</v>
      </c>
      <c r="AI135" s="55">
        <f t="shared" si="823"/>
        <v>0</v>
      </c>
      <c r="AJ135" s="59">
        <f t="shared" si="824"/>
        <v>0</v>
      </c>
      <c r="AK135" s="60">
        <f t="shared" si="825"/>
        <v>0</v>
      </c>
      <c r="AL135" s="59">
        <f t="shared" si="826"/>
        <v>0</v>
      </c>
      <c r="AM135" s="60">
        <f t="shared" si="827"/>
        <v>0</v>
      </c>
      <c r="AN135" s="59">
        <f t="shared" si="828"/>
        <v>0</v>
      </c>
      <c r="AO135" s="60">
        <f t="shared" si="829"/>
        <v>0</v>
      </c>
      <c r="AP135" s="59">
        <f t="shared" si="830"/>
        <v>0</v>
      </c>
      <c r="AQ135" s="60">
        <f t="shared" si="831"/>
        <v>0</v>
      </c>
      <c r="AR135" s="59">
        <f t="shared" si="832"/>
        <v>0</v>
      </c>
      <c r="AS135" s="55">
        <f t="shared" si="833"/>
        <v>0</v>
      </c>
      <c r="AT135" s="59">
        <f t="shared" si="834"/>
        <v>0</v>
      </c>
      <c r="AU135" s="60">
        <f t="shared" si="835"/>
        <v>0</v>
      </c>
      <c r="AV135" s="59">
        <f t="shared" si="836"/>
        <v>0</v>
      </c>
      <c r="AW135" s="60">
        <f t="shared" si="837"/>
        <v>0</v>
      </c>
      <c r="AX135" s="59">
        <f t="shared" si="838"/>
        <v>0</v>
      </c>
      <c r="AY135" s="55">
        <f t="shared" si="839"/>
        <v>0</v>
      </c>
      <c r="AZ135" s="59">
        <f t="shared" si="840"/>
        <v>0</v>
      </c>
      <c r="BC135" s="55">
        <v>1</v>
      </c>
      <c r="BD135" s="55">
        <v>0.97</v>
      </c>
      <c r="BE135" s="55">
        <v>0.95</v>
      </c>
      <c r="BF135" s="55">
        <v>0.93</v>
      </c>
      <c r="BG135" s="55">
        <f t="shared" si="841"/>
        <v>0.91</v>
      </c>
      <c r="BH135" s="55">
        <f t="shared" si="841"/>
        <v>0.89</v>
      </c>
      <c r="BI135" s="55">
        <f t="shared" si="841"/>
        <v>0.87</v>
      </c>
      <c r="BJ135" s="55">
        <f t="shared" si="841"/>
        <v>0.85</v>
      </c>
      <c r="BK135" s="55">
        <f t="shared" si="841"/>
        <v>0.83</v>
      </c>
      <c r="BL135" s="55">
        <f t="shared" si="841"/>
        <v>0.80999999999999994</v>
      </c>
      <c r="BM135" s="55">
        <f t="shared" si="841"/>
        <v>0.78999999999999992</v>
      </c>
      <c r="BN135" s="55">
        <f t="shared" si="841"/>
        <v>0.76999999999999991</v>
      </c>
      <c r="BO135" s="55">
        <f t="shared" si="841"/>
        <v>0.74999999999999989</v>
      </c>
      <c r="BP135" s="55">
        <f t="shared" si="841"/>
        <v>0.72999999999999987</v>
      </c>
      <c r="BQ135" s="55">
        <f t="shared" si="841"/>
        <v>0.70999999999999985</v>
      </c>
      <c r="BR135" s="55">
        <f t="shared" si="841"/>
        <v>0.68999999999999984</v>
      </c>
      <c r="BS135" s="55">
        <f t="shared" si="841"/>
        <v>0.66999999999999982</v>
      </c>
      <c r="BT135" s="55">
        <f t="shared" si="841"/>
        <v>0.6499999999999998</v>
      </c>
      <c r="BU135" s="55">
        <f t="shared" si="841"/>
        <v>0.62999999999999978</v>
      </c>
      <c r="BV135" s="55">
        <f t="shared" si="841"/>
        <v>0.60999999999999976</v>
      </c>
      <c r="BW135" s="55">
        <f t="shared" si="841"/>
        <v>0.58999999999999975</v>
      </c>
      <c r="BX135" s="55">
        <f t="shared" si="841"/>
        <v>0.56999999999999973</v>
      </c>
      <c r="BZ135" s="55">
        <f t="shared" si="508"/>
        <v>0</v>
      </c>
      <c r="CA135" s="55">
        <f t="shared" si="509"/>
        <v>0</v>
      </c>
      <c r="CB135" s="59">
        <f t="shared" si="842"/>
        <v>0</v>
      </c>
      <c r="CC135" s="55">
        <f t="shared" si="843"/>
        <v>0</v>
      </c>
      <c r="CD135" s="59">
        <f t="shared" si="844"/>
        <v>0</v>
      </c>
      <c r="CE135" s="55">
        <f t="shared" si="845"/>
        <v>0</v>
      </c>
      <c r="CF135" s="59">
        <f t="shared" si="846"/>
        <v>0</v>
      </c>
      <c r="CG135" s="55">
        <f t="shared" si="847"/>
        <v>0</v>
      </c>
      <c r="CH135" s="59">
        <f t="shared" si="848"/>
        <v>0</v>
      </c>
      <c r="CI135" s="57">
        <f t="shared" si="849"/>
        <v>0</v>
      </c>
      <c r="CJ135" s="59">
        <f t="shared" si="850"/>
        <v>0</v>
      </c>
      <c r="CK135" s="55">
        <f t="shared" si="851"/>
        <v>0</v>
      </c>
      <c r="CL135" s="59">
        <f t="shared" si="852"/>
        <v>0</v>
      </c>
      <c r="CM135" s="57">
        <f t="shared" si="853"/>
        <v>0</v>
      </c>
      <c r="CN135" s="59">
        <f t="shared" si="854"/>
        <v>0</v>
      </c>
      <c r="CO135" s="60">
        <f t="shared" si="855"/>
        <v>0</v>
      </c>
      <c r="CP135" s="59">
        <f t="shared" si="856"/>
        <v>0</v>
      </c>
      <c r="CQ135" s="57">
        <f t="shared" si="857"/>
        <v>0</v>
      </c>
      <c r="CR135" s="59">
        <f t="shared" si="858"/>
        <v>0</v>
      </c>
      <c r="CS135" s="55">
        <f t="shared" si="859"/>
        <v>0</v>
      </c>
      <c r="CT135" s="59">
        <f t="shared" si="860"/>
        <v>0</v>
      </c>
      <c r="CU135" s="60">
        <f t="shared" si="861"/>
        <v>0</v>
      </c>
      <c r="CV135" s="59">
        <f t="shared" si="862"/>
        <v>0</v>
      </c>
      <c r="CW135" s="60">
        <f t="shared" si="863"/>
        <v>0</v>
      </c>
      <c r="CX135" s="59">
        <f t="shared" si="864"/>
        <v>0</v>
      </c>
      <c r="CY135" s="60">
        <f t="shared" si="865"/>
        <v>0</v>
      </c>
      <c r="CZ135" s="59">
        <f t="shared" si="866"/>
        <v>0</v>
      </c>
      <c r="DA135" s="55">
        <f t="shared" si="867"/>
        <v>0</v>
      </c>
      <c r="DB135" s="59">
        <f t="shared" si="868"/>
        <v>0</v>
      </c>
      <c r="DC135" s="60">
        <f t="shared" si="869"/>
        <v>0</v>
      </c>
      <c r="DD135" s="59">
        <f t="shared" si="870"/>
        <v>0</v>
      </c>
      <c r="DE135" s="60">
        <f t="shared" si="871"/>
        <v>0</v>
      </c>
      <c r="DF135" s="59">
        <f t="shared" si="872"/>
        <v>0</v>
      </c>
      <c r="DG135" s="60">
        <f t="shared" si="873"/>
        <v>0</v>
      </c>
      <c r="DH135" s="59">
        <f t="shared" si="874"/>
        <v>0</v>
      </c>
      <c r="DI135" s="60">
        <f t="shared" si="875"/>
        <v>0</v>
      </c>
      <c r="DJ135" s="59">
        <f t="shared" si="876"/>
        <v>0</v>
      </c>
      <c r="DK135" s="55">
        <f t="shared" si="877"/>
        <v>0</v>
      </c>
      <c r="DL135" s="59">
        <f t="shared" si="878"/>
        <v>0</v>
      </c>
      <c r="DM135" s="60">
        <f t="shared" si="879"/>
        <v>0</v>
      </c>
      <c r="DN135" s="59">
        <f t="shared" si="880"/>
        <v>0</v>
      </c>
      <c r="DO135" s="60">
        <f t="shared" si="881"/>
        <v>0</v>
      </c>
      <c r="DP135" s="59">
        <f t="shared" si="882"/>
        <v>0</v>
      </c>
      <c r="DQ135" s="55">
        <f t="shared" si="883"/>
        <v>0</v>
      </c>
      <c r="DR135" s="59">
        <f t="shared" si="884"/>
        <v>0</v>
      </c>
      <c r="DU135" s="55">
        <v>1</v>
      </c>
      <c r="DV135" s="55">
        <v>0.97</v>
      </c>
      <c r="DW135" s="55">
        <v>0.95</v>
      </c>
      <c r="DX135" s="55">
        <v>0.93</v>
      </c>
      <c r="DY135" s="55">
        <f t="shared" si="792"/>
        <v>0.91</v>
      </c>
      <c r="DZ135" s="55">
        <f t="shared" si="792"/>
        <v>0.89</v>
      </c>
      <c r="EA135" s="55">
        <f t="shared" si="792"/>
        <v>0.87</v>
      </c>
      <c r="EB135" s="55">
        <f t="shared" si="792"/>
        <v>0.85</v>
      </c>
      <c r="EC135" s="55">
        <f t="shared" si="792"/>
        <v>0.83</v>
      </c>
      <c r="ED135" s="55">
        <f t="shared" si="792"/>
        <v>0.80999999999999994</v>
      </c>
      <c r="EE135" s="55">
        <f t="shared" si="792"/>
        <v>0.78999999999999992</v>
      </c>
      <c r="EF135" s="55">
        <f t="shared" si="792"/>
        <v>0.76999999999999991</v>
      </c>
      <c r="EG135" s="55">
        <f t="shared" si="792"/>
        <v>0.74999999999999989</v>
      </c>
      <c r="EH135" s="55">
        <f t="shared" si="792"/>
        <v>0.72999999999999987</v>
      </c>
      <c r="EI135" s="55">
        <f t="shared" si="792"/>
        <v>0.70999999999999985</v>
      </c>
      <c r="EJ135" s="55">
        <f t="shared" si="792"/>
        <v>0.68999999999999984</v>
      </c>
      <c r="EK135" s="55">
        <f t="shared" si="792"/>
        <v>0.66999999999999982</v>
      </c>
      <c r="EL135" s="55">
        <f t="shared" si="792"/>
        <v>0.6499999999999998</v>
      </c>
      <c r="EM135" s="55">
        <f t="shared" si="792"/>
        <v>0.62999999999999978</v>
      </c>
      <c r="EN135" s="55">
        <f t="shared" si="792"/>
        <v>0.60999999999999976</v>
      </c>
      <c r="EO135" s="55">
        <f t="shared" si="792"/>
        <v>0.58999999999999975</v>
      </c>
      <c r="EP135" s="55">
        <f t="shared" si="792"/>
        <v>0.56999999999999973</v>
      </c>
      <c r="ER135" s="55">
        <f t="shared" si="648"/>
        <v>0</v>
      </c>
      <c r="ES135" s="55">
        <f t="shared" si="510"/>
        <v>0</v>
      </c>
      <c r="ET135" s="59">
        <f t="shared" si="885"/>
        <v>0</v>
      </c>
      <c r="EU135" s="55">
        <f t="shared" si="886"/>
        <v>0</v>
      </c>
      <c r="EV135" s="59">
        <f t="shared" si="887"/>
        <v>0</v>
      </c>
      <c r="EW135" s="55">
        <f t="shared" si="888"/>
        <v>0</v>
      </c>
      <c r="EX135" s="59">
        <f t="shared" si="889"/>
        <v>0</v>
      </c>
      <c r="EY135" s="55">
        <f t="shared" si="890"/>
        <v>0</v>
      </c>
      <c r="EZ135" s="59">
        <f t="shared" si="891"/>
        <v>0</v>
      </c>
      <c r="FA135" s="57">
        <f t="shared" si="892"/>
        <v>0</v>
      </c>
      <c r="FB135" s="59">
        <f t="shared" si="893"/>
        <v>0</v>
      </c>
      <c r="FC135" s="55">
        <f t="shared" si="894"/>
        <v>0</v>
      </c>
      <c r="FD135" s="59">
        <f t="shared" si="895"/>
        <v>0</v>
      </c>
      <c r="FE135" s="57">
        <f t="shared" si="896"/>
        <v>0</v>
      </c>
      <c r="FF135" s="59">
        <f t="shared" si="897"/>
        <v>0</v>
      </c>
      <c r="FG135" s="60">
        <f t="shared" si="898"/>
        <v>0</v>
      </c>
      <c r="FH135" s="59">
        <f t="shared" si="899"/>
        <v>0</v>
      </c>
      <c r="FI135" s="57">
        <f t="shared" si="900"/>
        <v>0</v>
      </c>
      <c r="FJ135" s="59">
        <f t="shared" si="901"/>
        <v>0</v>
      </c>
      <c r="FK135" s="55">
        <f t="shared" si="902"/>
        <v>0</v>
      </c>
      <c r="FL135" s="59">
        <f t="shared" si="903"/>
        <v>0</v>
      </c>
      <c r="FM135" s="60">
        <f t="shared" si="904"/>
        <v>0</v>
      </c>
      <c r="FN135" s="59">
        <f t="shared" si="905"/>
        <v>0</v>
      </c>
      <c r="FO135" s="60">
        <f t="shared" si="906"/>
        <v>0</v>
      </c>
      <c r="FP135" s="59">
        <f t="shared" si="907"/>
        <v>0</v>
      </c>
      <c r="FQ135" s="60">
        <f t="shared" si="908"/>
        <v>0</v>
      </c>
      <c r="FR135" s="59">
        <f t="shared" si="909"/>
        <v>0</v>
      </c>
      <c r="FS135" s="55">
        <f t="shared" si="910"/>
        <v>0</v>
      </c>
      <c r="FT135" s="59">
        <f t="shared" si="911"/>
        <v>0</v>
      </c>
      <c r="FU135" s="60">
        <f t="shared" si="912"/>
        <v>0</v>
      </c>
      <c r="FV135" s="59">
        <f t="shared" si="913"/>
        <v>0</v>
      </c>
      <c r="FW135" s="60">
        <f t="shared" si="914"/>
        <v>0</v>
      </c>
      <c r="FX135" s="59">
        <f t="shared" si="915"/>
        <v>0</v>
      </c>
      <c r="FY135" s="60">
        <f t="shared" si="916"/>
        <v>0</v>
      </c>
      <c r="FZ135" s="59">
        <f t="shared" si="917"/>
        <v>0</v>
      </c>
      <c r="GA135" s="60">
        <f t="shared" si="918"/>
        <v>0</v>
      </c>
      <c r="GB135" s="59">
        <f t="shared" si="919"/>
        <v>0</v>
      </c>
      <c r="GC135" s="55">
        <f t="shared" si="920"/>
        <v>0</v>
      </c>
      <c r="GD135" s="59">
        <f t="shared" si="921"/>
        <v>0</v>
      </c>
      <c r="GE135" s="60">
        <f t="shared" si="922"/>
        <v>0</v>
      </c>
      <c r="GF135" s="59">
        <f t="shared" si="923"/>
        <v>0</v>
      </c>
      <c r="GG135" s="60">
        <f t="shared" si="924"/>
        <v>0</v>
      </c>
      <c r="GH135" s="59">
        <f t="shared" si="925"/>
        <v>0</v>
      </c>
      <c r="GI135" s="55">
        <f t="shared" si="926"/>
        <v>0</v>
      </c>
      <c r="GJ135" s="59">
        <f t="shared" si="927"/>
        <v>0</v>
      </c>
      <c r="GK135" s="55"/>
      <c r="GL135" s="55"/>
      <c r="GM135" s="55">
        <v>1</v>
      </c>
      <c r="GN135" s="55">
        <v>0.97</v>
      </c>
      <c r="GO135" s="55">
        <v>0.95</v>
      </c>
      <c r="GP135" s="55">
        <v>0.93</v>
      </c>
      <c r="GQ135" s="55">
        <f t="shared" si="793"/>
        <v>0.91</v>
      </c>
      <c r="GR135" s="55">
        <f t="shared" si="793"/>
        <v>0.89</v>
      </c>
      <c r="GS135" s="55">
        <f t="shared" si="793"/>
        <v>0.87</v>
      </c>
      <c r="GT135" s="55">
        <f t="shared" si="793"/>
        <v>0.85</v>
      </c>
      <c r="GU135" s="55">
        <f t="shared" si="793"/>
        <v>0.83</v>
      </c>
      <c r="GV135" s="55">
        <f t="shared" si="793"/>
        <v>0.80999999999999994</v>
      </c>
      <c r="GW135" s="55">
        <f t="shared" si="793"/>
        <v>0.78999999999999992</v>
      </c>
      <c r="GX135" s="55">
        <f t="shared" si="793"/>
        <v>0.76999999999999991</v>
      </c>
      <c r="GY135" s="55">
        <f t="shared" si="793"/>
        <v>0.74999999999999989</v>
      </c>
      <c r="GZ135" s="55">
        <f t="shared" si="793"/>
        <v>0.72999999999999987</v>
      </c>
      <c r="HA135" s="55">
        <f t="shared" si="793"/>
        <v>0.70999999999999985</v>
      </c>
      <c r="HB135" s="55">
        <f t="shared" si="793"/>
        <v>0.68999999999999984</v>
      </c>
      <c r="HC135" s="55">
        <f t="shared" si="793"/>
        <v>0.66999999999999982</v>
      </c>
      <c r="HD135" s="55">
        <f t="shared" si="793"/>
        <v>0.6499999999999998</v>
      </c>
      <c r="HE135" s="55">
        <f t="shared" si="793"/>
        <v>0.62999999999999978</v>
      </c>
      <c r="HF135" s="55">
        <f t="shared" si="793"/>
        <v>0.60999999999999976</v>
      </c>
      <c r="HG135" s="55">
        <f t="shared" si="793"/>
        <v>0.58999999999999975</v>
      </c>
      <c r="HH135" s="55">
        <f t="shared" si="793"/>
        <v>0.56999999999999973</v>
      </c>
    </row>
    <row r="136" spans="1:216" x14ac:dyDescent="0.3">
      <c r="A136" s="2">
        <v>7</v>
      </c>
      <c r="C136" s="38" t="s">
        <v>58</v>
      </c>
      <c r="D136" s="42">
        <v>0</v>
      </c>
      <c r="E136" s="71">
        <f t="shared" si="798"/>
        <v>0</v>
      </c>
      <c r="H136" s="55">
        <f t="shared" si="505"/>
        <v>0</v>
      </c>
      <c r="I136" s="55">
        <f t="shared" si="506"/>
        <v>0</v>
      </c>
      <c r="J136" s="59">
        <f t="shared" si="507"/>
        <v>0</v>
      </c>
      <c r="K136" s="55">
        <f t="shared" si="799"/>
        <v>0</v>
      </c>
      <c r="L136" s="59">
        <f t="shared" si="800"/>
        <v>0</v>
      </c>
      <c r="M136" s="55">
        <f t="shared" si="801"/>
        <v>0</v>
      </c>
      <c r="N136" s="59">
        <f t="shared" si="802"/>
        <v>0</v>
      </c>
      <c r="O136" s="55">
        <f t="shared" si="803"/>
        <v>0</v>
      </c>
      <c r="P136" s="59">
        <f t="shared" si="804"/>
        <v>0</v>
      </c>
      <c r="Q136" s="57">
        <f t="shared" si="805"/>
        <v>0</v>
      </c>
      <c r="R136" s="59">
        <f t="shared" si="806"/>
        <v>0</v>
      </c>
      <c r="S136" s="55">
        <f t="shared" si="807"/>
        <v>0</v>
      </c>
      <c r="T136" s="59">
        <f t="shared" si="808"/>
        <v>0</v>
      </c>
      <c r="U136" s="57">
        <f t="shared" si="809"/>
        <v>0</v>
      </c>
      <c r="V136" s="59">
        <f t="shared" si="810"/>
        <v>0</v>
      </c>
      <c r="W136" s="60">
        <f t="shared" si="811"/>
        <v>0</v>
      </c>
      <c r="X136" s="59">
        <f t="shared" si="812"/>
        <v>0</v>
      </c>
      <c r="Y136" s="57">
        <f t="shared" si="813"/>
        <v>0</v>
      </c>
      <c r="Z136" s="59">
        <f t="shared" si="814"/>
        <v>0</v>
      </c>
      <c r="AA136" s="55">
        <f t="shared" si="815"/>
        <v>0</v>
      </c>
      <c r="AB136" s="59">
        <f t="shared" si="816"/>
        <v>0</v>
      </c>
      <c r="AC136" s="60">
        <f t="shared" si="817"/>
        <v>0</v>
      </c>
      <c r="AD136" s="59">
        <f t="shared" si="818"/>
        <v>0</v>
      </c>
      <c r="AE136" s="60">
        <f t="shared" si="819"/>
        <v>0</v>
      </c>
      <c r="AF136" s="59">
        <f t="shared" si="820"/>
        <v>0</v>
      </c>
      <c r="AG136" s="60">
        <f t="shared" si="821"/>
        <v>0</v>
      </c>
      <c r="AH136" s="59">
        <f t="shared" si="822"/>
        <v>0</v>
      </c>
      <c r="AI136" s="55">
        <f t="shared" si="823"/>
        <v>0</v>
      </c>
      <c r="AJ136" s="59">
        <f t="shared" si="824"/>
        <v>0</v>
      </c>
      <c r="AK136" s="60">
        <f t="shared" si="825"/>
        <v>0</v>
      </c>
      <c r="AL136" s="59">
        <f t="shared" si="826"/>
        <v>0</v>
      </c>
      <c r="AM136" s="60">
        <f t="shared" si="827"/>
        <v>0</v>
      </c>
      <c r="AN136" s="59">
        <f t="shared" si="828"/>
        <v>0</v>
      </c>
      <c r="AO136" s="60">
        <f t="shared" si="829"/>
        <v>0</v>
      </c>
      <c r="AP136" s="59">
        <f t="shared" si="830"/>
        <v>0</v>
      </c>
      <c r="AQ136" s="60">
        <f t="shared" si="831"/>
        <v>0</v>
      </c>
      <c r="AR136" s="59">
        <f t="shared" si="832"/>
        <v>0</v>
      </c>
      <c r="AS136" s="55">
        <f t="shared" si="833"/>
        <v>0</v>
      </c>
      <c r="AT136" s="59">
        <f t="shared" si="834"/>
        <v>0</v>
      </c>
      <c r="AU136" s="60">
        <f t="shared" si="835"/>
        <v>0</v>
      </c>
      <c r="AV136" s="59">
        <f t="shared" si="836"/>
        <v>0</v>
      </c>
      <c r="AW136" s="60">
        <f t="shared" si="837"/>
        <v>0</v>
      </c>
      <c r="AX136" s="59">
        <f t="shared" si="838"/>
        <v>0</v>
      </c>
      <c r="AY136" s="55">
        <f t="shared" si="839"/>
        <v>0</v>
      </c>
      <c r="AZ136" s="59">
        <f t="shared" si="840"/>
        <v>0</v>
      </c>
      <c r="BC136" s="55">
        <v>1</v>
      </c>
      <c r="BD136" s="55">
        <v>0.97</v>
      </c>
      <c r="BE136" s="55">
        <v>0.95</v>
      </c>
      <c r="BF136" s="55">
        <v>0.93</v>
      </c>
      <c r="BG136" s="55">
        <f t="shared" si="841"/>
        <v>0.91</v>
      </c>
      <c r="BH136" s="55">
        <f t="shared" si="841"/>
        <v>0.89</v>
      </c>
      <c r="BI136" s="55">
        <f t="shared" si="841"/>
        <v>0.87</v>
      </c>
      <c r="BJ136" s="55">
        <f t="shared" si="841"/>
        <v>0.85</v>
      </c>
      <c r="BK136" s="55">
        <f t="shared" si="841"/>
        <v>0.83</v>
      </c>
      <c r="BL136" s="55">
        <f t="shared" si="841"/>
        <v>0.80999999999999994</v>
      </c>
      <c r="BM136" s="55">
        <f t="shared" si="841"/>
        <v>0.78999999999999992</v>
      </c>
      <c r="BN136" s="55">
        <f t="shared" si="841"/>
        <v>0.76999999999999991</v>
      </c>
      <c r="BO136" s="55">
        <f t="shared" si="841"/>
        <v>0.74999999999999989</v>
      </c>
      <c r="BP136" s="55">
        <f t="shared" si="841"/>
        <v>0.72999999999999987</v>
      </c>
      <c r="BQ136" s="55">
        <f t="shared" si="841"/>
        <v>0.70999999999999985</v>
      </c>
      <c r="BR136" s="55">
        <f t="shared" si="841"/>
        <v>0.68999999999999984</v>
      </c>
      <c r="BS136" s="55">
        <f t="shared" si="841"/>
        <v>0.66999999999999982</v>
      </c>
      <c r="BT136" s="55">
        <f t="shared" si="841"/>
        <v>0.6499999999999998</v>
      </c>
      <c r="BU136" s="55">
        <f t="shared" si="841"/>
        <v>0.62999999999999978</v>
      </c>
      <c r="BV136" s="55">
        <f t="shared" si="841"/>
        <v>0.60999999999999976</v>
      </c>
      <c r="BW136" s="55">
        <f t="shared" si="841"/>
        <v>0.58999999999999975</v>
      </c>
      <c r="BX136" s="55">
        <f t="shared" si="841"/>
        <v>0.56999999999999973</v>
      </c>
      <c r="BZ136" s="55">
        <f t="shared" si="508"/>
        <v>0</v>
      </c>
      <c r="CA136" s="55">
        <f t="shared" si="509"/>
        <v>0</v>
      </c>
      <c r="CB136" s="59">
        <f t="shared" si="842"/>
        <v>0</v>
      </c>
      <c r="CC136" s="55">
        <f t="shared" si="843"/>
        <v>0</v>
      </c>
      <c r="CD136" s="59">
        <f t="shared" si="844"/>
        <v>0</v>
      </c>
      <c r="CE136" s="55">
        <f t="shared" si="845"/>
        <v>0</v>
      </c>
      <c r="CF136" s="59">
        <f t="shared" si="846"/>
        <v>0</v>
      </c>
      <c r="CG136" s="55">
        <f t="shared" si="847"/>
        <v>0</v>
      </c>
      <c r="CH136" s="59">
        <f t="shared" si="848"/>
        <v>0</v>
      </c>
      <c r="CI136" s="57">
        <f t="shared" si="849"/>
        <v>0</v>
      </c>
      <c r="CJ136" s="59">
        <f t="shared" si="850"/>
        <v>0</v>
      </c>
      <c r="CK136" s="55">
        <f t="shared" si="851"/>
        <v>0</v>
      </c>
      <c r="CL136" s="59">
        <f t="shared" si="852"/>
        <v>0</v>
      </c>
      <c r="CM136" s="57">
        <f t="shared" si="853"/>
        <v>0</v>
      </c>
      <c r="CN136" s="59">
        <f t="shared" si="854"/>
        <v>0</v>
      </c>
      <c r="CO136" s="60">
        <f t="shared" si="855"/>
        <v>0</v>
      </c>
      <c r="CP136" s="59">
        <f t="shared" si="856"/>
        <v>0</v>
      </c>
      <c r="CQ136" s="57">
        <f t="shared" si="857"/>
        <v>0</v>
      </c>
      <c r="CR136" s="59">
        <f t="shared" si="858"/>
        <v>0</v>
      </c>
      <c r="CS136" s="55">
        <f t="shared" si="859"/>
        <v>0</v>
      </c>
      <c r="CT136" s="59">
        <f t="shared" si="860"/>
        <v>0</v>
      </c>
      <c r="CU136" s="60">
        <f t="shared" si="861"/>
        <v>0</v>
      </c>
      <c r="CV136" s="59">
        <f t="shared" si="862"/>
        <v>0</v>
      </c>
      <c r="CW136" s="60">
        <f t="shared" si="863"/>
        <v>0</v>
      </c>
      <c r="CX136" s="59">
        <f t="shared" si="864"/>
        <v>0</v>
      </c>
      <c r="CY136" s="60">
        <f t="shared" si="865"/>
        <v>0</v>
      </c>
      <c r="CZ136" s="59">
        <f t="shared" si="866"/>
        <v>0</v>
      </c>
      <c r="DA136" s="55">
        <f t="shared" si="867"/>
        <v>0</v>
      </c>
      <c r="DB136" s="59">
        <f t="shared" si="868"/>
        <v>0</v>
      </c>
      <c r="DC136" s="60">
        <f t="shared" si="869"/>
        <v>0</v>
      </c>
      <c r="DD136" s="59">
        <f t="shared" si="870"/>
        <v>0</v>
      </c>
      <c r="DE136" s="60">
        <f t="shared" si="871"/>
        <v>0</v>
      </c>
      <c r="DF136" s="59">
        <f t="shared" si="872"/>
        <v>0</v>
      </c>
      <c r="DG136" s="60">
        <f t="shared" si="873"/>
        <v>0</v>
      </c>
      <c r="DH136" s="59">
        <f t="shared" si="874"/>
        <v>0</v>
      </c>
      <c r="DI136" s="60">
        <f t="shared" si="875"/>
        <v>0</v>
      </c>
      <c r="DJ136" s="59">
        <f t="shared" si="876"/>
        <v>0</v>
      </c>
      <c r="DK136" s="55">
        <f t="shared" si="877"/>
        <v>0</v>
      </c>
      <c r="DL136" s="59">
        <f t="shared" si="878"/>
        <v>0</v>
      </c>
      <c r="DM136" s="60">
        <f t="shared" si="879"/>
        <v>0</v>
      </c>
      <c r="DN136" s="59">
        <f t="shared" si="880"/>
        <v>0</v>
      </c>
      <c r="DO136" s="60">
        <f t="shared" si="881"/>
        <v>0</v>
      </c>
      <c r="DP136" s="59">
        <f t="shared" si="882"/>
        <v>0</v>
      </c>
      <c r="DQ136" s="55">
        <f t="shared" si="883"/>
        <v>0</v>
      </c>
      <c r="DR136" s="59">
        <f t="shared" si="884"/>
        <v>0</v>
      </c>
      <c r="DU136" s="55">
        <v>1</v>
      </c>
      <c r="DV136" s="55">
        <v>0.97</v>
      </c>
      <c r="DW136" s="55">
        <v>0.95</v>
      </c>
      <c r="DX136" s="55">
        <v>0.93</v>
      </c>
      <c r="DY136" s="55">
        <f t="shared" si="792"/>
        <v>0.91</v>
      </c>
      <c r="DZ136" s="55">
        <f t="shared" si="792"/>
        <v>0.89</v>
      </c>
      <c r="EA136" s="55">
        <f t="shared" si="792"/>
        <v>0.87</v>
      </c>
      <c r="EB136" s="55">
        <f t="shared" si="792"/>
        <v>0.85</v>
      </c>
      <c r="EC136" s="55">
        <f t="shared" si="792"/>
        <v>0.83</v>
      </c>
      <c r="ED136" s="55">
        <f t="shared" si="792"/>
        <v>0.80999999999999994</v>
      </c>
      <c r="EE136" s="55">
        <f t="shared" si="792"/>
        <v>0.78999999999999992</v>
      </c>
      <c r="EF136" s="55">
        <f t="shared" si="792"/>
        <v>0.76999999999999991</v>
      </c>
      <c r="EG136" s="55">
        <f t="shared" si="792"/>
        <v>0.74999999999999989</v>
      </c>
      <c r="EH136" s="55">
        <f t="shared" si="792"/>
        <v>0.72999999999999987</v>
      </c>
      <c r="EI136" s="55">
        <f t="shared" si="792"/>
        <v>0.70999999999999985</v>
      </c>
      <c r="EJ136" s="55">
        <f t="shared" si="792"/>
        <v>0.68999999999999984</v>
      </c>
      <c r="EK136" s="55">
        <f t="shared" si="792"/>
        <v>0.66999999999999982</v>
      </c>
      <c r="EL136" s="55">
        <f t="shared" si="792"/>
        <v>0.6499999999999998</v>
      </c>
      <c r="EM136" s="55">
        <f t="shared" si="792"/>
        <v>0.62999999999999978</v>
      </c>
      <c r="EN136" s="55">
        <f t="shared" si="792"/>
        <v>0.60999999999999976</v>
      </c>
      <c r="EO136" s="55">
        <f t="shared" si="792"/>
        <v>0.58999999999999975</v>
      </c>
      <c r="EP136" s="55">
        <f t="shared" si="792"/>
        <v>0.56999999999999973</v>
      </c>
      <c r="ER136" s="55">
        <f t="shared" si="648"/>
        <v>0</v>
      </c>
      <c r="ES136" s="55">
        <f t="shared" si="510"/>
        <v>0</v>
      </c>
      <c r="ET136" s="59">
        <f t="shared" si="885"/>
        <v>0</v>
      </c>
      <c r="EU136" s="55">
        <f t="shared" si="886"/>
        <v>0</v>
      </c>
      <c r="EV136" s="59">
        <f t="shared" si="887"/>
        <v>0</v>
      </c>
      <c r="EW136" s="55">
        <f t="shared" si="888"/>
        <v>0</v>
      </c>
      <c r="EX136" s="59">
        <f t="shared" si="889"/>
        <v>0</v>
      </c>
      <c r="EY136" s="55">
        <f t="shared" si="890"/>
        <v>0</v>
      </c>
      <c r="EZ136" s="59">
        <f t="shared" si="891"/>
        <v>0</v>
      </c>
      <c r="FA136" s="57">
        <f t="shared" si="892"/>
        <v>0</v>
      </c>
      <c r="FB136" s="59">
        <f t="shared" si="893"/>
        <v>0</v>
      </c>
      <c r="FC136" s="55">
        <f t="shared" si="894"/>
        <v>0</v>
      </c>
      <c r="FD136" s="59">
        <f t="shared" si="895"/>
        <v>0</v>
      </c>
      <c r="FE136" s="57">
        <f t="shared" si="896"/>
        <v>0</v>
      </c>
      <c r="FF136" s="59">
        <f t="shared" si="897"/>
        <v>0</v>
      </c>
      <c r="FG136" s="60">
        <f t="shared" si="898"/>
        <v>0</v>
      </c>
      <c r="FH136" s="59">
        <f t="shared" si="899"/>
        <v>0</v>
      </c>
      <c r="FI136" s="57">
        <f t="shared" si="900"/>
        <v>0</v>
      </c>
      <c r="FJ136" s="59">
        <f t="shared" si="901"/>
        <v>0</v>
      </c>
      <c r="FK136" s="55">
        <f t="shared" si="902"/>
        <v>0</v>
      </c>
      <c r="FL136" s="59">
        <f t="shared" si="903"/>
        <v>0</v>
      </c>
      <c r="FM136" s="60">
        <f t="shared" si="904"/>
        <v>0</v>
      </c>
      <c r="FN136" s="59">
        <f t="shared" si="905"/>
        <v>0</v>
      </c>
      <c r="FO136" s="60">
        <f t="shared" si="906"/>
        <v>0</v>
      </c>
      <c r="FP136" s="59">
        <f t="shared" si="907"/>
        <v>0</v>
      </c>
      <c r="FQ136" s="60">
        <f t="shared" si="908"/>
        <v>0</v>
      </c>
      <c r="FR136" s="59">
        <f t="shared" si="909"/>
        <v>0</v>
      </c>
      <c r="FS136" s="55">
        <f t="shared" si="910"/>
        <v>0</v>
      </c>
      <c r="FT136" s="59">
        <f t="shared" si="911"/>
        <v>0</v>
      </c>
      <c r="FU136" s="60">
        <f t="shared" si="912"/>
        <v>0</v>
      </c>
      <c r="FV136" s="59">
        <f t="shared" si="913"/>
        <v>0</v>
      </c>
      <c r="FW136" s="60">
        <f t="shared" si="914"/>
        <v>0</v>
      </c>
      <c r="FX136" s="59">
        <f t="shared" si="915"/>
        <v>0</v>
      </c>
      <c r="FY136" s="60">
        <f t="shared" si="916"/>
        <v>0</v>
      </c>
      <c r="FZ136" s="59">
        <f t="shared" si="917"/>
        <v>0</v>
      </c>
      <c r="GA136" s="60">
        <f t="shared" si="918"/>
        <v>0</v>
      </c>
      <c r="GB136" s="59">
        <f t="shared" si="919"/>
        <v>0</v>
      </c>
      <c r="GC136" s="55">
        <f t="shared" si="920"/>
        <v>0</v>
      </c>
      <c r="GD136" s="59">
        <f t="shared" si="921"/>
        <v>0</v>
      </c>
      <c r="GE136" s="60">
        <f t="shared" si="922"/>
        <v>0</v>
      </c>
      <c r="GF136" s="59">
        <f t="shared" si="923"/>
        <v>0</v>
      </c>
      <c r="GG136" s="60">
        <f t="shared" si="924"/>
        <v>0</v>
      </c>
      <c r="GH136" s="59">
        <f t="shared" si="925"/>
        <v>0</v>
      </c>
      <c r="GI136" s="55">
        <f t="shared" si="926"/>
        <v>0</v>
      </c>
      <c r="GJ136" s="59">
        <f t="shared" si="927"/>
        <v>0</v>
      </c>
      <c r="GK136" s="55"/>
      <c r="GL136" s="55"/>
      <c r="GM136" s="55">
        <v>1</v>
      </c>
      <c r="GN136" s="55">
        <v>0.97</v>
      </c>
      <c r="GO136" s="55">
        <v>0.95</v>
      </c>
      <c r="GP136" s="55">
        <v>0.93</v>
      </c>
      <c r="GQ136" s="55">
        <f t="shared" si="793"/>
        <v>0.91</v>
      </c>
      <c r="GR136" s="55">
        <f t="shared" si="793"/>
        <v>0.89</v>
      </c>
      <c r="GS136" s="55">
        <f t="shared" si="793"/>
        <v>0.87</v>
      </c>
      <c r="GT136" s="55">
        <f t="shared" si="793"/>
        <v>0.85</v>
      </c>
      <c r="GU136" s="55">
        <f t="shared" si="793"/>
        <v>0.83</v>
      </c>
      <c r="GV136" s="55">
        <f t="shared" si="793"/>
        <v>0.80999999999999994</v>
      </c>
      <c r="GW136" s="55">
        <f t="shared" si="793"/>
        <v>0.78999999999999992</v>
      </c>
      <c r="GX136" s="55">
        <f t="shared" si="793"/>
        <v>0.76999999999999991</v>
      </c>
      <c r="GY136" s="55">
        <f t="shared" si="793"/>
        <v>0.74999999999999989</v>
      </c>
      <c r="GZ136" s="55">
        <f t="shared" si="793"/>
        <v>0.72999999999999987</v>
      </c>
      <c r="HA136" s="55">
        <f t="shared" si="793"/>
        <v>0.70999999999999985</v>
      </c>
      <c r="HB136" s="55">
        <f t="shared" si="793"/>
        <v>0.68999999999999984</v>
      </c>
      <c r="HC136" s="55">
        <f t="shared" si="793"/>
        <v>0.66999999999999982</v>
      </c>
      <c r="HD136" s="55">
        <f t="shared" si="793"/>
        <v>0.6499999999999998</v>
      </c>
      <c r="HE136" s="55">
        <f t="shared" si="793"/>
        <v>0.62999999999999978</v>
      </c>
      <c r="HF136" s="55">
        <f t="shared" si="793"/>
        <v>0.60999999999999976</v>
      </c>
      <c r="HG136" s="55">
        <f t="shared" si="793"/>
        <v>0.58999999999999975</v>
      </c>
      <c r="HH136" s="55">
        <f t="shared" si="793"/>
        <v>0.56999999999999973</v>
      </c>
    </row>
    <row r="137" spans="1:216" x14ac:dyDescent="0.3">
      <c r="A137" s="2">
        <v>8</v>
      </c>
      <c r="C137" s="38" t="s">
        <v>62</v>
      </c>
      <c r="D137" s="42">
        <v>0</v>
      </c>
      <c r="E137" s="71">
        <f t="shared" si="798"/>
        <v>0</v>
      </c>
      <c r="H137" s="55">
        <f t="shared" si="505"/>
        <v>0</v>
      </c>
      <c r="I137" s="55">
        <f t="shared" si="506"/>
        <v>0</v>
      </c>
      <c r="J137" s="59">
        <f t="shared" si="507"/>
        <v>0</v>
      </c>
      <c r="K137" s="55">
        <f t="shared" si="799"/>
        <v>0</v>
      </c>
      <c r="L137" s="59">
        <f t="shared" si="800"/>
        <v>0</v>
      </c>
      <c r="M137" s="55">
        <f t="shared" si="801"/>
        <v>0</v>
      </c>
      <c r="N137" s="59">
        <f t="shared" si="802"/>
        <v>0</v>
      </c>
      <c r="O137" s="55">
        <f t="shared" si="803"/>
        <v>0</v>
      </c>
      <c r="P137" s="59">
        <f t="shared" si="804"/>
        <v>0</v>
      </c>
      <c r="Q137" s="57">
        <f t="shared" si="805"/>
        <v>0</v>
      </c>
      <c r="R137" s="59">
        <f t="shared" si="806"/>
        <v>0</v>
      </c>
      <c r="S137" s="55">
        <f t="shared" si="807"/>
        <v>0</v>
      </c>
      <c r="T137" s="59">
        <f t="shared" si="808"/>
        <v>0</v>
      </c>
      <c r="U137" s="57">
        <f t="shared" si="809"/>
        <v>0</v>
      </c>
      <c r="V137" s="59">
        <f t="shared" si="810"/>
        <v>0</v>
      </c>
      <c r="W137" s="60">
        <f t="shared" si="811"/>
        <v>0</v>
      </c>
      <c r="X137" s="59">
        <f t="shared" si="812"/>
        <v>0</v>
      </c>
      <c r="Y137" s="57">
        <f t="shared" si="813"/>
        <v>0</v>
      </c>
      <c r="Z137" s="59">
        <f t="shared" si="814"/>
        <v>0</v>
      </c>
      <c r="AA137" s="55">
        <f t="shared" si="815"/>
        <v>0</v>
      </c>
      <c r="AB137" s="59">
        <f t="shared" si="816"/>
        <v>0</v>
      </c>
      <c r="AC137" s="60">
        <f t="shared" si="817"/>
        <v>0</v>
      </c>
      <c r="AD137" s="59">
        <f t="shared" si="818"/>
        <v>0</v>
      </c>
      <c r="AE137" s="60">
        <f t="shared" si="819"/>
        <v>0</v>
      </c>
      <c r="AF137" s="59">
        <f t="shared" si="820"/>
        <v>0</v>
      </c>
      <c r="AG137" s="60">
        <f t="shared" si="821"/>
        <v>0</v>
      </c>
      <c r="AH137" s="59">
        <f t="shared" si="822"/>
        <v>0</v>
      </c>
      <c r="AI137" s="55">
        <f t="shared" si="823"/>
        <v>0</v>
      </c>
      <c r="AJ137" s="59">
        <f t="shared" si="824"/>
        <v>0</v>
      </c>
      <c r="AK137" s="60">
        <f t="shared" si="825"/>
        <v>0</v>
      </c>
      <c r="AL137" s="59">
        <f t="shared" si="826"/>
        <v>0</v>
      </c>
      <c r="AM137" s="60">
        <f t="shared" si="827"/>
        <v>0</v>
      </c>
      <c r="AN137" s="59">
        <f t="shared" si="828"/>
        <v>0</v>
      </c>
      <c r="AO137" s="60">
        <f t="shared" si="829"/>
        <v>0</v>
      </c>
      <c r="AP137" s="59">
        <f t="shared" si="830"/>
        <v>0</v>
      </c>
      <c r="AQ137" s="60">
        <f t="shared" si="831"/>
        <v>0</v>
      </c>
      <c r="AR137" s="59">
        <f t="shared" si="832"/>
        <v>0</v>
      </c>
      <c r="AS137" s="55">
        <f t="shared" si="833"/>
        <v>0</v>
      </c>
      <c r="AT137" s="59">
        <f t="shared" si="834"/>
        <v>0</v>
      </c>
      <c r="AU137" s="60">
        <f t="shared" si="835"/>
        <v>0</v>
      </c>
      <c r="AV137" s="59">
        <f t="shared" si="836"/>
        <v>0</v>
      </c>
      <c r="AW137" s="60">
        <f t="shared" si="837"/>
        <v>0</v>
      </c>
      <c r="AX137" s="59">
        <f t="shared" si="838"/>
        <v>0</v>
      </c>
      <c r="AY137" s="55">
        <f t="shared" si="839"/>
        <v>0</v>
      </c>
      <c r="AZ137" s="59">
        <f t="shared" si="840"/>
        <v>0</v>
      </c>
      <c r="BC137" s="55">
        <v>1</v>
      </c>
      <c r="BD137" s="55">
        <v>0.97</v>
      </c>
      <c r="BE137" s="55">
        <v>0.95</v>
      </c>
      <c r="BF137" s="55">
        <v>0.93</v>
      </c>
      <c r="BG137" s="55">
        <f t="shared" si="841"/>
        <v>0.91</v>
      </c>
      <c r="BH137" s="55">
        <f t="shared" si="841"/>
        <v>0.89</v>
      </c>
      <c r="BI137" s="55">
        <f t="shared" si="841"/>
        <v>0.87</v>
      </c>
      <c r="BJ137" s="55">
        <f t="shared" si="841"/>
        <v>0.85</v>
      </c>
      <c r="BK137" s="55">
        <f t="shared" si="841"/>
        <v>0.83</v>
      </c>
      <c r="BL137" s="55">
        <f t="shared" si="841"/>
        <v>0.80999999999999994</v>
      </c>
      <c r="BM137" s="55">
        <f t="shared" si="841"/>
        <v>0.78999999999999992</v>
      </c>
      <c r="BN137" s="55">
        <f t="shared" si="841"/>
        <v>0.76999999999999991</v>
      </c>
      <c r="BO137" s="55">
        <f t="shared" si="841"/>
        <v>0.74999999999999989</v>
      </c>
      <c r="BP137" s="55">
        <f t="shared" si="841"/>
        <v>0.72999999999999987</v>
      </c>
      <c r="BQ137" s="55">
        <f t="shared" si="841"/>
        <v>0.70999999999999985</v>
      </c>
      <c r="BR137" s="55">
        <f t="shared" si="841"/>
        <v>0.68999999999999984</v>
      </c>
      <c r="BS137" s="55">
        <f t="shared" si="841"/>
        <v>0.66999999999999982</v>
      </c>
      <c r="BT137" s="55">
        <f t="shared" si="841"/>
        <v>0.6499999999999998</v>
      </c>
      <c r="BU137" s="55">
        <f t="shared" si="841"/>
        <v>0.62999999999999978</v>
      </c>
      <c r="BV137" s="55">
        <f t="shared" si="841"/>
        <v>0.60999999999999976</v>
      </c>
      <c r="BW137" s="55">
        <f t="shared" si="841"/>
        <v>0.58999999999999975</v>
      </c>
      <c r="BX137" s="55">
        <f t="shared" si="841"/>
        <v>0.56999999999999973</v>
      </c>
      <c r="BZ137" s="55">
        <f t="shared" si="508"/>
        <v>0</v>
      </c>
      <c r="CA137" s="55">
        <f t="shared" si="509"/>
        <v>0</v>
      </c>
      <c r="CB137" s="59">
        <f t="shared" si="842"/>
        <v>0</v>
      </c>
      <c r="CC137" s="55">
        <f t="shared" si="843"/>
        <v>0</v>
      </c>
      <c r="CD137" s="59">
        <f t="shared" si="844"/>
        <v>0</v>
      </c>
      <c r="CE137" s="55">
        <f t="shared" si="845"/>
        <v>0</v>
      </c>
      <c r="CF137" s="59">
        <f t="shared" si="846"/>
        <v>0</v>
      </c>
      <c r="CG137" s="55">
        <f t="shared" si="847"/>
        <v>0</v>
      </c>
      <c r="CH137" s="59">
        <f t="shared" si="848"/>
        <v>0</v>
      </c>
      <c r="CI137" s="57">
        <f t="shared" si="849"/>
        <v>0</v>
      </c>
      <c r="CJ137" s="59">
        <f t="shared" si="850"/>
        <v>0</v>
      </c>
      <c r="CK137" s="55">
        <f t="shared" si="851"/>
        <v>0</v>
      </c>
      <c r="CL137" s="59">
        <f t="shared" si="852"/>
        <v>0</v>
      </c>
      <c r="CM137" s="57">
        <f t="shared" si="853"/>
        <v>0</v>
      </c>
      <c r="CN137" s="59">
        <f t="shared" si="854"/>
        <v>0</v>
      </c>
      <c r="CO137" s="60">
        <f t="shared" si="855"/>
        <v>0</v>
      </c>
      <c r="CP137" s="59">
        <f t="shared" si="856"/>
        <v>0</v>
      </c>
      <c r="CQ137" s="57">
        <f t="shared" si="857"/>
        <v>0</v>
      </c>
      <c r="CR137" s="59">
        <f t="shared" si="858"/>
        <v>0</v>
      </c>
      <c r="CS137" s="55">
        <f t="shared" si="859"/>
        <v>0</v>
      </c>
      <c r="CT137" s="59">
        <f t="shared" si="860"/>
        <v>0</v>
      </c>
      <c r="CU137" s="60">
        <f t="shared" si="861"/>
        <v>0</v>
      </c>
      <c r="CV137" s="59">
        <f t="shared" si="862"/>
        <v>0</v>
      </c>
      <c r="CW137" s="60">
        <f t="shared" si="863"/>
        <v>0</v>
      </c>
      <c r="CX137" s="59">
        <f t="shared" si="864"/>
        <v>0</v>
      </c>
      <c r="CY137" s="60">
        <f t="shared" si="865"/>
        <v>0</v>
      </c>
      <c r="CZ137" s="59">
        <f t="shared" si="866"/>
        <v>0</v>
      </c>
      <c r="DA137" s="55">
        <f t="shared" si="867"/>
        <v>0</v>
      </c>
      <c r="DB137" s="59">
        <f t="shared" si="868"/>
        <v>0</v>
      </c>
      <c r="DC137" s="60">
        <f t="shared" si="869"/>
        <v>0</v>
      </c>
      <c r="DD137" s="59">
        <f t="shared" si="870"/>
        <v>0</v>
      </c>
      <c r="DE137" s="60">
        <f t="shared" si="871"/>
        <v>0</v>
      </c>
      <c r="DF137" s="59">
        <f t="shared" si="872"/>
        <v>0</v>
      </c>
      <c r="DG137" s="60">
        <f t="shared" si="873"/>
        <v>0</v>
      </c>
      <c r="DH137" s="59">
        <f t="shared" si="874"/>
        <v>0</v>
      </c>
      <c r="DI137" s="60">
        <f t="shared" si="875"/>
        <v>0</v>
      </c>
      <c r="DJ137" s="59">
        <f t="shared" si="876"/>
        <v>0</v>
      </c>
      <c r="DK137" s="55">
        <f t="shared" si="877"/>
        <v>0</v>
      </c>
      <c r="DL137" s="59">
        <f t="shared" si="878"/>
        <v>0</v>
      </c>
      <c r="DM137" s="60">
        <f t="shared" si="879"/>
        <v>0</v>
      </c>
      <c r="DN137" s="59">
        <f t="shared" si="880"/>
        <v>0</v>
      </c>
      <c r="DO137" s="60">
        <f t="shared" si="881"/>
        <v>0</v>
      </c>
      <c r="DP137" s="59">
        <f t="shared" si="882"/>
        <v>0</v>
      </c>
      <c r="DQ137" s="55">
        <f t="shared" si="883"/>
        <v>0</v>
      </c>
      <c r="DR137" s="59">
        <f t="shared" si="884"/>
        <v>0</v>
      </c>
      <c r="DU137" s="55">
        <v>1</v>
      </c>
      <c r="DV137" s="55">
        <v>0.97</v>
      </c>
      <c r="DW137" s="55">
        <v>0.95</v>
      </c>
      <c r="DX137" s="55">
        <v>0.93</v>
      </c>
      <c r="DY137" s="55">
        <f t="shared" si="792"/>
        <v>0.91</v>
      </c>
      <c r="DZ137" s="55">
        <f t="shared" si="792"/>
        <v>0.89</v>
      </c>
      <c r="EA137" s="55">
        <f t="shared" si="792"/>
        <v>0.87</v>
      </c>
      <c r="EB137" s="55">
        <f t="shared" si="792"/>
        <v>0.85</v>
      </c>
      <c r="EC137" s="55">
        <f t="shared" si="792"/>
        <v>0.83</v>
      </c>
      <c r="ED137" s="55">
        <f t="shared" si="792"/>
        <v>0.80999999999999994</v>
      </c>
      <c r="EE137" s="55">
        <f t="shared" si="792"/>
        <v>0.78999999999999992</v>
      </c>
      <c r="EF137" s="55">
        <f t="shared" si="792"/>
        <v>0.76999999999999991</v>
      </c>
      <c r="EG137" s="55">
        <f t="shared" si="792"/>
        <v>0.74999999999999989</v>
      </c>
      <c r="EH137" s="55">
        <f t="shared" si="792"/>
        <v>0.72999999999999987</v>
      </c>
      <c r="EI137" s="55">
        <f t="shared" si="792"/>
        <v>0.70999999999999985</v>
      </c>
      <c r="EJ137" s="55">
        <f t="shared" si="792"/>
        <v>0.68999999999999984</v>
      </c>
      <c r="EK137" s="55">
        <f t="shared" si="792"/>
        <v>0.66999999999999982</v>
      </c>
      <c r="EL137" s="55">
        <f t="shared" si="792"/>
        <v>0.6499999999999998</v>
      </c>
      <c r="EM137" s="55">
        <f t="shared" si="792"/>
        <v>0.62999999999999978</v>
      </c>
      <c r="EN137" s="55">
        <f t="shared" si="792"/>
        <v>0.60999999999999976</v>
      </c>
      <c r="EO137" s="55">
        <f t="shared" si="792"/>
        <v>0.58999999999999975</v>
      </c>
      <c r="EP137" s="55">
        <f t="shared" si="792"/>
        <v>0.56999999999999973</v>
      </c>
      <c r="ER137" s="55">
        <f t="shared" si="648"/>
        <v>0</v>
      </c>
      <c r="ES137" s="55">
        <f t="shared" si="510"/>
        <v>0</v>
      </c>
      <c r="ET137" s="59">
        <f t="shared" si="885"/>
        <v>0</v>
      </c>
      <c r="EU137" s="55">
        <f t="shared" si="886"/>
        <v>0</v>
      </c>
      <c r="EV137" s="59">
        <f t="shared" si="887"/>
        <v>0</v>
      </c>
      <c r="EW137" s="55">
        <f t="shared" si="888"/>
        <v>0</v>
      </c>
      <c r="EX137" s="59">
        <f t="shared" si="889"/>
        <v>0</v>
      </c>
      <c r="EY137" s="55">
        <f t="shared" si="890"/>
        <v>0</v>
      </c>
      <c r="EZ137" s="59">
        <f t="shared" si="891"/>
        <v>0</v>
      </c>
      <c r="FA137" s="57">
        <f t="shared" si="892"/>
        <v>0</v>
      </c>
      <c r="FB137" s="59">
        <f t="shared" si="893"/>
        <v>0</v>
      </c>
      <c r="FC137" s="55">
        <f t="shared" si="894"/>
        <v>0</v>
      </c>
      <c r="FD137" s="59">
        <f t="shared" si="895"/>
        <v>0</v>
      </c>
      <c r="FE137" s="57">
        <f t="shared" si="896"/>
        <v>0</v>
      </c>
      <c r="FF137" s="59">
        <f t="shared" si="897"/>
        <v>0</v>
      </c>
      <c r="FG137" s="60">
        <f t="shared" si="898"/>
        <v>0</v>
      </c>
      <c r="FH137" s="59">
        <f t="shared" si="899"/>
        <v>0</v>
      </c>
      <c r="FI137" s="57">
        <f t="shared" si="900"/>
        <v>0</v>
      </c>
      <c r="FJ137" s="59">
        <f t="shared" si="901"/>
        <v>0</v>
      </c>
      <c r="FK137" s="55">
        <f t="shared" si="902"/>
        <v>0</v>
      </c>
      <c r="FL137" s="59">
        <f t="shared" si="903"/>
        <v>0</v>
      </c>
      <c r="FM137" s="60">
        <f t="shared" si="904"/>
        <v>0</v>
      </c>
      <c r="FN137" s="59">
        <f t="shared" si="905"/>
        <v>0</v>
      </c>
      <c r="FO137" s="60">
        <f t="shared" si="906"/>
        <v>0</v>
      </c>
      <c r="FP137" s="59">
        <f t="shared" si="907"/>
        <v>0</v>
      </c>
      <c r="FQ137" s="60">
        <f t="shared" si="908"/>
        <v>0</v>
      </c>
      <c r="FR137" s="59">
        <f t="shared" si="909"/>
        <v>0</v>
      </c>
      <c r="FS137" s="55">
        <f t="shared" si="910"/>
        <v>0</v>
      </c>
      <c r="FT137" s="59">
        <f t="shared" si="911"/>
        <v>0</v>
      </c>
      <c r="FU137" s="60">
        <f t="shared" si="912"/>
        <v>0</v>
      </c>
      <c r="FV137" s="59">
        <f t="shared" si="913"/>
        <v>0</v>
      </c>
      <c r="FW137" s="60">
        <f t="shared" si="914"/>
        <v>0</v>
      </c>
      <c r="FX137" s="59">
        <f t="shared" si="915"/>
        <v>0</v>
      </c>
      <c r="FY137" s="60">
        <f t="shared" si="916"/>
        <v>0</v>
      </c>
      <c r="FZ137" s="59">
        <f t="shared" si="917"/>
        <v>0</v>
      </c>
      <c r="GA137" s="60">
        <f t="shared" si="918"/>
        <v>0</v>
      </c>
      <c r="GB137" s="59">
        <f t="shared" si="919"/>
        <v>0</v>
      </c>
      <c r="GC137" s="55">
        <f t="shared" si="920"/>
        <v>0</v>
      </c>
      <c r="GD137" s="59">
        <f t="shared" si="921"/>
        <v>0</v>
      </c>
      <c r="GE137" s="60">
        <f t="shared" si="922"/>
        <v>0</v>
      </c>
      <c r="GF137" s="59">
        <f t="shared" si="923"/>
        <v>0</v>
      </c>
      <c r="GG137" s="60">
        <f t="shared" si="924"/>
        <v>0</v>
      </c>
      <c r="GH137" s="59">
        <f t="shared" si="925"/>
        <v>0</v>
      </c>
      <c r="GI137" s="55">
        <f t="shared" si="926"/>
        <v>0</v>
      </c>
      <c r="GJ137" s="59">
        <f t="shared" si="927"/>
        <v>0</v>
      </c>
      <c r="GK137" s="55"/>
      <c r="GL137" s="55"/>
      <c r="GM137" s="55">
        <v>1</v>
      </c>
      <c r="GN137" s="55">
        <v>0.97</v>
      </c>
      <c r="GO137" s="55">
        <v>0.95</v>
      </c>
      <c r="GP137" s="55">
        <v>0.93</v>
      </c>
      <c r="GQ137" s="55">
        <f t="shared" si="793"/>
        <v>0.91</v>
      </c>
      <c r="GR137" s="55">
        <f t="shared" si="793"/>
        <v>0.89</v>
      </c>
      <c r="GS137" s="55">
        <f t="shared" si="793"/>
        <v>0.87</v>
      </c>
      <c r="GT137" s="55">
        <f t="shared" si="793"/>
        <v>0.85</v>
      </c>
      <c r="GU137" s="55">
        <f t="shared" si="793"/>
        <v>0.83</v>
      </c>
      <c r="GV137" s="55">
        <f t="shared" si="793"/>
        <v>0.80999999999999994</v>
      </c>
      <c r="GW137" s="55">
        <f t="shared" si="793"/>
        <v>0.78999999999999992</v>
      </c>
      <c r="GX137" s="55">
        <f t="shared" si="793"/>
        <v>0.76999999999999991</v>
      </c>
      <c r="GY137" s="55">
        <f t="shared" si="793"/>
        <v>0.74999999999999989</v>
      </c>
      <c r="GZ137" s="55">
        <f t="shared" si="793"/>
        <v>0.72999999999999987</v>
      </c>
      <c r="HA137" s="55">
        <f t="shared" si="793"/>
        <v>0.70999999999999985</v>
      </c>
      <c r="HB137" s="55">
        <f t="shared" si="793"/>
        <v>0.68999999999999984</v>
      </c>
      <c r="HC137" s="55">
        <f t="shared" si="793"/>
        <v>0.66999999999999982</v>
      </c>
      <c r="HD137" s="55">
        <f t="shared" si="793"/>
        <v>0.6499999999999998</v>
      </c>
      <c r="HE137" s="55">
        <f t="shared" si="793"/>
        <v>0.62999999999999978</v>
      </c>
      <c r="HF137" s="55">
        <f t="shared" si="793"/>
        <v>0.60999999999999976</v>
      </c>
      <c r="HG137" s="55">
        <f t="shared" si="793"/>
        <v>0.58999999999999975</v>
      </c>
      <c r="HH137" s="55">
        <f t="shared" si="793"/>
        <v>0.56999999999999973</v>
      </c>
    </row>
    <row r="138" spans="1:216" x14ac:dyDescent="0.3">
      <c r="A138" s="2">
        <v>9</v>
      </c>
      <c r="C138" s="38" t="s">
        <v>63</v>
      </c>
      <c r="D138" s="42">
        <v>0</v>
      </c>
      <c r="E138" s="71">
        <f t="shared" si="798"/>
        <v>0</v>
      </c>
      <c r="H138" s="55">
        <f t="shared" si="505"/>
        <v>0</v>
      </c>
      <c r="I138" s="55">
        <f t="shared" si="506"/>
        <v>0</v>
      </c>
      <c r="J138" s="59">
        <f t="shared" si="507"/>
        <v>0</v>
      </c>
      <c r="K138" s="55">
        <f t="shared" si="799"/>
        <v>0</v>
      </c>
      <c r="L138" s="59">
        <f t="shared" si="800"/>
        <v>0</v>
      </c>
      <c r="M138" s="55">
        <f t="shared" si="801"/>
        <v>0</v>
      </c>
      <c r="N138" s="59">
        <f t="shared" si="802"/>
        <v>0</v>
      </c>
      <c r="O138" s="55">
        <f t="shared" si="803"/>
        <v>0</v>
      </c>
      <c r="P138" s="59">
        <f t="shared" si="804"/>
        <v>0</v>
      </c>
      <c r="Q138" s="57">
        <f t="shared" si="805"/>
        <v>0</v>
      </c>
      <c r="R138" s="59">
        <f t="shared" si="806"/>
        <v>0</v>
      </c>
      <c r="S138" s="55">
        <f t="shared" si="807"/>
        <v>0</v>
      </c>
      <c r="T138" s="59">
        <f t="shared" si="808"/>
        <v>0</v>
      </c>
      <c r="U138" s="57">
        <f t="shared" si="809"/>
        <v>0</v>
      </c>
      <c r="V138" s="59">
        <f t="shared" si="810"/>
        <v>0</v>
      </c>
      <c r="W138" s="60">
        <f t="shared" si="811"/>
        <v>0</v>
      </c>
      <c r="X138" s="59">
        <f t="shared" si="812"/>
        <v>0</v>
      </c>
      <c r="Y138" s="57">
        <f t="shared" si="813"/>
        <v>0</v>
      </c>
      <c r="Z138" s="59">
        <f t="shared" si="814"/>
        <v>0</v>
      </c>
      <c r="AA138" s="55">
        <f t="shared" si="815"/>
        <v>0</v>
      </c>
      <c r="AB138" s="59">
        <f t="shared" si="816"/>
        <v>0</v>
      </c>
      <c r="AC138" s="60">
        <f t="shared" si="817"/>
        <v>0</v>
      </c>
      <c r="AD138" s="59">
        <f t="shared" si="818"/>
        <v>0</v>
      </c>
      <c r="AE138" s="60">
        <f t="shared" si="819"/>
        <v>0</v>
      </c>
      <c r="AF138" s="59">
        <f t="shared" si="820"/>
        <v>0</v>
      </c>
      <c r="AG138" s="60">
        <f t="shared" si="821"/>
        <v>0</v>
      </c>
      <c r="AH138" s="59">
        <f t="shared" si="822"/>
        <v>0</v>
      </c>
      <c r="AI138" s="55">
        <f t="shared" si="823"/>
        <v>0</v>
      </c>
      <c r="AJ138" s="59">
        <f t="shared" si="824"/>
        <v>0</v>
      </c>
      <c r="AK138" s="60">
        <f t="shared" si="825"/>
        <v>0</v>
      </c>
      <c r="AL138" s="59">
        <f t="shared" si="826"/>
        <v>0</v>
      </c>
      <c r="AM138" s="60">
        <f t="shared" si="827"/>
        <v>0</v>
      </c>
      <c r="AN138" s="59">
        <f t="shared" si="828"/>
        <v>0</v>
      </c>
      <c r="AO138" s="60">
        <f t="shared" si="829"/>
        <v>0</v>
      </c>
      <c r="AP138" s="59">
        <f t="shared" si="830"/>
        <v>0</v>
      </c>
      <c r="AQ138" s="60">
        <f t="shared" si="831"/>
        <v>0</v>
      </c>
      <c r="AR138" s="59">
        <f t="shared" si="832"/>
        <v>0</v>
      </c>
      <c r="AS138" s="55">
        <f t="shared" si="833"/>
        <v>0</v>
      </c>
      <c r="AT138" s="59">
        <f t="shared" si="834"/>
        <v>0</v>
      </c>
      <c r="AU138" s="60">
        <f t="shared" si="835"/>
        <v>0</v>
      </c>
      <c r="AV138" s="59">
        <f t="shared" si="836"/>
        <v>0</v>
      </c>
      <c r="AW138" s="60">
        <f t="shared" si="837"/>
        <v>0</v>
      </c>
      <c r="AX138" s="59">
        <f t="shared" si="838"/>
        <v>0</v>
      </c>
      <c r="AY138" s="55">
        <f t="shared" si="839"/>
        <v>0</v>
      </c>
      <c r="AZ138" s="59">
        <f t="shared" si="840"/>
        <v>0</v>
      </c>
      <c r="BC138" s="55">
        <v>1</v>
      </c>
      <c r="BD138" s="55">
        <v>0.97</v>
      </c>
      <c r="BE138" s="55">
        <v>0.95</v>
      </c>
      <c r="BF138" s="55">
        <v>0.93</v>
      </c>
      <c r="BG138" s="55">
        <f t="shared" si="841"/>
        <v>0.91</v>
      </c>
      <c r="BH138" s="55">
        <f t="shared" si="841"/>
        <v>0.89</v>
      </c>
      <c r="BI138" s="55">
        <f t="shared" si="841"/>
        <v>0.87</v>
      </c>
      <c r="BJ138" s="55">
        <f t="shared" si="841"/>
        <v>0.85</v>
      </c>
      <c r="BK138" s="55">
        <f t="shared" si="841"/>
        <v>0.83</v>
      </c>
      <c r="BL138" s="55">
        <f t="shared" si="841"/>
        <v>0.80999999999999994</v>
      </c>
      <c r="BM138" s="55">
        <f t="shared" si="841"/>
        <v>0.78999999999999992</v>
      </c>
      <c r="BN138" s="55">
        <f t="shared" si="841"/>
        <v>0.76999999999999991</v>
      </c>
      <c r="BO138" s="55">
        <f t="shared" si="841"/>
        <v>0.74999999999999989</v>
      </c>
      <c r="BP138" s="55">
        <f t="shared" si="841"/>
        <v>0.72999999999999987</v>
      </c>
      <c r="BQ138" s="55">
        <f t="shared" si="841"/>
        <v>0.70999999999999985</v>
      </c>
      <c r="BR138" s="55">
        <f t="shared" si="841"/>
        <v>0.68999999999999984</v>
      </c>
      <c r="BS138" s="55">
        <f t="shared" si="841"/>
        <v>0.66999999999999982</v>
      </c>
      <c r="BT138" s="55">
        <f t="shared" si="841"/>
        <v>0.6499999999999998</v>
      </c>
      <c r="BU138" s="55">
        <f t="shared" si="841"/>
        <v>0.62999999999999978</v>
      </c>
      <c r="BV138" s="55">
        <f t="shared" si="841"/>
        <v>0.60999999999999976</v>
      </c>
      <c r="BW138" s="55">
        <f t="shared" si="841"/>
        <v>0.58999999999999975</v>
      </c>
      <c r="BX138" s="55">
        <f t="shared" si="841"/>
        <v>0.56999999999999973</v>
      </c>
      <c r="BZ138" s="55">
        <f t="shared" si="508"/>
        <v>0</v>
      </c>
      <c r="CA138" s="55">
        <f t="shared" si="509"/>
        <v>0</v>
      </c>
      <c r="CB138" s="59">
        <f t="shared" si="842"/>
        <v>0</v>
      </c>
      <c r="CC138" s="55">
        <f t="shared" si="843"/>
        <v>0</v>
      </c>
      <c r="CD138" s="59">
        <f t="shared" si="844"/>
        <v>0</v>
      </c>
      <c r="CE138" s="55">
        <f t="shared" si="845"/>
        <v>0</v>
      </c>
      <c r="CF138" s="59">
        <f t="shared" si="846"/>
        <v>0</v>
      </c>
      <c r="CG138" s="55">
        <f t="shared" si="847"/>
        <v>0</v>
      </c>
      <c r="CH138" s="59">
        <f t="shared" si="848"/>
        <v>0</v>
      </c>
      <c r="CI138" s="57">
        <f t="shared" si="849"/>
        <v>0</v>
      </c>
      <c r="CJ138" s="59">
        <f t="shared" si="850"/>
        <v>0</v>
      </c>
      <c r="CK138" s="55">
        <f t="shared" si="851"/>
        <v>0</v>
      </c>
      <c r="CL138" s="59">
        <f t="shared" si="852"/>
        <v>0</v>
      </c>
      <c r="CM138" s="57">
        <f t="shared" si="853"/>
        <v>0</v>
      </c>
      <c r="CN138" s="59">
        <f t="shared" si="854"/>
        <v>0</v>
      </c>
      <c r="CO138" s="60">
        <f t="shared" si="855"/>
        <v>0</v>
      </c>
      <c r="CP138" s="59">
        <f t="shared" si="856"/>
        <v>0</v>
      </c>
      <c r="CQ138" s="57">
        <f t="shared" si="857"/>
        <v>0</v>
      </c>
      <c r="CR138" s="59">
        <f t="shared" si="858"/>
        <v>0</v>
      </c>
      <c r="CS138" s="55">
        <f t="shared" si="859"/>
        <v>0</v>
      </c>
      <c r="CT138" s="59">
        <f t="shared" si="860"/>
        <v>0</v>
      </c>
      <c r="CU138" s="60">
        <f t="shared" si="861"/>
        <v>0</v>
      </c>
      <c r="CV138" s="59">
        <f t="shared" si="862"/>
        <v>0</v>
      </c>
      <c r="CW138" s="60">
        <f t="shared" si="863"/>
        <v>0</v>
      </c>
      <c r="CX138" s="59">
        <f t="shared" si="864"/>
        <v>0</v>
      </c>
      <c r="CY138" s="60">
        <f t="shared" si="865"/>
        <v>0</v>
      </c>
      <c r="CZ138" s="59">
        <f t="shared" si="866"/>
        <v>0</v>
      </c>
      <c r="DA138" s="55">
        <f t="shared" si="867"/>
        <v>0</v>
      </c>
      <c r="DB138" s="59">
        <f t="shared" si="868"/>
        <v>0</v>
      </c>
      <c r="DC138" s="60">
        <f t="shared" si="869"/>
        <v>0</v>
      </c>
      <c r="DD138" s="59">
        <f t="shared" si="870"/>
        <v>0</v>
      </c>
      <c r="DE138" s="60">
        <f t="shared" si="871"/>
        <v>0</v>
      </c>
      <c r="DF138" s="59">
        <f t="shared" si="872"/>
        <v>0</v>
      </c>
      <c r="DG138" s="60">
        <f t="shared" si="873"/>
        <v>0</v>
      </c>
      <c r="DH138" s="59">
        <f t="shared" si="874"/>
        <v>0</v>
      </c>
      <c r="DI138" s="60">
        <f t="shared" si="875"/>
        <v>0</v>
      </c>
      <c r="DJ138" s="59">
        <f t="shared" si="876"/>
        <v>0</v>
      </c>
      <c r="DK138" s="55">
        <f t="shared" si="877"/>
        <v>0</v>
      </c>
      <c r="DL138" s="59">
        <f t="shared" si="878"/>
        <v>0</v>
      </c>
      <c r="DM138" s="60">
        <f t="shared" si="879"/>
        <v>0</v>
      </c>
      <c r="DN138" s="59">
        <f t="shared" si="880"/>
        <v>0</v>
      </c>
      <c r="DO138" s="60">
        <f t="shared" si="881"/>
        <v>0</v>
      </c>
      <c r="DP138" s="59">
        <f t="shared" si="882"/>
        <v>0</v>
      </c>
      <c r="DQ138" s="55">
        <f t="shared" si="883"/>
        <v>0</v>
      </c>
      <c r="DR138" s="59">
        <f t="shared" si="884"/>
        <v>0</v>
      </c>
      <c r="DU138" s="55">
        <v>1</v>
      </c>
      <c r="DV138" s="55">
        <v>0.97</v>
      </c>
      <c r="DW138" s="55">
        <v>0.95</v>
      </c>
      <c r="DX138" s="55">
        <v>0.93</v>
      </c>
      <c r="DY138" s="55">
        <f t="shared" si="792"/>
        <v>0.91</v>
      </c>
      <c r="DZ138" s="55">
        <f t="shared" si="792"/>
        <v>0.89</v>
      </c>
      <c r="EA138" s="55">
        <f t="shared" si="792"/>
        <v>0.87</v>
      </c>
      <c r="EB138" s="55">
        <f t="shared" ref="EB138:EP138" si="928">+EA138-0.02</f>
        <v>0.85</v>
      </c>
      <c r="EC138" s="55">
        <f t="shared" si="928"/>
        <v>0.83</v>
      </c>
      <c r="ED138" s="55">
        <f t="shared" si="928"/>
        <v>0.80999999999999994</v>
      </c>
      <c r="EE138" s="55">
        <f t="shared" si="928"/>
        <v>0.78999999999999992</v>
      </c>
      <c r="EF138" s="55">
        <f t="shared" si="928"/>
        <v>0.76999999999999991</v>
      </c>
      <c r="EG138" s="55">
        <f t="shared" si="928"/>
        <v>0.74999999999999989</v>
      </c>
      <c r="EH138" s="55">
        <f t="shared" si="928"/>
        <v>0.72999999999999987</v>
      </c>
      <c r="EI138" s="55">
        <f t="shared" si="928"/>
        <v>0.70999999999999985</v>
      </c>
      <c r="EJ138" s="55">
        <f t="shared" si="928"/>
        <v>0.68999999999999984</v>
      </c>
      <c r="EK138" s="55">
        <f t="shared" si="928"/>
        <v>0.66999999999999982</v>
      </c>
      <c r="EL138" s="55">
        <f t="shared" si="928"/>
        <v>0.6499999999999998</v>
      </c>
      <c r="EM138" s="55">
        <f t="shared" si="928"/>
        <v>0.62999999999999978</v>
      </c>
      <c r="EN138" s="55">
        <f t="shared" si="928"/>
        <v>0.60999999999999976</v>
      </c>
      <c r="EO138" s="55">
        <f t="shared" si="928"/>
        <v>0.58999999999999975</v>
      </c>
      <c r="EP138" s="55">
        <f t="shared" si="928"/>
        <v>0.56999999999999973</v>
      </c>
      <c r="ER138" s="55">
        <f t="shared" si="648"/>
        <v>0</v>
      </c>
      <c r="ES138" s="55">
        <f t="shared" si="510"/>
        <v>0</v>
      </c>
      <c r="ET138" s="59">
        <f t="shared" si="885"/>
        <v>0</v>
      </c>
      <c r="EU138" s="55">
        <f t="shared" si="886"/>
        <v>0</v>
      </c>
      <c r="EV138" s="59">
        <f t="shared" si="887"/>
        <v>0</v>
      </c>
      <c r="EW138" s="55">
        <f t="shared" si="888"/>
        <v>0</v>
      </c>
      <c r="EX138" s="59">
        <f t="shared" si="889"/>
        <v>0</v>
      </c>
      <c r="EY138" s="55">
        <f t="shared" si="890"/>
        <v>0</v>
      </c>
      <c r="EZ138" s="59">
        <f t="shared" si="891"/>
        <v>0</v>
      </c>
      <c r="FA138" s="57">
        <f t="shared" si="892"/>
        <v>0</v>
      </c>
      <c r="FB138" s="59">
        <f t="shared" si="893"/>
        <v>0</v>
      </c>
      <c r="FC138" s="55">
        <f t="shared" si="894"/>
        <v>0</v>
      </c>
      <c r="FD138" s="59">
        <f t="shared" si="895"/>
        <v>0</v>
      </c>
      <c r="FE138" s="57">
        <f t="shared" si="896"/>
        <v>0</v>
      </c>
      <c r="FF138" s="59">
        <f t="shared" si="897"/>
        <v>0</v>
      </c>
      <c r="FG138" s="60">
        <f t="shared" si="898"/>
        <v>0</v>
      </c>
      <c r="FH138" s="59">
        <f t="shared" si="899"/>
        <v>0</v>
      </c>
      <c r="FI138" s="57">
        <f t="shared" si="900"/>
        <v>0</v>
      </c>
      <c r="FJ138" s="59">
        <f t="shared" si="901"/>
        <v>0</v>
      </c>
      <c r="FK138" s="55">
        <f t="shared" si="902"/>
        <v>0</v>
      </c>
      <c r="FL138" s="59">
        <f t="shared" si="903"/>
        <v>0</v>
      </c>
      <c r="FM138" s="60">
        <f t="shared" si="904"/>
        <v>0</v>
      </c>
      <c r="FN138" s="59">
        <f t="shared" si="905"/>
        <v>0</v>
      </c>
      <c r="FO138" s="60">
        <f t="shared" si="906"/>
        <v>0</v>
      </c>
      <c r="FP138" s="59">
        <f t="shared" si="907"/>
        <v>0</v>
      </c>
      <c r="FQ138" s="60">
        <f t="shared" si="908"/>
        <v>0</v>
      </c>
      <c r="FR138" s="59">
        <f t="shared" si="909"/>
        <v>0</v>
      </c>
      <c r="FS138" s="55">
        <f t="shared" si="910"/>
        <v>0</v>
      </c>
      <c r="FT138" s="59">
        <f t="shared" si="911"/>
        <v>0</v>
      </c>
      <c r="FU138" s="60">
        <f t="shared" si="912"/>
        <v>0</v>
      </c>
      <c r="FV138" s="59">
        <f t="shared" si="913"/>
        <v>0</v>
      </c>
      <c r="FW138" s="60">
        <f t="shared" si="914"/>
        <v>0</v>
      </c>
      <c r="FX138" s="59">
        <f t="shared" si="915"/>
        <v>0</v>
      </c>
      <c r="FY138" s="60">
        <f t="shared" si="916"/>
        <v>0</v>
      </c>
      <c r="FZ138" s="59">
        <f t="shared" si="917"/>
        <v>0</v>
      </c>
      <c r="GA138" s="60">
        <f t="shared" si="918"/>
        <v>0</v>
      </c>
      <c r="GB138" s="59">
        <f t="shared" si="919"/>
        <v>0</v>
      </c>
      <c r="GC138" s="55">
        <f t="shared" si="920"/>
        <v>0</v>
      </c>
      <c r="GD138" s="59">
        <f t="shared" si="921"/>
        <v>0</v>
      </c>
      <c r="GE138" s="60">
        <f t="shared" si="922"/>
        <v>0</v>
      </c>
      <c r="GF138" s="59">
        <f t="shared" si="923"/>
        <v>0</v>
      </c>
      <c r="GG138" s="60">
        <f t="shared" si="924"/>
        <v>0</v>
      </c>
      <c r="GH138" s="59">
        <f t="shared" si="925"/>
        <v>0</v>
      </c>
      <c r="GI138" s="55">
        <f t="shared" si="926"/>
        <v>0</v>
      </c>
      <c r="GJ138" s="59">
        <f t="shared" si="927"/>
        <v>0</v>
      </c>
      <c r="GK138" s="55"/>
      <c r="GL138" s="55"/>
      <c r="GM138" s="55">
        <v>1</v>
      </c>
      <c r="GN138" s="55">
        <v>0.97</v>
      </c>
      <c r="GO138" s="55">
        <v>0.95</v>
      </c>
      <c r="GP138" s="55">
        <v>0.93</v>
      </c>
      <c r="GQ138" s="55">
        <f t="shared" si="793"/>
        <v>0.91</v>
      </c>
      <c r="GR138" s="55">
        <f t="shared" si="793"/>
        <v>0.89</v>
      </c>
      <c r="GS138" s="55">
        <f t="shared" si="793"/>
        <v>0.87</v>
      </c>
      <c r="GT138" s="55">
        <f t="shared" ref="GT138:HH138" si="929">+GS138-0.02</f>
        <v>0.85</v>
      </c>
      <c r="GU138" s="55">
        <f t="shared" si="929"/>
        <v>0.83</v>
      </c>
      <c r="GV138" s="55">
        <f t="shared" si="929"/>
        <v>0.80999999999999994</v>
      </c>
      <c r="GW138" s="55">
        <f t="shared" si="929"/>
        <v>0.78999999999999992</v>
      </c>
      <c r="GX138" s="55">
        <f t="shared" si="929"/>
        <v>0.76999999999999991</v>
      </c>
      <c r="GY138" s="55">
        <f t="shared" si="929"/>
        <v>0.74999999999999989</v>
      </c>
      <c r="GZ138" s="55">
        <f t="shared" si="929"/>
        <v>0.72999999999999987</v>
      </c>
      <c r="HA138" s="55">
        <f t="shared" si="929"/>
        <v>0.70999999999999985</v>
      </c>
      <c r="HB138" s="55">
        <f t="shared" si="929"/>
        <v>0.68999999999999984</v>
      </c>
      <c r="HC138" s="55">
        <f t="shared" si="929"/>
        <v>0.66999999999999982</v>
      </c>
      <c r="HD138" s="55">
        <f t="shared" si="929"/>
        <v>0.6499999999999998</v>
      </c>
      <c r="HE138" s="55">
        <f t="shared" si="929"/>
        <v>0.62999999999999978</v>
      </c>
      <c r="HF138" s="55">
        <f t="shared" si="929"/>
        <v>0.60999999999999976</v>
      </c>
      <c r="HG138" s="55">
        <f t="shared" si="929"/>
        <v>0.58999999999999975</v>
      </c>
      <c r="HH138" s="55">
        <f t="shared" si="929"/>
        <v>0.56999999999999973</v>
      </c>
    </row>
    <row r="139" spans="1:216" ht="17.25" thickBot="1" x14ac:dyDescent="0.35">
      <c r="A139" s="2">
        <v>10</v>
      </c>
      <c r="C139" s="38" t="s">
        <v>150</v>
      </c>
      <c r="D139" s="43">
        <v>0</v>
      </c>
      <c r="E139" s="72">
        <f t="shared" si="798"/>
        <v>0</v>
      </c>
      <c r="H139" s="55">
        <f t="shared" si="505"/>
        <v>0</v>
      </c>
      <c r="I139" s="55">
        <f t="shared" si="506"/>
        <v>0</v>
      </c>
      <c r="J139" s="59">
        <f t="shared" si="507"/>
        <v>0</v>
      </c>
      <c r="K139" s="55">
        <f t="shared" si="799"/>
        <v>0</v>
      </c>
      <c r="L139" s="59">
        <f t="shared" si="800"/>
        <v>0</v>
      </c>
      <c r="M139" s="55">
        <f t="shared" si="801"/>
        <v>0</v>
      </c>
      <c r="N139" s="59">
        <f t="shared" si="802"/>
        <v>0</v>
      </c>
      <c r="O139" s="55">
        <f t="shared" si="803"/>
        <v>0</v>
      </c>
      <c r="P139" s="59">
        <f t="shared" si="804"/>
        <v>0</v>
      </c>
      <c r="Q139" s="57">
        <f t="shared" si="805"/>
        <v>0</v>
      </c>
      <c r="R139" s="59">
        <f t="shared" si="806"/>
        <v>0</v>
      </c>
      <c r="S139" s="55">
        <f t="shared" si="807"/>
        <v>0</v>
      </c>
      <c r="T139" s="59">
        <f t="shared" si="808"/>
        <v>0</v>
      </c>
      <c r="U139" s="57">
        <f t="shared" si="809"/>
        <v>0</v>
      </c>
      <c r="V139" s="59">
        <f t="shared" si="810"/>
        <v>0</v>
      </c>
      <c r="W139" s="60">
        <f t="shared" si="811"/>
        <v>0</v>
      </c>
      <c r="X139" s="59">
        <f t="shared" si="812"/>
        <v>0</v>
      </c>
      <c r="Y139" s="57">
        <f t="shared" si="813"/>
        <v>0</v>
      </c>
      <c r="Z139" s="59">
        <f t="shared" si="814"/>
        <v>0</v>
      </c>
      <c r="AA139" s="55">
        <f t="shared" si="815"/>
        <v>0</v>
      </c>
      <c r="AB139" s="59">
        <f t="shared" si="816"/>
        <v>0</v>
      </c>
      <c r="AC139" s="60">
        <f t="shared" si="817"/>
        <v>0</v>
      </c>
      <c r="AD139" s="59">
        <f t="shared" si="818"/>
        <v>0</v>
      </c>
      <c r="AE139" s="60">
        <f t="shared" si="819"/>
        <v>0</v>
      </c>
      <c r="AF139" s="59">
        <f t="shared" si="820"/>
        <v>0</v>
      </c>
      <c r="AG139" s="60">
        <f t="shared" si="821"/>
        <v>0</v>
      </c>
      <c r="AH139" s="59">
        <f t="shared" si="822"/>
        <v>0</v>
      </c>
      <c r="AI139" s="55">
        <f t="shared" si="823"/>
        <v>0</v>
      </c>
      <c r="AJ139" s="59">
        <f t="shared" si="824"/>
        <v>0</v>
      </c>
      <c r="AK139" s="60">
        <f t="shared" si="825"/>
        <v>0</v>
      </c>
      <c r="AL139" s="59">
        <f t="shared" si="826"/>
        <v>0</v>
      </c>
      <c r="AM139" s="60">
        <f t="shared" si="827"/>
        <v>0</v>
      </c>
      <c r="AN139" s="59">
        <f t="shared" si="828"/>
        <v>0</v>
      </c>
      <c r="AO139" s="60">
        <f t="shared" si="829"/>
        <v>0</v>
      </c>
      <c r="AP139" s="59">
        <f t="shared" si="830"/>
        <v>0</v>
      </c>
      <c r="AQ139" s="60">
        <f t="shared" si="831"/>
        <v>0</v>
      </c>
      <c r="AR139" s="59">
        <f t="shared" si="832"/>
        <v>0</v>
      </c>
      <c r="AS139" s="55">
        <f t="shared" si="833"/>
        <v>0</v>
      </c>
      <c r="AT139" s="59">
        <f t="shared" si="834"/>
        <v>0</v>
      </c>
      <c r="AU139" s="60">
        <f t="shared" si="835"/>
        <v>0</v>
      </c>
      <c r="AV139" s="59">
        <f t="shared" si="836"/>
        <v>0</v>
      </c>
      <c r="AW139" s="60">
        <f t="shared" si="837"/>
        <v>0</v>
      </c>
      <c r="AX139" s="59">
        <f t="shared" si="838"/>
        <v>0</v>
      </c>
      <c r="AY139" s="55">
        <f t="shared" si="839"/>
        <v>0</v>
      </c>
      <c r="AZ139" s="59">
        <f t="shared" si="840"/>
        <v>0</v>
      </c>
      <c r="BC139" s="55">
        <v>1</v>
      </c>
      <c r="BD139" s="55">
        <v>0.97</v>
      </c>
      <c r="BE139" s="55">
        <v>0.95</v>
      </c>
      <c r="BF139" s="55">
        <v>0.93</v>
      </c>
      <c r="BG139" s="55">
        <f t="shared" si="841"/>
        <v>0.91</v>
      </c>
      <c r="BH139" s="55">
        <f t="shared" si="841"/>
        <v>0.89</v>
      </c>
      <c r="BI139" s="55">
        <f t="shared" si="841"/>
        <v>0.87</v>
      </c>
      <c r="BJ139" s="55">
        <f t="shared" si="841"/>
        <v>0.85</v>
      </c>
      <c r="BK139" s="55">
        <f t="shared" si="841"/>
        <v>0.83</v>
      </c>
      <c r="BL139" s="55">
        <f t="shared" si="841"/>
        <v>0.80999999999999994</v>
      </c>
      <c r="BM139" s="55">
        <f t="shared" si="841"/>
        <v>0.78999999999999992</v>
      </c>
      <c r="BN139" s="55">
        <f t="shared" si="841"/>
        <v>0.76999999999999991</v>
      </c>
      <c r="BO139" s="55">
        <f t="shared" si="841"/>
        <v>0.74999999999999989</v>
      </c>
      <c r="BP139" s="55">
        <f t="shared" si="841"/>
        <v>0.72999999999999987</v>
      </c>
      <c r="BQ139" s="55">
        <f t="shared" si="841"/>
        <v>0.70999999999999985</v>
      </c>
      <c r="BR139" s="55">
        <f t="shared" si="841"/>
        <v>0.68999999999999984</v>
      </c>
      <c r="BS139" s="55">
        <f t="shared" si="841"/>
        <v>0.66999999999999982</v>
      </c>
      <c r="BT139" s="55">
        <f t="shared" si="841"/>
        <v>0.6499999999999998</v>
      </c>
      <c r="BU139" s="55">
        <f t="shared" si="841"/>
        <v>0.62999999999999978</v>
      </c>
      <c r="BV139" s="55">
        <f t="shared" si="841"/>
        <v>0.60999999999999976</v>
      </c>
      <c r="BW139" s="55">
        <f t="shared" si="841"/>
        <v>0.58999999999999975</v>
      </c>
      <c r="BX139" s="55">
        <f t="shared" si="841"/>
        <v>0.56999999999999973</v>
      </c>
      <c r="BZ139" s="55">
        <f t="shared" si="508"/>
        <v>0</v>
      </c>
      <c r="CA139" s="55">
        <f t="shared" si="509"/>
        <v>0</v>
      </c>
      <c r="CB139" s="59">
        <f t="shared" si="842"/>
        <v>0</v>
      </c>
      <c r="CC139" s="55">
        <f t="shared" si="843"/>
        <v>0</v>
      </c>
      <c r="CD139" s="59">
        <f t="shared" si="844"/>
        <v>0</v>
      </c>
      <c r="CE139" s="55">
        <f t="shared" si="845"/>
        <v>0</v>
      </c>
      <c r="CF139" s="59">
        <f t="shared" si="846"/>
        <v>0</v>
      </c>
      <c r="CG139" s="55">
        <f t="shared" si="847"/>
        <v>0</v>
      </c>
      <c r="CH139" s="59">
        <f t="shared" si="848"/>
        <v>0</v>
      </c>
      <c r="CI139" s="57">
        <f t="shared" si="849"/>
        <v>0</v>
      </c>
      <c r="CJ139" s="59">
        <f t="shared" si="850"/>
        <v>0</v>
      </c>
      <c r="CK139" s="55">
        <f t="shared" si="851"/>
        <v>0</v>
      </c>
      <c r="CL139" s="59">
        <f t="shared" si="852"/>
        <v>0</v>
      </c>
      <c r="CM139" s="57">
        <f t="shared" si="853"/>
        <v>0</v>
      </c>
      <c r="CN139" s="59">
        <f t="shared" si="854"/>
        <v>0</v>
      </c>
      <c r="CO139" s="60">
        <f t="shared" si="855"/>
        <v>0</v>
      </c>
      <c r="CP139" s="59">
        <f t="shared" si="856"/>
        <v>0</v>
      </c>
      <c r="CQ139" s="57">
        <f t="shared" si="857"/>
        <v>0</v>
      </c>
      <c r="CR139" s="59">
        <f t="shared" si="858"/>
        <v>0</v>
      </c>
      <c r="CS139" s="55">
        <f t="shared" si="859"/>
        <v>0</v>
      </c>
      <c r="CT139" s="59">
        <f t="shared" si="860"/>
        <v>0</v>
      </c>
      <c r="CU139" s="60">
        <f t="shared" si="861"/>
        <v>0</v>
      </c>
      <c r="CV139" s="59">
        <f t="shared" si="862"/>
        <v>0</v>
      </c>
      <c r="CW139" s="60">
        <f t="shared" si="863"/>
        <v>0</v>
      </c>
      <c r="CX139" s="59">
        <f t="shared" si="864"/>
        <v>0</v>
      </c>
      <c r="CY139" s="60">
        <f t="shared" si="865"/>
        <v>0</v>
      </c>
      <c r="CZ139" s="59">
        <f t="shared" si="866"/>
        <v>0</v>
      </c>
      <c r="DA139" s="55">
        <f t="shared" si="867"/>
        <v>0</v>
      </c>
      <c r="DB139" s="59">
        <f t="shared" si="868"/>
        <v>0</v>
      </c>
      <c r="DC139" s="60">
        <f t="shared" si="869"/>
        <v>0</v>
      </c>
      <c r="DD139" s="59">
        <f t="shared" si="870"/>
        <v>0</v>
      </c>
      <c r="DE139" s="60">
        <f t="shared" si="871"/>
        <v>0</v>
      </c>
      <c r="DF139" s="59">
        <f t="shared" si="872"/>
        <v>0</v>
      </c>
      <c r="DG139" s="60">
        <f t="shared" si="873"/>
        <v>0</v>
      </c>
      <c r="DH139" s="59">
        <f t="shared" si="874"/>
        <v>0</v>
      </c>
      <c r="DI139" s="60">
        <f t="shared" si="875"/>
        <v>0</v>
      </c>
      <c r="DJ139" s="59">
        <f t="shared" si="876"/>
        <v>0</v>
      </c>
      <c r="DK139" s="55">
        <f t="shared" si="877"/>
        <v>0</v>
      </c>
      <c r="DL139" s="59">
        <f t="shared" si="878"/>
        <v>0</v>
      </c>
      <c r="DM139" s="60">
        <f t="shared" si="879"/>
        <v>0</v>
      </c>
      <c r="DN139" s="59">
        <f t="shared" si="880"/>
        <v>0</v>
      </c>
      <c r="DO139" s="60">
        <f t="shared" si="881"/>
        <v>0</v>
      </c>
      <c r="DP139" s="59">
        <f t="shared" si="882"/>
        <v>0</v>
      </c>
      <c r="DQ139" s="55">
        <f t="shared" si="883"/>
        <v>0</v>
      </c>
      <c r="DR139" s="59">
        <f t="shared" si="884"/>
        <v>0</v>
      </c>
      <c r="DU139" s="55">
        <v>1</v>
      </c>
      <c r="DV139" s="55">
        <v>0.97</v>
      </c>
      <c r="DW139" s="55">
        <v>0.95</v>
      </c>
      <c r="DX139" s="55">
        <v>0.93</v>
      </c>
      <c r="DY139" s="55">
        <f t="shared" ref="DY139:EP153" si="930">+DX139-0.02</f>
        <v>0.91</v>
      </c>
      <c r="DZ139" s="55">
        <f t="shared" si="930"/>
        <v>0.89</v>
      </c>
      <c r="EA139" s="55">
        <f t="shared" si="930"/>
        <v>0.87</v>
      </c>
      <c r="EB139" s="55">
        <f t="shared" si="930"/>
        <v>0.85</v>
      </c>
      <c r="EC139" s="55">
        <f t="shared" si="930"/>
        <v>0.83</v>
      </c>
      <c r="ED139" s="55">
        <f t="shared" si="930"/>
        <v>0.80999999999999994</v>
      </c>
      <c r="EE139" s="55">
        <f t="shared" si="930"/>
        <v>0.78999999999999992</v>
      </c>
      <c r="EF139" s="55">
        <f t="shared" si="930"/>
        <v>0.76999999999999991</v>
      </c>
      <c r="EG139" s="55">
        <f t="shared" si="930"/>
        <v>0.74999999999999989</v>
      </c>
      <c r="EH139" s="55">
        <f t="shared" si="930"/>
        <v>0.72999999999999987</v>
      </c>
      <c r="EI139" s="55">
        <f t="shared" si="930"/>
        <v>0.70999999999999985</v>
      </c>
      <c r="EJ139" s="55">
        <f t="shared" si="930"/>
        <v>0.68999999999999984</v>
      </c>
      <c r="EK139" s="55">
        <f t="shared" si="930"/>
        <v>0.66999999999999982</v>
      </c>
      <c r="EL139" s="55">
        <f t="shared" si="930"/>
        <v>0.6499999999999998</v>
      </c>
      <c r="EM139" s="55">
        <f t="shared" si="930"/>
        <v>0.62999999999999978</v>
      </c>
      <c r="EN139" s="55">
        <f t="shared" si="930"/>
        <v>0.60999999999999976</v>
      </c>
      <c r="EO139" s="55">
        <f t="shared" si="930"/>
        <v>0.58999999999999975</v>
      </c>
      <c r="EP139" s="55">
        <f t="shared" si="930"/>
        <v>0.56999999999999973</v>
      </c>
      <c r="ER139" s="55">
        <f t="shared" si="648"/>
        <v>0</v>
      </c>
      <c r="ES139" s="55">
        <f t="shared" si="510"/>
        <v>0</v>
      </c>
      <c r="ET139" s="59">
        <f t="shared" si="885"/>
        <v>0</v>
      </c>
      <c r="EU139" s="55">
        <f t="shared" si="886"/>
        <v>0</v>
      </c>
      <c r="EV139" s="59">
        <f t="shared" si="887"/>
        <v>0</v>
      </c>
      <c r="EW139" s="55">
        <f t="shared" si="888"/>
        <v>0</v>
      </c>
      <c r="EX139" s="59">
        <f t="shared" si="889"/>
        <v>0</v>
      </c>
      <c r="EY139" s="55">
        <f t="shared" si="890"/>
        <v>0</v>
      </c>
      <c r="EZ139" s="59">
        <f t="shared" si="891"/>
        <v>0</v>
      </c>
      <c r="FA139" s="57">
        <f t="shared" si="892"/>
        <v>0</v>
      </c>
      <c r="FB139" s="59">
        <f t="shared" si="893"/>
        <v>0</v>
      </c>
      <c r="FC139" s="55">
        <f t="shared" si="894"/>
        <v>0</v>
      </c>
      <c r="FD139" s="59">
        <f t="shared" si="895"/>
        <v>0</v>
      </c>
      <c r="FE139" s="57">
        <f t="shared" si="896"/>
        <v>0</v>
      </c>
      <c r="FF139" s="59">
        <f t="shared" si="897"/>
        <v>0</v>
      </c>
      <c r="FG139" s="60">
        <f t="shared" si="898"/>
        <v>0</v>
      </c>
      <c r="FH139" s="59">
        <f t="shared" si="899"/>
        <v>0</v>
      </c>
      <c r="FI139" s="57">
        <f t="shared" si="900"/>
        <v>0</v>
      </c>
      <c r="FJ139" s="59">
        <f t="shared" si="901"/>
        <v>0</v>
      </c>
      <c r="FK139" s="55">
        <f t="shared" si="902"/>
        <v>0</v>
      </c>
      <c r="FL139" s="59">
        <f t="shared" si="903"/>
        <v>0</v>
      </c>
      <c r="FM139" s="60">
        <f t="shared" si="904"/>
        <v>0</v>
      </c>
      <c r="FN139" s="59">
        <f t="shared" si="905"/>
        <v>0</v>
      </c>
      <c r="FO139" s="60">
        <f t="shared" si="906"/>
        <v>0</v>
      </c>
      <c r="FP139" s="59">
        <f t="shared" si="907"/>
        <v>0</v>
      </c>
      <c r="FQ139" s="60">
        <f t="shared" si="908"/>
        <v>0</v>
      </c>
      <c r="FR139" s="59">
        <f t="shared" si="909"/>
        <v>0</v>
      </c>
      <c r="FS139" s="55">
        <f t="shared" si="910"/>
        <v>0</v>
      </c>
      <c r="FT139" s="59">
        <f t="shared" si="911"/>
        <v>0</v>
      </c>
      <c r="FU139" s="60">
        <f t="shared" si="912"/>
        <v>0</v>
      </c>
      <c r="FV139" s="59">
        <f t="shared" si="913"/>
        <v>0</v>
      </c>
      <c r="FW139" s="60">
        <f t="shared" si="914"/>
        <v>0</v>
      </c>
      <c r="FX139" s="59">
        <f t="shared" si="915"/>
        <v>0</v>
      </c>
      <c r="FY139" s="60">
        <f t="shared" si="916"/>
        <v>0</v>
      </c>
      <c r="FZ139" s="59">
        <f t="shared" si="917"/>
        <v>0</v>
      </c>
      <c r="GA139" s="60">
        <f t="shared" si="918"/>
        <v>0</v>
      </c>
      <c r="GB139" s="59">
        <f t="shared" si="919"/>
        <v>0</v>
      </c>
      <c r="GC139" s="55">
        <f t="shared" si="920"/>
        <v>0</v>
      </c>
      <c r="GD139" s="59">
        <f t="shared" si="921"/>
        <v>0</v>
      </c>
      <c r="GE139" s="60">
        <f t="shared" si="922"/>
        <v>0</v>
      </c>
      <c r="GF139" s="59">
        <f t="shared" si="923"/>
        <v>0</v>
      </c>
      <c r="GG139" s="60">
        <f t="shared" si="924"/>
        <v>0</v>
      </c>
      <c r="GH139" s="59">
        <f t="shared" si="925"/>
        <v>0</v>
      </c>
      <c r="GI139" s="55">
        <f t="shared" si="926"/>
        <v>0</v>
      </c>
      <c r="GJ139" s="59">
        <f t="shared" si="927"/>
        <v>0</v>
      </c>
      <c r="GK139" s="55"/>
      <c r="GL139" s="55"/>
      <c r="GM139" s="55">
        <v>1</v>
      </c>
      <c r="GN139" s="55">
        <v>0.97</v>
      </c>
      <c r="GO139" s="55">
        <v>0.95</v>
      </c>
      <c r="GP139" s="55">
        <v>0.93</v>
      </c>
      <c r="GQ139" s="55">
        <f t="shared" ref="GQ139:HH153" si="931">+GP139-0.02</f>
        <v>0.91</v>
      </c>
      <c r="GR139" s="55">
        <f t="shared" si="931"/>
        <v>0.89</v>
      </c>
      <c r="GS139" s="55">
        <f t="shared" si="931"/>
        <v>0.87</v>
      </c>
      <c r="GT139" s="55">
        <f t="shared" si="931"/>
        <v>0.85</v>
      </c>
      <c r="GU139" s="55">
        <f t="shared" si="931"/>
        <v>0.83</v>
      </c>
      <c r="GV139" s="55">
        <f t="shared" si="931"/>
        <v>0.80999999999999994</v>
      </c>
      <c r="GW139" s="55">
        <f t="shared" si="931"/>
        <v>0.78999999999999992</v>
      </c>
      <c r="GX139" s="55">
        <f t="shared" si="931"/>
        <v>0.76999999999999991</v>
      </c>
      <c r="GY139" s="55">
        <f t="shared" si="931"/>
        <v>0.74999999999999989</v>
      </c>
      <c r="GZ139" s="55">
        <f t="shared" si="931"/>
        <v>0.72999999999999987</v>
      </c>
      <c r="HA139" s="55">
        <f t="shared" si="931"/>
        <v>0.70999999999999985</v>
      </c>
      <c r="HB139" s="55">
        <f t="shared" si="931"/>
        <v>0.68999999999999984</v>
      </c>
      <c r="HC139" s="55">
        <f t="shared" si="931"/>
        <v>0.66999999999999982</v>
      </c>
      <c r="HD139" s="55">
        <f t="shared" si="931"/>
        <v>0.6499999999999998</v>
      </c>
      <c r="HE139" s="55">
        <f t="shared" si="931"/>
        <v>0.62999999999999978</v>
      </c>
      <c r="HF139" s="55">
        <f t="shared" si="931"/>
        <v>0.60999999999999976</v>
      </c>
      <c r="HG139" s="55">
        <f t="shared" si="931"/>
        <v>0.58999999999999975</v>
      </c>
      <c r="HH139" s="55">
        <f t="shared" si="931"/>
        <v>0.56999999999999973</v>
      </c>
    </row>
    <row r="140" spans="1:216" x14ac:dyDescent="0.3">
      <c r="A140" s="2">
        <v>11</v>
      </c>
      <c r="C140" s="27" t="s">
        <v>113</v>
      </c>
      <c r="D140" s="39">
        <f>SUM(D130:D139)</f>
        <v>16020</v>
      </c>
      <c r="E140" s="39">
        <f>SUM(E130:E139)</f>
        <v>52950</v>
      </c>
      <c r="H140" s="55">
        <f t="shared" si="505"/>
        <v>58245.000000000007</v>
      </c>
      <c r="I140" s="55">
        <f t="shared" si="506"/>
        <v>58245.000000000007</v>
      </c>
      <c r="J140" s="59">
        <f t="shared" si="507"/>
        <v>192546.32100000003</v>
      </c>
      <c r="K140" s="55">
        <f t="shared" si="799"/>
        <v>56497.650000000009</v>
      </c>
      <c r="L140" s="59">
        <f t="shared" si="800"/>
        <v>186769.93137000003</v>
      </c>
      <c r="M140" s="55">
        <f t="shared" si="801"/>
        <v>55332.750000000007</v>
      </c>
      <c r="N140" s="59">
        <f t="shared" si="802"/>
        <v>182919.00495000003</v>
      </c>
      <c r="O140" s="55">
        <f t="shared" si="803"/>
        <v>54167.850000000013</v>
      </c>
      <c r="P140" s="59">
        <f t="shared" si="804"/>
        <v>179068.07853000006</v>
      </c>
      <c r="Q140" s="57">
        <f t="shared" si="805"/>
        <v>53002.950000000012</v>
      </c>
      <c r="R140" s="59">
        <f t="shared" si="806"/>
        <v>175217.15211000005</v>
      </c>
      <c r="S140" s="55">
        <f t="shared" si="807"/>
        <v>51838.05000000001</v>
      </c>
      <c r="T140" s="59">
        <f t="shared" si="808"/>
        <v>171366.22569000005</v>
      </c>
      <c r="U140" s="57">
        <f t="shared" si="809"/>
        <v>50673.150000000009</v>
      </c>
      <c r="V140" s="59">
        <f t="shared" si="810"/>
        <v>167515.29927000005</v>
      </c>
      <c r="W140" s="60">
        <f t="shared" si="811"/>
        <v>49508.250000000007</v>
      </c>
      <c r="X140" s="59">
        <f t="shared" si="812"/>
        <v>163664.37285000001</v>
      </c>
      <c r="Y140" s="57">
        <f t="shared" si="813"/>
        <v>48343.350000000006</v>
      </c>
      <c r="Z140" s="59">
        <f t="shared" si="814"/>
        <v>159813.44643000001</v>
      </c>
      <c r="AA140" s="55">
        <f t="shared" si="815"/>
        <v>47178.450000000004</v>
      </c>
      <c r="AB140" s="59">
        <f t="shared" si="816"/>
        <v>155962.52001000001</v>
      </c>
      <c r="AC140" s="60">
        <f t="shared" si="817"/>
        <v>46013.55</v>
      </c>
      <c r="AD140" s="59">
        <f t="shared" si="818"/>
        <v>152111.59359</v>
      </c>
      <c r="AE140" s="60">
        <f t="shared" si="819"/>
        <v>44848.65</v>
      </c>
      <c r="AF140" s="59">
        <f t="shared" si="820"/>
        <v>148260.66717</v>
      </c>
      <c r="AG140" s="60">
        <f t="shared" si="821"/>
        <v>43683.75</v>
      </c>
      <c r="AH140" s="59">
        <f t="shared" si="822"/>
        <v>144409.74075</v>
      </c>
      <c r="AI140" s="55">
        <f t="shared" si="823"/>
        <v>42518.85</v>
      </c>
      <c r="AJ140" s="59">
        <f t="shared" si="824"/>
        <v>140558.81432999999</v>
      </c>
      <c r="AK140" s="60">
        <f t="shared" si="825"/>
        <v>41353.949999999997</v>
      </c>
      <c r="AL140" s="59">
        <f t="shared" si="826"/>
        <v>136707.88790999999</v>
      </c>
      <c r="AM140" s="60">
        <f t="shared" si="827"/>
        <v>40189.049999999996</v>
      </c>
      <c r="AN140" s="59">
        <f t="shared" si="828"/>
        <v>132856.96148999999</v>
      </c>
      <c r="AO140" s="60">
        <f t="shared" si="829"/>
        <v>39024.149999999994</v>
      </c>
      <c r="AP140" s="59">
        <f t="shared" si="830"/>
        <v>129006.03506999998</v>
      </c>
      <c r="AQ140" s="60">
        <f t="shared" si="831"/>
        <v>37859.249999999993</v>
      </c>
      <c r="AR140" s="59">
        <f t="shared" si="832"/>
        <v>125155.10864999998</v>
      </c>
      <c r="AS140" s="55">
        <f t="shared" si="833"/>
        <v>36694.349999999991</v>
      </c>
      <c r="AT140" s="59">
        <f t="shared" si="834"/>
        <v>121304.18222999998</v>
      </c>
      <c r="AU140" s="60">
        <f t="shared" si="835"/>
        <v>35529.44999999999</v>
      </c>
      <c r="AV140" s="59">
        <f t="shared" si="836"/>
        <v>117453.25580999997</v>
      </c>
      <c r="AW140" s="60">
        <f t="shared" si="837"/>
        <v>34364.549999999988</v>
      </c>
      <c r="AX140" s="59">
        <f t="shared" si="838"/>
        <v>113602.32938999997</v>
      </c>
      <c r="AY140" s="55">
        <f t="shared" si="839"/>
        <v>33199.649999999987</v>
      </c>
      <c r="AZ140" s="59">
        <f t="shared" si="840"/>
        <v>109751.40296999995</v>
      </c>
      <c r="BC140" s="55">
        <v>1</v>
      </c>
      <c r="BD140" s="55">
        <v>0.97</v>
      </c>
      <c r="BE140" s="55">
        <v>0.95</v>
      </c>
      <c r="BF140" s="55">
        <v>0.93</v>
      </c>
      <c r="BG140" s="55">
        <f t="shared" si="841"/>
        <v>0.91</v>
      </c>
      <c r="BH140" s="55">
        <f t="shared" si="841"/>
        <v>0.89</v>
      </c>
      <c r="BI140" s="55">
        <f t="shared" si="841"/>
        <v>0.87</v>
      </c>
      <c r="BJ140" s="55">
        <f t="shared" si="841"/>
        <v>0.85</v>
      </c>
      <c r="BK140" s="55">
        <f t="shared" si="841"/>
        <v>0.83</v>
      </c>
      <c r="BL140" s="55">
        <f t="shared" si="841"/>
        <v>0.80999999999999994</v>
      </c>
      <c r="BM140" s="55">
        <f t="shared" si="841"/>
        <v>0.78999999999999992</v>
      </c>
      <c r="BN140" s="55">
        <f t="shared" si="841"/>
        <v>0.76999999999999991</v>
      </c>
      <c r="BO140" s="55">
        <f t="shared" si="841"/>
        <v>0.74999999999999989</v>
      </c>
      <c r="BP140" s="55">
        <f t="shared" si="841"/>
        <v>0.72999999999999987</v>
      </c>
      <c r="BQ140" s="55">
        <f t="shared" si="841"/>
        <v>0.70999999999999985</v>
      </c>
      <c r="BR140" s="55">
        <f t="shared" si="841"/>
        <v>0.68999999999999984</v>
      </c>
      <c r="BS140" s="55">
        <f t="shared" si="841"/>
        <v>0.66999999999999982</v>
      </c>
      <c r="BT140" s="55">
        <f t="shared" si="841"/>
        <v>0.6499999999999998</v>
      </c>
      <c r="BU140" s="55">
        <f t="shared" si="841"/>
        <v>0.62999999999999978</v>
      </c>
      <c r="BV140" s="55">
        <f t="shared" si="841"/>
        <v>0.60999999999999976</v>
      </c>
      <c r="BW140" s="55">
        <f t="shared" si="841"/>
        <v>0.58999999999999975</v>
      </c>
      <c r="BX140" s="55">
        <f t="shared" si="841"/>
        <v>0.56999999999999973</v>
      </c>
      <c r="BZ140" s="55">
        <f t="shared" si="508"/>
        <v>53002.950000000012</v>
      </c>
      <c r="CA140" s="55">
        <f t="shared" si="509"/>
        <v>53002.950000000012</v>
      </c>
      <c r="CB140" s="59">
        <f t="shared" si="842"/>
        <v>175217.15211000005</v>
      </c>
      <c r="CC140" s="55">
        <f t="shared" si="843"/>
        <v>51412.861500000006</v>
      </c>
      <c r="CD140" s="59">
        <f t="shared" si="844"/>
        <v>169960.63754670002</v>
      </c>
      <c r="CE140" s="55">
        <f t="shared" si="845"/>
        <v>50352.802500000005</v>
      </c>
      <c r="CF140" s="59">
        <f t="shared" si="846"/>
        <v>166456.29450450002</v>
      </c>
      <c r="CG140" s="55">
        <f t="shared" si="847"/>
        <v>49292.743500000011</v>
      </c>
      <c r="CH140" s="59">
        <f t="shared" si="848"/>
        <v>162951.95146230003</v>
      </c>
      <c r="CI140" s="57">
        <f t="shared" si="849"/>
        <v>48232.68450000001</v>
      </c>
      <c r="CJ140" s="59">
        <f t="shared" si="850"/>
        <v>159447.60842010003</v>
      </c>
      <c r="CK140" s="55">
        <f t="shared" si="851"/>
        <v>47172.625500000009</v>
      </c>
      <c r="CL140" s="59">
        <f t="shared" si="852"/>
        <v>155943.26537790004</v>
      </c>
      <c r="CM140" s="57">
        <f t="shared" si="853"/>
        <v>46112.566500000008</v>
      </c>
      <c r="CN140" s="59">
        <f t="shared" si="854"/>
        <v>152438.92233570002</v>
      </c>
      <c r="CO140" s="60">
        <f t="shared" si="855"/>
        <v>45052.507500000007</v>
      </c>
      <c r="CP140" s="59">
        <f t="shared" si="856"/>
        <v>148934.57929350002</v>
      </c>
      <c r="CQ140" s="57">
        <f t="shared" si="857"/>
        <v>43992.448500000006</v>
      </c>
      <c r="CR140" s="59">
        <f t="shared" si="858"/>
        <v>145430.23625130003</v>
      </c>
      <c r="CS140" s="55">
        <f t="shared" si="859"/>
        <v>42932.389500000005</v>
      </c>
      <c r="CT140" s="59">
        <f t="shared" si="860"/>
        <v>141925.89320910003</v>
      </c>
      <c r="CU140" s="60">
        <f t="shared" si="861"/>
        <v>41872.330500000004</v>
      </c>
      <c r="CV140" s="59">
        <f t="shared" si="862"/>
        <v>138421.55016690001</v>
      </c>
      <c r="CW140" s="60">
        <f t="shared" si="863"/>
        <v>40812.271500000003</v>
      </c>
      <c r="CX140" s="59">
        <f t="shared" si="864"/>
        <v>134917.20712470001</v>
      </c>
      <c r="CY140" s="60">
        <f t="shared" si="865"/>
        <v>39752.212500000001</v>
      </c>
      <c r="CZ140" s="59">
        <f t="shared" si="866"/>
        <v>131412.86408250002</v>
      </c>
      <c r="DA140" s="55">
        <f t="shared" si="867"/>
        <v>38692.1535</v>
      </c>
      <c r="DB140" s="59">
        <f t="shared" si="868"/>
        <v>127908.52104030001</v>
      </c>
      <c r="DC140" s="60">
        <f t="shared" si="869"/>
        <v>37632.094499999999</v>
      </c>
      <c r="DD140" s="59">
        <f t="shared" si="870"/>
        <v>124404.1779981</v>
      </c>
      <c r="DE140" s="60">
        <f t="shared" si="871"/>
        <v>36572.035499999998</v>
      </c>
      <c r="DF140" s="59">
        <f t="shared" si="872"/>
        <v>120899.83495589999</v>
      </c>
      <c r="DG140" s="60">
        <f t="shared" si="873"/>
        <v>35511.976499999997</v>
      </c>
      <c r="DH140" s="59">
        <f t="shared" si="874"/>
        <v>117395.4919137</v>
      </c>
      <c r="DI140" s="60">
        <f t="shared" si="875"/>
        <v>34451.917499999996</v>
      </c>
      <c r="DJ140" s="59">
        <f t="shared" si="876"/>
        <v>113891.14887149999</v>
      </c>
      <c r="DK140" s="55">
        <f t="shared" si="877"/>
        <v>33391.858499999995</v>
      </c>
      <c r="DL140" s="59">
        <f t="shared" si="878"/>
        <v>110386.80582929999</v>
      </c>
      <c r="DM140" s="60">
        <f t="shared" si="879"/>
        <v>32331.799499999994</v>
      </c>
      <c r="DN140" s="59">
        <f t="shared" si="880"/>
        <v>106882.46278709998</v>
      </c>
      <c r="DO140" s="60">
        <f t="shared" si="881"/>
        <v>31271.740499999993</v>
      </c>
      <c r="DP140" s="59">
        <f t="shared" si="882"/>
        <v>103378.11974489997</v>
      </c>
      <c r="DQ140" s="55">
        <f t="shared" si="883"/>
        <v>30211.681499999992</v>
      </c>
      <c r="DR140" s="59">
        <f t="shared" si="884"/>
        <v>99873.776702699979</v>
      </c>
      <c r="DU140" s="55">
        <v>1</v>
      </c>
      <c r="DV140" s="55">
        <v>0.97</v>
      </c>
      <c r="DW140" s="55">
        <v>0.95</v>
      </c>
      <c r="DX140" s="55">
        <v>0.93</v>
      </c>
      <c r="DY140" s="55">
        <f t="shared" si="930"/>
        <v>0.91</v>
      </c>
      <c r="DZ140" s="55">
        <f t="shared" si="930"/>
        <v>0.89</v>
      </c>
      <c r="EA140" s="55">
        <f t="shared" si="930"/>
        <v>0.87</v>
      </c>
      <c r="EB140" s="55">
        <f t="shared" si="930"/>
        <v>0.85</v>
      </c>
      <c r="EC140" s="55">
        <f t="shared" si="930"/>
        <v>0.83</v>
      </c>
      <c r="ED140" s="55">
        <f t="shared" si="930"/>
        <v>0.80999999999999994</v>
      </c>
      <c r="EE140" s="55">
        <f t="shared" si="930"/>
        <v>0.78999999999999992</v>
      </c>
      <c r="EF140" s="55">
        <f t="shared" si="930"/>
        <v>0.76999999999999991</v>
      </c>
      <c r="EG140" s="55">
        <f t="shared" si="930"/>
        <v>0.74999999999999989</v>
      </c>
      <c r="EH140" s="55">
        <f t="shared" si="930"/>
        <v>0.72999999999999987</v>
      </c>
      <c r="EI140" s="55">
        <f t="shared" si="930"/>
        <v>0.70999999999999985</v>
      </c>
      <c r="EJ140" s="55">
        <f t="shared" si="930"/>
        <v>0.68999999999999984</v>
      </c>
      <c r="EK140" s="55">
        <f t="shared" si="930"/>
        <v>0.66999999999999982</v>
      </c>
      <c r="EL140" s="55">
        <f t="shared" si="930"/>
        <v>0.6499999999999998</v>
      </c>
      <c r="EM140" s="55">
        <f t="shared" si="930"/>
        <v>0.62999999999999978</v>
      </c>
      <c r="EN140" s="55">
        <f t="shared" si="930"/>
        <v>0.60999999999999976</v>
      </c>
      <c r="EO140" s="55">
        <f t="shared" si="930"/>
        <v>0.58999999999999975</v>
      </c>
      <c r="EP140" s="55">
        <f t="shared" si="930"/>
        <v>0.56999999999999973</v>
      </c>
      <c r="ER140" s="55">
        <f t="shared" si="648"/>
        <v>48232.68450000001</v>
      </c>
      <c r="ES140" s="55">
        <f t="shared" si="510"/>
        <v>48232.68450000001</v>
      </c>
      <c r="ET140" s="59">
        <f t="shared" si="885"/>
        <v>159447.60842010003</v>
      </c>
      <c r="EU140" s="55">
        <f t="shared" si="886"/>
        <v>46785.703965000008</v>
      </c>
      <c r="EV140" s="59">
        <f t="shared" si="887"/>
        <v>154664.18016749702</v>
      </c>
      <c r="EW140" s="55">
        <f t="shared" si="888"/>
        <v>45821.050275000009</v>
      </c>
      <c r="EX140" s="59">
        <f t="shared" si="889"/>
        <v>151475.22799909502</v>
      </c>
      <c r="EY140" s="55">
        <f t="shared" si="890"/>
        <v>44856.39658500001</v>
      </c>
      <c r="EZ140" s="59">
        <f t="shared" si="891"/>
        <v>148286.27583069305</v>
      </c>
      <c r="FA140" s="57">
        <f t="shared" si="892"/>
        <v>43891.74289500001</v>
      </c>
      <c r="FB140" s="59">
        <f t="shared" si="893"/>
        <v>145097.32366229105</v>
      </c>
      <c r="FC140" s="55">
        <f t="shared" si="894"/>
        <v>42927.089205000011</v>
      </c>
      <c r="FD140" s="59">
        <f t="shared" si="895"/>
        <v>141908.37149388905</v>
      </c>
      <c r="FE140" s="57">
        <f t="shared" si="896"/>
        <v>41962.435515000012</v>
      </c>
      <c r="FF140" s="59">
        <f t="shared" si="897"/>
        <v>138719.41932548705</v>
      </c>
      <c r="FG140" s="60">
        <f t="shared" si="898"/>
        <v>40997.781825000005</v>
      </c>
      <c r="FH140" s="59">
        <f t="shared" si="899"/>
        <v>135530.46715708502</v>
      </c>
      <c r="FI140" s="57">
        <f t="shared" si="900"/>
        <v>40033.128135000006</v>
      </c>
      <c r="FJ140" s="59">
        <f t="shared" si="901"/>
        <v>132341.51498868302</v>
      </c>
      <c r="FK140" s="55">
        <f t="shared" si="902"/>
        <v>39068.474445000007</v>
      </c>
      <c r="FL140" s="59">
        <f t="shared" si="903"/>
        <v>129152.56282028103</v>
      </c>
      <c r="FM140" s="60">
        <f t="shared" si="904"/>
        <v>38103.820755000008</v>
      </c>
      <c r="FN140" s="59">
        <f t="shared" si="905"/>
        <v>125963.61065187903</v>
      </c>
      <c r="FO140" s="60">
        <f t="shared" si="906"/>
        <v>37139.167065000001</v>
      </c>
      <c r="FP140" s="59">
        <f t="shared" si="907"/>
        <v>122774.658483477</v>
      </c>
      <c r="FQ140" s="60">
        <f t="shared" si="908"/>
        <v>36174.513375000002</v>
      </c>
      <c r="FR140" s="59">
        <f t="shared" si="909"/>
        <v>119585.706315075</v>
      </c>
      <c r="FS140" s="55">
        <f t="shared" si="910"/>
        <v>35209.859685000003</v>
      </c>
      <c r="FT140" s="59">
        <f t="shared" si="911"/>
        <v>116396.75414667302</v>
      </c>
      <c r="FU140" s="60">
        <f t="shared" si="912"/>
        <v>34245.205994999997</v>
      </c>
      <c r="FV140" s="59">
        <f t="shared" si="913"/>
        <v>113207.80197827099</v>
      </c>
      <c r="FW140" s="60">
        <f t="shared" si="914"/>
        <v>33280.552304999997</v>
      </c>
      <c r="FX140" s="59">
        <f t="shared" si="915"/>
        <v>110018.84980986899</v>
      </c>
      <c r="FY140" s="60">
        <f t="shared" si="916"/>
        <v>32315.898614999998</v>
      </c>
      <c r="FZ140" s="59">
        <f t="shared" si="917"/>
        <v>106829.897641467</v>
      </c>
      <c r="GA140" s="60">
        <f t="shared" si="918"/>
        <v>31351.244924999995</v>
      </c>
      <c r="GB140" s="59">
        <f t="shared" si="919"/>
        <v>103640.94547306499</v>
      </c>
      <c r="GC140" s="55">
        <f t="shared" si="920"/>
        <v>30386.591234999996</v>
      </c>
      <c r="GD140" s="59">
        <f t="shared" si="921"/>
        <v>100451.99330466299</v>
      </c>
      <c r="GE140" s="60">
        <f t="shared" si="922"/>
        <v>29421.937544999993</v>
      </c>
      <c r="GF140" s="59">
        <f t="shared" si="923"/>
        <v>97263.041136260974</v>
      </c>
      <c r="GG140" s="60">
        <f t="shared" si="924"/>
        <v>28457.283854999994</v>
      </c>
      <c r="GH140" s="59">
        <f t="shared" si="925"/>
        <v>94074.088967858988</v>
      </c>
      <c r="GI140" s="55">
        <f t="shared" si="926"/>
        <v>27492.630164999991</v>
      </c>
      <c r="GJ140" s="59">
        <f t="shared" si="927"/>
        <v>90885.136799456974</v>
      </c>
      <c r="GK140" s="55"/>
      <c r="GL140" s="55"/>
      <c r="GM140" s="55">
        <v>1</v>
      </c>
      <c r="GN140" s="55">
        <v>0.97</v>
      </c>
      <c r="GO140" s="55">
        <v>0.95</v>
      </c>
      <c r="GP140" s="55">
        <v>0.93</v>
      </c>
      <c r="GQ140" s="55">
        <f t="shared" si="931"/>
        <v>0.91</v>
      </c>
      <c r="GR140" s="55">
        <f t="shared" si="931"/>
        <v>0.89</v>
      </c>
      <c r="GS140" s="55">
        <f t="shared" si="931"/>
        <v>0.87</v>
      </c>
      <c r="GT140" s="55">
        <f t="shared" si="931"/>
        <v>0.85</v>
      </c>
      <c r="GU140" s="55">
        <f t="shared" si="931"/>
        <v>0.83</v>
      </c>
      <c r="GV140" s="55">
        <f t="shared" si="931"/>
        <v>0.80999999999999994</v>
      </c>
      <c r="GW140" s="55">
        <f t="shared" si="931"/>
        <v>0.78999999999999992</v>
      </c>
      <c r="GX140" s="55">
        <f t="shared" si="931"/>
        <v>0.76999999999999991</v>
      </c>
      <c r="GY140" s="55">
        <f t="shared" si="931"/>
        <v>0.74999999999999989</v>
      </c>
      <c r="GZ140" s="55">
        <f t="shared" si="931"/>
        <v>0.72999999999999987</v>
      </c>
      <c r="HA140" s="55">
        <f t="shared" si="931"/>
        <v>0.70999999999999985</v>
      </c>
      <c r="HB140" s="55">
        <f t="shared" si="931"/>
        <v>0.68999999999999984</v>
      </c>
      <c r="HC140" s="55">
        <f t="shared" si="931"/>
        <v>0.66999999999999982</v>
      </c>
      <c r="HD140" s="55">
        <f t="shared" si="931"/>
        <v>0.6499999999999998</v>
      </c>
      <c r="HE140" s="55">
        <f t="shared" si="931"/>
        <v>0.62999999999999978</v>
      </c>
      <c r="HF140" s="55">
        <f t="shared" si="931"/>
        <v>0.60999999999999976</v>
      </c>
      <c r="HG140" s="55">
        <f t="shared" si="931"/>
        <v>0.58999999999999975</v>
      </c>
      <c r="HH140" s="55">
        <f t="shared" si="931"/>
        <v>0.56999999999999973</v>
      </c>
    </row>
    <row r="141" spans="1:216" s="64" customFormat="1" x14ac:dyDescent="0.3">
      <c r="C141" s="65"/>
      <c r="D141" s="65"/>
      <c r="E141" s="65"/>
      <c r="G141" s="61"/>
      <c r="H141" s="61"/>
      <c r="I141" s="61"/>
      <c r="J141" s="61"/>
      <c r="K141" s="61"/>
      <c r="L141" s="61"/>
      <c r="M141" s="61"/>
      <c r="N141" s="61"/>
      <c r="O141" s="61"/>
      <c r="P141" s="62"/>
      <c r="Q141" s="61"/>
      <c r="R141" s="61"/>
      <c r="S141" s="61"/>
      <c r="T141" s="62"/>
      <c r="U141" s="61"/>
      <c r="V141" s="63"/>
      <c r="W141" s="61"/>
      <c r="X141" s="62"/>
      <c r="Y141" s="61"/>
      <c r="Z141" s="61"/>
      <c r="AA141" s="61"/>
      <c r="AB141" s="63"/>
      <c r="AC141" s="61"/>
      <c r="AD141" s="63"/>
      <c r="AE141" s="61"/>
      <c r="AF141" s="63"/>
      <c r="AG141" s="61"/>
      <c r="AH141" s="61"/>
      <c r="AI141" s="61"/>
      <c r="AJ141" s="63"/>
      <c r="AK141" s="61"/>
      <c r="AL141" s="63"/>
      <c r="AM141" s="61"/>
      <c r="AN141" s="63"/>
      <c r="AO141" s="61"/>
      <c r="AP141" s="63"/>
      <c r="AQ141" s="61"/>
      <c r="AR141" s="61"/>
      <c r="AS141" s="61"/>
      <c r="AT141" s="63"/>
      <c r="AU141" s="61"/>
      <c r="AV141" s="63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>
        <f t="shared" ref="BY141:BY142" si="932">+G141*0.91</f>
        <v>0</v>
      </c>
      <c r="BZ141" s="61"/>
      <c r="CA141" s="61"/>
      <c r="CB141" s="61"/>
      <c r="CC141" s="61"/>
      <c r="CD141" s="61"/>
      <c r="CE141" s="61"/>
      <c r="CF141" s="61"/>
      <c r="CG141" s="61"/>
      <c r="CH141" s="62"/>
      <c r="CI141" s="61"/>
      <c r="CJ141" s="61"/>
      <c r="CK141" s="61"/>
      <c r="CL141" s="62"/>
      <c r="CM141" s="61"/>
      <c r="CN141" s="63"/>
      <c r="CO141" s="61"/>
      <c r="CP141" s="62"/>
      <c r="CQ141" s="61"/>
      <c r="CR141" s="61"/>
      <c r="CS141" s="61"/>
      <c r="CT141" s="63"/>
      <c r="CU141" s="61"/>
      <c r="CV141" s="63"/>
      <c r="CW141" s="61"/>
      <c r="CX141" s="63"/>
      <c r="CY141" s="61"/>
      <c r="CZ141" s="61"/>
      <c r="DA141" s="61"/>
      <c r="DB141" s="63"/>
      <c r="DC141" s="61"/>
      <c r="DD141" s="63"/>
      <c r="DE141" s="61"/>
      <c r="DF141" s="63"/>
      <c r="DG141" s="61"/>
      <c r="DH141" s="63"/>
      <c r="DI141" s="61"/>
      <c r="DJ141" s="61"/>
      <c r="DK141" s="61"/>
      <c r="DL141" s="63"/>
      <c r="DM141" s="61"/>
      <c r="DN141" s="63"/>
      <c r="DO141" s="61"/>
      <c r="DP141" s="61"/>
      <c r="DQ141" s="61"/>
      <c r="DR141" s="61"/>
      <c r="DS141" s="61"/>
      <c r="DT141" s="61">
        <v>1</v>
      </c>
      <c r="DU141" s="61">
        <v>0.97</v>
      </c>
      <c r="DV141" s="61">
        <v>0.95</v>
      </c>
      <c r="DW141" s="61">
        <v>0.93</v>
      </c>
      <c r="DX141" s="61">
        <f t="shared" ref="DX141:EO142" si="933">+DW141-0.02</f>
        <v>0.91</v>
      </c>
      <c r="DY141" s="61">
        <f t="shared" si="933"/>
        <v>0.89</v>
      </c>
      <c r="DZ141" s="61">
        <f t="shared" si="933"/>
        <v>0.87</v>
      </c>
      <c r="EA141" s="61">
        <f t="shared" si="933"/>
        <v>0.85</v>
      </c>
      <c r="EB141" s="61">
        <f t="shared" si="933"/>
        <v>0.83</v>
      </c>
      <c r="EC141" s="61">
        <f t="shared" si="933"/>
        <v>0.80999999999999994</v>
      </c>
      <c r="ED141" s="61">
        <f t="shared" si="933"/>
        <v>0.78999999999999992</v>
      </c>
      <c r="EE141" s="61">
        <f t="shared" si="933"/>
        <v>0.76999999999999991</v>
      </c>
      <c r="EF141" s="61">
        <f t="shared" si="933"/>
        <v>0.74999999999999989</v>
      </c>
      <c r="EG141" s="61">
        <f t="shared" si="933"/>
        <v>0.72999999999999987</v>
      </c>
      <c r="EH141" s="61">
        <f t="shared" si="933"/>
        <v>0.70999999999999985</v>
      </c>
      <c r="EI141" s="61">
        <f t="shared" si="933"/>
        <v>0.68999999999999984</v>
      </c>
      <c r="EJ141" s="61">
        <f t="shared" si="933"/>
        <v>0.66999999999999982</v>
      </c>
      <c r="EK141" s="61">
        <f t="shared" si="933"/>
        <v>0.6499999999999998</v>
      </c>
      <c r="EL141" s="61">
        <f t="shared" si="933"/>
        <v>0.62999999999999978</v>
      </c>
      <c r="EM141" s="61">
        <f t="shared" si="933"/>
        <v>0.60999999999999976</v>
      </c>
      <c r="EN141" s="61">
        <f t="shared" si="933"/>
        <v>0.58999999999999975</v>
      </c>
      <c r="EO141" s="61">
        <f t="shared" si="933"/>
        <v>0.56999999999999973</v>
      </c>
      <c r="EQ141" s="61">
        <f t="shared" ref="EQ141:EQ142" si="934">+BY141*0.91</f>
        <v>0</v>
      </c>
      <c r="ER141" s="61"/>
      <c r="ES141" s="61"/>
      <c r="ET141" s="61"/>
      <c r="EU141" s="61"/>
      <c r="EV141" s="61"/>
      <c r="EW141" s="61"/>
      <c r="EX141" s="61"/>
      <c r="EY141" s="61"/>
      <c r="EZ141" s="62"/>
      <c r="FA141" s="61"/>
      <c r="FB141" s="61"/>
      <c r="FC141" s="61"/>
      <c r="FD141" s="62"/>
      <c r="FE141" s="61"/>
      <c r="FF141" s="63"/>
      <c r="FG141" s="61"/>
      <c r="FH141" s="62"/>
      <c r="FI141" s="61"/>
      <c r="FJ141" s="61"/>
      <c r="FK141" s="61"/>
      <c r="FL141" s="63"/>
      <c r="FM141" s="61"/>
      <c r="FN141" s="63"/>
      <c r="FO141" s="61"/>
      <c r="FP141" s="63"/>
      <c r="FQ141" s="61"/>
      <c r="FR141" s="61"/>
      <c r="FS141" s="61"/>
      <c r="FT141" s="63"/>
      <c r="FU141" s="61"/>
      <c r="FV141" s="63"/>
      <c r="FW141" s="61"/>
      <c r="FX141" s="63"/>
      <c r="FY141" s="61"/>
      <c r="FZ141" s="63"/>
      <c r="GA141" s="61"/>
      <c r="GB141" s="61"/>
      <c r="GC141" s="61"/>
      <c r="GD141" s="63"/>
      <c r="GE141" s="61"/>
      <c r="GF141" s="63"/>
      <c r="GG141" s="61"/>
      <c r="GH141" s="61"/>
      <c r="GI141" s="61"/>
      <c r="GJ141" s="61"/>
      <c r="GK141" s="61"/>
      <c r="GL141" s="61">
        <v>1</v>
      </c>
      <c r="GM141" s="61">
        <v>0.97</v>
      </c>
      <c r="GN141" s="61">
        <v>0.95</v>
      </c>
      <c r="GO141" s="61">
        <v>0.93</v>
      </c>
      <c r="GP141" s="61">
        <f t="shared" ref="GP141:HG142" si="935">+GO141-0.02</f>
        <v>0.91</v>
      </c>
      <c r="GQ141" s="61">
        <f t="shared" si="935"/>
        <v>0.89</v>
      </c>
      <c r="GR141" s="61">
        <f t="shared" si="935"/>
        <v>0.87</v>
      </c>
      <c r="GS141" s="61">
        <f t="shared" si="935"/>
        <v>0.85</v>
      </c>
      <c r="GT141" s="61">
        <f t="shared" si="935"/>
        <v>0.83</v>
      </c>
      <c r="GU141" s="61">
        <f t="shared" si="935"/>
        <v>0.80999999999999994</v>
      </c>
      <c r="GV141" s="61">
        <f t="shared" si="935"/>
        <v>0.78999999999999992</v>
      </c>
      <c r="GW141" s="61">
        <f t="shared" si="935"/>
        <v>0.76999999999999991</v>
      </c>
      <c r="GX141" s="61">
        <f t="shared" si="935"/>
        <v>0.74999999999999989</v>
      </c>
      <c r="GY141" s="61">
        <f t="shared" si="935"/>
        <v>0.72999999999999987</v>
      </c>
      <c r="GZ141" s="61">
        <f t="shared" si="935"/>
        <v>0.70999999999999985</v>
      </c>
      <c r="HA141" s="61">
        <f t="shared" si="935"/>
        <v>0.68999999999999984</v>
      </c>
      <c r="HB141" s="61">
        <f t="shared" si="935"/>
        <v>0.66999999999999982</v>
      </c>
      <c r="HC141" s="61">
        <f t="shared" si="935"/>
        <v>0.6499999999999998</v>
      </c>
      <c r="HD141" s="61">
        <f t="shared" si="935"/>
        <v>0.62999999999999978</v>
      </c>
      <c r="HE141" s="61">
        <f t="shared" si="935"/>
        <v>0.60999999999999976</v>
      </c>
      <c r="HF141" s="61">
        <f t="shared" si="935"/>
        <v>0.58999999999999975</v>
      </c>
      <c r="HG141" s="61">
        <f t="shared" si="935"/>
        <v>0.56999999999999973</v>
      </c>
    </row>
    <row r="142" spans="1:216" s="64" customFormat="1" ht="17.25" thickBot="1" x14ac:dyDescent="0.35">
      <c r="B142" s="64" t="s">
        <v>302</v>
      </c>
      <c r="C142" s="64" t="s">
        <v>298</v>
      </c>
      <c r="D142" s="65" t="s">
        <v>272</v>
      </c>
      <c r="E142" s="65" t="s">
        <v>155</v>
      </c>
      <c r="G142" s="61"/>
      <c r="H142" s="61"/>
      <c r="I142" s="61"/>
      <c r="J142" s="61"/>
      <c r="K142" s="61"/>
      <c r="L142" s="61"/>
      <c r="M142" s="61"/>
      <c r="N142" s="61"/>
      <c r="O142" s="61"/>
      <c r="P142" s="62"/>
      <c r="Q142" s="61"/>
      <c r="R142" s="61"/>
      <c r="S142" s="61"/>
      <c r="T142" s="62"/>
      <c r="U142" s="61"/>
      <c r="V142" s="63"/>
      <c r="W142" s="61"/>
      <c r="X142" s="62"/>
      <c r="Y142" s="61"/>
      <c r="Z142" s="61"/>
      <c r="AA142" s="61"/>
      <c r="AB142" s="63"/>
      <c r="AC142" s="61"/>
      <c r="AD142" s="63"/>
      <c r="AE142" s="61"/>
      <c r="AF142" s="63"/>
      <c r="AG142" s="61"/>
      <c r="AH142" s="61"/>
      <c r="AI142" s="61"/>
      <c r="AJ142" s="63"/>
      <c r="AK142" s="61"/>
      <c r="AL142" s="63"/>
      <c r="AM142" s="61"/>
      <c r="AN142" s="63"/>
      <c r="AO142" s="61"/>
      <c r="AP142" s="63"/>
      <c r="AQ142" s="61"/>
      <c r="AR142" s="61"/>
      <c r="AS142" s="61"/>
      <c r="AT142" s="63"/>
      <c r="AU142" s="61"/>
      <c r="AV142" s="63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>
        <f t="shared" si="932"/>
        <v>0</v>
      </c>
      <c r="BZ142" s="61"/>
      <c r="CA142" s="61"/>
      <c r="CB142" s="61"/>
      <c r="CC142" s="61"/>
      <c r="CD142" s="61"/>
      <c r="CE142" s="61"/>
      <c r="CF142" s="61"/>
      <c r="CG142" s="61"/>
      <c r="CH142" s="62"/>
      <c r="CI142" s="61"/>
      <c r="CJ142" s="61"/>
      <c r="CK142" s="61"/>
      <c r="CL142" s="62"/>
      <c r="CM142" s="61"/>
      <c r="CN142" s="63"/>
      <c r="CO142" s="61"/>
      <c r="CP142" s="62"/>
      <c r="CQ142" s="61"/>
      <c r="CR142" s="61"/>
      <c r="CS142" s="61"/>
      <c r="CT142" s="63"/>
      <c r="CU142" s="61"/>
      <c r="CV142" s="63"/>
      <c r="CW142" s="61"/>
      <c r="CX142" s="63"/>
      <c r="CY142" s="61"/>
      <c r="CZ142" s="61"/>
      <c r="DA142" s="61"/>
      <c r="DB142" s="63"/>
      <c r="DC142" s="61"/>
      <c r="DD142" s="63"/>
      <c r="DE142" s="61"/>
      <c r="DF142" s="63"/>
      <c r="DG142" s="61"/>
      <c r="DH142" s="63"/>
      <c r="DI142" s="61"/>
      <c r="DJ142" s="61"/>
      <c r="DK142" s="61"/>
      <c r="DL142" s="63"/>
      <c r="DM142" s="61"/>
      <c r="DN142" s="63"/>
      <c r="DO142" s="61"/>
      <c r="DP142" s="61"/>
      <c r="DQ142" s="61"/>
      <c r="DR142" s="61"/>
      <c r="DS142" s="61"/>
      <c r="DT142" s="61">
        <v>1</v>
      </c>
      <c r="DU142" s="61">
        <v>0.97</v>
      </c>
      <c r="DV142" s="61">
        <v>0.95</v>
      </c>
      <c r="DW142" s="61">
        <v>0.93</v>
      </c>
      <c r="DX142" s="61">
        <f t="shared" si="933"/>
        <v>0.91</v>
      </c>
      <c r="DY142" s="61">
        <f t="shared" si="933"/>
        <v>0.89</v>
      </c>
      <c r="DZ142" s="61">
        <f t="shared" si="933"/>
        <v>0.87</v>
      </c>
      <c r="EA142" s="61">
        <f t="shared" si="933"/>
        <v>0.85</v>
      </c>
      <c r="EB142" s="61">
        <f t="shared" si="933"/>
        <v>0.83</v>
      </c>
      <c r="EC142" s="61">
        <f t="shared" si="933"/>
        <v>0.80999999999999994</v>
      </c>
      <c r="ED142" s="61">
        <f t="shared" si="933"/>
        <v>0.78999999999999992</v>
      </c>
      <c r="EE142" s="61">
        <f t="shared" si="933"/>
        <v>0.76999999999999991</v>
      </c>
      <c r="EF142" s="61">
        <f t="shared" si="933"/>
        <v>0.74999999999999989</v>
      </c>
      <c r="EG142" s="61">
        <f t="shared" si="933"/>
        <v>0.72999999999999987</v>
      </c>
      <c r="EH142" s="61">
        <f t="shared" si="933"/>
        <v>0.70999999999999985</v>
      </c>
      <c r="EI142" s="61">
        <f t="shared" si="933"/>
        <v>0.68999999999999984</v>
      </c>
      <c r="EJ142" s="61">
        <f t="shared" si="933"/>
        <v>0.66999999999999982</v>
      </c>
      <c r="EK142" s="61">
        <f t="shared" si="933"/>
        <v>0.6499999999999998</v>
      </c>
      <c r="EL142" s="61">
        <f t="shared" si="933"/>
        <v>0.62999999999999978</v>
      </c>
      <c r="EM142" s="61">
        <f t="shared" si="933"/>
        <v>0.60999999999999976</v>
      </c>
      <c r="EN142" s="61">
        <f t="shared" si="933"/>
        <v>0.58999999999999975</v>
      </c>
      <c r="EO142" s="61">
        <f t="shared" si="933"/>
        <v>0.56999999999999973</v>
      </c>
      <c r="EQ142" s="61">
        <f t="shared" si="934"/>
        <v>0</v>
      </c>
      <c r="ER142" s="61"/>
      <c r="ES142" s="61"/>
      <c r="ET142" s="61"/>
      <c r="EU142" s="61"/>
      <c r="EV142" s="61"/>
      <c r="EW142" s="61"/>
      <c r="EX142" s="61"/>
      <c r="EY142" s="61"/>
      <c r="EZ142" s="62"/>
      <c r="FA142" s="61"/>
      <c r="FB142" s="61"/>
      <c r="FC142" s="61"/>
      <c r="FD142" s="62"/>
      <c r="FE142" s="61"/>
      <c r="FF142" s="63"/>
      <c r="FG142" s="61"/>
      <c r="FH142" s="62"/>
      <c r="FI142" s="61"/>
      <c r="FJ142" s="61"/>
      <c r="FK142" s="61"/>
      <c r="FL142" s="63"/>
      <c r="FM142" s="61"/>
      <c r="FN142" s="63"/>
      <c r="FO142" s="61"/>
      <c r="FP142" s="63"/>
      <c r="FQ142" s="61"/>
      <c r="FR142" s="61"/>
      <c r="FS142" s="61"/>
      <c r="FT142" s="63"/>
      <c r="FU142" s="61"/>
      <c r="FV142" s="63"/>
      <c r="FW142" s="61"/>
      <c r="FX142" s="63"/>
      <c r="FY142" s="61"/>
      <c r="FZ142" s="63"/>
      <c r="GA142" s="61"/>
      <c r="GB142" s="61"/>
      <c r="GC142" s="61"/>
      <c r="GD142" s="63"/>
      <c r="GE142" s="61"/>
      <c r="GF142" s="63"/>
      <c r="GG142" s="61"/>
      <c r="GH142" s="61"/>
      <c r="GI142" s="61"/>
      <c r="GJ142" s="61"/>
      <c r="GK142" s="61"/>
      <c r="GL142" s="61">
        <v>1</v>
      </c>
      <c r="GM142" s="61">
        <v>0.97</v>
      </c>
      <c r="GN142" s="61">
        <v>0.95</v>
      </c>
      <c r="GO142" s="61">
        <v>0.93</v>
      </c>
      <c r="GP142" s="61">
        <f t="shared" si="935"/>
        <v>0.91</v>
      </c>
      <c r="GQ142" s="61">
        <f t="shared" si="935"/>
        <v>0.89</v>
      </c>
      <c r="GR142" s="61">
        <f t="shared" si="935"/>
        <v>0.87</v>
      </c>
      <c r="GS142" s="61">
        <f t="shared" si="935"/>
        <v>0.85</v>
      </c>
      <c r="GT142" s="61">
        <f t="shared" si="935"/>
        <v>0.83</v>
      </c>
      <c r="GU142" s="61">
        <f t="shared" si="935"/>
        <v>0.80999999999999994</v>
      </c>
      <c r="GV142" s="61">
        <f t="shared" si="935"/>
        <v>0.78999999999999992</v>
      </c>
      <c r="GW142" s="61">
        <f t="shared" si="935"/>
        <v>0.76999999999999991</v>
      </c>
      <c r="GX142" s="61">
        <f t="shared" si="935"/>
        <v>0.74999999999999989</v>
      </c>
      <c r="GY142" s="61">
        <f t="shared" si="935"/>
        <v>0.72999999999999987</v>
      </c>
      <c r="GZ142" s="61">
        <f t="shared" si="935"/>
        <v>0.70999999999999985</v>
      </c>
      <c r="HA142" s="61">
        <f t="shared" si="935"/>
        <v>0.68999999999999984</v>
      </c>
      <c r="HB142" s="61">
        <f t="shared" si="935"/>
        <v>0.66999999999999982</v>
      </c>
      <c r="HC142" s="61">
        <f t="shared" si="935"/>
        <v>0.6499999999999998</v>
      </c>
      <c r="HD142" s="61">
        <f t="shared" si="935"/>
        <v>0.62999999999999978</v>
      </c>
      <c r="HE142" s="61">
        <f t="shared" si="935"/>
        <v>0.60999999999999976</v>
      </c>
      <c r="HF142" s="61">
        <f t="shared" si="935"/>
        <v>0.58999999999999975</v>
      </c>
      <c r="HG142" s="61">
        <f t="shared" si="935"/>
        <v>0.56999999999999973</v>
      </c>
    </row>
    <row r="143" spans="1:216" x14ac:dyDescent="0.3">
      <c r="A143" s="2">
        <v>1</v>
      </c>
      <c r="C143" s="38" t="s">
        <v>48</v>
      </c>
      <c r="D143" s="40">
        <v>0</v>
      </c>
      <c r="E143" s="70">
        <f>TRUNC(+D143*3.3058,-1)</f>
        <v>0</v>
      </c>
      <c r="H143" s="55">
        <f t="shared" si="505"/>
        <v>0</v>
      </c>
      <c r="I143" s="55">
        <f t="shared" si="506"/>
        <v>0</v>
      </c>
      <c r="J143" s="59">
        <f t="shared" si="507"/>
        <v>0</v>
      </c>
      <c r="K143" s="55">
        <f t="shared" ref="K143:K148" si="936">+I143*BD143</f>
        <v>0</v>
      </c>
      <c r="L143" s="59">
        <f t="shared" ref="L143:L148" si="937">+K143*3.3058</f>
        <v>0</v>
      </c>
      <c r="M143" s="55">
        <f t="shared" ref="M143:M148" si="938">+I143*BE143</f>
        <v>0</v>
      </c>
      <c r="N143" s="59">
        <f t="shared" ref="N143:N148" si="939">+M143*3.3058</f>
        <v>0</v>
      </c>
      <c r="O143" s="55">
        <f t="shared" ref="O143:O148" si="940">+I143*BF143</f>
        <v>0</v>
      </c>
      <c r="P143" s="59">
        <f t="shared" ref="P143:P148" si="941">+O143*3.3058</f>
        <v>0</v>
      </c>
      <c r="Q143" s="57">
        <f t="shared" ref="Q143:Q148" si="942">+I143*BG143</f>
        <v>0</v>
      </c>
      <c r="R143" s="59">
        <f t="shared" ref="R143:R148" si="943">+Q143*3.3058</f>
        <v>0</v>
      </c>
      <c r="S143" s="55">
        <f t="shared" ref="S143:S148" si="944">+I143*BH143</f>
        <v>0</v>
      </c>
      <c r="T143" s="59">
        <f t="shared" ref="T143:T148" si="945">+S143*3.3058</f>
        <v>0</v>
      </c>
      <c r="U143" s="57">
        <f t="shared" ref="U143:U148" si="946">+I143*BI143</f>
        <v>0</v>
      </c>
      <c r="V143" s="59">
        <f t="shared" ref="V143:V148" si="947">+U143*3.3058</f>
        <v>0</v>
      </c>
      <c r="W143" s="60">
        <f t="shared" ref="W143:W148" si="948">+I143*BJ143</f>
        <v>0</v>
      </c>
      <c r="X143" s="59">
        <f t="shared" ref="X143:X148" si="949">+W143*3.3058</f>
        <v>0</v>
      </c>
      <c r="Y143" s="57">
        <f t="shared" ref="Y143:Y148" si="950">+I143*BK143</f>
        <v>0</v>
      </c>
      <c r="Z143" s="59">
        <f t="shared" ref="Z143:Z148" si="951">+Y143*3.3058</f>
        <v>0</v>
      </c>
      <c r="AA143" s="55">
        <f t="shared" ref="AA143:AA148" si="952">+I143*BL143</f>
        <v>0</v>
      </c>
      <c r="AB143" s="59">
        <f t="shared" ref="AB143:AB148" si="953">+AA143*3.3058</f>
        <v>0</v>
      </c>
      <c r="AC143" s="60">
        <f t="shared" ref="AC143:AC148" si="954">+I143*BM143</f>
        <v>0</v>
      </c>
      <c r="AD143" s="59">
        <f t="shared" ref="AD143:AD148" si="955">+AC143*3.3058</f>
        <v>0</v>
      </c>
      <c r="AE143" s="60">
        <f t="shared" ref="AE143:AE148" si="956">+I143*BN143</f>
        <v>0</v>
      </c>
      <c r="AF143" s="59">
        <f t="shared" ref="AF143:AF148" si="957">+AE143*3.3058</f>
        <v>0</v>
      </c>
      <c r="AG143" s="60">
        <f t="shared" ref="AG143:AG148" si="958">+I143*BO143</f>
        <v>0</v>
      </c>
      <c r="AH143" s="59">
        <f t="shared" ref="AH143:AH148" si="959">+AG143*3.3058</f>
        <v>0</v>
      </c>
      <c r="AI143" s="55">
        <f t="shared" ref="AI143:AI148" si="960">+I143*BP143</f>
        <v>0</v>
      </c>
      <c r="AJ143" s="59">
        <f t="shared" ref="AJ143:AJ148" si="961">+AI143*3.3058</f>
        <v>0</v>
      </c>
      <c r="AK143" s="60">
        <f t="shared" ref="AK143:AK148" si="962">+I143*BQ143</f>
        <v>0</v>
      </c>
      <c r="AL143" s="59">
        <f t="shared" ref="AL143:AL148" si="963">+AK143*3.3058</f>
        <v>0</v>
      </c>
      <c r="AM143" s="60">
        <f t="shared" ref="AM143:AM148" si="964">+I143*BR143</f>
        <v>0</v>
      </c>
      <c r="AN143" s="59">
        <f t="shared" ref="AN143:AN148" si="965">+AM143*3.3058</f>
        <v>0</v>
      </c>
      <c r="AO143" s="60">
        <f t="shared" ref="AO143:AO148" si="966">+I143*BS143</f>
        <v>0</v>
      </c>
      <c r="AP143" s="59">
        <f t="shared" ref="AP143:AP148" si="967">+AO143*3.3058</f>
        <v>0</v>
      </c>
      <c r="AQ143" s="60">
        <f t="shared" ref="AQ143:AQ148" si="968">+I143*BT143</f>
        <v>0</v>
      </c>
      <c r="AR143" s="59">
        <f t="shared" ref="AR143:AR148" si="969">+AQ143*3.3058</f>
        <v>0</v>
      </c>
      <c r="AS143" s="55">
        <f t="shared" ref="AS143:AS148" si="970">+I143*BU143</f>
        <v>0</v>
      </c>
      <c r="AT143" s="59">
        <f t="shared" ref="AT143:AT148" si="971">+AS143*3.3058</f>
        <v>0</v>
      </c>
      <c r="AU143" s="60">
        <f t="shared" ref="AU143:AU148" si="972">+I143*BV143</f>
        <v>0</v>
      </c>
      <c r="AV143" s="59">
        <f t="shared" ref="AV143:AV148" si="973">+AU143*3.3058</f>
        <v>0</v>
      </c>
      <c r="AW143" s="60">
        <f t="shared" ref="AW143:AW148" si="974">+I143*BW143</f>
        <v>0</v>
      </c>
      <c r="AX143" s="59">
        <f t="shared" ref="AX143:AX148" si="975">+AW143*3.3058</f>
        <v>0</v>
      </c>
      <c r="AY143" s="55">
        <f t="shared" ref="AY143:AY148" si="976">+I143*BX143</f>
        <v>0</v>
      </c>
      <c r="AZ143" s="59">
        <f t="shared" ref="AZ143:AZ148" si="977">+AY143*3.3058</f>
        <v>0</v>
      </c>
      <c r="BC143" s="55">
        <v>1</v>
      </c>
      <c r="BD143" s="55">
        <v>0.97</v>
      </c>
      <c r="BE143" s="55">
        <v>0.95</v>
      </c>
      <c r="BF143" s="55">
        <v>0.93</v>
      </c>
      <c r="BG143" s="55">
        <f t="shared" ref="BG143:BX148" si="978">+BF143-0.02</f>
        <v>0.91</v>
      </c>
      <c r="BH143" s="55">
        <f t="shared" si="978"/>
        <v>0.89</v>
      </c>
      <c r="BI143" s="55">
        <f t="shared" si="978"/>
        <v>0.87</v>
      </c>
      <c r="BJ143" s="55">
        <f t="shared" si="978"/>
        <v>0.85</v>
      </c>
      <c r="BK143" s="55">
        <f t="shared" si="978"/>
        <v>0.83</v>
      </c>
      <c r="BL143" s="55">
        <f t="shared" si="978"/>
        <v>0.80999999999999994</v>
      </c>
      <c r="BM143" s="55">
        <f t="shared" si="978"/>
        <v>0.78999999999999992</v>
      </c>
      <c r="BN143" s="55">
        <f t="shared" si="978"/>
        <v>0.76999999999999991</v>
      </c>
      <c r="BO143" s="55">
        <f t="shared" si="978"/>
        <v>0.74999999999999989</v>
      </c>
      <c r="BP143" s="55">
        <f t="shared" si="978"/>
        <v>0.72999999999999987</v>
      </c>
      <c r="BQ143" s="55">
        <f t="shared" si="978"/>
        <v>0.70999999999999985</v>
      </c>
      <c r="BR143" s="55">
        <f t="shared" si="978"/>
        <v>0.68999999999999984</v>
      </c>
      <c r="BS143" s="55">
        <f t="shared" si="978"/>
        <v>0.66999999999999982</v>
      </c>
      <c r="BT143" s="55">
        <f t="shared" si="978"/>
        <v>0.6499999999999998</v>
      </c>
      <c r="BU143" s="55">
        <f t="shared" si="978"/>
        <v>0.62999999999999978</v>
      </c>
      <c r="BV143" s="55">
        <f t="shared" si="978"/>
        <v>0.60999999999999976</v>
      </c>
      <c r="BW143" s="55">
        <f t="shared" si="978"/>
        <v>0.58999999999999975</v>
      </c>
      <c r="BX143" s="55">
        <f t="shared" si="978"/>
        <v>0.56999999999999973</v>
      </c>
      <c r="BZ143" s="55">
        <f t="shared" si="508"/>
        <v>0</v>
      </c>
      <c r="CA143" s="55">
        <f t="shared" si="509"/>
        <v>0</v>
      </c>
      <c r="CB143" s="59">
        <f t="shared" ref="CB143:CB148" si="979">+CA143*3.3058</f>
        <v>0</v>
      </c>
      <c r="CC143" s="55">
        <f t="shared" ref="CC143:CC148" si="980">+CA143*DV143</f>
        <v>0</v>
      </c>
      <c r="CD143" s="59">
        <f t="shared" ref="CD143:CD148" si="981">+CC143*3.3058</f>
        <v>0</v>
      </c>
      <c r="CE143" s="55">
        <f t="shared" ref="CE143:CE148" si="982">+CA143*DW143</f>
        <v>0</v>
      </c>
      <c r="CF143" s="59">
        <f t="shared" ref="CF143:CF148" si="983">+CE143*3.3058</f>
        <v>0</v>
      </c>
      <c r="CG143" s="55">
        <f t="shared" ref="CG143:CG148" si="984">+CA143*DX143</f>
        <v>0</v>
      </c>
      <c r="CH143" s="59">
        <f t="shared" ref="CH143:CH148" si="985">+CG143*3.3058</f>
        <v>0</v>
      </c>
      <c r="CI143" s="57">
        <f t="shared" ref="CI143:CI148" si="986">+CA143*DY143</f>
        <v>0</v>
      </c>
      <c r="CJ143" s="59">
        <f t="shared" ref="CJ143:CJ148" si="987">+CI143*3.3058</f>
        <v>0</v>
      </c>
      <c r="CK143" s="55">
        <f t="shared" ref="CK143:CK148" si="988">+CA143*DZ143</f>
        <v>0</v>
      </c>
      <c r="CL143" s="59">
        <f t="shared" ref="CL143:CL148" si="989">+CK143*3.3058</f>
        <v>0</v>
      </c>
      <c r="CM143" s="57">
        <f t="shared" ref="CM143:CM148" si="990">+CA143*EA143</f>
        <v>0</v>
      </c>
      <c r="CN143" s="59">
        <f t="shared" ref="CN143:CN148" si="991">+CM143*3.3058</f>
        <v>0</v>
      </c>
      <c r="CO143" s="60">
        <f t="shared" ref="CO143:CO148" si="992">+CA143*EB143</f>
        <v>0</v>
      </c>
      <c r="CP143" s="59">
        <f t="shared" ref="CP143:CP148" si="993">+CO143*3.3058</f>
        <v>0</v>
      </c>
      <c r="CQ143" s="57">
        <f t="shared" ref="CQ143:CQ148" si="994">+CA143*EC143</f>
        <v>0</v>
      </c>
      <c r="CR143" s="59">
        <f t="shared" ref="CR143:CR148" si="995">+CQ143*3.3058</f>
        <v>0</v>
      </c>
      <c r="CS143" s="55">
        <f t="shared" ref="CS143:CS148" si="996">+CA143*ED143</f>
        <v>0</v>
      </c>
      <c r="CT143" s="59">
        <f t="shared" ref="CT143:CT148" si="997">+CS143*3.3058</f>
        <v>0</v>
      </c>
      <c r="CU143" s="60">
        <f t="shared" ref="CU143:CU148" si="998">+CA143*EE143</f>
        <v>0</v>
      </c>
      <c r="CV143" s="59">
        <f t="shared" ref="CV143:CV148" si="999">+CU143*3.3058</f>
        <v>0</v>
      </c>
      <c r="CW143" s="60">
        <f t="shared" ref="CW143:CW148" si="1000">+CA143*EF143</f>
        <v>0</v>
      </c>
      <c r="CX143" s="59">
        <f t="shared" ref="CX143:CX148" si="1001">+CW143*3.3058</f>
        <v>0</v>
      </c>
      <c r="CY143" s="60">
        <f t="shared" ref="CY143:CY148" si="1002">+CA143*EG143</f>
        <v>0</v>
      </c>
      <c r="CZ143" s="59">
        <f t="shared" ref="CZ143:CZ148" si="1003">+CY143*3.3058</f>
        <v>0</v>
      </c>
      <c r="DA143" s="55">
        <f t="shared" ref="DA143:DA148" si="1004">+CA143*EH143</f>
        <v>0</v>
      </c>
      <c r="DB143" s="59">
        <f t="shared" ref="DB143:DB148" si="1005">+DA143*3.3058</f>
        <v>0</v>
      </c>
      <c r="DC143" s="60">
        <f t="shared" ref="DC143:DC148" si="1006">+CA143*EI143</f>
        <v>0</v>
      </c>
      <c r="DD143" s="59">
        <f t="shared" ref="DD143:DD148" si="1007">+DC143*3.3058</f>
        <v>0</v>
      </c>
      <c r="DE143" s="60">
        <f t="shared" ref="DE143:DE148" si="1008">+CA143*EJ143</f>
        <v>0</v>
      </c>
      <c r="DF143" s="59">
        <f t="shared" ref="DF143:DF148" si="1009">+DE143*3.3058</f>
        <v>0</v>
      </c>
      <c r="DG143" s="60">
        <f t="shared" ref="DG143:DG148" si="1010">+CA143*EK143</f>
        <v>0</v>
      </c>
      <c r="DH143" s="59">
        <f t="shared" ref="DH143:DH148" si="1011">+DG143*3.3058</f>
        <v>0</v>
      </c>
      <c r="DI143" s="60">
        <f t="shared" ref="DI143:DI148" si="1012">+CA143*EL143</f>
        <v>0</v>
      </c>
      <c r="DJ143" s="59">
        <f t="shared" ref="DJ143:DJ148" si="1013">+DI143*3.3058</f>
        <v>0</v>
      </c>
      <c r="DK143" s="55">
        <f t="shared" ref="DK143:DK148" si="1014">+CA143*EM143</f>
        <v>0</v>
      </c>
      <c r="DL143" s="59">
        <f t="shared" ref="DL143:DL148" si="1015">+DK143*3.3058</f>
        <v>0</v>
      </c>
      <c r="DM143" s="60">
        <f t="shared" ref="DM143:DM148" si="1016">+CA143*EN143</f>
        <v>0</v>
      </c>
      <c r="DN143" s="59">
        <f t="shared" ref="DN143:DN148" si="1017">+DM143*3.3058</f>
        <v>0</v>
      </c>
      <c r="DO143" s="60">
        <f t="shared" ref="DO143:DO148" si="1018">+CA143*EO143</f>
        <v>0</v>
      </c>
      <c r="DP143" s="59">
        <f t="shared" ref="DP143:DP148" si="1019">+DO143*3.3058</f>
        <v>0</v>
      </c>
      <c r="DQ143" s="55">
        <f t="shared" ref="DQ143:DQ148" si="1020">+CA143*EP143</f>
        <v>0</v>
      </c>
      <c r="DR143" s="59">
        <f t="shared" ref="DR143:DR148" si="1021">+DQ143*3.3058</f>
        <v>0</v>
      </c>
      <c r="DU143" s="55">
        <v>1</v>
      </c>
      <c r="DV143" s="55">
        <v>0.97</v>
      </c>
      <c r="DW143" s="55">
        <v>0.95</v>
      </c>
      <c r="DX143" s="55">
        <v>0.93</v>
      </c>
      <c r="DY143" s="55">
        <f t="shared" si="930"/>
        <v>0.91</v>
      </c>
      <c r="DZ143" s="55">
        <f t="shared" si="930"/>
        <v>0.89</v>
      </c>
      <c r="EA143" s="55">
        <f t="shared" si="930"/>
        <v>0.87</v>
      </c>
      <c r="EB143" s="55">
        <f t="shared" si="930"/>
        <v>0.85</v>
      </c>
      <c r="EC143" s="55">
        <f t="shared" si="930"/>
        <v>0.83</v>
      </c>
      <c r="ED143" s="55">
        <f t="shared" si="930"/>
        <v>0.80999999999999994</v>
      </c>
      <c r="EE143" s="55">
        <f t="shared" si="930"/>
        <v>0.78999999999999992</v>
      </c>
      <c r="EF143" s="55">
        <f t="shared" si="930"/>
        <v>0.76999999999999991</v>
      </c>
      <c r="EG143" s="55">
        <f t="shared" si="930"/>
        <v>0.74999999999999989</v>
      </c>
      <c r="EH143" s="55">
        <f t="shared" si="930"/>
        <v>0.72999999999999987</v>
      </c>
      <c r="EI143" s="55">
        <f t="shared" si="930"/>
        <v>0.70999999999999985</v>
      </c>
      <c r="EJ143" s="55">
        <f t="shared" si="930"/>
        <v>0.68999999999999984</v>
      </c>
      <c r="EK143" s="55">
        <f t="shared" si="930"/>
        <v>0.66999999999999982</v>
      </c>
      <c r="EL143" s="55">
        <f t="shared" si="930"/>
        <v>0.6499999999999998</v>
      </c>
      <c r="EM143" s="55">
        <f t="shared" si="930"/>
        <v>0.62999999999999978</v>
      </c>
      <c r="EN143" s="55">
        <f t="shared" si="930"/>
        <v>0.60999999999999976</v>
      </c>
      <c r="EO143" s="55">
        <f t="shared" si="930"/>
        <v>0.58999999999999975</v>
      </c>
      <c r="EP143" s="55">
        <f t="shared" si="930"/>
        <v>0.56999999999999973</v>
      </c>
      <c r="ER143" s="55">
        <f t="shared" si="648"/>
        <v>0</v>
      </c>
      <c r="ES143" s="55">
        <f t="shared" si="510"/>
        <v>0</v>
      </c>
      <c r="ET143" s="59">
        <f t="shared" ref="ET143:ET148" si="1022">+ES143*3.3058</f>
        <v>0</v>
      </c>
      <c r="EU143" s="55">
        <f t="shared" ref="EU143:EU148" si="1023">+ES143*GN143</f>
        <v>0</v>
      </c>
      <c r="EV143" s="59">
        <f t="shared" ref="EV143:EV148" si="1024">+EU143*3.3058</f>
        <v>0</v>
      </c>
      <c r="EW143" s="55">
        <f t="shared" ref="EW143:EW148" si="1025">+ES143*GO143</f>
        <v>0</v>
      </c>
      <c r="EX143" s="59">
        <f t="shared" ref="EX143:EX148" si="1026">+EW143*3.3058</f>
        <v>0</v>
      </c>
      <c r="EY143" s="55">
        <f t="shared" ref="EY143:EY148" si="1027">+ES143*GP143</f>
        <v>0</v>
      </c>
      <c r="EZ143" s="59">
        <f t="shared" ref="EZ143:EZ148" si="1028">+EY143*3.3058</f>
        <v>0</v>
      </c>
      <c r="FA143" s="57">
        <f t="shared" ref="FA143:FA148" si="1029">+ES143*GQ143</f>
        <v>0</v>
      </c>
      <c r="FB143" s="59">
        <f t="shared" ref="FB143:FB148" si="1030">+FA143*3.3058</f>
        <v>0</v>
      </c>
      <c r="FC143" s="55">
        <f t="shared" ref="FC143:FC148" si="1031">+ES143*GR143</f>
        <v>0</v>
      </c>
      <c r="FD143" s="59">
        <f t="shared" ref="FD143:FD148" si="1032">+FC143*3.3058</f>
        <v>0</v>
      </c>
      <c r="FE143" s="57">
        <f t="shared" ref="FE143:FE148" si="1033">+ES143*GS143</f>
        <v>0</v>
      </c>
      <c r="FF143" s="59">
        <f t="shared" ref="FF143:FF148" si="1034">+FE143*3.3058</f>
        <v>0</v>
      </c>
      <c r="FG143" s="60">
        <f t="shared" ref="FG143:FG148" si="1035">+ES143*GT143</f>
        <v>0</v>
      </c>
      <c r="FH143" s="59">
        <f t="shared" ref="FH143:FH148" si="1036">+FG143*3.3058</f>
        <v>0</v>
      </c>
      <c r="FI143" s="57">
        <f t="shared" ref="FI143:FI148" si="1037">+ES143*GU143</f>
        <v>0</v>
      </c>
      <c r="FJ143" s="59">
        <f t="shared" ref="FJ143:FJ148" si="1038">+FI143*3.3058</f>
        <v>0</v>
      </c>
      <c r="FK143" s="55">
        <f t="shared" ref="FK143:FK148" si="1039">+ES143*GV143</f>
        <v>0</v>
      </c>
      <c r="FL143" s="59">
        <f t="shared" ref="FL143:FL148" si="1040">+FK143*3.3058</f>
        <v>0</v>
      </c>
      <c r="FM143" s="60">
        <f t="shared" ref="FM143:FM148" si="1041">+ES143*GW143</f>
        <v>0</v>
      </c>
      <c r="FN143" s="59">
        <f t="shared" ref="FN143:FN148" si="1042">+FM143*3.3058</f>
        <v>0</v>
      </c>
      <c r="FO143" s="60">
        <f t="shared" ref="FO143:FO148" si="1043">+ES143*GX143</f>
        <v>0</v>
      </c>
      <c r="FP143" s="59">
        <f t="shared" ref="FP143:FP148" si="1044">+FO143*3.3058</f>
        <v>0</v>
      </c>
      <c r="FQ143" s="60">
        <f t="shared" ref="FQ143:FQ148" si="1045">+ES143*GY143</f>
        <v>0</v>
      </c>
      <c r="FR143" s="59">
        <f t="shared" ref="FR143:FR148" si="1046">+FQ143*3.3058</f>
        <v>0</v>
      </c>
      <c r="FS143" s="55">
        <f t="shared" ref="FS143:FS148" si="1047">+ES143*GZ143</f>
        <v>0</v>
      </c>
      <c r="FT143" s="59">
        <f t="shared" ref="FT143:FT148" si="1048">+FS143*3.3058</f>
        <v>0</v>
      </c>
      <c r="FU143" s="60">
        <f t="shared" ref="FU143:FU148" si="1049">+ES143*HA143</f>
        <v>0</v>
      </c>
      <c r="FV143" s="59">
        <f t="shared" ref="FV143:FV148" si="1050">+FU143*3.3058</f>
        <v>0</v>
      </c>
      <c r="FW143" s="60">
        <f t="shared" ref="FW143:FW148" si="1051">+ES143*HB143</f>
        <v>0</v>
      </c>
      <c r="FX143" s="59">
        <f t="shared" ref="FX143:FX148" si="1052">+FW143*3.3058</f>
        <v>0</v>
      </c>
      <c r="FY143" s="60">
        <f t="shared" ref="FY143:FY148" si="1053">+ES143*HC143</f>
        <v>0</v>
      </c>
      <c r="FZ143" s="59">
        <f t="shared" ref="FZ143:FZ148" si="1054">+FY143*3.3058</f>
        <v>0</v>
      </c>
      <c r="GA143" s="60">
        <f t="shared" ref="GA143:GA148" si="1055">+ES143*HD143</f>
        <v>0</v>
      </c>
      <c r="GB143" s="59">
        <f t="shared" ref="GB143:GB148" si="1056">+GA143*3.3058</f>
        <v>0</v>
      </c>
      <c r="GC143" s="55">
        <f t="shared" ref="GC143:GC148" si="1057">+ES143*HE143</f>
        <v>0</v>
      </c>
      <c r="GD143" s="59">
        <f t="shared" ref="GD143:GD148" si="1058">+GC143*3.3058</f>
        <v>0</v>
      </c>
      <c r="GE143" s="60">
        <f t="shared" ref="GE143:GE148" si="1059">+ES143*HF143</f>
        <v>0</v>
      </c>
      <c r="GF143" s="59">
        <f t="shared" ref="GF143:GF148" si="1060">+GE143*3.3058</f>
        <v>0</v>
      </c>
      <c r="GG143" s="60">
        <f t="shared" ref="GG143:GG148" si="1061">+ES143*HG143</f>
        <v>0</v>
      </c>
      <c r="GH143" s="59">
        <f t="shared" ref="GH143:GH148" si="1062">+GG143*3.3058</f>
        <v>0</v>
      </c>
      <c r="GI143" s="55">
        <f t="shared" ref="GI143:GI148" si="1063">+ES143*HH143</f>
        <v>0</v>
      </c>
      <c r="GJ143" s="59">
        <f t="shared" ref="GJ143:GJ148" si="1064">+GI143*3.3058</f>
        <v>0</v>
      </c>
      <c r="GK143" s="55"/>
      <c r="GL143" s="55"/>
      <c r="GM143" s="55">
        <v>1</v>
      </c>
      <c r="GN143" s="55">
        <v>0.97</v>
      </c>
      <c r="GO143" s="55">
        <v>0.95</v>
      </c>
      <c r="GP143" s="55">
        <v>0.93</v>
      </c>
      <c r="GQ143" s="55">
        <f t="shared" si="931"/>
        <v>0.91</v>
      </c>
      <c r="GR143" s="55">
        <f t="shared" si="931"/>
        <v>0.89</v>
      </c>
      <c r="GS143" s="55">
        <f t="shared" si="931"/>
        <v>0.87</v>
      </c>
      <c r="GT143" s="55">
        <f t="shared" si="931"/>
        <v>0.85</v>
      </c>
      <c r="GU143" s="55">
        <f t="shared" si="931"/>
        <v>0.83</v>
      </c>
      <c r="GV143" s="55">
        <f t="shared" si="931"/>
        <v>0.80999999999999994</v>
      </c>
      <c r="GW143" s="55">
        <f t="shared" si="931"/>
        <v>0.78999999999999992</v>
      </c>
      <c r="GX143" s="55">
        <f t="shared" si="931"/>
        <v>0.76999999999999991</v>
      </c>
      <c r="GY143" s="55">
        <f t="shared" si="931"/>
        <v>0.74999999999999989</v>
      </c>
      <c r="GZ143" s="55">
        <f t="shared" si="931"/>
        <v>0.72999999999999987</v>
      </c>
      <c r="HA143" s="55">
        <f t="shared" si="931"/>
        <v>0.70999999999999985</v>
      </c>
      <c r="HB143" s="55">
        <f t="shared" si="931"/>
        <v>0.68999999999999984</v>
      </c>
      <c r="HC143" s="55">
        <f t="shared" si="931"/>
        <v>0.66999999999999982</v>
      </c>
      <c r="HD143" s="55">
        <f t="shared" si="931"/>
        <v>0.6499999999999998</v>
      </c>
      <c r="HE143" s="55">
        <f t="shared" si="931"/>
        <v>0.62999999999999978</v>
      </c>
      <c r="HF143" s="55">
        <f t="shared" si="931"/>
        <v>0.60999999999999976</v>
      </c>
      <c r="HG143" s="55">
        <f t="shared" si="931"/>
        <v>0.58999999999999975</v>
      </c>
      <c r="HH143" s="55">
        <f t="shared" si="931"/>
        <v>0.56999999999999973</v>
      </c>
    </row>
    <row r="144" spans="1:216" x14ac:dyDescent="0.3">
      <c r="A144" s="2">
        <v>2</v>
      </c>
      <c r="C144" s="38" t="s">
        <v>49</v>
      </c>
      <c r="D144" s="42">
        <f>TRUNC(8850.65749692389,-1)</f>
        <v>8850</v>
      </c>
      <c r="E144" s="71">
        <f>TRUNC(+D144*3.3058,-1)</f>
        <v>29250</v>
      </c>
      <c r="H144" s="55">
        <f t="shared" si="505"/>
        <v>32175.000000000004</v>
      </c>
      <c r="I144" s="55">
        <f t="shared" si="506"/>
        <v>32175.000000000004</v>
      </c>
      <c r="J144" s="59">
        <f t="shared" si="507"/>
        <v>106364.11500000002</v>
      </c>
      <c r="K144" s="55">
        <f t="shared" si="936"/>
        <v>31209.750000000004</v>
      </c>
      <c r="L144" s="59">
        <f t="shared" si="937"/>
        <v>103173.19155000002</v>
      </c>
      <c r="M144" s="55">
        <f t="shared" si="938"/>
        <v>30566.250000000004</v>
      </c>
      <c r="N144" s="59">
        <f t="shared" si="939"/>
        <v>101045.90925000001</v>
      </c>
      <c r="O144" s="55">
        <f t="shared" si="940"/>
        <v>29922.750000000004</v>
      </c>
      <c r="P144" s="59">
        <f t="shared" si="941"/>
        <v>98918.62695000002</v>
      </c>
      <c r="Q144" s="57">
        <f t="shared" si="942"/>
        <v>29279.250000000004</v>
      </c>
      <c r="R144" s="59">
        <f t="shared" si="943"/>
        <v>96791.344650000014</v>
      </c>
      <c r="S144" s="55">
        <f t="shared" si="944"/>
        <v>28635.750000000004</v>
      </c>
      <c r="T144" s="59">
        <f t="shared" si="945"/>
        <v>94664.062350000007</v>
      </c>
      <c r="U144" s="57">
        <f t="shared" si="946"/>
        <v>27992.250000000004</v>
      </c>
      <c r="V144" s="59">
        <f t="shared" si="947"/>
        <v>92536.780050000016</v>
      </c>
      <c r="W144" s="60">
        <f t="shared" si="948"/>
        <v>27348.750000000004</v>
      </c>
      <c r="X144" s="59">
        <f t="shared" si="949"/>
        <v>90409.49775000001</v>
      </c>
      <c r="Y144" s="57">
        <f t="shared" si="950"/>
        <v>26705.25</v>
      </c>
      <c r="Z144" s="59">
        <f t="shared" si="951"/>
        <v>88282.215450000003</v>
      </c>
      <c r="AA144" s="55">
        <f t="shared" si="952"/>
        <v>26061.75</v>
      </c>
      <c r="AB144" s="59">
        <f t="shared" si="953"/>
        <v>86154.933149999997</v>
      </c>
      <c r="AC144" s="60">
        <f t="shared" si="954"/>
        <v>25418.25</v>
      </c>
      <c r="AD144" s="59">
        <f t="shared" si="955"/>
        <v>84027.650850000005</v>
      </c>
      <c r="AE144" s="60">
        <f t="shared" si="956"/>
        <v>24774.75</v>
      </c>
      <c r="AF144" s="59">
        <f t="shared" si="957"/>
        <v>81900.368549999999</v>
      </c>
      <c r="AG144" s="60">
        <f t="shared" si="958"/>
        <v>24131.25</v>
      </c>
      <c r="AH144" s="59">
        <f t="shared" si="959"/>
        <v>79773.086250000008</v>
      </c>
      <c r="AI144" s="55">
        <f t="shared" si="960"/>
        <v>23487.75</v>
      </c>
      <c r="AJ144" s="59">
        <f t="shared" si="961"/>
        <v>77645.803950000001</v>
      </c>
      <c r="AK144" s="60">
        <f t="shared" si="962"/>
        <v>22844.249999999996</v>
      </c>
      <c r="AL144" s="59">
        <f t="shared" si="963"/>
        <v>75518.521649999995</v>
      </c>
      <c r="AM144" s="60">
        <f t="shared" si="964"/>
        <v>22200.749999999996</v>
      </c>
      <c r="AN144" s="59">
        <f t="shared" si="965"/>
        <v>73391.239349999989</v>
      </c>
      <c r="AO144" s="60">
        <f t="shared" si="966"/>
        <v>21557.249999999996</v>
      </c>
      <c r="AP144" s="59">
        <f t="shared" si="967"/>
        <v>71263.957049999983</v>
      </c>
      <c r="AQ144" s="60">
        <f t="shared" si="968"/>
        <v>20913.749999999996</v>
      </c>
      <c r="AR144" s="59">
        <f t="shared" si="969"/>
        <v>69136.674749999991</v>
      </c>
      <c r="AS144" s="55">
        <f t="shared" si="970"/>
        <v>20270.249999999996</v>
      </c>
      <c r="AT144" s="59">
        <f t="shared" si="971"/>
        <v>67009.392449999985</v>
      </c>
      <c r="AU144" s="60">
        <f t="shared" si="972"/>
        <v>19626.749999999996</v>
      </c>
      <c r="AV144" s="59">
        <f t="shared" si="973"/>
        <v>64882.110149999986</v>
      </c>
      <c r="AW144" s="60">
        <f t="shared" si="974"/>
        <v>18983.249999999993</v>
      </c>
      <c r="AX144" s="59">
        <f t="shared" si="975"/>
        <v>62754.82784999998</v>
      </c>
      <c r="AY144" s="55">
        <f t="shared" si="976"/>
        <v>18339.749999999993</v>
      </c>
      <c r="AZ144" s="59">
        <f t="shared" si="977"/>
        <v>60627.545549999981</v>
      </c>
      <c r="BC144" s="55">
        <v>1</v>
      </c>
      <c r="BD144" s="55">
        <v>0.97</v>
      </c>
      <c r="BE144" s="55">
        <v>0.95</v>
      </c>
      <c r="BF144" s="55">
        <v>0.93</v>
      </c>
      <c r="BG144" s="55">
        <f t="shared" si="978"/>
        <v>0.91</v>
      </c>
      <c r="BH144" s="55">
        <f t="shared" si="978"/>
        <v>0.89</v>
      </c>
      <c r="BI144" s="55">
        <f t="shared" si="978"/>
        <v>0.87</v>
      </c>
      <c r="BJ144" s="55">
        <f t="shared" si="978"/>
        <v>0.85</v>
      </c>
      <c r="BK144" s="55">
        <f t="shared" si="978"/>
        <v>0.83</v>
      </c>
      <c r="BL144" s="55">
        <f t="shared" si="978"/>
        <v>0.80999999999999994</v>
      </c>
      <c r="BM144" s="55">
        <f t="shared" si="978"/>
        <v>0.78999999999999992</v>
      </c>
      <c r="BN144" s="55">
        <f t="shared" si="978"/>
        <v>0.76999999999999991</v>
      </c>
      <c r="BO144" s="55">
        <f t="shared" si="978"/>
        <v>0.74999999999999989</v>
      </c>
      <c r="BP144" s="55">
        <f t="shared" si="978"/>
        <v>0.72999999999999987</v>
      </c>
      <c r="BQ144" s="55">
        <f t="shared" si="978"/>
        <v>0.70999999999999985</v>
      </c>
      <c r="BR144" s="55">
        <f t="shared" si="978"/>
        <v>0.68999999999999984</v>
      </c>
      <c r="BS144" s="55">
        <f t="shared" si="978"/>
        <v>0.66999999999999982</v>
      </c>
      <c r="BT144" s="55">
        <f t="shared" si="978"/>
        <v>0.6499999999999998</v>
      </c>
      <c r="BU144" s="55">
        <f t="shared" si="978"/>
        <v>0.62999999999999978</v>
      </c>
      <c r="BV144" s="55">
        <f t="shared" si="978"/>
        <v>0.60999999999999976</v>
      </c>
      <c r="BW144" s="55">
        <f t="shared" si="978"/>
        <v>0.58999999999999975</v>
      </c>
      <c r="BX144" s="55">
        <f t="shared" si="978"/>
        <v>0.56999999999999973</v>
      </c>
      <c r="BZ144" s="55">
        <f t="shared" si="508"/>
        <v>29279.250000000004</v>
      </c>
      <c r="CA144" s="55">
        <f t="shared" si="509"/>
        <v>29279.250000000004</v>
      </c>
      <c r="CB144" s="59">
        <f t="shared" si="979"/>
        <v>96791.344650000014</v>
      </c>
      <c r="CC144" s="55">
        <f t="shared" si="980"/>
        <v>28400.872500000001</v>
      </c>
      <c r="CD144" s="59">
        <f t="shared" si="981"/>
        <v>93887.604310500014</v>
      </c>
      <c r="CE144" s="55">
        <f t="shared" si="982"/>
        <v>27815.287500000002</v>
      </c>
      <c r="CF144" s="59">
        <f t="shared" si="983"/>
        <v>91951.777417500009</v>
      </c>
      <c r="CG144" s="55">
        <f t="shared" si="984"/>
        <v>27229.702500000003</v>
      </c>
      <c r="CH144" s="59">
        <f t="shared" si="985"/>
        <v>90015.950524500018</v>
      </c>
      <c r="CI144" s="57">
        <f t="shared" si="986"/>
        <v>26644.117500000004</v>
      </c>
      <c r="CJ144" s="59">
        <f t="shared" si="987"/>
        <v>88080.123631500013</v>
      </c>
      <c r="CK144" s="55">
        <f t="shared" si="988"/>
        <v>26058.532500000005</v>
      </c>
      <c r="CL144" s="59">
        <f t="shared" si="989"/>
        <v>86144.296738500023</v>
      </c>
      <c r="CM144" s="57">
        <f t="shared" si="990"/>
        <v>25472.947500000002</v>
      </c>
      <c r="CN144" s="59">
        <f t="shared" si="991"/>
        <v>84208.469845500003</v>
      </c>
      <c r="CO144" s="60">
        <f t="shared" si="992"/>
        <v>24887.362500000003</v>
      </c>
      <c r="CP144" s="59">
        <f t="shared" si="993"/>
        <v>82272.642952500013</v>
      </c>
      <c r="CQ144" s="57">
        <f t="shared" si="994"/>
        <v>24301.7775</v>
      </c>
      <c r="CR144" s="59">
        <f t="shared" si="995"/>
        <v>80336.816059500008</v>
      </c>
      <c r="CS144" s="55">
        <f t="shared" si="996"/>
        <v>23716.192500000001</v>
      </c>
      <c r="CT144" s="59">
        <f t="shared" si="997"/>
        <v>78400.989166500003</v>
      </c>
      <c r="CU144" s="60">
        <f t="shared" si="998"/>
        <v>23130.607500000002</v>
      </c>
      <c r="CV144" s="59">
        <f t="shared" si="999"/>
        <v>76465.162273500013</v>
      </c>
      <c r="CW144" s="60">
        <f t="shared" si="1000"/>
        <v>22545.022499999999</v>
      </c>
      <c r="CX144" s="59">
        <f t="shared" si="1001"/>
        <v>74529.335380499993</v>
      </c>
      <c r="CY144" s="60">
        <f t="shared" si="1002"/>
        <v>21959.4375</v>
      </c>
      <c r="CZ144" s="59">
        <f t="shared" si="1003"/>
        <v>72593.508487500003</v>
      </c>
      <c r="DA144" s="55">
        <f t="shared" si="1004"/>
        <v>21373.852499999997</v>
      </c>
      <c r="DB144" s="59">
        <f t="shared" si="1005"/>
        <v>70657.681594499998</v>
      </c>
      <c r="DC144" s="60">
        <f t="shared" si="1006"/>
        <v>20788.267499999998</v>
      </c>
      <c r="DD144" s="59">
        <f t="shared" si="1007"/>
        <v>68721.854701499993</v>
      </c>
      <c r="DE144" s="60">
        <f t="shared" si="1008"/>
        <v>20202.682499999999</v>
      </c>
      <c r="DF144" s="59">
        <f t="shared" si="1009"/>
        <v>66786.027808500003</v>
      </c>
      <c r="DG144" s="60">
        <f t="shared" si="1010"/>
        <v>19617.097499999996</v>
      </c>
      <c r="DH144" s="59">
        <f t="shared" si="1011"/>
        <v>64850.200915499991</v>
      </c>
      <c r="DI144" s="60">
        <f t="shared" si="1012"/>
        <v>19031.512499999997</v>
      </c>
      <c r="DJ144" s="59">
        <f t="shared" si="1013"/>
        <v>62914.374022499993</v>
      </c>
      <c r="DK144" s="55">
        <f t="shared" si="1014"/>
        <v>18445.927499999994</v>
      </c>
      <c r="DL144" s="59">
        <f t="shared" si="1015"/>
        <v>60978.547129499981</v>
      </c>
      <c r="DM144" s="60">
        <f t="shared" si="1016"/>
        <v>17860.342499999995</v>
      </c>
      <c r="DN144" s="59">
        <f t="shared" si="1017"/>
        <v>59042.720236499983</v>
      </c>
      <c r="DO144" s="60">
        <f t="shared" si="1018"/>
        <v>17274.757499999996</v>
      </c>
      <c r="DP144" s="59">
        <f t="shared" si="1019"/>
        <v>57106.893343499985</v>
      </c>
      <c r="DQ144" s="55">
        <f t="shared" si="1020"/>
        <v>16689.172499999993</v>
      </c>
      <c r="DR144" s="59">
        <f t="shared" si="1021"/>
        <v>55171.06645049998</v>
      </c>
      <c r="DU144" s="55">
        <v>1</v>
      </c>
      <c r="DV144" s="55">
        <v>0.97</v>
      </c>
      <c r="DW144" s="55">
        <v>0.95</v>
      </c>
      <c r="DX144" s="55">
        <v>0.93</v>
      </c>
      <c r="DY144" s="55">
        <f t="shared" si="930"/>
        <v>0.91</v>
      </c>
      <c r="DZ144" s="55">
        <f t="shared" si="930"/>
        <v>0.89</v>
      </c>
      <c r="EA144" s="55">
        <f t="shared" si="930"/>
        <v>0.87</v>
      </c>
      <c r="EB144" s="55">
        <f t="shared" si="930"/>
        <v>0.85</v>
      </c>
      <c r="EC144" s="55">
        <f t="shared" si="930"/>
        <v>0.83</v>
      </c>
      <c r="ED144" s="55">
        <f t="shared" si="930"/>
        <v>0.80999999999999994</v>
      </c>
      <c r="EE144" s="55">
        <f t="shared" si="930"/>
        <v>0.78999999999999992</v>
      </c>
      <c r="EF144" s="55">
        <f t="shared" si="930"/>
        <v>0.76999999999999991</v>
      </c>
      <c r="EG144" s="55">
        <f t="shared" si="930"/>
        <v>0.74999999999999989</v>
      </c>
      <c r="EH144" s="55">
        <f t="shared" si="930"/>
        <v>0.72999999999999987</v>
      </c>
      <c r="EI144" s="55">
        <f t="shared" si="930"/>
        <v>0.70999999999999985</v>
      </c>
      <c r="EJ144" s="55">
        <f t="shared" si="930"/>
        <v>0.68999999999999984</v>
      </c>
      <c r="EK144" s="55">
        <f t="shared" si="930"/>
        <v>0.66999999999999982</v>
      </c>
      <c r="EL144" s="55">
        <f t="shared" si="930"/>
        <v>0.6499999999999998</v>
      </c>
      <c r="EM144" s="55">
        <f t="shared" si="930"/>
        <v>0.62999999999999978</v>
      </c>
      <c r="EN144" s="55">
        <f t="shared" si="930"/>
        <v>0.60999999999999976</v>
      </c>
      <c r="EO144" s="55">
        <f t="shared" si="930"/>
        <v>0.58999999999999975</v>
      </c>
      <c r="EP144" s="55">
        <f t="shared" si="930"/>
        <v>0.56999999999999973</v>
      </c>
      <c r="ER144" s="55">
        <f t="shared" si="648"/>
        <v>26644.117500000004</v>
      </c>
      <c r="ES144" s="55">
        <f t="shared" si="510"/>
        <v>26644.117500000004</v>
      </c>
      <c r="ET144" s="59">
        <f t="shared" si="1022"/>
        <v>88080.123631500013</v>
      </c>
      <c r="EU144" s="55">
        <f t="shared" si="1023"/>
        <v>25844.793975000004</v>
      </c>
      <c r="EV144" s="59">
        <f t="shared" si="1024"/>
        <v>85437.719922555014</v>
      </c>
      <c r="EW144" s="55">
        <f t="shared" si="1025"/>
        <v>25311.911625000004</v>
      </c>
      <c r="EX144" s="59">
        <f t="shared" si="1026"/>
        <v>83676.117449925019</v>
      </c>
      <c r="EY144" s="55">
        <f t="shared" si="1027"/>
        <v>24779.029275000004</v>
      </c>
      <c r="EZ144" s="59">
        <f t="shared" si="1028"/>
        <v>81914.51497729501</v>
      </c>
      <c r="FA144" s="57">
        <f t="shared" si="1029"/>
        <v>24246.146925000005</v>
      </c>
      <c r="FB144" s="59">
        <f t="shared" si="1030"/>
        <v>80152.912504665015</v>
      </c>
      <c r="FC144" s="55">
        <f t="shared" si="1031"/>
        <v>23713.264575000005</v>
      </c>
      <c r="FD144" s="59">
        <f t="shared" si="1032"/>
        <v>78391.31003203502</v>
      </c>
      <c r="FE144" s="57">
        <f t="shared" si="1033"/>
        <v>23180.382225000005</v>
      </c>
      <c r="FF144" s="59">
        <f t="shared" si="1034"/>
        <v>76629.707559405011</v>
      </c>
      <c r="FG144" s="60">
        <f t="shared" si="1035"/>
        <v>22647.499875000001</v>
      </c>
      <c r="FH144" s="59">
        <f t="shared" si="1036"/>
        <v>74868.105086775002</v>
      </c>
      <c r="FI144" s="57">
        <f t="shared" si="1037"/>
        <v>22114.617525000001</v>
      </c>
      <c r="FJ144" s="59">
        <f t="shared" si="1038"/>
        <v>73106.502614145007</v>
      </c>
      <c r="FK144" s="55">
        <f t="shared" si="1039"/>
        <v>21581.735175000002</v>
      </c>
      <c r="FL144" s="59">
        <f t="shared" si="1040"/>
        <v>71344.900141515012</v>
      </c>
      <c r="FM144" s="60">
        <f t="shared" si="1041"/>
        <v>21048.852825000002</v>
      </c>
      <c r="FN144" s="59">
        <f t="shared" si="1042"/>
        <v>69583.297668885003</v>
      </c>
      <c r="FO144" s="60">
        <f t="shared" si="1043"/>
        <v>20515.970475000002</v>
      </c>
      <c r="FP144" s="59">
        <f t="shared" si="1044"/>
        <v>67821.695196255008</v>
      </c>
      <c r="FQ144" s="60">
        <f t="shared" si="1045"/>
        <v>19983.088124999998</v>
      </c>
      <c r="FR144" s="59">
        <f t="shared" si="1046"/>
        <v>66060.092723624999</v>
      </c>
      <c r="FS144" s="55">
        <f t="shared" si="1047"/>
        <v>19450.205774999999</v>
      </c>
      <c r="FT144" s="59">
        <f t="shared" si="1048"/>
        <v>64298.490250994997</v>
      </c>
      <c r="FU144" s="60">
        <f t="shared" si="1049"/>
        <v>18917.323424999999</v>
      </c>
      <c r="FV144" s="59">
        <f t="shared" si="1050"/>
        <v>62536.887778364995</v>
      </c>
      <c r="FW144" s="60">
        <f t="shared" si="1051"/>
        <v>18384.441074999999</v>
      </c>
      <c r="FX144" s="59">
        <f t="shared" si="1052"/>
        <v>60775.285305735</v>
      </c>
      <c r="FY144" s="60">
        <f t="shared" si="1053"/>
        <v>17851.558724999999</v>
      </c>
      <c r="FZ144" s="59">
        <f t="shared" si="1054"/>
        <v>59013.682833104998</v>
      </c>
      <c r="GA144" s="60">
        <f t="shared" si="1055"/>
        <v>17318.676374999995</v>
      </c>
      <c r="GB144" s="59">
        <f t="shared" si="1056"/>
        <v>57252.080360474989</v>
      </c>
      <c r="GC144" s="55">
        <f t="shared" si="1057"/>
        <v>16785.794024999996</v>
      </c>
      <c r="GD144" s="59">
        <f t="shared" si="1058"/>
        <v>55490.477887844987</v>
      </c>
      <c r="GE144" s="60">
        <f t="shared" si="1059"/>
        <v>16252.911674999996</v>
      </c>
      <c r="GF144" s="59">
        <f t="shared" si="1060"/>
        <v>53728.875415214985</v>
      </c>
      <c r="GG144" s="60">
        <f t="shared" si="1061"/>
        <v>15720.029324999996</v>
      </c>
      <c r="GH144" s="59">
        <f t="shared" si="1062"/>
        <v>51967.27294258499</v>
      </c>
      <c r="GI144" s="55">
        <f t="shared" si="1063"/>
        <v>15187.146974999994</v>
      </c>
      <c r="GJ144" s="59">
        <f t="shared" si="1064"/>
        <v>50205.670469954981</v>
      </c>
      <c r="GK144" s="55"/>
      <c r="GL144" s="55"/>
      <c r="GM144" s="55">
        <v>1</v>
      </c>
      <c r="GN144" s="55">
        <v>0.97</v>
      </c>
      <c r="GO144" s="55">
        <v>0.95</v>
      </c>
      <c r="GP144" s="55">
        <v>0.93</v>
      </c>
      <c r="GQ144" s="55">
        <f t="shared" si="931"/>
        <v>0.91</v>
      </c>
      <c r="GR144" s="55">
        <f t="shared" si="931"/>
        <v>0.89</v>
      </c>
      <c r="GS144" s="55">
        <f t="shared" si="931"/>
        <v>0.87</v>
      </c>
      <c r="GT144" s="55">
        <f t="shared" si="931"/>
        <v>0.85</v>
      </c>
      <c r="GU144" s="55">
        <f t="shared" si="931"/>
        <v>0.83</v>
      </c>
      <c r="GV144" s="55">
        <f t="shared" si="931"/>
        <v>0.80999999999999994</v>
      </c>
      <c r="GW144" s="55">
        <f t="shared" si="931"/>
        <v>0.78999999999999992</v>
      </c>
      <c r="GX144" s="55">
        <f t="shared" si="931"/>
        <v>0.76999999999999991</v>
      </c>
      <c r="GY144" s="55">
        <f t="shared" si="931"/>
        <v>0.74999999999999989</v>
      </c>
      <c r="GZ144" s="55">
        <f t="shared" si="931"/>
        <v>0.72999999999999987</v>
      </c>
      <c r="HA144" s="55">
        <f t="shared" si="931"/>
        <v>0.70999999999999985</v>
      </c>
      <c r="HB144" s="55">
        <f t="shared" si="931"/>
        <v>0.68999999999999984</v>
      </c>
      <c r="HC144" s="55">
        <f t="shared" si="931"/>
        <v>0.66999999999999982</v>
      </c>
      <c r="HD144" s="55">
        <f t="shared" si="931"/>
        <v>0.6499999999999998</v>
      </c>
      <c r="HE144" s="55">
        <f t="shared" si="931"/>
        <v>0.62999999999999978</v>
      </c>
      <c r="HF144" s="55">
        <f t="shared" si="931"/>
        <v>0.60999999999999976</v>
      </c>
      <c r="HG144" s="55">
        <f t="shared" si="931"/>
        <v>0.58999999999999975</v>
      </c>
      <c r="HH144" s="55">
        <f t="shared" si="931"/>
        <v>0.56999999999999973</v>
      </c>
    </row>
    <row r="145" spans="1:216" x14ac:dyDescent="0.3">
      <c r="A145" s="2">
        <v>3</v>
      </c>
      <c r="C145" s="38" t="s">
        <v>50</v>
      </c>
      <c r="D145" s="42">
        <f>TRUNC(8903.2474072772,-1)</f>
        <v>8900</v>
      </c>
      <c r="E145" s="71">
        <f>TRUNC(+D145*3.3058,-1)</f>
        <v>29420</v>
      </c>
      <c r="H145" s="55">
        <f t="shared" si="505"/>
        <v>32362.000000000004</v>
      </c>
      <c r="I145" s="55">
        <f t="shared" si="506"/>
        <v>32362.000000000004</v>
      </c>
      <c r="J145" s="59">
        <f t="shared" si="507"/>
        <v>106982.29960000001</v>
      </c>
      <c r="K145" s="55">
        <f t="shared" si="936"/>
        <v>31391.140000000003</v>
      </c>
      <c r="L145" s="59">
        <f t="shared" si="937"/>
        <v>103772.83061200001</v>
      </c>
      <c r="M145" s="55">
        <f t="shared" si="938"/>
        <v>30743.9</v>
      </c>
      <c r="N145" s="59">
        <f t="shared" si="939"/>
        <v>101633.18462</v>
      </c>
      <c r="O145" s="55">
        <f t="shared" si="940"/>
        <v>30096.660000000003</v>
      </c>
      <c r="P145" s="59">
        <f t="shared" si="941"/>
        <v>99493.538628000009</v>
      </c>
      <c r="Q145" s="57">
        <f t="shared" si="942"/>
        <v>29449.420000000006</v>
      </c>
      <c r="R145" s="59">
        <f t="shared" si="943"/>
        <v>97353.892636000019</v>
      </c>
      <c r="S145" s="55">
        <f t="shared" si="944"/>
        <v>28802.180000000004</v>
      </c>
      <c r="T145" s="59">
        <f t="shared" si="945"/>
        <v>95214.246644000013</v>
      </c>
      <c r="U145" s="57">
        <f t="shared" si="946"/>
        <v>28154.940000000002</v>
      </c>
      <c r="V145" s="59">
        <f t="shared" si="947"/>
        <v>93074.600652000008</v>
      </c>
      <c r="W145" s="60">
        <f t="shared" si="948"/>
        <v>27507.7</v>
      </c>
      <c r="X145" s="59">
        <f t="shared" si="949"/>
        <v>90934.954660000003</v>
      </c>
      <c r="Y145" s="57">
        <f t="shared" si="950"/>
        <v>26860.460000000003</v>
      </c>
      <c r="Z145" s="59">
        <f t="shared" si="951"/>
        <v>88795.308668000012</v>
      </c>
      <c r="AA145" s="55">
        <f t="shared" si="952"/>
        <v>26213.22</v>
      </c>
      <c r="AB145" s="59">
        <f t="shared" si="953"/>
        <v>86655.662676000007</v>
      </c>
      <c r="AC145" s="60">
        <f t="shared" si="954"/>
        <v>25565.98</v>
      </c>
      <c r="AD145" s="59">
        <f t="shared" si="955"/>
        <v>84516.016684000002</v>
      </c>
      <c r="AE145" s="60">
        <f t="shared" si="956"/>
        <v>24918.74</v>
      </c>
      <c r="AF145" s="59">
        <f t="shared" si="957"/>
        <v>82376.370692000011</v>
      </c>
      <c r="AG145" s="60">
        <f t="shared" si="958"/>
        <v>24271.5</v>
      </c>
      <c r="AH145" s="59">
        <f t="shared" si="959"/>
        <v>80236.724700000006</v>
      </c>
      <c r="AI145" s="55">
        <f t="shared" si="960"/>
        <v>23624.26</v>
      </c>
      <c r="AJ145" s="59">
        <f t="shared" si="961"/>
        <v>78097.078708000001</v>
      </c>
      <c r="AK145" s="60">
        <f t="shared" si="962"/>
        <v>22977.019999999997</v>
      </c>
      <c r="AL145" s="59">
        <f t="shared" si="963"/>
        <v>75957.432715999996</v>
      </c>
      <c r="AM145" s="60">
        <f t="shared" si="964"/>
        <v>22329.78</v>
      </c>
      <c r="AN145" s="59">
        <f t="shared" si="965"/>
        <v>73817.78672399999</v>
      </c>
      <c r="AO145" s="60">
        <f t="shared" si="966"/>
        <v>21682.539999999997</v>
      </c>
      <c r="AP145" s="59">
        <f t="shared" si="967"/>
        <v>71678.140731999985</v>
      </c>
      <c r="AQ145" s="60">
        <f t="shared" si="968"/>
        <v>21035.299999999996</v>
      </c>
      <c r="AR145" s="59">
        <f t="shared" si="969"/>
        <v>69538.49473999998</v>
      </c>
      <c r="AS145" s="55">
        <f t="shared" si="970"/>
        <v>20388.059999999994</v>
      </c>
      <c r="AT145" s="59">
        <f t="shared" si="971"/>
        <v>67398.848747999975</v>
      </c>
      <c r="AU145" s="60">
        <f t="shared" si="972"/>
        <v>19740.819999999996</v>
      </c>
      <c r="AV145" s="59">
        <f t="shared" si="973"/>
        <v>65259.202755999991</v>
      </c>
      <c r="AW145" s="60">
        <f t="shared" si="974"/>
        <v>19093.579999999994</v>
      </c>
      <c r="AX145" s="59">
        <f t="shared" si="975"/>
        <v>63119.556763999986</v>
      </c>
      <c r="AY145" s="55">
        <f t="shared" si="976"/>
        <v>18446.339999999993</v>
      </c>
      <c r="AZ145" s="59">
        <f t="shared" si="977"/>
        <v>60979.910771999981</v>
      </c>
      <c r="BC145" s="55">
        <v>1</v>
      </c>
      <c r="BD145" s="55">
        <v>0.97</v>
      </c>
      <c r="BE145" s="55">
        <v>0.95</v>
      </c>
      <c r="BF145" s="55">
        <v>0.93</v>
      </c>
      <c r="BG145" s="55">
        <f t="shared" si="978"/>
        <v>0.91</v>
      </c>
      <c r="BH145" s="55">
        <f t="shared" si="978"/>
        <v>0.89</v>
      </c>
      <c r="BI145" s="55">
        <f t="shared" si="978"/>
        <v>0.87</v>
      </c>
      <c r="BJ145" s="55">
        <f t="shared" si="978"/>
        <v>0.85</v>
      </c>
      <c r="BK145" s="55">
        <f t="shared" si="978"/>
        <v>0.83</v>
      </c>
      <c r="BL145" s="55">
        <f t="shared" si="978"/>
        <v>0.80999999999999994</v>
      </c>
      <c r="BM145" s="55">
        <f t="shared" si="978"/>
        <v>0.78999999999999992</v>
      </c>
      <c r="BN145" s="55">
        <f t="shared" si="978"/>
        <v>0.76999999999999991</v>
      </c>
      <c r="BO145" s="55">
        <f t="shared" si="978"/>
        <v>0.74999999999999989</v>
      </c>
      <c r="BP145" s="55">
        <f t="shared" si="978"/>
        <v>0.72999999999999987</v>
      </c>
      <c r="BQ145" s="55">
        <f t="shared" si="978"/>
        <v>0.70999999999999985</v>
      </c>
      <c r="BR145" s="55">
        <f t="shared" si="978"/>
        <v>0.68999999999999984</v>
      </c>
      <c r="BS145" s="55">
        <f t="shared" si="978"/>
        <v>0.66999999999999982</v>
      </c>
      <c r="BT145" s="55">
        <f t="shared" si="978"/>
        <v>0.6499999999999998</v>
      </c>
      <c r="BU145" s="55">
        <f t="shared" si="978"/>
        <v>0.62999999999999978</v>
      </c>
      <c r="BV145" s="55">
        <f t="shared" si="978"/>
        <v>0.60999999999999976</v>
      </c>
      <c r="BW145" s="55">
        <f t="shared" si="978"/>
        <v>0.58999999999999975</v>
      </c>
      <c r="BX145" s="55">
        <f t="shared" si="978"/>
        <v>0.56999999999999973</v>
      </c>
      <c r="BZ145" s="55">
        <f t="shared" si="508"/>
        <v>29449.420000000006</v>
      </c>
      <c r="CA145" s="55">
        <f t="shared" si="509"/>
        <v>29449.420000000006</v>
      </c>
      <c r="CB145" s="59">
        <f t="shared" si="979"/>
        <v>97353.892636000019</v>
      </c>
      <c r="CC145" s="55">
        <f t="shared" si="980"/>
        <v>28565.937400000006</v>
      </c>
      <c r="CD145" s="59">
        <f t="shared" si="981"/>
        <v>94433.275856920023</v>
      </c>
      <c r="CE145" s="55">
        <f t="shared" si="982"/>
        <v>27976.949000000004</v>
      </c>
      <c r="CF145" s="59">
        <f t="shared" si="983"/>
        <v>92486.198004200021</v>
      </c>
      <c r="CG145" s="55">
        <f t="shared" si="984"/>
        <v>27387.960600000006</v>
      </c>
      <c r="CH145" s="59">
        <f t="shared" si="985"/>
        <v>90539.12015148002</v>
      </c>
      <c r="CI145" s="57">
        <f t="shared" si="986"/>
        <v>26798.972200000007</v>
      </c>
      <c r="CJ145" s="59">
        <f t="shared" si="987"/>
        <v>88592.042298760032</v>
      </c>
      <c r="CK145" s="55">
        <f t="shared" si="988"/>
        <v>26209.983800000005</v>
      </c>
      <c r="CL145" s="59">
        <f t="shared" si="989"/>
        <v>86644.964446040016</v>
      </c>
      <c r="CM145" s="57">
        <f t="shared" si="990"/>
        <v>25620.995400000003</v>
      </c>
      <c r="CN145" s="59">
        <f t="shared" si="991"/>
        <v>84697.886593320014</v>
      </c>
      <c r="CO145" s="60">
        <f t="shared" si="992"/>
        <v>25032.007000000005</v>
      </c>
      <c r="CP145" s="59">
        <f t="shared" si="993"/>
        <v>82750.808740600012</v>
      </c>
      <c r="CQ145" s="57">
        <f t="shared" si="994"/>
        <v>24443.018600000003</v>
      </c>
      <c r="CR145" s="59">
        <f t="shared" si="995"/>
        <v>80803.73088788001</v>
      </c>
      <c r="CS145" s="55">
        <f t="shared" si="996"/>
        <v>23854.030200000001</v>
      </c>
      <c r="CT145" s="59">
        <f t="shared" si="997"/>
        <v>78856.653035160009</v>
      </c>
      <c r="CU145" s="60">
        <f t="shared" si="998"/>
        <v>23265.041800000003</v>
      </c>
      <c r="CV145" s="59">
        <f t="shared" si="999"/>
        <v>76909.575182440007</v>
      </c>
      <c r="CW145" s="60">
        <f t="shared" si="1000"/>
        <v>22676.053400000001</v>
      </c>
      <c r="CX145" s="59">
        <f t="shared" si="1001"/>
        <v>74962.497329720005</v>
      </c>
      <c r="CY145" s="60">
        <f t="shared" si="1002"/>
        <v>22087.065000000002</v>
      </c>
      <c r="CZ145" s="59">
        <f t="shared" si="1003"/>
        <v>73015.419477000003</v>
      </c>
      <c r="DA145" s="55">
        <f t="shared" si="1004"/>
        <v>21498.0766</v>
      </c>
      <c r="DB145" s="59">
        <f t="shared" si="1005"/>
        <v>71068.341624280001</v>
      </c>
      <c r="DC145" s="60">
        <f t="shared" si="1006"/>
        <v>20909.088199999998</v>
      </c>
      <c r="DD145" s="59">
        <f t="shared" si="1007"/>
        <v>69121.263771559999</v>
      </c>
      <c r="DE145" s="60">
        <f t="shared" si="1008"/>
        <v>20320.0998</v>
      </c>
      <c r="DF145" s="59">
        <f t="shared" si="1009"/>
        <v>67174.185918839998</v>
      </c>
      <c r="DG145" s="60">
        <f t="shared" si="1010"/>
        <v>19731.111399999998</v>
      </c>
      <c r="DH145" s="59">
        <f t="shared" si="1011"/>
        <v>65227.108066119996</v>
      </c>
      <c r="DI145" s="60">
        <f t="shared" si="1012"/>
        <v>19142.122999999996</v>
      </c>
      <c r="DJ145" s="59">
        <f t="shared" si="1013"/>
        <v>63280.030213399987</v>
      </c>
      <c r="DK145" s="55">
        <f t="shared" si="1014"/>
        <v>18553.134599999998</v>
      </c>
      <c r="DL145" s="59">
        <f t="shared" si="1015"/>
        <v>61332.952360679992</v>
      </c>
      <c r="DM145" s="60">
        <f t="shared" si="1016"/>
        <v>17964.146199999996</v>
      </c>
      <c r="DN145" s="59">
        <f t="shared" si="1017"/>
        <v>59385.87450795999</v>
      </c>
      <c r="DO145" s="60">
        <f t="shared" si="1018"/>
        <v>17375.157799999997</v>
      </c>
      <c r="DP145" s="59">
        <f t="shared" si="1019"/>
        <v>57438.796655239988</v>
      </c>
      <c r="DQ145" s="55">
        <f t="shared" si="1020"/>
        <v>16786.169399999995</v>
      </c>
      <c r="DR145" s="59">
        <f t="shared" si="1021"/>
        <v>55491.718802519987</v>
      </c>
      <c r="DU145" s="55">
        <v>1</v>
      </c>
      <c r="DV145" s="55">
        <v>0.97</v>
      </c>
      <c r="DW145" s="55">
        <v>0.95</v>
      </c>
      <c r="DX145" s="55">
        <v>0.93</v>
      </c>
      <c r="DY145" s="55">
        <f t="shared" si="930"/>
        <v>0.91</v>
      </c>
      <c r="DZ145" s="55">
        <f t="shared" si="930"/>
        <v>0.89</v>
      </c>
      <c r="EA145" s="55">
        <f t="shared" si="930"/>
        <v>0.87</v>
      </c>
      <c r="EB145" s="55">
        <f t="shared" si="930"/>
        <v>0.85</v>
      </c>
      <c r="EC145" s="55">
        <f t="shared" si="930"/>
        <v>0.83</v>
      </c>
      <c r="ED145" s="55">
        <f t="shared" si="930"/>
        <v>0.80999999999999994</v>
      </c>
      <c r="EE145" s="55">
        <f t="shared" si="930"/>
        <v>0.78999999999999992</v>
      </c>
      <c r="EF145" s="55">
        <f t="shared" si="930"/>
        <v>0.76999999999999991</v>
      </c>
      <c r="EG145" s="55">
        <f t="shared" si="930"/>
        <v>0.74999999999999989</v>
      </c>
      <c r="EH145" s="55">
        <f t="shared" si="930"/>
        <v>0.72999999999999987</v>
      </c>
      <c r="EI145" s="55">
        <f t="shared" si="930"/>
        <v>0.70999999999999985</v>
      </c>
      <c r="EJ145" s="55">
        <f t="shared" si="930"/>
        <v>0.68999999999999984</v>
      </c>
      <c r="EK145" s="55">
        <f t="shared" si="930"/>
        <v>0.66999999999999982</v>
      </c>
      <c r="EL145" s="55">
        <f t="shared" si="930"/>
        <v>0.6499999999999998</v>
      </c>
      <c r="EM145" s="55">
        <f t="shared" si="930"/>
        <v>0.62999999999999978</v>
      </c>
      <c r="EN145" s="55">
        <f t="shared" si="930"/>
        <v>0.60999999999999976</v>
      </c>
      <c r="EO145" s="55">
        <f t="shared" si="930"/>
        <v>0.58999999999999975</v>
      </c>
      <c r="EP145" s="55">
        <f t="shared" si="930"/>
        <v>0.56999999999999973</v>
      </c>
      <c r="ER145" s="55">
        <f t="shared" si="648"/>
        <v>26798.972200000007</v>
      </c>
      <c r="ES145" s="55">
        <f t="shared" si="510"/>
        <v>26798.972200000007</v>
      </c>
      <c r="ET145" s="59">
        <f t="shared" si="1022"/>
        <v>88592.042298760032</v>
      </c>
      <c r="EU145" s="55">
        <f t="shared" si="1023"/>
        <v>25995.003034000005</v>
      </c>
      <c r="EV145" s="59">
        <f t="shared" si="1024"/>
        <v>85934.281029797217</v>
      </c>
      <c r="EW145" s="55">
        <f t="shared" si="1025"/>
        <v>25459.023590000004</v>
      </c>
      <c r="EX145" s="59">
        <f t="shared" si="1026"/>
        <v>84162.440183822022</v>
      </c>
      <c r="EY145" s="55">
        <f t="shared" si="1027"/>
        <v>24923.044146000007</v>
      </c>
      <c r="EZ145" s="59">
        <f t="shared" si="1028"/>
        <v>82390.599337846827</v>
      </c>
      <c r="FA145" s="57">
        <f t="shared" si="1029"/>
        <v>24387.064702000007</v>
      </c>
      <c r="FB145" s="59">
        <f t="shared" si="1030"/>
        <v>80618.758491871631</v>
      </c>
      <c r="FC145" s="55">
        <f t="shared" si="1031"/>
        <v>23851.085258000006</v>
      </c>
      <c r="FD145" s="59">
        <f t="shared" si="1032"/>
        <v>78846.917645896421</v>
      </c>
      <c r="FE145" s="57">
        <f t="shared" si="1033"/>
        <v>23315.105814000006</v>
      </c>
      <c r="FF145" s="59">
        <f t="shared" si="1034"/>
        <v>77075.076799921226</v>
      </c>
      <c r="FG145" s="60">
        <f t="shared" si="1035"/>
        <v>22779.126370000005</v>
      </c>
      <c r="FH145" s="59">
        <f t="shared" si="1036"/>
        <v>75303.235953946016</v>
      </c>
      <c r="FI145" s="57">
        <f t="shared" si="1037"/>
        <v>22243.146926000005</v>
      </c>
      <c r="FJ145" s="59">
        <f t="shared" si="1038"/>
        <v>73531.39510797082</v>
      </c>
      <c r="FK145" s="55">
        <f t="shared" si="1039"/>
        <v>21707.167482000004</v>
      </c>
      <c r="FL145" s="59">
        <f t="shared" si="1040"/>
        <v>71759.55426199561</v>
      </c>
      <c r="FM145" s="60">
        <f t="shared" si="1041"/>
        <v>21171.188038000004</v>
      </c>
      <c r="FN145" s="59">
        <f t="shared" si="1042"/>
        <v>69987.713416020415</v>
      </c>
      <c r="FO145" s="60">
        <f t="shared" si="1043"/>
        <v>20635.208594000003</v>
      </c>
      <c r="FP145" s="59">
        <f t="shared" si="1044"/>
        <v>68215.87257004522</v>
      </c>
      <c r="FQ145" s="60">
        <f t="shared" si="1045"/>
        <v>20099.229150000003</v>
      </c>
      <c r="FR145" s="59">
        <f t="shared" si="1046"/>
        <v>66444.03172407001</v>
      </c>
      <c r="FS145" s="55">
        <f t="shared" si="1047"/>
        <v>19563.249706000002</v>
      </c>
      <c r="FT145" s="59">
        <f t="shared" si="1048"/>
        <v>64672.190878094807</v>
      </c>
      <c r="FU145" s="60">
        <f t="shared" si="1049"/>
        <v>19027.270262000002</v>
      </c>
      <c r="FV145" s="59">
        <f t="shared" si="1050"/>
        <v>62900.350032119604</v>
      </c>
      <c r="FW145" s="60">
        <f t="shared" si="1051"/>
        <v>18491.290818000001</v>
      </c>
      <c r="FX145" s="59">
        <f t="shared" si="1052"/>
        <v>61128.509186144409</v>
      </c>
      <c r="FY145" s="60">
        <f t="shared" si="1053"/>
        <v>17955.311374000001</v>
      </c>
      <c r="FZ145" s="59">
        <f t="shared" si="1054"/>
        <v>59356.668340169206</v>
      </c>
      <c r="GA145" s="60">
        <f t="shared" si="1055"/>
        <v>17419.33193</v>
      </c>
      <c r="GB145" s="59">
        <f t="shared" si="1056"/>
        <v>57584.827494194004</v>
      </c>
      <c r="GC145" s="55">
        <f t="shared" si="1057"/>
        <v>16883.352486</v>
      </c>
      <c r="GD145" s="59">
        <f t="shared" si="1058"/>
        <v>55812.986648218801</v>
      </c>
      <c r="GE145" s="60">
        <f t="shared" si="1059"/>
        <v>16347.373041999997</v>
      </c>
      <c r="GF145" s="59">
        <f t="shared" si="1060"/>
        <v>54041.145802243591</v>
      </c>
      <c r="GG145" s="60">
        <f t="shared" si="1061"/>
        <v>15811.393597999997</v>
      </c>
      <c r="GH145" s="59">
        <f t="shared" si="1062"/>
        <v>52269.304956268388</v>
      </c>
      <c r="GI145" s="55">
        <f t="shared" si="1063"/>
        <v>15275.414153999996</v>
      </c>
      <c r="GJ145" s="59">
        <f t="shared" si="1064"/>
        <v>50497.464110293193</v>
      </c>
      <c r="GK145" s="55"/>
      <c r="GL145" s="55"/>
      <c r="GM145" s="55">
        <v>1</v>
      </c>
      <c r="GN145" s="55">
        <v>0.97</v>
      </c>
      <c r="GO145" s="55">
        <v>0.95</v>
      </c>
      <c r="GP145" s="55">
        <v>0.93</v>
      </c>
      <c r="GQ145" s="55">
        <f t="shared" si="931"/>
        <v>0.91</v>
      </c>
      <c r="GR145" s="55">
        <f t="shared" si="931"/>
        <v>0.89</v>
      </c>
      <c r="GS145" s="55">
        <f t="shared" si="931"/>
        <v>0.87</v>
      </c>
      <c r="GT145" s="55">
        <f t="shared" si="931"/>
        <v>0.85</v>
      </c>
      <c r="GU145" s="55">
        <f t="shared" si="931"/>
        <v>0.83</v>
      </c>
      <c r="GV145" s="55">
        <f t="shared" si="931"/>
        <v>0.80999999999999994</v>
      </c>
      <c r="GW145" s="55">
        <f t="shared" si="931"/>
        <v>0.78999999999999992</v>
      </c>
      <c r="GX145" s="55">
        <f t="shared" si="931"/>
        <v>0.76999999999999991</v>
      </c>
      <c r="GY145" s="55">
        <f t="shared" si="931"/>
        <v>0.74999999999999989</v>
      </c>
      <c r="GZ145" s="55">
        <f t="shared" si="931"/>
        <v>0.72999999999999987</v>
      </c>
      <c r="HA145" s="55">
        <f t="shared" si="931"/>
        <v>0.70999999999999985</v>
      </c>
      <c r="HB145" s="55">
        <f t="shared" si="931"/>
        <v>0.68999999999999984</v>
      </c>
      <c r="HC145" s="55">
        <f t="shared" si="931"/>
        <v>0.66999999999999982</v>
      </c>
      <c r="HD145" s="55">
        <f t="shared" si="931"/>
        <v>0.6499999999999998</v>
      </c>
      <c r="HE145" s="55">
        <f t="shared" si="931"/>
        <v>0.62999999999999978</v>
      </c>
      <c r="HF145" s="55">
        <f t="shared" si="931"/>
        <v>0.60999999999999976</v>
      </c>
      <c r="HG145" s="55">
        <f t="shared" si="931"/>
        <v>0.58999999999999975</v>
      </c>
      <c r="HH145" s="55">
        <f t="shared" si="931"/>
        <v>0.56999999999999973</v>
      </c>
    </row>
    <row r="146" spans="1:216" x14ac:dyDescent="0.3">
      <c r="A146" s="2">
        <v>4</v>
      </c>
      <c r="C146" s="38" t="s">
        <v>47</v>
      </c>
      <c r="D146" s="42">
        <f>TRUNC(5440.17595359466+8701.5543153454+4216.73404816312,-1)</f>
        <v>18350</v>
      </c>
      <c r="E146" s="71">
        <f>TRUNC(+D146*3.3058,-1)</f>
        <v>60660</v>
      </c>
      <c r="F146" s="2" t="s">
        <v>318</v>
      </c>
      <c r="H146" s="55">
        <f t="shared" si="505"/>
        <v>66726</v>
      </c>
      <c r="I146" s="55">
        <f t="shared" si="506"/>
        <v>66726</v>
      </c>
      <c r="J146" s="59">
        <f t="shared" si="507"/>
        <v>220582.81080000001</v>
      </c>
      <c r="K146" s="55">
        <f t="shared" si="936"/>
        <v>64724.22</v>
      </c>
      <c r="L146" s="59">
        <f t="shared" si="937"/>
        <v>213965.32647600002</v>
      </c>
      <c r="M146" s="55">
        <f t="shared" si="938"/>
        <v>63389.7</v>
      </c>
      <c r="N146" s="59">
        <f t="shared" si="939"/>
        <v>209553.67025999998</v>
      </c>
      <c r="O146" s="55">
        <f t="shared" si="940"/>
        <v>62055.18</v>
      </c>
      <c r="P146" s="59">
        <f t="shared" si="941"/>
        <v>205142.01404400001</v>
      </c>
      <c r="Q146" s="57">
        <f t="shared" si="942"/>
        <v>60720.66</v>
      </c>
      <c r="R146" s="59">
        <f t="shared" si="943"/>
        <v>200730.35782800001</v>
      </c>
      <c r="S146" s="55">
        <f t="shared" si="944"/>
        <v>59386.14</v>
      </c>
      <c r="T146" s="59">
        <f t="shared" si="945"/>
        <v>196318.701612</v>
      </c>
      <c r="U146" s="57">
        <f t="shared" si="946"/>
        <v>58051.62</v>
      </c>
      <c r="V146" s="59">
        <f t="shared" si="947"/>
        <v>191907.045396</v>
      </c>
      <c r="W146" s="60">
        <f t="shared" si="948"/>
        <v>56717.1</v>
      </c>
      <c r="X146" s="59">
        <f t="shared" si="949"/>
        <v>187495.38918</v>
      </c>
      <c r="Y146" s="57">
        <f t="shared" si="950"/>
        <v>55382.579999999994</v>
      </c>
      <c r="Z146" s="59">
        <f t="shared" si="951"/>
        <v>183083.732964</v>
      </c>
      <c r="AA146" s="55">
        <f t="shared" si="952"/>
        <v>54048.06</v>
      </c>
      <c r="AB146" s="59">
        <f t="shared" si="953"/>
        <v>178672.07674799999</v>
      </c>
      <c r="AC146" s="60">
        <f t="shared" si="954"/>
        <v>52713.539999999994</v>
      </c>
      <c r="AD146" s="59">
        <f t="shared" si="955"/>
        <v>174260.42053199999</v>
      </c>
      <c r="AE146" s="60">
        <f t="shared" si="956"/>
        <v>51379.02</v>
      </c>
      <c r="AF146" s="59">
        <f t="shared" si="957"/>
        <v>169848.76431599999</v>
      </c>
      <c r="AG146" s="60">
        <f t="shared" si="958"/>
        <v>50044.499999999993</v>
      </c>
      <c r="AH146" s="59">
        <f t="shared" si="959"/>
        <v>165437.10809999998</v>
      </c>
      <c r="AI146" s="55">
        <f t="shared" si="960"/>
        <v>48709.979999999989</v>
      </c>
      <c r="AJ146" s="59">
        <f t="shared" si="961"/>
        <v>161025.45188399998</v>
      </c>
      <c r="AK146" s="60">
        <f t="shared" si="962"/>
        <v>47375.459999999992</v>
      </c>
      <c r="AL146" s="59">
        <f t="shared" si="963"/>
        <v>156613.79566799998</v>
      </c>
      <c r="AM146" s="60">
        <f t="shared" si="964"/>
        <v>46040.939999999988</v>
      </c>
      <c r="AN146" s="59">
        <f t="shared" si="965"/>
        <v>152202.13945199997</v>
      </c>
      <c r="AO146" s="60">
        <f t="shared" si="966"/>
        <v>44706.419999999991</v>
      </c>
      <c r="AP146" s="59">
        <f t="shared" si="967"/>
        <v>147790.48323599997</v>
      </c>
      <c r="AQ146" s="60">
        <f t="shared" si="968"/>
        <v>43371.899999999987</v>
      </c>
      <c r="AR146" s="59">
        <f t="shared" si="969"/>
        <v>143378.82701999997</v>
      </c>
      <c r="AS146" s="55">
        <f t="shared" si="970"/>
        <v>42037.379999999983</v>
      </c>
      <c r="AT146" s="59">
        <f t="shared" si="971"/>
        <v>138967.17080399994</v>
      </c>
      <c r="AU146" s="60">
        <f t="shared" si="972"/>
        <v>40702.859999999986</v>
      </c>
      <c r="AV146" s="59">
        <f t="shared" si="973"/>
        <v>134555.51458799996</v>
      </c>
      <c r="AW146" s="60">
        <f t="shared" si="974"/>
        <v>39368.339999999982</v>
      </c>
      <c r="AX146" s="59">
        <f t="shared" si="975"/>
        <v>130143.85837199994</v>
      </c>
      <c r="AY146" s="55">
        <f t="shared" si="976"/>
        <v>38033.819999999985</v>
      </c>
      <c r="AZ146" s="59">
        <f t="shared" si="977"/>
        <v>125732.20215599996</v>
      </c>
      <c r="BC146" s="55">
        <v>1</v>
      </c>
      <c r="BD146" s="55">
        <v>0.97</v>
      </c>
      <c r="BE146" s="55">
        <v>0.95</v>
      </c>
      <c r="BF146" s="55">
        <v>0.93</v>
      </c>
      <c r="BG146" s="55">
        <f t="shared" si="978"/>
        <v>0.91</v>
      </c>
      <c r="BH146" s="55">
        <f t="shared" si="978"/>
        <v>0.89</v>
      </c>
      <c r="BI146" s="55">
        <f t="shared" si="978"/>
        <v>0.87</v>
      </c>
      <c r="BJ146" s="55">
        <f t="shared" si="978"/>
        <v>0.85</v>
      </c>
      <c r="BK146" s="55">
        <f t="shared" si="978"/>
        <v>0.83</v>
      </c>
      <c r="BL146" s="55">
        <f t="shared" si="978"/>
        <v>0.80999999999999994</v>
      </c>
      <c r="BM146" s="55">
        <f t="shared" si="978"/>
        <v>0.78999999999999992</v>
      </c>
      <c r="BN146" s="55">
        <f t="shared" si="978"/>
        <v>0.76999999999999991</v>
      </c>
      <c r="BO146" s="55">
        <f t="shared" si="978"/>
        <v>0.74999999999999989</v>
      </c>
      <c r="BP146" s="55">
        <f t="shared" si="978"/>
        <v>0.72999999999999987</v>
      </c>
      <c r="BQ146" s="55">
        <f t="shared" si="978"/>
        <v>0.70999999999999985</v>
      </c>
      <c r="BR146" s="55">
        <f t="shared" si="978"/>
        <v>0.68999999999999984</v>
      </c>
      <c r="BS146" s="55">
        <f t="shared" si="978"/>
        <v>0.66999999999999982</v>
      </c>
      <c r="BT146" s="55">
        <f t="shared" si="978"/>
        <v>0.6499999999999998</v>
      </c>
      <c r="BU146" s="55">
        <f t="shared" si="978"/>
        <v>0.62999999999999978</v>
      </c>
      <c r="BV146" s="55">
        <f t="shared" si="978"/>
        <v>0.60999999999999976</v>
      </c>
      <c r="BW146" s="55">
        <f t="shared" si="978"/>
        <v>0.58999999999999975</v>
      </c>
      <c r="BX146" s="55">
        <f t="shared" si="978"/>
        <v>0.56999999999999973</v>
      </c>
      <c r="BZ146" s="55">
        <f t="shared" si="508"/>
        <v>60720.66</v>
      </c>
      <c r="CA146" s="55">
        <f t="shared" si="509"/>
        <v>60720.66</v>
      </c>
      <c r="CB146" s="59">
        <f t="shared" si="979"/>
        <v>200730.35782800001</v>
      </c>
      <c r="CC146" s="55">
        <f t="shared" si="980"/>
        <v>58899.040200000003</v>
      </c>
      <c r="CD146" s="59">
        <f t="shared" si="981"/>
        <v>194708.44709316001</v>
      </c>
      <c r="CE146" s="55">
        <f t="shared" si="982"/>
        <v>57684.627</v>
      </c>
      <c r="CF146" s="59">
        <f t="shared" si="983"/>
        <v>190693.83993660001</v>
      </c>
      <c r="CG146" s="55">
        <f t="shared" si="984"/>
        <v>56470.213800000005</v>
      </c>
      <c r="CH146" s="59">
        <f t="shared" si="985"/>
        <v>186679.23278004001</v>
      </c>
      <c r="CI146" s="57">
        <f t="shared" si="986"/>
        <v>55255.800600000002</v>
      </c>
      <c r="CJ146" s="59">
        <f t="shared" si="987"/>
        <v>182664.62562348001</v>
      </c>
      <c r="CK146" s="55">
        <f t="shared" si="988"/>
        <v>54041.387400000007</v>
      </c>
      <c r="CL146" s="59">
        <f t="shared" si="989"/>
        <v>178650.01846692004</v>
      </c>
      <c r="CM146" s="57">
        <f t="shared" si="990"/>
        <v>52826.974200000004</v>
      </c>
      <c r="CN146" s="59">
        <f t="shared" si="991"/>
        <v>174635.41131036001</v>
      </c>
      <c r="CO146" s="60">
        <f t="shared" si="992"/>
        <v>51612.561000000002</v>
      </c>
      <c r="CP146" s="59">
        <f t="shared" si="993"/>
        <v>170620.80415380001</v>
      </c>
      <c r="CQ146" s="57">
        <f t="shared" si="994"/>
        <v>50398.147799999999</v>
      </c>
      <c r="CR146" s="59">
        <f t="shared" si="995"/>
        <v>166606.19699724001</v>
      </c>
      <c r="CS146" s="55">
        <f t="shared" si="996"/>
        <v>49183.734599999996</v>
      </c>
      <c r="CT146" s="59">
        <f t="shared" si="997"/>
        <v>162591.58984067998</v>
      </c>
      <c r="CU146" s="60">
        <f t="shared" si="998"/>
        <v>47969.321400000001</v>
      </c>
      <c r="CV146" s="59">
        <f t="shared" si="999"/>
        <v>158576.98268412001</v>
      </c>
      <c r="CW146" s="60">
        <f t="shared" si="1000"/>
        <v>46754.908199999998</v>
      </c>
      <c r="CX146" s="59">
        <f t="shared" si="1001"/>
        <v>154562.37552755998</v>
      </c>
      <c r="CY146" s="60">
        <f t="shared" si="1002"/>
        <v>45540.494999999995</v>
      </c>
      <c r="CZ146" s="59">
        <f t="shared" si="1003"/>
        <v>150547.76837099998</v>
      </c>
      <c r="DA146" s="55">
        <f t="shared" si="1004"/>
        <v>44326.081799999993</v>
      </c>
      <c r="DB146" s="59">
        <f t="shared" si="1005"/>
        <v>146533.16121443998</v>
      </c>
      <c r="DC146" s="60">
        <f t="shared" si="1006"/>
        <v>43111.66859999999</v>
      </c>
      <c r="DD146" s="59">
        <f t="shared" si="1007"/>
        <v>142518.55405787996</v>
      </c>
      <c r="DE146" s="60">
        <f t="shared" si="1008"/>
        <v>41897.255399999995</v>
      </c>
      <c r="DF146" s="59">
        <f t="shared" si="1009"/>
        <v>138503.94690131999</v>
      </c>
      <c r="DG146" s="60">
        <f t="shared" si="1010"/>
        <v>40682.842199999992</v>
      </c>
      <c r="DH146" s="59">
        <f t="shared" si="1011"/>
        <v>134489.33974475999</v>
      </c>
      <c r="DI146" s="60">
        <f t="shared" si="1012"/>
        <v>39468.428999999989</v>
      </c>
      <c r="DJ146" s="59">
        <f t="shared" si="1013"/>
        <v>130474.73258819997</v>
      </c>
      <c r="DK146" s="55">
        <f t="shared" si="1014"/>
        <v>38254.015799999986</v>
      </c>
      <c r="DL146" s="59">
        <f t="shared" si="1015"/>
        <v>126460.12543163996</v>
      </c>
      <c r="DM146" s="60">
        <f t="shared" si="1016"/>
        <v>37039.602599999991</v>
      </c>
      <c r="DN146" s="59">
        <f t="shared" si="1017"/>
        <v>122445.51827507997</v>
      </c>
      <c r="DO146" s="60">
        <f t="shared" si="1018"/>
        <v>35825.189399999988</v>
      </c>
      <c r="DP146" s="59">
        <f t="shared" si="1019"/>
        <v>118430.91111851996</v>
      </c>
      <c r="DQ146" s="55">
        <f t="shared" si="1020"/>
        <v>34610.776199999986</v>
      </c>
      <c r="DR146" s="59">
        <f t="shared" si="1021"/>
        <v>114416.30396195996</v>
      </c>
      <c r="DU146" s="55">
        <v>1</v>
      </c>
      <c r="DV146" s="55">
        <v>0.97</v>
      </c>
      <c r="DW146" s="55">
        <v>0.95</v>
      </c>
      <c r="DX146" s="55">
        <v>0.93</v>
      </c>
      <c r="DY146" s="55">
        <f t="shared" si="930"/>
        <v>0.91</v>
      </c>
      <c r="DZ146" s="55">
        <f t="shared" si="930"/>
        <v>0.89</v>
      </c>
      <c r="EA146" s="55">
        <f t="shared" si="930"/>
        <v>0.87</v>
      </c>
      <c r="EB146" s="55">
        <f t="shared" si="930"/>
        <v>0.85</v>
      </c>
      <c r="EC146" s="55">
        <f t="shared" si="930"/>
        <v>0.83</v>
      </c>
      <c r="ED146" s="55">
        <f t="shared" si="930"/>
        <v>0.80999999999999994</v>
      </c>
      <c r="EE146" s="55">
        <f t="shared" si="930"/>
        <v>0.78999999999999992</v>
      </c>
      <c r="EF146" s="55">
        <f t="shared" si="930"/>
        <v>0.76999999999999991</v>
      </c>
      <c r="EG146" s="55">
        <f t="shared" si="930"/>
        <v>0.74999999999999989</v>
      </c>
      <c r="EH146" s="55">
        <f t="shared" si="930"/>
        <v>0.72999999999999987</v>
      </c>
      <c r="EI146" s="55">
        <f t="shared" si="930"/>
        <v>0.70999999999999985</v>
      </c>
      <c r="EJ146" s="55">
        <f t="shared" si="930"/>
        <v>0.68999999999999984</v>
      </c>
      <c r="EK146" s="55">
        <f t="shared" si="930"/>
        <v>0.66999999999999982</v>
      </c>
      <c r="EL146" s="55">
        <f t="shared" si="930"/>
        <v>0.6499999999999998</v>
      </c>
      <c r="EM146" s="55">
        <f t="shared" si="930"/>
        <v>0.62999999999999978</v>
      </c>
      <c r="EN146" s="55">
        <f t="shared" si="930"/>
        <v>0.60999999999999976</v>
      </c>
      <c r="EO146" s="55">
        <f t="shared" si="930"/>
        <v>0.58999999999999975</v>
      </c>
      <c r="EP146" s="55">
        <f t="shared" si="930"/>
        <v>0.56999999999999973</v>
      </c>
      <c r="ER146" s="55">
        <f t="shared" si="648"/>
        <v>55255.800600000002</v>
      </c>
      <c r="ES146" s="55">
        <f t="shared" si="510"/>
        <v>55255.800600000002</v>
      </c>
      <c r="ET146" s="59">
        <f t="shared" si="1022"/>
        <v>182664.62562348001</v>
      </c>
      <c r="EU146" s="55">
        <f t="shared" si="1023"/>
        <v>53598.126581999997</v>
      </c>
      <c r="EV146" s="59">
        <f t="shared" si="1024"/>
        <v>177184.68685477559</v>
      </c>
      <c r="EW146" s="55">
        <f t="shared" si="1025"/>
        <v>52493.010569999999</v>
      </c>
      <c r="EX146" s="59">
        <f t="shared" si="1026"/>
        <v>173531.39434230601</v>
      </c>
      <c r="EY146" s="55">
        <f t="shared" si="1027"/>
        <v>51387.894558000007</v>
      </c>
      <c r="EZ146" s="59">
        <f t="shared" si="1028"/>
        <v>169878.10182983644</v>
      </c>
      <c r="FA146" s="57">
        <f t="shared" si="1029"/>
        <v>50282.778546000001</v>
      </c>
      <c r="FB146" s="59">
        <f t="shared" si="1030"/>
        <v>166224.8093173668</v>
      </c>
      <c r="FC146" s="55">
        <f t="shared" si="1031"/>
        <v>49177.662534000003</v>
      </c>
      <c r="FD146" s="59">
        <f t="shared" si="1032"/>
        <v>162571.51680489723</v>
      </c>
      <c r="FE146" s="57">
        <f t="shared" si="1033"/>
        <v>48072.546522000004</v>
      </c>
      <c r="FF146" s="59">
        <f t="shared" si="1034"/>
        <v>158918.22429242762</v>
      </c>
      <c r="FG146" s="60">
        <f t="shared" si="1035"/>
        <v>46967.430509999998</v>
      </c>
      <c r="FH146" s="59">
        <f t="shared" si="1036"/>
        <v>155264.93177995799</v>
      </c>
      <c r="FI146" s="57">
        <f t="shared" si="1037"/>
        <v>45862.314498</v>
      </c>
      <c r="FJ146" s="59">
        <f t="shared" si="1038"/>
        <v>151611.63926748841</v>
      </c>
      <c r="FK146" s="55">
        <f t="shared" si="1039"/>
        <v>44757.198486000001</v>
      </c>
      <c r="FL146" s="59">
        <f t="shared" si="1040"/>
        <v>147958.34675501881</v>
      </c>
      <c r="FM146" s="60">
        <f t="shared" si="1041"/>
        <v>43652.082473999995</v>
      </c>
      <c r="FN146" s="59">
        <f t="shared" si="1042"/>
        <v>144305.05424254917</v>
      </c>
      <c r="FO146" s="60">
        <f t="shared" si="1043"/>
        <v>42546.966461999997</v>
      </c>
      <c r="FP146" s="59">
        <f t="shared" si="1044"/>
        <v>140651.7617300796</v>
      </c>
      <c r="FQ146" s="60">
        <f t="shared" si="1045"/>
        <v>41441.850449999998</v>
      </c>
      <c r="FR146" s="59">
        <f t="shared" si="1046"/>
        <v>136998.46921760999</v>
      </c>
      <c r="FS146" s="55">
        <f t="shared" si="1047"/>
        <v>40336.734437999992</v>
      </c>
      <c r="FT146" s="59">
        <f t="shared" si="1048"/>
        <v>133345.17670514039</v>
      </c>
      <c r="FU146" s="60">
        <f t="shared" si="1049"/>
        <v>39231.618425999994</v>
      </c>
      <c r="FV146" s="59">
        <f t="shared" si="1050"/>
        <v>129691.88419267078</v>
      </c>
      <c r="FW146" s="60">
        <f t="shared" si="1051"/>
        <v>38126.502413999995</v>
      </c>
      <c r="FX146" s="59">
        <f t="shared" si="1052"/>
        <v>126038.59168020119</v>
      </c>
      <c r="FY146" s="60">
        <f t="shared" si="1053"/>
        <v>37021.386401999989</v>
      </c>
      <c r="FZ146" s="59">
        <f t="shared" si="1054"/>
        <v>122385.29916773157</v>
      </c>
      <c r="GA146" s="60">
        <f t="shared" si="1055"/>
        <v>35916.270389999991</v>
      </c>
      <c r="GB146" s="59">
        <f t="shared" si="1056"/>
        <v>118732.00665526197</v>
      </c>
      <c r="GC146" s="55">
        <f t="shared" si="1057"/>
        <v>34811.154377999992</v>
      </c>
      <c r="GD146" s="59">
        <f t="shared" si="1058"/>
        <v>115078.71414279238</v>
      </c>
      <c r="GE146" s="60">
        <f t="shared" si="1059"/>
        <v>33706.038365999986</v>
      </c>
      <c r="GF146" s="59">
        <f t="shared" si="1060"/>
        <v>111425.42163032276</v>
      </c>
      <c r="GG146" s="60">
        <f t="shared" si="1061"/>
        <v>32600.922353999988</v>
      </c>
      <c r="GH146" s="59">
        <f t="shared" si="1062"/>
        <v>107772.12911785317</v>
      </c>
      <c r="GI146" s="55">
        <f t="shared" si="1063"/>
        <v>31495.806341999985</v>
      </c>
      <c r="GJ146" s="59">
        <f t="shared" si="1064"/>
        <v>104118.83660538355</v>
      </c>
      <c r="GK146" s="55"/>
      <c r="GL146" s="55"/>
      <c r="GM146" s="55">
        <v>1</v>
      </c>
      <c r="GN146" s="55">
        <v>0.97</v>
      </c>
      <c r="GO146" s="55">
        <v>0.95</v>
      </c>
      <c r="GP146" s="55">
        <v>0.93</v>
      </c>
      <c r="GQ146" s="55">
        <f t="shared" si="931"/>
        <v>0.91</v>
      </c>
      <c r="GR146" s="55">
        <f t="shared" si="931"/>
        <v>0.89</v>
      </c>
      <c r="GS146" s="55">
        <f t="shared" si="931"/>
        <v>0.87</v>
      </c>
      <c r="GT146" s="55">
        <f t="shared" si="931"/>
        <v>0.85</v>
      </c>
      <c r="GU146" s="55">
        <f t="shared" si="931"/>
        <v>0.83</v>
      </c>
      <c r="GV146" s="55">
        <f t="shared" si="931"/>
        <v>0.80999999999999994</v>
      </c>
      <c r="GW146" s="55">
        <f t="shared" si="931"/>
        <v>0.78999999999999992</v>
      </c>
      <c r="GX146" s="55">
        <f t="shared" si="931"/>
        <v>0.76999999999999991</v>
      </c>
      <c r="GY146" s="55">
        <f t="shared" si="931"/>
        <v>0.74999999999999989</v>
      </c>
      <c r="GZ146" s="55">
        <f t="shared" si="931"/>
        <v>0.72999999999999987</v>
      </c>
      <c r="HA146" s="55">
        <f t="shared" si="931"/>
        <v>0.70999999999999985</v>
      </c>
      <c r="HB146" s="55">
        <f t="shared" si="931"/>
        <v>0.68999999999999984</v>
      </c>
      <c r="HC146" s="55">
        <f t="shared" si="931"/>
        <v>0.66999999999999982</v>
      </c>
      <c r="HD146" s="55">
        <f t="shared" si="931"/>
        <v>0.6499999999999998</v>
      </c>
      <c r="HE146" s="55">
        <f t="shared" si="931"/>
        <v>0.62999999999999978</v>
      </c>
      <c r="HF146" s="55">
        <f t="shared" si="931"/>
        <v>0.60999999999999976</v>
      </c>
      <c r="HG146" s="55">
        <f t="shared" si="931"/>
        <v>0.58999999999999975</v>
      </c>
      <c r="HH146" s="55">
        <f t="shared" si="931"/>
        <v>0.56999999999999973</v>
      </c>
    </row>
    <row r="147" spans="1:216" ht="17.25" thickBot="1" x14ac:dyDescent="0.35">
      <c r="A147" s="2">
        <v>5</v>
      </c>
      <c r="C147" s="38" t="s">
        <v>150</v>
      </c>
      <c r="D147" s="43">
        <f>TRUNC(29980.1371066971,-1)</f>
        <v>29980</v>
      </c>
      <c r="E147" s="72">
        <f>TRUNC(+D147*3.3058,-1)</f>
        <v>99100</v>
      </c>
      <c r="H147" s="55">
        <f t="shared" si="505"/>
        <v>109010.00000000001</v>
      </c>
      <c r="I147" s="55">
        <f t="shared" si="506"/>
        <v>109010.00000000001</v>
      </c>
      <c r="J147" s="59">
        <f t="shared" si="507"/>
        <v>360365.25800000003</v>
      </c>
      <c r="K147" s="55">
        <f t="shared" si="936"/>
        <v>105739.70000000001</v>
      </c>
      <c r="L147" s="59">
        <f t="shared" si="937"/>
        <v>349554.30026000005</v>
      </c>
      <c r="M147" s="55">
        <f t="shared" si="938"/>
        <v>103559.50000000001</v>
      </c>
      <c r="N147" s="59">
        <f t="shared" si="939"/>
        <v>342346.99510000006</v>
      </c>
      <c r="O147" s="55">
        <f t="shared" si="940"/>
        <v>101379.30000000002</v>
      </c>
      <c r="P147" s="59">
        <f t="shared" si="941"/>
        <v>335139.68994000007</v>
      </c>
      <c r="Q147" s="57">
        <f t="shared" si="942"/>
        <v>99199.10000000002</v>
      </c>
      <c r="R147" s="59">
        <f t="shared" si="943"/>
        <v>327932.38478000008</v>
      </c>
      <c r="S147" s="55">
        <f t="shared" si="944"/>
        <v>97018.900000000009</v>
      </c>
      <c r="T147" s="59">
        <f t="shared" si="945"/>
        <v>320725.07962000003</v>
      </c>
      <c r="U147" s="57">
        <f t="shared" si="946"/>
        <v>94838.700000000012</v>
      </c>
      <c r="V147" s="59">
        <f t="shared" si="947"/>
        <v>313517.77446000004</v>
      </c>
      <c r="W147" s="60">
        <f t="shared" si="948"/>
        <v>92658.500000000015</v>
      </c>
      <c r="X147" s="59">
        <f t="shared" si="949"/>
        <v>306310.46930000006</v>
      </c>
      <c r="Y147" s="57">
        <f t="shared" si="950"/>
        <v>90478.3</v>
      </c>
      <c r="Z147" s="59">
        <f t="shared" si="951"/>
        <v>299103.16414000001</v>
      </c>
      <c r="AA147" s="55">
        <f t="shared" si="952"/>
        <v>88298.1</v>
      </c>
      <c r="AB147" s="59">
        <f t="shared" si="953"/>
        <v>291895.85898000002</v>
      </c>
      <c r="AC147" s="60">
        <f t="shared" si="954"/>
        <v>86117.900000000009</v>
      </c>
      <c r="AD147" s="59">
        <f t="shared" si="955"/>
        <v>284688.55382000003</v>
      </c>
      <c r="AE147" s="60">
        <f t="shared" si="956"/>
        <v>83937.7</v>
      </c>
      <c r="AF147" s="59">
        <f t="shared" si="957"/>
        <v>277481.24865999998</v>
      </c>
      <c r="AG147" s="60">
        <f t="shared" si="958"/>
        <v>81757.5</v>
      </c>
      <c r="AH147" s="59">
        <f t="shared" si="959"/>
        <v>270273.94349999999</v>
      </c>
      <c r="AI147" s="55">
        <f t="shared" si="960"/>
        <v>79577.3</v>
      </c>
      <c r="AJ147" s="59">
        <f t="shared" si="961"/>
        <v>263066.63834</v>
      </c>
      <c r="AK147" s="60">
        <f t="shared" si="962"/>
        <v>77397.099999999991</v>
      </c>
      <c r="AL147" s="59">
        <f t="shared" si="963"/>
        <v>255859.33317999999</v>
      </c>
      <c r="AM147" s="60">
        <f t="shared" si="964"/>
        <v>75216.899999999994</v>
      </c>
      <c r="AN147" s="59">
        <f t="shared" si="965"/>
        <v>248652.02802</v>
      </c>
      <c r="AO147" s="60">
        <f t="shared" si="966"/>
        <v>73036.7</v>
      </c>
      <c r="AP147" s="59">
        <f t="shared" si="967"/>
        <v>241444.72286000001</v>
      </c>
      <c r="AQ147" s="60">
        <f t="shared" si="968"/>
        <v>70856.499999999985</v>
      </c>
      <c r="AR147" s="59">
        <f t="shared" si="969"/>
        <v>234237.41769999996</v>
      </c>
      <c r="AS147" s="55">
        <f t="shared" si="970"/>
        <v>68676.299999999988</v>
      </c>
      <c r="AT147" s="59">
        <f t="shared" si="971"/>
        <v>227030.11253999997</v>
      </c>
      <c r="AU147" s="60">
        <f t="shared" si="972"/>
        <v>66496.099999999977</v>
      </c>
      <c r="AV147" s="59">
        <f t="shared" si="973"/>
        <v>219822.80737999993</v>
      </c>
      <c r="AW147" s="60">
        <f t="shared" si="974"/>
        <v>64315.89999999998</v>
      </c>
      <c r="AX147" s="59">
        <f t="shared" si="975"/>
        <v>212615.50221999994</v>
      </c>
      <c r="AY147" s="55">
        <f t="shared" si="976"/>
        <v>62135.699999999975</v>
      </c>
      <c r="AZ147" s="59">
        <f t="shared" si="977"/>
        <v>205408.19705999992</v>
      </c>
      <c r="BC147" s="55">
        <v>1</v>
      </c>
      <c r="BD147" s="55">
        <v>0.97</v>
      </c>
      <c r="BE147" s="55">
        <v>0.95</v>
      </c>
      <c r="BF147" s="55">
        <v>0.93</v>
      </c>
      <c r="BG147" s="55">
        <f t="shared" si="978"/>
        <v>0.91</v>
      </c>
      <c r="BH147" s="55">
        <f t="shared" si="978"/>
        <v>0.89</v>
      </c>
      <c r="BI147" s="55">
        <f t="shared" si="978"/>
        <v>0.87</v>
      </c>
      <c r="BJ147" s="55">
        <f t="shared" si="978"/>
        <v>0.85</v>
      </c>
      <c r="BK147" s="55">
        <f t="shared" si="978"/>
        <v>0.83</v>
      </c>
      <c r="BL147" s="55">
        <f t="shared" si="978"/>
        <v>0.80999999999999994</v>
      </c>
      <c r="BM147" s="55">
        <f t="shared" si="978"/>
        <v>0.78999999999999992</v>
      </c>
      <c r="BN147" s="55">
        <f t="shared" si="978"/>
        <v>0.76999999999999991</v>
      </c>
      <c r="BO147" s="55">
        <f t="shared" si="978"/>
        <v>0.74999999999999989</v>
      </c>
      <c r="BP147" s="55">
        <f t="shared" si="978"/>
        <v>0.72999999999999987</v>
      </c>
      <c r="BQ147" s="55">
        <f t="shared" si="978"/>
        <v>0.70999999999999985</v>
      </c>
      <c r="BR147" s="55">
        <f t="shared" si="978"/>
        <v>0.68999999999999984</v>
      </c>
      <c r="BS147" s="55">
        <f t="shared" si="978"/>
        <v>0.66999999999999982</v>
      </c>
      <c r="BT147" s="55">
        <f t="shared" si="978"/>
        <v>0.6499999999999998</v>
      </c>
      <c r="BU147" s="55">
        <f t="shared" si="978"/>
        <v>0.62999999999999978</v>
      </c>
      <c r="BV147" s="55">
        <f t="shared" si="978"/>
        <v>0.60999999999999976</v>
      </c>
      <c r="BW147" s="55">
        <f t="shared" si="978"/>
        <v>0.58999999999999975</v>
      </c>
      <c r="BX147" s="55">
        <f t="shared" si="978"/>
        <v>0.56999999999999973</v>
      </c>
      <c r="BZ147" s="55">
        <f t="shared" si="508"/>
        <v>99199.10000000002</v>
      </c>
      <c r="CA147" s="55">
        <f t="shared" si="509"/>
        <v>99199.10000000002</v>
      </c>
      <c r="CB147" s="59">
        <f t="shared" si="979"/>
        <v>327932.38478000008</v>
      </c>
      <c r="CC147" s="55">
        <f t="shared" si="980"/>
        <v>96223.127000000022</v>
      </c>
      <c r="CD147" s="59">
        <f t="shared" si="981"/>
        <v>318094.41323660006</v>
      </c>
      <c r="CE147" s="55">
        <f t="shared" si="982"/>
        <v>94239.145000000019</v>
      </c>
      <c r="CF147" s="59">
        <f t="shared" si="983"/>
        <v>311535.76554100006</v>
      </c>
      <c r="CG147" s="55">
        <f t="shared" si="984"/>
        <v>92255.16300000003</v>
      </c>
      <c r="CH147" s="59">
        <f t="shared" si="985"/>
        <v>304977.11784540012</v>
      </c>
      <c r="CI147" s="57">
        <f t="shared" si="986"/>
        <v>90271.181000000026</v>
      </c>
      <c r="CJ147" s="59">
        <f t="shared" si="987"/>
        <v>298418.47014980006</v>
      </c>
      <c r="CK147" s="55">
        <f t="shared" si="988"/>
        <v>88287.199000000022</v>
      </c>
      <c r="CL147" s="59">
        <f t="shared" si="989"/>
        <v>291859.82245420007</v>
      </c>
      <c r="CM147" s="57">
        <f t="shared" si="990"/>
        <v>86303.217000000019</v>
      </c>
      <c r="CN147" s="59">
        <f t="shared" si="991"/>
        <v>285301.17475860007</v>
      </c>
      <c r="CO147" s="60">
        <f t="shared" si="992"/>
        <v>84319.235000000015</v>
      </c>
      <c r="CP147" s="59">
        <f t="shared" si="993"/>
        <v>278742.52706300007</v>
      </c>
      <c r="CQ147" s="57">
        <f t="shared" si="994"/>
        <v>82335.253000000012</v>
      </c>
      <c r="CR147" s="59">
        <f t="shared" si="995"/>
        <v>272183.87936740002</v>
      </c>
      <c r="CS147" s="55">
        <f t="shared" si="996"/>
        <v>80351.271000000008</v>
      </c>
      <c r="CT147" s="59">
        <f t="shared" si="997"/>
        <v>265625.23167180002</v>
      </c>
      <c r="CU147" s="60">
        <f t="shared" si="998"/>
        <v>78367.289000000004</v>
      </c>
      <c r="CV147" s="59">
        <f t="shared" si="999"/>
        <v>259066.58397620003</v>
      </c>
      <c r="CW147" s="60">
        <f t="shared" si="1000"/>
        <v>76383.307000000001</v>
      </c>
      <c r="CX147" s="59">
        <f t="shared" si="1001"/>
        <v>252507.9362806</v>
      </c>
      <c r="CY147" s="60">
        <f t="shared" si="1002"/>
        <v>74399.324999999997</v>
      </c>
      <c r="CZ147" s="59">
        <f t="shared" si="1003"/>
        <v>245949.288585</v>
      </c>
      <c r="DA147" s="55">
        <f t="shared" si="1004"/>
        <v>72415.343000000008</v>
      </c>
      <c r="DB147" s="59">
        <f t="shared" si="1005"/>
        <v>239390.64088940003</v>
      </c>
      <c r="DC147" s="60">
        <f t="shared" si="1006"/>
        <v>70431.361000000004</v>
      </c>
      <c r="DD147" s="59">
        <f t="shared" si="1007"/>
        <v>232831.99319380001</v>
      </c>
      <c r="DE147" s="60">
        <f t="shared" si="1008"/>
        <v>68447.379000000001</v>
      </c>
      <c r="DF147" s="59">
        <f t="shared" si="1009"/>
        <v>226273.34549820001</v>
      </c>
      <c r="DG147" s="60">
        <f t="shared" si="1010"/>
        <v>66463.396999999997</v>
      </c>
      <c r="DH147" s="59">
        <f t="shared" si="1011"/>
        <v>219714.69780259999</v>
      </c>
      <c r="DI147" s="60">
        <f t="shared" si="1012"/>
        <v>64479.414999999994</v>
      </c>
      <c r="DJ147" s="59">
        <f t="shared" si="1013"/>
        <v>213156.05010699999</v>
      </c>
      <c r="DK147" s="55">
        <f t="shared" si="1014"/>
        <v>62495.43299999999</v>
      </c>
      <c r="DL147" s="59">
        <f t="shared" si="1015"/>
        <v>206597.40241139996</v>
      </c>
      <c r="DM147" s="60">
        <f t="shared" si="1016"/>
        <v>60511.450999999986</v>
      </c>
      <c r="DN147" s="59">
        <f t="shared" si="1017"/>
        <v>200038.75471579997</v>
      </c>
      <c r="DO147" s="60">
        <f t="shared" si="1018"/>
        <v>58527.46899999999</v>
      </c>
      <c r="DP147" s="59">
        <f t="shared" si="1019"/>
        <v>193480.10702019997</v>
      </c>
      <c r="DQ147" s="55">
        <f t="shared" si="1020"/>
        <v>56543.486999999986</v>
      </c>
      <c r="DR147" s="59">
        <f t="shared" si="1021"/>
        <v>186921.45932459997</v>
      </c>
      <c r="DU147" s="55">
        <v>1</v>
      </c>
      <c r="DV147" s="55">
        <v>0.97</v>
      </c>
      <c r="DW147" s="55">
        <v>0.95</v>
      </c>
      <c r="DX147" s="55">
        <v>0.93</v>
      </c>
      <c r="DY147" s="55">
        <f t="shared" si="930"/>
        <v>0.91</v>
      </c>
      <c r="DZ147" s="55">
        <f t="shared" si="930"/>
        <v>0.89</v>
      </c>
      <c r="EA147" s="55">
        <f t="shared" si="930"/>
        <v>0.87</v>
      </c>
      <c r="EB147" s="55">
        <f t="shared" si="930"/>
        <v>0.85</v>
      </c>
      <c r="EC147" s="55">
        <f t="shared" si="930"/>
        <v>0.83</v>
      </c>
      <c r="ED147" s="55">
        <f t="shared" si="930"/>
        <v>0.80999999999999994</v>
      </c>
      <c r="EE147" s="55">
        <f t="shared" si="930"/>
        <v>0.78999999999999992</v>
      </c>
      <c r="EF147" s="55">
        <f t="shared" si="930"/>
        <v>0.76999999999999991</v>
      </c>
      <c r="EG147" s="55">
        <f t="shared" si="930"/>
        <v>0.74999999999999989</v>
      </c>
      <c r="EH147" s="55">
        <f t="shared" si="930"/>
        <v>0.72999999999999987</v>
      </c>
      <c r="EI147" s="55">
        <f t="shared" si="930"/>
        <v>0.70999999999999985</v>
      </c>
      <c r="EJ147" s="55">
        <f t="shared" si="930"/>
        <v>0.68999999999999984</v>
      </c>
      <c r="EK147" s="55">
        <f t="shared" si="930"/>
        <v>0.66999999999999982</v>
      </c>
      <c r="EL147" s="55">
        <f t="shared" si="930"/>
        <v>0.6499999999999998</v>
      </c>
      <c r="EM147" s="55">
        <f t="shared" si="930"/>
        <v>0.62999999999999978</v>
      </c>
      <c r="EN147" s="55">
        <f t="shared" si="930"/>
        <v>0.60999999999999976</v>
      </c>
      <c r="EO147" s="55">
        <f t="shared" si="930"/>
        <v>0.58999999999999975</v>
      </c>
      <c r="EP147" s="55">
        <f t="shared" si="930"/>
        <v>0.56999999999999973</v>
      </c>
      <c r="ER147" s="55">
        <f t="shared" si="648"/>
        <v>90271.181000000026</v>
      </c>
      <c r="ES147" s="55">
        <f t="shared" si="510"/>
        <v>90271.181000000026</v>
      </c>
      <c r="ET147" s="59">
        <f t="shared" si="1022"/>
        <v>298418.47014980006</v>
      </c>
      <c r="EU147" s="55">
        <f t="shared" si="1023"/>
        <v>87563.045570000017</v>
      </c>
      <c r="EV147" s="59">
        <f t="shared" si="1024"/>
        <v>289465.91604530608</v>
      </c>
      <c r="EW147" s="55">
        <f t="shared" si="1025"/>
        <v>85757.621950000015</v>
      </c>
      <c r="EX147" s="59">
        <f t="shared" si="1026"/>
        <v>283497.54664231004</v>
      </c>
      <c r="EY147" s="55">
        <f t="shared" si="1027"/>
        <v>83952.198330000028</v>
      </c>
      <c r="EZ147" s="59">
        <f t="shared" si="1028"/>
        <v>277529.17723931407</v>
      </c>
      <c r="FA147" s="57">
        <f t="shared" si="1029"/>
        <v>82146.774710000027</v>
      </c>
      <c r="FB147" s="59">
        <f t="shared" si="1030"/>
        <v>271560.8078363181</v>
      </c>
      <c r="FC147" s="55">
        <f t="shared" si="1031"/>
        <v>80341.351090000026</v>
      </c>
      <c r="FD147" s="59">
        <f t="shared" si="1032"/>
        <v>265592.43843332207</v>
      </c>
      <c r="FE147" s="57">
        <f t="shared" si="1033"/>
        <v>78535.927470000024</v>
      </c>
      <c r="FF147" s="59">
        <f t="shared" si="1034"/>
        <v>259624.06903032609</v>
      </c>
      <c r="FG147" s="60">
        <f t="shared" si="1035"/>
        <v>76730.503850000023</v>
      </c>
      <c r="FH147" s="59">
        <f t="shared" si="1036"/>
        <v>253655.69962733009</v>
      </c>
      <c r="FI147" s="57">
        <f t="shared" si="1037"/>
        <v>74925.080230000021</v>
      </c>
      <c r="FJ147" s="59">
        <f t="shared" si="1038"/>
        <v>247687.33022433409</v>
      </c>
      <c r="FK147" s="55">
        <f t="shared" si="1039"/>
        <v>73119.65661000002</v>
      </c>
      <c r="FL147" s="59">
        <f t="shared" si="1040"/>
        <v>241718.96082133809</v>
      </c>
      <c r="FM147" s="60">
        <f t="shared" si="1041"/>
        <v>71314.232990000019</v>
      </c>
      <c r="FN147" s="59">
        <f t="shared" si="1042"/>
        <v>235750.59141834205</v>
      </c>
      <c r="FO147" s="60">
        <f t="shared" si="1043"/>
        <v>69508.809370000017</v>
      </c>
      <c r="FP147" s="59">
        <f t="shared" si="1044"/>
        <v>229782.22201534605</v>
      </c>
      <c r="FQ147" s="60">
        <f t="shared" si="1045"/>
        <v>67703.385750000016</v>
      </c>
      <c r="FR147" s="59">
        <f t="shared" si="1046"/>
        <v>223813.85261235005</v>
      </c>
      <c r="FS147" s="55">
        <f t="shared" si="1047"/>
        <v>65897.962130000014</v>
      </c>
      <c r="FT147" s="59">
        <f t="shared" si="1048"/>
        <v>217845.48320935405</v>
      </c>
      <c r="FU147" s="60">
        <f t="shared" si="1049"/>
        <v>64092.538510000006</v>
      </c>
      <c r="FV147" s="59">
        <f t="shared" si="1050"/>
        <v>211877.11380635801</v>
      </c>
      <c r="FW147" s="60">
        <f t="shared" si="1051"/>
        <v>62287.114890000004</v>
      </c>
      <c r="FX147" s="59">
        <f t="shared" si="1052"/>
        <v>205908.74440336201</v>
      </c>
      <c r="FY147" s="60">
        <f t="shared" si="1053"/>
        <v>60481.691270000003</v>
      </c>
      <c r="FZ147" s="59">
        <f t="shared" si="1054"/>
        <v>199940.37500036601</v>
      </c>
      <c r="GA147" s="60">
        <f t="shared" si="1055"/>
        <v>58676.267650000002</v>
      </c>
      <c r="GB147" s="59">
        <f t="shared" si="1056"/>
        <v>193972.00559737001</v>
      </c>
      <c r="GC147" s="55">
        <f t="shared" si="1057"/>
        <v>56870.84403</v>
      </c>
      <c r="GD147" s="59">
        <f t="shared" si="1058"/>
        <v>188003.636194374</v>
      </c>
      <c r="GE147" s="60">
        <f t="shared" si="1059"/>
        <v>55065.420409999992</v>
      </c>
      <c r="GF147" s="59">
        <f t="shared" si="1060"/>
        <v>182035.26679137797</v>
      </c>
      <c r="GG147" s="60">
        <f t="shared" si="1061"/>
        <v>53259.99678999999</v>
      </c>
      <c r="GH147" s="59">
        <f t="shared" si="1062"/>
        <v>176066.89738838197</v>
      </c>
      <c r="GI147" s="55">
        <f t="shared" si="1063"/>
        <v>51454.573169999989</v>
      </c>
      <c r="GJ147" s="59">
        <f t="shared" si="1064"/>
        <v>170098.52798538597</v>
      </c>
      <c r="GK147" s="55"/>
      <c r="GL147" s="55"/>
      <c r="GM147" s="55">
        <v>1</v>
      </c>
      <c r="GN147" s="55">
        <v>0.97</v>
      </c>
      <c r="GO147" s="55">
        <v>0.95</v>
      </c>
      <c r="GP147" s="55">
        <v>0.93</v>
      </c>
      <c r="GQ147" s="55">
        <f t="shared" si="931"/>
        <v>0.91</v>
      </c>
      <c r="GR147" s="55">
        <f t="shared" si="931"/>
        <v>0.89</v>
      </c>
      <c r="GS147" s="55">
        <f t="shared" si="931"/>
        <v>0.87</v>
      </c>
      <c r="GT147" s="55">
        <f t="shared" si="931"/>
        <v>0.85</v>
      </c>
      <c r="GU147" s="55">
        <f t="shared" si="931"/>
        <v>0.83</v>
      </c>
      <c r="GV147" s="55">
        <f t="shared" si="931"/>
        <v>0.80999999999999994</v>
      </c>
      <c r="GW147" s="55">
        <f t="shared" si="931"/>
        <v>0.78999999999999992</v>
      </c>
      <c r="GX147" s="55">
        <f t="shared" si="931"/>
        <v>0.76999999999999991</v>
      </c>
      <c r="GY147" s="55">
        <f t="shared" si="931"/>
        <v>0.74999999999999989</v>
      </c>
      <c r="GZ147" s="55">
        <f t="shared" si="931"/>
        <v>0.72999999999999987</v>
      </c>
      <c r="HA147" s="55">
        <f t="shared" si="931"/>
        <v>0.70999999999999985</v>
      </c>
      <c r="HB147" s="55">
        <f t="shared" si="931"/>
        <v>0.68999999999999984</v>
      </c>
      <c r="HC147" s="55">
        <f t="shared" si="931"/>
        <v>0.66999999999999982</v>
      </c>
      <c r="HD147" s="55">
        <f t="shared" si="931"/>
        <v>0.6499999999999998</v>
      </c>
      <c r="HE147" s="55">
        <f t="shared" si="931"/>
        <v>0.62999999999999978</v>
      </c>
      <c r="HF147" s="55">
        <f t="shared" si="931"/>
        <v>0.60999999999999976</v>
      </c>
      <c r="HG147" s="55">
        <f t="shared" si="931"/>
        <v>0.58999999999999975</v>
      </c>
      <c r="HH147" s="55">
        <f t="shared" si="931"/>
        <v>0.56999999999999973</v>
      </c>
    </row>
    <row r="148" spans="1:216" x14ac:dyDescent="0.3">
      <c r="A148" s="2">
        <v>6</v>
      </c>
      <c r="C148" s="27" t="s">
        <v>113</v>
      </c>
      <c r="D148" s="39">
        <f>SUM(D143:D147)</f>
        <v>66080</v>
      </c>
      <c r="E148" s="39">
        <f>SUM(E143:E147)</f>
        <v>218430</v>
      </c>
      <c r="H148" s="55">
        <f t="shared" ref="H148:H155" si="1065">+E148*1.1</f>
        <v>240273.00000000003</v>
      </c>
      <c r="I148" s="55">
        <f t="shared" ref="I148:I155" si="1066">+H148</f>
        <v>240273.00000000003</v>
      </c>
      <c r="J148" s="59">
        <f t="shared" ref="J148:J155" si="1067">+I148*3.3058</f>
        <v>794294.48340000014</v>
      </c>
      <c r="K148" s="55">
        <f t="shared" si="936"/>
        <v>233064.81000000003</v>
      </c>
      <c r="L148" s="59">
        <f t="shared" si="937"/>
        <v>770465.64889800013</v>
      </c>
      <c r="M148" s="55">
        <f t="shared" si="938"/>
        <v>228259.35</v>
      </c>
      <c r="N148" s="59">
        <f t="shared" si="939"/>
        <v>754579.75923000008</v>
      </c>
      <c r="O148" s="55">
        <f t="shared" si="940"/>
        <v>223453.89000000004</v>
      </c>
      <c r="P148" s="59">
        <f t="shared" si="941"/>
        <v>738693.86956200015</v>
      </c>
      <c r="Q148" s="57">
        <f t="shared" si="942"/>
        <v>218648.43000000002</v>
      </c>
      <c r="R148" s="59">
        <f t="shared" si="943"/>
        <v>722807.97989400011</v>
      </c>
      <c r="S148" s="55">
        <f t="shared" si="944"/>
        <v>213842.97000000003</v>
      </c>
      <c r="T148" s="59">
        <f t="shared" si="945"/>
        <v>706922.09022600006</v>
      </c>
      <c r="U148" s="57">
        <f t="shared" si="946"/>
        <v>209037.51000000004</v>
      </c>
      <c r="V148" s="59">
        <f t="shared" si="947"/>
        <v>691036.20055800013</v>
      </c>
      <c r="W148" s="60">
        <f t="shared" si="948"/>
        <v>204232.05000000002</v>
      </c>
      <c r="X148" s="59">
        <f t="shared" si="949"/>
        <v>675150.31089000008</v>
      </c>
      <c r="Y148" s="57">
        <f t="shared" si="950"/>
        <v>199426.59000000003</v>
      </c>
      <c r="Z148" s="59">
        <f t="shared" si="951"/>
        <v>659264.42122200015</v>
      </c>
      <c r="AA148" s="55">
        <f t="shared" si="952"/>
        <v>194621.13</v>
      </c>
      <c r="AB148" s="59">
        <f t="shared" si="953"/>
        <v>643378.53155399999</v>
      </c>
      <c r="AC148" s="60">
        <f t="shared" si="954"/>
        <v>189815.67</v>
      </c>
      <c r="AD148" s="59">
        <f t="shared" si="955"/>
        <v>627492.64188600006</v>
      </c>
      <c r="AE148" s="60">
        <f t="shared" si="956"/>
        <v>185010.21</v>
      </c>
      <c r="AF148" s="59">
        <f t="shared" si="957"/>
        <v>611606.75221800001</v>
      </c>
      <c r="AG148" s="60">
        <f t="shared" si="958"/>
        <v>180204.75</v>
      </c>
      <c r="AH148" s="59">
        <f t="shared" si="959"/>
        <v>595720.86254999996</v>
      </c>
      <c r="AI148" s="55">
        <f t="shared" si="960"/>
        <v>175399.28999999998</v>
      </c>
      <c r="AJ148" s="59">
        <f t="shared" si="961"/>
        <v>579834.97288199991</v>
      </c>
      <c r="AK148" s="60">
        <f t="shared" si="962"/>
        <v>170593.83</v>
      </c>
      <c r="AL148" s="59">
        <f t="shared" si="963"/>
        <v>563949.08321399998</v>
      </c>
      <c r="AM148" s="60">
        <f t="shared" si="964"/>
        <v>165788.36999999997</v>
      </c>
      <c r="AN148" s="59">
        <f t="shared" si="965"/>
        <v>548063.19354599994</v>
      </c>
      <c r="AO148" s="60">
        <f t="shared" si="966"/>
        <v>160982.90999999997</v>
      </c>
      <c r="AP148" s="59">
        <f t="shared" si="967"/>
        <v>532177.30387799989</v>
      </c>
      <c r="AQ148" s="60">
        <f t="shared" si="968"/>
        <v>156177.44999999998</v>
      </c>
      <c r="AR148" s="59">
        <f t="shared" si="969"/>
        <v>516291.41420999996</v>
      </c>
      <c r="AS148" s="55">
        <f t="shared" si="970"/>
        <v>151371.98999999996</v>
      </c>
      <c r="AT148" s="59">
        <f t="shared" si="971"/>
        <v>500405.52454199991</v>
      </c>
      <c r="AU148" s="60">
        <f t="shared" si="972"/>
        <v>146566.52999999997</v>
      </c>
      <c r="AV148" s="59">
        <f t="shared" si="973"/>
        <v>484519.63487399992</v>
      </c>
      <c r="AW148" s="60">
        <f t="shared" si="974"/>
        <v>141761.06999999995</v>
      </c>
      <c r="AX148" s="59">
        <f t="shared" si="975"/>
        <v>468633.74520599982</v>
      </c>
      <c r="AY148" s="55">
        <f t="shared" si="976"/>
        <v>136955.60999999996</v>
      </c>
      <c r="AZ148" s="59">
        <f t="shared" si="977"/>
        <v>452747.85553799989</v>
      </c>
      <c r="BC148" s="55">
        <v>1</v>
      </c>
      <c r="BD148" s="55">
        <v>0.97</v>
      </c>
      <c r="BE148" s="55">
        <v>0.95</v>
      </c>
      <c r="BF148" s="55">
        <v>0.93</v>
      </c>
      <c r="BG148" s="55">
        <f t="shared" si="978"/>
        <v>0.91</v>
      </c>
      <c r="BH148" s="55">
        <f t="shared" si="978"/>
        <v>0.89</v>
      </c>
      <c r="BI148" s="55">
        <f t="shared" si="978"/>
        <v>0.87</v>
      </c>
      <c r="BJ148" s="55">
        <f t="shared" si="978"/>
        <v>0.85</v>
      </c>
      <c r="BK148" s="55">
        <f t="shared" si="978"/>
        <v>0.83</v>
      </c>
      <c r="BL148" s="55">
        <f t="shared" si="978"/>
        <v>0.80999999999999994</v>
      </c>
      <c r="BM148" s="55">
        <f t="shared" si="978"/>
        <v>0.78999999999999992</v>
      </c>
      <c r="BN148" s="55">
        <f t="shared" si="978"/>
        <v>0.76999999999999991</v>
      </c>
      <c r="BO148" s="55">
        <f t="shared" si="978"/>
        <v>0.74999999999999989</v>
      </c>
      <c r="BP148" s="55">
        <f t="shared" si="978"/>
        <v>0.72999999999999987</v>
      </c>
      <c r="BQ148" s="55">
        <f t="shared" si="978"/>
        <v>0.70999999999999985</v>
      </c>
      <c r="BR148" s="55">
        <f t="shared" si="978"/>
        <v>0.68999999999999984</v>
      </c>
      <c r="BS148" s="55">
        <f t="shared" si="978"/>
        <v>0.66999999999999982</v>
      </c>
      <c r="BT148" s="55">
        <f t="shared" si="978"/>
        <v>0.6499999999999998</v>
      </c>
      <c r="BU148" s="55">
        <f t="shared" si="978"/>
        <v>0.62999999999999978</v>
      </c>
      <c r="BV148" s="55">
        <f t="shared" si="978"/>
        <v>0.60999999999999976</v>
      </c>
      <c r="BW148" s="55">
        <f t="shared" si="978"/>
        <v>0.58999999999999975</v>
      </c>
      <c r="BX148" s="55">
        <f t="shared" si="978"/>
        <v>0.56999999999999973</v>
      </c>
      <c r="BZ148" s="55">
        <f t="shared" ref="BZ148:BZ155" si="1068">+H148*0.91</f>
        <v>218648.43000000002</v>
      </c>
      <c r="CA148" s="55">
        <f t="shared" ref="CA148:CA155" si="1069">+BZ148</f>
        <v>218648.43000000002</v>
      </c>
      <c r="CB148" s="59">
        <f t="shared" si="979"/>
        <v>722807.97989400011</v>
      </c>
      <c r="CC148" s="55">
        <f t="shared" si="980"/>
        <v>212088.97710000002</v>
      </c>
      <c r="CD148" s="59">
        <f t="shared" si="981"/>
        <v>701123.74049718003</v>
      </c>
      <c r="CE148" s="55">
        <f t="shared" si="982"/>
        <v>207716.00850000003</v>
      </c>
      <c r="CF148" s="59">
        <f t="shared" si="983"/>
        <v>686667.58089930005</v>
      </c>
      <c r="CG148" s="55">
        <f t="shared" si="984"/>
        <v>203343.03990000003</v>
      </c>
      <c r="CH148" s="59">
        <f t="shared" si="985"/>
        <v>672211.42130142008</v>
      </c>
      <c r="CI148" s="57">
        <f t="shared" si="986"/>
        <v>198970.07130000004</v>
      </c>
      <c r="CJ148" s="59">
        <f t="shared" si="987"/>
        <v>657755.26170354011</v>
      </c>
      <c r="CK148" s="55">
        <f t="shared" si="988"/>
        <v>194597.10270000002</v>
      </c>
      <c r="CL148" s="59">
        <f t="shared" si="989"/>
        <v>643299.10210566001</v>
      </c>
      <c r="CM148" s="57">
        <f t="shared" si="990"/>
        <v>190224.13410000002</v>
      </c>
      <c r="CN148" s="59">
        <f t="shared" si="991"/>
        <v>628842.94250778004</v>
      </c>
      <c r="CO148" s="60">
        <f t="shared" si="992"/>
        <v>185851.1655</v>
      </c>
      <c r="CP148" s="59">
        <f t="shared" si="993"/>
        <v>614386.78290990007</v>
      </c>
      <c r="CQ148" s="57">
        <f t="shared" si="994"/>
        <v>181478.19690000001</v>
      </c>
      <c r="CR148" s="59">
        <f t="shared" si="995"/>
        <v>599930.62331202009</v>
      </c>
      <c r="CS148" s="55">
        <f t="shared" si="996"/>
        <v>177105.22830000002</v>
      </c>
      <c r="CT148" s="59">
        <f t="shared" si="997"/>
        <v>585474.46371414012</v>
      </c>
      <c r="CU148" s="60">
        <f t="shared" si="998"/>
        <v>172732.2597</v>
      </c>
      <c r="CV148" s="59">
        <f t="shared" si="999"/>
        <v>571018.30411626003</v>
      </c>
      <c r="CW148" s="60">
        <f t="shared" si="1000"/>
        <v>168359.2911</v>
      </c>
      <c r="CX148" s="59">
        <f t="shared" si="1001"/>
        <v>556562.14451838005</v>
      </c>
      <c r="CY148" s="60">
        <f t="shared" si="1002"/>
        <v>163986.32249999998</v>
      </c>
      <c r="CZ148" s="59">
        <f t="shared" si="1003"/>
        <v>542105.98492049996</v>
      </c>
      <c r="DA148" s="55">
        <f t="shared" si="1004"/>
        <v>159613.35389999999</v>
      </c>
      <c r="DB148" s="59">
        <f t="shared" si="1005"/>
        <v>527649.82532261999</v>
      </c>
      <c r="DC148" s="60">
        <f t="shared" si="1006"/>
        <v>155240.38529999999</v>
      </c>
      <c r="DD148" s="59">
        <f t="shared" si="1007"/>
        <v>513193.66572474001</v>
      </c>
      <c r="DE148" s="60">
        <f t="shared" si="1008"/>
        <v>150867.41669999997</v>
      </c>
      <c r="DF148" s="59">
        <f t="shared" si="1009"/>
        <v>498737.50612685992</v>
      </c>
      <c r="DG148" s="60">
        <f t="shared" si="1010"/>
        <v>146494.44809999998</v>
      </c>
      <c r="DH148" s="59">
        <f t="shared" si="1011"/>
        <v>484281.34652897995</v>
      </c>
      <c r="DI148" s="60">
        <f t="shared" si="1012"/>
        <v>142121.47949999996</v>
      </c>
      <c r="DJ148" s="59">
        <f t="shared" si="1013"/>
        <v>469825.18693109986</v>
      </c>
      <c r="DK148" s="55">
        <f t="shared" si="1014"/>
        <v>137748.51089999996</v>
      </c>
      <c r="DL148" s="59">
        <f t="shared" si="1015"/>
        <v>455369.02733321988</v>
      </c>
      <c r="DM148" s="60">
        <f t="shared" si="1016"/>
        <v>133375.54229999997</v>
      </c>
      <c r="DN148" s="59">
        <f t="shared" si="1017"/>
        <v>440912.86773533991</v>
      </c>
      <c r="DO148" s="60">
        <f t="shared" si="1018"/>
        <v>129002.57369999996</v>
      </c>
      <c r="DP148" s="59">
        <f t="shared" si="1019"/>
        <v>426456.70813745988</v>
      </c>
      <c r="DQ148" s="55">
        <f t="shared" si="1020"/>
        <v>124629.60509999996</v>
      </c>
      <c r="DR148" s="59">
        <f t="shared" si="1021"/>
        <v>412000.54853957985</v>
      </c>
      <c r="DU148" s="55">
        <v>1</v>
      </c>
      <c r="DV148" s="55">
        <v>0.97</v>
      </c>
      <c r="DW148" s="55">
        <v>0.95</v>
      </c>
      <c r="DX148" s="55">
        <v>0.93</v>
      </c>
      <c r="DY148" s="55">
        <f t="shared" si="930"/>
        <v>0.91</v>
      </c>
      <c r="DZ148" s="55">
        <f t="shared" si="930"/>
        <v>0.89</v>
      </c>
      <c r="EA148" s="55">
        <f t="shared" si="930"/>
        <v>0.87</v>
      </c>
      <c r="EB148" s="55">
        <f t="shared" si="930"/>
        <v>0.85</v>
      </c>
      <c r="EC148" s="55">
        <f t="shared" si="930"/>
        <v>0.83</v>
      </c>
      <c r="ED148" s="55">
        <f t="shared" si="930"/>
        <v>0.80999999999999994</v>
      </c>
      <c r="EE148" s="55">
        <f t="shared" si="930"/>
        <v>0.78999999999999992</v>
      </c>
      <c r="EF148" s="55">
        <f t="shared" si="930"/>
        <v>0.76999999999999991</v>
      </c>
      <c r="EG148" s="55">
        <f t="shared" si="930"/>
        <v>0.74999999999999989</v>
      </c>
      <c r="EH148" s="55">
        <f t="shared" si="930"/>
        <v>0.72999999999999987</v>
      </c>
      <c r="EI148" s="55">
        <f t="shared" si="930"/>
        <v>0.70999999999999985</v>
      </c>
      <c r="EJ148" s="55">
        <f t="shared" si="930"/>
        <v>0.68999999999999984</v>
      </c>
      <c r="EK148" s="55">
        <f t="shared" si="930"/>
        <v>0.66999999999999982</v>
      </c>
      <c r="EL148" s="55">
        <f t="shared" si="930"/>
        <v>0.6499999999999998</v>
      </c>
      <c r="EM148" s="55">
        <f t="shared" si="930"/>
        <v>0.62999999999999978</v>
      </c>
      <c r="EN148" s="55">
        <f t="shared" si="930"/>
        <v>0.60999999999999976</v>
      </c>
      <c r="EO148" s="55">
        <f t="shared" si="930"/>
        <v>0.58999999999999975</v>
      </c>
      <c r="EP148" s="55">
        <f t="shared" si="930"/>
        <v>0.56999999999999973</v>
      </c>
      <c r="ER148" s="55">
        <f t="shared" si="648"/>
        <v>198970.07130000004</v>
      </c>
      <c r="ES148" s="55">
        <f t="shared" ref="ES148:ES155" si="1070">+ER148</f>
        <v>198970.07130000004</v>
      </c>
      <c r="ET148" s="59">
        <f t="shared" si="1022"/>
        <v>657755.26170354011</v>
      </c>
      <c r="EU148" s="55">
        <f t="shared" si="1023"/>
        <v>193000.96916100004</v>
      </c>
      <c r="EV148" s="59">
        <f t="shared" si="1024"/>
        <v>638022.60385243397</v>
      </c>
      <c r="EW148" s="55">
        <f t="shared" si="1025"/>
        <v>189021.56773500002</v>
      </c>
      <c r="EX148" s="59">
        <f t="shared" si="1026"/>
        <v>624867.49861836305</v>
      </c>
      <c r="EY148" s="55">
        <f t="shared" si="1027"/>
        <v>185042.16630900005</v>
      </c>
      <c r="EZ148" s="59">
        <f t="shared" si="1028"/>
        <v>611712.39338429237</v>
      </c>
      <c r="FA148" s="57">
        <f t="shared" si="1029"/>
        <v>181062.76488300005</v>
      </c>
      <c r="FB148" s="59">
        <f t="shared" si="1030"/>
        <v>598557.28815022158</v>
      </c>
      <c r="FC148" s="55">
        <f t="shared" si="1031"/>
        <v>177083.36345700003</v>
      </c>
      <c r="FD148" s="59">
        <f t="shared" si="1032"/>
        <v>585402.18291615066</v>
      </c>
      <c r="FE148" s="57">
        <f t="shared" si="1033"/>
        <v>173103.96203100003</v>
      </c>
      <c r="FF148" s="59">
        <f t="shared" si="1034"/>
        <v>572247.07768207986</v>
      </c>
      <c r="FG148" s="60">
        <f t="shared" si="1035"/>
        <v>169124.56060500004</v>
      </c>
      <c r="FH148" s="59">
        <f t="shared" si="1036"/>
        <v>559091.97244800918</v>
      </c>
      <c r="FI148" s="57">
        <f t="shared" si="1037"/>
        <v>165145.15917900004</v>
      </c>
      <c r="FJ148" s="59">
        <f t="shared" si="1038"/>
        <v>545936.86721393839</v>
      </c>
      <c r="FK148" s="55">
        <f t="shared" si="1039"/>
        <v>161165.75775300001</v>
      </c>
      <c r="FL148" s="59">
        <f t="shared" si="1040"/>
        <v>532781.76197986747</v>
      </c>
      <c r="FM148" s="60">
        <f t="shared" si="1041"/>
        <v>157186.35632700002</v>
      </c>
      <c r="FN148" s="59">
        <f t="shared" si="1042"/>
        <v>519626.65674579667</v>
      </c>
      <c r="FO148" s="60">
        <f t="shared" si="1043"/>
        <v>153206.95490100002</v>
      </c>
      <c r="FP148" s="59">
        <f t="shared" si="1044"/>
        <v>506471.55151172588</v>
      </c>
      <c r="FQ148" s="60">
        <f t="shared" si="1045"/>
        <v>149227.55347499999</v>
      </c>
      <c r="FR148" s="59">
        <f t="shared" si="1046"/>
        <v>493316.44627765496</v>
      </c>
      <c r="FS148" s="55">
        <f t="shared" si="1047"/>
        <v>145248.152049</v>
      </c>
      <c r="FT148" s="59">
        <f t="shared" si="1048"/>
        <v>480161.34104358422</v>
      </c>
      <c r="FU148" s="60">
        <f t="shared" si="1049"/>
        <v>141268.750623</v>
      </c>
      <c r="FV148" s="59">
        <f t="shared" si="1050"/>
        <v>467006.23580951343</v>
      </c>
      <c r="FW148" s="60">
        <f t="shared" si="1051"/>
        <v>137289.349197</v>
      </c>
      <c r="FX148" s="59">
        <f t="shared" si="1052"/>
        <v>453851.13057544263</v>
      </c>
      <c r="FY148" s="60">
        <f t="shared" si="1053"/>
        <v>133309.94777099998</v>
      </c>
      <c r="FZ148" s="59">
        <f t="shared" si="1054"/>
        <v>440696.02534137171</v>
      </c>
      <c r="GA148" s="60">
        <f t="shared" si="1055"/>
        <v>129330.54634499998</v>
      </c>
      <c r="GB148" s="59">
        <f t="shared" si="1056"/>
        <v>427540.92010730092</v>
      </c>
      <c r="GC148" s="55">
        <f t="shared" si="1057"/>
        <v>125351.14491899998</v>
      </c>
      <c r="GD148" s="59">
        <f t="shared" si="1058"/>
        <v>414385.81487323018</v>
      </c>
      <c r="GE148" s="60">
        <f t="shared" si="1059"/>
        <v>121371.74349299997</v>
      </c>
      <c r="GF148" s="59">
        <f t="shared" si="1060"/>
        <v>401230.70963915932</v>
      </c>
      <c r="GG148" s="60">
        <f t="shared" si="1061"/>
        <v>117392.34206699998</v>
      </c>
      <c r="GH148" s="59">
        <f t="shared" si="1062"/>
        <v>388075.60440508852</v>
      </c>
      <c r="GI148" s="55">
        <f t="shared" si="1063"/>
        <v>113412.94064099996</v>
      </c>
      <c r="GJ148" s="59">
        <f t="shared" si="1064"/>
        <v>374920.49917101767</v>
      </c>
      <c r="GK148" s="55"/>
      <c r="GL148" s="55"/>
      <c r="GM148" s="55">
        <v>1</v>
      </c>
      <c r="GN148" s="55">
        <v>0.97</v>
      </c>
      <c r="GO148" s="55">
        <v>0.95</v>
      </c>
      <c r="GP148" s="55">
        <v>0.93</v>
      </c>
      <c r="GQ148" s="55">
        <f t="shared" si="931"/>
        <v>0.91</v>
      </c>
      <c r="GR148" s="55">
        <f t="shared" si="931"/>
        <v>0.89</v>
      </c>
      <c r="GS148" s="55">
        <f t="shared" si="931"/>
        <v>0.87</v>
      </c>
      <c r="GT148" s="55">
        <f t="shared" si="931"/>
        <v>0.85</v>
      </c>
      <c r="GU148" s="55">
        <f t="shared" si="931"/>
        <v>0.83</v>
      </c>
      <c r="GV148" s="55">
        <f t="shared" si="931"/>
        <v>0.80999999999999994</v>
      </c>
      <c r="GW148" s="55">
        <f t="shared" si="931"/>
        <v>0.78999999999999992</v>
      </c>
      <c r="GX148" s="55">
        <f t="shared" si="931"/>
        <v>0.76999999999999991</v>
      </c>
      <c r="GY148" s="55">
        <f t="shared" si="931"/>
        <v>0.74999999999999989</v>
      </c>
      <c r="GZ148" s="55">
        <f t="shared" si="931"/>
        <v>0.72999999999999987</v>
      </c>
      <c r="HA148" s="55">
        <f t="shared" si="931"/>
        <v>0.70999999999999985</v>
      </c>
      <c r="HB148" s="55">
        <f t="shared" si="931"/>
        <v>0.68999999999999984</v>
      </c>
      <c r="HC148" s="55">
        <f t="shared" si="931"/>
        <v>0.66999999999999982</v>
      </c>
      <c r="HD148" s="55">
        <f t="shared" si="931"/>
        <v>0.6499999999999998</v>
      </c>
      <c r="HE148" s="55">
        <f t="shared" si="931"/>
        <v>0.62999999999999978</v>
      </c>
      <c r="HF148" s="55">
        <f t="shared" si="931"/>
        <v>0.60999999999999976</v>
      </c>
      <c r="HG148" s="55">
        <f t="shared" si="931"/>
        <v>0.58999999999999975</v>
      </c>
      <c r="HH148" s="55">
        <f t="shared" si="931"/>
        <v>0.56999999999999973</v>
      </c>
    </row>
    <row r="149" spans="1:216" s="64" customFormat="1" x14ac:dyDescent="0.3">
      <c r="C149" s="65"/>
      <c r="D149" s="65"/>
      <c r="E149" s="65"/>
      <c r="G149" s="61"/>
      <c r="H149" s="61"/>
      <c r="I149" s="61"/>
      <c r="J149" s="61"/>
      <c r="K149" s="61"/>
      <c r="L149" s="61"/>
      <c r="M149" s="61"/>
      <c r="N149" s="61"/>
      <c r="O149" s="61"/>
      <c r="P149" s="62"/>
      <c r="Q149" s="61"/>
      <c r="R149" s="61"/>
      <c r="S149" s="61"/>
      <c r="T149" s="62"/>
      <c r="U149" s="61"/>
      <c r="V149" s="63"/>
      <c r="W149" s="61"/>
      <c r="X149" s="62"/>
      <c r="Y149" s="61"/>
      <c r="Z149" s="61"/>
      <c r="AA149" s="61"/>
      <c r="AB149" s="63"/>
      <c r="AC149" s="61"/>
      <c r="AD149" s="63"/>
      <c r="AE149" s="61"/>
      <c r="AF149" s="63"/>
      <c r="AG149" s="61"/>
      <c r="AH149" s="61"/>
      <c r="AI149" s="61"/>
      <c r="AJ149" s="63"/>
      <c r="AK149" s="61"/>
      <c r="AL149" s="63"/>
      <c r="AM149" s="61"/>
      <c r="AN149" s="63"/>
      <c r="AO149" s="61"/>
      <c r="AP149" s="63"/>
      <c r="AQ149" s="61"/>
      <c r="AR149" s="61"/>
      <c r="AS149" s="61"/>
      <c r="AT149" s="63"/>
      <c r="AU149" s="61"/>
      <c r="AV149" s="63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>
        <f t="shared" ref="BY149:BY150" si="1071">+G149*0.91</f>
        <v>0</v>
      </c>
      <c r="BZ149" s="61"/>
      <c r="CA149" s="61"/>
      <c r="CB149" s="61"/>
      <c r="CC149" s="61"/>
      <c r="CD149" s="61"/>
      <c r="CE149" s="61"/>
      <c r="CF149" s="61"/>
      <c r="CG149" s="61"/>
      <c r="CH149" s="62"/>
      <c r="CI149" s="61"/>
      <c r="CJ149" s="61"/>
      <c r="CK149" s="61"/>
      <c r="CL149" s="62"/>
      <c r="CM149" s="61"/>
      <c r="CN149" s="63"/>
      <c r="CO149" s="61"/>
      <c r="CP149" s="62"/>
      <c r="CQ149" s="61"/>
      <c r="CR149" s="61"/>
      <c r="CS149" s="61"/>
      <c r="CT149" s="63"/>
      <c r="CU149" s="61"/>
      <c r="CV149" s="63"/>
      <c r="CW149" s="61"/>
      <c r="CX149" s="63"/>
      <c r="CY149" s="61"/>
      <c r="CZ149" s="61"/>
      <c r="DA149" s="61"/>
      <c r="DB149" s="63"/>
      <c r="DC149" s="61"/>
      <c r="DD149" s="63"/>
      <c r="DE149" s="61"/>
      <c r="DF149" s="63"/>
      <c r="DG149" s="61"/>
      <c r="DH149" s="63"/>
      <c r="DI149" s="61"/>
      <c r="DJ149" s="61"/>
      <c r="DK149" s="61"/>
      <c r="DL149" s="63"/>
      <c r="DM149" s="61"/>
      <c r="DN149" s="63"/>
      <c r="DO149" s="61"/>
      <c r="DP149" s="61"/>
      <c r="DQ149" s="61"/>
      <c r="DR149" s="61"/>
      <c r="DS149" s="61"/>
      <c r="DT149" s="61">
        <v>1</v>
      </c>
      <c r="DU149" s="61">
        <v>0.97</v>
      </c>
      <c r="DV149" s="61">
        <v>0.95</v>
      </c>
      <c r="DW149" s="61">
        <v>0.93</v>
      </c>
      <c r="DX149" s="61">
        <f t="shared" ref="DX149:EO150" si="1072">+DW149-0.02</f>
        <v>0.91</v>
      </c>
      <c r="DY149" s="61">
        <f t="shared" si="1072"/>
        <v>0.89</v>
      </c>
      <c r="DZ149" s="61">
        <f t="shared" si="1072"/>
        <v>0.87</v>
      </c>
      <c r="EA149" s="61">
        <f t="shared" si="1072"/>
        <v>0.85</v>
      </c>
      <c r="EB149" s="61">
        <f t="shared" si="1072"/>
        <v>0.83</v>
      </c>
      <c r="EC149" s="61">
        <f t="shared" si="1072"/>
        <v>0.80999999999999994</v>
      </c>
      <c r="ED149" s="61">
        <f t="shared" si="1072"/>
        <v>0.78999999999999992</v>
      </c>
      <c r="EE149" s="61">
        <f t="shared" si="1072"/>
        <v>0.76999999999999991</v>
      </c>
      <c r="EF149" s="61">
        <f t="shared" si="1072"/>
        <v>0.74999999999999989</v>
      </c>
      <c r="EG149" s="61">
        <f t="shared" si="1072"/>
        <v>0.72999999999999987</v>
      </c>
      <c r="EH149" s="61">
        <f t="shared" si="1072"/>
        <v>0.70999999999999985</v>
      </c>
      <c r="EI149" s="61">
        <f t="shared" si="1072"/>
        <v>0.68999999999999984</v>
      </c>
      <c r="EJ149" s="61">
        <f t="shared" si="1072"/>
        <v>0.66999999999999982</v>
      </c>
      <c r="EK149" s="61">
        <f t="shared" si="1072"/>
        <v>0.6499999999999998</v>
      </c>
      <c r="EL149" s="61">
        <f t="shared" si="1072"/>
        <v>0.62999999999999978</v>
      </c>
      <c r="EM149" s="61">
        <f t="shared" si="1072"/>
        <v>0.60999999999999976</v>
      </c>
      <c r="EN149" s="61">
        <f t="shared" si="1072"/>
        <v>0.58999999999999975</v>
      </c>
      <c r="EO149" s="61">
        <f t="shared" si="1072"/>
        <v>0.56999999999999973</v>
      </c>
      <c r="EQ149" s="61">
        <f t="shared" ref="EQ149:EQ150" si="1073">+BY149*0.91</f>
        <v>0</v>
      </c>
      <c r="ER149" s="61"/>
      <c r="ES149" s="61"/>
      <c r="ET149" s="61"/>
      <c r="EU149" s="61"/>
      <c r="EV149" s="61"/>
      <c r="EW149" s="61"/>
      <c r="EX149" s="61"/>
      <c r="EY149" s="61"/>
      <c r="EZ149" s="62"/>
      <c r="FA149" s="61"/>
      <c r="FB149" s="61"/>
      <c r="FC149" s="61"/>
      <c r="FD149" s="62"/>
      <c r="FE149" s="61"/>
      <c r="FF149" s="63"/>
      <c r="FG149" s="61"/>
      <c r="FH149" s="62"/>
      <c r="FI149" s="61"/>
      <c r="FJ149" s="61"/>
      <c r="FK149" s="61"/>
      <c r="FL149" s="63"/>
      <c r="FM149" s="61"/>
      <c r="FN149" s="63"/>
      <c r="FO149" s="61"/>
      <c r="FP149" s="63"/>
      <c r="FQ149" s="61"/>
      <c r="FR149" s="61"/>
      <c r="FS149" s="61"/>
      <c r="FT149" s="63"/>
      <c r="FU149" s="61"/>
      <c r="FV149" s="63"/>
      <c r="FW149" s="61"/>
      <c r="FX149" s="63"/>
      <c r="FY149" s="61"/>
      <c r="FZ149" s="63"/>
      <c r="GA149" s="61"/>
      <c r="GB149" s="61"/>
      <c r="GC149" s="61"/>
      <c r="GD149" s="63"/>
      <c r="GE149" s="61"/>
      <c r="GF149" s="63"/>
      <c r="GG149" s="61"/>
      <c r="GH149" s="61"/>
      <c r="GI149" s="61"/>
      <c r="GJ149" s="61"/>
      <c r="GK149" s="61"/>
      <c r="GL149" s="61">
        <v>1</v>
      </c>
      <c r="GM149" s="61">
        <v>0.97</v>
      </c>
      <c r="GN149" s="61">
        <v>0.95</v>
      </c>
      <c r="GO149" s="61">
        <v>0.93</v>
      </c>
      <c r="GP149" s="61">
        <f t="shared" ref="GP149:HG150" si="1074">+GO149-0.02</f>
        <v>0.91</v>
      </c>
      <c r="GQ149" s="61">
        <f t="shared" si="1074"/>
        <v>0.89</v>
      </c>
      <c r="GR149" s="61">
        <f t="shared" si="1074"/>
        <v>0.87</v>
      </c>
      <c r="GS149" s="61">
        <f t="shared" si="1074"/>
        <v>0.85</v>
      </c>
      <c r="GT149" s="61">
        <f t="shared" si="1074"/>
        <v>0.83</v>
      </c>
      <c r="GU149" s="61">
        <f t="shared" si="1074"/>
        <v>0.80999999999999994</v>
      </c>
      <c r="GV149" s="61">
        <f t="shared" si="1074"/>
        <v>0.78999999999999992</v>
      </c>
      <c r="GW149" s="61">
        <f t="shared" si="1074"/>
        <v>0.76999999999999991</v>
      </c>
      <c r="GX149" s="61">
        <f t="shared" si="1074"/>
        <v>0.74999999999999989</v>
      </c>
      <c r="GY149" s="61">
        <f t="shared" si="1074"/>
        <v>0.72999999999999987</v>
      </c>
      <c r="GZ149" s="61">
        <f t="shared" si="1074"/>
        <v>0.70999999999999985</v>
      </c>
      <c r="HA149" s="61">
        <f t="shared" si="1074"/>
        <v>0.68999999999999984</v>
      </c>
      <c r="HB149" s="61">
        <f t="shared" si="1074"/>
        <v>0.66999999999999982</v>
      </c>
      <c r="HC149" s="61">
        <f t="shared" si="1074"/>
        <v>0.6499999999999998</v>
      </c>
      <c r="HD149" s="61">
        <f t="shared" si="1074"/>
        <v>0.62999999999999978</v>
      </c>
      <c r="HE149" s="61">
        <f t="shared" si="1074"/>
        <v>0.60999999999999976</v>
      </c>
      <c r="HF149" s="61">
        <f t="shared" si="1074"/>
        <v>0.58999999999999975</v>
      </c>
      <c r="HG149" s="61">
        <f t="shared" si="1074"/>
        <v>0.56999999999999973</v>
      </c>
    </row>
    <row r="150" spans="1:216" s="64" customFormat="1" ht="17.25" thickBot="1" x14ac:dyDescent="0.35">
      <c r="B150" s="64" t="s">
        <v>303</v>
      </c>
      <c r="C150" s="64" t="s">
        <v>298</v>
      </c>
      <c r="D150" s="65" t="s">
        <v>272</v>
      </c>
      <c r="E150" s="65" t="s">
        <v>155</v>
      </c>
      <c r="G150" s="61"/>
      <c r="H150" s="61"/>
      <c r="I150" s="61"/>
      <c r="J150" s="61"/>
      <c r="K150" s="61"/>
      <c r="L150" s="61"/>
      <c r="M150" s="61"/>
      <c r="N150" s="61"/>
      <c r="O150" s="61"/>
      <c r="P150" s="62"/>
      <c r="Q150" s="61"/>
      <c r="R150" s="61"/>
      <c r="S150" s="61"/>
      <c r="T150" s="62"/>
      <c r="U150" s="61"/>
      <c r="V150" s="63"/>
      <c r="W150" s="61"/>
      <c r="X150" s="62"/>
      <c r="Y150" s="61"/>
      <c r="Z150" s="61"/>
      <c r="AA150" s="61"/>
      <c r="AB150" s="63"/>
      <c r="AC150" s="61"/>
      <c r="AD150" s="63"/>
      <c r="AE150" s="61"/>
      <c r="AF150" s="63"/>
      <c r="AG150" s="61"/>
      <c r="AH150" s="61"/>
      <c r="AI150" s="61"/>
      <c r="AJ150" s="63"/>
      <c r="AK150" s="61"/>
      <c r="AL150" s="63"/>
      <c r="AM150" s="61"/>
      <c r="AN150" s="63"/>
      <c r="AO150" s="61"/>
      <c r="AP150" s="63"/>
      <c r="AQ150" s="61"/>
      <c r="AR150" s="61"/>
      <c r="AS150" s="61"/>
      <c r="AT150" s="63"/>
      <c r="AU150" s="61"/>
      <c r="AV150" s="63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>
        <f t="shared" si="1071"/>
        <v>0</v>
      </c>
      <c r="BZ150" s="61"/>
      <c r="CA150" s="61"/>
      <c r="CB150" s="61"/>
      <c r="CC150" s="61"/>
      <c r="CD150" s="61"/>
      <c r="CE150" s="61"/>
      <c r="CF150" s="61"/>
      <c r="CG150" s="61"/>
      <c r="CH150" s="62"/>
      <c r="CI150" s="61"/>
      <c r="CJ150" s="61"/>
      <c r="CK150" s="61"/>
      <c r="CL150" s="62"/>
      <c r="CM150" s="61"/>
      <c r="CN150" s="63"/>
      <c r="CO150" s="61"/>
      <c r="CP150" s="62"/>
      <c r="CQ150" s="61"/>
      <c r="CR150" s="61"/>
      <c r="CS150" s="61"/>
      <c r="CT150" s="63"/>
      <c r="CU150" s="61"/>
      <c r="CV150" s="63"/>
      <c r="CW150" s="61"/>
      <c r="CX150" s="63"/>
      <c r="CY150" s="61"/>
      <c r="CZ150" s="61"/>
      <c r="DA150" s="61"/>
      <c r="DB150" s="63"/>
      <c r="DC150" s="61"/>
      <c r="DD150" s="63"/>
      <c r="DE150" s="61"/>
      <c r="DF150" s="63"/>
      <c r="DG150" s="61"/>
      <c r="DH150" s="63"/>
      <c r="DI150" s="61"/>
      <c r="DJ150" s="61"/>
      <c r="DK150" s="61"/>
      <c r="DL150" s="63"/>
      <c r="DM150" s="61"/>
      <c r="DN150" s="63"/>
      <c r="DO150" s="61"/>
      <c r="DP150" s="61"/>
      <c r="DQ150" s="61"/>
      <c r="DR150" s="61"/>
      <c r="DS150" s="61"/>
      <c r="DT150" s="61">
        <v>1</v>
      </c>
      <c r="DU150" s="61">
        <v>0.97</v>
      </c>
      <c r="DV150" s="61">
        <v>0.95</v>
      </c>
      <c r="DW150" s="61">
        <v>0.93</v>
      </c>
      <c r="DX150" s="61">
        <f t="shared" si="1072"/>
        <v>0.91</v>
      </c>
      <c r="DY150" s="61">
        <f t="shared" si="1072"/>
        <v>0.89</v>
      </c>
      <c r="DZ150" s="61">
        <f t="shared" si="1072"/>
        <v>0.87</v>
      </c>
      <c r="EA150" s="61">
        <f t="shared" si="1072"/>
        <v>0.85</v>
      </c>
      <c r="EB150" s="61">
        <f t="shared" si="1072"/>
        <v>0.83</v>
      </c>
      <c r="EC150" s="61">
        <f t="shared" si="1072"/>
        <v>0.80999999999999994</v>
      </c>
      <c r="ED150" s="61">
        <f t="shared" si="1072"/>
        <v>0.78999999999999992</v>
      </c>
      <c r="EE150" s="61">
        <f t="shared" si="1072"/>
        <v>0.76999999999999991</v>
      </c>
      <c r="EF150" s="61">
        <f t="shared" si="1072"/>
        <v>0.74999999999999989</v>
      </c>
      <c r="EG150" s="61">
        <f t="shared" si="1072"/>
        <v>0.72999999999999987</v>
      </c>
      <c r="EH150" s="61">
        <f t="shared" si="1072"/>
        <v>0.70999999999999985</v>
      </c>
      <c r="EI150" s="61">
        <f t="shared" si="1072"/>
        <v>0.68999999999999984</v>
      </c>
      <c r="EJ150" s="61">
        <f t="shared" si="1072"/>
        <v>0.66999999999999982</v>
      </c>
      <c r="EK150" s="61">
        <f t="shared" si="1072"/>
        <v>0.6499999999999998</v>
      </c>
      <c r="EL150" s="61">
        <f t="shared" si="1072"/>
        <v>0.62999999999999978</v>
      </c>
      <c r="EM150" s="61">
        <f t="shared" si="1072"/>
        <v>0.60999999999999976</v>
      </c>
      <c r="EN150" s="61">
        <f t="shared" si="1072"/>
        <v>0.58999999999999975</v>
      </c>
      <c r="EO150" s="61">
        <f t="shared" si="1072"/>
        <v>0.56999999999999973</v>
      </c>
      <c r="EQ150" s="61">
        <f t="shared" si="1073"/>
        <v>0</v>
      </c>
      <c r="ER150" s="61"/>
      <c r="ES150" s="61"/>
      <c r="ET150" s="61"/>
      <c r="EU150" s="61"/>
      <c r="EV150" s="61"/>
      <c r="EW150" s="61"/>
      <c r="EX150" s="61"/>
      <c r="EY150" s="61"/>
      <c r="EZ150" s="62"/>
      <c r="FA150" s="61"/>
      <c r="FB150" s="61"/>
      <c r="FC150" s="61"/>
      <c r="FD150" s="62"/>
      <c r="FE150" s="61"/>
      <c r="FF150" s="63"/>
      <c r="FG150" s="61"/>
      <c r="FH150" s="62"/>
      <c r="FI150" s="61"/>
      <c r="FJ150" s="61"/>
      <c r="FK150" s="61"/>
      <c r="FL150" s="63"/>
      <c r="FM150" s="61"/>
      <c r="FN150" s="63"/>
      <c r="FO150" s="61"/>
      <c r="FP150" s="63"/>
      <c r="FQ150" s="61"/>
      <c r="FR150" s="61"/>
      <c r="FS150" s="61"/>
      <c r="FT150" s="63"/>
      <c r="FU150" s="61"/>
      <c r="FV150" s="63"/>
      <c r="FW150" s="61"/>
      <c r="FX150" s="63"/>
      <c r="FY150" s="61"/>
      <c r="FZ150" s="63"/>
      <c r="GA150" s="61"/>
      <c r="GB150" s="61"/>
      <c r="GC150" s="61"/>
      <c r="GD150" s="63"/>
      <c r="GE150" s="61"/>
      <c r="GF150" s="63"/>
      <c r="GG150" s="61"/>
      <c r="GH150" s="61"/>
      <c r="GI150" s="61"/>
      <c r="GJ150" s="61"/>
      <c r="GK150" s="61"/>
      <c r="GL150" s="61">
        <v>1</v>
      </c>
      <c r="GM150" s="61">
        <v>0.97</v>
      </c>
      <c r="GN150" s="61">
        <v>0.95</v>
      </c>
      <c r="GO150" s="61">
        <v>0.93</v>
      </c>
      <c r="GP150" s="61">
        <f t="shared" si="1074"/>
        <v>0.91</v>
      </c>
      <c r="GQ150" s="61">
        <f t="shared" si="1074"/>
        <v>0.89</v>
      </c>
      <c r="GR150" s="61">
        <f t="shared" si="1074"/>
        <v>0.87</v>
      </c>
      <c r="GS150" s="61">
        <f t="shared" si="1074"/>
        <v>0.85</v>
      </c>
      <c r="GT150" s="61">
        <f t="shared" si="1074"/>
        <v>0.83</v>
      </c>
      <c r="GU150" s="61">
        <f t="shared" si="1074"/>
        <v>0.80999999999999994</v>
      </c>
      <c r="GV150" s="61">
        <f t="shared" si="1074"/>
        <v>0.78999999999999992</v>
      </c>
      <c r="GW150" s="61">
        <f t="shared" si="1074"/>
        <v>0.76999999999999991</v>
      </c>
      <c r="GX150" s="61">
        <f t="shared" si="1074"/>
        <v>0.74999999999999989</v>
      </c>
      <c r="GY150" s="61">
        <f t="shared" si="1074"/>
        <v>0.72999999999999987</v>
      </c>
      <c r="GZ150" s="61">
        <f t="shared" si="1074"/>
        <v>0.70999999999999985</v>
      </c>
      <c r="HA150" s="61">
        <f t="shared" si="1074"/>
        <v>0.68999999999999984</v>
      </c>
      <c r="HB150" s="61">
        <f t="shared" si="1074"/>
        <v>0.66999999999999982</v>
      </c>
      <c r="HC150" s="61">
        <f t="shared" si="1074"/>
        <v>0.6499999999999998</v>
      </c>
      <c r="HD150" s="61">
        <f t="shared" si="1074"/>
        <v>0.62999999999999978</v>
      </c>
      <c r="HE150" s="61">
        <f t="shared" si="1074"/>
        <v>0.60999999999999976</v>
      </c>
      <c r="HF150" s="61">
        <f t="shared" si="1074"/>
        <v>0.58999999999999975</v>
      </c>
      <c r="HG150" s="61">
        <f t="shared" si="1074"/>
        <v>0.56999999999999973</v>
      </c>
    </row>
    <row r="151" spans="1:216" x14ac:dyDescent="0.3">
      <c r="A151" s="2">
        <v>1</v>
      </c>
      <c r="C151" s="38" t="s">
        <v>51</v>
      </c>
      <c r="D151" s="40">
        <v>0</v>
      </c>
      <c r="E151" s="70">
        <f>TRUNC(+D151*3.3058,-1)</f>
        <v>0</v>
      </c>
      <c r="H151" s="55">
        <f t="shared" si="1065"/>
        <v>0</v>
      </c>
      <c r="I151" s="55">
        <f t="shared" si="1066"/>
        <v>0</v>
      </c>
      <c r="J151" s="59">
        <f t="shared" si="1067"/>
        <v>0</v>
      </c>
      <c r="K151" s="55">
        <f t="shared" ref="K151:K155" si="1075">+I151*BD151</f>
        <v>0</v>
      </c>
      <c r="L151" s="59">
        <f t="shared" ref="L151:L155" si="1076">+K151*3.3058</f>
        <v>0</v>
      </c>
      <c r="M151" s="55">
        <f t="shared" ref="M151:M155" si="1077">+I151*BE151</f>
        <v>0</v>
      </c>
      <c r="N151" s="59">
        <f t="shared" ref="N151:N155" si="1078">+M151*3.3058</f>
        <v>0</v>
      </c>
      <c r="O151" s="55">
        <f>+I151*BF151</f>
        <v>0</v>
      </c>
      <c r="P151" s="59">
        <f t="shared" ref="P151:P155" si="1079">+O151*3.3058</f>
        <v>0</v>
      </c>
      <c r="Q151" s="57">
        <f>+I151*BG151</f>
        <v>0</v>
      </c>
      <c r="R151" s="59">
        <f t="shared" ref="R151:R155" si="1080">+Q151*3.3058</f>
        <v>0</v>
      </c>
      <c r="S151" s="55">
        <f>+I151*BH151</f>
        <v>0</v>
      </c>
      <c r="T151" s="59">
        <f t="shared" ref="T151:T155" si="1081">+S151*3.3058</f>
        <v>0</v>
      </c>
      <c r="U151" s="57">
        <f>+I151*BI151</f>
        <v>0</v>
      </c>
      <c r="V151" s="59">
        <f t="shared" ref="V151:V155" si="1082">+U151*3.3058</f>
        <v>0</v>
      </c>
      <c r="W151" s="60">
        <f>+I151*BJ151</f>
        <v>0</v>
      </c>
      <c r="X151" s="59">
        <f t="shared" ref="X151:X155" si="1083">+W151*3.3058</f>
        <v>0</v>
      </c>
      <c r="Y151" s="57">
        <f>+I151*BK151</f>
        <v>0</v>
      </c>
      <c r="Z151" s="59">
        <f t="shared" ref="Z151:Z155" si="1084">+Y151*3.3058</f>
        <v>0</v>
      </c>
      <c r="AA151" s="55">
        <f>+I151*BL151</f>
        <v>0</v>
      </c>
      <c r="AB151" s="59">
        <f t="shared" ref="AB151:AB155" si="1085">+AA151*3.3058</f>
        <v>0</v>
      </c>
      <c r="AC151" s="60">
        <f>+I151*BM151</f>
        <v>0</v>
      </c>
      <c r="AD151" s="59">
        <f t="shared" ref="AD151:AD155" si="1086">+AC151*3.3058</f>
        <v>0</v>
      </c>
      <c r="AE151" s="60">
        <f>+I151*BN151</f>
        <v>0</v>
      </c>
      <c r="AF151" s="59">
        <f t="shared" ref="AF151:AF155" si="1087">+AE151*3.3058</f>
        <v>0</v>
      </c>
      <c r="AG151" s="60">
        <f>+I151*BO151</f>
        <v>0</v>
      </c>
      <c r="AH151" s="59">
        <f t="shared" ref="AH151:AH155" si="1088">+AG151*3.3058</f>
        <v>0</v>
      </c>
      <c r="AI151" s="55">
        <f>+I151*BP151</f>
        <v>0</v>
      </c>
      <c r="AJ151" s="59">
        <f t="shared" ref="AJ151:AJ155" si="1089">+AI151*3.3058</f>
        <v>0</v>
      </c>
      <c r="AK151" s="60">
        <f>+I151*BQ151</f>
        <v>0</v>
      </c>
      <c r="AL151" s="59">
        <f t="shared" ref="AL151:AL155" si="1090">+AK151*3.3058</f>
        <v>0</v>
      </c>
      <c r="AM151" s="60">
        <f>+I151*BR151</f>
        <v>0</v>
      </c>
      <c r="AN151" s="59">
        <f t="shared" ref="AN151:AN155" si="1091">+AM151*3.3058</f>
        <v>0</v>
      </c>
      <c r="AO151" s="60">
        <f>+I151*BS151</f>
        <v>0</v>
      </c>
      <c r="AP151" s="59">
        <f t="shared" ref="AP151:AP155" si="1092">+AO151*3.3058</f>
        <v>0</v>
      </c>
      <c r="AQ151" s="60">
        <f>+I151*BT151</f>
        <v>0</v>
      </c>
      <c r="AR151" s="59">
        <f t="shared" ref="AR151:AR155" si="1093">+AQ151*3.3058</f>
        <v>0</v>
      </c>
      <c r="AS151" s="55">
        <f>+I151*BU151</f>
        <v>0</v>
      </c>
      <c r="AT151" s="59">
        <f t="shared" ref="AT151:AT155" si="1094">+AS151*3.3058</f>
        <v>0</v>
      </c>
      <c r="AU151" s="60">
        <f>+I151*BV151</f>
        <v>0</v>
      </c>
      <c r="AV151" s="59">
        <f t="shared" ref="AV151:AV155" si="1095">+AU151*3.3058</f>
        <v>0</v>
      </c>
      <c r="AW151" s="60">
        <f>+I151*BW151</f>
        <v>0</v>
      </c>
      <c r="AX151" s="59">
        <f t="shared" ref="AX151:AX155" si="1096">+AW151*3.3058</f>
        <v>0</v>
      </c>
      <c r="AY151" s="55">
        <f>+I151*BX151</f>
        <v>0</v>
      </c>
      <c r="AZ151" s="59">
        <f t="shared" ref="AZ151:AZ155" si="1097">+AY151*3.3058</f>
        <v>0</v>
      </c>
      <c r="BC151" s="55">
        <v>1</v>
      </c>
      <c r="BD151" s="55">
        <v>0.97</v>
      </c>
      <c r="BE151" s="55">
        <v>0.95</v>
      </c>
      <c r="BF151" s="55">
        <v>0.93</v>
      </c>
      <c r="BG151" s="55">
        <f t="shared" ref="BG151:BX155" si="1098">+BF151-0.02</f>
        <v>0.91</v>
      </c>
      <c r="BH151" s="55">
        <f t="shared" si="1098"/>
        <v>0.89</v>
      </c>
      <c r="BI151" s="55">
        <f t="shared" si="1098"/>
        <v>0.87</v>
      </c>
      <c r="BJ151" s="55">
        <f t="shared" si="1098"/>
        <v>0.85</v>
      </c>
      <c r="BK151" s="55">
        <f t="shared" si="1098"/>
        <v>0.83</v>
      </c>
      <c r="BL151" s="55">
        <f t="shared" si="1098"/>
        <v>0.80999999999999994</v>
      </c>
      <c r="BM151" s="55">
        <f t="shared" si="1098"/>
        <v>0.78999999999999992</v>
      </c>
      <c r="BN151" s="55">
        <f t="shared" si="1098"/>
        <v>0.76999999999999991</v>
      </c>
      <c r="BO151" s="55">
        <f t="shared" si="1098"/>
        <v>0.74999999999999989</v>
      </c>
      <c r="BP151" s="55">
        <f t="shared" si="1098"/>
        <v>0.72999999999999987</v>
      </c>
      <c r="BQ151" s="55">
        <f t="shared" si="1098"/>
        <v>0.70999999999999985</v>
      </c>
      <c r="BR151" s="55">
        <f t="shared" si="1098"/>
        <v>0.68999999999999984</v>
      </c>
      <c r="BS151" s="55">
        <f t="shared" si="1098"/>
        <v>0.66999999999999982</v>
      </c>
      <c r="BT151" s="55">
        <f t="shared" si="1098"/>
        <v>0.6499999999999998</v>
      </c>
      <c r="BU151" s="55">
        <f t="shared" si="1098"/>
        <v>0.62999999999999978</v>
      </c>
      <c r="BV151" s="55">
        <f t="shared" si="1098"/>
        <v>0.60999999999999976</v>
      </c>
      <c r="BW151" s="55">
        <f t="shared" si="1098"/>
        <v>0.58999999999999975</v>
      </c>
      <c r="BX151" s="55">
        <f t="shared" si="1098"/>
        <v>0.56999999999999973</v>
      </c>
      <c r="BZ151" s="55">
        <f t="shared" si="1068"/>
        <v>0</v>
      </c>
      <c r="CA151" s="55">
        <f t="shared" si="1069"/>
        <v>0</v>
      </c>
      <c r="CB151" s="59">
        <f t="shared" ref="CB151:CB155" si="1099">+CA151*3.3058</f>
        <v>0</v>
      </c>
      <c r="CC151" s="55">
        <f t="shared" ref="CC151:CC155" si="1100">+CA151*DV151</f>
        <v>0</v>
      </c>
      <c r="CD151" s="59">
        <f t="shared" ref="CD151:CD155" si="1101">+CC151*3.3058</f>
        <v>0</v>
      </c>
      <c r="CE151" s="55">
        <f t="shared" ref="CE151:CE155" si="1102">+CA151*DW151</f>
        <v>0</v>
      </c>
      <c r="CF151" s="59">
        <f t="shared" ref="CF151:CF155" si="1103">+CE151*3.3058</f>
        <v>0</v>
      </c>
      <c r="CG151" s="55">
        <f>+CA151*DX151</f>
        <v>0</v>
      </c>
      <c r="CH151" s="59">
        <f t="shared" ref="CH151:CH155" si="1104">+CG151*3.3058</f>
        <v>0</v>
      </c>
      <c r="CI151" s="57">
        <f>+CA151*DY151</f>
        <v>0</v>
      </c>
      <c r="CJ151" s="59">
        <f t="shared" ref="CJ151:CJ155" si="1105">+CI151*3.3058</f>
        <v>0</v>
      </c>
      <c r="CK151" s="55">
        <f>+CA151*DZ151</f>
        <v>0</v>
      </c>
      <c r="CL151" s="59">
        <f t="shared" ref="CL151:CL155" si="1106">+CK151*3.3058</f>
        <v>0</v>
      </c>
      <c r="CM151" s="57">
        <f>+CA151*EA151</f>
        <v>0</v>
      </c>
      <c r="CN151" s="59">
        <f t="shared" ref="CN151:CN155" si="1107">+CM151*3.3058</f>
        <v>0</v>
      </c>
      <c r="CO151" s="60">
        <f>+CA151*EB151</f>
        <v>0</v>
      </c>
      <c r="CP151" s="59">
        <f t="shared" ref="CP151:CP155" si="1108">+CO151*3.3058</f>
        <v>0</v>
      </c>
      <c r="CQ151" s="57">
        <f>+CA151*EC151</f>
        <v>0</v>
      </c>
      <c r="CR151" s="59">
        <f t="shared" ref="CR151:CR155" si="1109">+CQ151*3.3058</f>
        <v>0</v>
      </c>
      <c r="CS151" s="55">
        <f>+CA151*ED151</f>
        <v>0</v>
      </c>
      <c r="CT151" s="59">
        <f t="shared" ref="CT151:CT155" si="1110">+CS151*3.3058</f>
        <v>0</v>
      </c>
      <c r="CU151" s="60">
        <f>+CA151*EE151</f>
        <v>0</v>
      </c>
      <c r="CV151" s="59">
        <f t="shared" ref="CV151:CV155" si="1111">+CU151*3.3058</f>
        <v>0</v>
      </c>
      <c r="CW151" s="60">
        <f>+CA151*EF151</f>
        <v>0</v>
      </c>
      <c r="CX151" s="59">
        <f t="shared" ref="CX151:CX155" si="1112">+CW151*3.3058</f>
        <v>0</v>
      </c>
      <c r="CY151" s="60">
        <f>+CA151*EG151</f>
        <v>0</v>
      </c>
      <c r="CZ151" s="59">
        <f t="shared" ref="CZ151:CZ155" si="1113">+CY151*3.3058</f>
        <v>0</v>
      </c>
      <c r="DA151" s="55">
        <f>+CA151*EH151</f>
        <v>0</v>
      </c>
      <c r="DB151" s="59">
        <f t="shared" ref="DB151:DB155" si="1114">+DA151*3.3058</f>
        <v>0</v>
      </c>
      <c r="DC151" s="60">
        <f>+CA151*EI151</f>
        <v>0</v>
      </c>
      <c r="DD151" s="59">
        <f t="shared" ref="DD151:DD155" si="1115">+DC151*3.3058</f>
        <v>0</v>
      </c>
      <c r="DE151" s="60">
        <f>+CA151*EJ151</f>
        <v>0</v>
      </c>
      <c r="DF151" s="59">
        <f t="shared" ref="DF151:DF155" si="1116">+DE151*3.3058</f>
        <v>0</v>
      </c>
      <c r="DG151" s="60">
        <f>+CA151*EK151</f>
        <v>0</v>
      </c>
      <c r="DH151" s="59">
        <f t="shared" ref="DH151:DH155" si="1117">+DG151*3.3058</f>
        <v>0</v>
      </c>
      <c r="DI151" s="60">
        <f>+CA151*EL151</f>
        <v>0</v>
      </c>
      <c r="DJ151" s="59">
        <f t="shared" ref="DJ151:DJ155" si="1118">+DI151*3.3058</f>
        <v>0</v>
      </c>
      <c r="DK151" s="55">
        <f>+CA151*EM151</f>
        <v>0</v>
      </c>
      <c r="DL151" s="59">
        <f t="shared" ref="DL151:DL155" si="1119">+DK151*3.3058</f>
        <v>0</v>
      </c>
      <c r="DM151" s="60">
        <f>+CA151*EN151</f>
        <v>0</v>
      </c>
      <c r="DN151" s="59">
        <f t="shared" ref="DN151:DN155" si="1120">+DM151*3.3058</f>
        <v>0</v>
      </c>
      <c r="DO151" s="60">
        <f>+CA151*EO151</f>
        <v>0</v>
      </c>
      <c r="DP151" s="59">
        <f t="shared" ref="DP151:DP155" si="1121">+DO151*3.3058</f>
        <v>0</v>
      </c>
      <c r="DQ151" s="55">
        <f>+CA151*EP151</f>
        <v>0</v>
      </c>
      <c r="DR151" s="59">
        <f t="shared" ref="DR151:DR155" si="1122">+DQ151*3.3058</f>
        <v>0</v>
      </c>
      <c r="DU151" s="55">
        <v>1</v>
      </c>
      <c r="DV151" s="55">
        <v>0.97</v>
      </c>
      <c r="DW151" s="55">
        <v>0.95</v>
      </c>
      <c r="DX151" s="55">
        <v>0.93</v>
      </c>
      <c r="DY151" s="55">
        <f t="shared" si="930"/>
        <v>0.91</v>
      </c>
      <c r="DZ151" s="55">
        <f t="shared" si="930"/>
        <v>0.89</v>
      </c>
      <c r="EA151" s="55">
        <f t="shared" si="930"/>
        <v>0.87</v>
      </c>
      <c r="EB151" s="55">
        <f t="shared" si="930"/>
        <v>0.85</v>
      </c>
      <c r="EC151" s="55">
        <f t="shared" si="930"/>
        <v>0.83</v>
      </c>
      <c r="ED151" s="55">
        <f t="shared" si="930"/>
        <v>0.80999999999999994</v>
      </c>
      <c r="EE151" s="55">
        <f t="shared" si="930"/>
        <v>0.78999999999999992</v>
      </c>
      <c r="EF151" s="55">
        <f t="shared" si="930"/>
        <v>0.76999999999999991</v>
      </c>
      <c r="EG151" s="55">
        <f t="shared" si="930"/>
        <v>0.74999999999999989</v>
      </c>
      <c r="EH151" s="55">
        <f t="shared" si="930"/>
        <v>0.72999999999999987</v>
      </c>
      <c r="EI151" s="55">
        <f t="shared" si="930"/>
        <v>0.70999999999999985</v>
      </c>
      <c r="EJ151" s="55">
        <f t="shared" si="930"/>
        <v>0.68999999999999984</v>
      </c>
      <c r="EK151" s="55">
        <f t="shared" si="930"/>
        <v>0.66999999999999982</v>
      </c>
      <c r="EL151" s="55">
        <f t="shared" si="930"/>
        <v>0.6499999999999998</v>
      </c>
      <c r="EM151" s="55">
        <f t="shared" si="930"/>
        <v>0.62999999999999978</v>
      </c>
      <c r="EN151" s="55">
        <f t="shared" si="930"/>
        <v>0.60999999999999976</v>
      </c>
      <c r="EO151" s="55">
        <f t="shared" si="930"/>
        <v>0.58999999999999975</v>
      </c>
      <c r="EP151" s="55">
        <f t="shared" si="930"/>
        <v>0.56999999999999973</v>
      </c>
      <c r="ER151" s="55">
        <f t="shared" si="648"/>
        <v>0</v>
      </c>
      <c r="ES151" s="55">
        <f t="shared" si="1070"/>
        <v>0</v>
      </c>
      <c r="ET151" s="59">
        <f t="shared" ref="ET151:ET155" si="1123">+ES151*3.3058</f>
        <v>0</v>
      </c>
      <c r="EU151" s="55">
        <f t="shared" ref="EU151:EU155" si="1124">+ES151*GN151</f>
        <v>0</v>
      </c>
      <c r="EV151" s="59">
        <f t="shared" ref="EV151:EV155" si="1125">+EU151*3.3058</f>
        <v>0</v>
      </c>
      <c r="EW151" s="55">
        <f t="shared" ref="EW151:EW155" si="1126">+ES151*GO151</f>
        <v>0</v>
      </c>
      <c r="EX151" s="59">
        <f t="shared" ref="EX151:EX155" si="1127">+EW151*3.3058</f>
        <v>0</v>
      </c>
      <c r="EY151" s="55">
        <f>+ES151*GP151</f>
        <v>0</v>
      </c>
      <c r="EZ151" s="59">
        <f t="shared" ref="EZ151:EZ155" si="1128">+EY151*3.3058</f>
        <v>0</v>
      </c>
      <c r="FA151" s="57">
        <f>+ES151*GQ151</f>
        <v>0</v>
      </c>
      <c r="FB151" s="59">
        <f t="shared" ref="FB151:FB155" si="1129">+FA151*3.3058</f>
        <v>0</v>
      </c>
      <c r="FC151" s="55">
        <f>+ES151*GR151</f>
        <v>0</v>
      </c>
      <c r="FD151" s="59">
        <f t="shared" ref="FD151:FD155" si="1130">+FC151*3.3058</f>
        <v>0</v>
      </c>
      <c r="FE151" s="57">
        <f>+ES151*GS151</f>
        <v>0</v>
      </c>
      <c r="FF151" s="59">
        <f t="shared" ref="FF151:FF155" si="1131">+FE151*3.3058</f>
        <v>0</v>
      </c>
      <c r="FG151" s="60">
        <f>+ES151*GT151</f>
        <v>0</v>
      </c>
      <c r="FH151" s="59">
        <f t="shared" ref="FH151:FH155" si="1132">+FG151*3.3058</f>
        <v>0</v>
      </c>
      <c r="FI151" s="57">
        <f>+ES151*GU151</f>
        <v>0</v>
      </c>
      <c r="FJ151" s="59">
        <f t="shared" ref="FJ151:FJ155" si="1133">+FI151*3.3058</f>
        <v>0</v>
      </c>
      <c r="FK151" s="55">
        <f>+ES151*GV151</f>
        <v>0</v>
      </c>
      <c r="FL151" s="59">
        <f t="shared" ref="FL151:FL155" si="1134">+FK151*3.3058</f>
        <v>0</v>
      </c>
      <c r="FM151" s="60">
        <f>+ES151*GW151</f>
        <v>0</v>
      </c>
      <c r="FN151" s="59">
        <f t="shared" ref="FN151:FN155" si="1135">+FM151*3.3058</f>
        <v>0</v>
      </c>
      <c r="FO151" s="60">
        <f>+ES151*GX151</f>
        <v>0</v>
      </c>
      <c r="FP151" s="59">
        <f t="shared" ref="FP151:FP155" si="1136">+FO151*3.3058</f>
        <v>0</v>
      </c>
      <c r="FQ151" s="60">
        <f>+ES151*GY151</f>
        <v>0</v>
      </c>
      <c r="FR151" s="59">
        <f t="shared" ref="FR151:FR155" si="1137">+FQ151*3.3058</f>
        <v>0</v>
      </c>
      <c r="FS151" s="55">
        <f>+ES151*GZ151</f>
        <v>0</v>
      </c>
      <c r="FT151" s="59">
        <f t="shared" ref="FT151:FT155" si="1138">+FS151*3.3058</f>
        <v>0</v>
      </c>
      <c r="FU151" s="60">
        <f>+ES151*HA151</f>
        <v>0</v>
      </c>
      <c r="FV151" s="59">
        <f t="shared" ref="FV151:FV155" si="1139">+FU151*3.3058</f>
        <v>0</v>
      </c>
      <c r="FW151" s="60">
        <f>+ES151*HB151</f>
        <v>0</v>
      </c>
      <c r="FX151" s="59">
        <f t="shared" ref="FX151:FX155" si="1140">+FW151*3.3058</f>
        <v>0</v>
      </c>
      <c r="FY151" s="60">
        <f>+ES151*HC151</f>
        <v>0</v>
      </c>
      <c r="FZ151" s="59">
        <f t="shared" ref="FZ151:FZ155" si="1141">+FY151*3.3058</f>
        <v>0</v>
      </c>
      <c r="GA151" s="60">
        <f>+ES151*HD151</f>
        <v>0</v>
      </c>
      <c r="GB151" s="59">
        <f t="shared" ref="GB151:GB155" si="1142">+GA151*3.3058</f>
        <v>0</v>
      </c>
      <c r="GC151" s="55">
        <f>+ES151*HE151</f>
        <v>0</v>
      </c>
      <c r="GD151" s="59">
        <f t="shared" ref="GD151:GD155" si="1143">+GC151*3.3058</f>
        <v>0</v>
      </c>
      <c r="GE151" s="60">
        <f>+ES151*HF151</f>
        <v>0</v>
      </c>
      <c r="GF151" s="59">
        <f t="shared" ref="GF151:GF155" si="1144">+GE151*3.3058</f>
        <v>0</v>
      </c>
      <c r="GG151" s="60">
        <f>+ES151*HG151</f>
        <v>0</v>
      </c>
      <c r="GH151" s="59">
        <f t="shared" ref="GH151:GH155" si="1145">+GG151*3.3058</f>
        <v>0</v>
      </c>
      <c r="GI151" s="55">
        <f>+ES151*HH151</f>
        <v>0</v>
      </c>
      <c r="GJ151" s="59">
        <f t="shared" ref="GJ151:GJ155" si="1146">+GI151*3.3058</f>
        <v>0</v>
      </c>
      <c r="GK151" s="55"/>
      <c r="GL151" s="55"/>
      <c r="GM151" s="55">
        <v>1</v>
      </c>
      <c r="GN151" s="55">
        <v>0.97</v>
      </c>
      <c r="GO151" s="55">
        <v>0.95</v>
      </c>
      <c r="GP151" s="55">
        <v>0.93</v>
      </c>
      <c r="GQ151" s="55">
        <f t="shared" si="931"/>
        <v>0.91</v>
      </c>
      <c r="GR151" s="55">
        <f t="shared" si="931"/>
        <v>0.89</v>
      </c>
      <c r="GS151" s="55">
        <f t="shared" si="931"/>
        <v>0.87</v>
      </c>
      <c r="GT151" s="55">
        <f t="shared" si="931"/>
        <v>0.85</v>
      </c>
      <c r="GU151" s="55">
        <f t="shared" si="931"/>
        <v>0.83</v>
      </c>
      <c r="GV151" s="55">
        <f t="shared" si="931"/>
        <v>0.80999999999999994</v>
      </c>
      <c r="GW151" s="55">
        <f t="shared" si="931"/>
        <v>0.78999999999999992</v>
      </c>
      <c r="GX151" s="55">
        <f t="shared" si="931"/>
        <v>0.76999999999999991</v>
      </c>
      <c r="GY151" s="55">
        <f t="shared" si="931"/>
        <v>0.74999999999999989</v>
      </c>
      <c r="GZ151" s="55">
        <f t="shared" si="931"/>
        <v>0.72999999999999987</v>
      </c>
      <c r="HA151" s="55">
        <f t="shared" si="931"/>
        <v>0.70999999999999985</v>
      </c>
      <c r="HB151" s="55">
        <f t="shared" si="931"/>
        <v>0.68999999999999984</v>
      </c>
      <c r="HC151" s="55">
        <f t="shared" si="931"/>
        <v>0.66999999999999982</v>
      </c>
      <c r="HD151" s="55">
        <f t="shared" si="931"/>
        <v>0.6499999999999998</v>
      </c>
      <c r="HE151" s="55">
        <f t="shared" si="931"/>
        <v>0.62999999999999978</v>
      </c>
      <c r="HF151" s="55">
        <f t="shared" si="931"/>
        <v>0.60999999999999976</v>
      </c>
      <c r="HG151" s="55">
        <f t="shared" si="931"/>
        <v>0.58999999999999975</v>
      </c>
      <c r="HH151" s="55">
        <f t="shared" si="931"/>
        <v>0.56999999999999973</v>
      </c>
    </row>
    <row r="152" spans="1:216" x14ac:dyDescent="0.3">
      <c r="A152" s="2">
        <v>2</v>
      </c>
      <c r="C152" s="38" t="s">
        <v>52</v>
      </c>
      <c r="D152" s="42">
        <v>0</v>
      </c>
      <c r="E152" s="71">
        <f>TRUNC(+D152*3.3058,-1)</f>
        <v>0</v>
      </c>
      <c r="H152" s="55">
        <f t="shared" si="1065"/>
        <v>0</v>
      </c>
      <c r="I152" s="55">
        <f t="shared" si="1066"/>
        <v>0</v>
      </c>
      <c r="J152" s="59">
        <f t="shared" si="1067"/>
        <v>0</v>
      </c>
      <c r="K152" s="55">
        <f t="shared" si="1075"/>
        <v>0</v>
      </c>
      <c r="L152" s="59">
        <f t="shared" si="1076"/>
        <v>0</v>
      </c>
      <c r="M152" s="55">
        <f t="shared" si="1077"/>
        <v>0</v>
      </c>
      <c r="N152" s="59">
        <f t="shared" si="1078"/>
        <v>0</v>
      </c>
      <c r="O152" s="55">
        <f>+I152*BF152</f>
        <v>0</v>
      </c>
      <c r="P152" s="59">
        <f t="shared" si="1079"/>
        <v>0</v>
      </c>
      <c r="Q152" s="57">
        <f>+I152*BG152</f>
        <v>0</v>
      </c>
      <c r="R152" s="59">
        <f t="shared" si="1080"/>
        <v>0</v>
      </c>
      <c r="S152" s="55">
        <f>+I152*BH152</f>
        <v>0</v>
      </c>
      <c r="T152" s="59">
        <f t="shared" si="1081"/>
        <v>0</v>
      </c>
      <c r="U152" s="57">
        <f>+I152*BI152</f>
        <v>0</v>
      </c>
      <c r="V152" s="59">
        <f t="shared" si="1082"/>
        <v>0</v>
      </c>
      <c r="W152" s="60">
        <f>+I152*BJ152</f>
        <v>0</v>
      </c>
      <c r="X152" s="59">
        <f t="shared" si="1083"/>
        <v>0</v>
      </c>
      <c r="Y152" s="57">
        <f>+I152*BK152</f>
        <v>0</v>
      </c>
      <c r="Z152" s="59">
        <f t="shared" si="1084"/>
        <v>0</v>
      </c>
      <c r="AA152" s="55">
        <f>+I152*BL152</f>
        <v>0</v>
      </c>
      <c r="AB152" s="59">
        <f t="shared" si="1085"/>
        <v>0</v>
      </c>
      <c r="AC152" s="60">
        <f>+I152*BM152</f>
        <v>0</v>
      </c>
      <c r="AD152" s="59">
        <f t="shared" si="1086"/>
        <v>0</v>
      </c>
      <c r="AE152" s="60">
        <f>+I152*BN152</f>
        <v>0</v>
      </c>
      <c r="AF152" s="59">
        <f t="shared" si="1087"/>
        <v>0</v>
      </c>
      <c r="AG152" s="60">
        <f>+I152*BO152</f>
        <v>0</v>
      </c>
      <c r="AH152" s="59">
        <f t="shared" si="1088"/>
        <v>0</v>
      </c>
      <c r="AI152" s="55">
        <f>+I152*BP152</f>
        <v>0</v>
      </c>
      <c r="AJ152" s="59">
        <f t="shared" si="1089"/>
        <v>0</v>
      </c>
      <c r="AK152" s="60">
        <f>+I152*BQ152</f>
        <v>0</v>
      </c>
      <c r="AL152" s="59">
        <f t="shared" si="1090"/>
        <v>0</v>
      </c>
      <c r="AM152" s="60">
        <f>+I152*BR152</f>
        <v>0</v>
      </c>
      <c r="AN152" s="59">
        <f t="shared" si="1091"/>
        <v>0</v>
      </c>
      <c r="AO152" s="60">
        <f>+I152*BS152</f>
        <v>0</v>
      </c>
      <c r="AP152" s="59">
        <f t="shared" si="1092"/>
        <v>0</v>
      </c>
      <c r="AQ152" s="60">
        <f>+I152*BT152</f>
        <v>0</v>
      </c>
      <c r="AR152" s="59">
        <f t="shared" si="1093"/>
        <v>0</v>
      </c>
      <c r="AS152" s="55">
        <f>+I152*BU152</f>
        <v>0</v>
      </c>
      <c r="AT152" s="59">
        <f t="shared" si="1094"/>
        <v>0</v>
      </c>
      <c r="AU152" s="60">
        <f>+I152*BV152</f>
        <v>0</v>
      </c>
      <c r="AV152" s="59">
        <f t="shared" si="1095"/>
        <v>0</v>
      </c>
      <c r="AW152" s="60">
        <f>+I152*BW152</f>
        <v>0</v>
      </c>
      <c r="AX152" s="59">
        <f t="shared" si="1096"/>
        <v>0</v>
      </c>
      <c r="AY152" s="55">
        <f>+I152*BX152</f>
        <v>0</v>
      </c>
      <c r="AZ152" s="59">
        <f t="shared" si="1097"/>
        <v>0</v>
      </c>
      <c r="BC152" s="55">
        <v>1</v>
      </c>
      <c r="BD152" s="55">
        <v>0.97</v>
      </c>
      <c r="BE152" s="55">
        <v>0.95</v>
      </c>
      <c r="BF152" s="55">
        <v>0.93</v>
      </c>
      <c r="BG152" s="55">
        <f t="shared" si="1098"/>
        <v>0.91</v>
      </c>
      <c r="BH152" s="55">
        <f t="shared" si="1098"/>
        <v>0.89</v>
      </c>
      <c r="BI152" s="55">
        <f t="shared" si="1098"/>
        <v>0.87</v>
      </c>
      <c r="BJ152" s="55">
        <f t="shared" si="1098"/>
        <v>0.85</v>
      </c>
      <c r="BK152" s="55">
        <f t="shared" si="1098"/>
        <v>0.83</v>
      </c>
      <c r="BL152" s="55">
        <f t="shared" si="1098"/>
        <v>0.80999999999999994</v>
      </c>
      <c r="BM152" s="55">
        <f t="shared" si="1098"/>
        <v>0.78999999999999992</v>
      </c>
      <c r="BN152" s="55">
        <f t="shared" si="1098"/>
        <v>0.76999999999999991</v>
      </c>
      <c r="BO152" s="55">
        <f t="shared" si="1098"/>
        <v>0.74999999999999989</v>
      </c>
      <c r="BP152" s="55">
        <f t="shared" si="1098"/>
        <v>0.72999999999999987</v>
      </c>
      <c r="BQ152" s="55">
        <f t="shared" si="1098"/>
        <v>0.70999999999999985</v>
      </c>
      <c r="BR152" s="55">
        <f t="shared" si="1098"/>
        <v>0.68999999999999984</v>
      </c>
      <c r="BS152" s="55">
        <f t="shared" si="1098"/>
        <v>0.66999999999999982</v>
      </c>
      <c r="BT152" s="55">
        <f t="shared" si="1098"/>
        <v>0.6499999999999998</v>
      </c>
      <c r="BU152" s="55">
        <f t="shared" si="1098"/>
        <v>0.62999999999999978</v>
      </c>
      <c r="BV152" s="55">
        <f t="shared" si="1098"/>
        <v>0.60999999999999976</v>
      </c>
      <c r="BW152" s="55">
        <f t="shared" si="1098"/>
        <v>0.58999999999999975</v>
      </c>
      <c r="BX152" s="55">
        <f t="shared" si="1098"/>
        <v>0.56999999999999973</v>
      </c>
      <c r="BZ152" s="55">
        <f t="shared" si="1068"/>
        <v>0</v>
      </c>
      <c r="CA152" s="55">
        <f t="shared" si="1069"/>
        <v>0</v>
      </c>
      <c r="CB152" s="59">
        <f t="shared" si="1099"/>
        <v>0</v>
      </c>
      <c r="CC152" s="55">
        <f t="shared" si="1100"/>
        <v>0</v>
      </c>
      <c r="CD152" s="59">
        <f t="shared" si="1101"/>
        <v>0</v>
      </c>
      <c r="CE152" s="55">
        <f t="shared" si="1102"/>
        <v>0</v>
      </c>
      <c r="CF152" s="59">
        <f t="shared" si="1103"/>
        <v>0</v>
      </c>
      <c r="CG152" s="55">
        <f>+CA152*DX152</f>
        <v>0</v>
      </c>
      <c r="CH152" s="59">
        <f t="shared" si="1104"/>
        <v>0</v>
      </c>
      <c r="CI152" s="57">
        <f>+CA152*DY152</f>
        <v>0</v>
      </c>
      <c r="CJ152" s="59">
        <f t="shared" si="1105"/>
        <v>0</v>
      </c>
      <c r="CK152" s="55">
        <f>+CA152*DZ152</f>
        <v>0</v>
      </c>
      <c r="CL152" s="59">
        <f t="shared" si="1106"/>
        <v>0</v>
      </c>
      <c r="CM152" s="57">
        <f>+CA152*EA152</f>
        <v>0</v>
      </c>
      <c r="CN152" s="59">
        <f t="shared" si="1107"/>
        <v>0</v>
      </c>
      <c r="CO152" s="60">
        <f>+CA152*EB152</f>
        <v>0</v>
      </c>
      <c r="CP152" s="59">
        <f t="shared" si="1108"/>
        <v>0</v>
      </c>
      <c r="CQ152" s="57">
        <f>+CA152*EC152</f>
        <v>0</v>
      </c>
      <c r="CR152" s="59">
        <f t="shared" si="1109"/>
        <v>0</v>
      </c>
      <c r="CS152" s="55">
        <f>+CA152*ED152</f>
        <v>0</v>
      </c>
      <c r="CT152" s="59">
        <f t="shared" si="1110"/>
        <v>0</v>
      </c>
      <c r="CU152" s="60">
        <f>+CA152*EE152</f>
        <v>0</v>
      </c>
      <c r="CV152" s="59">
        <f t="shared" si="1111"/>
        <v>0</v>
      </c>
      <c r="CW152" s="60">
        <f>+CA152*EF152</f>
        <v>0</v>
      </c>
      <c r="CX152" s="59">
        <f t="shared" si="1112"/>
        <v>0</v>
      </c>
      <c r="CY152" s="60">
        <f>+CA152*EG152</f>
        <v>0</v>
      </c>
      <c r="CZ152" s="59">
        <f t="shared" si="1113"/>
        <v>0</v>
      </c>
      <c r="DA152" s="55">
        <f>+CA152*EH152</f>
        <v>0</v>
      </c>
      <c r="DB152" s="59">
        <f t="shared" si="1114"/>
        <v>0</v>
      </c>
      <c r="DC152" s="60">
        <f>+CA152*EI152</f>
        <v>0</v>
      </c>
      <c r="DD152" s="59">
        <f t="shared" si="1115"/>
        <v>0</v>
      </c>
      <c r="DE152" s="60">
        <f>+CA152*EJ152</f>
        <v>0</v>
      </c>
      <c r="DF152" s="59">
        <f t="shared" si="1116"/>
        <v>0</v>
      </c>
      <c r="DG152" s="60">
        <f>+CA152*EK152</f>
        <v>0</v>
      </c>
      <c r="DH152" s="59">
        <f t="shared" si="1117"/>
        <v>0</v>
      </c>
      <c r="DI152" s="60">
        <f>+CA152*EL152</f>
        <v>0</v>
      </c>
      <c r="DJ152" s="59">
        <f t="shared" si="1118"/>
        <v>0</v>
      </c>
      <c r="DK152" s="55">
        <f>+CA152*EM152</f>
        <v>0</v>
      </c>
      <c r="DL152" s="59">
        <f t="shared" si="1119"/>
        <v>0</v>
      </c>
      <c r="DM152" s="60">
        <f>+CA152*EN152</f>
        <v>0</v>
      </c>
      <c r="DN152" s="59">
        <f t="shared" si="1120"/>
        <v>0</v>
      </c>
      <c r="DO152" s="60">
        <f>+CA152*EO152</f>
        <v>0</v>
      </c>
      <c r="DP152" s="59">
        <f t="shared" si="1121"/>
        <v>0</v>
      </c>
      <c r="DQ152" s="55">
        <f>+CA152*EP152</f>
        <v>0</v>
      </c>
      <c r="DR152" s="59">
        <f t="shared" si="1122"/>
        <v>0</v>
      </c>
      <c r="DU152" s="55">
        <v>1</v>
      </c>
      <c r="DV152" s="55">
        <v>0.97</v>
      </c>
      <c r="DW152" s="55">
        <v>0.95</v>
      </c>
      <c r="DX152" s="55">
        <v>0.93</v>
      </c>
      <c r="DY152" s="55">
        <f t="shared" si="930"/>
        <v>0.91</v>
      </c>
      <c r="DZ152" s="55">
        <f t="shared" si="930"/>
        <v>0.89</v>
      </c>
      <c r="EA152" s="55">
        <f t="shared" si="930"/>
        <v>0.87</v>
      </c>
      <c r="EB152" s="55">
        <f t="shared" si="930"/>
        <v>0.85</v>
      </c>
      <c r="EC152" s="55">
        <f t="shared" si="930"/>
        <v>0.83</v>
      </c>
      <c r="ED152" s="55">
        <f t="shared" si="930"/>
        <v>0.80999999999999994</v>
      </c>
      <c r="EE152" s="55">
        <f t="shared" si="930"/>
        <v>0.78999999999999992</v>
      </c>
      <c r="EF152" s="55">
        <f t="shared" si="930"/>
        <v>0.76999999999999991</v>
      </c>
      <c r="EG152" s="55">
        <f t="shared" si="930"/>
        <v>0.74999999999999989</v>
      </c>
      <c r="EH152" s="55">
        <f t="shared" si="930"/>
        <v>0.72999999999999987</v>
      </c>
      <c r="EI152" s="55">
        <f t="shared" si="930"/>
        <v>0.70999999999999985</v>
      </c>
      <c r="EJ152" s="55">
        <f t="shared" si="930"/>
        <v>0.68999999999999984</v>
      </c>
      <c r="EK152" s="55">
        <f t="shared" si="930"/>
        <v>0.66999999999999982</v>
      </c>
      <c r="EL152" s="55">
        <f t="shared" si="930"/>
        <v>0.6499999999999998</v>
      </c>
      <c r="EM152" s="55">
        <f t="shared" si="930"/>
        <v>0.62999999999999978</v>
      </c>
      <c r="EN152" s="55">
        <f t="shared" si="930"/>
        <v>0.60999999999999976</v>
      </c>
      <c r="EO152" s="55">
        <f t="shared" si="930"/>
        <v>0.58999999999999975</v>
      </c>
      <c r="EP152" s="55">
        <f t="shared" si="930"/>
        <v>0.56999999999999973</v>
      </c>
      <c r="ER152" s="55">
        <f t="shared" si="648"/>
        <v>0</v>
      </c>
      <c r="ES152" s="55">
        <f t="shared" si="1070"/>
        <v>0</v>
      </c>
      <c r="ET152" s="59">
        <f t="shared" si="1123"/>
        <v>0</v>
      </c>
      <c r="EU152" s="55">
        <f t="shared" si="1124"/>
        <v>0</v>
      </c>
      <c r="EV152" s="59">
        <f t="shared" si="1125"/>
        <v>0</v>
      </c>
      <c r="EW152" s="55">
        <f t="shared" si="1126"/>
        <v>0</v>
      </c>
      <c r="EX152" s="59">
        <f t="shared" si="1127"/>
        <v>0</v>
      </c>
      <c r="EY152" s="55">
        <f>+ES152*GP152</f>
        <v>0</v>
      </c>
      <c r="EZ152" s="59">
        <f t="shared" si="1128"/>
        <v>0</v>
      </c>
      <c r="FA152" s="57">
        <f>+ES152*GQ152</f>
        <v>0</v>
      </c>
      <c r="FB152" s="59">
        <f t="shared" si="1129"/>
        <v>0</v>
      </c>
      <c r="FC152" s="55">
        <f>+ES152*GR152</f>
        <v>0</v>
      </c>
      <c r="FD152" s="59">
        <f t="shared" si="1130"/>
        <v>0</v>
      </c>
      <c r="FE152" s="57">
        <f>+ES152*GS152</f>
        <v>0</v>
      </c>
      <c r="FF152" s="59">
        <f t="shared" si="1131"/>
        <v>0</v>
      </c>
      <c r="FG152" s="60">
        <f>+ES152*GT152</f>
        <v>0</v>
      </c>
      <c r="FH152" s="59">
        <f t="shared" si="1132"/>
        <v>0</v>
      </c>
      <c r="FI152" s="57">
        <f>+ES152*GU152</f>
        <v>0</v>
      </c>
      <c r="FJ152" s="59">
        <f t="shared" si="1133"/>
        <v>0</v>
      </c>
      <c r="FK152" s="55">
        <f>+ES152*GV152</f>
        <v>0</v>
      </c>
      <c r="FL152" s="59">
        <f t="shared" si="1134"/>
        <v>0</v>
      </c>
      <c r="FM152" s="60">
        <f>+ES152*GW152</f>
        <v>0</v>
      </c>
      <c r="FN152" s="59">
        <f t="shared" si="1135"/>
        <v>0</v>
      </c>
      <c r="FO152" s="60">
        <f>+ES152*GX152</f>
        <v>0</v>
      </c>
      <c r="FP152" s="59">
        <f t="shared" si="1136"/>
        <v>0</v>
      </c>
      <c r="FQ152" s="60">
        <f>+ES152*GY152</f>
        <v>0</v>
      </c>
      <c r="FR152" s="59">
        <f t="shared" si="1137"/>
        <v>0</v>
      </c>
      <c r="FS152" s="55">
        <f>+ES152*GZ152</f>
        <v>0</v>
      </c>
      <c r="FT152" s="59">
        <f t="shared" si="1138"/>
        <v>0</v>
      </c>
      <c r="FU152" s="60">
        <f>+ES152*HA152</f>
        <v>0</v>
      </c>
      <c r="FV152" s="59">
        <f t="shared" si="1139"/>
        <v>0</v>
      </c>
      <c r="FW152" s="60">
        <f>+ES152*HB152</f>
        <v>0</v>
      </c>
      <c r="FX152" s="59">
        <f t="shared" si="1140"/>
        <v>0</v>
      </c>
      <c r="FY152" s="60">
        <f>+ES152*HC152</f>
        <v>0</v>
      </c>
      <c r="FZ152" s="59">
        <f t="shared" si="1141"/>
        <v>0</v>
      </c>
      <c r="GA152" s="60">
        <f>+ES152*HD152</f>
        <v>0</v>
      </c>
      <c r="GB152" s="59">
        <f t="shared" si="1142"/>
        <v>0</v>
      </c>
      <c r="GC152" s="55">
        <f>+ES152*HE152</f>
        <v>0</v>
      </c>
      <c r="GD152" s="59">
        <f t="shared" si="1143"/>
        <v>0</v>
      </c>
      <c r="GE152" s="60">
        <f>+ES152*HF152</f>
        <v>0</v>
      </c>
      <c r="GF152" s="59">
        <f t="shared" si="1144"/>
        <v>0</v>
      </c>
      <c r="GG152" s="60">
        <f>+ES152*HG152</f>
        <v>0</v>
      </c>
      <c r="GH152" s="59">
        <f t="shared" si="1145"/>
        <v>0</v>
      </c>
      <c r="GI152" s="55">
        <f>+ES152*HH152</f>
        <v>0</v>
      </c>
      <c r="GJ152" s="59">
        <f t="shared" si="1146"/>
        <v>0</v>
      </c>
      <c r="GK152" s="55"/>
      <c r="GL152" s="55"/>
      <c r="GM152" s="55">
        <v>1</v>
      </c>
      <c r="GN152" s="55">
        <v>0.97</v>
      </c>
      <c r="GO152" s="55">
        <v>0.95</v>
      </c>
      <c r="GP152" s="55">
        <v>0.93</v>
      </c>
      <c r="GQ152" s="55">
        <f t="shared" si="931"/>
        <v>0.91</v>
      </c>
      <c r="GR152" s="55">
        <f t="shared" si="931"/>
        <v>0.89</v>
      </c>
      <c r="GS152" s="55">
        <f t="shared" si="931"/>
        <v>0.87</v>
      </c>
      <c r="GT152" s="55">
        <f t="shared" si="931"/>
        <v>0.85</v>
      </c>
      <c r="GU152" s="55">
        <f t="shared" si="931"/>
        <v>0.83</v>
      </c>
      <c r="GV152" s="55">
        <f t="shared" si="931"/>
        <v>0.80999999999999994</v>
      </c>
      <c r="GW152" s="55">
        <f t="shared" si="931"/>
        <v>0.78999999999999992</v>
      </c>
      <c r="GX152" s="55">
        <f t="shared" si="931"/>
        <v>0.76999999999999991</v>
      </c>
      <c r="GY152" s="55">
        <f t="shared" si="931"/>
        <v>0.74999999999999989</v>
      </c>
      <c r="GZ152" s="55">
        <f t="shared" si="931"/>
        <v>0.72999999999999987</v>
      </c>
      <c r="HA152" s="55">
        <f t="shared" si="931"/>
        <v>0.70999999999999985</v>
      </c>
      <c r="HB152" s="55">
        <f t="shared" si="931"/>
        <v>0.68999999999999984</v>
      </c>
      <c r="HC152" s="55">
        <f t="shared" si="931"/>
        <v>0.66999999999999982</v>
      </c>
      <c r="HD152" s="55">
        <f t="shared" si="931"/>
        <v>0.6499999999999998</v>
      </c>
      <c r="HE152" s="55">
        <f t="shared" si="931"/>
        <v>0.62999999999999978</v>
      </c>
      <c r="HF152" s="55">
        <f t="shared" si="931"/>
        <v>0.60999999999999976</v>
      </c>
      <c r="HG152" s="55">
        <f t="shared" si="931"/>
        <v>0.58999999999999975</v>
      </c>
      <c r="HH152" s="55">
        <f t="shared" si="931"/>
        <v>0.56999999999999973</v>
      </c>
    </row>
    <row r="153" spans="1:216" x14ac:dyDescent="0.3">
      <c r="A153" s="2">
        <v>3</v>
      </c>
      <c r="C153" s="38" t="s">
        <v>47</v>
      </c>
      <c r="D153" s="42">
        <f>TRUNC(30209.1561785903,-1)</f>
        <v>30200</v>
      </c>
      <c r="E153" s="71">
        <f>TRUNC(+D153*3.3058,-1)</f>
        <v>99830</v>
      </c>
      <c r="F153" s="2" t="s">
        <v>317</v>
      </c>
      <c r="H153" s="55">
        <f t="shared" si="1065"/>
        <v>109813.00000000001</v>
      </c>
      <c r="I153" s="55">
        <f t="shared" si="1066"/>
        <v>109813.00000000001</v>
      </c>
      <c r="J153" s="59">
        <f t="shared" si="1067"/>
        <v>363019.81540000008</v>
      </c>
      <c r="K153" s="55">
        <f t="shared" si="1075"/>
        <v>106518.61000000002</v>
      </c>
      <c r="L153" s="59">
        <f t="shared" si="1076"/>
        <v>352129.22093800007</v>
      </c>
      <c r="M153" s="55">
        <f t="shared" si="1077"/>
        <v>104322.35</v>
      </c>
      <c r="N153" s="59">
        <f t="shared" si="1078"/>
        <v>344868.82463000005</v>
      </c>
      <c r="O153" s="55">
        <f>+I153*BF153</f>
        <v>102126.09000000003</v>
      </c>
      <c r="P153" s="59">
        <f t="shared" si="1079"/>
        <v>337608.42832200008</v>
      </c>
      <c r="Q153" s="57">
        <f>+I153*BG153</f>
        <v>99929.830000000016</v>
      </c>
      <c r="R153" s="59">
        <f t="shared" si="1080"/>
        <v>330348.03201400005</v>
      </c>
      <c r="S153" s="55">
        <f>+I153*BH153</f>
        <v>97733.570000000022</v>
      </c>
      <c r="T153" s="59">
        <f t="shared" si="1081"/>
        <v>323087.63570600009</v>
      </c>
      <c r="U153" s="57">
        <f>+I153*BI153</f>
        <v>95537.310000000012</v>
      </c>
      <c r="V153" s="59">
        <f t="shared" si="1082"/>
        <v>315827.23939800006</v>
      </c>
      <c r="W153" s="60">
        <f>+I153*BJ153</f>
        <v>93341.05</v>
      </c>
      <c r="X153" s="59">
        <f t="shared" si="1083"/>
        <v>308566.84309000004</v>
      </c>
      <c r="Y153" s="57">
        <f>+I153*BK153</f>
        <v>91144.790000000008</v>
      </c>
      <c r="Z153" s="59">
        <f t="shared" si="1084"/>
        <v>301306.44678200001</v>
      </c>
      <c r="AA153" s="55">
        <f>+I153*BL153</f>
        <v>88948.53</v>
      </c>
      <c r="AB153" s="59">
        <f t="shared" si="1085"/>
        <v>294046.05047399999</v>
      </c>
      <c r="AC153" s="60">
        <f>+I153*BM153</f>
        <v>86752.27</v>
      </c>
      <c r="AD153" s="59">
        <f t="shared" si="1086"/>
        <v>286785.65416600002</v>
      </c>
      <c r="AE153" s="60">
        <f>+I153*BN153</f>
        <v>84556.01</v>
      </c>
      <c r="AF153" s="59">
        <f t="shared" si="1087"/>
        <v>279525.257858</v>
      </c>
      <c r="AG153" s="60">
        <f>+I153*BO153</f>
        <v>82359.75</v>
      </c>
      <c r="AH153" s="59">
        <f t="shared" si="1088"/>
        <v>272264.86155000003</v>
      </c>
      <c r="AI153" s="55">
        <f>+I153*BP153</f>
        <v>80163.489999999991</v>
      </c>
      <c r="AJ153" s="59">
        <f t="shared" si="1089"/>
        <v>265004.46524199995</v>
      </c>
      <c r="AK153" s="60">
        <f>+I153*BQ153</f>
        <v>77967.23</v>
      </c>
      <c r="AL153" s="59">
        <f t="shared" si="1090"/>
        <v>257744.06893399998</v>
      </c>
      <c r="AM153" s="60">
        <f>+I153*BR153</f>
        <v>75770.969999999987</v>
      </c>
      <c r="AN153" s="59">
        <f t="shared" si="1091"/>
        <v>250483.67262599996</v>
      </c>
      <c r="AO153" s="60">
        <f>+I153*BS153</f>
        <v>73574.709999999992</v>
      </c>
      <c r="AP153" s="59">
        <f t="shared" si="1092"/>
        <v>243223.27631799999</v>
      </c>
      <c r="AQ153" s="60">
        <f>+I153*BT153</f>
        <v>71378.449999999983</v>
      </c>
      <c r="AR153" s="59">
        <f t="shared" si="1093"/>
        <v>235962.88000999994</v>
      </c>
      <c r="AS153" s="55">
        <f>+I153*BU153</f>
        <v>69182.189999999988</v>
      </c>
      <c r="AT153" s="59">
        <f t="shared" si="1094"/>
        <v>228702.48370199997</v>
      </c>
      <c r="AU153" s="60">
        <f>+I153*BV153</f>
        <v>66985.929999999978</v>
      </c>
      <c r="AV153" s="59">
        <f t="shared" si="1095"/>
        <v>221442.08739399994</v>
      </c>
      <c r="AW153" s="60">
        <f>+I153*BW153</f>
        <v>64789.669999999984</v>
      </c>
      <c r="AX153" s="59">
        <f t="shared" si="1096"/>
        <v>214181.69108599995</v>
      </c>
      <c r="AY153" s="55">
        <f>+I153*BX153</f>
        <v>62593.409999999982</v>
      </c>
      <c r="AZ153" s="59">
        <f t="shared" si="1097"/>
        <v>206921.29477799995</v>
      </c>
      <c r="BC153" s="55">
        <v>1</v>
      </c>
      <c r="BD153" s="55">
        <v>0.97</v>
      </c>
      <c r="BE153" s="55">
        <v>0.95</v>
      </c>
      <c r="BF153" s="55">
        <v>0.93</v>
      </c>
      <c r="BG153" s="55">
        <f t="shared" si="1098"/>
        <v>0.91</v>
      </c>
      <c r="BH153" s="55">
        <f t="shared" si="1098"/>
        <v>0.89</v>
      </c>
      <c r="BI153" s="55">
        <f t="shared" si="1098"/>
        <v>0.87</v>
      </c>
      <c r="BJ153" s="55">
        <f t="shared" si="1098"/>
        <v>0.85</v>
      </c>
      <c r="BK153" s="55">
        <f t="shared" si="1098"/>
        <v>0.83</v>
      </c>
      <c r="BL153" s="55">
        <f t="shared" si="1098"/>
        <v>0.80999999999999994</v>
      </c>
      <c r="BM153" s="55">
        <f t="shared" si="1098"/>
        <v>0.78999999999999992</v>
      </c>
      <c r="BN153" s="55">
        <f t="shared" si="1098"/>
        <v>0.76999999999999991</v>
      </c>
      <c r="BO153" s="55">
        <f t="shared" si="1098"/>
        <v>0.74999999999999989</v>
      </c>
      <c r="BP153" s="55">
        <f t="shared" si="1098"/>
        <v>0.72999999999999987</v>
      </c>
      <c r="BQ153" s="55">
        <f t="shared" si="1098"/>
        <v>0.70999999999999985</v>
      </c>
      <c r="BR153" s="55">
        <f t="shared" si="1098"/>
        <v>0.68999999999999984</v>
      </c>
      <c r="BS153" s="55">
        <f t="shared" si="1098"/>
        <v>0.66999999999999982</v>
      </c>
      <c r="BT153" s="55">
        <f t="shared" si="1098"/>
        <v>0.6499999999999998</v>
      </c>
      <c r="BU153" s="55">
        <f t="shared" si="1098"/>
        <v>0.62999999999999978</v>
      </c>
      <c r="BV153" s="55">
        <f t="shared" si="1098"/>
        <v>0.60999999999999976</v>
      </c>
      <c r="BW153" s="55">
        <f t="shared" si="1098"/>
        <v>0.58999999999999975</v>
      </c>
      <c r="BX153" s="55">
        <f t="shared" si="1098"/>
        <v>0.56999999999999973</v>
      </c>
      <c r="BZ153" s="55">
        <f t="shared" si="1068"/>
        <v>99929.830000000016</v>
      </c>
      <c r="CA153" s="55">
        <f t="shared" si="1069"/>
        <v>99929.830000000016</v>
      </c>
      <c r="CB153" s="59">
        <f t="shared" si="1099"/>
        <v>330348.03201400005</v>
      </c>
      <c r="CC153" s="55">
        <f t="shared" si="1100"/>
        <v>96931.935100000017</v>
      </c>
      <c r="CD153" s="59">
        <f t="shared" si="1101"/>
        <v>320437.59105358005</v>
      </c>
      <c r="CE153" s="55">
        <f t="shared" si="1102"/>
        <v>94933.338500000013</v>
      </c>
      <c r="CF153" s="59">
        <f t="shared" si="1103"/>
        <v>313830.63041330007</v>
      </c>
      <c r="CG153" s="55">
        <f>+CA153*DX153</f>
        <v>92934.741900000023</v>
      </c>
      <c r="CH153" s="59">
        <f t="shared" si="1104"/>
        <v>307223.66977302008</v>
      </c>
      <c r="CI153" s="57">
        <f>+CA153*DY153</f>
        <v>90936.145300000018</v>
      </c>
      <c r="CJ153" s="59">
        <f t="shared" si="1105"/>
        <v>300616.70913274004</v>
      </c>
      <c r="CK153" s="55">
        <f>+CA153*DZ153</f>
        <v>88937.548700000014</v>
      </c>
      <c r="CL153" s="59">
        <f t="shared" si="1106"/>
        <v>294009.74849246006</v>
      </c>
      <c r="CM153" s="57">
        <f>+CA153*EA153</f>
        <v>86938.95210000001</v>
      </c>
      <c r="CN153" s="59">
        <f t="shared" si="1107"/>
        <v>287402.78785218002</v>
      </c>
      <c r="CO153" s="60">
        <f>+CA153*EB153</f>
        <v>84940.355500000005</v>
      </c>
      <c r="CP153" s="59">
        <f t="shared" si="1108"/>
        <v>280795.82721190003</v>
      </c>
      <c r="CQ153" s="57">
        <f>+CA153*EC153</f>
        <v>82941.758900000015</v>
      </c>
      <c r="CR153" s="59">
        <f t="shared" si="1109"/>
        <v>274188.86657162005</v>
      </c>
      <c r="CS153" s="55">
        <f>+CA153*ED153</f>
        <v>80943.162300000011</v>
      </c>
      <c r="CT153" s="59">
        <f t="shared" si="1110"/>
        <v>267581.90593134006</v>
      </c>
      <c r="CU153" s="60">
        <f>+CA153*EE153</f>
        <v>78944.565700000006</v>
      </c>
      <c r="CV153" s="59">
        <f t="shared" si="1111"/>
        <v>260974.94529106002</v>
      </c>
      <c r="CW153" s="60">
        <f>+CA153*EF153</f>
        <v>76945.969100000002</v>
      </c>
      <c r="CX153" s="59">
        <f t="shared" si="1112"/>
        <v>254367.98465078001</v>
      </c>
      <c r="CY153" s="60">
        <f>+CA153*EG153</f>
        <v>74947.372499999998</v>
      </c>
      <c r="CZ153" s="59">
        <f t="shared" si="1113"/>
        <v>247761.0240105</v>
      </c>
      <c r="DA153" s="55">
        <f>+CA153*EH153</f>
        <v>72948.775899999993</v>
      </c>
      <c r="DB153" s="59">
        <f t="shared" si="1114"/>
        <v>241154.06337021998</v>
      </c>
      <c r="DC153" s="60">
        <f>+CA153*EI153</f>
        <v>70950.179300000003</v>
      </c>
      <c r="DD153" s="59">
        <f t="shared" si="1115"/>
        <v>234547.10272994003</v>
      </c>
      <c r="DE153" s="60">
        <f>+CA153*EJ153</f>
        <v>68951.582699999999</v>
      </c>
      <c r="DF153" s="59">
        <f t="shared" si="1116"/>
        <v>227940.14208965999</v>
      </c>
      <c r="DG153" s="60">
        <f>+CA153*EK153</f>
        <v>66952.986099999995</v>
      </c>
      <c r="DH153" s="59">
        <f t="shared" si="1117"/>
        <v>221333.18144937998</v>
      </c>
      <c r="DI153" s="60">
        <f>+CA153*EL153</f>
        <v>64954.38949999999</v>
      </c>
      <c r="DJ153" s="59">
        <f t="shared" si="1118"/>
        <v>214726.22080909996</v>
      </c>
      <c r="DK153" s="55">
        <f>+CA153*EM153</f>
        <v>62955.792899999986</v>
      </c>
      <c r="DL153" s="59">
        <f t="shared" si="1119"/>
        <v>208119.26016881995</v>
      </c>
      <c r="DM153" s="60">
        <f>+CA153*EN153</f>
        <v>60957.196299999989</v>
      </c>
      <c r="DN153" s="59">
        <f t="shared" si="1120"/>
        <v>201512.29952853997</v>
      </c>
      <c r="DO153" s="60">
        <f>+CA153*EO153</f>
        <v>58958.599699999984</v>
      </c>
      <c r="DP153" s="59">
        <f t="shared" si="1121"/>
        <v>194905.33888825995</v>
      </c>
      <c r="DQ153" s="55">
        <f>+CA153*EP153</f>
        <v>56960.00309999998</v>
      </c>
      <c r="DR153" s="59">
        <f t="shared" si="1122"/>
        <v>188298.37824797994</v>
      </c>
      <c r="DU153" s="55">
        <v>1</v>
      </c>
      <c r="DV153" s="55">
        <v>0.97</v>
      </c>
      <c r="DW153" s="55">
        <v>0.95</v>
      </c>
      <c r="DX153" s="55">
        <v>0.93</v>
      </c>
      <c r="DY153" s="55">
        <f t="shared" si="930"/>
        <v>0.91</v>
      </c>
      <c r="DZ153" s="55">
        <f t="shared" si="930"/>
        <v>0.89</v>
      </c>
      <c r="EA153" s="55">
        <f t="shared" si="930"/>
        <v>0.87</v>
      </c>
      <c r="EB153" s="55">
        <f t="shared" ref="EB153:EP153" si="1147">+EA153-0.02</f>
        <v>0.85</v>
      </c>
      <c r="EC153" s="55">
        <f t="shared" si="1147"/>
        <v>0.83</v>
      </c>
      <c r="ED153" s="55">
        <f t="shared" si="1147"/>
        <v>0.80999999999999994</v>
      </c>
      <c r="EE153" s="55">
        <f t="shared" si="1147"/>
        <v>0.78999999999999992</v>
      </c>
      <c r="EF153" s="55">
        <f t="shared" si="1147"/>
        <v>0.76999999999999991</v>
      </c>
      <c r="EG153" s="55">
        <f t="shared" si="1147"/>
        <v>0.74999999999999989</v>
      </c>
      <c r="EH153" s="55">
        <f t="shared" si="1147"/>
        <v>0.72999999999999987</v>
      </c>
      <c r="EI153" s="55">
        <f t="shared" si="1147"/>
        <v>0.70999999999999985</v>
      </c>
      <c r="EJ153" s="55">
        <f t="shared" si="1147"/>
        <v>0.68999999999999984</v>
      </c>
      <c r="EK153" s="55">
        <f t="shared" si="1147"/>
        <v>0.66999999999999982</v>
      </c>
      <c r="EL153" s="55">
        <f t="shared" si="1147"/>
        <v>0.6499999999999998</v>
      </c>
      <c r="EM153" s="55">
        <f t="shared" si="1147"/>
        <v>0.62999999999999978</v>
      </c>
      <c r="EN153" s="55">
        <f t="shared" si="1147"/>
        <v>0.60999999999999976</v>
      </c>
      <c r="EO153" s="55">
        <f t="shared" si="1147"/>
        <v>0.58999999999999975</v>
      </c>
      <c r="EP153" s="55">
        <f t="shared" si="1147"/>
        <v>0.56999999999999973</v>
      </c>
      <c r="ER153" s="55">
        <f t="shared" si="648"/>
        <v>90936.145300000018</v>
      </c>
      <c r="ES153" s="55">
        <f t="shared" si="1070"/>
        <v>90936.145300000018</v>
      </c>
      <c r="ET153" s="59">
        <f t="shared" si="1123"/>
        <v>300616.70913274004</v>
      </c>
      <c r="EU153" s="55">
        <f t="shared" si="1124"/>
        <v>88208.060941000018</v>
      </c>
      <c r="EV153" s="59">
        <f t="shared" si="1125"/>
        <v>291598.20785875787</v>
      </c>
      <c r="EW153" s="55">
        <f t="shared" si="1126"/>
        <v>86389.338035000008</v>
      </c>
      <c r="EX153" s="59">
        <f t="shared" si="1127"/>
        <v>285585.87367610302</v>
      </c>
      <c r="EY153" s="55">
        <f>+ES153*GP153</f>
        <v>84570.615129000027</v>
      </c>
      <c r="EZ153" s="59">
        <f t="shared" si="1128"/>
        <v>279573.53949344828</v>
      </c>
      <c r="FA153" s="57">
        <f>+ES153*GQ153</f>
        <v>82751.892223000017</v>
      </c>
      <c r="FB153" s="59">
        <f t="shared" si="1129"/>
        <v>273561.20531079348</v>
      </c>
      <c r="FC153" s="55">
        <f>+ES153*GR153</f>
        <v>80933.169317000022</v>
      </c>
      <c r="FD153" s="59">
        <f t="shared" si="1130"/>
        <v>267548.87112813868</v>
      </c>
      <c r="FE153" s="57">
        <f>+ES153*GS153</f>
        <v>79114.446411000012</v>
      </c>
      <c r="FF153" s="59">
        <f t="shared" si="1131"/>
        <v>261536.53694548385</v>
      </c>
      <c r="FG153" s="60">
        <f>+ES153*GT153</f>
        <v>77295.723505000016</v>
      </c>
      <c r="FH153" s="59">
        <f t="shared" si="1132"/>
        <v>255524.20276282905</v>
      </c>
      <c r="FI153" s="57">
        <f>+ES153*GU153</f>
        <v>75477.000599000006</v>
      </c>
      <c r="FJ153" s="59">
        <f t="shared" si="1133"/>
        <v>249511.86858017422</v>
      </c>
      <c r="FK153" s="55">
        <f>+ES153*GV153</f>
        <v>73658.277693000011</v>
      </c>
      <c r="FL153" s="59">
        <f t="shared" si="1134"/>
        <v>243499.53439751946</v>
      </c>
      <c r="FM153" s="60">
        <f>+ES153*GW153</f>
        <v>71839.554787000001</v>
      </c>
      <c r="FN153" s="59">
        <f t="shared" si="1135"/>
        <v>237487.2002148646</v>
      </c>
      <c r="FO153" s="60">
        <f>+ES153*GX153</f>
        <v>70020.831881000006</v>
      </c>
      <c r="FP153" s="59">
        <f t="shared" si="1136"/>
        <v>231474.86603220983</v>
      </c>
      <c r="FQ153" s="60">
        <f>+ES153*GY153</f>
        <v>68202.10897500001</v>
      </c>
      <c r="FR153" s="59">
        <f t="shared" si="1137"/>
        <v>225462.53184955503</v>
      </c>
      <c r="FS153" s="55">
        <f>+ES153*GZ153</f>
        <v>66383.386069</v>
      </c>
      <c r="FT153" s="59">
        <f t="shared" si="1138"/>
        <v>219450.1976669002</v>
      </c>
      <c r="FU153" s="60">
        <f>+ES153*HA153</f>
        <v>64564.663162999997</v>
      </c>
      <c r="FV153" s="59">
        <f t="shared" si="1139"/>
        <v>213437.8634842454</v>
      </c>
      <c r="FW153" s="60">
        <f>+ES153*HB153</f>
        <v>62745.940256999995</v>
      </c>
      <c r="FX153" s="59">
        <f t="shared" si="1140"/>
        <v>207425.52930159058</v>
      </c>
      <c r="FY153" s="60">
        <f>+ES153*HC153</f>
        <v>60927.217350999999</v>
      </c>
      <c r="FZ153" s="59">
        <f t="shared" si="1141"/>
        <v>201413.19511893581</v>
      </c>
      <c r="GA153" s="60">
        <f>+ES153*HD153</f>
        <v>59108.494444999997</v>
      </c>
      <c r="GB153" s="59">
        <f t="shared" si="1142"/>
        <v>195400.86093628098</v>
      </c>
      <c r="GC153" s="55">
        <f>+ES153*HE153</f>
        <v>57289.771538999994</v>
      </c>
      <c r="GD153" s="59">
        <f t="shared" si="1143"/>
        <v>189388.52675362618</v>
      </c>
      <c r="GE153" s="60">
        <f>+ES153*HF153</f>
        <v>55471.048632999991</v>
      </c>
      <c r="GF153" s="59">
        <f t="shared" si="1144"/>
        <v>183376.19257097138</v>
      </c>
      <c r="GG153" s="60">
        <f>+ES153*HG153</f>
        <v>53652.325726999989</v>
      </c>
      <c r="GH153" s="59">
        <f t="shared" si="1145"/>
        <v>177363.85838831656</v>
      </c>
      <c r="GI153" s="55">
        <f>+ES153*HH153</f>
        <v>51833.602820999986</v>
      </c>
      <c r="GJ153" s="59">
        <f t="shared" si="1146"/>
        <v>171351.52420566176</v>
      </c>
      <c r="GK153" s="55"/>
      <c r="GL153" s="55"/>
      <c r="GM153" s="55">
        <v>1</v>
      </c>
      <c r="GN153" s="55">
        <v>0.97</v>
      </c>
      <c r="GO153" s="55">
        <v>0.95</v>
      </c>
      <c r="GP153" s="55">
        <v>0.93</v>
      </c>
      <c r="GQ153" s="55">
        <f t="shared" si="931"/>
        <v>0.91</v>
      </c>
      <c r="GR153" s="55">
        <f t="shared" si="931"/>
        <v>0.89</v>
      </c>
      <c r="GS153" s="55">
        <f t="shared" si="931"/>
        <v>0.87</v>
      </c>
      <c r="GT153" s="55">
        <f t="shared" ref="GT153:HH153" si="1148">+GS153-0.02</f>
        <v>0.85</v>
      </c>
      <c r="GU153" s="55">
        <f t="shared" si="1148"/>
        <v>0.83</v>
      </c>
      <c r="GV153" s="55">
        <f t="shared" si="1148"/>
        <v>0.80999999999999994</v>
      </c>
      <c r="GW153" s="55">
        <f t="shared" si="1148"/>
        <v>0.78999999999999992</v>
      </c>
      <c r="GX153" s="55">
        <f t="shared" si="1148"/>
        <v>0.76999999999999991</v>
      </c>
      <c r="GY153" s="55">
        <f t="shared" si="1148"/>
        <v>0.74999999999999989</v>
      </c>
      <c r="GZ153" s="55">
        <f t="shared" si="1148"/>
        <v>0.72999999999999987</v>
      </c>
      <c r="HA153" s="55">
        <f t="shared" si="1148"/>
        <v>0.70999999999999985</v>
      </c>
      <c r="HB153" s="55">
        <f t="shared" si="1148"/>
        <v>0.68999999999999984</v>
      </c>
      <c r="HC153" s="55">
        <f t="shared" si="1148"/>
        <v>0.66999999999999982</v>
      </c>
      <c r="HD153" s="55">
        <f t="shared" si="1148"/>
        <v>0.6499999999999998</v>
      </c>
      <c r="HE153" s="55">
        <f t="shared" si="1148"/>
        <v>0.62999999999999978</v>
      </c>
      <c r="HF153" s="55">
        <f t="shared" si="1148"/>
        <v>0.60999999999999976</v>
      </c>
      <c r="HG153" s="55">
        <f t="shared" si="1148"/>
        <v>0.58999999999999975</v>
      </c>
      <c r="HH153" s="55">
        <f t="shared" si="1148"/>
        <v>0.56999999999999973</v>
      </c>
    </row>
    <row r="154" spans="1:216" ht="17.25" thickBot="1" x14ac:dyDescent="0.35">
      <c r="A154" s="2">
        <v>4</v>
      </c>
      <c r="C154" s="38" t="s">
        <v>150</v>
      </c>
      <c r="D154" s="43">
        <f>TRUNC(5503.25188961153,-1)</f>
        <v>5500</v>
      </c>
      <c r="E154" s="72">
        <f>TRUNC(+D154*3.3058,-1)</f>
        <v>18180</v>
      </c>
      <c r="H154" s="55">
        <f t="shared" si="1065"/>
        <v>19998</v>
      </c>
      <c r="I154" s="55">
        <f t="shared" si="1066"/>
        <v>19998</v>
      </c>
      <c r="J154" s="59">
        <f t="shared" si="1067"/>
        <v>66109.388399999996</v>
      </c>
      <c r="K154" s="55">
        <f t="shared" si="1075"/>
        <v>19398.059999999998</v>
      </c>
      <c r="L154" s="59">
        <f t="shared" si="1076"/>
        <v>64126.106747999991</v>
      </c>
      <c r="M154" s="55">
        <f t="shared" si="1077"/>
        <v>18998.099999999999</v>
      </c>
      <c r="N154" s="59">
        <f t="shared" si="1078"/>
        <v>62803.918979999995</v>
      </c>
      <c r="O154" s="55">
        <f>+I154*BF154</f>
        <v>18598.14</v>
      </c>
      <c r="P154" s="59">
        <f t="shared" si="1079"/>
        <v>61481.731211999999</v>
      </c>
      <c r="Q154" s="57">
        <f>+I154*BG154</f>
        <v>18198.18</v>
      </c>
      <c r="R154" s="59">
        <f t="shared" si="1080"/>
        <v>60159.543444000003</v>
      </c>
      <c r="S154" s="55">
        <f>+I154*BH154</f>
        <v>17798.22</v>
      </c>
      <c r="T154" s="59">
        <f t="shared" si="1081"/>
        <v>58837.355676000006</v>
      </c>
      <c r="U154" s="57">
        <f>+I154*BI154</f>
        <v>17398.259999999998</v>
      </c>
      <c r="V154" s="59">
        <f t="shared" si="1082"/>
        <v>57515.167907999996</v>
      </c>
      <c r="W154" s="60">
        <f>+I154*BJ154</f>
        <v>16998.3</v>
      </c>
      <c r="X154" s="59">
        <f t="shared" si="1083"/>
        <v>56192.98014</v>
      </c>
      <c r="Y154" s="57">
        <f>+I154*BK154</f>
        <v>16598.34</v>
      </c>
      <c r="Z154" s="59">
        <f t="shared" si="1084"/>
        <v>54870.792372000004</v>
      </c>
      <c r="AA154" s="55">
        <f>+I154*BL154</f>
        <v>16198.38</v>
      </c>
      <c r="AB154" s="59">
        <f t="shared" si="1085"/>
        <v>53548.604604</v>
      </c>
      <c r="AC154" s="60">
        <f>+I154*BM154</f>
        <v>15798.419999999998</v>
      </c>
      <c r="AD154" s="59">
        <f t="shared" si="1086"/>
        <v>52226.416835999997</v>
      </c>
      <c r="AE154" s="60">
        <f>+I154*BN154</f>
        <v>15398.459999999997</v>
      </c>
      <c r="AF154" s="59">
        <f t="shared" si="1087"/>
        <v>50904.229067999993</v>
      </c>
      <c r="AG154" s="60">
        <f>+I154*BO154</f>
        <v>14998.499999999998</v>
      </c>
      <c r="AH154" s="59">
        <f t="shared" si="1088"/>
        <v>49582.041299999997</v>
      </c>
      <c r="AI154" s="55">
        <f>+I154*BP154</f>
        <v>14598.539999999997</v>
      </c>
      <c r="AJ154" s="59">
        <f t="shared" si="1089"/>
        <v>48259.853531999994</v>
      </c>
      <c r="AK154" s="60">
        <f>+I154*BQ154</f>
        <v>14198.579999999996</v>
      </c>
      <c r="AL154" s="59">
        <f t="shared" si="1090"/>
        <v>46937.66576399999</v>
      </c>
      <c r="AM154" s="60">
        <f>+I154*BR154</f>
        <v>13798.619999999997</v>
      </c>
      <c r="AN154" s="59">
        <f t="shared" si="1091"/>
        <v>45615.477995999994</v>
      </c>
      <c r="AO154" s="60">
        <f>+I154*BS154</f>
        <v>13398.659999999996</v>
      </c>
      <c r="AP154" s="59">
        <f t="shared" si="1092"/>
        <v>44293.290227999991</v>
      </c>
      <c r="AQ154" s="60">
        <f>+I154*BT154</f>
        <v>12998.699999999995</v>
      </c>
      <c r="AR154" s="59">
        <f t="shared" si="1093"/>
        <v>42971.102459999987</v>
      </c>
      <c r="AS154" s="55">
        <f>+I154*BU154</f>
        <v>12598.739999999996</v>
      </c>
      <c r="AT154" s="59">
        <f t="shared" si="1094"/>
        <v>41648.914691999991</v>
      </c>
      <c r="AU154" s="60">
        <f>+I154*BV154</f>
        <v>12198.779999999995</v>
      </c>
      <c r="AV154" s="59">
        <f t="shared" si="1095"/>
        <v>40326.726923999988</v>
      </c>
      <c r="AW154" s="60">
        <f>+I154*BW154</f>
        <v>11798.819999999994</v>
      </c>
      <c r="AX154" s="59">
        <f t="shared" si="1096"/>
        <v>39004.539155999984</v>
      </c>
      <c r="AY154" s="55">
        <f>+I154*BX154</f>
        <v>11398.859999999995</v>
      </c>
      <c r="AZ154" s="59">
        <f t="shared" si="1097"/>
        <v>37682.351387999988</v>
      </c>
      <c r="BC154" s="55">
        <v>1</v>
      </c>
      <c r="BD154" s="55">
        <v>0.97</v>
      </c>
      <c r="BE154" s="55">
        <v>0.95</v>
      </c>
      <c r="BF154" s="55">
        <v>0.93</v>
      </c>
      <c r="BG154" s="55">
        <f t="shared" si="1098"/>
        <v>0.91</v>
      </c>
      <c r="BH154" s="55">
        <f t="shared" si="1098"/>
        <v>0.89</v>
      </c>
      <c r="BI154" s="55">
        <f t="shared" si="1098"/>
        <v>0.87</v>
      </c>
      <c r="BJ154" s="55">
        <f t="shared" si="1098"/>
        <v>0.85</v>
      </c>
      <c r="BK154" s="55">
        <f t="shared" si="1098"/>
        <v>0.83</v>
      </c>
      <c r="BL154" s="55">
        <f t="shared" si="1098"/>
        <v>0.80999999999999994</v>
      </c>
      <c r="BM154" s="55">
        <f t="shared" si="1098"/>
        <v>0.78999999999999992</v>
      </c>
      <c r="BN154" s="55">
        <f t="shared" si="1098"/>
        <v>0.76999999999999991</v>
      </c>
      <c r="BO154" s="55">
        <f t="shared" si="1098"/>
        <v>0.74999999999999989</v>
      </c>
      <c r="BP154" s="55">
        <f t="shared" si="1098"/>
        <v>0.72999999999999987</v>
      </c>
      <c r="BQ154" s="55">
        <f t="shared" si="1098"/>
        <v>0.70999999999999985</v>
      </c>
      <c r="BR154" s="55">
        <f t="shared" si="1098"/>
        <v>0.68999999999999984</v>
      </c>
      <c r="BS154" s="55">
        <f t="shared" si="1098"/>
        <v>0.66999999999999982</v>
      </c>
      <c r="BT154" s="55">
        <f t="shared" si="1098"/>
        <v>0.6499999999999998</v>
      </c>
      <c r="BU154" s="55">
        <f t="shared" si="1098"/>
        <v>0.62999999999999978</v>
      </c>
      <c r="BV154" s="55">
        <f t="shared" si="1098"/>
        <v>0.60999999999999976</v>
      </c>
      <c r="BW154" s="55">
        <f t="shared" si="1098"/>
        <v>0.58999999999999975</v>
      </c>
      <c r="BX154" s="55">
        <f t="shared" si="1098"/>
        <v>0.56999999999999973</v>
      </c>
      <c r="BZ154" s="55">
        <f t="shared" si="1068"/>
        <v>18198.18</v>
      </c>
      <c r="CA154" s="55">
        <f t="shared" si="1069"/>
        <v>18198.18</v>
      </c>
      <c r="CB154" s="59">
        <f t="shared" si="1099"/>
        <v>60159.543444000003</v>
      </c>
      <c r="CC154" s="55">
        <f t="shared" si="1100"/>
        <v>17652.2346</v>
      </c>
      <c r="CD154" s="59">
        <f t="shared" si="1101"/>
        <v>58354.757140679998</v>
      </c>
      <c r="CE154" s="55">
        <f t="shared" si="1102"/>
        <v>17288.271000000001</v>
      </c>
      <c r="CF154" s="59">
        <f t="shared" si="1103"/>
        <v>57151.566271800002</v>
      </c>
      <c r="CG154" s="55">
        <f>+CA154*DX154</f>
        <v>16924.307400000002</v>
      </c>
      <c r="CH154" s="59">
        <f t="shared" si="1104"/>
        <v>55948.375402920006</v>
      </c>
      <c r="CI154" s="57">
        <f>+CA154*DY154</f>
        <v>16560.343800000002</v>
      </c>
      <c r="CJ154" s="59">
        <f t="shared" si="1105"/>
        <v>54745.18453404001</v>
      </c>
      <c r="CK154" s="55">
        <f>+CA154*DZ154</f>
        <v>16196.3802</v>
      </c>
      <c r="CL154" s="59">
        <f t="shared" si="1106"/>
        <v>53541.99366516</v>
      </c>
      <c r="CM154" s="57">
        <f>+CA154*EA154</f>
        <v>15832.4166</v>
      </c>
      <c r="CN154" s="59">
        <f t="shared" si="1107"/>
        <v>52338.802796280004</v>
      </c>
      <c r="CO154" s="60">
        <f>+CA154*EB154</f>
        <v>15468.453</v>
      </c>
      <c r="CP154" s="59">
        <f t="shared" si="1108"/>
        <v>51135.611927400001</v>
      </c>
      <c r="CQ154" s="57">
        <f>+CA154*EC154</f>
        <v>15104.4894</v>
      </c>
      <c r="CR154" s="59">
        <f t="shared" si="1109"/>
        <v>49932.421058520005</v>
      </c>
      <c r="CS154" s="55">
        <f>+CA154*ED154</f>
        <v>14740.525799999999</v>
      </c>
      <c r="CT154" s="59">
        <f t="shared" si="1110"/>
        <v>48729.230189640002</v>
      </c>
      <c r="CU154" s="60">
        <f>+CA154*EE154</f>
        <v>14376.562199999998</v>
      </c>
      <c r="CV154" s="59">
        <f t="shared" si="1111"/>
        <v>47526.039320759999</v>
      </c>
      <c r="CW154" s="60">
        <f>+CA154*EF154</f>
        <v>14012.598599999999</v>
      </c>
      <c r="CX154" s="59">
        <f t="shared" si="1112"/>
        <v>46322.848451879996</v>
      </c>
      <c r="CY154" s="60">
        <f>+CA154*EG154</f>
        <v>13648.634999999998</v>
      </c>
      <c r="CZ154" s="59">
        <f t="shared" si="1113"/>
        <v>45119.657582999993</v>
      </c>
      <c r="DA154" s="55">
        <f>+CA154*EH154</f>
        <v>13284.671399999997</v>
      </c>
      <c r="DB154" s="59">
        <f t="shared" si="1114"/>
        <v>43916.46671411999</v>
      </c>
      <c r="DC154" s="60">
        <f>+CA154*EI154</f>
        <v>12920.707799999998</v>
      </c>
      <c r="DD154" s="59">
        <f t="shared" si="1115"/>
        <v>42713.275845239994</v>
      </c>
      <c r="DE154" s="60">
        <f>+CA154*EJ154</f>
        <v>12556.744199999997</v>
      </c>
      <c r="DF154" s="59">
        <f t="shared" si="1116"/>
        <v>41510.084976359991</v>
      </c>
      <c r="DG154" s="60">
        <f>+CA154*EK154</f>
        <v>12192.780599999996</v>
      </c>
      <c r="DH154" s="59">
        <f t="shared" si="1117"/>
        <v>40306.894107479988</v>
      </c>
      <c r="DI154" s="60">
        <f>+CA154*EL154</f>
        <v>11828.816999999997</v>
      </c>
      <c r="DJ154" s="59">
        <f t="shared" si="1118"/>
        <v>39103.703238599992</v>
      </c>
      <c r="DK154" s="55">
        <f>+CA154*EM154</f>
        <v>11464.853399999996</v>
      </c>
      <c r="DL154" s="59">
        <f t="shared" si="1119"/>
        <v>37900.512369719989</v>
      </c>
      <c r="DM154" s="60">
        <f>+CA154*EN154</f>
        <v>11100.889799999995</v>
      </c>
      <c r="DN154" s="59">
        <f t="shared" si="1120"/>
        <v>36697.321500839986</v>
      </c>
      <c r="DO154" s="60">
        <f>+CA154*EO154</f>
        <v>10736.926199999996</v>
      </c>
      <c r="DP154" s="59">
        <f t="shared" si="1121"/>
        <v>35494.13063195999</v>
      </c>
      <c r="DQ154" s="55">
        <f>+CA154*EP154</f>
        <v>10372.962599999995</v>
      </c>
      <c r="DR154" s="59">
        <f t="shared" si="1122"/>
        <v>34290.939763079987</v>
      </c>
      <c r="DU154" s="55">
        <v>1</v>
      </c>
      <c r="DV154" s="55">
        <v>0.97</v>
      </c>
      <c r="DW154" s="55">
        <v>0.95</v>
      </c>
      <c r="DX154" s="55">
        <v>0.93</v>
      </c>
      <c r="DY154" s="55">
        <f t="shared" ref="DY154:EP155" si="1149">+DX154-0.02</f>
        <v>0.91</v>
      </c>
      <c r="DZ154" s="55">
        <f t="shared" si="1149"/>
        <v>0.89</v>
      </c>
      <c r="EA154" s="55">
        <f t="shared" si="1149"/>
        <v>0.87</v>
      </c>
      <c r="EB154" s="55">
        <f t="shared" si="1149"/>
        <v>0.85</v>
      </c>
      <c r="EC154" s="55">
        <f t="shared" si="1149"/>
        <v>0.83</v>
      </c>
      <c r="ED154" s="55">
        <f t="shared" si="1149"/>
        <v>0.80999999999999994</v>
      </c>
      <c r="EE154" s="55">
        <f t="shared" si="1149"/>
        <v>0.78999999999999992</v>
      </c>
      <c r="EF154" s="55">
        <f t="shared" si="1149"/>
        <v>0.76999999999999991</v>
      </c>
      <c r="EG154" s="55">
        <f t="shared" si="1149"/>
        <v>0.74999999999999989</v>
      </c>
      <c r="EH154" s="55">
        <f t="shared" si="1149"/>
        <v>0.72999999999999987</v>
      </c>
      <c r="EI154" s="55">
        <f t="shared" si="1149"/>
        <v>0.70999999999999985</v>
      </c>
      <c r="EJ154" s="55">
        <f t="shared" si="1149"/>
        <v>0.68999999999999984</v>
      </c>
      <c r="EK154" s="55">
        <f t="shared" si="1149"/>
        <v>0.66999999999999982</v>
      </c>
      <c r="EL154" s="55">
        <f t="shared" si="1149"/>
        <v>0.6499999999999998</v>
      </c>
      <c r="EM154" s="55">
        <f t="shared" si="1149"/>
        <v>0.62999999999999978</v>
      </c>
      <c r="EN154" s="55">
        <f t="shared" si="1149"/>
        <v>0.60999999999999976</v>
      </c>
      <c r="EO154" s="55">
        <f t="shared" si="1149"/>
        <v>0.58999999999999975</v>
      </c>
      <c r="EP154" s="55">
        <f t="shared" si="1149"/>
        <v>0.56999999999999973</v>
      </c>
      <c r="ER154" s="55">
        <f t="shared" si="648"/>
        <v>16560.343800000002</v>
      </c>
      <c r="ES154" s="55">
        <f t="shared" si="1070"/>
        <v>16560.343800000002</v>
      </c>
      <c r="ET154" s="59">
        <f t="shared" si="1123"/>
        <v>54745.18453404001</v>
      </c>
      <c r="EU154" s="55">
        <f t="shared" si="1124"/>
        <v>16063.533486000002</v>
      </c>
      <c r="EV154" s="59">
        <f t="shared" si="1125"/>
        <v>53102.828998018806</v>
      </c>
      <c r="EW154" s="55">
        <f t="shared" si="1126"/>
        <v>15732.326610000002</v>
      </c>
      <c r="EX154" s="59">
        <f t="shared" si="1127"/>
        <v>52007.92530733801</v>
      </c>
      <c r="EY154" s="55">
        <f>+ES154*GP154</f>
        <v>15401.119734000004</v>
      </c>
      <c r="EZ154" s="59">
        <f t="shared" si="1128"/>
        <v>50913.021616657214</v>
      </c>
      <c r="FA154" s="57">
        <f>+ES154*GQ154</f>
        <v>15069.912858000003</v>
      </c>
      <c r="FB154" s="59">
        <f t="shared" si="1129"/>
        <v>49818.11792597641</v>
      </c>
      <c r="FC154" s="55">
        <f>+ES154*GR154</f>
        <v>14738.705982000003</v>
      </c>
      <c r="FD154" s="59">
        <f t="shared" si="1130"/>
        <v>48723.214235295614</v>
      </c>
      <c r="FE154" s="57">
        <f>+ES154*GS154</f>
        <v>14407.499106000001</v>
      </c>
      <c r="FF154" s="59">
        <f t="shared" si="1131"/>
        <v>47628.310544614804</v>
      </c>
      <c r="FG154" s="60">
        <f>+ES154*GT154</f>
        <v>14076.292230000001</v>
      </c>
      <c r="FH154" s="59">
        <f t="shared" si="1132"/>
        <v>46533.406853934001</v>
      </c>
      <c r="FI154" s="57">
        <f>+ES154*GU154</f>
        <v>13745.085354000001</v>
      </c>
      <c r="FJ154" s="59">
        <f t="shared" si="1133"/>
        <v>45438.503163253205</v>
      </c>
      <c r="FK154" s="55">
        <f>+ES154*GV154</f>
        <v>13413.878478000001</v>
      </c>
      <c r="FL154" s="59">
        <f t="shared" si="1134"/>
        <v>44343.599472572401</v>
      </c>
      <c r="FM154" s="60">
        <f>+ES154*GW154</f>
        <v>13082.671602</v>
      </c>
      <c r="FN154" s="59">
        <f t="shared" si="1135"/>
        <v>43248.695781891605</v>
      </c>
      <c r="FO154" s="60">
        <f>+ES154*GX154</f>
        <v>12751.464726</v>
      </c>
      <c r="FP154" s="59">
        <f t="shared" si="1136"/>
        <v>42153.792091210802</v>
      </c>
      <c r="FQ154" s="60">
        <f>+ES154*GY154</f>
        <v>12420.25785</v>
      </c>
      <c r="FR154" s="59">
        <f t="shared" si="1137"/>
        <v>41058.888400529999</v>
      </c>
      <c r="FS154" s="55">
        <f>+ES154*GZ154</f>
        <v>12089.050974</v>
      </c>
      <c r="FT154" s="59">
        <f t="shared" si="1138"/>
        <v>39963.984709849203</v>
      </c>
      <c r="FU154" s="60">
        <f>+ES154*HA154</f>
        <v>11757.844098</v>
      </c>
      <c r="FV154" s="59">
        <f t="shared" si="1139"/>
        <v>38869.0810191684</v>
      </c>
      <c r="FW154" s="60">
        <f>+ES154*HB154</f>
        <v>11426.637221999999</v>
      </c>
      <c r="FX154" s="59">
        <f t="shared" si="1140"/>
        <v>37774.177328487596</v>
      </c>
      <c r="FY154" s="60">
        <f>+ES154*HC154</f>
        <v>11095.430345999999</v>
      </c>
      <c r="FZ154" s="59">
        <f t="shared" si="1141"/>
        <v>36679.2736378068</v>
      </c>
      <c r="GA154" s="60">
        <f>+ES154*HD154</f>
        <v>10764.223469999999</v>
      </c>
      <c r="GB154" s="59">
        <f t="shared" si="1142"/>
        <v>35584.369947125997</v>
      </c>
      <c r="GC154" s="55">
        <f>+ES154*HE154</f>
        <v>10433.016593999997</v>
      </c>
      <c r="GD154" s="59">
        <f t="shared" si="1143"/>
        <v>34489.466256445194</v>
      </c>
      <c r="GE154" s="60">
        <f>+ES154*HF154</f>
        <v>10101.809717999997</v>
      </c>
      <c r="GF154" s="59">
        <f t="shared" si="1144"/>
        <v>33394.56256576439</v>
      </c>
      <c r="GG154" s="60">
        <f>+ES154*HG154</f>
        <v>9770.6028419999966</v>
      </c>
      <c r="GH154" s="59">
        <f t="shared" si="1145"/>
        <v>32299.658875083591</v>
      </c>
      <c r="GI154" s="55">
        <f>+ES154*HH154</f>
        <v>9439.3959659999964</v>
      </c>
      <c r="GJ154" s="59">
        <f t="shared" si="1146"/>
        <v>31204.755184402788</v>
      </c>
      <c r="GK154" s="55"/>
      <c r="GL154" s="55"/>
      <c r="GM154" s="55">
        <v>1</v>
      </c>
      <c r="GN154" s="55">
        <v>0.97</v>
      </c>
      <c r="GO154" s="55">
        <v>0.95</v>
      </c>
      <c r="GP154" s="55">
        <v>0.93</v>
      </c>
      <c r="GQ154" s="55">
        <f t="shared" ref="GQ154:HH155" si="1150">+GP154-0.02</f>
        <v>0.91</v>
      </c>
      <c r="GR154" s="55">
        <f t="shared" si="1150"/>
        <v>0.89</v>
      </c>
      <c r="GS154" s="55">
        <f t="shared" si="1150"/>
        <v>0.87</v>
      </c>
      <c r="GT154" s="55">
        <f t="shared" si="1150"/>
        <v>0.85</v>
      </c>
      <c r="GU154" s="55">
        <f t="shared" si="1150"/>
        <v>0.83</v>
      </c>
      <c r="GV154" s="55">
        <f t="shared" si="1150"/>
        <v>0.80999999999999994</v>
      </c>
      <c r="GW154" s="55">
        <f t="shared" si="1150"/>
        <v>0.78999999999999992</v>
      </c>
      <c r="GX154" s="55">
        <f t="shared" si="1150"/>
        <v>0.76999999999999991</v>
      </c>
      <c r="GY154" s="55">
        <f t="shared" si="1150"/>
        <v>0.74999999999999989</v>
      </c>
      <c r="GZ154" s="55">
        <f t="shared" si="1150"/>
        <v>0.72999999999999987</v>
      </c>
      <c r="HA154" s="55">
        <f t="shared" si="1150"/>
        <v>0.70999999999999985</v>
      </c>
      <c r="HB154" s="55">
        <f t="shared" si="1150"/>
        <v>0.68999999999999984</v>
      </c>
      <c r="HC154" s="55">
        <f t="shared" si="1150"/>
        <v>0.66999999999999982</v>
      </c>
      <c r="HD154" s="55">
        <f t="shared" si="1150"/>
        <v>0.6499999999999998</v>
      </c>
      <c r="HE154" s="55">
        <f t="shared" si="1150"/>
        <v>0.62999999999999978</v>
      </c>
      <c r="HF154" s="55">
        <f t="shared" si="1150"/>
        <v>0.60999999999999976</v>
      </c>
      <c r="HG154" s="55">
        <f t="shared" si="1150"/>
        <v>0.58999999999999975</v>
      </c>
      <c r="HH154" s="55">
        <f t="shared" si="1150"/>
        <v>0.56999999999999973</v>
      </c>
    </row>
    <row r="155" spans="1:216" x14ac:dyDescent="0.3">
      <c r="A155" s="2">
        <v>5</v>
      </c>
      <c r="C155" s="27" t="s">
        <v>113</v>
      </c>
      <c r="D155" s="39">
        <f>SUM(D151:D154)</f>
        <v>35700</v>
      </c>
      <c r="E155" s="39">
        <f>SUM(E150:E154)</f>
        <v>118010</v>
      </c>
      <c r="H155" s="55">
        <f t="shared" si="1065"/>
        <v>129811.00000000001</v>
      </c>
      <c r="I155" s="55">
        <f t="shared" si="1066"/>
        <v>129811.00000000001</v>
      </c>
      <c r="J155" s="59">
        <f t="shared" si="1067"/>
        <v>429129.20380000008</v>
      </c>
      <c r="K155" s="55">
        <f t="shared" si="1075"/>
        <v>125916.67000000001</v>
      </c>
      <c r="L155" s="59">
        <f t="shared" si="1076"/>
        <v>416255.32768600003</v>
      </c>
      <c r="M155" s="55">
        <f t="shared" si="1077"/>
        <v>123320.45000000001</v>
      </c>
      <c r="N155" s="59">
        <f t="shared" si="1078"/>
        <v>407672.74361000006</v>
      </c>
      <c r="O155" s="55">
        <f>+I155*BF155</f>
        <v>120724.23000000003</v>
      </c>
      <c r="P155" s="59">
        <f t="shared" si="1079"/>
        <v>399090.15953400009</v>
      </c>
      <c r="Q155" s="57">
        <f>+I155*BG155</f>
        <v>118128.01000000002</v>
      </c>
      <c r="R155" s="59">
        <f t="shared" si="1080"/>
        <v>390507.57545800006</v>
      </c>
      <c r="S155" s="55">
        <f>+I155*BH155</f>
        <v>115531.79000000001</v>
      </c>
      <c r="T155" s="59">
        <f t="shared" si="1081"/>
        <v>381924.99138200004</v>
      </c>
      <c r="U155" s="57">
        <f>+I155*BI155</f>
        <v>112935.57</v>
      </c>
      <c r="V155" s="59">
        <f t="shared" si="1082"/>
        <v>373342.40730600001</v>
      </c>
      <c r="W155" s="60">
        <f>+I155*BJ155</f>
        <v>110339.35</v>
      </c>
      <c r="X155" s="59">
        <f t="shared" si="1083"/>
        <v>364759.82323000004</v>
      </c>
      <c r="Y155" s="57">
        <f>+I155*BK155</f>
        <v>107743.13</v>
      </c>
      <c r="Z155" s="59">
        <f t="shared" si="1084"/>
        <v>356177.23915400001</v>
      </c>
      <c r="AA155" s="55">
        <f>+I155*BL155</f>
        <v>105146.91</v>
      </c>
      <c r="AB155" s="59">
        <f t="shared" si="1085"/>
        <v>347594.65507800004</v>
      </c>
      <c r="AC155" s="60">
        <f>+I155*BM155</f>
        <v>102550.69</v>
      </c>
      <c r="AD155" s="59">
        <f t="shared" si="1086"/>
        <v>339012.07100200001</v>
      </c>
      <c r="AE155" s="60">
        <f>+I155*BN155</f>
        <v>99954.47</v>
      </c>
      <c r="AF155" s="59">
        <f t="shared" si="1087"/>
        <v>330429.48692599998</v>
      </c>
      <c r="AG155" s="60">
        <f>+I155*BO155</f>
        <v>97358.25</v>
      </c>
      <c r="AH155" s="59">
        <f t="shared" si="1088"/>
        <v>321846.90285000001</v>
      </c>
      <c r="AI155" s="55">
        <f>+I155*BP155</f>
        <v>94762.03</v>
      </c>
      <c r="AJ155" s="59">
        <f t="shared" si="1089"/>
        <v>313264.31877399998</v>
      </c>
      <c r="AK155" s="60">
        <f>+I155*BQ155</f>
        <v>92165.81</v>
      </c>
      <c r="AL155" s="59">
        <f t="shared" si="1090"/>
        <v>304681.73469800001</v>
      </c>
      <c r="AM155" s="60">
        <f>+I155*BR155</f>
        <v>89569.589999999982</v>
      </c>
      <c r="AN155" s="59">
        <f t="shared" si="1091"/>
        <v>296099.15062199993</v>
      </c>
      <c r="AO155" s="60">
        <f>+I155*BS155</f>
        <v>86973.369999999981</v>
      </c>
      <c r="AP155" s="59">
        <f t="shared" si="1092"/>
        <v>287516.56654599996</v>
      </c>
      <c r="AQ155" s="60">
        <f>+I155*BT155</f>
        <v>84377.14999999998</v>
      </c>
      <c r="AR155" s="59">
        <f t="shared" si="1093"/>
        <v>278933.98246999993</v>
      </c>
      <c r="AS155" s="55">
        <f>+I155*BU155</f>
        <v>81780.929999999978</v>
      </c>
      <c r="AT155" s="59">
        <f t="shared" si="1094"/>
        <v>270351.39839399996</v>
      </c>
      <c r="AU155" s="60">
        <f>+I155*BV155</f>
        <v>79184.709999999977</v>
      </c>
      <c r="AV155" s="59">
        <f t="shared" si="1095"/>
        <v>261768.81431799993</v>
      </c>
      <c r="AW155" s="60">
        <f>+I155*BW155</f>
        <v>76588.489999999976</v>
      </c>
      <c r="AX155" s="59">
        <f t="shared" si="1096"/>
        <v>253186.23024199993</v>
      </c>
      <c r="AY155" s="55">
        <f>+I155*BX155</f>
        <v>73992.269999999975</v>
      </c>
      <c r="AZ155" s="59">
        <f t="shared" si="1097"/>
        <v>244603.64616599993</v>
      </c>
      <c r="BC155" s="55">
        <v>1</v>
      </c>
      <c r="BD155" s="55">
        <v>0.97</v>
      </c>
      <c r="BE155" s="55">
        <v>0.95</v>
      </c>
      <c r="BF155" s="55">
        <v>0.93</v>
      </c>
      <c r="BG155" s="55">
        <f t="shared" si="1098"/>
        <v>0.91</v>
      </c>
      <c r="BH155" s="55">
        <f t="shared" si="1098"/>
        <v>0.89</v>
      </c>
      <c r="BI155" s="55">
        <f t="shared" si="1098"/>
        <v>0.87</v>
      </c>
      <c r="BJ155" s="55">
        <f t="shared" si="1098"/>
        <v>0.85</v>
      </c>
      <c r="BK155" s="55">
        <f t="shared" si="1098"/>
        <v>0.83</v>
      </c>
      <c r="BL155" s="55">
        <f t="shared" si="1098"/>
        <v>0.80999999999999994</v>
      </c>
      <c r="BM155" s="55">
        <f t="shared" si="1098"/>
        <v>0.78999999999999992</v>
      </c>
      <c r="BN155" s="55">
        <f t="shared" si="1098"/>
        <v>0.76999999999999991</v>
      </c>
      <c r="BO155" s="55">
        <f t="shared" si="1098"/>
        <v>0.74999999999999989</v>
      </c>
      <c r="BP155" s="55">
        <f t="shared" si="1098"/>
        <v>0.72999999999999987</v>
      </c>
      <c r="BQ155" s="55">
        <f t="shared" si="1098"/>
        <v>0.70999999999999985</v>
      </c>
      <c r="BR155" s="55">
        <f t="shared" si="1098"/>
        <v>0.68999999999999984</v>
      </c>
      <c r="BS155" s="55">
        <f t="shared" si="1098"/>
        <v>0.66999999999999982</v>
      </c>
      <c r="BT155" s="55">
        <f t="shared" si="1098"/>
        <v>0.6499999999999998</v>
      </c>
      <c r="BU155" s="55">
        <f t="shared" si="1098"/>
        <v>0.62999999999999978</v>
      </c>
      <c r="BV155" s="55">
        <f t="shared" si="1098"/>
        <v>0.60999999999999976</v>
      </c>
      <c r="BW155" s="55">
        <f t="shared" si="1098"/>
        <v>0.58999999999999975</v>
      </c>
      <c r="BX155" s="55">
        <f t="shared" si="1098"/>
        <v>0.56999999999999973</v>
      </c>
      <c r="BZ155" s="55">
        <f t="shared" si="1068"/>
        <v>118128.01000000002</v>
      </c>
      <c r="CA155" s="55">
        <f t="shared" si="1069"/>
        <v>118128.01000000002</v>
      </c>
      <c r="CB155" s="59">
        <f t="shared" si="1099"/>
        <v>390507.57545800006</v>
      </c>
      <c r="CC155" s="55">
        <f t="shared" si="1100"/>
        <v>114584.16970000001</v>
      </c>
      <c r="CD155" s="59">
        <f t="shared" si="1101"/>
        <v>378792.34819426003</v>
      </c>
      <c r="CE155" s="55">
        <f t="shared" si="1102"/>
        <v>112221.60950000002</v>
      </c>
      <c r="CF155" s="59">
        <f t="shared" si="1103"/>
        <v>370982.19668510009</v>
      </c>
      <c r="CG155" s="55">
        <f>+CA155*DX155</f>
        <v>109859.04930000003</v>
      </c>
      <c r="CH155" s="59">
        <f t="shared" si="1104"/>
        <v>363172.04517594009</v>
      </c>
      <c r="CI155" s="57">
        <f>+CA155*DY155</f>
        <v>107496.48910000002</v>
      </c>
      <c r="CJ155" s="59">
        <f t="shared" si="1105"/>
        <v>355361.89366678009</v>
      </c>
      <c r="CK155" s="55">
        <f>+CA155*DZ155</f>
        <v>105133.92890000003</v>
      </c>
      <c r="CL155" s="59">
        <f t="shared" si="1106"/>
        <v>347551.74215762009</v>
      </c>
      <c r="CM155" s="57">
        <f>+CA155*EA155</f>
        <v>102771.36870000002</v>
      </c>
      <c r="CN155" s="59">
        <f t="shared" si="1107"/>
        <v>339741.59064846009</v>
      </c>
      <c r="CO155" s="60">
        <f>+CA155*EB155</f>
        <v>100408.80850000001</v>
      </c>
      <c r="CP155" s="59">
        <f t="shared" si="1108"/>
        <v>331931.43913930003</v>
      </c>
      <c r="CQ155" s="57">
        <f>+CA155*EC155</f>
        <v>98046.248300000021</v>
      </c>
      <c r="CR155" s="59">
        <f t="shared" si="1109"/>
        <v>324121.28763014008</v>
      </c>
      <c r="CS155" s="55">
        <f>+CA155*ED155</f>
        <v>95683.688100000014</v>
      </c>
      <c r="CT155" s="59">
        <f t="shared" si="1110"/>
        <v>316311.13612098008</v>
      </c>
      <c r="CU155" s="60">
        <f>+CA155*EE155</f>
        <v>93321.127900000007</v>
      </c>
      <c r="CV155" s="59">
        <f t="shared" si="1111"/>
        <v>308500.98461182002</v>
      </c>
      <c r="CW155" s="60">
        <f>+CA155*EF155</f>
        <v>90958.567700000014</v>
      </c>
      <c r="CX155" s="59">
        <f t="shared" si="1112"/>
        <v>300690.83310266008</v>
      </c>
      <c r="CY155" s="60">
        <f>+CA155*EG155</f>
        <v>88596.007500000007</v>
      </c>
      <c r="CZ155" s="59">
        <f t="shared" si="1113"/>
        <v>292880.68159350002</v>
      </c>
      <c r="DA155" s="55">
        <f>+CA155*EH155</f>
        <v>86233.4473</v>
      </c>
      <c r="DB155" s="59">
        <f t="shared" si="1114"/>
        <v>285070.53008434002</v>
      </c>
      <c r="DC155" s="60">
        <f>+CA155*EI155</f>
        <v>83870.887099999993</v>
      </c>
      <c r="DD155" s="59">
        <f t="shared" si="1115"/>
        <v>277260.37857517996</v>
      </c>
      <c r="DE155" s="60">
        <f>+CA155*EJ155</f>
        <v>81508.3269</v>
      </c>
      <c r="DF155" s="59">
        <f t="shared" si="1116"/>
        <v>269450.22706602002</v>
      </c>
      <c r="DG155" s="60">
        <f>+CA155*EK155</f>
        <v>79145.766699999993</v>
      </c>
      <c r="DH155" s="59">
        <f t="shared" si="1117"/>
        <v>261640.07555685999</v>
      </c>
      <c r="DI155" s="60">
        <f>+CA155*EL155</f>
        <v>76783.206499999986</v>
      </c>
      <c r="DJ155" s="59">
        <f t="shared" si="1118"/>
        <v>253829.92404769995</v>
      </c>
      <c r="DK155" s="55">
        <f>+CA155*EM155</f>
        <v>74420.646299999993</v>
      </c>
      <c r="DL155" s="59">
        <f t="shared" si="1119"/>
        <v>246019.77253853998</v>
      </c>
      <c r="DM155" s="60">
        <f>+CA155*EN155</f>
        <v>72058.086099999986</v>
      </c>
      <c r="DN155" s="59">
        <f t="shared" si="1120"/>
        <v>238209.62102937995</v>
      </c>
      <c r="DO155" s="60">
        <f>+CA155*EO155</f>
        <v>69695.525899999979</v>
      </c>
      <c r="DP155" s="59">
        <f t="shared" si="1121"/>
        <v>230399.46952021992</v>
      </c>
      <c r="DQ155" s="55">
        <f>+CA155*EP155</f>
        <v>67332.965699999986</v>
      </c>
      <c r="DR155" s="59">
        <f t="shared" si="1122"/>
        <v>222589.31801105995</v>
      </c>
      <c r="DU155" s="55">
        <v>1</v>
      </c>
      <c r="DV155" s="55">
        <v>0.97</v>
      </c>
      <c r="DW155" s="55">
        <v>0.95</v>
      </c>
      <c r="DX155" s="55">
        <v>0.93</v>
      </c>
      <c r="DY155" s="55">
        <f t="shared" si="1149"/>
        <v>0.91</v>
      </c>
      <c r="DZ155" s="55">
        <f t="shared" si="1149"/>
        <v>0.89</v>
      </c>
      <c r="EA155" s="55">
        <f t="shared" si="1149"/>
        <v>0.87</v>
      </c>
      <c r="EB155" s="55">
        <f t="shared" si="1149"/>
        <v>0.85</v>
      </c>
      <c r="EC155" s="55">
        <f t="shared" si="1149"/>
        <v>0.83</v>
      </c>
      <c r="ED155" s="55">
        <f t="shared" si="1149"/>
        <v>0.80999999999999994</v>
      </c>
      <c r="EE155" s="55">
        <f t="shared" si="1149"/>
        <v>0.78999999999999992</v>
      </c>
      <c r="EF155" s="55">
        <f t="shared" si="1149"/>
        <v>0.76999999999999991</v>
      </c>
      <c r="EG155" s="55">
        <f t="shared" si="1149"/>
        <v>0.74999999999999989</v>
      </c>
      <c r="EH155" s="55">
        <f t="shared" si="1149"/>
        <v>0.72999999999999987</v>
      </c>
      <c r="EI155" s="55">
        <f t="shared" si="1149"/>
        <v>0.70999999999999985</v>
      </c>
      <c r="EJ155" s="55">
        <f t="shared" si="1149"/>
        <v>0.68999999999999984</v>
      </c>
      <c r="EK155" s="55">
        <f t="shared" si="1149"/>
        <v>0.66999999999999982</v>
      </c>
      <c r="EL155" s="55">
        <f t="shared" si="1149"/>
        <v>0.6499999999999998</v>
      </c>
      <c r="EM155" s="55">
        <f t="shared" si="1149"/>
        <v>0.62999999999999978</v>
      </c>
      <c r="EN155" s="55">
        <f t="shared" si="1149"/>
        <v>0.60999999999999976</v>
      </c>
      <c r="EO155" s="55">
        <f t="shared" si="1149"/>
        <v>0.58999999999999975</v>
      </c>
      <c r="EP155" s="55">
        <f t="shared" si="1149"/>
        <v>0.56999999999999973</v>
      </c>
      <c r="ER155" s="55">
        <f t="shared" si="648"/>
        <v>107496.48910000002</v>
      </c>
      <c r="ES155" s="55">
        <f t="shared" si="1070"/>
        <v>107496.48910000002</v>
      </c>
      <c r="ET155" s="59">
        <f t="shared" si="1123"/>
        <v>355361.89366678009</v>
      </c>
      <c r="EU155" s="55">
        <f t="shared" si="1124"/>
        <v>104271.59442700002</v>
      </c>
      <c r="EV155" s="59">
        <f t="shared" si="1125"/>
        <v>344701.03685677669</v>
      </c>
      <c r="EW155" s="55">
        <f t="shared" si="1126"/>
        <v>102121.66464500001</v>
      </c>
      <c r="EX155" s="59">
        <f t="shared" si="1127"/>
        <v>337593.79898344103</v>
      </c>
      <c r="EY155" s="55">
        <f>+ES155*GP155</f>
        <v>99971.73486300002</v>
      </c>
      <c r="EZ155" s="59">
        <f t="shared" si="1128"/>
        <v>330486.56111010548</v>
      </c>
      <c r="FA155" s="57">
        <f>+ES155*GQ155</f>
        <v>97821.805081000028</v>
      </c>
      <c r="FB155" s="59">
        <f t="shared" si="1129"/>
        <v>323379.32323676988</v>
      </c>
      <c r="FC155" s="55">
        <f>+ES155*GR155</f>
        <v>95671.875299000021</v>
      </c>
      <c r="FD155" s="59">
        <f t="shared" si="1130"/>
        <v>316272.08536343428</v>
      </c>
      <c r="FE155" s="57">
        <f>+ES155*GS155</f>
        <v>93521.945517000015</v>
      </c>
      <c r="FF155" s="59">
        <f t="shared" si="1131"/>
        <v>309164.84749009868</v>
      </c>
      <c r="FG155" s="60">
        <f>+ES155*GT155</f>
        <v>91372.015735000008</v>
      </c>
      <c r="FH155" s="59">
        <f t="shared" si="1132"/>
        <v>302057.60961676302</v>
      </c>
      <c r="FI155" s="57">
        <f>+ES155*GU155</f>
        <v>89222.085953000016</v>
      </c>
      <c r="FJ155" s="59">
        <f t="shared" si="1133"/>
        <v>294950.37174342747</v>
      </c>
      <c r="FK155" s="55">
        <f>+ES155*GV155</f>
        <v>87072.15617100001</v>
      </c>
      <c r="FL155" s="59">
        <f t="shared" si="1134"/>
        <v>287843.13387009181</v>
      </c>
      <c r="FM155" s="60">
        <f>+ES155*GW155</f>
        <v>84922.226389000003</v>
      </c>
      <c r="FN155" s="59">
        <f t="shared" si="1135"/>
        <v>280735.89599675621</v>
      </c>
      <c r="FO155" s="60">
        <f>+ES155*GX155</f>
        <v>82772.296607000011</v>
      </c>
      <c r="FP155" s="59">
        <f t="shared" si="1136"/>
        <v>273628.65812342067</v>
      </c>
      <c r="FQ155" s="60">
        <f>+ES155*GY155</f>
        <v>80622.366825000005</v>
      </c>
      <c r="FR155" s="59">
        <f t="shared" si="1137"/>
        <v>266521.42025008501</v>
      </c>
      <c r="FS155" s="55">
        <f>+ES155*GZ155</f>
        <v>78472.437042999998</v>
      </c>
      <c r="FT155" s="59">
        <f t="shared" si="1138"/>
        <v>259414.18237674941</v>
      </c>
      <c r="FU155" s="60">
        <f>+ES155*HA155</f>
        <v>76322.507261000006</v>
      </c>
      <c r="FV155" s="59">
        <f t="shared" si="1139"/>
        <v>252306.94450341383</v>
      </c>
      <c r="FW155" s="60">
        <f>+ES155*HB155</f>
        <v>74172.577479</v>
      </c>
      <c r="FX155" s="59">
        <f t="shared" si="1140"/>
        <v>245199.7066300782</v>
      </c>
      <c r="FY155" s="60">
        <f>+ES155*HC155</f>
        <v>72022.647696999993</v>
      </c>
      <c r="FZ155" s="59">
        <f t="shared" si="1141"/>
        <v>238092.46875674257</v>
      </c>
      <c r="GA155" s="60">
        <f>+ES155*HD155</f>
        <v>69872.717914999987</v>
      </c>
      <c r="GB155" s="59">
        <f t="shared" si="1142"/>
        <v>230985.23088340697</v>
      </c>
      <c r="GC155" s="55">
        <f>+ES155*HE155</f>
        <v>67722.788132999995</v>
      </c>
      <c r="GD155" s="59">
        <f t="shared" si="1143"/>
        <v>223877.9930100714</v>
      </c>
      <c r="GE155" s="60">
        <f>+ES155*HF155</f>
        <v>65572.858350999988</v>
      </c>
      <c r="GF155" s="59">
        <f t="shared" si="1144"/>
        <v>216770.75513673577</v>
      </c>
      <c r="GG155" s="60">
        <f>+ES155*HG155</f>
        <v>63422.928568999982</v>
      </c>
      <c r="GH155" s="59">
        <f t="shared" si="1145"/>
        <v>209663.51726340014</v>
      </c>
      <c r="GI155" s="55">
        <f>+ES155*HH155</f>
        <v>61272.998786999982</v>
      </c>
      <c r="GJ155" s="59">
        <f t="shared" si="1146"/>
        <v>202556.27939006453</v>
      </c>
      <c r="GK155" s="55"/>
      <c r="GL155" s="55"/>
      <c r="GM155" s="55">
        <v>1</v>
      </c>
      <c r="GN155" s="55">
        <v>0.97</v>
      </c>
      <c r="GO155" s="55">
        <v>0.95</v>
      </c>
      <c r="GP155" s="55">
        <v>0.93</v>
      </c>
      <c r="GQ155" s="55">
        <f t="shared" si="1150"/>
        <v>0.91</v>
      </c>
      <c r="GR155" s="55">
        <f t="shared" si="1150"/>
        <v>0.89</v>
      </c>
      <c r="GS155" s="55">
        <f t="shared" si="1150"/>
        <v>0.87</v>
      </c>
      <c r="GT155" s="55">
        <f t="shared" si="1150"/>
        <v>0.85</v>
      </c>
      <c r="GU155" s="55">
        <f t="shared" si="1150"/>
        <v>0.83</v>
      </c>
      <c r="GV155" s="55">
        <f t="shared" si="1150"/>
        <v>0.80999999999999994</v>
      </c>
      <c r="GW155" s="55">
        <f t="shared" si="1150"/>
        <v>0.78999999999999992</v>
      </c>
      <c r="GX155" s="55">
        <f t="shared" si="1150"/>
        <v>0.76999999999999991</v>
      </c>
      <c r="GY155" s="55">
        <f t="shared" si="1150"/>
        <v>0.74999999999999989</v>
      </c>
      <c r="GZ155" s="55">
        <f t="shared" si="1150"/>
        <v>0.72999999999999987</v>
      </c>
      <c r="HA155" s="55">
        <f t="shared" si="1150"/>
        <v>0.70999999999999985</v>
      </c>
      <c r="HB155" s="55">
        <f t="shared" si="1150"/>
        <v>0.68999999999999984</v>
      </c>
      <c r="HC155" s="55">
        <f t="shared" si="1150"/>
        <v>0.66999999999999982</v>
      </c>
      <c r="HD155" s="55">
        <f t="shared" si="1150"/>
        <v>0.6499999999999998</v>
      </c>
      <c r="HE155" s="55">
        <f t="shared" si="1150"/>
        <v>0.62999999999999978</v>
      </c>
      <c r="HF155" s="55">
        <f t="shared" si="1150"/>
        <v>0.60999999999999976</v>
      </c>
      <c r="HG155" s="55">
        <f t="shared" si="1150"/>
        <v>0.58999999999999975</v>
      </c>
      <c r="HH155" s="55">
        <f t="shared" si="1150"/>
        <v>0.56999999999999973</v>
      </c>
    </row>
    <row r="156" spans="1:216" x14ac:dyDescent="0.3">
      <c r="L156" s="56"/>
      <c r="N156" s="56"/>
      <c r="P156" s="56"/>
      <c r="R156" s="56"/>
      <c r="T156" s="56"/>
      <c r="V156" s="56"/>
      <c r="W156" s="60"/>
      <c r="X156" s="56"/>
      <c r="Z156" s="56"/>
      <c r="AB156" s="56"/>
      <c r="AC156" s="60"/>
      <c r="AD156" s="56"/>
      <c r="AE156" s="60"/>
      <c r="AF156" s="56"/>
      <c r="AG156" s="60"/>
      <c r="AH156" s="56"/>
      <c r="AJ156" s="56"/>
      <c r="AK156" s="60"/>
      <c r="AL156" s="56"/>
      <c r="AM156" s="60"/>
      <c r="AN156" s="56"/>
      <c r="AO156" s="60"/>
      <c r="AP156" s="56"/>
      <c r="AQ156" s="60"/>
      <c r="AR156" s="56"/>
      <c r="AT156" s="56"/>
      <c r="AU156" s="60"/>
      <c r="AV156" s="56"/>
      <c r="AW156" s="60"/>
      <c r="AX156" s="56"/>
      <c r="AZ156" s="56"/>
      <c r="CB156" s="56"/>
      <c r="CD156" s="56"/>
      <c r="CF156" s="56"/>
      <c r="CH156" s="56"/>
      <c r="CI156" s="57"/>
      <c r="CJ156" s="56"/>
      <c r="CL156" s="56"/>
      <c r="CM156" s="57"/>
      <c r="CN156" s="56"/>
      <c r="CO156" s="60"/>
      <c r="CP156" s="56"/>
      <c r="CQ156" s="57"/>
      <c r="CR156" s="56"/>
      <c r="CT156" s="56"/>
      <c r="CU156" s="60"/>
      <c r="CV156" s="56"/>
      <c r="CW156" s="60"/>
      <c r="CX156" s="56"/>
      <c r="CY156" s="60"/>
      <c r="CZ156" s="56"/>
      <c r="DB156" s="56"/>
      <c r="DC156" s="60"/>
      <c r="DD156" s="56"/>
      <c r="DE156" s="60"/>
      <c r="DF156" s="56"/>
      <c r="DG156" s="60"/>
      <c r="DH156" s="56"/>
      <c r="DI156" s="60"/>
      <c r="DJ156" s="56"/>
      <c r="DL156" s="56"/>
      <c r="DM156" s="60"/>
      <c r="DN156" s="56"/>
      <c r="DO156" s="60"/>
      <c r="DP156" s="56"/>
      <c r="DR156" s="56"/>
      <c r="ER156" s="55"/>
      <c r="ES156" s="55"/>
      <c r="ET156" s="56"/>
      <c r="EU156" s="55"/>
      <c r="EV156" s="56"/>
      <c r="EW156" s="55"/>
      <c r="EX156" s="56"/>
      <c r="EY156" s="55"/>
      <c r="EZ156" s="56"/>
      <c r="FA156" s="57"/>
      <c r="FB156" s="56"/>
      <c r="FC156" s="55"/>
      <c r="FD156" s="56"/>
      <c r="FE156" s="57"/>
      <c r="FF156" s="56"/>
      <c r="FG156" s="60"/>
      <c r="FH156" s="56"/>
      <c r="FI156" s="57"/>
      <c r="FJ156" s="56"/>
      <c r="FK156" s="55"/>
      <c r="FL156" s="56"/>
      <c r="FM156" s="60"/>
      <c r="FN156" s="56"/>
      <c r="FO156" s="60"/>
      <c r="FP156" s="56"/>
      <c r="FQ156" s="60"/>
      <c r="FR156" s="56"/>
      <c r="FS156" s="55"/>
      <c r="FT156" s="56"/>
      <c r="FU156" s="60"/>
      <c r="FV156" s="56"/>
      <c r="FW156" s="60"/>
      <c r="FX156" s="56"/>
      <c r="FY156" s="60"/>
      <c r="FZ156" s="56"/>
      <c r="GA156" s="60"/>
      <c r="GB156" s="56"/>
      <c r="GC156" s="55"/>
      <c r="GD156" s="56"/>
      <c r="GE156" s="60"/>
      <c r="GF156" s="56"/>
      <c r="GG156" s="60"/>
      <c r="GH156" s="56"/>
      <c r="GI156" s="55"/>
      <c r="GJ156" s="56"/>
      <c r="GK156" s="55"/>
      <c r="GL156" s="55"/>
      <c r="GM156" s="55"/>
      <c r="GN156" s="55"/>
      <c r="GO156" s="55"/>
      <c r="GP156" s="55"/>
      <c r="GQ156" s="55"/>
      <c r="GR156" s="55"/>
      <c r="GS156" s="55"/>
      <c r="GT156" s="55"/>
      <c r="GU156" s="55"/>
      <c r="GV156" s="55"/>
      <c r="GW156" s="55"/>
      <c r="GX156" s="55"/>
      <c r="GY156" s="55"/>
      <c r="GZ156" s="55"/>
      <c r="HA156" s="55"/>
      <c r="HB156" s="55"/>
      <c r="HC156" s="55"/>
      <c r="HD156" s="55"/>
      <c r="HE156" s="55"/>
      <c r="HF156" s="55"/>
      <c r="HG156" s="55"/>
      <c r="HH156" s="55"/>
    </row>
    <row r="157" spans="1:216" x14ac:dyDescent="0.3">
      <c r="L157" s="56"/>
      <c r="N157" s="56"/>
      <c r="P157" s="56"/>
      <c r="R157" s="56"/>
      <c r="T157" s="56"/>
      <c r="V157" s="56"/>
      <c r="W157" s="60"/>
      <c r="X157" s="56"/>
      <c r="Z157" s="56"/>
      <c r="AB157" s="56"/>
      <c r="AC157" s="60"/>
      <c r="AD157" s="56"/>
      <c r="AE157" s="60"/>
      <c r="AF157" s="56"/>
      <c r="AG157" s="60"/>
      <c r="AH157" s="56"/>
      <c r="AJ157" s="56"/>
      <c r="AK157" s="60"/>
      <c r="AL157" s="56"/>
      <c r="AM157" s="60"/>
      <c r="AN157" s="56"/>
      <c r="AO157" s="60"/>
      <c r="AP157" s="56"/>
      <c r="AQ157" s="60"/>
      <c r="AR157" s="56"/>
      <c r="AT157" s="56"/>
      <c r="AU157" s="60"/>
      <c r="AV157" s="56"/>
      <c r="AW157" s="60"/>
      <c r="AX157" s="56"/>
      <c r="AZ157" s="56"/>
      <c r="CB157" s="56"/>
      <c r="CD157" s="56"/>
      <c r="CF157" s="56"/>
      <c r="CH157" s="56"/>
      <c r="CI157" s="57"/>
      <c r="CJ157" s="56"/>
      <c r="CL157" s="56"/>
      <c r="CM157" s="57"/>
      <c r="CN157" s="56"/>
      <c r="CO157" s="60"/>
      <c r="CP157" s="56"/>
      <c r="CQ157" s="57"/>
      <c r="CR157" s="56"/>
      <c r="CT157" s="56"/>
      <c r="CU157" s="60"/>
      <c r="CV157" s="56"/>
      <c r="CW157" s="60"/>
      <c r="CX157" s="56"/>
      <c r="CY157" s="60"/>
      <c r="CZ157" s="56"/>
      <c r="DB157" s="56"/>
      <c r="DC157" s="60"/>
      <c r="DD157" s="56"/>
      <c r="DE157" s="60"/>
      <c r="DF157" s="56"/>
      <c r="DG157" s="60"/>
      <c r="DH157" s="56"/>
      <c r="DI157" s="60"/>
      <c r="DJ157" s="56"/>
      <c r="DL157" s="56"/>
      <c r="DM157" s="60"/>
      <c r="DN157" s="56"/>
      <c r="DO157" s="60"/>
      <c r="DP157" s="56"/>
      <c r="DR157" s="56"/>
      <c r="ER157" s="55"/>
      <c r="ES157" s="55"/>
      <c r="ET157" s="56"/>
      <c r="EU157" s="55"/>
      <c r="EV157" s="56"/>
      <c r="EW157" s="55"/>
      <c r="EX157" s="56"/>
      <c r="EY157" s="55"/>
      <c r="EZ157" s="56"/>
      <c r="FA157" s="57"/>
      <c r="FB157" s="56"/>
      <c r="FC157" s="55"/>
      <c r="FD157" s="56"/>
      <c r="FE157" s="57"/>
      <c r="FF157" s="56"/>
      <c r="FG157" s="60"/>
      <c r="FH157" s="56"/>
      <c r="FI157" s="57"/>
      <c r="FJ157" s="56"/>
      <c r="FK157" s="55"/>
      <c r="FL157" s="56"/>
      <c r="FM157" s="60"/>
      <c r="FN157" s="56"/>
      <c r="FO157" s="60"/>
      <c r="FP157" s="56"/>
      <c r="FQ157" s="60"/>
      <c r="FR157" s="56"/>
      <c r="FS157" s="55"/>
      <c r="FT157" s="56"/>
      <c r="FU157" s="60"/>
      <c r="FV157" s="56"/>
      <c r="FW157" s="60"/>
      <c r="FX157" s="56"/>
      <c r="FY157" s="60"/>
      <c r="FZ157" s="56"/>
      <c r="GA157" s="60"/>
      <c r="GB157" s="56"/>
      <c r="GC157" s="55"/>
      <c r="GD157" s="56"/>
      <c r="GE157" s="60"/>
      <c r="GF157" s="56"/>
      <c r="GG157" s="60"/>
      <c r="GH157" s="56"/>
      <c r="GI157" s="55"/>
      <c r="GJ157" s="56"/>
      <c r="GK157" s="55"/>
      <c r="GL157" s="55"/>
      <c r="GM157" s="55"/>
      <c r="GN157" s="55"/>
      <c r="GO157" s="55"/>
      <c r="GP157" s="55"/>
      <c r="GQ157" s="55"/>
      <c r="GR157" s="55"/>
      <c r="GS157" s="55"/>
      <c r="GT157" s="55"/>
      <c r="GU157" s="55"/>
      <c r="GV157" s="55"/>
      <c r="GW157" s="55"/>
      <c r="GX157" s="55"/>
      <c r="GY157" s="55"/>
      <c r="GZ157" s="55"/>
      <c r="HA157" s="55"/>
      <c r="HB157" s="55"/>
      <c r="HC157" s="55"/>
      <c r="HD157" s="55"/>
      <c r="HE157" s="55"/>
      <c r="HF157" s="55"/>
      <c r="HG157" s="55"/>
      <c r="HH157" s="55"/>
    </row>
    <row r="158" spans="1:216" x14ac:dyDescent="0.3">
      <c r="L158" s="56"/>
      <c r="N158" s="56"/>
      <c r="P158" s="56"/>
      <c r="R158" s="56"/>
      <c r="T158" s="56"/>
      <c r="V158" s="56"/>
      <c r="W158" s="60"/>
      <c r="X158" s="56"/>
      <c r="Z158" s="56"/>
      <c r="AB158" s="56"/>
      <c r="AC158" s="60"/>
      <c r="AD158" s="56"/>
      <c r="AE158" s="60"/>
      <c r="AF158" s="56"/>
      <c r="AG158" s="60"/>
      <c r="AH158" s="56"/>
      <c r="AJ158" s="56"/>
      <c r="AK158" s="60"/>
      <c r="AL158" s="56"/>
      <c r="AM158" s="60"/>
      <c r="AN158" s="56"/>
      <c r="AO158" s="60"/>
      <c r="AP158" s="56"/>
      <c r="AQ158" s="60"/>
      <c r="AR158" s="56"/>
      <c r="AT158" s="56"/>
      <c r="AU158" s="60"/>
      <c r="AV158" s="56"/>
      <c r="AW158" s="60"/>
      <c r="AX158" s="56"/>
      <c r="AZ158" s="56"/>
      <c r="CB158" s="56"/>
      <c r="CD158" s="56"/>
      <c r="CF158" s="56"/>
      <c r="CH158" s="56"/>
      <c r="CI158" s="57"/>
      <c r="CJ158" s="56"/>
      <c r="CL158" s="56"/>
      <c r="CM158" s="57"/>
      <c r="CN158" s="56"/>
      <c r="CO158" s="60"/>
      <c r="CP158" s="56"/>
      <c r="CQ158" s="57"/>
      <c r="CR158" s="56"/>
      <c r="CT158" s="56"/>
      <c r="CU158" s="60"/>
      <c r="CV158" s="56"/>
      <c r="CW158" s="60"/>
      <c r="CX158" s="56"/>
      <c r="CY158" s="60"/>
      <c r="CZ158" s="56"/>
      <c r="DB158" s="56"/>
      <c r="DC158" s="60"/>
      <c r="DD158" s="56"/>
      <c r="DE158" s="60"/>
      <c r="DF158" s="56"/>
      <c r="DG158" s="60"/>
      <c r="DH158" s="56"/>
      <c r="DI158" s="60"/>
      <c r="DJ158" s="56"/>
      <c r="DL158" s="56"/>
      <c r="DM158" s="60"/>
      <c r="DN158" s="56"/>
      <c r="DO158" s="60"/>
      <c r="DP158" s="56"/>
      <c r="DR158" s="56"/>
      <c r="ER158" s="55"/>
      <c r="ES158" s="55"/>
      <c r="ET158" s="56"/>
      <c r="EU158" s="55"/>
      <c r="EV158" s="56"/>
      <c r="EW158" s="55"/>
      <c r="EX158" s="56"/>
      <c r="EY158" s="55"/>
      <c r="EZ158" s="56"/>
      <c r="FA158" s="57"/>
      <c r="FB158" s="56"/>
      <c r="FC158" s="55"/>
      <c r="FD158" s="56"/>
      <c r="FE158" s="57"/>
      <c r="FF158" s="56"/>
      <c r="FG158" s="60"/>
      <c r="FH158" s="56"/>
      <c r="FI158" s="57"/>
      <c r="FJ158" s="56"/>
      <c r="FK158" s="55"/>
      <c r="FL158" s="56"/>
      <c r="FM158" s="60"/>
      <c r="FN158" s="56"/>
      <c r="FO158" s="60"/>
      <c r="FP158" s="56"/>
      <c r="FQ158" s="60"/>
      <c r="FR158" s="56"/>
      <c r="FS158" s="55"/>
      <c r="FT158" s="56"/>
      <c r="FU158" s="60"/>
      <c r="FV158" s="56"/>
      <c r="FW158" s="60"/>
      <c r="FX158" s="56"/>
      <c r="FY158" s="60"/>
      <c r="FZ158" s="56"/>
      <c r="GA158" s="60"/>
      <c r="GB158" s="56"/>
      <c r="GC158" s="55"/>
      <c r="GD158" s="56"/>
      <c r="GE158" s="60"/>
      <c r="GF158" s="56"/>
      <c r="GG158" s="60"/>
      <c r="GH158" s="56"/>
      <c r="GI158" s="55"/>
      <c r="GJ158" s="56"/>
      <c r="GK158" s="55"/>
      <c r="GL158" s="55"/>
      <c r="GM158" s="55"/>
      <c r="GN158" s="55"/>
      <c r="GO158" s="55"/>
      <c r="GP158" s="55"/>
      <c r="GQ158" s="55"/>
      <c r="GR158" s="55"/>
      <c r="GS158" s="55"/>
      <c r="GT158" s="55"/>
      <c r="GU158" s="55"/>
      <c r="GV158" s="55"/>
      <c r="GW158" s="55"/>
      <c r="GX158" s="55"/>
      <c r="GY158" s="55"/>
      <c r="GZ158" s="55"/>
      <c r="HA158" s="55"/>
      <c r="HB158" s="55"/>
      <c r="HC158" s="55"/>
      <c r="HD158" s="55"/>
      <c r="HE158" s="55"/>
      <c r="HF158" s="55"/>
      <c r="HG158" s="55"/>
      <c r="HH158" s="55"/>
    </row>
    <row r="159" spans="1:216" x14ac:dyDescent="0.3">
      <c r="L159" s="56"/>
      <c r="N159" s="56"/>
      <c r="P159" s="56"/>
      <c r="R159" s="56"/>
      <c r="T159" s="56"/>
      <c r="V159" s="56"/>
      <c r="W159" s="60"/>
      <c r="X159" s="56"/>
      <c r="Z159" s="56"/>
      <c r="AB159" s="56"/>
      <c r="AC159" s="60"/>
      <c r="AD159" s="56"/>
      <c r="AE159" s="60"/>
      <c r="AF159" s="56"/>
      <c r="AG159" s="60"/>
      <c r="AH159" s="56"/>
      <c r="AJ159" s="56"/>
      <c r="AK159" s="60"/>
      <c r="AL159" s="56"/>
      <c r="AM159" s="60"/>
      <c r="AN159" s="56"/>
      <c r="AO159" s="60"/>
      <c r="AP159" s="56"/>
      <c r="AQ159" s="60"/>
      <c r="AR159" s="56"/>
      <c r="AT159" s="56"/>
      <c r="AU159" s="60"/>
      <c r="AV159" s="56"/>
      <c r="AW159" s="60"/>
      <c r="AX159" s="56"/>
      <c r="AZ159" s="56"/>
      <c r="CB159" s="56"/>
      <c r="CD159" s="56"/>
      <c r="CF159" s="56"/>
      <c r="CH159" s="56"/>
      <c r="CI159" s="57"/>
      <c r="CJ159" s="56"/>
      <c r="CL159" s="56"/>
      <c r="CM159" s="57"/>
      <c r="CN159" s="56"/>
      <c r="CO159" s="60"/>
      <c r="CP159" s="56"/>
      <c r="CQ159" s="57"/>
      <c r="CR159" s="56"/>
      <c r="CT159" s="56"/>
      <c r="CU159" s="60"/>
      <c r="CV159" s="56"/>
      <c r="CW159" s="60"/>
      <c r="CX159" s="56"/>
      <c r="CY159" s="60"/>
      <c r="CZ159" s="56"/>
      <c r="DB159" s="56"/>
      <c r="DC159" s="60"/>
      <c r="DD159" s="56"/>
      <c r="DE159" s="60"/>
      <c r="DF159" s="56"/>
      <c r="DG159" s="60"/>
      <c r="DH159" s="56"/>
      <c r="DI159" s="60"/>
      <c r="DJ159" s="56"/>
      <c r="DL159" s="56"/>
      <c r="DM159" s="60"/>
      <c r="DN159" s="56"/>
      <c r="DO159" s="60"/>
      <c r="DP159" s="56"/>
      <c r="DR159" s="56"/>
      <c r="ER159" s="55"/>
      <c r="ES159" s="55"/>
      <c r="ET159" s="56"/>
      <c r="EU159" s="55"/>
      <c r="EV159" s="56"/>
      <c r="EW159" s="55"/>
      <c r="EX159" s="56"/>
      <c r="EY159" s="55"/>
      <c r="EZ159" s="56"/>
      <c r="FA159" s="57"/>
      <c r="FB159" s="56"/>
      <c r="FC159" s="55"/>
      <c r="FD159" s="56"/>
      <c r="FE159" s="57"/>
      <c r="FF159" s="56"/>
      <c r="FG159" s="60"/>
      <c r="FH159" s="56"/>
      <c r="FI159" s="57"/>
      <c r="FJ159" s="56"/>
      <c r="FK159" s="55"/>
      <c r="FL159" s="56"/>
      <c r="FM159" s="60"/>
      <c r="FN159" s="56"/>
      <c r="FO159" s="60"/>
      <c r="FP159" s="56"/>
      <c r="FQ159" s="60"/>
      <c r="FR159" s="56"/>
      <c r="FS159" s="55"/>
      <c r="FT159" s="56"/>
      <c r="FU159" s="60"/>
      <c r="FV159" s="56"/>
      <c r="FW159" s="60"/>
      <c r="FX159" s="56"/>
      <c r="FY159" s="60"/>
      <c r="FZ159" s="56"/>
      <c r="GA159" s="60"/>
      <c r="GB159" s="56"/>
      <c r="GC159" s="55"/>
      <c r="GD159" s="56"/>
      <c r="GE159" s="60"/>
      <c r="GF159" s="56"/>
      <c r="GG159" s="60"/>
      <c r="GH159" s="56"/>
      <c r="GI159" s="55"/>
      <c r="GJ159" s="56"/>
      <c r="GK159" s="55"/>
      <c r="GL159" s="55"/>
      <c r="GM159" s="55"/>
      <c r="GN159" s="55"/>
      <c r="GO159" s="55"/>
      <c r="GP159" s="55"/>
      <c r="GQ159" s="55"/>
      <c r="GR159" s="55"/>
      <c r="GS159" s="55"/>
      <c r="GT159" s="55"/>
      <c r="GU159" s="55"/>
      <c r="GV159" s="55"/>
      <c r="GW159" s="55"/>
      <c r="GX159" s="55"/>
      <c r="GY159" s="55"/>
      <c r="GZ159" s="55"/>
      <c r="HA159" s="55"/>
      <c r="HB159" s="55"/>
      <c r="HC159" s="55"/>
      <c r="HD159" s="55"/>
      <c r="HE159" s="55"/>
      <c r="HF159" s="55"/>
      <c r="HG159" s="55"/>
      <c r="HH159" s="55"/>
    </row>
    <row r="160" spans="1:216" x14ac:dyDescent="0.3">
      <c r="L160" s="56"/>
      <c r="N160" s="56"/>
      <c r="P160" s="56"/>
      <c r="R160" s="56"/>
      <c r="T160" s="56"/>
      <c r="V160" s="56"/>
      <c r="W160" s="60"/>
      <c r="X160" s="56"/>
      <c r="Z160" s="56"/>
      <c r="AB160" s="56"/>
      <c r="AC160" s="60"/>
      <c r="AD160" s="56"/>
      <c r="AE160" s="60"/>
      <c r="AF160" s="56"/>
      <c r="AG160" s="60"/>
      <c r="AH160" s="56"/>
      <c r="AJ160" s="56"/>
      <c r="AK160" s="60"/>
      <c r="AL160" s="56"/>
      <c r="AM160" s="60"/>
      <c r="AN160" s="56"/>
      <c r="AO160" s="60"/>
      <c r="AP160" s="56"/>
      <c r="AQ160" s="60"/>
      <c r="AR160" s="56"/>
      <c r="AT160" s="56"/>
      <c r="AU160" s="60"/>
      <c r="AV160" s="56"/>
      <c r="AW160" s="60"/>
      <c r="AX160" s="56"/>
      <c r="AZ160" s="56"/>
      <c r="CB160" s="56"/>
      <c r="CD160" s="56"/>
      <c r="CF160" s="56"/>
      <c r="CH160" s="56"/>
      <c r="CI160" s="57"/>
      <c r="CJ160" s="56"/>
      <c r="CL160" s="56"/>
      <c r="CM160" s="57"/>
      <c r="CN160" s="56"/>
      <c r="CO160" s="60"/>
      <c r="CP160" s="56"/>
      <c r="CQ160" s="57"/>
      <c r="CR160" s="56"/>
      <c r="CT160" s="56"/>
      <c r="CU160" s="60"/>
      <c r="CV160" s="56"/>
      <c r="CW160" s="60"/>
      <c r="CX160" s="56"/>
      <c r="CY160" s="60"/>
      <c r="CZ160" s="56"/>
      <c r="DB160" s="56"/>
      <c r="DC160" s="60"/>
      <c r="DD160" s="56"/>
      <c r="DE160" s="60"/>
      <c r="DF160" s="56"/>
      <c r="DG160" s="60"/>
      <c r="DH160" s="56"/>
      <c r="DI160" s="60"/>
      <c r="DJ160" s="56"/>
      <c r="DL160" s="56"/>
      <c r="DM160" s="60"/>
      <c r="DN160" s="56"/>
      <c r="DO160" s="60"/>
      <c r="DP160" s="56"/>
      <c r="DR160" s="56"/>
      <c r="ER160" s="55"/>
      <c r="ES160" s="55"/>
      <c r="ET160" s="56"/>
      <c r="EU160" s="55"/>
      <c r="EV160" s="56"/>
      <c r="EW160" s="55"/>
      <c r="EX160" s="56"/>
      <c r="EY160" s="55"/>
      <c r="EZ160" s="56"/>
      <c r="FA160" s="57"/>
      <c r="FB160" s="56"/>
      <c r="FC160" s="55"/>
      <c r="FD160" s="56"/>
      <c r="FE160" s="57"/>
      <c r="FF160" s="56"/>
      <c r="FG160" s="60"/>
      <c r="FH160" s="56"/>
      <c r="FI160" s="57"/>
      <c r="FJ160" s="56"/>
      <c r="FK160" s="55"/>
      <c r="FL160" s="56"/>
      <c r="FM160" s="60"/>
      <c r="FN160" s="56"/>
      <c r="FO160" s="60"/>
      <c r="FP160" s="56"/>
      <c r="FQ160" s="60"/>
      <c r="FR160" s="56"/>
      <c r="FS160" s="55"/>
      <c r="FT160" s="56"/>
      <c r="FU160" s="60"/>
      <c r="FV160" s="56"/>
      <c r="FW160" s="60"/>
      <c r="FX160" s="56"/>
      <c r="FY160" s="60"/>
      <c r="FZ160" s="56"/>
      <c r="GA160" s="60"/>
      <c r="GB160" s="56"/>
      <c r="GC160" s="55"/>
      <c r="GD160" s="56"/>
      <c r="GE160" s="60"/>
      <c r="GF160" s="56"/>
      <c r="GG160" s="60"/>
      <c r="GH160" s="56"/>
      <c r="GI160" s="55"/>
      <c r="GJ160" s="56"/>
      <c r="GK160" s="55"/>
      <c r="GL160" s="55"/>
      <c r="GM160" s="55"/>
      <c r="GN160" s="55"/>
      <c r="GO160" s="55"/>
      <c r="GP160" s="55"/>
      <c r="GQ160" s="55"/>
      <c r="GR160" s="55"/>
      <c r="GS160" s="55"/>
      <c r="GT160" s="55"/>
      <c r="GU160" s="55"/>
      <c r="GV160" s="55"/>
      <c r="GW160" s="55"/>
      <c r="GX160" s="55"/>
      <c r="GY160" s="55"/>
      <c r="GZ160" s="55"/>
      <c r="HA160" s="55"/>
      <c r="HB160" s="55"/>
      <c r="HC160" s="55"/>
      <c r="HD160" s="55"/>
      <c r="HE160" s="55"/>
      <c r="HF160" s="55"/>
      <c r="HG160" s="55"/>
      <c r="HH160" s="55"/>
    </row>
    <row r="161" spans="12:216" x14ac:dyDescent="0.3">
      <c r="L161" s="56"/>
      <c r="N161" s="56"/>
      <c r="P161" s="56"/>
      <c r="R161" s="56"/>
      <c r="T161" s="56"/>
      <c r="V161" s="56"/>
      <c r="W161" s="60"/>
      <c r="X161" s="56"/>
      <c r="Z161" s="56"/>
      <c r="AB161" s="56"/>
      <c r="AC161" s="60"/>
      <c r="AD161" s="56"/>
      <c r="AE161" s="60"/>
      <c r="AF161" s="56"/>
      <c r="AG161" s="60"/>
      <c r="AH161" s="56"/>
      <c r="AJ161" s="56"/>
      <c r="AK161" s="60"/>
      <c r="AL161" s="56"/>
      <c r="AM161" s="60"/>
      <c r="AN161" s="56"/>
      <c r="AO161" s="60"/>
      <c r="AP161" s="56"/>
      <c r="AQ161" s="60"/>
      <c r="AR161" s="56"/>
      <c r="AT161" s="56"/>
      <c r="AU161" s="60"/>
      <c r="AV161" s="56"/>
      <c r="AW161" s="60"/>
      <c r="AX161" s="56"/>
      <c r="AZ161" s="56"/>
      <c r="CB161" s="56"/>
      <c r="CD161" s="56"/>
      <c r="CF161" s="56"/>
      <c r="CH161" s="56"/>
      <c r="CI161" s="57"/>
      <c r="CJ161" s="56"/>
      <c r="CL161" s="56"/>
      <c r="CM161" s="57"/>
      <c r="CN161" s="56"/>
      <c r="CO161" s="60"/>
      <c r="CP161" s="56"/>
      <c r="CQ161" s="57"/>
      <c r="CR161" s="56"/>
      <c r="CT161" s="56"/>
      <c r="CU161" s="60"/>
      <c r="CV161" s="56"/>
      <c r="CW161" s="60"/>
      <c r="CX161" s="56"/>
      <c r="CY161" s="60"/>
      <c r="CZ161" s="56"/>
      <c r="DB161" s="56"/>
      <c r="DC161" s="60"/>
      <c r="DD161" s="56"/>
      <c r="DE161" s="60"/>
      <c r="DF161" s="56"/>
      <c r="DG161" s="60"/>
      <c r="DH161" s="56"/>
      <c r="DI161" s="60"/>
      <c r="DJ161" s="56"/>
      <c r="DL161" s="56"/>
      <c r="DM161" s="60"/>
      <c r="DN161" s="56"/>
      <c r="DO161" s="60"/>
      <c r="DP161" s="56"/>
      <c r="DR161" s="56"/>
      <c r="ER161" s="55"/>
      <c r="ES161" s="55"/>
      <c r="ET161" s="56"/>
      <c r="EU161" s="55"/>
      <c r="EV161" s="56"/>
      <c r="EW161" s="55"/>
      <c r="EX161" s="56"/>
      <c r="EY161" s="55"/>
      <c r="EZ161" s="56"/>
      <c r="FA161" s="57"/>
      <c r="FB161" s="56"/>
      <c r="FC161" s="55"/>
      <c r="FD161" s="56"/>
      <c r="FE161" s="57"/>
      <c r="FF161" s="56"/>
      <c r="FG161" s="60"/>
      <c r="FH161" s="56"/>
      <c r="FI161" s="57"/>
      <c r="FJ161" s="56"/>
      <c r="FK161" s="55"/>
      <c r="FL161" s="56"/>
      <c r="FM161" s="60"/>
      <c r="FN161" s="56"/>
      <c r="FO161" s="60"/>
      <c r="FP161" s="56"/>
      <c r="FQ161" s="60"/>
      <c r="FR161" s="56"/>
      <c r="FS161" s="55"/>
      <c r="FT161" s="56"/>
      <c r="FU161" s="60"/>
      <c r="FV161" s="56"/>
      <c r="FW161" s="60"/>
      <c r="FX161" s="56"/>
      <c r="FY161" s="60"/>
      <c r="FZ161" s="56"/>
      <c r="GA161" s="60"/>
      <c r="GB161" s="56"/>
      <c r="GC161" s="55"/>
      <c r="GD161" s="56"/>
      <c r="GE161" s="60"/>
      <c r="GF161" s="56"/>
      <c r="GG161" s="60"/>
      <c r="GH161" s="56"/>
      <c r="GI161" s="55"/>
      <c r="GJ161" s="56"/>
      <c r="GK161" s="55"/>
      <c r="GL161" s="55"/>
      <c r="GM161" s="55"/>
      <c r="GN161" s="55"/>
      <c r="GO161" s="55"/>
      <c r="GP161" s="55"/>
      <c r="GQ161" s="55"/>
      <c r="GR161" s="55"/>
      <c r="GS161" s="55"/>
      <c r="GT161" s="55"/>
      <c r="GU161" s="55"/>
      <c r="GV161" s="55"/>
      <c r="GW161" s="55"/>
      <c r="GX161" s="55"/>
      <c r="GY161" s="55"/>
      <c r="GZ161" s="55"/>
      <c r="HA161" s="55"/>
      <c r="HB161" s="55"/>
      <c r="HC161" s="55"/>
      <c r="HD161" s="55"/>
      <c r="HE161" s="55"/>
      <c r="HF161" s="55"/>
      <c r="HG161" s="55"/>
      <c r="HH161" s="55"/>
    </row>
    <row r="162" spans="12:216" x14ac:dyDescent="0.3">
      <c r="L162" s="56"/>
      <c r="N162" s="56"/>
      <c r="P162" s="56"/>
      <c r="R162" s="56"/>
      <c r="T162" s="56"/>
      <c r="V162" s="56"/>
      <c r="W162" s="60"/>
      <c r="X162" s="56"/>
      <c r="Z162" s="56"/>
      <c r="AB162" s="56"/>
      <c r="AC162" s="60"/>
      <c r="AD162" s="56"/>
      <c r="AE162" s="60"/>
      <c r="AF162" s="56"/>
      <c r="AG162" s="60"/>
      <c r="AH162" s="56"/>
      <c r="AJ162" s="56"/>
      <c r="AK162" s="60"/>
      <c r="AL162" s="56"/>
      <c r="AM162" s="60"/>
      <c r="AN162" s="56"/>
      <c r="AO162" s="60"/>
      <c r="AP162" s="56"/>
      <c r="AQ162" s="60"/>
      <c r="AR162" s="56"/>
      <c r="AT162" s="56"/>
      <c r="AU162" s="60"/>
      <c r="AV162" s="56"/>
      <c r="AW162" s="60"/>
      <c r="AX162" s="56"/>
      <c r="AZ162" s="56"/>
      <c r="CB162" s="56"/>
      <c r="CD162" s="56"/>
      <c r="CF162" s="56"/>
      <c r="CH162" s="56"/>
      <c r="CI162" s="57"/>
      <c r="CJ162" s="56"/>
      <c r="CL162" s="56"/>
      <c r="CM162" s="57"/>
      <c r="CN162" s="56"/>
      <c r="CO162" s="60"/>
      <c r="CP162" s="56"/>
      <c r="CQ162" s="57"/>
      <c r="CR162" s="56"/>
      <c r="CT162" s="56"/>
      <c r="CU162" s="60"/>
      <c r="CV162" s="56"/>
      <c r="CW162" s="60"/>
      <c r="CX162" s="56"/>
      <c r="CY162" s="60"/>
      <c r="CZ162" s="56"/>
      <c r="DB162" s="56"/>
      <c r="DC162" s="60"/>
      <c r="DD162" s="56"/>
      <c r="DE162" s="60"/>
      <c r="DF162" s="56"/>
      <c r="DG162" s="60"/>
      <c r="DH162" s="56"/>
      <c r="DI162" s="60"/>
      <c r="DJ162" s="56"/>
      <c r="DL162" s="56"/>
      <c r="DM162" s="60"/>
      <c r="DN162" s="56"/>
      <c r="DO162" s="60"/>
      <c r="DP162" s="56"/>
      <c r="DR162" s="56"/>
      <c r="ER162" s="55"/>
      <c r="ES162" s="55"/>
      <c r="ET162" s="56"/>
      <c r="EU162" s="55"/>
      <c r="EV162" s="56"/>
      <c r="EW162" s="55"/>
      <c r="EX162" s="56"/>
      <c r="EY162" s="55"/>
      <c r="EZ162" s="56"/>
      <c r="FA162" s="57"/>
      <c r="FB162" s="56"/>
      <c r="FC162" s="55"/>
      <c r="FD162" s="56"/>
      <c r="FE162" s="57"/>
      <c r="FF162" s="56"/>
      <c r="FG162" s="60"/>
      <c r="FH162" s="56"/>
      <c r="FI162" s="57"/>
      <c r="FJ162" s="56"/>
      <c r="FK162" s="55"/>
      <c r="FL162" s="56"/>
      <c r="FM162" s="60"/>
      <c r="FN162" s="56"/>
      <c r="FO162" s="60"/>
      <c r="FP162" s="56"/>
      <c r="FQ162" s="60"/>
      <c r="FR162" s="56"/>
      <c r="FS162" s="55"/>
      <c r="FT162" s="56"/>
      <c r="FU162" s="60"/>
      <c r="FV162" s="56"/>
      <c r="FW162" s="60"/>
      <c r="FX162" s="56"/>
      <c r="FY162" s="60"/>
      <c r="FZ162" s="56"/>
      <c r="GA162" s="60"/>
      <c r="GB162" s="56"/>
      <c r="GC162" s="55"/>
      <c r="GD162" s="56"/>
      <c r="GE162" s="60"/>
      <c r="GF162" s="56"/>
      <c r="GG162" s="60"/>
      <c r="GH162" s="56"/>
      <c r="GI162" s="55"/>
      <c r="GJ162" s="56"/>
      <c r="GK162" s="55"/>
      <c r="GL162" s="55"/>
      <c r="GM162" s="55"/>
      <c r="GN162" s="55"/>
      <c r="GO162" s="55"/>
      <c r="GP162" s="55"/>
      <c r="GQ162" s="55"/>
      <c r="GR162" s="55"/>
      <c r="GS162" s="55"/>
      <c r="GT162" s="55"/>
      <c r="GU162" s="55"/>
      <c r="GV162" s="55"/>
      <c r="GW162" s="55"/>
      <c r="GX162" s="55"/>
      <c r="GY162" s="55"/>
      <c r="GZ162" s="55"/>
      <c r="HA162" s="55"/>
      <c r="HB162" s="55"/>
      <c r="HC162" s="55"/>
      <c r="HD162" s="55"/>
      <c r="HE162" s="55"/>
      <c r="HF162" s="55"/>
      <c r="HG162" s="55"/>
      <c r="HH162" s="55"/>
    </row>
    <row r="163" spans="12:216" x14ac:dyDescent="0.3">
      <c r="L163" s="56"/>
      <c r="N163" s="56"/>
      <c r="P163" s="56"/>
      <c r="R163" s="56"/>
      <c r="T163" s="56"/>
      <c r="V163" s="56"/>
      <c r="W163" s="60"/>
      <c r="X163" s="56"/>
      <c r="Z163" s="56"/>
      <c r="AB163" s="56"/>
      <c r="AC163" s="60"/>
      <c r="AD163" s="56"/>
      <c r="AE163" s="60"/>
      <c r="AF163" s="56"/>
      <c r="AG163" s="60"/>
      <c r="AH163" s="56"/>
      <c r="AJ163" s="56"/>
      <c r="AK163" s="60"/>
      <c r="AL163" s="56"/>
      <c r="AM163" s="60"/>
      <c r="AN163" s="56"/>
      <c r="AO163" s="60"/>
      <c r="AP163" s="56"/>
      <c r="AQ163" s="60"/>
      <c r="AR163" s="56"/>
      <c r="AT163" s="56"/>
      <c r="AU163" s="60"/>
      <c r="AV163" s="56"/>
      <c r="AW163" s="60"/>
      <c r="AX163" s="56"/>
      <c r="AZ163" s="56"/>
      <c r="CB163" s="56"/>
      <c r="CD163" s="56"/>
      <c r="CF163" s="56"/>
      <c r="CH163" s="56"/>
      <c r="CI163" s="57"/>
      <c r="CJ163" s="56"/>
      <c r="CL163" s="56"/>
      <c r="CM163" s="57"/>
      <c r="CN163" s="56"/>
      <c r="CO163" s="60"/>
      <c r="CP163" s="56"/>
      <c r="CQ163" s="57"/>
      <c r="CR163" s="56"/>
      <c r="CT163" s="56"/>
      <c r="CU163" s="60"/>
      <c r="CV163" s="56"/>
      <c r="CW163" s="60"/>
      <c r="CX163" s="56"/>
      <c r="CY163" s="60"/>
      <c r="CZ163" s="56"/>
      <c r="DB163" s="56"/>
      <c r="DC163" s="60"/>
      <c r="DD163" s="56"/>
      <c r="DE163" s="60"/>
      <c r="DF163" s="56"/>
      <c r="DG163" s="60"/>
      <c r="DH163" s="56"/>
      <c r="DI163" s="60"/>
      <c r="DJ163" s="56"/>
      <c r="DL163" s="56"/>
      <c r="DM163" s="60"/>
      <c r="DN163" s="56"/>
      <c r="DO163" s="60"/>
      <c r="DP163" s="56"/>
      <c r="DR163" s="56"/>
      <c r="ER163" s="55"/>
      <c r="ES163" s="55"/>
      <c r="ET163" s="56"/>
      <c r="EU163" s="55"/>
      <c r="EV163" s="56"/>
      <c r="EW163" s="55"/>
      <c r="EX163" s="56"/>
      <c r="EY163" s="55"/>
      <c r="EZ163" s="56"/>
      <c r="FA163" s="57"/>
      <c r="FB163" s="56"/>
      <c r="FC163" s="55"/>
      <c r="FD163" s="56"/>
      <c r="FE163" s="57"/>
      <c r="FF163" s="56"/>
      <c r="FG163" s="60"/>
      <c r="FH163" s="56"/>
      <c r="FI163" s="57"/>
      <c r="FJ163" s="56"/>
      <c r="FK163" s="55"/>
      <c r="FL163" s="56"/>
      <c r="FM163" s="60"/>
      <c r="FN163" s="56"/>
      <c r="FO163" s="60"/>
      <c r="FP163" s="56"/>
      <c r="FQ163" s="60"/>
      <c r="FR163" s="56"/>
      <c r="FS163" s="55"/>
      <c r="FT163" s="56"/>
      <c r="FU163" s="60"/>
      <c r="FV163" s="56"/>
      <c r="FW163" s="60"/>
      <c r="FX163" s="56"/>
      <c r="FY163" s="60"/>
      <c r="FZ163" s="56"/>
      <c r="GA163" s="60"/>
      <c r="GB163" s="56"/>
      <c r="GC163" s="55"/>
      <c r="GD163" s="56"/>
      <c r="GE163" s="60"/>
      <c r="GF163" s="56"/>
      <c r="GG163" s="60"/>
      <c r="GH163" s="56"/>
      <c r="GI163" s="55"/>
      <c r="GJ163" s="56"/>
      <c r="GK163" s="55"/>
      <c r="GL163" s="55"/>
      <c r="GM163" s="55"/>
      <c r="GN163" s="55"/>
      <c r="GO163" s="55"/>
      <c r="GP163" s="55"/>
      <c r="GQ163" s="55"/>
      <c r="GR163" s="55"/>
      <c r="GS163" s="55"/>
      <c r="GT163" s="55"/>
      <c r="GU163" s="55"/>
      <c r="GV163" s="55"/>
      <c r="GW163" s="55"/>
      <c r="GX163" s="55"/>
      <c r="GY163" s="55"/>
      <c r="GZ163" s="55"/>
      <c r="HA163" s="55"/>
      <c r="HB163" s="55"/>
      <c r="HC163" s="55"/>
      <c r="HD163" s="55"/>
      <c r="HE163" s="55"/>
      <c r="HF163" s="55"/>
      <c r="HG163" s="55"/>
      <c r="HH163" s="55"/>
    </row>
    <row r="164" spans="12:216" x14ac:dyDescent="0.3">
      <c r="L164" s="56"/>
      <c r="N164" s="56"/>
      <c r="P164" s="56"/>
      <c r="R164" s="56"/>
      <c r="T164" s="56"/>
      <c r="V164" s="56"/>
      <c r="W164" s="60"/>
      <c r="X164" s="56"/>
      <c r="Z164" s="56"/>
      <c r="AB164" s="56"/>
      <c r="AC164" s="60"/>
      <c r="AD164" s="56"/>
      <c r="AE164" s="60"/>
      <c r="AF164" s="56"/>
      <c r="AG164" s="60"/>
      <c r="AH164" s="56"/>
      <c r="AJ164" s="56"/>
      <c r="AK164" s="60"/>
      <c r="AL164" s="56"/>
      <c r="AM164" s="60"/>
      <c r="AN164" s="56"/>
      <c r="AO164" s="60"/>
      <c r="AP164" s="56"/>
      <c r="AQ164" s="60"/>
      <c r="AR164" s="56"/>
      <c r="AT164" s="56"/>
      <c r="AU164" s="60"/>
      <c r="AV164" s="56"/>
      <c r="AW164" s="60"/>
      <c r="AX164" s="56"/>
      <c r="AZ164" s="56"/>
      <c r="CB164" s="56"/>
      <c r="CD164" s="56"/>
      <c r="CF164" s="56"/>
      <c r="CH164" s="56"/>
      <c r="CI164" s="57"/>
      <c r="CJ164" s="56"/>
      <c r="CL164" s="56"/>
      <c r="CM164" s="57"/>
      <c r="CN164" s="56"/>
      <c r="CO164" s="60"/>
      <c r="CP164" s="56"/>
      <c r="CQ164" s="57"/>
      <c r="CR164" s="56"/>
      <c r="CT164" s="56"/>
      <c r="CU164" s="60"/>
      <c r="CV164" s="56"/>
      <c r="CW164" s="60"/>
      <c r="CX164" s="56"/>
      <c r="CY164" s="60"/>
      <c r="CZ164" s="56"/>
      <c r="DB164" s="56"/>
      <c r="DC164" s="60"/>
      <c r="DD164" s="56"/>
      <c r="DE164" s="60"/>
      <c r="DF164" s="56"/>
      <c r="DG164" s="60"/>
      <c r="DH164" s="56"/>
      <c r="DI164" s="60"/>
      <c r="DJ164" s="56"/>
      <c r="DL164" s="56"/>
      <c r="DM164" s="60"/>
      <c r="DN164" s="56"/>
      <c r="DO164" s="60"/>
      <c r="DP164" s="56"/>
      <c r="DR164" s="56"/>
      <c r="ER164" s="55"/>
      <c r="ES164" s="55"/>
      <c r="ET164" s="56"/>
      <c r="EU164" s="55"/>
      <c r="EV164" s="56"/>
      <c r="EW164" s="55"/>
      <c r="EX164" s="56"/>
      <c r="EY164" s="55"/>
      <c r="EZ164" s="56"/>
      <c r="FA164" s="57"/>
      <c r="FB164" s="56"/>
      <c r="FC164" s="55"/>
      <c r="FD164" s="56"/>
      <c r="FE164" s="57"/>
      <c r="FF164" s="56"/>
      <c r="FG164" s="60"/>
      <c r="FH164" s="56"/>
      <c r="FI164" s="57"/>
      <c r="FJ164" s="56"/>
      <c r="FK164" s="55"/>
      <c r="FL164" s="56"/>
      <c r="FM164" s="60"/>
      <c r="FN164" s="56"/>
      <c r="FO164" s="60"/>
      <c r="FP164" s="56"/>
      <c r="FQ164" s="60"/>
      <c r="FR164" s="56"/>
      <c r="FS164" s="55"/>
      <c r="FT164" s="56"/>
      <c r="FU164" s="60"/>
      <c r="FV164" s="56"/>
      <c r="FW164" s="60"/>
      <c r="FX164" s="56"/>
      <c r="FY164" s="60"/>
      <c r="FZ164" s="56"/>
      <c r="GA164" s="60"/>
      <c r="GB164" s="56"/>
      <c r="GC164" s="55"/>
      <c r="GD164" s="56"/>
      <c r="GE164" s="60"/>
      <c r="GF164" s="56"/>
      <c r="GG164" s="60"/>
      <c r="GH164" s="56"/>
      <c r="GI164" s="55"/>
      <c r="GJ164" s="56"/>
      <c r="GK164" s="55"/>
      <c r="GL164" s="55"/>
      <c r="GM164" s="55"/>
      <c r="GN164" s="55"/>
      <c r="GO164" s="55"/>
      <c r="GP164" s="55"/>
      <c r="GQ164" s="55"/>
      <c r="GR164" s="55"/>
      <c r="GS164" s="55"/>
      <c r="GT164" s="55"/>
      <c r="GU164" s="55"/>
      <c r="GV164" s="55"/>
      <c r="GW164" s="55"/>
      <c r="GX164" s="55"/>
      <c r="GY164" s="55"/>
      <c r="GZ164" s="55"/>
      <c r="HA164" s="55"/>
      <c r="HB164" s="55"/>
      <c r="HC164" s="55"/>
      <c r="HD164" s="55"/>
      <c r="HE164" s="55"/>
      <c r="HF164" s="55"/>
      <c r="HG164" s="55"/>
      <c r="HH164" s="55"/>
    </row>
    <row r="165" spans="12:216" x14ac:dyDescent="0.3">
      <c r="L165" s="56"/>
      <c r="N165" s="56"/>
      <c r="P165" s="56"/>
      <c r="R165" s="56"/>
      <c r="T165" s="56"/>
      <c r="V165" s="56"/>
      <c r="W165" s="60"/>
      <c r="X165" s="56"/>
      <c r="Z165" s="56"/>
      <c r="AB165" s="56"/>
      <c r="AC165" s="60"/>
      <c r="AD165" s="56"/>
      <c r="AE165" s="60"/>
      <c r="AF165" s="56"/>
      <c r="AG165" s="60"/>
      <c r="AH165" s="56"/>
      <c r="AJ165" s="56"/>
      <c r="AK165" s="60"/>
      <c r="AL165" s="56"/>
      <c r="AM165" s="60"/>
      <c r="AN165" s="56"/>
      <c r="AO165" s="60"/>
      <c r="AP165" s="56"/>
      <c r="AQ165" s="60"/>
      <c r="AR165" s="56"/>
      <c r="AT165" s="56"/>
      <c r="AU165" s="60"/>
      <c r="AV165" s="56"/>
      <c r="AW165" s="60"/>
      <c r="AX165" s="56"/>
      <c r="AZ165" s="56"/>
      <c r="CB165" s="56"/>
      <c r="CD165" s="56"/>
      <c r="CF165" s="56"/>
      <c r="CH165" s="56"/>
      <c r="CI165" s="57"/>
      <c r="CJ165" s="56"/>
      <c r="CL165" s="56"/>
      <c r="CM165" s="57"/>
      <c r="CN165" s="56"/>
      <c r="CO165" s="60"/>
      <c r="CP165" s="56"/>
      <c r="CQ165" s="57"/>
      <c r="CR165" s="56"/>
      <c r="CT165" s="56"/>
      <c r="CU165" s="60"/>
      <c r="CV165" s="56"/>
      <c r="CW165" s="60"/>
      <c r="CX165" s="56"/>
      <c r="CY165" s="60"/>
      <c r="CZ165" s="56"/>
      <c r="DB165" s="56"/>
      <c r="DC165" s="60"/>
      <c r="DD165" s="56"/>
      <c r="DE165" s="60"/>
      <c r="DF165" s="56"/>
      <c r="DG165" s="60"/>
      <c r="DH165" s="56"/>
      <c r="DI165" s="60"/>
      <c r="DJ165" s="56"/>
      <c r="DL165" s="56"/>
      <c r="DM165" s="60"/>
      <c r="DN165" s="56"/>
      <c r="DO165" s="60"/>
      <c r="DP165" s="56"/>
      <c r="DR165" s="56"/>
      <c r="ER165" s="55"/>
      <c r="ES165" s="55"/>
      <c r="ET165" s="56"/>
      <c r="EU165" s="55"/>
      <c r="EV165" s="56"/>
      <c r="EW165" s="55"/>
      <c r="EX165" s="56"/>
      <c r="EY165" s="55"/>
      <c r="EZ165" s="56"/>
      <c r="FA165" s="57"/>
      <c r="FB165" s="56"/>
      <c r="FC165" s="55"/>
      <c r="FD165" s="56"/>
      <c r="FE165" s="57"/>
      <c r="FF165" s="56"/>
      <c r="FG165" s="60"/>
      <c r="FH165" s="56"/>
      <c r="FI165" s="57"/>
      <c r="FJ165" s="56"/>
      <c r="FK165" s="55"/>
      <c r="FL165" s="56"/>
      <c r="FM165" s="60"/>
      <c r="FN165" s="56"/>
      <c r="FO165" s="60"/>
      <c r="FP165" s="56"/>
      <c r="FQ165" s="60"/>
      <c r="FR165" s="56"/>
      <c r="FS165" s="55"/>
      <c r="FT165" s="56"/>
      <c r="FU165" s="60"/>
      <c r="FV165" s="56"/>
      <c r="FW165" s="60"/>
      <c r="FX165" s="56"/>
      <c r="FY165" s="60"/>
      <c r="FZ165" s="56"/>
      <c r="GA165" s="60"/>
      <c r="GB165" s="56"/>
      <c r="GC165" s="55"/>
      <c r="GD165" s="56"/>
      <c r="GE165" s="60"/>
      <c r="GF165" s="56"/>
      <c r="GG165" s="60"/>
      <c r="GH165" s="56"/>
      <c r="GI165" s="55"/>
      <c r="GJ165" s="56"/>
      <c r="GK165" s="55"/>
      <c r="GL165" s="55"/>
      <c r="GM165" s="55"/>
      <c r="GN165" s="55"/>
      <c r="GO165" s="55"/>
      <c r="GP165" s="55"/>
      <c r="GQ165" s="55"/>
      <c r="GR165" s="55"/>
      <c r="GS165" s="55"/>
      <c r="GT165" s="55"/>
      <c r="GU165" s="55"/>
      <c r="GV165" s="55"/>
      <c r="GW165" s="55"/>
      <c r="GX165" s="55"/>
      <c r="GY165" s="55"/>
      <c r="GZ165" s="55"/>
      <c r="HA165" s="55"/>
      <c r="HB165" s="55"/>
      <c r="HC165" s="55"/>
      <c r="HD165" s="55"/>
      <c r="HE165" s="55"/>
      <c r="HF165" s="55"/>
      <c r="HG165" s="55"/>
      <c r="HH165" s="55"/>
    </row>
    <row r="166" spans="12:216" x14ac:dyDescent="0.3">
      <c r="L166" s="56"/>
      <c r="N166" s="56"/>
      <c r="P166" s="56"/>
      <c r="R166" s="56"/>
      <c r="T166" s="56"/>
      <c r="V166" s="56"/>
      <c r="W166" s="60"/>
      <c r="X166" s="56"/>
      <c r="Z166" s="56"/>
      <c r="AB166" s="56"/>
      <c r="AC166" s="60"/>
      <c r="AD166" s="56"/>
      <c r="AE166" s="60"/>
      <c r="AF166" s="56"/>
      <c r="AG166" s="60"/>
      <c r="AH166" s="56"/>
      <c r="AJ166" s="56"/>
      <c r="AK166" s="60"/>
      <c r="AL166" s="56"/>
      <c r="AM166" s="60"/>
      <c r="AN166" s="56"/>
      <c r="AO166" s="60"/>
      <c r="AP166" s="56"/>
      <c r="AQ166" s="60"/>
      <c r="AR166" s="56"/>
      <c r="AT166" s="56"/>
      <c r="AU166" s="60"/>
      <c r="AV166" s="56"/>
      <c r="AW166" s="60"/>
      <c r="AX166" s="56"/>
      <c r="AZ166" s="56"/>
      <c r="CB166" s="56"/>
      <c r="CD166" s="56"/>
      <c r="CF166" s="56"/>
      <c r="CH166" s="56"/>
      <c r="CI166" s="57"/>
      <c r="CJ166" s="56"/>
      <c r="CL166" s="56"/>
      <c r="CM166" s="57"/>
      <c r="CN166" s="56"/>
      <c r="CO166" s="60"/>
      <c r="CP166" s="56"/>
      <c r="CQ166" s="57"/>
      <c r="CR166" s="56"/>
      <c r="CT166" s="56"/>
      <c r="CU166" s="60"/>
      <c r="CV166" s="56"/>
      <c r="CW166" s="60"/>
      <c r="CX166" s="56"/>
      <c r="CY166" s="60"/>
      <c r="CZ166" s="56"/>
      <c r="DB166" s="56"/>
      <c r="DC166" s="60"/>
      <c r="DD166" s="56"/>
      <c r="DE166" s="60"/>
      <c r="DF166" s="56"/>
      <c r="DG166" s="60"/>
      <c r="DH166" s="56"/>
      <c r="DI166" s="60"/>
      <c r="DJ166" s="56"/>
      <c r="DL166" s="56"/>
      <c r="DM166" s="60"/>
      <c r="DN166" s="56"/>
      <c r="DO166" s="60"/>
      <c r="DP166" s="56"/>
      <c r="DR166" s="56"/>
      <c r="ER166" s="55"/>
      <c r="ES166" s="55"/>
      <c r="ET166" s="56"/>
      <c r="EU166" s="55"/>
      <c r="EV166" s="56"/>
      <c r="EW166" s="55"/>
      <c r="EX166" s="56"/>
      <c r="EY166" s="55"/>
      <c r="EZ166" s="56"/>
      <c r="FA166" s="57"/>
      <c r="FB166" s="56"/>
      <c r="FC166" s="55"/>
      <c r="FD166" s="56"/>
      <c r="FE166" s="57"/>
      <c r="FF166" s="56"/>
      <c r="FG166" s="60"/>
      <c r="FH166" s="56"/>
      <c r="FI166" s="57"/>
      <c r="FJ166" s="56"/>
      <c r="FK166" s="55"/>
      <c r="FL166" s="56"/>
      <c r="FM166" s="60"/>
      <c r="FN166" s="56"/>
      <c r="FO166" s="60"/>
      <c r="FP166" s="56"/>
      <c r="FQ166" s="60"/>
      <c r="FR166" s="56"/>
      <c r="FS166" s="55"/>
      <c r="FT166" s="56"/>
      <c r="FU166" s="60"/>
      <c r="FV166" s="56"/>
      <c r="FW166" s="60"/>
      <c r="FX166" s="56"/>
      <c r="FY166" s="60"/>
      <c r="FZ166" s="56"/>
      <c r="GA166" s="60"/>
      <c r="GB166" s="56"/>
      <c r="GC166" s="55"/>
      <c r="GD166" s="56"/>
      <c r="GE166" s="60"/>
      <c r="GF166" s="56"/>
      <c r="GG166" s="60"/>
      <c r="GH166" s="56"/>
      <c r="GI166" s="55"/>
      <c r="GJ166" s="56"/>
      <c r="GK166" s="55"/>
      <c r="GL166" s="55"/>
      <c r="GM166" s="55"/>
      <c r="GN166" s="55"/>
      <c r="GO166" s="55"/>
      <c r="GP166" s="55"/>
      <c r="GQ166" s="55"/>
      <c r="GR166" s="55"/>
      <c r="GS166" s="55"/>
      <c r="GT166" s="55"/>
      <c r="GU166" s="55"/>
      <c r="GV166" s="55"/>
      <c r="GW166" s="55"/>
      <c r="GX166" s="55"/>
      <c r="GY166" s="55"/>
      <c r="GZ166" s="55"/>
      <c r="HA166" s="55"/>
      <c r="HB166" s="55"/>
      <c r="HC166" s="55"/>
      <c r="HD166" s="55"/>
      <c r="HE166" s="55"/>
      <c r="HF166" s="55"/>
      <c r="HG166" s="55"/>
      <c r="HH166" s="55"/>
    </row>
    <row r="167" spans="12:216" x14ac:dyDescent="0.3">
      <c r="L167" s="56"/>
      <c r="N167" s="56"/>
      <c r="P167" s="56"/>
      <c r="R167" s="56"/>
      <c r="T167" s="56"/>
      <c r="V167" s="56"/>
      <c r="W167" s="60"/>
      <c r="X167" s="56"/>
      <c r="Z167" s="56"/>
      <c r="AB167" s="56"/>
      <c r="AC167" s="60"/>
      <c r="AD167" s="56"/>
      <c r="AE167" s="60"/>
      <c r="AF167" s="56"/>
      <c r="AG167" s="60"/>
      <c r="AH167" s="56"/>
      <c r="AJ167" s="56"/>
      <c r="AK167" s="60"/>
      <c r="AL167" s="56"/>
      <c r="AM167" s="60"/>
      <c r="AN167" s="56"/>
      <c r="AO167" s="60"/>
      <c r="AP167" s="56"/>
      <c r="AQ167" s="60"/>
      <c r="AR167" s="56"/>
      <c r="AT167" s="56"/>
      <c r="AU167" s="60"/>
      <c r="AV167" s="56"/>
      <c r="AW167" s="60"/>
      <c r="AX167" s="56"/>
      <c r="AZ167" s="56"/>
      <c r="CB167" s="56"/>
      <c r="CD167" s="56"/>
      <c r="CF167" s="56"/>
      <c r="CH167" s="56"/>
      <c r="CI167" s="57"/>
      <c r="CJ167" s="56"/>
      <c r="CL167" s="56"/>
      <c r="CM167" s="57"/>
      <c r="CN167" s="56"/>
      <c r="CO167" s="60"/>
      <c r="CP167" s="56"/>
      <c r="CQ167" s="57"/>
      <c r="CR167" s="56"/>
      <c r="CT167" s="56"/>
      <c r="CU167" s="60"/>
      <c r="CV167" s="56"/>
      <c r="CW167" s="60"/>
      <c r="CX167" s="56"/>
      <c r="CY167" s="60"/>
      <c r="CZ167" s="56"/>
      <c r="DB167" s="56"/>
      <c r="DC167" s="60"/>
      <c r="DD167" s="56"/>
      <c r="DE167" s="60"/>
      <c r="DF167" s="56"/>
      <c r="DG167" s="60"/>
      <c r="DH167" s="56"/>
      <c r="DI167" s="60"/>
      <c r="DJ167" s="56"/>
      <c r="DL167" s="56"/>
      <c r="DM167" s="60"/>
      <c r="DN167" s="56"/>
      <c r="DO167" s="60"/>
      <c r="DP167" s="56"/>
      <c r="DR167" s="56"/>
      <c r="ER167" s="55"/>
      <c r="ES167" s="55"/>
      <c r="ET167" s="56"/>
      <c r="EU167" s="55"/>
      <c r="EV167" s="56"/>
      <c r="EW167" s="55"/>
      <c r="EX167" s="56"/>
      <c r="EY167" s="55"/>
      <c r="EZ167" s="56"/>
      <c r="FA167" s="57"/>
      <c r="FB167" s="56"/>
      <c r="FC167" s="55"/>
      <c r="FD167" s="56"/>
      <c r="FE167" s="57"/>
      <c r="FF167" s="56"/>
      <c r="FG167" s="60"/>
      <c r="FH167" s="56"/>
      <c r="FI167" s="57"/>
      <c r="FJ167" s="56"/>
      <c r="FK167" s="55"/>
      <c r="FL167" s="56"/>
      <c r="FM167" s="60"/>
      <c r="FN167" s="56"/>
      <c r="FO167" s="60"/>
      <c r="FP167" s="56"/>
      <c r="FQ167" s="60"/>
      <c r="FR167" s="56"/>
      <c r="FS167" s="55"/>
      <c r="FT167" s="56"/>
      <c r="FU167" s="60"/>
      <c r="FV167" s="56"/>
      <c r="FW167" s="60"/>
      <c r="FX167" s="56"/>
      <c r="FY167" s="60"/>
      <c r="FZ167" s="56"/>
      <c r="GA167" s="60"/>
      <c r="GB167" s="56"/>
      <c r="GC167" s="55"/>
      <c r="GD167" s="56"/>
      <c r="GE167" s="60"/>
      <c r="GF167" s="56"/>
      <c r="GG167" s="60"/>
      <c r="GH167" s="56"/>
      <c r="GI167" s="55"/>
      <c r="GJ167" s="56"/>
      <c r="GK167" s="55"/>
      <c r="GL167" s="55"/>
      <c r="GM167" s="55"/>
      <c r="GN167" s="55"/>
      <c r="GO167" s="55"/>
      <c r="GP167" s="55"/>
      <c r="GQ167" s="55"/>
      <c r="GR167" s="55"/>
      <c r="GS167" s="55"/>
      <c r="GT167" s="55"/>
      <c r="GU167" s="55"/>
      <c r="GV167" s="55"/>
      <c r="GW167" s="55"/>
      <c r="GX167" s="55"/>
      <c r="GY167" s="55"/>
      <c r="GZ167" s="55"/>
      <c r="HA167" s="55"/>
      <c r="HB167" s="55"/>
      <c r="HC167" s="55"/>
      <c r="HD167" s="55"/>
      <c r="HE167" s="55"/>
      <c r="HF167" s="55"/>
      <c r="HG167" s="55"/>
      <c r="HH167" s="55"/>
    </row>
    <row r="168" spans="12:216" x14ac:dyDescent="0.3">
      <c r="L168" s="56"/>
      <c r="N168" s="56"/>
      <c r="P168" s="56"/>
      <c r="R168" s="56"/>
      <c r="T168" s="56"/>
      <c r="V168" s="56"/>
      <c r="W168" s="60"/>
      <c r="X168" s="56"/>
      <c r="Z168" s="56"/>
      <c r="AB168" s="56"/>
      <c r="AC168" s="60"/>
      <c r="AD168" s="56"/>
      <c r="AE168" s="60"/>
      <c r="AF168" s="56"/>
      <c r="AG168" s="60"/>
      <c r="AH168" s="56"/>
      <c r="AJ168" s="56"/>
      <c r="AL168" s="56"/>
      <c r="AM168" s="60"/>
      <c r="AN168" s="56"/>
      <c r="AO168" s="60"/>
      <c r="AP168" s="56"/>
      <c r="AQ168" s="60"/>
      <c r="AR168" s="56"/>
      <c r="AT168" s="56"/>
      <c r="AU168" s="60"/>
      <c r="AV168" s="56"/>
      <c r="AW168" s="60"/>
      <c r="AX168" s="56"/>
      <c r="AZ168" s="56"/>
      <c r="CB168" s="56"/>
      <c r="CD168" s="56"/>
      <c r="CF168" s="56"/>
      <c r="CH168" s="56"/>
      <c r="CI168" s="57"/>
      <c r="CJ168" s="56"/>
      <c r="CL168" s="56"/>
      <c r="CM168" s="57"/>
      <c r="CN168" s="56"/>
      <c r="CO168" s="60"/>
      <c r="CP168" s="56"/>
      <c r="CQ168" s="57"/>
      <c r="CR168" s="56"/>
      <c r="CT168" s="56"/>
      <c r="CU168" s="60"/>
      <c r="CV168" s="56"/>
      <c r="CW168" s="60"/>
      <c r="CX168" s="56"/>
      <c r="CY168" s="60"/>
      <c r="CZ168" s="56"/>
      <c r="DB168" s="56"/>
      <c r="DD168" s="56"/>
      <c r="DE168" s="60"/>
      <c r="DF168" s="56"/>
      <c r="DG168" s="60"/>
      <c r="DH168" s="56"/>
      <c r="DI168" s="60"/>
      <c r="DJ168" s="56"/>
      <c r="DL168" s="56"/>
      <c r="DM168" s="60"/>
      <c r="DN168" s="56"/>
      <c r="DO168" s="60"/>
      <c r="DP168" s="56"/>
      <c r="DR168" s="56"/>
      <c r="ER168" s="55"/>
      <c r="ES168" s="55"/>
      <c r="ET168" s="56"/>
      <c r="EU168" s="55"/>
      <c r="EV168" s="56"/>
      <c r="EW168" s="55"/>
      <c r="EX168" s="56"/>
      <c r="EY168" s="55"/>
      <c r="EZ168" s="56"/>
      <c r="FA168" s="57"/>
      <c r="FB168" s="56"/>
      <c r="FC168" s="55"/>
      <c r="FD168" s="56"/>
      <c r="FE168" s="57"/>
      <c r="FF168" s="56"/>
      <c r="FG168" s="60"/>
      <c r="FH168" s="56"/>
      <c r="FI168" s="57"/>
      <c r="FJ168" s="56"/>
      <c r="FK168" s="55"/>
      <c r="FL168" s="56"/>
      <c r="FM168" s="60"/>
      <c r="FN168" s="56"/>
      <c r="FO168" s="60"/>
      <c r="FP168" s="56"/>
      <c r="FQ168" s="60"/>
      <c r="FR168" s="56"/>
      <c r="FS168" s="55"/>
      <c r="FT168" s="56"/>
      <c r="FU168" s="55"/>
      <c r="FV168" s="56"/>
      <c r="FW168" s="60"/>
      <c r="FX168" s="56"/>
      <c r="FY168" s="60"/>
      <c r="FZ168" s="56"/>
      <c r="GA168" s="60"/>
      <c r="GB168" s="56"/>
      <c r="GC168" s="55"/>
      <c r="GD168" s="56"/>
      <c r="GE168" s="60"/>
      <c r="GF168" s="56"/>
      <c r="GG168" s="60"/>
      <c r="GH168" s="56"/>
      <c r="GI168" s="55"/>
      <c r="GJ168" s="56"/>
      <c r="GK168" s="55"/>
      <c r="GL168" s="55"/>
      <c r="GM168" s="55"/>
      <c r="GN168" s="55"/>
      <c r="GO168" s="55"/>
      <c r="GP168" s="55"/>
      <c r="GQ168" s="55"/>
      <c r="GR168" s="55"/>
      <c r="GS168" s="55"/>
      <c r="GT168" s="55"/>
      <c r="GU168" s="55"/>
      <c r="GV168" s="55"/>
      <c r="GW168" s="55"/>
      <c r="GX168" s="55"/>
      <c r="GY168" s="55"/>
      <c r="GZ168" s="55"/>
      <c r="HA168" s="55"/>
      <c r="HB168" s="55"/>
      <c r="HC168" s="55"/>
      <c r="HD168" s="55"/>
      <c r="HE168" s="55"/>
      <c r="HF168" s="55"/>
      <c r="HG168" s="55"/>
      <c r="HH168" s="55"/>
    </row>
    <row r="169" spans="12:216" x14ac:dyDescent="0.3">
      <c r="L169" s="56"/>
      <c r="N169" s="56"/>
      <c r="P169" s="56"/>
      <c r="R169" s="56"/>
      <c r="T169" s="56"/>
      <c r="V169" s="56"/>
      <c r="W169" s="60"/>
      <c r="X169" s="56"/>
      <c r="Z169" s="56"/>
      <c r="AB169" s="56"/>
      <c r="AC169" s="60"/>
      <c r="AD169" s="56"/>
      <c r="AE169" s="60"/>
      <c r="AF169" s="56"/>
      <c r="AG169" s="60"/>
      <c r="AH169" s="56"/>
      <c r="AJ169" s="56"/>
      <c r="AL169" s="56"/>
      <c r="AM169" s="60"/>
      <c r="AN169" s="56"/>
      <c r="AO169" s="60"/>
      <c r="AP169" s="56"/>
      <c r="AQ169" s="60"/>
      <c r="AR169" s="56"/>
      <c r="AT169" s="56"/>
      <c r="AU169" s="60"/>
      <c r="AV169" s="56"/>
      <c r="AW169" s="60"/>
      <c r="AX169" s="56"/>
      <c r="AZ169" s="56"/>
      <c r="CB169" s="56"/>
      <c r="CD169" s="56"/>
      <c r="CF169" s="56"/>
      <c r="CH169" s="56"/>
      <c r="CI169" s="57"/>
      <c r="CJ169" s="56"/>
      <c r="CL169" s="56"/>
      <c r="CM169" s="57"/>
      <c r="CN169" s="56"/>
      <c r="CO169" s="60"/>
      <c r="CP169" s="56"/>
      <c r="CQ169" s="57"/>
      <c r="CR169" s="56"/>
      <c r="CT169" s="56"/>
      <c r="CU169" s="60"/>
      <c r="CV169" s="56"/>
      <c r="CW169" s="60"/>
      <c r="CX169" s="56"/>
      <c r="CY169" s="60"/>
      <c r="CZ169" s="56"/>
      <c r="DB169" s="56"/>
      <c r="DD169" s="56"/>
      <c r="DE169" s="60"/>
      <c r="DF169" s="56"/>
      <c r="DG169" s="60"/>
      <c r="DH169" s="56"/>
      <c r="DI169" s="60"/>
      <c r="DJ169" s="56"/>
      <c r="DL169" s="56"/>
      <c r="DM169" s="60"/>
      <c r="DN169" s="56"/>
      <c r="DO169" s="60"/>
      <c r="DP169" s="56"/>
      <c r="DR169" s="56"/>
      <c r="ER169" s="55"/>
      <c r="ES169" s="55"/>
      <c r="ET169" s="56"/>
      <c r="EU169" s="55"/>
      <c r="EV169" s="56"/>
      <c r="EW169" s="55"/>
      <c r="EX169" s="56"/>
      <c r="EY169" s="55"/>
      <c r="EZ169" s="56"/>
      <c r="FA169" s="57"/>
      <c r="FB169" s="56"/>
      <c r="FC169" s="55"/>
      <c r="FD169" s="56"/>
      <c r="FE169" s="57"/>
      <c r="FF169" s="56"/>
      <c r="FG169" s="60"/>
      <c r="FH169" s="56"/>
      <c r="FI169" s="57"/>
      <c r="FJ169" s="56"/>
      <c r="FK169" s="55"/>
      <c r="FL169" s="56"/>
      <c r="FM169" s="60"/>
      <c r="FN169" s="56"/>
      <c r="FO169" s="60"/>
      <c r="FP169" s="56"/>
      <c r="FQ169" s="60"/>
      <c r="FR169" s="56"/>
      <c r="FS169" s="55"/>
      <c r="FT169" s="56"/>
      <c r="FU169" s="55"/>
      <c r="FV169" s="56"/>
      <c r="FW169" s="60"/>
      <c r="FX169" s="56"/>
      <c r="FY169" s="60"/>
      <c r="FZ169" s="56"/>
      <c r="GA169" s="60"/>
      <c r="GB169" s="56"/>
      <c r="GC169" s="55"/>
      <c r="GD169" s="56"/>
      <c r="GE169" s="60"/>
      <c r="GF169" s="56"/>
      <c r="GG169" s="60"/>
      <c r="GH169" s="56"/>
      <c r="GI169" s="55"/>
      <c r="GJ169" s="56"/>
      <c r="GK169" s="55"/>
      <c r="GL169" s="55"/>
      <c r="GM169" s="55"/>
      <c r="GN169" s="55"/>
      <c r="GO169" s="55"/>
      <c r="GP169" s="55"/>
      <c r="GQ169" s="55"/>
      <c r="GR169" s="55"/>
      <c r="GS169" s="55"/>
      <c r="GT169" s="55"/>
      <c r="GU169" s="55"/>
      <c r="GV169" s="55"/>
      <c r="GW169" s="55"/>
      <c r="GX169" s="55"/>
      <c r="GY169" s="55"/>
      <c r="GZ169" s="55"/>
      <c r="HA169" s="55"/>
      <c r="HB169" s="55"/>
      <c r="HC169" s="55"/>
      <c r="HD169" s="55"/>
      <c r="HE169" s="55"/>
      <c r="HF169" s="55"/>
      <c r="HG169" s="55"/>
      <c r="HH169" s="55"/>
    </row>
    <row r="170" spans="12:216" x14ac:dyDescent="0.3">
      <c r="L170" s="56"/>
      <c r="N170" s="56"/>
      <c r="P170" s="56"/>
      <c r="R170" s="56"/>
      <c r="T170" s="56"/>
      <c r="V170" s="56"/>
      <c r="W170" s="60"/>
      <c r="X170" s="56"/>
      <c r="Z170" s="56"/>
      <c r="AB170" s="56"/>
      <c r="AC170" s="60"/>
      <c r="AD170" s="56"/>
      <c r="AE170" s="60"/>
      <c r="AF170" s="56"/>
      <c r="AG170" s="60"/>
      <c r="AH170" s="56"/>
      <c r="AJ170" s="56"/>
      <c r="AL170" s="56"/>
      <c r="AM170" s="60"/>
      <c r="AN170" s="56"/>
      <c r="AO170" s="60"/>
      <c r="AP170" s="56"/>
      <c r="AQ170" s="60"/>
      <c r="AR170" s="56"/>
      <c r="AT170" s="56"/>
      <c r="AU170" s="60"/>
      <c r="AV170" s="56"/>
      <c r="AW170" s="60"/>
      <c r="AX170" s="56"/>
      <c r="AZ170" s="56"/>
      <c r="CB170" s="56"/>
      <c r="CD170" s="56"/>
      <c r="CF170" s="56"/>
      <c r="CH170" s="56"/>
      <c r="CI170" s="57"/>
      <c r="CJ170" s="56"/>
      <c r="CL170" s="56"/>
      <c r="CM170" s="57"/>
      <c r="CN170" s="56"/>
      <c r="CO170" s="60"/>
      <c r="CP170" s="56"/>
      <c r="CQ170" s="57"/>
      <c r="CR170" s="56"/>
      <c r="CT170" s="56"/>
      <c r="CU170" s="60"/>
      <c r="CV170" s="56"/>
      <c r="CW170" s="60"/>
      <c r="CX170" s="56"/>
      <c r="CY170" s="60"/>
      <c r="CZ170" s="56"/>
      <c r="DB170" s="56"/>
      <c r="DD170" s="56"/>
      <c r="DE170" s="60"/>
      <c r="DF170" s="56"/>
      <c r="DG170" s="60"/>
      <c r="DH170" s="56"/>
      <c r="DI170" s="60"/>
      <c r="DJ170" s="56"/>
      <c r="DL170" s="56"/>
      <c r="DM170" s="60"/>
      <c r="DN170" s="56"/>
      <c r="DO170" s="60"/>
      <c r="DP170" s="56"/>
      <c r="DR170" s="56"/>
      <c r="ER170" s="55"/>
      <c r="ES170" s="55"/>
      <c r="ET170" s="56"/>
      <c r="EU170" s="55"/>
      <c r="EV170" s="56"/>
      <c r="EW170" s="55"/>
      <c r="EX170" s="56"/>
      <c r="EY170" s="55"/>
      <c r="EZ170" s="56"/>
      <c r="FA170" s="57"/>
      <c r="FB170" s="56"/>
      <c r="FC170" s="55"/>
      <c r="FD170" s="56"/>
      <c r="FE170" s="57"/>
      <c r="FF170" s="56"/>
      <c r="FG170" s="60"/>
      <c r="FH170" s="56"/>
      <c r="FI170" s="57"/>
      <c r="FJ170" s="56"/>
      <c r="FK170" s="55"/>
      <c r="FL170" s="56"/>
      <c r="FM170" s="60"/>
      <c r="FN170" s="56"/>
      <c r="FO170" s="60"/>
      <c r="FP170" s="56"/>
      <c r="FQ170" s="60"/>
      <c r="FR170" s="56"/>
      <c r="FS170" s="55"/>
      <c r="FT170" s="56"/>
      <c r="FU170" s="55"/>
      <c r="FV170" s="56"/>
      <c r="FW170" s="60"/>
      <c r="FX170" s="56"/>
      <c r="FY170" s="60"/>
      <c r="FZ170" s="56"/>
      <c r="GA170" s="60"/>
      <c r="GB170" s="56"/>
      <c r="GC170" s="55"/>
      <c r="GD170" s="56"/>
      <c r="GE170" s="60"/>
      <c r="GF170" s="56"/>
      <c r="GG170" s="60"/>
      <c r="GH170" s="56"/>
      <c r="GI170" s="55"/>
      <c r="GJ170" s="56"/>
      <c r="GK170" s="55"/>
      <c r="GL170" s="55"/>
      <c r="GM170" s="55"/>
      <c r="GN170" s="55"/>
      <c r="GO170" s="55"/>
      <c r="GP170" s="55"/>
      <c r="GQ170" s="55"/>
      <c r="GR170" s="55"/>
      <c r="GS170" s="55"/>
      <c r="GT170" s="55"/>
      <c r="GU170" s="55"/>
      <c r="GV170" s="55"/>
      <c r="GW170" s="55"/>
      <c r="GX170" s="55"/>
      <c r="GY170" s="55"/>
      <c r="GZ170" s="55"/>
      <c r="HA170" s="55"/>
      <c r="HB170" s="55"/>
      <c r="HC170" s="55"/>
      <c r="HD170" s="55"/>
      <c r="HE170" s="55"/>
      <c r="HF170" s="55"/>
      <c r="HG170" s="55"/>
      <c r="HH170" s="55"/>
    </row>
    <row r="171" spans="12:216" x14ac:dyDescent="0.3">
      <c r="L171" s="56"/>
      <c r="N171" s="56"/>
      <c r="P171" s="56"/>
      <c r="R171" s="56"/>
      <c r="T171" s="56"/>
      <c r="V171" s="56"/>
      <c r="W171" s="60"/>
      <c r="X171" s="56"/>
      <c r="Z171" s="56"/>
      <c r="AB171" s="56"/>
      <c r="AC171" s="60"/>
      <c r="AD171" s="56"/>
      <c r="AE171" s="60"/>
      <c r="AF171" s="56"/>
      <c r="AG171" s="60"/>
      <c r="AH171" s="56"/>
      <c r="AJ171" s="56"/>
      <c r="AL171" s="56"/>
      <c r="AM171" s="60"/>
      <c r="AN171" s="56"/>
      <c r="AO171" s="60"/>
      <c r="AP171" s="56"/>
      <c r="AQ171" s="60"/>
      <c r="AR171" s="56"/>
      <c r="AT171" s="56"/>
      <c r="AU171" s="60"/>
      <c r="AV171" s="56"/>
      <c r="AW171" s="60"/>
      <c r="AX171" s="56"/>
      <c r="AZ171" s="56"/>
      <c r="CB171" s="56"/>
      <c r="CD171" s="56"/>
      <c r="CF171" s="56"/>
      <c r="CH171" s="56"/>
      <c r="CI171" s="57"/>
      <c r="CJ171" s="56"/>
      <c r="CL171" s="56"/>
      <c r="CM171" s="57"/>
      <c r="CN171" s="56"/>
      <c r="CO171" s="60"/>
      <c r="CP171" s="56"/>
      <c r="CQ171" s="57"/>
      <c r="CR171" s="56"/>
      <c r="CT171" s="56"/>
      <c r="CU171" s="60"/>
      <c r="CV171" s="56"/>
      <c r="CW171" s="60"/>
      <c r="CX171" s="56"/>
      <c r="CY171" s="60"/>
      <c r="CZ171" s="56"/>
      <c r="DB171" s="56"/>
      <c r="DD171" s="56"/>
      <c r="DE171" s="60"/>
      <c r="DF171" s="56"/>
      <c r="DG171" s="60"/>
      <c r="DH171" s="56"/>
      <c r="DI171" s="60"/>
      <c r="DJ171" s="56"/>
      <c r="DL171" s="56"/>
      <c r="DM171" s="60"/>
      <c r="DN171" s="56"/>
      <c r="DO171" s="60"/>
      <c r="DP171" s="56"/>
      <c r="DR171" s="56"/>
      <c r="ER171" s="55"/>
      <c r="ES171" s="55"/>
      <c r="ET171" s="56"/>
      <c r="EU171" s="55"/>
      <c r="EV171" s="56"/>
      <c r="EW171" s="55"/>
      <c r="EX171" s="56"/>
      <c r="EY171" s="55"/>
      <c r="EZ171" s="56"/>
      <c r="FA171" s="57"/>
      <c r="FB171" s="56"/>
      <c r="FC171" s="55"/>
      <c r="FD171" s="56"/>
      <c r="FE171" s="57"/>
      <c r="FF171" s="56"/>
      <c r="FG171" s="60"/>
      <c r="FH171" s="56"/>
      <c r="FI171" s="57"/>
      <c r="FJ171" s="56"/>
      <c r="FK171" s="55"/>
      <c r="FL171" s="56"/>
      <c r="FM171" s="60"/>
      <c r="FN171" s="56"/>
      <c r="FO171" s="60"/>
      <c r="FP171" s="56"/>
      <c r="FQ171" s="60"/>
      <c r="FR171" s="56"/>
      <c r="FS171" s="55"/>
      <c r="FT171" s="56"/>
      <c r="FU171" s="55"/>
      <c r="FV171" s="56"/>
      <c r="FW171" s="60"/>
      <c r="FX171" s="56"/>
      <c r="FY171" s="60"/>
      <c r="FZ171" s="56"/>
      <c r="GA171" s="60"/>
      <c r="GB171" s="56"/>
      <c r="GC171" s="55"/>
      <c r="GD171" s="56"/>
      <c r="GE171" s="60"/>
      <c r="GF171" s="56"/>
      <c r="GG171" s="60"/>
      <c r="GH171" s="56"/>
      <c r="GI171" s="55"/>
      <c r="GJ171" s="56"/>
      <c r="GK171" s="55"/>
      <c r="GL171" s="55"/>
      <c r="GM171" s="55"/>
      <c r="GN171" s="55"/>
      <c r="GO171" s="55"/>
      <c r="GP171" s="55"/>
      <c r="GQ171" s="55"/>
      <c r="GR171" s="55"/>
      <c r="GS171" s="55"/>
      <c r="GT171" s="55"/>
      <c r="GU171" s="55"/>
      <c r="GV171" s="55"/>
      <c r="GW171" s="55"/>
      <c r="GX171" s="55"/>
      <c r="GY171" s="55"/>
      <c r="GZ171" s="55"/>
      <c r="HA171" s="55"/>
      <c r="HB171" s="55"/>
      <c r="HC171" s="55"/>
      <c r="HD171" s="55"/>
      <c r="HE171" s="55"/>
      <c r="HF171" s="55"/>
      <c r="HG171" s="55"/>
      <c r="HH171" s="55"/>
    </row>
    <row r="172" spans="12:216" x14ac:dyDescent="0.3">
      <c r="L172" s="56"/>
      <c r="N172" s="56"/>
      <c r="P172" s="56"/>
      <c r="R172" s="56"/>
      <c r="T172" s="56"/>
      <c r="V172" s="56"/>
      <c r="W172" s="60"/>
      <c r="X172" s="56"/>
      <c r="Z172" s="56"/>
      <c r="AB172" s="56"/>
      <c r="AC172" s="60"/>
      <c r="AD172" s="56"/>
      <c r="AE172" s="60"/>
      <c r="AF172" s="56"/>
      <c r="AG172" s="60"/>
      <c r="AH172" s="56"/>
      <c r="AJ172" s="56"/>
      <c r="AL172" s="56"/>
      <c r="AM172" s="60"/>
      <c r="AN172" s="56"/>
      <c r="AO172" s="60"/>
      <c r="AP172" s="56"/>
      <c r="AQ172" s="60"/>
      <c r="AR172" s="56"/>
      <c r="AT172" s="56"/>
      <c r="AU172" s="60"/>
      <c r="AV172" s="56"/>
      <c r="AW172" s="60"/>
      <c r="AX172" s="56"/>
      <c r="AZ172" s="56"/>
      <c r="CB172" s="56"/>
      <c r="CD172" s="56"/>
      <c r="CF172" s="56"/>
      <c r="CH172" s="56"/>
      <c r="CI172" s="57"/>
      <c r="CJ172" s="56"/>
      <c r="CL172" s="56"/>
      <c r="CM172" s="57"/>
      <c r="CN172" s="56"/>
      <c r="CO172" s="60"/>
      <c r="CP172" s="56"/>
      <c r="CQ172" s="57"/>
      <c r="CR172" s="56"/>
      <c r="CT172" s="56"/>
      <c r="CU172" s="60"/>
      <c r="CV172" s="56"/>
      <c r="CW172" s="60"/>
      <c r="CX172" s="56"/>
      <c r="CY172" s="60"/>
      <c r="CZ172" s="56"/>
      <c r="DB172" s="56"/>
      <c r="DD172" s="56"/>
      <c r="DE172" s="60"/>
      <c r="DF172" s="56"/>
      <c r="DG172" s="60"/>
      <c r="DH172" s="56"/>
      <c r="DI172" s="60"/>
      <c r="DJ172" s="56"/>
      <c r="DL172" s="56"/>
      <c r="DM172" s="60"/>
      <c r="DN172" s="56"/>
      <c r="DO172" s="60"/>
      <c r="DP172" s="56"/>
      <c r="DR172" s="56"/>
      <c r="ER172" s="55"/>
      <c r="ES172" s="55"/>
      <c r="ET172" s="56"/>
      <c r="EU172" s="55"/>
      <c r="EV172" s="56"/>
      <c r="EW172" s="55"/>
      <c r="EX172" s="56"/>
      <c r="EY172" s="55"/>
      <c r="EZ172" s="56"/>
      <c r="FA172" s="57"/>
      <c r="FB172" s="56"/>
      <c r="FC172" s="55"/>
      <c r="FD172" s="56"/>
      <c r="FE172" s="57"/>
      <c r="FF172" s="56"/>
      <c r="FG172" s="60"/>
      <c r="FH172" s="56"/>
      <c r="FI172" s="57"/>
      <c r="FJ172" s="56"/>
      <c r="FK172" s="55"/>
      <c r="FL172" s="56"/>
      <c r="FM172" s="60"/>
      <c r="FN172" s="56"/>
      <c r="FO172" s="60"/>
      <c r="FP172" s="56"/>
      <c r="FQ172" s="60"/>
      <c r="FR172" s="56"/>
      <c r="FS172" s="55"/>
      <c r="FT172" s="56"/>
      <c r="FU172" s="55"/>
      <c r="FV172" s="56"/>
      <c r="FW172" s="60"/>
      <c r="FX172" s="56"/>
      <c r="FY172" s="60"/>
      <c r="FZ172" s="56"/>
      <c r="GA172" s="60"/>
      <c r="GB172" s="56"/>
      <c r="GC172" s="55"/>
      <c r="GD172" s="56"/>
      <c r="GE172" s="60"/>
      <c r="GF172" s="56"/>
      <c r="GG172" s="60"/>
      <c r="GH172" s="56"/>
      <c r="GI172" s="55"/>
      <c r="GJ172" s="56"/>
      <c r="GK172" s="55"/>
      <c r="GL172" s="55"/>
      <c r="GM172" s="55"/>
      <c r="GN172" s="55"/>
      <c r="GO172" s="55"/>
      <c r="GP172" s="55"/>
      <c r="GQ172" s="55"/>
      <c r="GR172" s="55"/>
      <c r="GS172" s="55"/>
      <c r="GT172" s="55"/>
      <c r="GU172" s="55"/>
      <c r="GV172" s="55"/>
      <c r="GW172" s="55"/>
      <c r="GX172" s="55"/>
      <c r="GY172" s="55"/>
      <c r="GZ172" s="55"/>
      <c r="HA172" s="55"/>
      <c r="HB172" s="55"/>
      <c r="HC172" s="55"/>
      <c r="HD172" s="55"/>
      <c r="HE172" s="55"/>
      <c r="HF172" s="55"/>
      <c r="HG172" s="55"/>
      <c r="HH172" s="55"/>
    </row>
    <row r="173" spans="12:216" x14ac:dyDescent="0.3">
      <c r="L173" s="56"/>
      <c r="N173" s="56"/>
      <c r="P173" s="56"/>
      <c r="R173" s="56"/>
      <c r="T173" s="56"/>
      <c r="V173" s="56"/>
      <c r="W173" s="60"/>
      <c r="X173" s="56"/>
      <c r="Z173" s="56"/>
      <c r="AB173" s="56"/>
      <c r="AC173" s="60"/>
      <c r="AD173" s="56"/>
      <c r="AE173" s="60"/>
      <c r="AF173" s="56"/>
      <c r="AG173" s="60"/>
      <c r="AH173" s="56"/>
      <c r="AJ173" s="56"/>
      <c r="AL173" s="56"/>
      <c r="AM173" s="60"/>
      <c r="AN173" s="56"/>
      <c r="AO173" s="60"/>
      <c r="AP173" s="56"/>
      <c r="AQ173" s="60"/>
      <c r="AR173" s="56"/>
      <c r="AT173" s="56"/>
      <c r="AU173" s="60"/>
      <c r="AV173" s="56"/>
      <c r="AW173" s="60"/>
      <c r="AX173" s="56"/>
      <c r="AZ173" s="56"/>
      <c r="CB173" s="56"/>
      <c r="CD173" s="56"/>
      <c r="CF173" s="56"/>
      <c r="CH173" s="56"/>
      <c r="CI173" s="57"/>
      <c r="CJ173" s="56"/>
      <c r="CL173" s="56"/>
      <c r="CM173" s="57"/>
      <c r="CN173" s="56"/>
      <c r="CO173" s="60"/>
      <c r="CP173" s="56"/>
      <c r="CQ173" s="57"/>
      <c r="CR173" s="56"/>
      <c r="CT173" s="56"/>
      <c r="CU173" s="60"/>
      <c r="CV173" s="56"/>
      <c r="CW173" s="60"/>
      <c r="CX173" s="56"/>
      <c r="CY173" s="60"/>
      <c r="CZ173" s="56"/>
      <c r="DB173" s="56"/>
      <c r="DD173" s="56"/>
      <c r="DE173" s="60"/>
      <c r="DF173" s="56"/>
      <c r="DG173" s="60"/>
      <c r="DH173" s="56"/>
      <c r="DI173" s="60"/>
      <c r="DJ173" s="56"/>
      <c r="DL173" s="56"/>
      <c r="DM173" s="60"/>
      <c r="DN173" s="56"/>
      <c r="DO173" s="60"/>
      <c r="DP173" s="56"/>
      <c r="DR173" s="56"/>
      <c r="ER173" s="55"/>
      <c r="ES173" s="55"/>
      <c r="ET173" s="56"/>
      <c r="EU173" s="55"/>
      <c r="EV173" s="56"/>
      <c r="EW173" s="55"/>
      <c r="EX173" s="56"/>
      <c r="EY173" s="55"/>
      <c r="EZ173" s="56"/>
      <c r="FA173" s="57"/>
      <c r="FB173" s="56"/>
      <c r="FC173" s="55"/>
      <c r="FD173" s="56"/>
      <c r="FE173" s="57"/>
      <c r="FF173" s="56"/>
      <c r="FG173" s="60"/>
      <c r="FH173" s="56"/>
      <c r="FI173" s="57"/>
      <c r="FJ173" s="56"/>
      <c r="FK173" s="55"/>
      <c r="FL173" s="56"/>
      <c r="FM173" s="60"/>
      <c r="FN173" s="56"/>
      <c r="FO173" s="60"/>
      <c r="FP173" s="56"/>
      <c r="FQ173" s="60"/>
      <c r="FR173" s="56"/>
      <c r="FS173" s="55"/>
      <c r="FT173" s="56"/>
      <c r="FU173" s="55"/>
      <c r="FV173" s="56"/>
      <c r="FW173" s="60"/>
      <c r="FX173" s="56"/>
      <c r="FY173" s="60"/>
      <c r="FZ173" s="56"/>
      <c r="GA173" s="60"/>
      <c r="GB173" s="56"/>
      <c r="GC173" s="55"/>
      <c r="GD173" s="56"/>
      <c r="GE173" s="60"/>
      <c r="GF173" s="56"/>
      <c r="GG173" s="60"/>
      <c r="GH173" s="56"/>
      <c r="GI173" s="55"/>
      <c r="GJ173" s="56"/>
      <c r="GK173" s="55"/>
      <c r="GL173" s="55"/>
      <c r="GM173" s="55"/>
      <c r="GN173" s="55"/>
      <c r="GO173" s="55"/>
      <c r="GP173" s="55"/>
      <c r="GQ173" s="55"/>
      <c r="GR173" s="55"/>
      <c r="GS173" s="55"/>
      <c r="GT173" s="55"/>
      <c r="GU173" s="55"/>
      <c r="GV173" s="55"/>
      <c r="GW173" s="55"/>
      <c r="GX173" s="55"/>
      <c r="GY173" s="55"/>
      <c r="GZ173" s="55"/>
      <c r="HA173" s="55"/>
      <c r="HB173" s="55"/>
      <c r="HC173" s="55"/>
      <c r="HD173" s="55"/>
      <c r="HE173" s="55"/>
      <c r="HF173" s="55"/>
      <c r="HG173" s="55"/>
      <c r="HH173" s="55"/>
    </row>
    <row r="174" spans="12:216" x14ac:dyDescent="0.3">
      <c r="L174" s="56"/>
      <c r="N174" s="56"/>
      <c r="P174" s="56"/>
      <c r="R174" s="56"/>
      <c r="T174" s="56"/>
      <c r="V174" s="56"/>
      <c r="W174" s="60"/>
      <c r="X174" s="56"/>
      <c r="Z174" s="56"/>
      <c r="AB174" s="56"/>
      <c r="AC174" s="60"/>
      <c r="AD174" s="56"/>
      <c r="AE174" s="60"/>
      <c r="AF174" s="56"/>
      <c r="AG174" s="60"/>
      <c r="AH174" s="56"/>
      <c r="AJ174" s="56"/>
      <c r="AL174" s="56"/>
      <c r="AM174" s="60"/>
      <c r="AN174" s="56"/>
      <c r="AO174" s="60"/>
      <c r="AP174" s="56"/>
      <c r="AQ174" s="60"/>
      <c r="AR174" s="56"/>
      <c r="AT174" s="56"/>
      <c r="AU174" s="60"/>
      <c r="AV174" s="56"/>
      <c r="AW174" s="60"/>
      <c r="AX174" s="56"/>
      <c r="AZ174" s="56"/>
      <c r="CB174" s="56"/>
      <c r="CD174" s="56"/>
      <c r="CF174" s="56"/>
      <c r="CH174" s="56"/>
      <c r="CI174" s="57"/>
      <c r="CJ174" s="56"/>
      <c r="CL174" s="56"/>
      <c r="CM174" s="57"/>
      <c r="CN174" s="56"/>
      <c r="CO174" s="60"/>
      <c r="CP174" s="56"/>
      <c r="CQ174" s="57"/>
      <c r="CR174" s="56"/>
      <c r="CT174" s="56"/>
      <c r="CU174" s="60"/>
      <c r="CV174" s="56"/>
      <c r="CW174" s="60"/>
      <c r="CX174" s="56"/>
      <c r="CY174" s="60"/>
      <c r="CZ174" s="56"/>
      <c r="DB174" s="56"/>
      <c r="DD174" s="56"/>
      <c r="DE174" s="60"/>
      <c r="DF174" s="56"/>
      <c r="DG174" s="60"/>
      <c r="DH174" s="56"/>
      <c r="DI174" s="60"/>
      <c r="DJ174" s="56"/>
      <c r="DL174" s="56"/>
      <c r="DM174" s="60"/>
      <c r="DN174" s="56"/>
      <c r="DO174" s="60"/>
      <c r="DP174" s="56"/>
      <c r="DR174" s="56"/>
      <c r="ER174" s="55"/>
      <c r="ES174" s="55"/>
      <c r="ET174" s="56"/>
      <c r="EU174" s="55"/>
      <c r="EV174" s="56"/>
      <c r="EW174" s="55"/>
      <c r="EX174" s="56"/>
      <c r="EY174" s="55"/>
      <c r="EZ174" s="56"/>
      <c r="FA174" s="57"/>
      <c r="FB174" s="56"/>
      <c r="FC174" s="55"/>
      <c r="FD174" s="56"/>
      <c r="FE174" s="57"/>
      <c r="FF174" s="56"/>
      <c r="FG174" s="60"/>
      <c r="FH174" s="56"/>
      <c r="FI174" s="57"/>
      <c r="FJ174" s="56"/>
      <c r="FK174" s="55"/>
      <c r="FL174" s="56"/>
      <c r="FM174" s="60"/>
      <c r="FN174" s="56"/>
      <c r="FO174" s="60"/>
      <c r="FP174" s="56"/>
      <c r="FQ174" s="60"/>
      <c r="FR174" s="56"/>
      <c r="FS174" s="55"/>
      <c r="FT174" s="56"/>
      <c r="FU174" s="55"/>
      <c r="FV174" s="56"/>
      <c r="FW174" s="60"/>
      <c r="FX174" s="56"/>
      <c r="FY174" s="60"/>
      <c r="FZ174" s="56"/>
      <c r="GA174" s="60"/>
      <c r="GB174" s="56"/>
      <c r="GC174" s="55"/>
      <c r="GD174" s="56"/>
      <c r="GE174" s="60"/>
      <c r="GF174" s="56"/>
      <c r="GG174" s="60"/>
      <c r="GH174" s="56"/>
      <c r="GI174" s="55"/>
      <c r="GJ174" s="56"/>
      <c r="GK174" s="55"/>
      <c r="GL174" s="55"/>
      <c r="GM174" s="55"/>
      <c r="GN174" s="55"/>
      <c r="GO174" s="55"/>
      <c r="GP174" s="55"/>
      <c r="GQ174" s="55"/>
      <c r="GR174" s="55"/>
      <c r="GS174" s="55"/>
      <c r="GT174" s="55"/>
      <c r="GU174" s="55"/>
      <c r="GV174" s="55"/>
      <c r="GW174" s="55"/>
      <c r="GX174" s="55"/>
      <c r="GY174" s="55"/>
      <c r="GZ174" s="55"/>
      <c r="HA174" s="55"/>
      <c r="HB174" s="55"/>
      <c r="HC174" s="55"/>
      <c r="HD174" s="55"/>
      <c r="HE174" s="55"/>
      <c r="HF174" s="55"/>
      <c r="HG174" s="55"/>
      <c r="HH174" s="55"/>
    </row>
    <row r="175" spans="12:216" x14ac:dyDescent="0.3">
      <c r="L175" s="56"/>
      <c r="N175" s="56"/>
      <c r="P175" s="56"/>
      <c r="R175" s="56"/>
      <c r="T175" s="56"/>
      <c r="V175" s="56"/>
      <c r="W175" s="60"/>
      <c r="X175" s="56"/>
      <c r="Z175" s="56"/>
      <c r="AB175" s="56"/>
      <c r="AC175" s="60"/>
      <c r="AD175" s="56"/>
      <c r="AE175" s="60"/>
      <c r="AF175" s="56"/>
      <c r="AG175" s="60"/>
      <c r="AH175" s="56"/>
      <c r="AJ175" s="56"/>
      <c r="AL175" s="56"/>
      <c r="AM175" s="60"/>
      <c r="AN175" s="56"/>
      <c r="AO175" s="60"/>
      <c r="AP175" s="56"/>
      <c r="AQ175" s="60"/>
      <c r="AR175" s="56"/>
      <c r="AT175" s="56"/>
      <c r="AU175" s="60"/>
      <c r="AV175" s="56"/>
      <c r="AW175" s="60"/>
      <c r="AX175" s="56"/>
      <c r="AZ175" s="56"/>
      <c r="CB175" s="56"/>
      <c r="CD175" s="56"/>
      <c r="CF175" s="56"/>
      <c r="CH175" s="56"/>
      <c r="CI175" s="57"/>
      <c r="CJ175" s="56"/>
      <c r="CL175" s="56"/>
      <c r="CM175" s="57"/>
      <c r="CN175" s="56"/>
      <c r="CO175" s="60"/>
      <c r="CP175" s="56"/>
      <c r="CQ175" s="57"/>
      <c r="CR175" s="56"/>
      <c r="CT175" s="56"/>
      <c r="CU175" s="60"/>
      <c r="CV175" s="56"/>
      <c r="CW175" s="60"/>
      <c r="CX175" s="56"/>
      <c r="CY175" s="60"/>
      <c r="CZ175" s="56"/>
      <c r="DB175" s="56"/>
      <c r="DD175" s="56"/>
      <c r="DE175" s="60"/>
      <c r="DF175" s="56"/>
      <c r="DG175" s="60"/>
      <c r="DH175" s="56"/>
      <c r="DI175" s="60"/>
      <c r="DJ175" s="56"/>
      <c r="DL175" s="56"/>
      <c r="DM175" s="60"/>
      <c r="DN175" s="56"/>
      <c r="DO175" s="60"/>
      <c r="DP175" s="56"/>
      <c r="DR175" s="56"/>
      <c r="ER175" s="55"/>
      <c r="ES175" s="55"/>
      <c r="ET175" s="56"/>
      <c r="EU175" s="55"/>
      <c r="EV175" s="56"/>
      <c r="EW175" s="55"/>
      <c r="EX175" s="56"/>
      <c r="EY175" s="55"/>
      <c r="EZ175" s="56"/>
      <c r="FA175" s="57"/>
      <c r="FB175" s="56"/>
      <c r="FC175" s="55"/>
      <c r="FD175" s="56"/>
      <c r="FE175" s="57"/>
      <c r="FF175" s="56"/>
      <c r="FG175" s="60"/>
      <c r="FH175" s="56"/>
      <c r="FI175" s="57"/>
      <c r="FJ175" s="56"/>
      <c r="FK175" s="55"/>
      <c r="FL175" s="56"/>
      <c r="FM175" s="60"/>
      <c r="FN175" s="56"/>
      <c r="FO175" s="60"/>
      <c r="FP175" s="56"/>
      <c r="FQ175" s="60"/>
      <c r="FR175" s="56"/>
      <c r="FS175" s="55"/>
      <c r="FT175" s="56"/>
      <c r="FU175" s="55"/>
      <c r="FV175" s="56"/>
      <c r="FW175" s="60"/>
      <c r="FX175" s="56"/>
      <c r="FY175" s="60"/>
      <c r="FZ175" s="56"/>
      <c r="GA175" s="60"/>
      <c r="GB175" s="56"/>
      <c r="GC175" s="55"/>
      <c r="GD175" s="56"/>
      <c r="GE175" s="60"/>
      <c r="GF175" s="56"/>
      <c r="GG175" s="60"/>
      <c r="GH175" s="56"/>
      <c r="GI175" s="55"/>
      <c r="GJ175" s="56"/>
      <c r="GK175" s="55"/>
      <c r="GL175" s="55"/>
      <c r="GM175" s="55"/>
      <c r="GN175" s="55"/>
      <c r="GO175" s="55"/>
      <c r="GP175" s="55"/>
      <c r="GQ175" s="55"/>
      <c r="GR175" s="55"/>
      <c r="GS175" s="55"/>
      <c r="GT175" s="55"/>
      <c r="GU175" s="55"/>
      <c r="GV175" s="55"/>
      <c r="GW175" s="55"/>
      <c r="GX175" s="55"/>
      <c r="GY175" s="55"/>
      <c r="GZ175" s="55"/>
      <c r="HA175" s="55"/>
      <c r="HB175" s="55"/>
      <c r="HC175" s="55"/>
      <c r="HD175" s="55"/>
      <c r="HE175" s="55"/>
      <c r="HF175" s="55"/>
      <c r="HG175" s="55"/>
      <c r="HH175" s="55"/>
    </row>
    <row r="176" spans="12:216" x14ac:dyDescent="0.3">
      <c r="L176" s="56"/>
      <c r="N176" s="56"/>
      <c r="P176" s="56"/>
      <c r="R176" s="56"/>
      <c r="T176" s="56"/>
      <c r="V176" s="56"/>
      <c r="W176" s="60"/>
      <c r="X176" s="56"/>
      <c r="Z176" s="56"/>
      <c r="AB176" s="56"/>
      <c r="AC176" s="60"/>
      <c r="AD176" s="56"/>
      <c r="AE176" s="60"/>
      <c r="AF176" s="56"/>
      <c r="AG176" s="60"/>
      <c r="AH176" s="56"/>
      <c r="AJ176" s="56"/>
      <c r="AL176" s="56"/>
      <c r="AM176" s="60"/>
      <c r="AN176" s="56"/>
      <c r="AO176" s="60"/>
      <c r="AP176" s="56"/>
      <c r="AQ176" s="60"/>
      <c r="AR176" s="56"/>
      <c r="AT176" s="56"/>
      <c r="AU176" s="60"/>
      <c r="AV176" s="56"/>
      <c r="AW176" s="60"/>
      <c r="AX176" s="56"/>
      <c r="AZ176" s="56"/>
      <c r="CB176" s="56"/>
      <c r="CD176" s="56"/>
      <c r="CF176" s="56"/>
      <c r="CH176" s="56"/>
      <c r="CI176" s="57"/>
      <c r="CJ176" s="56"/>
      <c r="CL176" s="56"/>
      <c r="CM176" s="57"/>
      <c r="CN176" s="56"/>
      <c r="CO176" s="60"/>
      <c r="CP176" s="56"/>
      <c r="CQ176" s="57"/>
      <c r="CR176" s="56"/>
      <c r="CT176" s="56"/>
      <c r="CU176" s="60"/>
      <c r="CV176" s="56"/>
      <c r="CW176" s="60"/>
      <c r="CX176" s="56"/>
      <c r="CY176" s="60"/>
      <c r="CZ176" s="56"/>
      <c r="DB176" s="56"/>
      <c r="DD176" s="56"/>
      <c r="DE176" s="60"/>
      <c r="DF176" s="56"/>
      <c r="DG176" s="60"/>
      <c r="DH176" s="56"/>
      <c r="DI176" s="60"/>
      <c r="DJ176" s="56"/>
      <c r="DL176" s="56"/>
      <c r="DM176" s="60"/>
      <c r="DN176" s="56"/>
      <c r="DO176" s="60"/>
      <c r="DP176" s="56"/>
      <c r="DR176" s="56"/>
      <c r="ER176" s="55"/>
      <c r="ES176" s="55"/>
      <c r="ET176" s="56"/>
      <c r="EU176" s="55"/>
      <c r="EV176" s="56"/>
      <c r="EW176" s="55"/>
      <c r="EX176" s="56"/>
      <c r="EY176" s="55"/>
      <c r="EZ176" s="56"/>
      <c r="FA176" s="57"/>
      <c r="FB176" s="56"/>
      <c r="FC176" s="55"/>
      <c r="FD176" s="56"/>
      <c r="FE176" s="57"/>
      <c r="FF176" s="56"/>
      <c r="FG176" s="60"/>
      <c r="FH176" s="56"/>
      <c r="FI176" s="57"/>
      <c r="FJ176" s="56"/>
      <c r="FK176" s="55"/>
      <c r="FL176" s="56"/>
      <c r="FM176" s="60"/>
      <c r="FN176" s="56"/>
      <c r="FO176" s="60"/>
      <c r="FP176" s="56"/>
      <c r="FQ176" s="60"/>
      <c r="FR176" s="56"/>
      <c r="FS176" s="55"/>
      <c r="FT176" s="56"/>
      <c r="FU176" s="55"/>
      <c r="FV176" s="56"/>
      <c r="FW176" s="60"/>
      <c r="FX176" s="56"/>
      <c r="FY176" s="60"/>
      <c r="FZ176" s="56"/>
      <c r="GA176" s="60"/>
      <c r="GB176" s="56"/>
      <c r="GC176" s="55"/>
      <c r="GD176" s="56"/>
      <c r="GE176" s="60"/>
      <c r="GF176" s="56"/>
      <c r="GG176" s="60"/>
      <c r="GH176" s="56"/>
      <c r="GI176" s="55"/>
      <c r="GJ176" s="56"/>
      <c r="GK176" s="55"/>
      <c r="GL176" s="55"/>
      <c r="GM176" s="55"/>
      <c r="GN176" s="55"/>
      <c r="GO176" s="55"/>
      <c r="GP176" s="55"/>
      <c r="GQ176" s="55"/>
      <c r="GR176" s="55"/>
      <c r="GS176" s="55"/>
      <c r="GT176" s="55"/>
      <c r="GU176" s="55"/>
      <c r="GV176" s="55"/>
      <c r="GW176" s="55"/>
      <c r="GX176" s="55"/>
      <c r="GY176" s="55"/>
      <c r="GZ176" s="55"/>
      <c r="HA176" s="55"/>
      <c r="HB176" s="55"/>
      <c r="HC176" s="55"/>
      <c r="HD176" s="55"/>
      <c r="HE176" s="55"/>
      <c r="HF176" s="55"/>
      <c r="HG176" s="55"/>
      <c r="HH176" s="55"/>
    </row>
    <row r="177" spans="12:216" x14ac:dyDescent="0.3">
      <c r="L177" s="56"/>
      <c r="N177" s="56"/>
      <c r="P177" s="56"/>
      <c r="R177" s="56"/>
      <c r="T177" s="56"/>
      <c r="V177" s="56"/>
      <c r="W177" s="60"/>
      <c r="X177" s="56"/>
      <c r="Z177" s="56"/>
      <c r="AB177" s="56"/>
      <c r="AC177" s="60"/>
      <c r="AD177" s="56"/>
      <c r="AE177" s="60"/>
      <c r="AF177" s="56"/>
      <c r="AG177" s="60"/>
      <c r="AH177" s="56"/>
      <c r="AJ177" s="56"/>
      <c r="AL177" s="56"/>
      <c r="AM177" s="60"/>
      <c r="AN177" s="56"/>
      <c r="AO177" s="60"/>
      <c r="AP177" s="56"/>
      <c r="AQ177" s="60"/>
      <c r="AR177" s="56"/>
      <c r="AT177" s="56"/>
      <c r="AU177" s="60"/>
      <c r="AV177" s="56"/>
      <c r="AW177" s="60"/>
      <c r="AX177" s="56"/>
      <c r="AZ177" s="56"/>
      <c r="CB177" s="56"/>
      <c r="CD177" s="56"/>
      <c r="CF177" s="56"/>
      <c r="CH177" s="56"/>
      <c r="CI177" s="57"/>
      <c r="CJ177" s="56"/>
      <c r="CL177" s="56"/>
      <c r="CM177" s="57"/>
      <c r="CN177" s="56"/>
      <c r="CO177" s="60"/>
      <c r="CP177" s="56"/>
      <c r="CQ177" s="57"/>
      <c r="CR177" s="56"/>
      <c r="CT177" s="56"/>
      <c r="CU177" s="60"/>
      <c r="CV177" s="56"/>
      <c r="CW177" s="60"/>
      <c r="CX177" s="56"/>
      <c r="CY177" s="60"/>
      <c r="CZ177" s="56"/>
      <c r="DB177" s="56"/>
      <c r="DD177" s="56"/>
      <c r="DE177" s="60"/>
      <c r="DF177" s="56"/>
      <c r="DG177" s="60"/>
      <c r="DH177" s="56"/>
      <c r="DI177" s="60"/>
      <c r="DJ177" s="56"/>
      <c r="DL177" s="56"/>
      <c r="DM177" s="60"/>
      <c r="DN177" s="56"/>
      <c r="DO177" s="60"/>
      <c r="DP177" s="56"/>
      <c r="DR177" s="56"/>
      <c r="ER177" s="55"/>
      <c r="ES177" s="55"/>
      <c r="ET177" s="56"/>
      <c r="EU177" s="55"/>
      <c r="EV177" s="56"/>
      <c r="EW177" s="55"/>
      <c r="EX177" s="56"/>
      <c r="EY177" s="55"/>
      <c r="EZ177" s="56"/>
      <c r="FA177" s="57"/>
      <c r="FB177" s="56"/>
      <c r="FC177" s="55"/>
      <c r="FD177" s="56"/>
      <c r="FE177" s="57"/>
      <c r="FF177" s="56"/>
      <c r="FG177" s="60"/>
      <c r="FH177" s="56"/>
      <c r="FI177" s="57"/>
      <c r="FJ177" s="56"/>
      <c r="FK177" s="55"/>
      <c r="FL177" s="56"/>
      <c r="FM177" s="60"/>
      <c r="FN177" s="56"/>
      <c r="FO177" s="60"/>
      <c r="FP177" s="56"/>
      <c r="FQ177" s="60"/>
      <c r="FR177" s="56"/>
      <c r="FS177" s="55"/>
      <c r="FT177" s="56"/>
      <c r="FU177" s="55"/>
      <c r="FV177" s="56"/>
      <c r="FW177" s="60"/>
      <c r="FX177" s="56"/>
      <c r="FY177" s="60"/>
      <c r="FZ177" s="56"/>
      <c r="GA177" s="60"/>
      <c r="GB177" s="56"/>
      <c r="GC177" s="55"/>
      <c r="GD177" s="56"/>
      <c r="GE177" s="60"/>
      <c r="GF177" s="56"/>
      <c r="GG177" s="60"/>
      <c r="GH177" s="56"/>
      <c r="GI177" s="55"/>
      <c r="GJ177" s="56"/>
      <c r="GK177" s="55"/>
      <c r="GL177" s="55"/>
      <c r="GM177" s="55"/>
      <c r="GN177" s="55"/>
      <c r="GO177" s="55"/>
      <c r="GP177" s="55"/>
      <c r="GQ177" s="55"/>
      <c r="GR177" s="55"/>
      <c r="GS177" s="55"/>
      <c r="GT177" s="55"/>
      <c r="GU177" s="55"/>
      <c r="GV177" s="55"/>
      <c r="GW177" s="55"/>
      <c r="GX177" s="55"/>
      <c r="GY177" s="55"/>
      <c r="GZ177" s="55"/>
      <c r="HA177" s="55"/>
      <c r="HB177" s="55"/>
      <c r="HC177" s="55"/>
      <c r="HD177" s="55"/>
      <c r="HE177" s="55"/>
      <c r="HF177" s="55"/>
      <c r="HG177" s="55"/>
      <c r="HH177" s="55"/>
    </row>
    <row r="178" spans="12:216" x14ac:dyDescent="0.3">
      <c r="L178" s="56"/>
      <c r="N178" s="56"/>
      <c r="P178" s="56"/>
      <c r="R178" s="56"/>
      <c r="T178" s="56"/>
      <c r="V178" s="56"/>
      <c r="W178" s="60"/>
      <c r="X178" s="56"/>
      <c r="Z178" s="56"/>
      <c r="AB178" s="56"/>
      <c r="AC178" s="60"/>
      <c r="AD178" s="56"/>
      <c r="AE178" s="60"/>
      <c r="AF178" s="56"/>
      <c r="AG178" s="60"/>
      <c r="AH178" s="56"/>
      <c r="AJ178" s="56"/>
      <c r="AL178" s="56"/>
      <c r="AM178" s="60"/>
      <c r="AN178" s="56"/>
      <c r="AO178" s="60"/>
      <c r="AP178" s="56"/>
      <c r="AQ178" s="60"/>
      <c r="AR178" s="56"/>
      <c r="AT178" s="56"/>
      <c r="AU178" s="60"/>
      <c r="AV178" s="56"/>
      <c r="AW178" s="60"/>
      <c r="AX178" s="56"/>
      <c r="AZ178" s="56"/>
      <c r="CB178" s="56"/>
      <c r="CD178" s="56"/>
      <c r="CF178" s="56"/>
      <c r="CH178" s="56"/>
      <c r="CI178" s="57"/>
      <c r="CJ178" s="56"/>
      <c r="CL178" s="56"/>
      <c r="CM178" s="57"/>
      <c r="CN178" s="56"/>
      <c r="CO178" s="60"/>
      <c r="CP178" s="56"/>
      <c r="CQ178" s="57"/>
      <c r="CR178" s="56"/>
      <c r="CT178" s="56"/>
      <c r="CU178" s="60"/>
      <c r="CV178" s="56"/>
      <c r="CW178" s="60"/>
      <c r="CX178" s="56"/>
      <c r="CY178" s="60"/>
      <c r="CZ178" s="56"/>
      <c r="DB178" s="56"/>
      <c r="DD178" s="56"/>
      <c r="DE178" s="60"/>
      <c r="DF178" s="56"/>
      <c r="DG178" s="60"/>
      <c r="DH178" s="56"/>
      <c r="DI178" s="60"/>
      <c r="DJ178" s="56"/>
      <c r="DL178" s="56"/>
      <c r="DM178" s="60"/>
      <c r="DN178" s="56"/>
      <c r="DO178" s="60"/>
      <c r="DP178" s="56"/>
      <c r="DR178" s="56"/>
      <c r="ER178" s="55"/>
      <c r="ES178" s="55"/>
      <c r="ET178" s="56"/>
      <c r="EU178" s="55"/>
      <c r="EV178" s="56"/>
      <c r="EW178" s="55"/>
      <c r="EX178" s="56"/>
      <c r="EY178" s="55"/>
      <c r="EZ178" s="56"/>
      <c r="FA178" s="57"/>
      <c r="FB178" s="56"/>
      <c r="FC178" s="55"/>
      <c r="FD178" s="56"/>
      <c r="FE178" s="57"/>
      <c r="FF178" s="56"/>
      <c r="FG178" s="60"/>
      <c r="FH178" s="56"/>
      <c r="FI178" s="57"/>
      <c r="FJ178" s="56"/>
      <c r="FK178" s="55"/>
      <c r="FL178" s="56"/>
      <c r="FM178" s="60"/>
      <c r="FN178" s="56"/>
      <c r="FO178" s="60"/>
      <c r="FP178" s="56"/>
      <c r="FQ178" s="60"/>
      <c r="FR178" s="56"/>
      <c r="FS178" s="55"/>
      <c r="FT178" s="56"/>
      <c r="FU178" s="55"/>
      <c r="FV178" s="56"/>
      <c r="FW178" s="60"/>
      <c r="FX178" s="56"/>
      <c r="FY178" s="60"/>
      <c r="FZ178" s="56"/>
      <c r="GA178" s="60"/>
      <c r="GB178" s="56"/>
      <c r="GC178" s="55"/>
      <c r="GD178" s="56"/>
      <c r="GE178" s="60"/>
      <c r="GF178" s="56"/>
      <c r="GG178" s="60"/>
      <c r="GH178" s="56"/>
      <c r="GI178" s="55"/>
      <c r="GJ178" s="56"/>
      <c r="GK178" s="55"/>
      <c r="GL178" s="55"/>
      <c r="GM178" s="55"/>
      <c r="GN178" s="55"/>
      <c r="GO178" s="55"/>
      <c r="GP178" s="55"/>
      <c r="GQ178" s="55"/>
      <c r="GR178" s="55"/>
      <c r="GS178" s="55"/>
      <c r="GT178" s="55"/>
      <c r="GU178" s="55"/>
      <c r="GV178" s="55"/>
      <c r="GW178" s="55"/>
      <c r="GX178" s="55"/>
      <c r="GY178" s="55"/>
      <c r="GZ178" s="55"/>
      <c r="HA178" s="55"/>
      <c r="HB178" s="55"/>
      <c r="HC178" s="55"/>
      <c r="HD178" s="55"/>
      <c r="HE178" s="55"/>
      <c r="HF178" s="55"/>
      <c r="HG178" s="55"/>
      <c r="HH178" s="55"/>
    </row>
    <row r="179" spans="12:216" x14ac:dyDescent="0.3">
      <c r="L179" s="56"/>
      <c r="N179" s="56"/>
      <c r="P179" s="56"/>
      <c r="R179" s="56"/>
      <c r="T179" s="56"/>
      <c r="V179" s="56"/>
      <c r="W179" s="60"/>
      <c r="X179" s="56"/>
      <c r="Z179" s="56"/>
      <c r="AB179" s="56"/>
      <c r="AC179" s="60"/>
      <c r="AD179" s="56"/>
      <c r="AE179" s="60"/>
      <c r="AF179" s="56"/>
      <c r="AG179" s="60"/>
      <c r="AH179" s="56"/>
      <c r="AJ179" s="56"/>
      <c r="AL179" s="56"/>
      <c r="AM179" s="60"/>
      <c r="AN179" s="56"/>
      <c r="AO179" s="60"/>
      <c r="AP179" s="56"/>
      <c r="AQ179" s="60"/>
      <c r="AR179" s="56"/>
      <c r="AT179" s="56"/>
      <c r="AU179" s="60"/>
      <c r="AV179" s="56"/>
      <c r="AW179" s="60"/>
      <c r="AX179" s="56"/>
      <c r="AZ179" s="56"/>
      <c r="CB179" s="56"/>
      <c r="CD179" s="56"/>
      <c r="CF179" s="56"/>
      <c r="CH179" s="56"/>
      <c r="CI179" s="57"/>
      <c r="CJ179" s="56"/>
      <c r="CL179" s="56"/>
      <c r="CM179" s="57"/>
      <c r="CN179" s="56"/>
      <c r="CO179" s="60"/>
      <c r="CP179" s="56"/>
      <c r="CQ179" s="57"/>
      <c r="CR179" s="56"/>
      <c r="CT179" s="56"/>
      <c r="CU179" s="60"/>
      <c r="CV179" s="56"/>
      <c r="CW179" s="60"/>
      <c r="CX179" s="56"/>
      <c r="CY179" s="60"/>
      <c r="CZ179" s="56"/>
      <c r="DB179" s="56"/>
      <c r="DD179" s="56"/>
      <c r="DE179" s="60"/>
      <c r="DF179" s="56"/>
      <c r="DG179" s="60"/>
      <c r="DH179" s="56"/>
      <c r="DI179" s="60"/>
      <c r="DJ179" s="56"/>
      <c r="DL179" s="56"/>
      <c r="DM179" s="60"/>
      <c r="DN179" s="56"/>
      <c r="DO179" s="60"/>
      <c r="DP179" s="56"/>
      <c r="DR179" s="56"/>
      <c r="ER179" s="55"/>
      <c r="ES179" s="55"/>
      <c r="ET179" s="56"/>
      <c r="EU179" s="55"/>
      <c r="EV179" s="56"/>
      <c r="EW179" s="55"/>
      <c r="EX179" s="56"/>
      <c r="EY179" s="55"/>
      <c r="EZ179" s="56"/>
      <c r="FA179" s="57"/>
      <c r="FB179" s="56"/>
      <c r="FC179" s="55"/>
      <c r="FD179" s="56"/>
      <c r="FE179" s="57"/>
      <c r="FF179" s="56"/>
      <c r="FG179" s="60"/>
      <c r="FH179" s="56"/>
      <c r="FI179" s="57"/>
      <c r="FJ179" s="56"/>
      <c r="FK179" s="55"/>
      <c r="FL179" s="56"/>
      <c r="FM179" s="60"/>
      <c r="FN179" s="56"/>
      <c r="FO179" s="60"/>
      <c r="FP179" s="56"/>
      <c r="FQ179" s="60"/>
      <c r="FR179" s="56"/>
      <c r="FS179" s="55"/>
      <c r="FT179" s="56"/>
      <c r="FU179" s="55"/>
      <c r="FV179" s="56"/>
      <c r="FW179" s="60"/>
      <c r="FX179" s="56"/>
      <c r="FY179" s="60"/>
      <c r="FZ179" s="56"/>
      <c r="GA179" s="60"/>
      <c r="GB179" s="56"/>
      <c r="GC179" s="55"/>
      <c r="GD179" s="56"/>
      <c r="GE179" s="60"/>
      <c r="GF179" s="56"/>
      <c r="GG179" s="60"/>
      <c r="GH179" s="56"/>
      <c r="GI179" s="55"/>
      <c r="GJ179" s="56"/>
      <c r="GK179" s="55"/>
      <c r="GL179" s="55"/>
      <c r="GM179" s="55"/>
      <c r="GN179" s="55"/>
      <c r="GO179" s="55"/>
      <c r="GP179" s="55"/>
      <c r="GQ179" s="55"/>
      <c r="GR179" s="55"/>
      <c r="GS179" s="55"/>
      <c r="GT179" s="55"/>
      <c r="GU179" s="55"/>
      <c r="GV179" s="55"/>
      <c r="GW179" s="55"/>
      <c r="GX179" s="55"/>
      <c r="GY179" s="55"/>
      <c r="GZ179" s="55"/>
      <c r="HA179" s="55"/>
      <c r="HB179" s="55"/>
      <c r="HC179" s="55"/>
      <c r="HD179" s="55"/>
      <c r="HE179" s="55"/>
      <c r="HF179" s="55"/>
      <c r="HG179" s="55"/>
      <c r="HH179" s="55"/>
    </row>
    <row r="180" spans="12:216" x14ac:dyDescent="0.3">
      <c r="L180" s="56"/>
      <c r="N180" s="56"/>
      <c r="P180" s="56"/>
      <c r="R180" s="56"/>
      <c r="T180" s="56"/>
      <c r="V180" s="56"/>
      <c r="W180" s="60"/>
      <c r="X180" s="56"/>
      <c r="Z180" s="56"/>
      <c r="AB180" s="56"/>
      <c r="AC180" s="60"/>
      <c r="AD180" s="56"/>
      <c r="AE180" s="60"/>
      <c r="AF180" s="56"/>
      <c r="AG180" s="60"/>
      <c r="AH180" s="56"/>
      <c r="AJ180" s="56"/>
      <c r="AL180" s="56"/>
      <c r="AM180" s="60"/>
      <c r="AN180" s="56"/>
      <c r="AO180" s="60"/>
      <c r="AP180" s="56"/>
      <c r="AQ180" s="60"/>
      <c r="AR180" s="56"/>
      <c r="AT180" s="56"/>
      <c r="AU180" s="60"/>
      <c r="AV180" s="56"/>
      <c r="AW180" s="60"/>
      <c r="AX180" s="56"/>
      <c r="AZ180" s="56"/>
      <c r="CB180" s="56"/>
      <c r="CD180" s="56"/>
      <c r="CF180" s="56"/>
      <c r="CH180" s="56"/>
      <c r="CI180" s="57"/>
      <c r="CJ180" s="56"/>
      <c r="CL180" s="56"/>
      <c r="CM180" s="57"/>
      <c r="CN180" s="56"/>
      <c r="CO180" s="60"/>
      <c r="CP180" s="56"/>
      <c r="CQ180" s="57"/>
      <c r="CR180" s="56"/>
      <c r="CT180" s="56"/>
      <c r="CU180" s="60"/>
      <c r="CV180" s="56"/>
      <c r="CW180" s="60"/>
      <c r="CX180" s="56"/>
      <c r="CY180" s="60"/>
      <c r="CZ180" s="56"/>
      <c r="DB180" s="56"/>
      <c r="DD180" s="56"/>
      <c r="DE180" s="60"/>
      <c r="DF180" s="56"/>
      <c r="DG180" s="60"/>
      <c r="DH180" s="56"/>
      <c r="DI180" s="60"/>
      <c r="DJ180" s="56"/>
      <c r="DL180" s="56"/>
      <c r="DM180" s="60"/>
      <c r="DN180" s="56"/>
      <c r="DO180" s="60"/>
      <c r="DP180" s="56"/>
      <c r="DR180" s="56"/>
      <c r="ER180" s="55"/>
      <c r="ES180" s="55"/>
      <c r="ET180" s="56"/>
      <c r="EU180" s="55"/>
      <c r="EV180" s="56"/>
      <c r="EW180" s="55"/>
      <c r="EX180" s="56"/>
      <c r="EY180" s="55"/>
      <c r="EZ180" s="56"/>
      <c r="FA180" s="57"/>
      <c r="FB180" s="56"/>
      <c r="FC180" s="55"/>
      <c r="FD180" s="56"/>
      <c r="FE180" s="57"/>
      <c r="FF180" s="56"/>
      <c r="FG180" s="60"/>
      <c r="FH180" s="56"/>
      <c r="FI180" s="57"/>
      <c r="FJ180" s="56"/>
      <c r="FK180" s="55"/>
      <c r="FL180" s="56"/>
      <c r="FM180" s="60"/>
      <c r="FN180" s="56"/>
      <c r="FO180" s="60"/>
      <c r="FP180" s="56"/>
      <c r="FQ180" s="60"/>
      <c r="FR180" s="56"/>
      <c r="FS180" s="55"/>
      <c r="FT180" s="56"/>
      <c r="FU180" s="55"/>
      <c r="FV180" s="56"/>
      <c r="FW180" s="60"/>
      <c r="FX180" s="56"/>
      <c r="FY180" s="60"/>
      <c r="FZ180" s="56"/>
      <c r="GA180" s="60"/>
      <c r="GB180" s="56"/>
      <c r="GC180" s="55"/>
      <c r="GD180" s="56"/>
      <c r="GE180" s="60"/>
      <c r="GF180" s="56"/>
      <c r="GG180" s="60"/>
      <c r="GH180" s="56"/>
      <c r="GI180" s="55"/>
      <c r="GJ180" s="56"/>
      <c r="GK180" s="55"/>
      <c r="GL180" s="55"/>
      <c r="GM180" s="55"/>
      <c r="GN180" s="55"/>
      <c r="GO180" s="55"/>
      <c r="GP180" s="55"/>
      <c r="GQ180" s="55"/>
      <c r="GR180" s="55"/>
      <c r="GS180" s="55"/>
      <c r="GT180" s="55"/>
      <c r="GU180" s="55"/>
      <c r="GV180" s="55"/>
      <c r="GW180" s="55"/>
      <c r="GX180" s="55"/>
      <c r="GY180" s="55"/>
      <c r="GZ180" s="55"/>
      <c r="HA180" s="55"/>
      <c r="HB180" s="55"/>
      <c r="HC180" s="55"/>
      <c r="HD180" s="55"/>
      <c r="HE180" s="55"/>
      <c r="HF180" s="55"/>
      <c r="HG180" s="55"/>
      <c r="HH180" s="55"/>
    </row>
    <row r="181" spans="12:216" x14ac:dyDescent="0.3">
      <c r="L181" s="56"/>
      <c r="N181" s="56"/>
      <c r="P181" s="56"/>
      <c r="R181" s="56"/>
      <c r="T181" s="56"/>
      <c r="V181" s="56"/>
      <c r="W181" s="60"/>
      <c r="X181" s="56"/>
      <c r="Z181" s="56"/>
      <c r="AB181" s="56"/>
      <c r="AC181" s="60"/>
      <c r="AD181" s="56"/>
      <c r="AE181" s="60"/>
      <c r="AF181" s="56"/>
      <c r="AG181" s="60"/>
      <c r="AH181" s="56"/>
      <c r="AJ181" s="56"/>
      <c r="AL181" s="56"/>
      <c r="AM181" s="60"/>
      <c r="AN181" s="56"/>
      <c r="AO181" s="60"/>
      <c r="AP181" s="56"/>
      <c r="AQ181" s="60"/>
      <c r="AR181" s="56"/>
      <c r="AT181" s="56"/>
      <c r="AU181" s="60"/>
      <c r="AV181" s="56"/>
      <c r="AW181" s="60"/>
      <c r="AX181" s="56"/>
      <c r="AZ181" s="56"/>
      <c r="CB181" s="56"/>
      <c r="CD181" s="56"/>
      <c r="CF181" s="56"/>
      <c r="CH181" s="56"/>
      <c r="CI181" s="57"/>
      <c r="CJ181" s="56"/>
      <c r="CL181" s="56"/>
      <c r="CM181" s="57"/>
      <c r="CN181" s="56"/>
      <c r="CO181" s="60"/>
      <c r="CP181" s="56"/>
      <c r="CQ181" s="57"/>
      <c r="CR181" s="56"/>
      <c r="CT181" s="56"/>
      <c r="CU181" s="60"/>
      <c r="CV181" s="56"/>
      <c r="CW181" s="60"/>
      <c r="CX181" s="56"/>
      <c r="CY181" s="60"/>
      <c r="CZ181" s="56"/>
      <c r="DB181" s="56"/>
      <c r="DD181" s="56"/>
      <c r="DE181" s="60"/>
      <c r="DF181" s="56"/>
      <c r="DG181" s="60"/>
      <c r="DH181" s="56"/>
      <c r="DI181" s="60"/>
      <c r="DJ181" s="56"/>
      <c r="DL181" s="56"/>
      <c r="DM181" s="60"/>
      <c r="DN181" s="56"/>
      <c r="DO181" s="60"/>
      <c r="DP181" s="56"/>
      <c r="DR181" s="56"/>
      <c r="ER181" s="55"/>
      <c r="ES181" s="55"/>
      <c r="ET181" s="56"/>
      <c r="EU181" s="55"/>
      <c r="EV181" s="56"/>
      <c r="EW181" s="55"/>
      <c r="EX181" s="56"/>
      <c r="EY181" s="55"/>
      <c r="EZ181" s="56"/>
      <c r="FA181" s="57"/>
      <c r="FB181" s="56"/>
      <c r="FC181" s="55"/>
      <c r="FD181" s="56"/>
      <c r="FE181" s="57"/>
      <c r="FF181" s="56"/>
      <c r="FG181" s="60"/>
      <c r="FH181" s="56"/>
      <c r="FI181" s="57"/>
      <c r="FJ181" s="56"/>
      <c r="FK181" s="55"/>
      <c r="FL181" s="56"/>
      <c r="FM181" s="60"/>
      <c r="FN181" s="56"/>
      <c r="FO181" s="60"/>
      <c r="FP181" s="56"/>
      <c r="FQ181" s="60"/>
      <c r="FR181" s="56"/>
      <c r="FS181" s="55"/>
      <c r="FT181" s="56"/>
      <c r="FU181" s="55"/>
      <c r="FV181" s="56"/>
      <c r="FW181" s="60"/>
      <c r="FX181" s="56"/>
      <c r="FY181" s="60"/>
      <c r="FZ181" s="56"/>
      <c r="GA181" s="60"/>
      <c r="GB181" s="56"/>
      <c r="GC181" s="55"/>
      <c r="GD181" s="56"/>
      <c r="GE181" s="60"/>
      <c r="GF181" s="56"/>
      <c r="GG181" s="60"/>
      <c r="GH181" s="56"/>
      <c r="GI181" s="55"/>
      <c r="GJ181" s="56"/>
      <c r="GK181" s="55"/>
      <c r="GL181" s="55"/>
      <c r="GM181" s="55"/>
      <c r="GN181" s="55"/>
      <c r="GO181" s="55"/>
      <c r="GP181" s="55"/>
      <c r="GQ181" s="55"/>
      <c r="GR181" s="55"/>
      <c r="GS181" s="55"/>
      <c r="GT181" s="55"/>
      <c r="GU181" s="55"/>
      <c r="GV181" s="55"/>
      <c r="GW181" s="55"/>
      <c r="GX181" s="55"/>
      <c r="GY181" s="55"/>
      <c r="GZ181" s="55"/>
      <c r="HA181" s="55"/>
      <c r="HB181" s="55"/>
      <c r="HC181" s="55"/>
      <c r="HD181" s="55"/>
      <c r="HE181" s="55"/>
      <c r="HF181" s="55"/>
      <c r="HG181" s="55"/>
      <c r="HH181" s="55"/>
    </row>
    <row r="182" spans="12:216" x14ac:dyDescent="0.3">
      <c r="L182" s="56"/>
      <c r="N182" s="56"/>
      <c r="P182" s="56"/>
      <c r="R182" s="56"/>
      <c r="T182" s="56"/>
      <c r="V182" s="56"/>
      <c r="W182" s="60"/>
      <c r="X182" s="56"/>
      <c r="Z182" s="56"/>
      <c r="AB182" s="56"/>
      <c r="AC182" s="60"/>
      <c r="AD182" s="56"/>
      <c r="AE182" s="60"/>
      <c r="AF182" s="56"/>
      <c r="AG182" s="60"/>
      <c r="AH182" s="56"/>
      <c r="AJ182" s="56"/>
      <c r="AL182" s="56"/>
      <c r="AM182" s="60"/>
      <c r="AN182" s="56"/>
      <c r="AO182" s="60"/>
      <c r="AP182" s="56"/>
      <c r="AQ182" s="60"/>
      <c r="AR182" s="56"/>
      <c r="AT182" s="56"/>
      <c r="AU182" s="60"/>
      <c r="AV182" s="56"/>
      <c r="AW182" s="60"/>
      <c r="AX182" s="56"/>
      <c r="AZ182" s="56"/>
      <c r="CB182" s="56"/>
      <c r="CD182" s="56"/>
      <c r="CF182" s="56"/>
      <c r="CH182" s="56"/>
      <c r="CI182" s="57"/>
      <c r="CJ182" s="56"/>
      <c r="CL182" s="56"/>
      <c r="CM182" s="57"/>
      <c r="CN182" s="56"/>
      <c r="CO182" s="60"/>
      <c r="CP182" s="56"/>
      <c r="CQ182" s="57"/>
      <c r="CR182" s="56"/>
      <c r="CT182" s="56"/>
      <c r="CU182" s="60"/>
      <c r="CV182" s="56"/>
      <c r="CW182" s="60"/>
      <c r="CX182" s="56"/>
      <c r="CY182" s="60"/>
      <c r="CZ182" s="56"/>
      <c r="DB182" s="56"/>
      <c r="DD182" s="56"/>
      <c r="DE182" s="60"/>
      <c r="DF182" s="56"/>
      <c r="DG182" s="60"/>
      <c r="DH182" s="56"/>
      <c r="DI182" s="60"/>
      <c r="DJ182" s="56"/>
      <c r="DL182" s="56"/>
      <c r="DM182" s="60"/>
      <c r="DN182" s="56"/>
      <c r="DO182" s="60"/>
      <c r="DP182" s="56"/>
      <c r="DR182" s="56"/>
      <c r="ER182" s="55"/>
      <c r="ES182" s="55"/>
      <c r="ET182" s="56"/>
      <c r="EU182" s="55"/>
      <c r="EV182" s="56"/>
      <c r="EW182" s="55"/>
      <c r="EX182" s="56"/>
      <c r="EY182" s="55"/>
      <c r="EZ182" s="56"/>
      <c r="FA182" s="57"/>
      <c r="FB182" s="56"/>
      <c r="FC182" s="55"/>
      <c r="FD182" s="56"/>
      <c r="FE182" s="57"/>
      <c r="FF182" s="56"/>
      <c r="FG182" s="60"/>
      <c r="FH182" s="56"/>
      <c r="FI182" s="57"/>
      <c r="FJ182" s="56"/>
      <c r="FK182" s="55"/>
      <c r="FL182" s="56"/>
      <c r="FM182" s="60"/>
      <c r="FN182" s="56"/>
      <c r="FO182" s="60"/>
      <c r="FP182" s="56"/>
      <c r="FQ182" s="60"/>
      <c r="FR182" s="56"/>
      <c r="FS182" s="55"/>
      <c r="FT182" s="56"/>
      <c r="FU182" s="55"/>
      <c r="FV182" s="56"/>
      <c r="FW182" s="60"/>
      <c r="FX182" s="56"/>
      <c r="FY182" s="60"/>
      <c r="FZ182" s="56"/>
      <c r="GA182" s="60"/>
      <c r="GB182" s="56"/>
      <c r="GC182" s="55"/>
      <c r="GD182" s="56"/>
      <c r="GE182" s="60"/>
      <c r="GF182" s="56"/>
      <c r="GG182" s="60"/>
      <c r="GH182" s="56"/>
      <c r="GI182" s="55"/>
      <c r="GJ182" s="56"/>
      <c r="GK182" s="55"/>
      <c r="GL182" s="55"/>
      <c r="GM182" s="55"/>
      <c r="GN182" s="55"/>
      <c r="GO182" s="55"/>
      <c r="GP182" s="55"/>
      <c r="GQ182" s="55"/>
      <c r="GR182" s="55"/>
      <c r="GS182" s="55"/>
      <c r="GT182" s="55"/>
      <c r="GU182" s="55"/>
      <c r="GV182" s="55"/>
      <c r="GW182" s="55"/>
      <c r="GX182" s="55"/>
      <c r="GY182" s="55"/>
      <c r="GZ182" s="55"/>
      <c r="HA182" s="55"/>
      <c r="HB182" s="55"/>
      <c r="HC182" s="55"/>
      <c r="HD182" s="55"/>
      <c r="HE182" s="55"/>
      <c r="HF182" s="55"/>
      <c r="HG182" s="55"/>
      <c r="HH182" s="55"/>
    </row>
    <row r="183" spans="12:216" x14ac:dyDescent="0.3">
      <c r="L183" s="56"/>
      <c r="N183" s="56"/>
      <c r="P183" s="56"/>
      <c r="R183" s="56"/>
      <c r="T183" s="56"/>
      <c r="V183" s="56"/>
      <c r="W183" s="60"/>
      <c r="X183" s="56"/>
      <c r="Z183" s="56"/>
      <c r="AB183" s="56"/>
      <c r="AC183" s="60"/>
      <c r="AD183" s="56"/>
      <c r="AE183" s="60"/>
      <c r="AF183" s="56"/>
      <c r="AG183" s="60"/>
      <c r="AH183" s="56"/>
      <c r="AJ183" s="56"/>
      <c r="AL183" s="56"/>
      <c r="AM183" s="60"/>
      <c r="AN183" s="56"/>
      <c r="AO183" s="60"/>
      <c r="AP183" s="56"/>
      <c r="AQ183" s="60"/>
      <c r="AR183" s="56"/>
      <c r="AT183" s="56"/>
      <c r="AU183" s="60"/>
      <c r="AV183" s="56"/>
      <c r="AW183" s="60"/>
      <c r="AX183" s="56"/>
      <c r="AZ183" s="56"/>
      <c r="CB183" s="56"/>
      <c r="CD183" s="56"/>
      <c r="CF183" s="56"/>
      <c r="CH183" s="56"/>
      <c r="CI183" s="57"/>
      <c r="CJ183" s="56"/>
      <c r="CL183" s="56"/>
      <c r="CM183" s="57"/>
      <c r="CN183" s="56"/>
      <c r="CO183" s="60"/>
      <c r="CP183" s="56"/>
      <c r="CQ183" s="57"/>
      <c r="CR183" s="56"/>
      <c r="CT183" s="56"/>
      <c r="CU183" s="60"/>
      <c r="CV183" s="56"/>
      <c r="CW183" s="60"/>
      <c r="CX183" s="56"/>
      <c r="CY183" s="60"/>
      <c r="CZ183" s="56"/>
      <c r="DB183" s="56"/>
      <c r="DD183" s="56"/>
      <c r="DE183" s="60"/>
      <c r="DF183" s="56"/>
      <c r="DG183" s="60"/>
      <c r="DH183" s="56"/>
      <c r="DI183" s="60"/>
      <c r="DJ183" s="56"/>
      <c r="DL183" s="56"/>
      <c r="DM183" s="60"/>
      <c r="DN183" s="56"/>
      <c r="DO183" s="60"/>
      <c r="DP183" s="56"/>
      <c r="DR183" s="56"/>
      <c r="ER183" s="55"/>
      <c r="ES183" s="55"/>
      <c r="ET183" s="56"/>
      <c r="EU183" s="55"/>
      <c r="EV183" s="56"/>
      <c r="EW183" s="55"/>
      <c r="EX183" s="56"/>
      <c r="EY183" s="55"/>
      <c r="EZ183" s="56"/>
      <c r="FA183" s="57"/>
      <c r="FB183" s="56"/>
      <c r="FC183" s="55"/>
      <c r="FD183" s="56"/>
      <c r="FE183" s="57"/>
      <c r="FF183" s="56"/>
      <c r="FG183" s="60"/>
      <c r="FH183" s="56"/>
      <c r="FI183" s="57"/>
      <c r="FJ183" s="56"/>
      <c r="FK183" s="55"/>
      <c r="FL183" s="56"/>
      <c r="FM183" s="60"/>
      <c r="FN183" s="56"/>
      <c r="FO183" s="60"/>
      <c r="FP183" s="56"/>
      <c r="FQ183" s="60"/>
      <c r="FR183" s="56"/>
      <c r="FS183" s="55"/>
      <c r="FT183" s="56"/>
      <c r="FU183" s="55"/>
      <c r="FV183" s="56"/>
      <c r="FW183" s="60"/>
      <c r="FX183" s="56"/>
      <c r="FY183" s="60"/>
      <c r="FZ183" s="56"/>
      <c r="GA183" s="60"/>
      <c r="GB183" s="56"/>
      <c r="GC183" s="55"/>
      <c r="GD183" s="56"/>
      <c r="GE183" s="60"/>
      <c r="GF183" s="56"/>
      <c r="GG183" s="60"/>
      <c r="GH183" s="56"/>
      <c r="GI183" s="55"/>
      <c r="GJ183" s="56"/>
      <c r="GK183" s="55"/>
      <c r="GL183" s="55"/>
      <c r="GM183" s="55"/>
      <c r="GN183" s="55"/>
      <c r="GO183" s="55"/>
      <c r="GP183" s="55"/>
      <c r="GQ183" s="55"/>
      <c r="GR183" s="55"/>
      <c r="GS183" s="55"/>
      <c r="GT183" s="55"/>
      <c r="GU183" s="55"/>
      <c r="GV183" s="55"/>
      <c r="GW183" s="55"/>
      <c r="GX183" s="55"/>
      <c r="GY183" s="55"/>
      <c r="GZ183" s="55"/>
      <c r="HA183" s="55"/>
      <c r="HB183" s="55"/>
      <c r="HC183" s="55"/>
      <c r="HD183" s="55"/>
      <c r="HE183" s="55"/>
      <c r="HF183" s="55"/>
      <c r="HG183" s="55"/>
      <c r="HH183" s="55"/>
    </row>
    <row r="184" spans="12:216" x14ac:dyDescent="0.3">
      <c r="L184" s="56"/>
      <c r="N184" s="56"/>
      <c r="P184" s="56"/>
      <c r="R184" s="56"/>
      <c r="T184" s="56"/>
      <c r="V184" s="56"/>
      <c r="W184" s="60"/>
      <c r="X184" s="56"/>
      <c r="Z184" s="56"/>
      <c r="AB184" s="56"/>
      <c r="AC184" s="60"/>
      <c r="AD184" s="56"/>
      <c r="AE184" s="60"/>
      <c r="AF184" s="56"/>
      <c r="AG184" s="60"/>
      <c r="AH184" s="56"/>
      <c r="AJ184" s="56"/>
      <c r="AL184" s="56"/>
      <c r="AM184" s="60"/>
      <c r="AN184" s="56"/>
      <c r="AO184" s="60"/>
      <c r="AP184" s="56"/>
      <c r="AQ184" s="60"/>
      <c r="AR184" s="56"/>
      <c r="AT184" s="56"/>
      <c r="AU184" s="60"/>
      <c r="AV184" s="56"/>
      <c r="AW184" s="60"/>
      <c r="AX184" s="56"/>
      <c r="AZ184" s="56"/>
      <c r="CB184" s="56"/>
      <c r="CD184" s="56"/>
      <c r="CF184" s="56"/>
      <c r="CH184" s="56"/>
      <c r="CI184" s="57"/>
      <c r="CJ184" s="56"/>
      <c r="CL184" s="56"/>
      <c r="CM184" s="57"/>
      <c r="CN184" s="56"/>
      <c r="CO184" s="60"/>
      <c r="CP184" s="56"/>
      <c r="CQ184" s="57"/>
      <c r="CR184" s="56"/>
      <c r="CT184" s="56"/>
      <c r="CU184" s="60"/>
      <c r="CV184" s="56"/>
      <c r="CW184" s="60"/>
      <c r="CX184" s="56"/>
      <c r="CY184" s="60"/>
      <c r="CZ184" s="56"/>
      <c r="DB184" s="56"/>
      <c r="DD184" s="56"/>
      <c r="DE184" s="60"/>
      <c r="DF184" s="56"/>
      <c r="DG184" s="60"/>
      <c r="DH184" s="56"/>
      <c r="DI184" s="60"/>
      <c r="DJ184" s="56"/>
      <c r="DL184" s="56"/>
      <c r="DM184" s="60"/>
      <c r="DN184" s="56"/>
      <c r="DO184" s="60"/>
      <c r="DP184" s="56"/>
      <c r="DR184" s="56"/>
      <c r="ER184" s="55"/>
      <c r="ES184" s="55"/>
      <c r="ET184" s="56"/>
      <c r="EU184" s="55"/>
      <c r="EV184" s="56"/>
      <c r="EW184" s="55"/>
      <c r="EX184" s="56"/>
      <c r="EY184" s="55"/>
      <c r="EZ184" s="56"/>
      <c r="FA184" s="57"/>
      <c r="FB184" s="56"/>
      <c r="FC184" s="55"/>
      <c r="FD184" s="56"/>
      <c r="FE184" s="57"/>
      <c r="FF184" s="56"/>
      <c r="FG184" s="60"/>
      <c r="FH184" s="56"/>
      <c r="FI184" s="57"/>
      <c r="FJ184" s="56"/>
      <c r="FK184" s="55"/>
      <c r="FL184" s="56"/>
      <c r="FM184" s="60"/>
      <c r="FN184" s="56"/>
      <c r="FO184" s="60"/>
      <c r="FP184" s="56"/>
      <c r="FQ184" s="60"/>
      <c r="FR184" s="56"/>
      <c r="FS184" s="55"/>
      <c r="FT184" s="56"/>
      <c r="FU184" s="55"/>
      <c r="FV184" s="56"/>
      <c r="FW184" s="60"/>
      <c r="FX184" s="56"/>
      <c r="FY184" s="60"/>
      <c r="FZ184" s="56"/>
      <c r="GA184" s="60"/>
      <c r="GB184" s="56"/>
      <c r="GC184" s="55"/>
      <c r="GD184" s="56"/>
      <c r="GE184" s="60"/>
      <c r="GF184" s="56"/>
      <c r="GG184" s="60"/>
      <c r="GH184" s="56"/>
      <c r="GI184" s="55"/>
      <c r="GJ184" s="56"/>
      <c r="GK184" s="55"/>
      <c r="GL184" s="55"/>
      <c r="GM184" s="55"/>
      <c r="GN184" s="55"/>
      <c r="GO184" s="55"/>
      <c r="GP184" s="55"/>
      <c r="GQ184" s="55"/>
      <c r="GR184" s="55"/>
      <c r="GS184" s="55"/>
      <c r="GT184" s="55"/>
      <c r="GU184" s="55"/>
      <c r="GV184" s="55"/>
      <c r="GW184" s="55"/>
      <c r="GX184" s="55"/>
      <c r="GY184" s="55"/>
      <c r="GZ184" s="55"/>
      <c r="HA184" s="55"/>
      <c r="HB184" s="55"/>
      <c r="HC184" s="55"/>
      <c r="HD184" s="55"/>
      <c r="HE184" s="55"/>
      <c r="HF184" s="55"/>
      <c r="HG184" s="55"/>
      <c r="HH184" s="55"/>
    </row>
    <row r="185" spans="12:216" x14ac:dyDescent="0.3">
      <c r="L185" s="56"/>
      <c r="N185" s="56"/>
      <c r="P185" s="56"/>
      <c r="R185" s="56"/>
      <c r="T185" s="56"/>
      <c r="V185" s="56"/>
      <c r="W185" s="60"/>
      <c r="X185" s="56"/>
      <c r="Z185" s="56"/>
      <c r="AB185" s="56"/>
      <c r="AC185" s="60"/>
      <c r="AD185" s="56"/>
      <c r="AE185" s="60"/>
      <c r="AF185" s="56"/>
      <c r="AG185" s="60"/>
      <c r="AH185" s="56"/>
      <c r="AJ185" s="56"/>
      <c r="AL185" s="56"/>
      <c r="AM185" s="60"/>
      <c r="AN185" s="56"/>
      <c r="AO185" s="60"/>
      <c r="AP185" s="56"/>
      <c r="AQ185" s="60"/>
      <c r="AR185" s="56"/>
      <c r="AT185" s="56"/>
      <c r="AU185" s="60"/>
      <c r="AV185" s="56"/>
      <c r="AW185" s="60"/>
      <c r="AX185" s="56"/>
      <c r="AZ185" s="56"/>
      <c r="CB185" s="56"/>
      <c r="CD185" s="56"/>
      <c r="CF185" s="56"/>
      <c r="CH185" s="56"/>
      <c r="CI185" s="57"/>
      <c r="CJ185" s="56"/>
      <c r="CL185" s="56"/>
      <c r="CM185" s="57"/>
      <c r="CN185" s="56"/>
      <c r="CO185" s="60"/>
      <c r="CP185" s="56"/>
      <c r="CQ185" s="57"/>
      <c r="CR185" s="56"/>
      <c r="CT185" s="56"/>
      <c r="CU185" s="60"/>
      <c r="CV185" s="56"/>
      <c r="CW185" s="60"/>
      <c r="CX185" s="56"/>
      <c r="CY185" s="60"/>
      <c r="CZ185" s="56"/>
      <c r="DB185" s="56"/>
      <c r="DD185" s="56"/>
      <c r="DE185" s="60"/>
      <c r="DF185" s="56"/>
      <c r="DG185" s="60"/>
      <c r="DH185" s="56"/>
      <c r="DI185" s="60"/>
      <c r="DJ185" s="56"/>
      <c r="DL185" s="56"/>
      <c r="DM185" s="60"/>
      <c r="DN185" s="56"/>
      <c r="DO185" s="60"/>
      <c r="DP185" s="56"/>
      <c r="DR185" s="56"/>
    </row>
    <row r="186" spans="12:216" x14ac:dyDescent="0.3">
      <c r="L186" s="56"/>
      <c r="N186" s="56"/>
      <c r="P186" s="56"/>
      <c r="R186" s="56"/>
      <c r="T186" s="56"/>
      <c r="V186" s="56"/>
      <c r="W186" s="60"/>
      <c r="X186" s="56"/>
      <c r="Z186" s="56"/>
      <c r="AB186" s="56"/>
      <c r="AC186" s="60"/>
      <c r="AD186" s="56"/>
      <c r="AE186" s="60"/>
      <c r="AF186" s="56"/>
      <c r="AG186" s="60"/>
      <c r="AH186" s="56"/>
      <c r="AJ186" s="56"/>
      <c r="AL186" s="56"/>
      <c r="AM186" s="60"/>
      <c r="AN186" s="56"/>
      <c r="AP186" s="56"/>
      <c r="AQ186" s="60"/>
      <c r="AR186" s="56"/>
      <c r="AT186" s="56"/>
      <c r="AU186" s="60"/>
      <c r="AV186" s="56"/>
      <c r="AW186" s="60"/>
      <c r="AX186" s="56"/>
      <c r="AZ186" s="56"/>
      <c r="CB186" s="56"/>
      <c r="CD186" s="56"/>
      <c r="CF186" s="56"/>
      <c r="CH186" s="56"/>
      <c r="CI186" s="57"/>
      <c r="CJ186" s="56"/>
      <c r="CL186" s="56"/>
      <c r="CM186" s="57"/>
      <c r="CN186" s="56"/>
      <c r="CO186" s="60"/>
      <c r="CP186" s="56"/>
      <c r="CQ186" s="57"/>
      <c r="CR186" s="56"/>
      <c r="CT186" s="56"/>
      <c r="CU186" s="60"/>
      <c r="CV186" s="56"/>
      <c r="CW186" s="60"/>
      <c r="CX186" s="56"/>
      <c r="CY186" s="60"/>
      <c r="CZ186" s="56"/>
      <c r="DB186" s="56"/>
      <c r="DD186" s="56"/>
      <c r="DE186" s="60"/>
      <c r="DF186" s="56"/>
      <c r="DH186" s="56"/>
      <c r="DI186" s="60"/>
      <c r="DJ186" s="56"/>
      <c r="DL186" s="56"/>
      <c r="DM186" s="60"/>
      <c r="DN186" s="56"/>
      <c r="DO186" s="60"/>
      <c r="DP186" s="56"/>
      <c r="DR186" s="56"/>
    </row>
    <row r="187" spans="12:216" x14ac:dyDescent="0.3">
      <c r="L187" s="56"/>
      <c r="N187" s="56"/>
      <c r="P187" s="56"/>
      <c r="R187" s="56"/>
      <c r="T187" s="56"/>
      <c r="V187" s="56"/>
      <c r="W187" s="60"/>
      <c r="X187" s="56"/>
      <c r="Z187" s="56"/>
      <c r="AB187" s="56"/>
      <c r="AC187" s="60"/>
      <c r="AD187" s="56"/>
      <c r="AE187" s="60"/>
      <c r="AF187" s="56"/>
      <c r="AG187" s="60"/>
      <c r="AH187" s="56"/>
      <c r="AJ187" s="56"/>
      <c r="AL187" s="56"/>
      <c r="AM187" s="60"/>
      <c r="AN187" s="56"/>
      <c r="AP187" s="56"/>
      <c r="AQ187" s="60"/>
      <c r="AR187" s="56"/>
      <c r="AT187" s="56"/>
      <c r="AU187" s="60"/>
      <c r="AV187" s="56"/>
      <c r="AW187" s="60"/>
      <c r="AX187" s="56"/>
      <c r="AZ187" s="56"/>
      <c r="CB187" s="56"/>
      <c r="CD187" s="56"/>
      <c r="CF187" s="56"/>
      <c r="CH187" s="56"/>
      <c r="CI187" s="57"/>
      <c r="CJ187" s="56"/>
      <c r="CL187" s="56"/>
      <c r="CM187" s="57"/>
      <c r="CN187" s="56"/>
      <c r="CO187" s="60"/>
      <c r="CP187" s="56"/>
      <c r="CQ187" s="57"/>
      <c r="CR187" s="56"/>
      <c r="CT187" s="56"/>
      <c r="CU187" s="60"/>
      <c r="CV187" s="56"/>
      <c r="CW187" s="60"/>
      <c r="CX187" s="56"/>
      <c r="CY187" s="60"/>
      <c r="CZ187" s="56"/>
      <c r="DB187" s="56"/>
      <c r="DD187" s="56"/>
      <c r="DE187" s="60"/>
      <c r="DF187" s="56"/>
      <c r="DH187" s="56"/>
      <c r="DI187" s="60"/>
      <c r="DJ187" s="56"/>
      <c r="DL187" s="56"/>
      <c r="DM187" s="60"/>
      <c r="DN187" s="56"/>
      <c r="DO187" s="60"/>
      <c r="DP187" s="56"/>
      <c r="DR187" s="56"/>
    </row>
    <row r="188" spans="12:216" x14ac:dyDescent="0.3">
      <c r="L188" s="56"/>
      <c r="N188" s="56"/>
      <c r="P188" s="56"/>
      <c r="R188" s="56"/>
      <c r="T188" s="56"/>
      <c r="V188" s="56"/>
      <c r="W188" s="60"/>
      <c r="X188" s="56"/>
      <c r="Z188" s="56"/>
      <c r="AB188" s="56"/>
      <c r="AC188" s="60"/>
      <c r="AD188" s="56"/>
      <c r="AE188" s="60"/>
      <c r="AF188" s="56"/>
      <c r="AG188" s="60"/>
      <c r="AH188" s="56"/>
      <c r="AJ188" s="56"/>
      <c r="AL188" s="56"/>
      <c r="AM188" s="60"/>
      <c r="AN188" s="56"/>
      <c r="AP188" s="56"/>
      <c r="AQ188" s="60"/>
      <c r="AR188" s="56"/>
      <c r="AT188" s="56"/>
      <c r="AU188" s="60"/>
      <c r="AV188" s="56"/>
      <c r="AW188" s="60"/>
      <c r="AX188" s="56"/>
      <c r="AZ188" s="56"/>
      <c r="CB188" s="56"/>
      <c r="CD188" s="56"/>
      <c r="CF188" s="56"/>
      <c r="CH188" s="56"/>
      <c r="CI188" s="57"/>
      <c r="CJ188" s="56"/>
      <c r="CL188" s="56"/>
      <c r="CM188" s="57"/>
      <c r="CN188" s="56"/>
      <c r="CO188" s="60"/>
      <c r="CP188" s="56"/>
      <c r="CQ188" s="57"/>
      <c r="CR188" s="56"/>
      <c r="CT188" s="56"/>
      <c r="CU188" s="60"/>
      <c r="CV188" s="56"/>
      <c r="CW188" s="60"/>
      <c r="CX188" s="56"/>
      <c r="CY188" s="60"/>
      <c r="CZ188" s="56"/>
      <c r="DB188" s="56"/>
      <c r="DD188" s="56"/>
      <c r="DE188" s="60"/>
      <c r="DF188" s="56"/>
      <c r="DH188" s="56"/>
      <c r="DI188" s="60"/>
      <c r="DJ188" s="56"/>
      <c r="DL188" s="56"/>
      <c r="DM188" s="60"/>
      <c r="DN188" s="56"/>
      <c r="DO188" s="60"/>
      <c r="DP188" s="56"/>
      <c r="DR188" s="56"/>
    </row>
    <row r="189" spans="12:216" x14ac:dyDescent="0.3">
      <c r="L189" s="56"/>
      <c r="N189" s="56"/>
      <c r="P189" s="56"/>
      <c r="R189" s="56"/>
      <c r="T189" s="56"/>
      <c r="V189" s="56"/>
      <c r="W189" s="60"/>
      <c r="X189" s="56"/>
      <c r="Z189" s="56"/>
      <c r="AB189" s="56"/>
      <c r="AC189" s="60"/>
      <c r="AD189" s="56"/>
      <c r="AE189" s="60"/>
      <c r="AF189" s="56"/>
      <c r="AG189" s="60"/>
      <c r="AH189" s="56"/>
      <c r="AJ189" s="56"/>
      <c r="AL189" s="56"/>
      <c r="AM189" s="60"/>
      <c r="AN189" s="56"/>
      <c r="AP189" s="56"/>
      <c r="AQ189" s="60"/>
      <c r="AR189" s="56"/>
      <c r="AT189" s="56"/>
      <c r="AU189" s="60"/>
      <c r="AV189" s="56"/>
      <c r="AW189" s="60"/>
      <c r="AX189" s="56"/>
      <c r="AZ189" s="56"/>
      <c r="CB189" s="56"/>
      <c r="CD189" s="56"/>
      <c r="CF189" s="56"/>
      <c r="CH189" s="56"/>
      <c r="CJ189" s="56"/>
      <c r="CL189" s="56"/>
      <c r="CN189" s="56"/>
      <c r="CP189" s="56"/>
      <c r="CR189" s="56"/>
      <c r="CT189" s="56"/>
      <c r="CV189" s="56"/>
      <c r="CX189" s="56"/>
      <c r="CZ189" s="56"/>
      <c r="DB189" s="56"/>
      <c r="DD189" s="56"/>
      <c r="DF189" s="56"/>
      <c r="DH189" s="56"/>
      <c r="DJ189" s="56"/>
      <c r="DL189" s="56"/>
      <c r="DN189" s="56"/>
      <c r="DP189" s="56"/>
      <c r="DR189" s="56"/>
    </row>
    <row r="190" spans="12:216" x14ac:dyDescent="0.3">
      <c r="L190" s="56"/>
      <c r="N190" s="56"/>
      <c r="P190" s="56"/>
      <c r="R190" s="56"/>
      <c r="T190" s="56"/>
      <c r="V190" s="56"/>
      <c r="W190" s="60"/>
      <c r="X190" s="56"/>
      <c r="Z190" s="56"/>
      <c r="AB190" s="56"/>
      <c r="AC190" s="60"/>
      <c r="AD190" s="56"/>
      <c r="AE190" s="60"/>
      <c r="AF190" s="56"/>
      <c r="AH190" s="56"/>
      <c r="AJ190" s="56"/>
      <c r="AL190" s="56"/>
      <c r="AM190" s="60"/>
      <c r="AN190" s="56"/>
      <c r="AP190" s="56"/>
      <c r="AQ190" s="60"/>
      <c r="AR190" s="56"/>
      <c r="AT190" s="56"/>
      <c r="AU190" s="60"/>
      <c r="AV190" s="56"/>
      <c r="AW190" s="60"/>
      <c r="AX190" s="56"/>
      <c r="AZ190" s="56"/>
      <c r="CB190" s="56"/>
      <c r="CD190" s="56"/>
      <c r="CF190" s="56"/>
      <c r="CH190" s="56"/>
      <c r="CJ190" s="56"/>
      <c r="CL190" s="56"/>
      <c r="CN190" s="56"/>
      <c r="CP190" s="56"/>
      <c r="CR190" s="56"/>
      <c r="CT190" s="56"/>
      <c r="CV190" s="56"/>
      <c r="CX190" s="56"/>
      <c r="CZ190" s="56"/>
      <c r="DB190" s="56"/>
      <c r="DD190" s="56"/>
      <c r="DF190" s="56"/>
      <c r="DH190" s="56"/>
      <c r="DJ190" s="56"/>
      <c r="DL190" s="56"/>
      <c r="DN190" s="56"/>
      <c r="DP190" s="56"/>
      <c r="DR190" s="56"/>
    </row>
    <row r="191" spans="12:216" x14ac:dyDescent="0.3">
      <c r="L191" s="56"/>
      <c r="N191" s="56"/>
      <c r="P191" s="56"/>
      <c r="R191" s="56"/>
      <c r="T191" s="56"/>
      <c r="V191" s="56"/>
      <c r="W191" s="60"/>
      <c r="X191" s="56"/>
      <c r="Z191" s="56"/>
      <c r="AB191" s="56"/>
      <c r="AC191" s="60"/>
      <c r="AD191" s="56"/>
      <c r="AE191" s="60"/>
      <c r="AF191" s="56"/>
      <c r="AH191" s="56"/>
      <c r="AJ191" s="56"/>
      <c r="AL191" s="56"/>
      <c r="AM191" s="60"/>
      <c r="AN191" s="56"/>
      <c r="AP191" s="56"/>
      <c r="AQ191" s="60"/>
      <c r="AR191" s="56"/>
      <c r="AT191" s="56"/>
      <c r="AU191" s="60"/>
      <c r="AV191" s="56"/>
      <c r="AW191" s="60"/>
      <c r="AX191" s="56"/>
      <c r="AZ191" s="56"/>
      <c r="CB191" s="56"/>
      <c r="CD191" s="56"/>
      <c r="CF191" s="56"/>
      <c r="CH191" s="56"/>
      <c r="CJ191" s="56"/>
      <c r="CL191" s="56"/>
      <c r="CN191" s="56"/>
      <c r="CP191" s="56"/>
      <c r="CR191" s="56"/>
      <c r="CT191" s="56"/>
      <c r="CV191" s="56"/>
      <c r="CX191" s="56"/>
      <c r="CZ191" s="56"/>
      <c r="DB191" s="56"/>
      <c r="DD191" s="56"/>
      <c r="DF191" s="56"/>
      <c r="DH191" s="56"/>
      <c r="DJ191" s="56"/>
      <c r="DL191" s="56"/>
      <c r="DN191" s="56"/>
      <c r="DP191" s="56"/>
      <c r="DR191" s="56"/>
    </row>
    <row r="192" spans="12:216" x14ac:dyDescent="0.3">
      <c r="L192" s="56"/>
      <c r="N192" s="56"/>
      <c r="P192" s="56"/>
      <c r="R192" s="56"/>
      <c r="T192" s="56"/>
      <c r="V192" s="56"/>
      <c r="W192" s="60"/>
      <c r="X192" s="56"/>
      <c r="Z192" s="56"/>
      <c r="AB192" s="56"/>
      <c r="AC192" s="60"/>
      <c r="AD192" s="56"/>
      <c r="AE192" s="60"/>
      <c r="AF192" s="56"/>
      <c r="AH192" s="56"/>
      <c r="AJ192" s="56"/>
      <c r="AL192" s="56"/>
      <c r="AM192" s="60"/>
      <c r="AN192" s="56"/>
      <c r="AP192" s="56"/>
      <c r="AQ192" s="60"/>
      <c r="AR192" s="56"/>
      <c r="AT192" s="56"/>
      <c r="AU192" s="60"/>
      <c r="AV192" s="56"/>
      <c r="AW192" s="60"/>
      <c r="AX192" s="56"/>
      <c r="AZ192" s="56"/>
      <c r="CB192" s="56"/>
      <c r="CD192" s="56"/>
      <c r="CF192" s="56"/>
      <c r="CH192" s="56"/>
      <c r="CJ192" s="56"/>
      <c r="CL192" s="56"/>
      <c r="CN192" s="56"/>
      <c r="CP192" s="56"/>
      <c r="CR192" s="56"/>
      <c r="CT192" s="56"/>
      <c r="CV192" s="56"/>
      <c r="CX192" s="56"/>
      <c r="CZ192" s="56"/>
      <c r="DB192" s="56"/>
      <c r="DD192" s="56"/>
      <c r="DF192" s="56"/>
      <c r="DH192" s="56"/>
      <c r="DJ192" s="56"/>
      <c r="DL192" s="56"/>
      <c r="DN192" s="56"/>
      <c r="DP192" s="56"/>
      <c r="DR192" s="56"/>
    </row>
    <row r="193" spans="12:122" x14ac:dyDescent="0.3">
      <c r="L193" s="56"/>
      <c r="N193" s="56"/>
      <c r="P193" s="56"/>
      <c r="R193" s="56"/>
      <c r="T193" s="56"/>
      <c r="V193" s="56"/>
      <c r="W193" s="60"/>
      <c r="X193" s="56"/>
      <c r="Z193" s="56"/>
      <c r="AB193" s="56"/>
      <c r="AC193" s="60"/>
      <c r="AD193" s="56"/>
      <c r="AE193" s="60"/>
      <c r="AF193" s="56"/>
      <c r="AH193" s="56"/>
      <c r="AJ193" s="56"/>
      <c r="AL193" s="56"/>
      <c r="AM193" s="60"/>
      <c r="AN193" s="56"/>
      <c r="AP193" s="56"/>
      <c r="AQ193" s="60"/>
      <c r="AR193" s="56"/>
      <c r="AT193" s="56"/>
      <c r="AU193" s="60"/>
      <c r="AV193" s="56"/>
      <c r="AW193" s="60"/>
      <c r="AX193" s="56"/>
      <c r="AZ193" s="56"/>
      <c r="CB193" s="56"/>
      <c r="CD193" s="56"/>
      <c r="CF193" s="56"/>
      <c r="CH193" s="56"/>
      <c r="CJ193" s="56"/>
      <c r="CL193" s="56"/>
      <c r="CN193" s="56"/>
      <c r="CP193" s="56"/>
      <c r="CR193" s="56"/>
      <c r="CT193" s="56"/>
      <c r="CV193" s="56"/>
      <c r="CX193" s="56"/>
      <c r="CZ193" s="56"/>
      <c r="DB193" s="56"/>
      <c r="DD193" s="56"/>
      <c r="DF193" s="56"/>
      <c r="DH193" s="56"/>
      <c r="DJ193" s="56"/>
      <c r="DL193" s="56"/>
      <c r="DN193" s="56"/>
      <c r="DP193" s="56"/>
      <c r="DR193" s="56"/>
    </row>
    <row r="194" spans="12:122" x14ac:dyDescent="0.3">
      <c r="L194" s="56"/>
      <c r="N194" s="56"/>
      <c r="P194" s="56"/>
      <c r="R194" s="56"/>
      <c r="T194" s="56"/>
      <c r="V194" s="56"/>
      <c r="W194" s="60"/>
      <c r="X194" s="56"/>
      <c r="Z194" s="56"/>
      <c r="AB194" s="56"/>
      <c r="AC194" s="60"/>
      <c r="AD194" s="56"/>
      <c r="AE194" s="60"/>
      <c r="AF194" s="56"/>
      <c r="AH194" s="56"/>
      <c r="AJ194" s="56"/>
      <c r="AL194" s="56"/>
      <c r="AM194" s="60"/>
      <c r="AN194" s="56"/>
      <c r="AP194" s="56"/>
      <c r="AQ194" s="60"/>
      <c r="AR194" s="56"/>
      <c r="AT194" s="56"/>
      <c r="AU194" s="60"/>
      <c r="AV194" s="56"/>
      <c r="AW194" s="60"/>
      <c r="AX194" s="56"/>
      <c r="AZ194" s="56"/>
      <c r="CB194" s="56"/>
      <c r="CD194" s="56"/>
      <c r="CF194" s="56"/>
      <c r="CH194" s="56"/>
      <c r="CJ194" s="56"/>
      <c r="CL194" s="56"/>
      <c r="CN194" s="56"/>
      <c r="CP194" s="56"/>
      <c r="CR194" s="56"/>
      <c r="CT194" s="56"/>
      <c r="CV194" s="56"/>
      <c r="CX194" s="56"/>
      <c r="CZ194" s="56"/>
      <c r="DB194" s="56"/>
      <c r="DD194" s="56"/>
      <c r="DF194" s="56"/>
      <c r="DH194" s="56"/>
      <c r="DJ194" s="56"/>
      <c r="DL194" s="56"/>
      <c r="DN194" s="56"/>
      <c r="DP194" s="56"/>
      <c r="DR194" s="56"/>
    </row>
    <row r="195" spans="12:122" x14ac:dyDescent="0.3">
      <c r="L195" s="56"/>
      <c r="N195" s="56"/>
      <c r="P195" s="56"/>
      <c r="R195" s="56"/>
      <c r="T195" s="56"/>
      <c r="V195" s="56"/>
      <c r="W195" s="60"/>
      <c r="X195" s="56"/>
      <c r="Z195" s="56"/>
      <c r="AB195" s="56"/>
      <c r="AC195" s="60"/>
      <c r="AD195" s="56"/>
      <c r="AE195" s="60"/>
      <c r="AF195" s="56"/>
      <c r="AH195" s="56"/>
      <c r="AJ195" s="56"/>
      <c r="AL195" s="56"/>
      <c r="AM195" s="60"/>
      <c r="AN195" s="56"/>
      <c r="AP195" s="56"/>
      <c r="AQ195" s="60"/>
      <c r="AR195" s="56"/>
      <c r="AT195" s="56"/>
      <c r="AU195" s="60"/>
      <c r="AV195" s="56"/>
      <c r="AW195" s="60"/>
      <c r="AX195" s="56"/>
      <c r="AZ195" s="56"/>
      <c r="CB195" s="56"/>
      <c r="CD195" s="56"/>
      <c r="CF195" s="56"/>
      <c r="CH195" s="56"/>
      <c r="CJ195" s="56"/>
      <c r="CL195" s="56"/>
      <c r="CN195" s="56"/>
      <c r="CP195" s="56"/>
      <c r="CR195" s="56"/>
      <c r="CT195" s="56"/>
      <c r="CV195" s="56"/>
      <c r="CX195" s="56"/>
      <c r="CZ195" s="56"/>
      <c r="DB195" s="56"/>
      <c r="DD195" s="56"/>
      <c r="DF195" s="56"/>
      <c r="DH195" s="56"/>
      <c r="DJ195" s="56"/>
      <c r="DL195" s="56"/>
      <c r="DN195" s="56"/>
      <c r="DP195" s="56"/>
      <c r="DR195" s="56"/>
    </row>
    <row r="196" spans="12:122" x14ac:dyDescent="0.3">
      <c r="L196" s="56"/>
      <c r="N196" s="56"/>
      <c r="P196" s="56"/>
      <c r="R196" s="56"/>
      <c r="T196" s="56"/>
      <c r="V196" s="56"/>
      <c r="W196" s="60"/>
      <c r="X196" s="56"/>
      <c r="Z196" s="56"/>
      <c r="AB196" s="56"/>
      <c r="AC196" s="60"/>
      <c r="AD196" s="56"/>
      <c r="AE196" s="60"/>
      <c r="AF196" s="56"/>
      <c r="AH196" s="56"/>
      <c r="AJ196" s="56"/>
      <c r="AL196" s="56"/>
      <c r="AN196" s="56"/>
      <c r="AP196" s="56"/>
      <c r="AQ196" s="60"/>
      <c r="AR196" s="56"/>
      <c r="AT196" s="56"/>
      <c r="AU196" s="60"/>
      <c r="AV196" s="56"/>
      <c r="AW196" s="60"/>
      <c r="AX196" s="56"/>
      <c r="AZ196" s="56"/>
      <c r="CB196" s="56"/>
      <c r="CD196" s="56"/>
      <c r="CF196" s="56"/>
      <c r="CH196" s="56"/>
      <c r="CJ196" s="56"/>
      <c r="CL196" s="56"/>
      <c r="CN196" s="56"/>
      <c r="CP196" s="56"/>
      <c r="CR196" s="56"/>
      <c r="CT196" s="56"/>
      <c r="CV196" s="56"/>
      <c r="CX196" s="56"/>
      <c r="CZ196" s="56"/>
      <c r="DB196" s="56"/>
      <c r="DD196" s="56"/>
      <c r="DF196" s="56"/>
      <c r="DH196" s="56"/>
      <c r="DJ196" s="56"/>
      <c r="DL196" s="56"/>
      <c r="DN196" s="56"/>
      <c r="DP196" s="56"/>
      <c r="DR196" s="56"/>
    </row>
    <row r="197" spans="12:122" x14ac:dyDescent="0.3">
      <c r="L197" s="56"/>
      <c r="N197" s="56"/>
      <c r="P197" s="56"/>
      <c r="R197" s="56"/>
      <c r="T197" s="56"/>
      <c r="V197" s="56"/>
      <c r="W197" s="60"/>
      <c r="X197" s="56"/>
      <c r="Z197" s="56"/>
      <c r="AB197" s="56"/>
      <c r="AC197" s="60"/>
      <c r="AD197" s="56"/>
      <c r="AE197" s="60"/>
      <c r="AF197" s="56"/>
      <c r="AH197" s="56"/>
      <c r="AJ197" s="56"/>
      <c r="AL197" s="56"/>
      <c r="AN197" s="56"/>
      <c r="AP197" s="56"/>
      <c r="AQ197" s="60"/>
      <c r="AR197" s="56"/>
      <c r="AT197" s="56"/>
      <c r="AU197" s="60"/>
      <c r="AV197" s="56"/>
      <c r="AW197" s="60"/>
      <c r="AX197" s="56"/>
      <c r="AZ197" s="56"/>
      <c r="CB197" s="56"/>
      <c r="CD197" s="56"/>
      <c r="CF197" s="56"/>
      <c r="CH197" s="56"/>
      <c r="CJ197" s="56"/>
      <c r="CL197" s="56"/>
      <c r="CN197" s="56"/>
      <c r="CP197" s="56"/>
      <c r="CR197" s="56"/>
      <c r="CT197" s="56"/>
      <c r="CV197" s="56"/>
      <c r="CX197" s="56"/>
      <c r="CZ197" s="56"/>
      <c r="DB197" s="56"/>
      <c r="DD197" s="56"/>
      <c r="DF197" s="56"/>
      <c r="DH197" s="56"/>
      <c r="DJ197" s="56"/>
      <c r="DL197" s="56"/>
      <c r="DN197" s="56"/>
      <c r="DP197" s="56"/>
      <c r="DR197" s="56"/>
    </row>
    <row r="198" spans="12:122" x14ac:dyDescent="0.3">
      <c r="L198" s="56"/>
      <c r="N198" s="56"/>
      <c r="P198" s="56"/>
      <c r="R198" s="56"/>
      <c r="T198" s="56"/>
      <c r="V198" s="56"/>
      <c r="W198" s="60"/>
      <c r="X198" s="56"/>
      <c r="Z198" s="56"/>
      <c r="AB198" s="56"/>
      <c r="AC198" s="60"/>
      <c r="AD198" s="56"/>
      <c r="AE198" s="60"/>
      <c r="AF198" s="56"/>
      <c r="AH198" s="56"/>
      <c r="AJ198" s="56"/>
      <c r="AL198" s="56"/>
      <c r="AN198" s="56"/>
      <c r="AP198" s="56"/>
      <c r="AQ198" s="60"/>
      <c r="AR198" s="56"/>
      <c r="AT198" s="56"/>
      <c r="AU198" s="60"/>
      <c r="AV198" s="56"/>
      <c r="AW198" s="60"/>
      <c r="AX198" s="56"/>
      <c r="AZ198" s="56"/>
      <c r="CB198" s="56"/>
      <c r="CD198" s="56"/>
      <c r="CF198" s="56"/>
      <c r="CH198" s="56"/>
      <c r="CJ198" s="56"/>
      <c r="CL198" s="56"/>
      <c r="CN198" s="56"/>
      <c r="CP198" s="56"/>
      <c r="CR198" s="56"/>
      <c r="CT198" s="56"/>
      <c r="CV198" s="56"/>
      <c r="CX198" s="56"/>
      <c r="CZ198" s="56"/>
      <c r="DB198" s="56"/>
      <c r="DD198" s="56"/>
      <c r="DF198" s="56"/>
      <c r="DH198" s="56"/>
      <c r="DJ198" s="56"/>
      <c r="DL198" s="56"/>
      <c r="DN198" s="56"/>
      <c r="DP198" s="56"/>
      <c r="DR198" s="56"/>
    </row>
    <row r="199" spans="12:122" x14ac:dyDescent="0.3">
      <c r="L199" s="56"/>
      <c r="N199" s="56"/>
      <c r="P199" s="56"/>
      <c r="R199" s="56"/>
      <c r="T199" s="56"/>
      <c r="V199" s="56"/>
      <c r="W199" s="60"/>
      <c r="X199" s="56"/>
      <c r="Z199" s="56"/>
      <c r="AB199" s="56"/>
      <c r="AC199" s="60"/>
      <c r="AD199" s="56"/>
      <c r="AE199" s="60"/>
      <c r="AF199" s="56"/>
      <c r="AH199" s="56"/>
      <c r="AJ199" s="56"/>
      <c r="AL199" s="56"/>
      <c r="AN199" s="56"/>
      <c r="AP199" s="56"/>
      <c r="AQ199" s="60"/>
      <c r="AR199" s="56"/>
      <c r="AT199" s="56"/>
      <c r="AU199" s="60"/>
      <c r="AV199" s="56"/>
      <c r="AW199" s="60"/>
      <c r="AX199" s="56"/>
      <c r="AZ199" s="56"/>
    </row>
    <row r="200" spans="12:122" x14ac:dyDescent="0.3">
      <c r="L200" s="56"/>
      <c r="N200" s="56"/>
      <c r="P200" s="56"/>
      <c r="R200" s="56"/>
      <c r="T200" s="56"/>
      <c r="V200" s="56"/>
      <c r="W200" s="60"/>
      <c r="X200" s="56"/>
      <c r="Z200" s="56"/>
      <c r="AB200" s="56"/>
      <c r="AC200" s="60"/>
      <c r="AD200" s="56"/>
      <c r="AE200" s="60"/>
      <c r="AF200" s="56"/>
      <c r="AH200" s="56"/>
      <c r="AJ200" s="56"/>
      <c r="AL200" s="56"/>
      <c r="AN200" s="56"/>
      <c r="AP200" s="56"/>
      <c r="AQ200" s="60"/>
      <c r="AR200" s="56"/>
      <c r="AT200" s="56"/>
      <c r="AU200" s="60"/>
      <c r="AV200" s="56"/>
      <c r="AW200" s="60"/>
      <c r="AX200" s="56"/>
      <c r="AZ200" s="56"/>
    </row>
    <row r="201" spans="12:122" x14ac:dyDescent="0.3">
      <c r="L201" s="56"/>
      <c r="N201" s="56"/>
      <c r="P201" s="56"/>
      <c r="R201" s="56"/>
      <c r="T201" s="56"/>
      <c r="V201" s="56"/>
      <c r="W201" s="60"/>
      <c r="X201" s="56"/>
      <c r="Z201" s="56"/>
      <c r="AB201" s="56"/>
      <c r="AC201" s="60"/>
      <c r="AD201" s="56"/>
      <c r="AE201" s="60"/>
      <c r="AF201" s="56"/>
      <c r="AH201" s="56"/>
      <c r="AJ201" s="56"/>
      <c r="AL201" s="56"/>
      <c r="AN201" s="56"/>
      <c r="AP201" s="56"/>
      <c r="AQ201" s="60"/>
      <c r="AR201" s="56"/>
      <c r="AT201" s="56"/>
      <c r="AU201" s="60"/>
      <c r="AV201" s="56"/>
      <c r="AW201" s="60"/>
      <c r="AX201" s="56"/>
      <c r="AZ201" s="56"/>
    </row>
    <row r="202" spans="12:122" x14ac:dyDescent="0.3">
      <c r="L202" s="56"/>
      <c r="N202" s="56"/>
      <c r="P202" s="56"/>
      <c r="R202" s="56"/>
      <c r="T202" s="56"/>
      <c r="V202" s="56"/>
      <c r="W202" s="60"/>
      <c r="X202" s="56"/>
      <c r="Z202" s="56"/>
      <c r="AB202" s="56"/>
      <c r="AC202" s="60"/>
      <c r="AD202" s="56"/>
      <c r="AE202" s="60"/>
      <c r="AF202" s="56"/>
      <c r="AH202" s="56"/>
      <c r="AJ202" s="56"/>
      <c r="AL202" s="56"/>
      <c r="AN202" s="56"/>
      <c r="AP202" s="56"/>
      <c r="AQ202" s="60"/>
      <c r="AR202" s="56"/>
      <c r="AT202" s="56"/>
      <c r="AU202" s="60"/>
      <c r="AV202" s="56"/>
      <c r="AW202" s="60"/>
      <c r="AX202" s="56"/>
      <c r="AZ202" s="56"/>
    </row>
    <row r="203" spans="12:122" x14ac:dyDescent="0.3">
      <c r="L203" s="56"/>
      <c r="N203" s="56"/>
      <c r="P203" s="56"/>
      <c r="R203" s="56"/>
      <c r="T203" s="56"/>
      <c r="V203" s="56"/>
      <c r="W203" s="60"/>
      <c r="X203" s="56"/>
      <c r="Z203" s="56"/>
      <c r="AB203" s="56"/>
      <c r="AC203" s="60"/>
      <c r="AD203" s="56"/>
      <c r="AE203" s="60"/>
      <c r="AF203" s="56"/>
      <c r="AH203" s="56"/>
      <c r="AJ203" s="56"/>
      <c r="AL203" s="56"/>
      <c r="AN203" s="56"/>
      <c r="AP203" s="56"/>
      <c r="AQ203" s="60"/>
      <c r="AR203" s="56"/>
      <c r="AT203" s="56"/>
      <c r="AU203" s="60"/>
      <c r="AV203" s="56"/>
      <c r="AW203" s="60"/>
      <c r="AX203" s="56"/>
      <c r="AZ203" s="56"/>
    </row>
    <row r="204" spans="12:122" x14ac:dyDescent="0.3">
      <c r="L204" s="56"/>
      <c r="N204" s="56"/>
      <c r="P204" s="56"/>
      <c r="R204" s="56"/>
      <c r="T204" s="56"/>
      <c r="V204" s="56"/>
      <c r="W204" s="60"/>
      <c r="X204" s="56"/>
      <c r="Z204" s="56"/>
      <c r="AB204" s="56"/>
      <c r="AC204" s="60"/>
      <c r="AD204" s="56"/>
      <c r="AE204" s="60"/>
      <c r="AF204" s="56"/>
      <c r="AH204" s="56"/>
      <c r="AJ204" s="56"/>
      <c r="AL204" s="56"/>
      <c r="AN204" s="56"/>
      <c r="AP204" s="56"/>
      <c r="AQ204" s="60"/>
      <c r="AR204" s="56"/>
      <c r="AT204" s="56"/>
      <c r="AU204" s="60"/>
      <c r="AV204" s="56"/>
      <c r="AW204" s="60"/>
      <c r="AX204" s="56"/>
      <c r="AZ204" s="56"/>
    </row>
    <row r="205" spans="12:122" x14ac:dyDescent="0.3">
      <c r="L205" s="56"/>
      <c r="N205" s="56"/>
      <c r="P205" s="56"/>
      <c r="R205" s="56"/>
      <c r="T205" s="56"/>
      <c r="V205" s="56"/>
      <c r="W205" s="60"/>
      <c r="X205" s="56"/>
      <c r="Z205" s="56"/>
      <c r="AB205" s="56"/>
      <c r="AC205" s="60"/>
      <c r="AD205" s="56"/>
      <c r="AE205" s="60"/>
      <c r="AF205" s="56"/>
      <c r="AH205" s="56"/>
      <c r="AJ205" s="56"/>
      <c r="AL205" s="56"/>
      <c r="AN205" s="56"/>
      <c r="AP205" s="56"/>
      <c r="AQ205" s="60"/>
      <c r="AR205" s="56"/>
      <c r="AT205" s="56"/>
      <c r="AU205" s="60"/>
      <c r="AV205" s="56"/>
      <c r="AW205" s="60"/>
      <c r="AX205" s="56"/>
      <c r="AZ205" s="56"/>
    </row>
    <row r="206" spans="12:122" x14ac:dyDescent="0.3">
      <c r="L206" s="56"/>
      <c r="N206" s="56"/>
      <c r="P206" s="56"/>
      <c r="R206" s="56"/>
      <c r="T206" s="56"/>
      <c r="V206" s="56"/>
      <c r="W206" s="60"/>
      <c r="X206" s="56"/>
      <c r="Z206" s="56"/>
      <c r="AB206" s="56"/>
      <c r="AC206" s="60"/>
      <c r="AD206" s="56"/>
      <c r="AE206" s="60"/>
      <c r="AF206" s="56"/>
      <c r="AH206" s="56"/>
      <c r="AJ206" s="56"/>
      <c r="AL206" s="56"/>
      <c r="AN206" s="56"/>
      <c r="AP206" s="56"/>
      <c r="AQ206" s="60"/>
      <c r="AR206" s="56"/>
      <c r="AT206" s="56"/>
      <c r="AU206" s="60"/>
      <c r="AV206" s="56"/>
      <c r="AW206" s="60"/>
      <c r="AX206" s="56"/>
      <c r="AZ206" s="56"/>
    </row>
    <row r="207" spans="12:122" x14ac:dyDescent="0.3">
      <c r="L207" s="56"/>
      <c r="N207" s="56"/>
      <c r="P207" s="56"/>
      <c r="R207" s="56"/>
      <c r="T207" s="56"/>
      <c r="V207" s="56"/>
      <c r="W207" s="60"/>
      <c r="X207" s="56"/>
      <c r="Z207" s="56"/>
      <c r="AB207" s="56"/>
      <c r="AC207" s="60"/>
      <c r="AD207" s="56"/>
      <c r="AE207" s="60"/>
      <c r="AF207" s="56"/>
      <c r="AH207" s="56"/>
      <c r="AJ207" s="56"/>
      <c r="AL207" s="56"/>
      <c r="AN207" s="56"/>
      <c r="AP207" s="56"/>
      <c r="AQ207" s="60"/>
      <c r="AR207" s="56"/>
      <c r="AT207" s="56"/>
      <c r="AU207" s="60"/>
      <c r="AV207" s="56"/>
      <c r="AW207" s="60"/>
      <c r="AX207" s="56"/>
      <c r="AZ207" s="56"/>
    </row>
    <row r="208" spans="12:122" x14ac:dyDescent="0.3">
      <c r="L208" s="56"/>
      <c r="N208" s="56"/>
      <c r="P208" s="56"/>
      <c r="R208" s="56"/>
      <c r="T208" s="56"/>
      <c r="V208" s="56"/>
      <c r="W208" s="60"/>
      <c r="X208" s="56"/>
      <c r="Z208" s="56"/>
      <c r="AB208" s="56"/>
      <c r="AC208" s="60"/>
      <c r="AD208" s="56"/>
      <c r="AE208" s="60"/>
      <c r="AF208" s="56"/>
      <c r="AH208" s="56"/>
      <c r="AJ208" s="56"/>
      <c r="AL208" s="56"/>
      <c r="AN208" s="56"/>
      <c r="AP208" s="56"/>
      <c r="AQ208" s="60"/>
      <c r="AR208" s="56"/>
      <c r="AT208" s="56"/>
      <c r="AU208" s="60"/>
      <c r="AV208" s="56"/>
      <c r="AW208" s="60"/>
      <c r="AX208" s="56"/>
      <c r="AZ208" s="56"/>
    </row>
    <row r="209" spans="12:52" x14ac:dyDescent="0.3">
      <c r="L209" s="56"/>
      <c r="N209" s="56"/>
      <c r="P209" s="56"/>
      <c r="R209" s="56"/>
      <c r="T209" s="56"/>
      <c r="V209" s="56"/>
      <c r="W209" s="60"/>
      <c r="X209" s="56"/>
      <c r="Z209" s="56"/>
      <c r="AB209" s="56"/>
      <c r="AC209" s="60"/>
      <c r="AD209" s="56"/>
      <c r="AE209" s="60"/>
      <c r="AF209" s="56"/>
      <c r="AH209" s="56"/>
      <c r="AJ209" s="56"/>
      <c r="AL209" s="56"/>
      <c r="AN209" s="56"/>
      <c r="AP209" s="56"/>
      <c r="AQ209" s="60"/>
      <c r="AR209" s="56"/>
      <c r="AT209" s="56"/>
      <c r="AU209" s="60"/>
      <c r="AV209" s="56"/>
      <c r="AW209" s="60"/>
      <c r="AX209" s="56"/>
      <c r="AZ209" s="56"/>
    </row>
    <row r="210" spans="12:52" x14ac:dyDescent="0.3">
      <c r="L210" s="56"/>
      <c r="N210" s="56"/>
      <c r="P210" s="56"/>
      <c r="R210" s="56"/>
      <c r="T210" s="56"/>
      <c r="V210" s="56"/>
      <c r="W210" s="60"/>
      <c r="X210" s="56"/>
      <c r="Z210" s="56"/>
      <c r="AB210" s="56"/>
      <c r="AC210" s="60"/>
      <c r="AD210" s="56"/>
      <c r="AE210" s="60"/>
      <c r="AF210" s="56"/>
      <c r="AH210" s="56"/>
      <c r="AJ210" s="56"/>
      <c r="AL210" s="56"/>
      <c r="AN210" s="56"/>
      <c r="AP210" s="56"/>
      <c r="AQ210" s="60"/>
      <c r="AR210" s="56"/>
      <c r="AT210" s="56"/>
      <c r="AU210" s="60"/>
      <c r="AV210" s="56"/>
      <c r="AW210" s="60"/>
      <c r="AX210" s="56"/>
      <c r="AZ210" s="56"/>
    </row>
    <row r="211" spans="12:52" x14ac:dyDescent="0.3">
      <c r="L211" s="56"/>
      <c r="N211" s="56"/>
      <c r="P211" s="56"/>
      <c r="R211" s="56"/>
      <c r="T211" s="56"/>
      <c r="V211" s="56"/>
      <c r="W211" s="60"/>
      <c r="X211" s="56"/>
      <c r="Z211" s="56"/>
      <c r="AB211" s="56"/>
      <c r="AC211" s="60"/>
      <c r="AD211" s="56"/>
      <c r="AE211" s="60"/>
      <c r="AF211" s="56"/>
      <c r="AH211" s="56"/>
      <c r="AJ211" s="56"/>
      <c r="AL211" s="56"/>
      <c r="AN211" s="56"/>
      <c r="AP211" s="56"/>
      <c r="AQ211" s="60"/>
      <c r="AR211" s="56"/>
      <c r="AT211" s="56"/>
      <c r="AU211" s="60"/>
      <c r="AV211" s="56"/>
      <c r="AW211" s="60"/>
      <c r="AX211" s="56"/>
      <c r="AZ211" s="56"/>
    </row>
    <row r="212" spans="12:52" x14ac:dyDescent="0.3">
      <c r="L212" s="56"/>
      <c r="N212" s="56"/>
      <c r="P212" s="56"/>
      <c r="R212" s="56"/>
      <c r="T212" s="56"/>
      <c r="V212" s="56"/>
      <c r="W212" s="60"/>
      <c r="X212" s="56"/>
      <c r="Z212" s="56"/>
      <c r="AB212" s="56"/>
      <c r="AC212" s="60"/>
      <c r="AD212" s="56"/>
      <c r="AE212" s="60"/>
      <c r="AF212" s="56"/>
      <c r="AH212" s="56"/>
      <c r="AJ212" s="56"/>
      <c r="AL212" s="56"/>
      <c r="AN212" s="56"/>
      <c r="AP212" s="56"/>
      <c r="AQ212" s="60"/>
      <c r="AR212" s="56"/>
      <c r="AT212" s="56"/>
      <c r="AU212" s="60"/>
      <c r="AV212" s="56"/>
      <c r="AW212" s="60"/>
      <c r="AX212" s="56"/>
      <c r="AZ212" s="56"/>
    </row>
    <row r="213" spans="12:52" x14ac:dyDescent="0.3">
      <c r="L213" s="56"/>
      <c r="N213" s="56"/>
      <c r="P213" s="56"/>
      <c r="R213" s="56"/>
      <c r="T213" s="56"/>
      <c r="V213" s="56"/>
      <c r="W213" s="60"/>
      <c r="X213" s="56"/>
      <c r="Z213" s="56"/>
      <c r="AB213" s="56"/>
      <c r="AC213" s="60"/>
      <c r="AD213" s="56"/>
      <c r="AE213" s="60"/>
      <c r="AF213" s="56"/>
      <c r="AH213" s="56"/>
      <c r="AJ213" s="56"/>
      <c r="AL213" s="56"/>
      <c r="AN213" s="56"/>
      <c r="AP213" s="56"/>
      <c r="AQ213" s="60"/>
      <c r="AR213" s="56"/>
      <c r="AT213" s="56"/>
      <c r="AU213" s="60"/>
      <c r="AV213" s="56"/>
      <c r="AW213" s="60"/>
      <c r="AX213" s="56"/>
      <c r="AZ213" s="56"/>
    </row>
    <row r="214" spans="12:52" x14ac:dyDescent="0.3">
      <c r="L214" s="56"/>
      <c r="N214" s="56"/>
      <c r="P214" s="56"/>
      <c r="R214" s="56"/>
      <c r="T214" s="56"/>
      <c r="V214" s="56"/>
      <c r="W214" s="60"/>
      <c r="X214" s="56"/>
      <c r="Z214" s="56"/>
      <c r="AB214" s="56"/>
      <c r="AC214" s="60"/>
      <c r="AD214" s="56"/>
      <c r="AE214" s="60"/>
      <c r="AF214" s="56"/>
      <c r="AH214" s="56"/>
      <c r="AJ214" s="56"/>
      <c r="AL214" s="56"/>
      <c r="AN214" s="56"/>
      <c r="AP214" s="56"/>
      <c r="AQ214" s="60"/>
      <c r="AR214" s="56"/>
      <c r="AT214" s="56"/>
      <c r="AU214" s="60"/>
      <c r="AV214" s="56"/>
      <c r="AW214" s="60"/>
      <c r="AX214" s="56"/>
      <c r="AZ214" s="56"/>
    </row>
    <row r="215" spans="12:52" x14ac:dyDescent="0.3">
      <c r="L215" s="56"/>
      <c r="N215" s="56"/>
      <c r="P215" s="56"/>
      <c r="R215" s="56"/>
      <c r="T215" s="56"/>
      <c r="V215" s="56"/>
      <c r="W215" s="60"/>
      <c r="X215" s="56"/>
      <c r="Z215" s="56"/>
      <c r="AB215" s="56"/>
      <c r="AC215" s="60"/>
      <c r="AD215" s="56"/>
      <c r="AE215" s="60"/>
      <c r="AF215" s="56"/>
      <c r="AH215" s="56"/>
      <c r="AJ215" s="56"/>
      <c r="AL215" s="56"/>
      <c r="AN215" s="56"/>
      <c r="AP215" s="56"/>
      <c r="AQ215" s="60"/>
      <c r="AR215" s="56"/>
      <c r="AT215" s="56"/>
      <c r="AU215" s="60"/>
      <c r="AV215" s="56"/>
      <c r="AW215" s="60"/>
      <c r="AX215" s="56"/>
      <c r="AZ215" s="56"/>
    </row>
    <row r="216" spans="12:52" x14ac:dyDescent="0.3">
      <c r="L216" s="56"/>
      <c r="N216" s="56"/>
      <c r="P216" s="56"/>
      <c r="R216" s="56"/>
      <c r="T216" s="56"/>
      <c r="V216" s="56"/>
      <c r="W216" s="60"/>
      <c r="X216" s="56"/>
      <c r="Z216" s="56"/>
      <c r="AB216" s="56"/>
      <c r="AC216" s="60"/>
      <c r="AD216" s="56"/>
      <c r="AE216" s="60"/>
      <c r="AF216" s="56"/>
      <c r="AH216" s="56"/>
      <c r="AJ216" s="56"/>
      <c r="AL216" s="56"/>
      <c r="AN216" s="56"/>
      <c r="AP216" s="56"/>
      <c r="AQ216" s="60"/>
      <c r="AR216" s="56"/>
      <c r="AT216" s="56"/>
      <c r="AU216" s="60"/>
      <c r="AV216" s="56"/>
      <c r="AW216" s="60"/>
      <c r="AX216" s="56"/>
      <c r="AZ216" s="56"/>
    </row>
    <row r="217" spans="12:52" x14ac:dyDescent="0.3">
      <c r="L217" s="56"/>
      <c r="N217" s="56"/>
      <c r="P217" s="56"/>
      <c r="R217" s="56"/>
      <c r="T217" s="56"/>
      <c r="V217" s="56"/>
      <c r="W217" s="60"/>
      <c r="X217" s="56"/>
      <c r="Z217" s="56"/>
      <c r="AB217" s="56"/>
      <c r="AC217" s="60"/>
      <c r="AD217" s="56"/>
      <c r="AE217" s="60"/>
      <c r="AF217" s="56"/>
      <c r="AH217" s="56"/>
      <c r="AJ217" s="56"/>
      <c r="AL217" s="56"/>
      <c r="AN217" s="56"/>
      <c r="AP217" s="56"/>
      <c r="AQ217" s="60"/>
      <c r="AR217" s="56"/>
      <c r="AT217" s="56"/>
      <c r="AU217" s="60"/>
      <c r="AV217" s="56"/>
      <c r="AW217" s="60"/>
      <c r="AX217" s="56"/>
      <c r="AZ217" s="56"/>
    </row>
    <row r="218" spans="12:52" x14ac:dyDescent="0.3">
      <c r="L218" s="56"/>
      <c r="N218" s="56"/>
      <c r="P218" s="56"/>
      <c r="R218" s="56"/>
      <c r="T218" s="56"/>
      <c r="V218" s="56"/>
      <c r="W218" s="60"/>
      <c r="X218" s="56"/>
      <c r="Z218" s="56"/>
      <c r="AB218" s="56"/>
      <c r="AC218" s="60"/>
      <c r="AD218" s="56"/>
      <c r="AE218" s="60"/>
      <c r="AF218" s="56"/>
      <c r="AH218" s="56"/>
      <c r="AJ218" s="56"/>
      <c r="AL218" s="56"/>
      <c r="AN218" s="56"/>
      <c r="AP218" s="56"/>
      <c r="AQ218" s="60"/>
      <c r="AR218" s="56"/>
      <c r="AT218" s="56"/>
      <c r="AU218" s="60"/>
      <c r="AV218" s="56"/>
      <c r="AW218" s="60"/>
      <c r="AX218" s="56"/>
      <c r="AZ218" s="56"/>
    </row>
    <row r="219" spans="12:52" x14ac:dyDescent="0.3">
      <c r="L219" s="56"/>
      <c r="N219" s="56"/>
      <c r="P219" s="56"/>
      <c r="R219" s="56"/>
      <c r="T219" s="56"/>
      <c r="V219" s="56"/>
      <c r="W219" s="60"/>
      <c r="X219" s="56"/>
      <c r="Z219" s="56"/>
      <c r="AB219" s="56"/>
      <c r="AC219" s="60"/>
      <c r="AD219" s="56"/>
      <c r="AE219" s="60"/>
      <c r="AF219" s="56"/>
      <c r="AH219" s="56"/>
      <c r="AJ219" s="56"/>
      <c r="AL219" s="56"/>
      <c r="AN219" s="56"/>
      <c r="AP219" s="56"/>
      <c r="AQ219" s="60"/>
      <c r="AR219" s="56"/>
      <c r="AT219" s="56"/>
      <c r="AU219" s="60"/>
      <c r="AV219" s="56"/>
      <c r="AW219" s="60"/>
      <c r="AX219" s="56"/>
      <c r="AZ219" s="56"/>
    </row>
    <row r="220" spans="12:52" x14ac:dyDescent="0.3">
      <c r="L220" s="56"/>
      <c r="N220" s="56"/>
      <c r="P220" s="56"/>
      <c r="R220" s="56"/>
      <c r="T220" s="56"/>
      <c r="V220" s="56"/>
      <c r="W220" s="60"/>
      <c r="X220" s="56"/>
      <c r="Z220" s="56"/>
      <c r="AB220" s="56"/>
      <c r="AC220" s="60"/>
      <c r="AD220" s="56"/>
      <c r="AE220" s="60"/>
      <c r="AF220" s="56"/>
      <c r="AH220" s="56"/>
      <c r="AJ220" s="56"/>
      <c r="AL220" s="56"/>
      <c r="AN220" s="56"/>
      <c r="AP220" s="56"/>
      <c r="AQ220" s="60"/>
      <c r="AR220" s="56"/>
      <c r="AT220" s="56"/>
      <c r="AU220" s="60"/>
      <c r="AV220" s="56"/>
      <c r="AW220" s="60"/>
      <c r="AX220" s="56"/>
      <c r="AZ220" s="56"/>
    </row>
    <row r="221" spans="12:52" x14ac:dyDescent="0.3">
      <c r="L221" s="56"/>
      <c r="N221" s="56"/>
      <c r="P221" s="56"/>
      <c r="R221" s="56"/>
      <c r="T221" s="56"/>
      <c r="V221" s="56"/>
      <c r="W221" s="60"/>
      <c r="X221" s="56"/>
      <c r="Z221" s="56"/>
      <c r="AB221" s="56"/>
      <c r="AC221" s="60"/>
      <c r="AD221" s="56"/>
      <c r="AE221" s="60"/>
      <c r="AF221" s="56"/>
      <c r="AH221" s="56"/>
      <c r="AJ221" s="56"/>
      <c r="AL221" s="56"/>
      <c r="AN221" s="56"/>
      <c r="AP221" s="56"/>
      <c r="AQ221" s="60"/>
      <c r="AR221" s="56"/>
      <c r="AT221" s="56"/>
      <c r="AU221" s="60"/>
      <c r="AV221" s="56"/>
      <c r="AW221" s="60"/>
      <c r="AX221" s="56"/>
      <c r="AZ221" s="56"/>
    </row>
    <row r="222" spans="12:52" x14ac:dyDescent="0.3">
      <c r="L222" s="56"/>
      <c r="N222" s="56"/>
      <c r="P222" s="56"/>
      <c r="R222" s="56"/>
      <c r="T222" s="56"/>
      <c r="V222" s="56"/>
      <c r="W222" s="60"/>
      <c r="X222" s="56"/>
      <c r="Z222" s="56"/>
      <c r="AB222" s="56"/>
      <c r="AC222" s="60"/>
      <c r="AD222" s="56"/>
      <c r="AE222" s="60"/>
      <c r="AF222" s="56"/>
      <c r="AH222" s="56"/>
      <c r="AJ222" s="56"/>
      <c r="AL222" s="56"/>
      <c r="AN222" s="56"/>
      <c r="AP222" s="56"/>
      <c r="AQ222" s="60"/>
      <c r="AR222" s="56"/>
      <c r="AT222" s="56"/>
      <c r="AU222" s="60"/>
      <c r="AV222" s="56"/>
      <c r="AW222" s="60"/>
      <c r="AX222" s="56"/>
      <c r="AZ222" s="56"/>
    </row>
    <row r="223" spans="12:52" x14ac:dyDescent="0.3">
      <c r="L223" s="56"/>
      <c r="N223" s="56"/>
      <c r="P223" s="56"/>
      <c r="R223" s="56"/>
      <c r="T223" s="56"/>
      <c r="V223" s="56"/>
      <c r="W223" s="60"/>
      <c r="X223" s="56"/>
      <c r="Z223" s="56"/>
      <c r="AB223" s="56"/>
      <c r="AC223" s="60"/>
      <c r="AD223" s="56"/>
      <c r="AE223" s="60"/>
      <c r="AF223" s="56"/>
      <c r="AH223" s="56"/>
      <c r="AJ223" s="56"/>
      <c r="AL223" s="56"/>
      <c r="AN223" s="56"/>
      <c r="AP223" s="56"/>
      <c r="AQ223" s="60"/>
      <c r="AR223" s="56"/>
      <c r="AT223" s="56"/>
      <c r="AU223" s="60"/>
      <c r="AV223" s="56"/>
      <c r="AW223" s="60"/>
      <c r="AX223" s="56"/>
      <c r="AZ223" s="56"/>
    </row>
    <row r="224" spans="12:52" x14ac:dyDescent="0.3">
      <c r="L224" s="56"/>
      <c r="N224" s="56"/>
      <c r="P224" s="56"/>
      <c r="R224" s="56"/>
      <c r="T224" s="56"/>
      <c r="V224" s="56"/>
      <c r="W224" s="60"/>
      <c r="X224" s="56"/>
      <c r="Z224" s="56"/>
      <c r="AB224" s="56"/>
      <c r="AC224" s="60"/>
      <c r="AD224" s="56"/>
      <c r="AE224" s="60"/>
      <c r="AF224" s="56"/>
      <c r="AH224" s="56"/>
      <c r="AJ224" s="56"/>
      <c r="AL224" s="56"/>
      <c r="AN224" s="56"/>
      <c r="AP224" s="56"/>
      <c r="AQ224" s="60"/>
      <c r="AR224" s="56"/>
      <c r="AT224" s="56"/>
      <c r="AU224" s="60"/>
      <c r="AV224" s="56"/>
      <c r="AW224" s="60"/>
      <c r="AX224" s="56"/>
      <c r="AZ224" s="56"/>
    </row>
    <row r="225" spans="12:52" x14ac:dyDescent="0.3">
      <c r="L225" s="56"/>
      <c r="N225" s="56"/>
      <c r="P225" s="56"/>
      <c r="R225" s="56"/>
      <c r="T225" s="56"/>
      <c r="V225" s="56"/>
      <c r="W225" s="60"/>
      <c r="X225" s="56"/>
      <c r="Z225" s="56"/>
      <c r="AB225" s="56"/>
      <c r="AC225" s="60"/>
      <c r="AD225" s="56"/>
      <c r="AE225" s="60"/>
      <c r="AF225" s="56"/>
      <c r="AH225" s="56"/>
      <c r="AJ225" s="56"/>
      <c r="AL225" s="56"/>
      <c r="AN225" s="56"/>
      <c r="AP225" s="56"/>
      <c r="AQ225" s="60"/>
      <c r="AR225" s="56"/>
      <c r="AT225" s="56"/>
      <c r="AU225" s="60"/>
      <c r="AV225" s="56"/>
      <c r="AW225" s="60"/>
      <c r="AX225" s="56"/>
      <c r="AZ225" s="56"/>
    </row>
    <row r="226" spans="12:52" x14ac:dyDescent="0.3">
      <c r="L226" s="56"/>
      <c r="N226" s="56"/>
      <c r="P226" s="56"/>
      <c r="R226" s="56"/>
      <c r="T226" s="56"/>
      <c r="V226" s="56"/>
      <c r="W226" s="60"/>
      <c r="X226" s="56"/>
      <c r="Z226" s="56"/>
      <c r="AB226" s="56"/>
      <c r="AC226" s="60"/>
      <c r="AD226" s="56"/>
      <c r="AE226" s="60"/>
      <c r="AF226" s="56"/>
      <c r="AH226" s="56"/>
      <c r="AJ226" s="56"/>
      <c r="AL226" s="56"/>
      <c r="AN226" s="56"/>
      <c r="AP226" s="56"/>
      <c r="AQ226" s="60"/>
      <c r="AR226" s="56"/>
      <c r="AT226" s="56"/>
      <c r="AU226" s="60"/>
      <c r="AV226" s="56"/>
      <c r="AW226" s="60"/>
      <c r="AX226" s="56"/>
      <c r="AZ226" s="56"/>
    </row>
    <row r="227" spans="12:52" x14ac:dyDescent="0.3">
      <c r="L227" s="56"/>
      <c r="N227" s="56"/>
      <c r="P227" s="56"/>
      <c r="R227" s="56"/>
      <c r="T227" s="56"/>
      <c r="V227" s="56"/>
      <c r="W227" s="60"/>
      <c r="X227" s="56"/>
      <c r="Z227" s="56"/>
      <c r="AB227" s="56"/>
      <c r="AC227" s="60"/>
      <c r="AD227" s="56"/>
      <c r="AE227" s="60"/>
      <c r="AF227" s="56"/>
      <c r="AH227" s="56"/>
      <c r="AJ227" s="56"/>
      <c r="AL227" s="56"/>
      <c r="AN227" s="56"/>
      <c r="AP227" s="56"/>
      <c r="AQ227" s="60"/>
      <c r="AR227" s="56"/>
      <c r="AT227" s="56"/>
      <c r="AU227" s="60"/>
      <c r="AV227" s="56"/>
      <c r="AW227" s="60"/>
      <c r="AX227" s="56"/>
      <c r="AZ227" s="56"/>
    </row>
    <row r="228" spans="12:52" x14ac:dyDescent="0.3">
      <c r="L228" s="56"/>
      <c r="N228" s="56"/>
      <c r="P228" s="56"/>
      <c r="R228" s="56"/>
      <c r="T228" s="56"/>
      <c r="V228" s="56"/>
      <c r="W228" s="60"/>
      <c r="X228" s="56"/>
      <c r="Z228" s="56"/>
      <c r="AB228" s="56"/>
      <c r="AC228" s="60"/>
      <c r="AD228" s="56"/>
      <c r="AE228" s="60"/>
      <c r="AF228" s="56"/>
      <c r="AH228" s="56"/>
      <c r="AJ228" s="56"/>
      <c r="AL228" s="56"/>
      <c r="AN228" s="56"/>
      <c r="AP228" s="56"/>
      <c r="AQ228" s="60"/>
      <c r="AR228" s="56"/>
      <c r="AT228" s="56"/>
      <c r="AU228" s="60"/>
      <c r="AV228" s="56"/>
      <c r="AW228" s="60"/>
      <c r="AX228" s="56"/>
      <c r="AZ228" s="56"/>
    </row>
    <row r="229" spans="12:52" x14ac:dyDescent="0.3">
      <c r="L229" s="56"/>
      <c r="N229" s="56"/>
      <c r="P229" s="56"/>
      <c r="R229" s="56"/>
      <c r="T229" s="56"/>
      <c r="V229" s="56"/>
      <c r="W229" s="60"/>
      <c r="X229" s="56"/>
      <c r="Z229" s="56"/>
      <c r="AB229" s="56"/>
      <c r="AC229" s="60"/>
      <c r="AD229" s="56"/>
      <c r="AE229" s="60"/>
      <c r="AF229" s="56"/>
      <c r="AH229" s="56"/>
      <c r="AJ229" s="56"/>
      <c r="AL229" s="56"/>
      <c r="AN229" s="56"/>
      <c r="AP229" s="56"/>
      <c r="AQ229" s="60"/>
      <c r="AR229" s="56"/>
      <c r="AT229" s="56"/>
      <c r="AU229" s="60"/>
      <c r="AV229" s="56"/>
      <c r="AW229" s="60"/>
      <c r="AX229" s="56"/>
      <c r="AZ229" s="56"/>
    </row>
    <row r="230" spans="12:52" x14ac:dyDescent="0.3">
      <c r="L230" s="56"/>
      <c r="N230" s="56"/>
      <c r="P230" s="56"/>
      <c r="R230" s="56"/>
      <c r="T230" s="56"/>
      <c r="V230" s="56"/>
      <c r="W230" s="60"/>
      <c r="X230" s="56"/>
      <c r="Z230" s="56"/>
      <c r="AB230" s="56"/>
      <c r="AC230" s="60"/>
      <c r="AD230" s="56"/>
      <c r="AE230" s="60"/>
      <c r="AF230" s="56"/>
      <c r="AH230" s="56"/>
      <c r="AJ230" s="56"/>
      <c r="AL230" s="56"/>
      <c r="AN230" s="56"/>
      <c r="AP230" s="56"/>
      <c r="AQ230" s="60"/>
      <c r="AR230" s="56"/>
      <c r="AT230" s="56"/>
      <c r="AU230" s="60"/>
      <c r="AV230" s="56"/>
      <c r="AW230" s="60"/>
      <c r="AX230" s="56"/>
      <c r="AZ230" s="56"/>
    </row>
    <row r="231" spans="12:52" x14ac:dyDescent="0.3">
      <c r="L231" s="56"/>
      <c r="N231" s="56"/>
      <c r="P231" s="56"/>
      <c r="R231" s="56"/>
      <c r="T231" s="56"/>
      <c r="V231" s="56"/>
      <c r="W231" s="60"/>
      <c r="X231" s="56"/>
      <c r="Z231" s="56"/>
      <c r="AB231" s="56"/>
      <c r="AC231" s="60"/>
      <c r="AD231" s="56"/>
      <c r="AE231" s="60"/>
      <c r="AF231" s="56"/>
      <c r="AH231" s="56"/>
      <c r="AJ231" s="56"/>
      <c r="AL231" s="56"/>
      <c r="AN231" s="56"/>
      <c r="AP231" s="56"/>
      <c r="AQ231" s="60"/>
      <c r="AR231" s="56"/>
      <c r="AT231" s="56"/>
      <c r="AU231" s="60"/>
      <c r="AV231" s="56"/>
      <c r="AW231" s="60"/>
      <c r="AX231" s="56"/>
      <c r="AZ231" s="56"/>
    </row>
    <row r="232" spans="12:52" x14ac:dyDescent="0.3">
      <c r="L232" s="56"/>
      <c r="N232" s="56"/>
      <c r="P232" s="56"/>
      <c r="R232" s="56"/>
      <c r="T232" s="56"/>
      <c r="V232" s="56"/>
      <c r="W232" s="60"/>
      <c r="X232" s="56"/>
      <c r="Z232" s="56"/>
      <c r="AB232" s="56"/>
      <c r="AC232" s="60"/>
      <c r="AD232" s="56"/>
      <c r="AE232" s="60"/>
      <c r="AF232" s="56"/>
      <c r="AH232" s="56"/>
      <c r="AJ232" s="56"/>
      <c r="AL232" s="56"/>
      <c r="AN232" s="56"/>
      <c r="AP232" s="56"/>
      <c r="AQ232" s="60"/>
      <c r="AR232" s="56"/>
      <c r="AT232" s="56"/>
      <c r="AU232" s="60"/>
      <c r="AV232" s="56"/>
      <c r="AW232" s="60"/>
      <c r="AX232" s="56"/>
      <c r="AZ232" s="56"/>
    </row>
    <row r="233" spans="12:52" x14ac:dyDescent="0.3">
      <c r="L233" s="56"/>
      <c r="N233" s="56"/>
      <c r="P233" s="56"/>
      <c r="R233" s="56"/>
      <c r="T233" s="56"/>
      <c r="V233" s="56"/>
      <c r="W233" s="60"/>
      <c r="X233" s="56"/>
      <c r="Z233" s="56"/>
      <c r="AB233" s="56"/>
      <c r="AC233" s="60"/>
      <c r="AD233" s="56"/>
      <c r="AE233" s="60"/>
      <c r="AF233" s="56"/>
      <c r="AH233" s="56"/>
      <c r="AJ233" s="56"/>
      <c r="AL233" s="56"/>
      <c r="AN233" s="56"/>
      <c r="AP233" s="56"/>
      <c r="AQ233" s="60"/>
      <c r="AR233" s="56"/>
      <c r="AT233" s="56"/>
      <c r="AU233" s="60"/>
      <c r="AV233" s="56"/>
      <c r="AW233" s="60"/>
      <c r="AX233" s="56"/>
      <c r="AZ233" s="56"/>
    </row>
    <row r="234" spans="12:52" x14ac:dyDescent="0.3">
      <c r="L234" s="56"/>
      <c r="N234" s="56"/>
      <c r="P234" s="56"/>
      <c r="R234" s="56"/>
      <c r="T234" s="56"/>
      <c r="V234" s="56"/>
      <c r="W234" s="60"/>
      <c r="X234" s="56"/>
      <c r="Z234" s="56"/>
      <c r="AB234" s="56"/>
      <c r="AC234" s="60"/>
      <c r="AD234" s="56"/>
      <c r="AE234" s="60"/>
      <c r="AF234" s="56"/>
      <c r="AH234" s="56"/>
      <c r="AJ234" s="56"/>
      <c r="AL234" s="56"/>
      <c r="AN234" s="56"/>
      <c r="AP234" s="56"/>
      <c r="AQ234" s="60"/>
      <c r="AR234" s="56"/>
      <c r="AT234" s="56"/>
      <c r="AU234" s="60"/>
      <c r="AV234" s="56"/>
      <c r="AW234" s="60"/>
      <c r="AX234" s="56"/>
      <c r="AZ234" s="56"/>
    </row>
    <row r="235" spans="12:52" x14ac:dyDescent="0.3">
      <c r="L235" s="56"/>
      <c r="N235" s="56"/>
      <c r="P235" s="56"/>
      <c r="R235" s="56"/>
      <c r="T235" s="56"/>
      <c r="V235" s="56"/>
      <c r="W235" s="60"/>
      <c r="X235" s="56"/>
      <c r="Z235" s="56"/>
      <c r="AB235" s="56"/>
      <c r="AC235" s="60"/>
      <c r="AD235" s="56"/>
      <c r="AE235" s="60"/>
      <c r="AF235" s="56"/>
      <c r="AH235" s="56"/>
      <c r="AJ235" s="56"/>
      <c r="AL235" s="56"/>
      <c r="AN235" s="56"/>
      <c r="AP235" s="56"/>
      <c r="AQ235" s="60"/>
      <c r="AR235" s="56"/>
      <c r="AT235" s="56"/>
      <c r="AU235" s="60"/>
      <c r="AV235" s="56"/>
      <c r="AW235" s="60"/>
      <c r="AX235" s="56"/>
      <c r="AZ235" s="56"/>
    </row>
    <row r="236" spans="12:52" x14ac:dyDescent="0.3">
      <c r="L236" s="56"/>
      <c r="N236" s="56"/>
      <c r="P236" s="56"/>
      <c r="R236" s="56"/>
      <c r="T236" s="56"/>
      <c r="V236" s="56"/>
      <c r="W236" s="60"/>
      <c r="X236" s="56"/>
      <c r="Z236" s="56"/>
      <c r="AB236" s="56"/>
      <c r="AC236" s="60"/>
      <c r="AD236" s="56"/>
      <c r="AE236" s="60"/>
      <c r="AF236" s="56"/>
      <c r="AH236" s="56"/>
      <c r="AJ236" s="56"/>
      <c r="AL236" s="56"/>
      <c r="AN236" s="56"/>
      <c r="AP236" s="56"/>
      <c r="AQ236" s="60"/>
      <c r="AR236" s="56"/>
      <c r="AT236" s="56"/>
      <c r="AU236" s="60"/>
      <c r="AV236" s="56"/>
      <c r="AW236" s="60"/>
      <c r="AX236" s="56"/>
      <c r="AZ236" s="56"/>
    </row>
    <row r="237" spans="12:52" x14ac:dyDescent="0.3">
      <c r="L237" s="56"/>
      <c r="N237" s="56"/>
      <c r="P237" s="56"/>
      <c r="R237" s="56"/>
      <c r="T237" s="56"/>
      <c r="V237" s="56"/>
      <c r="W237" s="60"/>
      <c r="X237" s="56"/>
      <c r="Z237" s="56"/>
      <c r="AB237" s="56"/>
      <c r="AC237" s="60"/>
      <c r="AD237" s="56"/>
      <c r="AE237" s="60"/>
      <c r="AF237" s="56"/>
      <c r="AH237" s="56"/>
      <c r="AJ237" s="56"/>
      <c r="AL237" s="56"/>
      <c r="AN237" s="56"/>
      <c r="AP237" s="56"/>
      <c r="AQ237" s="60"/>
      <c r="AR237" s="56"/>
      <c r="AT237" s="56"/>
      <c r="AU237" s="60"/>
      <c r="AV237" s="56"/>
      <c r="AW237" s="60"/>
      <c r="AX237" s="56"/>
      <c r="AZ237" s="56"/>
    </row>
    <row r="238" spans="12:52" x14ac:dyDescent="0.3">
      <c r="L238" s="56"/>
      <c r="N238" s="56"/>
      <c r="P238" s="56"/>
      <c r="R238" s="56"/>
      <c r="T238" s="56"/>
      <c r="V238" s="56"/>
      <c r="W238" s="60"/>
      <c r="X238" s="56"/>
      <c r="Z238" s="56"/>
      <c r="AB238" s="56"/>
      <c r="AC238" s="60"/>
      <c r="AD238" s="56"/>
      <c r="AE238" s="60"/>
      <c r="AF238" s="56"/>
      <c r="AH238" s="56"/>
      <c r="AJ238" s="56"/>
      <c r="AL238" s="56"/>
      <c r="AN238" s="56"/>
      <c r="AP238" s="56"/>
      <c r="AQ238" s="60"/>
      <c r="AR238" s="56"/>
      <c r="AT238" s="56"/>
      <c r="AU238" s="60"/>
      <c r="AV238" s="56"/>
      <c r="AW238" s="60"/>
      <c r="AX238" s="56"/>
      <c r="AZ238" s="56"/>
    </row>
    <row r="239" spans="12:52" x14ac:dyDescent="0.3">
      <c r="L239" s="56"/>
      <c r="N239" s="56"/>
      <c r="P239" s="56"/>
      <c r="R239" s="56"/>
      <c r="T239" s="56"/>
      <c r="V239" s="56"/>
      <c r="W239" s="60"/>
      <c r="X239" s="56"/>
      <c r="Z239" s="56"/>
      <c r="AB239" s="56"/>
      <c r="AC239" s="60"/>
      <c r="AD239" s="56"/>
      <c r="AE239" s="60"/>
      <c r="AF239" s="56"/>
      <c r="AH239" s="56"/>
      <c r="AJ239" s="56"/>
      <c r="AL239" s="56"/>
      <c r="AN239" s="56"/>
      <c r="AP239" s="56"/>
      <c r="AQ239" s="60"/>
      <c r="AR239" s="56"/>
      <c r="AT239" s="56"/>
      <c r="AU239" s="60"/>
      <c r="AV239" s="56"/>
      <c r="AW239" s="60"/>
      <c r="AX239" s="56"/>
      <c r="AZ239" s="56"/>
    </row>
    <row r="240" spans="12:52" x14ac:dyDescent="0.3">
      <c r="L240" s="56"/>
      <c r="N240" s="56"/>
      <c r="P240" s="56"/>
      <c r="R240" s="56"/>
      <c r="T240" s="56"/>
      <c r="V240" s="56"/>
      <c r="W240" s="60"/>
      <c r="X240" s="56"/>
      <c r="Z240" s="56"/>
      <c r="AB240" s="56"/>
      <c r="AC240" s="60"/>
      <c r="AD240" s="56"/>
      <c r="AE240" s="60"/>
      <c r="AF240" s="56"/>
      <c r="AH240" s="56"/>
      <c r="AJ240" s="56"/>
      <c r="AL240" s="56"/>
      <c r="AN240" s="56"/>
      <c r="AP240" s="56"/>
      <c r="AQ240" s="60"/>
      <c r="AR240" s="56"/>
      <c r="AT240" s="56"/>
      <c r="AU240" s="60"/>
      <c r="AV240" s="56"/>
      <c r="AW240" s="60"/>
      <c r="AX240" s="56"/>
      <c r="AZ240" s="56"/>
    </row>
    <row r="241" spans="12:52" x14ac:dyDescent="0.3">
      <c r="L241" s="56"/>
      <c r="N241" s="56"/>
      <c r="P241" s="56"/>
      <c r="R241" s="56"/>
      <c r="T241" s="56"/>
      <c r="V241" s="56"/>
      <c r="W241" s="60"/>
      <c r="X241" s="56"/>
      <c r="Z241" s="56"/>
      <c r="AB241" s="56"/>
      <c r="AC241" s="60"/>
      <c r="AD241" s="56"/>
      <c r="AE241" s="60"/>
      <c r="AF241" s="56"/>
      <c r="AH241" s="56"/>
      <c r="AJ241" s="56"/>
      <c r="AL241" s="56"/>
      <c r="AN241" s="56"/>
      <c r="AP241" s="56"/>
      <c r="AQ241" s="60"/>
      <c r="AR241" s="56"/>
      <c r="AT241" s="56"/>
      <c r="AU241" s="60"/>
      <c r="AV241" s="56"/>
      <c r="AW241" s="60"/>
      <c r="AX241" s="56"/>
      <c r="AZ241" s="56"/>
    </row>
    <row r="242" spans="12:52" x14ac:dyDescent="0.3">
      <c r="L242" s="56"/>
      <c r="N242" s="56"/>
      <c r="P242" s="56"/>
      <c r="R242" s="56"/>
      <c r="T242" s="56"/>
      <c r="V242" s="56"/>
      <c r="W242" s="60"/>
      <c r="X242" s="56"/>
      <c r="Z242" s="56"/>
      <c r="AB242" s="56"/>
      <c r="AC242" s="60"/>
      <c r="AD242" s="56"/>
      <c r="AE242" s="60"/>
      <c r="AF242" s="56"/>
      <c r="AH242" s="56"/>
      <c r="AJ242" s="56"/>
      <c r="AL242" s="56"/>
      <c r="AN242" s="56"/>
      <c r="AP242" s="56"/>
      <c r="AQ242" s="60"/>
      <c r="AR242" s="56"/>
      <c r="AT242" s="56"/>
      <c r="AU242" s="60"/>
      <c r="AV242" s="56"/>
      <c r="AW242" s="60"/>
      <c r="AX242" s="56"/>
      <c r="AZ242" s="56"/>
    </row>
    <row r="243" spans="12:52" x14ac:dyDescent="0.3">
      <c r="L243" s="56"/>
      <c r="N243" s="56"/>
      <c r="P243" s="56"/>
      <c r="R243" s="56"/>
      <c r="T243" s="56"/>
      <c r="V243" s="56"/>
      <c r="W243" s="60"/>
      <c r="X243" s="56"/>
      <c r="Z243" s="56"/>
      <c r="AB243" s="56"/>
      <c r="AC243" s="60"/>
      <c r="AD243" s="56"/>
      <c r="AE243" s="60"/>
      <c r="AF243" s="56"/>
      <c r="AH243" s="56"/>
      <c r="AJ243" s="56"/>
      <c r="AL243" s="56"/>
      <c r="AN243" s="56"/>
      <c r="AP243" s="56"/>
      <c r="AQ243" s="60"/>
      <c r="AR243" s="56"/>
      <c r="AT243" s="56"/>
      <c r="AU243" s="60"/>
      <c r="AV243" s="56"/>
      <c r="AW243" s="60"/>
      <c r="AX243" s="56"/>
      <c r="AZ243" s="56"/>
    </row>
    <row r="244" spans="12:52" x14ac:dyDescent="0.3">
      <c r="L244" s="56"/>
      <c r="N244" s="56"/>
      <c r="P244" s="56"/>
      <c r="R244" s="56"/>
      <c r="T244" s="56"/>
      <c r="V244" s="56"/>
      <c r="W244" s="60"/>
      <c r="X244" s="56"/>
      <c r="Z244" s="56"/>
      <c r="AB244" s="56"/>
      <c r="AC244" s="60"/>
      <c r="AD244" s="56"/>
      <c r="AE244" s="60"/>
      <c r="AF244" s="56"/>
      <c r="AH244" s="56"/>
      <c r="AJ244" s="56"/>
      <c r="AL244" s="56"/>
      <c r="AN244" s="56"/>
      <c r="AP244" s="56"/>
      <c r="AQ244" s="60"/>
      <c r="AR244" s="56"/>
      <c r="AT244" s="56"/>
      <c r="AU244" s="60"/>
      <c r="AV244" s="56"/>
      <c r="AW244" s="60"/>
      <c r="AX244" s="56"/>
      <c r="AZ244" s="56"/>
    </row>
    <row r="245" spans="12:52" x14ac:dyDescent="0.3">
      <c r="L245" s="56"/>
      <c r="N245" s="56"/>
      <c r="P245" s="56"/>
      <c r="R245" s="56"/>
      <c r="T245" s="56"/>
      <c r="V245" s="56"/>
      <c r="W245" s="60"/>
      <c r="X245" s="56"/>
      <c r="Z245" s="56"/>
      <c r="AB245" s="56"/>
      <c r="AC245" s="60"/>
      <c r="AD245" s="56"/>
      <c r="AE245" s="60"/>
      <c r="AF245" s="56"/>
      <c r="AH245" s="56"/>
      <c r="AJ245" s="56"/>
      <c r="AL245" s="56"/>
      <c r="AN245" s="56"/>
      <c r="AP245" s="56"/>
      <c r="AQ245" s="60"/>
      <c r="AR245" s="56"/>
      <c r="AT245" s="56"/>
      <c r="AU245" s="60"/>
      <c r="AV245" s="56"/>
      <c r="AW245" s="60"/>
      <c r="AX245" s="56"/>
      <c r="AZ245" s="56"/>
    </row>
    <row r="246" spans="12:52" x14ac:dyDescent="0.3">
      <c r="L246" s="56"/>
      <c r="N246" s="56"/>
      <c r="P246" s="56"/>
      <c r="R246" s="56"/>
      <c r="T246" s="56"/>
      <c r="V246" s="56"/>
      <c r="W246" s="60"/>
      <c r="X246" s="56"/>
      <c r="Z246" s="56"/>
      <c r="AB246" s="56"/>
      <c r="AC246" s="60"/>
      <c r="AD246" s="56"/>
      <c r="AE246" s="60"/>
      <c r="AF246" s="56"/>
      <c r="AH246" s="56"/>
      <c r="AJ246" s="56"/>
      <c r="AL246" s="56"/>
      <c r="AN246" s="56"/>
      <c r="AP246" s="56"/>
      <c r="AQ246" s="60"/>
      <c r="AR246" s="56"/>
      <c r="AT246" s="56"/>
      <c r="AU246" s="60"/>
      <c r="AV246" s="56"/>
      <c r="AW246" s="60"/>
      <c r="AX246" s="56"/>
      <c r="AZ246" s="56"/>
    </row>
    <row r="247" spans="12:52" x14ac:dyDescent="0.3">
      <c r="L247" s="56"/>
      <c r="N247" s="56"/>
      <c r="P247" s="56"/>
      <c r="R247" s="56"/>
      <c r="T247" s="56"/>
      <c r="V247" s="56"/>
      <c r="W247" s="60"/>
      <c r="X247" s="56"/>
      <c r="Z247" s="56"/>
      <c r="AB247" s="56"/>
      <c r="AC247" s="60"/>
      <c r="AD247" s="56"/>
      <c r="AE247" s="60"/>
      <c r="AF247" s="56"/>
      <c r="AH247" s="56"/>
      <c r="AJ247" s="56"/>
      <c r="AL247" s="56"/>
      <c r="AN247" s="56"/>
      <c r="AP247" s="56"/>
      <c r="AQ247" s="60"/>
      <c r="AR247" s="56"/>
      <c r="AT247" s="56"/>
      <c r="AU247" s="60"/>
      <c r="AV247" s="56"/>
      <c r="AW247" s="60"/>
      <c r="AX247" s="56"/>
      <c r="AZ247" s="56"/>
    </row>
    <row r="248" spans="12:52" x14ac:dyDescent="0.3">
      <c r="L248" s="56"/>
      <c r="N248" s="56"/>
      <c r="P248" s="56"/>
      <c r="R248" s="56"/>
      <c r="T248" s="56"/>
      <c r="V248" s="56"/>
      <c r="W248" s="60"/>
      <c r="X248" s="56"/>
      <c r="Z248" s="56"/>
      <c r="AB248" s="56"/>
      <c r="AC248" s="60"/>
      <c r="AD248" s="56"/>
      <c r="AE248" s="60"/>
      <c r="AF248" s="56"/>
      <c r="AH248" s="56"/>
      <c r="AJ248" s="56"/>
      <c r="AL248" s="56"/>
      <c r="AN248" s="56"/>
      <c r="AP248" s="56"/>
      <c r="AQ248" s="60"/>
      <c r="AR248" s="56"/>
      <c r="AT248" s="56"/>
      <c r="AU248" s="60"/>
      <c r="AV248" s="56"/>
      <c r="AW248" s="60"/>
      <c r="AX248" s="56"/>
      <c r="AZ248" s="56"/>
    </row>
    <row r="249" spans="12:52" x14ac:dyDescent="0.3">
      <c r="L249" s="56"/>
      <c r="N249" s="56"/>
      <c r="P249" s="56"/>
      <c r="R249" s="56"/>
      <c r="T249" s="56"/>
      <c r="V249" s="56"/>
      <c r="W249" s="60"/>
      <c r="X249" s="56"/>
      <c r="Z249" s="56"/>
      <c r="AB249" s="56"/>
      <c r="AC249" s="60"/>
      <c r="AD249" s="56"/>
      <c r="AE249" s="60"/>
      <c r="AF249" s="56"/>
      <c r="AH249" s="56"/>
      <c r="AJ249" s="56"/>
      <c r="AL249" s="56"/>
      <c r="AN249" s="56"/>
      <c r="AP249" s="56"/>
      <c r="AQ249" s="60"/>
      <c r="AR249" s="56"/>
      <c r="AT249" s="56"/>
      <c r="AU249" s="60"/>
      <c r="AV249" s="56"/>
      <c r="AW249" s="60"/>
      <c r="AX249" s="56"/>
      <c r="AZ249" s="56"/>
    </row>
    <row r="250" spans="12:52" x14ac:dyDescent="0.3">
      <c r="L250" s="56"/>
      <c r="N250" s="56"/>
      <c r="P250" s="56"/>
      <c r="R250" s="56"/>
      <c r="T250" s="56"/>
      <c r="V250" s="56"/>
      <c r="W250" s="60"/>
      <c r="X250" s="56"/>
      <c r="Z250" s="56"/>
      <c r="AB250" s="56"/>
      <c r="AC250" s="60"/>
      <c r="AD250" s="56"/>
      <c r="AE250" s="60"/>
      <c r="AF250" s="56"/>
      <c r="AH250" s="56"/>
      <c r="AJ250" s="56"/>
      <c r="AL250" s="56"/>
      <c r="AN250" s="56"/>
      <c r="AP250" s="56"/>
      <c r="AQ250" s="60"/>
      <c r="AR250" s="56"/>
      <c r="AT250" s="56"/>
      <c r="AU250" s="60"/>
      <c r="AV250" s="56"/>
      <c r="AW250" s="60"/>
      <c r="AX250" s="56"/>
      <c r="AZ250" s="56"/>
    </row>
    <row r="251" spans="12:52" x14ac:dyDescent="0.3">
      <c r="L251" s="56"/>
      <c r="N251" s="56"/>
      <c r="P251" s="56"/>
      <c r="R251" s="56"/>
      <c r="T251" s="56"/>
      <c r="V251" s="56"/>
      <c r="W251" s="60"/>
      <c r="X251" s="56"/>
      <c r="Z251" s="56"/>
      <c r="AB251" s="56"/>
      <c r="AC251" s="60"/>
      <c r="AD251" s="56"/>
      <c r="AE251" s="60"/>
      <c r="AF251" s="56"/>
      <c r="AH251" s="56"/>
      <c r="AJ251" s="56"/>
      <c r="AL251" s="56"/>
      <c r="AN251" s="56"/>
      <c r="AP251" s="56"/>
      <c r="AQ251" s="60"/>
      <c r="AR251" s="56"/>
      <c r="AT251" s="56"/>
      <c r="AU251" s="60"/>
      <c r="AV251" s="56"/>
      <c r="AW251" s="60"/>
      <c r="AX251" s="56"/>
      <c r="AZ251" s="56"/>
    </row>
    <row r="252" spans="12:52" x14ac:dyDescent="0.3">
      <c r="L252" s="56"/>
      <c r="N252" s="56"/>
      <c r="P252" s="56"/>
      <c r="R252" s="56"/>
      <c r="T252" s="56"/>
      <c r="V252" s="56"/>
      <c r="W252" s="60"/>
      <c r="X252" s="56"/>
      <c r="Z252" s="56"/>
      <c r="AB252" s="56"/>
      <c r="AC252" s="60"/>
      <c r="AD252" s="56"/>
      <c r="AE252" s="60"/>
      <c r="AF252" s="56"/>
      <c r="AH252" s="56"/>
      <c r="AJ252" s="56"/>
      <c r="AL252" s="56"/>
      <c r="AN252" s="56"/>
      <c r="AP252" s="56"/>
      <c r="AQ252" s="60"/>
      <c r="AR252" s="56"/>
      <c r="AT252" s="56"/>
      <c r="AU252" s="60"/>
      <c r="AV252" s="56"/>
      <c r="AW252" s="60"/>
      <c r="AX252" s="56"/>
      <c r="AZ252" s="56"/>
    </row>
    <row r="253" spans="12:52" x14ac:dyDescent="0.3">
      <c r="L253" s="56"/>
      <c r="N253" s="56"/>
      <c r="P253" s="56"/>
      <c r="R253" s="56"/>
      <c r="T253" s="56"/>
      <c r="V253" s="56"/>
      <c r="W253" s="60"/>
      <c r="X253" s="56"/>
      <c r="Z253" s="56"/>
      <c r="AB253" s="56"/>
      <c r="AC253" s="60"/>
      <c r="AD253" s="56"/>
      <c r="AE253" s="60"/>
      <c r="AF253" s="56"/>
      <c r="AH253" s="56"/>
      <c r="AJ253" s="56"/>
      <c r="AL253" s="56"/>
      <c r="AN253" s="56"/>
      <c r="AP253" s="56"/>
      <c r="AQ253" s="60"/>
      <c r="AR253" s="56"/>
      <c r="AT253" s="56"/>
      <c r="AU253" s="60"/>
      <c r="AV253" s="56"/>
      <c r="AW253" s="60"/>
      <c r="AX253" s="56"/>
      <c r="AZ253" s="56"/>
    </row>
    <row r="254" spans="12:52" x14ac:dyDescent="0.3">
      <c r="L254" s="56"/>
      <c r="N254" s="56"/>
      <c r="P254" s="56"/>
      <c r="R254" s="56"/>
      <c r="T254" s="56"/>
      <c r="V254" s="56"/>
      <c r="W254" s="60"/>
      <c r="X254" s="56"/>
      <c r="Z254" s="56"/>
      <c r="AB254" s="56"/>
      <c r="AC254" s="60"/>
      <c r="AD254" s="56"/>
      <c r="AE254" s="60"/>
      <c r="AF254" s="56"/>
      <c r="AH254" s="56"/>
      <c r="AJ254" s="56"/>
      <c r="AL254" s="56"/>
      <c r="AN254" s="56"/>
      <c r="AP254" s="56"/>
      <c r="AQ254" s="60"/>
      <c r="AR254" s="56"/>
      <c r="AT254" s="56"/>
      <c r="AU254" s="60"/>
      <c r="AV254" s="56"/>
      <c r="AW254" s="60"/>
      <c r="AX254" s="56"/>
      <c r="AZ254" s="56"/>
    </row>
    <row r="255" spans="12:52" x14ac:dyDescent="0.3">
      <c r="L255" s="56"/>
      <c r="N255" s="56"/>
      <c r="P255" s="56"/>
      <c r="R255" s="56"/>
      <c r="T255" s="56"/>
      <c r="V255" s="56"/>
      <c r="W255" s="60"/>
      <c r="X255" s="56"/>
      <c r="Z255" s="56"/>
      <c r="AB255" s="56"/>
      <c r="AC255" s="60"/>
      <c r="AD255" s="56"/>
      <c r="AE255" s="60"/>
      <c r="AF255" s="56"/>
      <c r="AH255" s="56"/>
      <c r="AJ255" s="56"/>
      <c r="AL255" s="56"/>
      <c r="AN255" s="56"/>
      <c r="AP255" s="56"/>
      <c r="AQ255" s="60"/>
      <c r="AR255" s="56"/>
      <c r="AT255" s="56"/>
      <c r="AU255" s="60"/>
      <c r="AV255" s="56"/>
      <c r="AW255" s="60"/>
      <c r="AX255" s="56"/>
      <c r="AZ255" s="56"/>
    </row>
    <row r="256" spans="12:52" x14ac:dyDescent="0.3">
      <c r="L256" s="56"/>
      <c r="N256" s="56"/>
      <c r="P256" s="56"/>
      <c r="R256" s="56"/>
      <c r="T256" s="56"/>
      <c r="V256" s="56"/>
      <c r="W256" s="60"/>
      <c r="X256" s="56"/>
      <c r="Z256" s="56"/>
      <c r="AB256" s="56"/>
      <c r="AC256" s="60"/>
      <c r="AD256" s="56"/>
      <c r="AE256" s="60"/>
      <c r="AF256" s="56"/>
      <c r="AH256" s="56"/>
      <c r="AJ256" s="56"/>
      <c r="AL256" s="56"/>
      <c r="AN256" s="56"/>
      <c r="AP256" s="56"/>
      <c r="AQ256" s="60"/>
      <c r="AR256" s="56"/>
      <c r="AT256" s="56"/>
      <c r="AU256" s="60"/>
      <c r="AV256" s="56"/>
      <c r="AW256" s="60"/>
      <c r="AX256" s="56"/>
      <c r="AZ256" s="56"/>
    </row>
    <row r="257" spans="12:52" x14ac:dyDescent="0.3">
      <c r="L257" s="56"/>
      <c r="N257" s="56"/>
      <c r="P257" s="56"/>
      <c r="R257" s="56"/>
      <c r="T257" s="56"/>
      <c r="V257" s="56"/>
      <c r="W257" s="60"/>
      <c r="X257" s="56"/>
      <c r="Z257" s="56"/>
      <c r="AB257" s="56"/>
      <c r="AC257" s="60"/>
      <c r="AD257" s="56"/>
      <c r="AE257" s="60"/>
      <c r="AF257" s="56"/>
      <c r="AH257" s="56"/>
      <c r="AJ257" s="56"/>
      <c r="AL257" s="56"/>
      <c r="AN257" s="56"/>
      <c r="AP257" s="56"/>
      <c r="AQ257" s="60"/>
      <c r="AR257" s="56"/>
      <c r="AT257" s="56"/>
      <c r="AU257" s="60"/>
      <c r="AV257" s="56"/>
      <c r="AW257" s="60"/>
      <c r="AX257" s="56"/>
      <c r="AZ257" s="56"/>
    </row>
    <row r="258" spans="12:52" x14ac:dyDescent="0.3">
      <c r="L258" s="56"/>
      <c r="N258" s="56"/>
      <c r="P258" s="56"/>
      <c r="R258" s="56"/>
      <c r="T258" s="56"/>
      <c r="V258" s="56"/>
      <c r="W258" s="60"/>
      <c r="X258" s="56"/>
      <c r="Z258" s="56"/>
      <c r="AB258" s="56"/>
      <c r="AC258" s="60"/>
      <c r="AD258" s="56"/>
      <c r="AE258" s="60"/>
      <c r="AF258" s="56"/>
      <c r="AH258" s="56"/>
      <c r="AJ258" s="56"/>
      <c r="AL258" s="56"/>
      <c r="AN258" s="56"/>
      <c r="AP258" s="56"/>
      <c r="AQ258" s="60"/>
      <c r="AR258" s="56"/>
      <c r="AT258" s="56"/>
      <c r="AU258" s="60"/>
      <c r="AV258" s="56"/>
      <c r="AW258" s="60"/>
      <c r="AX258" s="56"/>
      <c r="AZ258" s="56"/>
    </row>
    <row r="259" spans="12:52" x14ac:dyDescent="0.3">
      <c r="L259" s="56"/>
      <c r="N259" s="56"/>
      <c r="P259" s="56"/>
      <c r="R259" s="56"/>
      <c r="T259" s="56"/>
      <c r="V259" s="56"/>
      <c r="W259" s="60"/>
      <c r="X259" s="56"/>
      <c r="Z259" s="56"/>
      <c r="AB259" s="56"/>
      <c r="AC259" s="60"/>
      <c r="AD259" s="56"/>
      <c r="AE259" s="60"/>
      <c r="AF259" s="56"/>
      <c r="AH259" s="56"/>
      <c r="AJ259" s="56"/>
      <c r="AL259" s="56"/>
      <c r="AN259" s="56"/>
      <c r="AP259" s="56"/>
      <c r="AQ259" s="60"/>
      <c r="AR259" s="56"/>
      <c r="AT259" s="56"/>
      <c r="AU259" s="60"/>
      <c r="AV259" s="56"/>
      <c r="AW259" s="60"/>
      <c r="AX259" s="56"/>
      <c r="AZ259" s="56"/>
    </row>
    <row r="260" spans="12:52" x14ac:dyDescent="0.3">
      <c r="L260" s="56"/>
      <c r="N260" s="56"/>
      <c r="P260" s="56"/>
      <c r="R260" s="56"/>
      <c r="T260" s="56"/>
      <c r="V260" s="56"/>
      <c r="W260" s="60"/>
      <c r="X260" s="56"/>
      <c r="Z260" s="56"/>
      <c r="AB260" s="56"/>
      <c r="AC260" s="60"/>
      <c r="AD260" s="56"/>
      <c r="AE260" s="60"/>
      <c r="AF260" s="56"/>
      <c r="AH260" s="56"/>
      <c r="AJ260" s="56"/>
      <c r="AL260" s="56"/>
      <c r="AN260" s="56"/>
      <c r="AP260" s="56"/>
      <c r="AQ260" s="60"/>
      <c r="AR260" s="56"/>
      <c r="AT260" s="56"/>
      <c r="AU260" s="60"/>
      <c r="AV260" s="56"/>
      <c r="AW260" s="60"/>
      <c r="AX260" s="56"/>
      <c r="AZ260" s="56"/>
    </row>
    <row r="261" spans="12:52" x14ac:dyDescent="0.3">
      <c r="L261" s="56"/>
      <c r="N261" s="56"/>
      <c r="P261" s="56"/>
      <c r="R261" s="56"/>
      <c r="T261" s="56"/>
      <c r="V261" s="56"/>
      <c r="W261" s="60"/>
      <c r="X261" s="56"/>
      <c r="Z261" s="56"/>
      <c r="AB261" s="56"/>
      <c r="AC261" s="60"/>
      <c r="AD261" s="56"/>
      <c r="AE261" s="60"/>
      <c r="AF261" s="56"/>
      <c r="AH261" s="56"/>
      <c r="AJ261" s="56"/>
      <c r="AL261" s="56"/>
      <c r="AN261" s="56"/>
      <c r="AP261" s="56"/>
      <c r="AQ261" s="60"/>
      <c r="AR261" s="56"/>
      <c r="AT261" s="56"/>
      <c r="AU261" s="60"/>
      <c r="AV261" s="56"/>
      <c r="AW261" s="60"/>
      <c r="AX261" s="56"/>
      <c r="AZ261" s="56"/>
    </row>
    <row r="262" spans="12:52" x14ac:dyDescent="0.3">
      <c r="L262" s="56"/>
      <c r="N262" s="56"/>
      <c r="P262" s="56"/>
      <c r="R262" s="56"/>
      <c r="T262" s="56"/>
      <c r="V262" s="56"/>
      <c r="W262" s="60"/>
      <c r="X262" s="56"/>
      <c r="Z262" s="56"/>
      <c r="AB262" s="56"/>
      <c r="AC262" s="60"/>
      <c r="AD262" s="56"/>
      <c r="AE262" s="60"/>
      <c r="AF262" s="56"/>
      <c r="AH262" s="56"/>
      <c r="AJ262" s="56"/>
      <c r="AL262" s="56"/>
      <c r="AN262" s="56"/>
      <c r="AP262" s="56"/>
      <c r="AQ262" s="60"/>
      <c r="AR262" s="56"/>
      <c r="AT262" s="56"/>
      <c r="AU262" s="60"/>
      <c r="AV262" s="56"/>
      <c r="AW262" s="60"/>
      <c r="AX262" s="56"/>
      <c r="AZ262" s="56"/>
    </row>
    <row r="263" spans="12:52" x14ac:dyDescent="0.3">
      <c r="L263" s="56"/>
      <c r="N263" s="56"/>
      <c r="P263" s="56"/>
      <c r="R263" s="56"/>
      <c r="T263" s="56"/>
      <c r="V263" s="56"/>
      <c r="W263" s="60"/>
      <c r="X263" s="56"/>
      <c r="Z263" s="56"/>
      <c r="AB263" s="56"/>
      <c r="AC263" s="60"/>
      <c r="AD263" s="56"/>
      <c r="AE263" s="60"/>
      <c r="AF263" s="56"/>
      <c r="AH263" s="56"/>
      <c r="AJ263" s="56"/>
      <c r="AL263" s="56"/>
      <c r="AN263" s="56"/>
      <c r="AP263" s="56"/>
      <c r="AQ263" s="60"/>
      <c r="AR263" s="56"/>
      <c r="AT263" s="56"/>
      <c r="AU263" s="60"/>
      <c r="AV263" s="56"/>
      <c r="AW263" s="60"/>
      <c r="AX263" s="56"/>
      <c r="AZ263" s="56"/>
    </row>
    <row r="264" spans="12:52" x14ac:dyDescent="0.3">
      <c r="L264" s="56"/>
      <c r="N264" s="56"/>
      <c r="P264" s="56"/>
      <c r="R264" s="56"/>
      <c r="T264" s="56"/>
      <c r="V264" s="56"/>
      <c r="W264" s="60"/>
      <c r="X264" s="56"/>
      <c r="Z264" s="56"/>
      <c r="AB264" s="56"/>
      <c r="AC264" s="60"/>
      <c r="AD264" s="56"/>
      <c r="AE264" s="60"/>
      <c r="AF264" s="56"/>
      <c r="AH264" s="56"/>
      <c r="AJ264" s="56"/>
      <c r="AL264" s="56"/>
      <c r="AN264" s="56"/>
      <c r="AP264" s="56"/>
      <c r="AQ264" s="60"/>
      <c r="AR264" s="56"/>
      <c r="AT264" s="56"/>
      <c r="AU264" s="60"/>
      <c r="AV264" s="56"/>
      <c r="AW264" s="60"/>
      <c r="AX264" s="56"/>
      <c r="AZ264" s="56"/>
    </row>
    <row r="265" spans="12:52" x14ac:dyDescent="0.3">
      <c r="L265" s="56"/>
      <c r="N265" s="56"/>
      <c r="P265" s="56"/>
      <c r="R265" s="56"/>
      <c r="T265" s="56"/>
      <c r="V265" s="56"/>
      <c r="W265" s="60"/>
      <c r="X265" s="56"/>
      <c r="Z265" s="56"/>
      <c r="AB265" s="56"/>
      <c r="AC265" s="60"/>
      <c r="AD265" s="56"/>
      <c r="AE265" s="60"/>
      <c r="AF265" s="56"/>
      <c r="AH265" s="56"/>
      <c r="AJ265" s="56"/>
      <c r="AL265" s="56"/>
      <c r="AN265" s="56"/>
      <c r="AP265" s="56"/>
      <c r="AQ265" s="60"/>
      <c r="AR265" s="56"/>
      <c r="AT265" s="56"/>
      <c r="AU265" s="60"/>
      <c r="AV265" s="56"/>
      <c r="AW265" s="60"/>
      <c r="AX265" s="56"/>
      <c r="AZ265" s="56"/>
    </row>
    <row r="266" spans="12:52" x14ac:dyDescent="0.3">
      <c r="L266" s="56"/>
      <c r="N266" s="56"/>
      <c r="P266" s="56"/>
      <c r="R266" s="56"/>
      <c r="T266" s="56"/>
      <c r="V266" s="56"/>
      <c r="W266" s="60"/>
      <c r="X266" s="56"/>
      <c r="Z266" s="56"/>
      <c r="AB266" s="56"/>
      <c r="AC266" s="60"/>
      <c r="AD266" s="56"/>
      <c r="AE266" s="60"/>
      <c r="AF266" s="56"/>
      <c r="AH266" s="56"/>
      <c r="AJ266" s="56"/>
      <c r="AL266" s="56"/>
      <c r="AN266" s="56"/>
      <c r="AP266" s="56"/>
      <c r="AQ266" s="60"/>
      <c r="AR266" s="56"/>
      <c r="AT266" s="56"/>
      <c r="AU266" s="60"/>
      <c r="AV266" s="56"/>
      <c r="AW266" s="60"/>
      <c r="AX266" s="56"/>
      <c r="AZ266" s="56"/>
    </row>
    <row r="267" spans="12:52" x14ac:dyDescent="0.3">
      <c r="L267" s="56"/>
      <c r="N267" s="56"/>
      <c r="P267" s="56"/>
      <c r="R267" s="56"/>
      <c r="T267" s="56"/>
      <c r="V267" s="56"/>
      <c r="W267" s="60"/>
      <c r="X267" s="56"/>
      <c r="Z267" s="56"/>
      <c r="AB267" s="56"/>
      <c r="AC267" s="60"/>
      <c r="AD267" s="56"/>
      <c r="AE267" s="60"/>
      <c r="AF267" s="56"/>
      <c r="AH267" s="56"/>
      <c r="AJ267" s="56"/>
      <c r="AL267" s="56"/>
      <c r="AN267" s="56"/>
      <c r="AP267" s="56"/>
      <c r="AQ267" s="60"/>
      <c r="AR267" s="56"/>
      <c r="AT267" s="56"/>
      <c r="AU267" s="60"/>
      <c r="AV267" s="56"/>
      <c r="AW267" s="60"/>
      <c r="AX267" s="56"/>
      <c r="AZ267" s="56"/>
    </row>
    <row r="268" spans="12:52" x14ac:dyDescent="0.3">
      <c r="L268" s="56"/>
      <c r="N268" s="56"/>
      <c r="P268" s="56"/>
      <c r="R268" s="56"/>
      <c r="T268" s="56"/>
      <c r="V268" s="56"/>
      <c r="W268" s="60"/>
      <c r="X268" s="56"/>
      <c r="Z268" s="56"/>
      <c r="AB268" s="56"/>
      <c r="AC268" s="60"/>
      <c r="AD268" s="56"/>
      <c r="AE268" s="60"/>
      <c r="AF268" s="56"/>
      <c r="AH268" s="56"/>
      <c r="AJ268" s="56"/>
      <c r="AL268" s="56"/>
      <c r="AN268" s="56"/>
      <c r="AP268" s="56"/>
      <c r="AQ268" s="60"/>
      <c r="AR268" s="56"/>
      <c r="AT268" s="56"/>
      <c r="AU268" s="60"/>
      <c r="AV268" s="56"/>
      <c r="AW268" s="60"/>
      <c r="AX268" s="56"/>
      <c r="AZ268" s="56"/>
    </row>
    <row r="269" spans="12:52" x14ac:dyDescent="0.3">
      <c r="L269" s="56"/>
      <c r="N269" s="56"/>
      <c r="P269" s="56"/>
      <c r="R269" s="56"/>
      <c r="T269" s="56"/>
      <c r="V269" s="56"/>
      <c r="W269" s="60"/>
      <c r="X269" s="56"/>
      <c r="Z269" s="56"/>
      <c r="AB269" s="56"/>
      <c r="AC269" s="60"/>
      <c r="AD269" s="56"/>
      <c r="AE269" s="60"/>
      <c r="AF269" s="56"/>
      <c r="AH269" s="56"/>
      <c r="AJ269" s="56"/>
      <c r="AL269" s="56"/>
      <c r="AN269" s="56"/>
      <c r="AP269" s="56"/>
      <c r="AQ269" s="60"/>
      <c r="AR269" s="56"/>
      <c r="AT269" s="56"/>
      <c r="AU269" s="60"/>
      <c r="AV269" s="56"/>
      <c r="AW269" s="60"/>
      <c r="AX269" s="56"/>
      <c r="AZ269" s="56"/>
    </row>
    <row r="270" spans="12:52" x14ac:dyDescent="0.3">
      <c r="L270" s="56"/>
      <c r="N270" s="56"/>
      <c r="P270" s="56"/>
      <c r="R270" s="56"/>
      <c r="T270" s="56"/>
      <c r="V270" s="56"/>
      <c r="W270" s="60"/>
      <c r="X270" s="56"/>
      <c r="Z270" s="56"/>
      <c r="AB270" s="56"/>
      <c r="AC270" s="60"/>
      <c r="AD270" s="56"/>
      <c r="AE270" s="60"/>
      <c r="AF270" s="56"/>
      <c r="AH270" s="56"/>
      <c r="AJ270" s="56"/>
      <c r="AL270" s="56"/>
      <c r="AN270" s="56"/>
      <c r="AP270" s="56"/>
      <c r="AQ270" s="60"/>
      <c r="AR270" s="56"/>
      <c r="AT270" s="56"/>
      <c r="AU270" s="60"/>
      <c r="AV270" s="56"/>
      <c r="AW270" s="60"/>
      <c r="AX270" s="56"/>
      <c r="AZ270" s="56"/>
    </row>
    <row r="271" spans="12:52" x14ac:dyDescent="0.3">
      <c r="L271" s="56"/>
      <c r="N271" s="56"/>
      <c r="P271" s="56"/>
      <c r="R271" s="56"/>
      <c r="T271" s="56"/>
      <c r="V271" s="56"/>
      <c r="W271" s="60"/>
      <c r="X271" s="56"/>
      <c r="Z271" s="56"/>
      <c r="AB271" s="56"/>
      <c r="AC271" s="60"/>
      <c r="AD271" s="56"/>
      <c r="AE271" s="60"/>
      <c r="AF271" s="56"/>
      <c r="AH271" s="56"/>
      <c r="AJ271" s="56"/>
      <c r="AL271" s="56"/>
      <c r="AN271" s="56"/>
      <c r="AP271" s="56"/>
      <c r="AQ271" s="60"/>
      <c r="AR271" s="56"/>
      <c r="AT271" s="56"/>
      <c r="AU271" s="60"/>
      <c r="AV271" s="56"/>
      <c r="AW271" s="60"/>
      <c r="AX271" s="56"/>
      <c r="AZ271" s="56"/>
    </row>
    <row r="272" spans="12:52" x14ac:dyDescent="0.3">
      <c r="L272" s="56"/>
      <c r="N272" s="56"/>
      <c r="P272" s="56"/>
      <c r="R272" s="56"/>
      <c r="T272" s="56"/>
      <c r="V272" s="56"/>
      <c r="W272" s="60"/>
      <c r="X272" s="56"/>
      <c r="Z272" s="56"/>
      <c r="AB272" s="56"/>
      <c r="AC272" s="60"/>
      <c r="AD272" s="56"/>
      <c r="AE272" s="60"/>
      <c r="AF272" s="56"/>
      <c r="AH272" s="56"/>
      <c r="AJ272" s="56"/>
      <c r="AL272" s="56"/>
      <c r="AN272" s="56"/>
      <c r="AP272" s="56"/>
      <c r="AQ272" s="60"/>
      <c r="AR272" s="56"/>
      <c r="AT272" s="56"/>
      <c r="AU272" s="60"/>
      <c r="AV272" s="56"/>
      <c r="AW272" s="60"/>
      <c r="AX272" s="56"/>
      <c r="AZ272" s="56"/>
    </row>
    <row r="273" spans="12:52" x14ac:dyDescent="0.3">
      <c r="L273" s="56"/>
      <c r="N273" s="56"/>
      <c r="P273" s="56"/>
      <c r="R273" s="56"/>
      <c r="T273" s="56"/>
      <c r="V273" s="56"/>
      <c r="W273" s="60"/>
      <c r="X273" s="56"/>
      <c r="Z273" s="56"/>
      <c r="AB273" s="56"/>
      <c r="AC273" s="60"/>
      <c r="AD273" s="56"/>
      <c r="AE273" s="60"/>
      <c r="AF273" s="56"/>
      <c r="AH273" s="56"/>
      <c r="AJ273" s="56"/>
      <c r="AL273" s="56"/>
      <c r="AN273" s="56"/>
      <c r="AP273" s="56"/>
      <c r="AQ273" s="60"/>
      <c r="AR273" s="56"/>
      <c r="AT273" s="56"/>
      <c r="AU273" s="60"/>
      <c r="AV273" s="56"/>
      <c r="AW273" s="60"/>
      <c r="AX273" s="56"/>
      <c r="AZ273" s="56"/>
    </row>
    <row r="274" spans="12:52" x14ac:dyDescent="0.3">
      <c r="L274" s="56"/>
      <c r="N274" s="56"/>
      <c r="P274" s="56"/>
      <c r="R274" s="56"/>
      <c r="T274" s="56"/>
      <c r="V274" s="56"/>
      <c r="W274" s="60"/>
      <c r="X274" s="56"/>
      <c r="Z274" s="56"/>
      <c r="AB274" s="56"/>
      <c r="AC274" s="60"/>
      <c r="AD274" s="56"/>
      <c r="AE274" s="60"/>
      <c r="AF274" s="56"/>
      <c r="AH274" s="56"/>
      <c r="AJ274" s="56"/>
      <c r="AL274" s="56"/>
      <c r="AN274" s="56"/>
      <c r="AP274" s="56"/>
      <c r="AQ274" s="60"/>
      <c r="AR274" s="56"/>
      <c r="AT274" s="56"/>
      <c r="AU274" s="60"/>
      <c r="AV274" s="56"/>
      <c r="AW274" s="60"/>
      <c r="AX274" s="56"/>
      <c r="AZ274" s="56"/>
    </row>
    <row r="275" spans="12:52" x14ac:dyDescent="0.3">
      <c r="L275" s="56"/>
      <c r="N275" s="56"/>
      <c r="P275" s="56"/>
      <c r="R275" s="56"/>
      <c r="T275" s="56"/>
      <c r="V275" s="56"/>
      <c r="W275" s="60"/>
      <c r="X275" s="56"/>
      <c r="Z275" s="56"/>
      <c r="AB275" s="56"/>
      <c r="AC275" s="60"/>
      <c r="AD275" s="56"/>
      <c r="AE275" s="60"/>
      <c r="AF275" s="56"/>
      <c r="AH275" s="56"/>
      <c r="AJ275" s="56"/>
      <c r="AL275" s="56"/>
      <c r="AN275" s="56"/>
      <c r="AP275" s="56"/>
      <c r="AQ275" s="60"/>
      <c r="AR275" s="56"/>
      <c r="AT275" s="56"/>
      <c r="AU275" s="60"/>
      <c r="AV275" s="56"/>
      <c r="AW275" s="60"/>
      <c r="AX275" s="56"/>
      <c r="AZ275" s="56"/>
    </row>
    <row r="276" spans="12:52" x14ac:dyDescent="0.3">
      <c r="L276" s="56"/>
      <c r="N276" s="56"/>
      <c r="P276" s="56"/>
      <c r="R276" s="56"/>
      <c r="T276" s="56"/>
      <c r="V276" s="56"/>
      <c r="W276" s="60"/>
      <c r="X276" s="56"/>
      <c r="Z276" s="56"/>
      <c r="AB276" s="56"/>
      <c r="AC276" s="60"/>
      <c r="AD276" s="56"/>
      <c r="AE276" s="60"/>
      <c r="AF276" s="56"/>
      <c r="AH276" s="56"/>
      <c r="AJ276" s="56"/>
      <c r="AL276" s="56"/>
      <c r="AN276" s="56"/>
      <c r="AP276" s="56"/>
      <c r="AQ276" s="60"/>
      <c r="AR276" s="56"/>
      <c r="AT276" s="56"/>
      <c r="AU276" s="60"/>
      <c r="AV276" s="56"/>
      <c r="AW276" s="60"/>
      <c r="AX276" s="56"/>
      <c r="AZ276" s="56"/>
    </row>
    <row r="277" spans="12:52" x14ac:dyDescent="0.3">
      <c r="L277" s="56"/>
      <c r="N277" s="56"/>
      <c r="P277" s="56"/>
      <c r="R277" s="56"/>
      <c r="T277" s="56"/>
      <c r="V277" s="56"/>
      <c r="W277" s="60"/>
      <c r="X277" s="56"/>
      <c r="Z277" s="56"/>
      <c r="AB277" s="56"/>
      <c r="AC277" s="60"/>
      <c r="AD277" s="56"/>
      <c r="AE277" s="60"/>
      <c r="AF277" s="56"/>
      <c r="AH277" s="56"/>
      <c r="AJ277" s="56"/>
      <c r="AL277" s="56"/>
      <c r="AN277" s="56"/>
      <c r="AP277" s="56"/>
      <c r="AQ277" s="60"/>
      <c r="AR277" s="56"/>
      <c r="AT277" s="56"/>
      <c r="AU277" s="60"/>
      <c r="AV277" s="56"/>
      <c r="AW277" s="60"/>
      <c r="AX277" s="56"/>
      <c r="AZ277" s="56"/>
    </row>
    <row r="278" spans="12:52" x14ac:dyDescent="0.3">
      <c r="L278" s="56"/>
      <c r="N278" s="56"/>
      <c r="P278" s="56"/>
      <c r="R278" s="56"/>
      <c r="T278" s="56"/>
      <c r="V278" s="56"/>
      <c r="W278" s="60"/>
      <c r="X278" s="56"/>
      <c r="Z278" s="56"/>
      <c r="AB278" s="56"/>
      <c r="AC278" s="60"/>
      <c r="AD278" s="56"/>
      <c r="AE278" s="60"/>
      <c r="AF278" s="56"/>
      <c r="AH278" s="56"/>
      <c r="AJ278" s="56"/>
      <c r="AL278" s="56"/>
      <c r="AN278" s="56"/>
      <c r="AP278" s="56"/>
      <c r="AQ278" s="60"/>
      <c r="AR278" s="56"/>
      <c r="AT278" s="56"/>
      <c r="AU278" s="60"/>
      <c r="AV278" s="56"/>
      <c r="AW278" s="60"/>
      <c r="AX278" s="56"/>
      <c r="AZ278" s="56"/>
    </row>
    <row r="279" spans="12:52" x14ac:dyDescent="0.3">
      <c r="L279" s="56"/>
      <c r="N279" s="56"/>
      <c r="P279" s="56"/>
      <c r="R279" s="56"/>
      <c r="T279" s="56"/>
      <c r="V279" s="56"/>
      <c r="W279" s="60"/>
      <c r="X279" s="56"/>
      <c r="Z279" s="56"/>
      <c r="AB279" s="56"/>
      <c r="AC279" s="60"/>
      <c r="AD279" s="56"/>
      <c r="AE279" s="60"/>
      <c r="AF279" s="56"/>
      <c r="AH279" s="56"/>
      <c r="AJ279" s="56"/>
      <c r="AL279" s="56"/>
      <c r="AN279" s="56"/>
      <c r="AP279" s="56"/>
      <c r="AQ279" s="60"/>
      <c r="AR279" s="56"/>
      <c r="AT279" s="56"/>
      <c r="AU279" s="60"/>
      <c r="AV279" s="56"/>
      <c r="AW279" s="60"/>
      <c r="AX279" s="56"/>
      <c r="AZ279" s="56"/>
    </row>
    <row r="280" spans="12:52" x14ac:dyDescent="0.3">
      <c r="L280" s="56"/>
      <c r="N280" s="56"/>
      <c r="P280" s="56"/>
      <c r="R280" s="56"/>
      <c r="T280" s="56"/>
      <c r="V280" s="56"/>
      <c r="W280" s="60"/>
      <c r="X280" s="56"/>
      <c r="Z280" s="56"/>
      <c r="AB280" s="56"/>
      <c r="AC280" s="60"/>
      <c r="AD280" s="56"/>
      <c r="AE280" s="60"/>
      <c r="AF280" s="56"/>
      <c r="AH280" s="56"/>
      <c r="AJ280" s="56"/>
      <c r="AL280" s="56"/>
      <c r="AN280" s="56"/>
      <c r="AP280" s="56"/>
      <c r="AQ280" s="60"/>
      <c r="AR280" s="56"/>
      <c r="AT280" s="56"/>
      <c r="AU280" s="60"/>
      <c r="AV280" s="56"/>
      <c r="AW280" s="60"/>
      <c r="AX280" s="56"/>
      <c r="AZ280" s="56"/>
    </row>
    <row r="281" spans="12:52" x14ac:dyDescent="0.3">
      <c r="L281" s="56"/>
      <c r="N281" s="56"/>
      <c r="P281" s="56"/>
      <c r="R281" s="56"/>
      <c r="T281" s="56"/>
      <c r="V281" s="56"/>
      <c r="W281" s="60"/>
      <c r="X281" s="56"/>
      <c r="Z281" s="56"/>
      <c r="AB281" s="56"/>
      <c r="AC281" s="60"/>
      <c r="AD281" s="56"/>
      <c r="AE281" s="60"/>
      <c r="AF281" s="56"/>
      <c r="AH281" s="56"/>
      <c r="AJ281" s="56"/>
      <c r="AL281" s="56"/>
      <c r="AN281" s="56"/>
      <c r="AP281" s="56"/>
      <c r="AQ281" s="60"/>
      <c r="AR281" s="56"/>
      <c r="AT281" s="56"/>
      <c r="AU281" s="60"/>
      <c r="AV281" s="56"/>
      <c r="AW281" s="60"/>
      <c r="AX281" s="56"/>
      <c r="AZ281" s="56"/>
    </row>
    <row r="282" spans="12:52" x14ac:dyDescent="0.3">
      <c r="L282" s="56"/>
      <c r="N282" s="56"/>
      <c r="P282" s="56"/>
      <c r="R282" s="56"/>
      <c r="T282" s="56"/>
      <c r="V282" s="56"/>
      <c r="W282" s="60"/>
      <c r="X282" s="56"/>
      <c r="Z282" s="56"/>
      <c r="AB282" s="56"/>
      <c r="AC282" s="60"/>
      <c r="AD282" s="56"/>
      <c r="AE282" s="60"/>
      <c r="AF282" s="56"/>
      <c r="AH282" s="56"/>
      <c r="AJ282" s="56"/>
      <c r="AL282" s="56"/>
      <c r="AN282" s="56"/>
      <c r="AP282" s="56"/>
      <c r="AQ282" s="60"/>
      <c r="AR282" s="56"/>
      <c r="AT282" s="56"/>
      <c r="AU282" s="60"/>
      <c r="AV282" s="56"/>
      <c r="AW282" s="60"/>
      <c r="AX282" s="56"/>
      <c r="AZ282" s="56"/>
    </row>
    <row r="283" spans="12:52" x14ac:dyDescent="0.3">
      <c r="L283" s="56"/>
      <c r="N283" s="56"/>
      <c r="P283" s="56"/>
      <c r="R283" s="56"/>
      <c r="T283" s="56"/>
      <c r="V283" s="56"/>
      <c r="W283" s="60"/>
      <c r="X283" s="56"/>
      <c r="Z283" s="56"/>
      <c r="AB283" s="56"/>
      <c r="AC283" s="60"/>
      <c r="AE283" s="60"/>
      <c r="AQ283" s="60"/>
      <c r="AU283" s="60"/>
      <c r="AW283" s="60"/>
    </row>
    <row r="284" spans="12:52" x14ac:dyDescent="0.3">
      <c r="L284" s="56"/>
      <c r="N284" s="56"/>
      <c r="P284" s="56"/>
      <c r="R284" s="56"/>
      <c r="T284" s="56"/>
      <c r="V284" s="56"/>
      <c r="W284" s="60"/>
      <c r="X284" s="56"/>
      <c r="Z284" s="56"/>
      <c r="AB284" s="56"/>
      <c r="AC284" s="60"/>
      <c r="AE284" s="60"/>
      <c r="AQ284" s="60"/>
      <c r="AU284" s="60"/>
      <c r="AW284" s="60"/>
    </row>
    <row r="285" spans="12:52" x14ac:dyDescent="0.3">
      <c r="L285" s="56"/>
      <c r="N285" s="56"/>
      <c r="P285" s="56"/>
      <c r="R285" s="56"/>
      <c r="T285" s="56"/>
      <c r="V285" s="56"/>
      <c r="W285" s="60"/>
      <c r="X285" s="56"/>
      <c r="Z285" s="56"/>
      <c r="AB285" s="56"/>
      <c r="AC285" s="60"/>
      <c r="AE285" s="60"/>
      <c r="AQ285" s="60"/>
      <c r="AU285" s="60"/>
      <c r="AW285" s="60"/>
    </row>
    <row r="286" spans="12:52" x14ac:dyDescent="0.3">
      <c r="L286" s="56"/>
      <c r="N286" s="56"/>
      <c r="P286" s="56"/>
      <c r="R286" s="56"/>
      <c r="T286" s="56"/>
      <c r="V286" s="56"/>
      <c r="W286" s="60"/>
      <c r="X286" s="56"/>
      <c r="Z286" s="56"/>
      <c r="AB286" s="56"/>
      <c r="AC286" s="60"/>
      <c r="AE286" s="60"/>
      <c r="AQ286" s="60"/>
      <c r="AU286" s="60"/>
      <c r="AW286" s="60"/>
    </row>
    <row r="287" spans="12:52" x14ac:dyDescent="0.3">
      <c r="L287" s="56"/>
      <c r="N287" s="56"/>
      <c r="P287" s="56"/>
      <c r="R287" s="56"/>
      <c r="T287" s="56"/>
      <c r="V287" s="56"/>
      <c r="W287" s="60"/>
      <c r="X287" s="56"/>
      <c r="Z287" s="56"/>
      <c r="AB287" s="56"/>
      <c r="AC287" s="60"/>
      <c r="AE287" s="60"/>
      <c r="AQ287" s="60"/>
      <c r="AU287" s="60"/>
      <c r="AW287" s="60"/>
    </row>
    <row r="288" spans="12:52" x14ac:dyDescent="0.3">
      <c r="L288" s="56"/>
      <c r="N288" s="56"/>
      <c r="P288" s="56"/>
      <c r="R288" s="56"/>
      <c r="T288" s="56"/>
      <c r="V288" s="56"/>
      <c r="W288" s="60"/>
      <c r="X288" s="56"/>
      <c r="Z288" s="56"/>
      <c r="AB288" s="56"/>
      <c r="AC288" s="60"/>
      <c r="AE288" s="60"/>
      <c r="AU288" s="60"/>
      <c r="AW288" s="60"/>
    </row>
    <row r="289" spans="12:49" x14ac:dyDescent="0.3">
      <c r="L289" s="56"/>
      <c r="N289" s="56"/>
      <c r="P289" s="56"/>
      <c r="R289" s="56"/>
      <c r="T289" s="56"/>
      <c r="V289" s="56"/>
      <c r="W289" s="60"/>
      <c r="X289" s="56"/>
      <c r="Z289" s="56"/>
      <c r="AB289" s="56"/>
      <c r="AC289" s="60"/>
      <c r="AE289" s="60"/>
      <c r="AW289" s="60"/>
    </row>
    <row r="290" spans="12:49" x14ac:dyDescent="0.3">
      <c r="L290" s="56"/>
      <c r="N290" s="56"/>
      <c r="P290" s="56"/>
      <c r="R290" s="56"/>
      <c r="T290" s="56"/>
      <c r="V290" s="56"/>
      <c r="W290" s="60"/>
      <c r="X290" s="56"/>
      <c r="Z290" s="56"/>
      <c r="AB290" s="56"/>
      <c r="AC290" s="60"/>
      <c r="AE290" s="60"/>
      <c r="AW290" s="60"/>
    </row>
    <row r="291" spans="12:49" x14ac:dyDescent="0.3">
      <c r="L291" s="56"/>
      <c r="N291" s="56"/>
      <c r="P291" s="56"/>
      <c r="R291" s="56"/>
      <c r="T291" s="56"/>
      <c r="V291" s="56"/>
      <c r="W291" s="60"/>
      <c r="X291" s="56"/>
      <c r="Z291" s="56"/>
      <c r="AB291" s="56"/>
      <c r="AC291" s="60"/>
      <c r="AE291" s="60"/>
      <c r="AW291" s="60"/>
    </row>
    <row r="292" spans="12:49" x14ac:dyDescent="0.3">
      <c r="L292" s="56"/>
      <c r="N292" s="56"/>
      <c r="P292" s="56"/>
      <c r="R292" s="56"/>
      <c r="T292" s="56"/>
      <c r="V292" s="56"/>
      <c r="X292" s="56"/>
      <c r="Z292" s="56"/>
      <c r="AB292" s="56"/>
      <c r="AC292" s="60"/>
      <c r="AE292" s="60"/>
      <c r="AW292" s="60"/>
    </row>
    <row r="293" spans="12:49" x14ac:dyDescent="0.3">
      <c r="L293" s="56"/>
      <c r="N293" s="56"/>
      <c r="P293" s="56"/>
      <c r="R293" s="56"/>
      <c r="T293" s="56"/>
      <c r="V293" s="56"/>
      <c r="X293" s="56"/>
      <c r="Z293" s="56"/>
      <c r="AB293" s="56"/>
      <c r="AC293" s="60"/>
      <c r="AE293" s="60"/>
      <c r="AW293" s="60"/>
    </row>
    <row r="294" spans="12:49" x14ac:dyDescent="0.3">
      <c r="L294" s="56"/>
      <c r="N294" s="56"/>
      <c r="P294" s="56"/>
      <c r="R294" s="56"/>
      <c r="T294" s="56"/>
      <c r="V294" s="56"/>
      <c r="X294" s="56"/>
      <c r="Z294" s="56"/>
      <c r="AB294" s="56"/>
      <c r="AC294" s="60"/>
      <c r="AE294" s="60"/>
    </row>
    <row r="295" spans="12:49" x14ac:dyDescent="0.3">
      <c r="L295" s="56"/>
      <c r="N295" s="56"/>
      <c r="P295" s="56"/>
      <c r="R295" s="56"/>
      <c r="T295" s="56"/>
      <c r="V295" s="56"/>
      <c r="X295" s="56"/>
      <c r="Z295" s="56"/>
      <c r="AB295" s="56"/>
      <c r="AC295" s="60"/>
      <c r="AE295" s="60"/>
    </row>
    <row r="296" spans="12:49" x14ac:dyDescent="0.3">
      <c r="L296" s="56"/>
      <c r="N296" s="56"/>
      <c r="P296" s="56"/>
      <c r="R296" s="56"/>
      <c r="T296" s="56"/>
      <c r="V296" s="56"/>
      <c r="X296" s="56"/>
      <c r="Z296" s="56"/>
      <c r="AB296" s="56"/>
      <c r="AE296" s="60"/>
    </row>
    <row r="297" spans="12:49" x14ac:dyDescent="0.3">
      <c r="L297" s="56"/>
      <c r="N297" s="56"/>
      <c r="P297" s="56"/>
      <c r="R297" s="56"/>
      <c r="T297" s="56"/>
      <c r="V297" s="56"/>
      <c r="X297" s="56"/>
      <c r="Z297" s="56"/>
      <c r="AB297" s="56"/>
      <c r="AE297" s="60"/>
    </row>
    <row r="298" spans="12:49" x14ac:dyDescent="0.3">
      <c r="L298" s="56"/>
      <c r="N298" s="56"/>
      <c r="P298" s="56"/>
      <c r="R298" s="56"/>
      <c r="T298" s="56"/>
      <c r="V298" s="56"/>
      <c r="X298" s="56"/>
      <c r="Z298" s="56"/>
      <c r="AB298" s="56"/>
    </row>
    <row r="299" spans="12:49" x14ac:dyDescent="0.3">
      <c r="L299" s="56"/>
      <c r="N299" s="56"/>
      <c r="P299" s="56"/>
      <c r="R299" s="56"/>
      <c r="T299" s="56"/>
      <c r="V299" s="56"/>
      <c r="X299" s="56"/>
      <c r="Z299" s="56"/>
      <c r="AB299" s="56"/>
    </row>
    <row r="300" spans="12:49" x14ac:dyDescent="0.3">
      <c r="L300" s="56"/>
      <c r="N300" s="56"/>
      <c r="P300" s="56"/>
      <c r="R300" s="56"/>
      <c r="T300" s="56"/>
      <c r="V300" s="56"/>
      <c r="X300" s="56"/>
      <c r="Z300" s="56"/>
      <c r="AB300" s="56"/>
    </row>
    <row r="301" spans="12:49" x14ac:dyDescent="0.3">
      <c r="L301" s="56"/>
      <c r="N301" s="56"/>
      <c r="P301" s="56"/>
      <c r="R301" s="56"/>
      <c r="T301" s="56"/>
      <c r="V301" s="56"/>
      <c r="X301" s="56"/>
      <c r="Z301" s="56"/>
      <c r="AB301" s="56"/>
    </row>
    <row r="302" spans="12:49" x14ac:dyDescent="0.3">
      <c r="L302" s="56"/>
      <c r="N302" s="56"/>
      <c r="P302" s="56"/>
      <c r="R302" s="56"/>
      <c r="T302" s="56"/>
      <c r="V302" s="56"/>
      <c r="X302" s="56"/>
      <c r="Z302" s="56"/>
      <c r="AB302" s="56"/>
    </row>
  </sheetData>
  <sortState ref="A129:AN171">
    <sortCondition ref="C129:C171"/>
  </sortState>
  <mergeCells count="6">
    <mergeCell ref="GM15:HH15"/>
    <mergeCell ref="I15:AZ15"/>
    <mergeCell ref="BC15:BX15"/>
    <mergeCell ref="CA15:DR15"/>
    <mergeCell ref="DU15:EP15"/>
    <mergeCell ref="ES15:GJ1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2020-05-18T06:22:43Z</dcterms:modified>
</cp:coreProperties>
</file>