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M3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<sst xmlns="http://schemas.openxmlformats.org/spreadsheetml/2006/main" count="483" uniqueCount="215">
  <si>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</si>
  <si>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</si>
  <si>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</si>
  <si>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</si>
  <si>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</si>
  <si>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</si>
  <si>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</si>
  <si>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</si>
  <si>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</si>
  <si>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</si>
  <si>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</si>
  <si>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</si>
  <si>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</si>
  <si>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</si>
  <si>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</si>
  <si>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</si>
  <si>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</si>
  <si>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</si>
  <si>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</si>
  <si>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</si>
  <si>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</si>
  <si>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</si>
  <si>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</si>
  <si>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</si>
  <si>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</si>
  <si>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</si>
  <si>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</si>
  <si>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</si>
  <si>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</si>
  <si>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</si>
  <si>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</si>
  <si>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</si>
  <si>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</si>
  <si>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</si>
  <si>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</si>
  <si>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</si>
  <si>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</si>
  <si>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</si>
  <si>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</si>
  <si>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</si>
  <si>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</si>
  <si>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</si>
  <si>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</si>
  <si>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</si>
  <si>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</si>
  <si>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</si>
  <si>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</si>
  <si>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</si>
  <si>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</si>
  <si>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</si>
  <si>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</si>
  <si>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</si>
  <si>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</si>
  <si>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</si>
  <si>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</si>
  <si>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</si>
  <si>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</si>
  <si>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</si>
  <si>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</si>
  <si>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</si>
  <si>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</si>
  <si>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</si>
  <si>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</si>
  <si>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</si>
  <si>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</si>
  <si>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</si>
  <si>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</si>
  <si>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</si>
  <si>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</si>
  <si>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</si>
  <si>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</si>
  <si>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</si>
  <si>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</si>
  <si>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</si>
  <si>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</si>
  <si>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</si>
  <si>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</si>
  <si>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</si>
  <si>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</si>
  <si>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</si>
  <si>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</si>
  <si>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</si>
  <si>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</si>
  <si>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</si>
  <si>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</si>
  <si>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</si>
  <si>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</si>
  <si>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</si>
  <si>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</si>
  <si>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</si>
  <si>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</si>
  <si>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</si>
  <si>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</si>
  <si>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</si>
  <si>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</si>
  <si>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</si>
  <si>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</si>
  <si>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</si>
  <si>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</si>
  <si>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</si>
  <si>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</si>
  <si>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</si>
  <si>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</si>
  <si>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</si>
  <si>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</si>
  <si>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</si>
  <si>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</si>
  <si>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</si>
  <si>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</si>
  <si>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</si>
  <si>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</si>
  <si>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</si>
  <si>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</si>
  <si>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</si>
  <si>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</si>
  <si>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</si>
  <si>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</si>
  <si>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</si>
  <si>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</si>
  <si>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</si>
  <si>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</si>
  <si>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</si>
  <si>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</si>
  <si>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</si>
  <si>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</si>
  <si>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</si>
  <si>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</si>
  <si>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</si>
  <si>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</si>
  <si>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</si>
  <si>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</si>
  <si>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</si>
  <si>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</si>
  <si>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</si>
  <si>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</si>
  <si>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</si>
  <si>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</si>
  <si>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</si>
  <si>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</si>
  <si>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</si>
  <si>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</si>
  <si>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</si>
  <si>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</si>
  <si>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</si>
  <si>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</si>
  <si>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</si>
  <si>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</si>
  <si>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</si>
  <si>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</si>
  <si>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</si>
  <si>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</si>
  <si>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</si>
  <si>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</si>
  <si>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</si>
  <si>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</si>
  <si>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</si>
  <si>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</si>
  <si>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</si>
  <si>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2011년</t>
    <phoneticPr fontId="2" type="noConversion"/>
  </si>
  <si>
    <t>구 분</t>
    <phoneticPr fontId="2" type="noConversion"/>
  </si>
  <si>
    <t>등  급</t>
    <phoneticPr fontId="2" type="noConversion"/>
  </si>
  <si>
    <t>고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</si>
  <si>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</si>
  <si>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</si>
  <si>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</si>
  <si>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</si>
  <si>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삼정동 아파트 신축공사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</si>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</sst>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6" t="s">
        <v>0</v>
      </c>
      <c r="B2" s="81" t="s">
        <v>1</v>
      </c>
      <c r="C2" s="76"/>
      <c r="D2" s="81" t="s">
        <v>2</v>
      </c>
      <c r="E2" s="76"/>
      <c r="F2" s="81" t="s">
        <v>141</v>
      </c>
      <c r="G2" s="76"/>
      <c r="H2" s="81" t="s">
        <v>3</v>
      </c>
      <c r="I2" s="76"/>
      <c r="J2" s="81" t="s">
        <v>4</v>
      </c>
      <c r="K2" s="76"/>
      <c r="L2" s="69" t="s">
        <v>5</v>
      </c>
      <c r="M2" s="70"/>
      <c r="N2" s="69" t="s">
        <v>82</v>
      </c>
      <c r="O2" s="70"/>
      <c r="P2" s="75" t="s">
        <v>16</v>
      </c>
      <c r="Q2" s="76"/>
      <c r="R2" s="84" t="s">
        <v>142</v>
      </c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6"/>
    </row>
    <row r="3" spans="1:33" x14ac:dyDescent="0.3">
      <c r="A3" s="67"/>
      <c r="B3" s="82"/>
      <c r="C3" s="78"/>
      <c r="D3" s="82"/>
      <c r="E3" s="78"/>
      <c r="F3" s="82"/>
      <c r="G3" s="78"/>
      <c r="H3" s="82"/>
      <c r="I3" s="78"/>
      <c r="J3" s="82"/>
      <c r="K3" s="78"/>
      <c r="L3" s="71"/>
      <c r="M3" s="72"/>
      <c r="N3" s="71"/>
      <c r="O3" s="72"/>
      <c r="P3" s="77"/>
      <c r="Q3" s="78"/>
      <c r="R3" s="87" t="s">
        <v>143</v>
      </c>
      <c r="S3" s="88"/>
      <c r="T3" s="87" t="s">
        <v>144</v>
      </c>
      <c r="U3" s="88"/>
      <c r="V3" s="87" t="s">
        <v>145</v>
      </c>
      <c r="W3" s="88"/>
      <c r="X3" s="87" t="s">
        <v>146</v>
      </c>
      <c r="Y3" s="88"/>
      <c r="Z3" s="87" t="s">
        <v>147</v>
      </c>
      <c r="AA3" s="88"/>
      <c r="AB3" s="87" t="s">
        <v>148</v>
      </c>
      <c r="AC3" s="88"/>
      <c r="AD3" s="87" t="s">
        <v>149</v>
      </c>
      <c r="AE3" s="88"/>
      <c r="AF3" s="87" t="s">
        <v>150</v>
      </c>
      <c r="AG3" s="88"/>
    </row>
    <row r="4" spans="1:33" x14ac:dyDescent="0.3">
      <c r="A4" s="68"/>
      <c r="B4" s="83"/>
      <c r="C4" s="80"/>
      <c r="D4" s="83"/>
      <c r="E4" s="80"/>
      <c r="F4" s="83"/>
      <c r="G4" s="80"/>
      <c r="H4" s="83"/>
      <c r="I4" s="80"/>
      <c r="J4" s="83"/>
      <c r="K4" s="80"/>
      <c r="L4" s="73"/>
      <c r="M4" s="74"/>
      <c r="N4" s="73"/>
      <c r="O4" s="74"/>
      <c r="P4" s="79"/>
      <c r="Q4" s="80"/>
      <c r="R4" s="89"/>
      <c r="S4" s="90"/>
      <c r="T4" s="89"/>
      <c r="U4" s="90"/>
      <c r="V4" s="89"/>
      <c r="W4" s="90"/>
      <c r="X4" s="89"/>
      <c r="Y4" s="90"/>
      <c r="Z4" s="89"/>
      <c r="AA4" s="90"/>
      <c r="AB4" s="89"/>
      <c r="AC4" s="90"/>
      <c r="AD4" s="89"/>
      <c r="AE4" s="90"/>
      <c r="AF4" s="89"/>
      <c r="AG4" s="90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R2:AG2"/>
    <mergeCell ref="R3:S4"/>
    <mergeCell ref="T3:U4"/>
    <mergeCell ref="V3:W4"/>
    <mergeCell ref="X3:Y4"/>
    <mergeCell ref="Z3:AA4"/>
    <mergeCell ref="AB3:AC4"/>
    <mergeCell ref="AD3:AE4"/>
    <mergeCell ref="AF3:AG4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3"/>
  <sheetViews>
    <sheetView tabSelected="1" topLeftCell="A14" zoomScale="90" zoomScaleNormal="90" workbookViewId="0">
      <selection activeCell="I41" sqref="I41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6" t="s">
        <v>0</v>
      </c>
      <c r="I1" s="81" t="s">
        <v>1</v>
      </c>
      <c r="J1" s="76"/>
      <c r="K1" s="81" t="s">
        <v>2</v>
      </c>
      <c r="L1" s="76"/>
      <c r="M1" s="81" t="s">
        <v>141</v>
      </c>
      <c r="N1" s="76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166</v>
      </c>
      <c r="H2" s="67"/>
      <c r="I2" s="82"/>
      <c r="J2" s="78"/>
      <c r="K2" s="82"/>
      <c r="L2" s="78"/>
      <c r="M2" s="82"/>
      <c r="N2" s="78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68"/>
      <c r="I3" s="83"/>
      <c r="J3" s="80"/>
      <c r="K3" s="83"/>
      <c r="L3" s="80"/>
      <c r="M3" s="83"/>
      <c r="N3" s="80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86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122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158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159</v>
      </c>
      <c r="C13" s="58" t="s">
        <v>177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160</v>
      </c>
      <c r="C15" s="58" t="s">
        <v>161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162</v>
      </c>
      <c r="C17" s="2" t="s">
        <v>167</v>
      </c>
      <c r="D17" s="2" t="s">
        <v>168</v>
      </c>
      <c r="E17" s="57" t="s">
        <v>169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163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164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165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208</v>
      </c>
      <c r="C29" s="2" t="s">
        <v>167</v>
      </c>
      <c r="D29" s="2" t="s">
        <v>168</v>
      </c>
      <c r="E29" s="57" t="s">
        <v>169</v>
      </c>
      <c r="H29" s="91"/>
      <c r="I29" s="91"/>
      <c r="J29" s="91"/>
      <c r="K29" s="91"/>
      <c r="L29" s="92"/>
      <c r="M29" s="92"/>
      <c r="N29" s="92"/>
      <c r="O29" s="92"/>
      <c r="P29" s="92"/>
      <c r="Q29" s="93"/>
      <c r="R29" s="91"/>
      <c r="S29" s="91"/>
      <c r="T29" s="91"/>
      <c r="U29" s="91"/>
      <c r="V29" s="91"/>
      <c r="W29" s="91"/>
      <c r="X29" s="91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</row>
    <row r="30" spans="1:40" x14ac:dyDescent="0.3">
      <c r="C30" s="51" t="s">
        <v>208</v>
      </c>
      <c r="D30" s="11">
        <v>101</v>
      </c>
      <c r="E30" s="27">
        <f>+D30*3.3058</f>
        <v>333.88580000000002</v>
      </c>
      <c r="H30" s="91"/>
      <c r="I30" s="91"/>
      <c r="J30" s="91"/>
      <c r="K30" s="91"/>
      <c r="L30" s="92"/>
      <c r="M30" s="92"/>
      <c r="N30" s="92"/>
      <c r="O30" s="92"/>
      <c r="P30" s="92"/>
      <c r="Q30" s="93"/>
      <c r="R30" s="91"/>
      <c r="S30" s="91"/>
      <c r="T30" s="91"/>
      <c r="U30" s="91"/>
      <c r="V30" s="91"/>
      <c r="W30" s="91"/>
      <c r="X30" s="91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</row>
    <row r="31" spans="1:40" x14ac:dyDescent="0.3">
      <c r="H31" s="91"/>
      <c r="I31" s="91"/>
      <c r="J31" s="91"/>
      <c r="K31" s="91"/>
      <c r="L31" s="92"/>
      <c r="M31" s="92"/>
      <c r="N31" s="92"/>
      <c r="O31" s="92"/>
      <c r="P31" s="92"/>
      <c r="Q31" s="93"/>
      <c r="R31" s="91"/>
      <c r="S31" s="91"/>
      <c r="T31" s="91"/>
      <c r="U31" s="91"/>
      <c r="V31" s="91"/>
      <c r="W31" s="91"/>
      <c r="X31" s="91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</row>
    <row r="32" spans="1:40" x14ac:dyDescent="0.3">
      <c r="B32" s="2" t="s">
        <v>209</v>
      </c>
      <c r="C32" s="2" t="s">
        <v>167</v>
      </c>
      <c r="D32" s="2" t="s">
        <v>168</v>
      </c>
      <c r="E32" s="57" t="s">
        <v>169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213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210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211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212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214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165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170</v>
      </c>
      <c r="C54" s="2" t="s">
        <v>167</v>
      </c>
      <c r="D54" s="2" t="s">
        <v>168</v>
      </c>
      <c r="E54" s="57" t="s">
        <v>169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165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171</v>
      </c>
      <c r="C60" s="2" t="s">
        <v>167</v>
      </c>
      <c r="D60" s="2" t="s">
        <v>168</v>
      </c>
      <c r="E60" s="57" t="s">
        <v>169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204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205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182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187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201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197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192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184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198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200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185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186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206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203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207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214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165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172</v>
      </c>
      <c r="C89" s="2" t="s">
        <v>167</v>
      </c>
      <c r="D89" s="2" t="s">
        <v>168</v>
      </c>
      <c r="E89" s="57" t="s">
        <v>169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>+D91*3.3058</f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>+D92*3.3058</f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>+D93*3.3058</f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>+D94*3.3058</f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>+D95*3.3058</f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>+D96*3.3058</f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>+D97*3.3058</f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199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180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183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189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191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193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196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181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194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179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178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214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165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173</v>
      </c>
      <c r="C113" s="2" t="s">
        <v>167</v>
      </c>
      <c r="D113" s="2" t="s">
        <v>168</v>
      </c>
      <c r="E113" s="57" t="s">
        <v>169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188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202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190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214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165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174</v>
      </c>
      <c r="C127" s="2" t="s">
        <v>167</v>
      </c>
      <c r="D127" s="2" t="s">
        <v>168</v>
      </c>
      <c r="E127" s="57" t="s">
        <v>169</v>
      </c>
    </row>
    <row r="128" spans="1:23" x14ac:dyDescent="0.3">
      <c r="A128" s="2">
        <v>1</v>
      </c>
      <c r="C128" s="51" t="s">
        <v>195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>+D130*3.3058</f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>+D131*3.3058</f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>+D132*3.3058</f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>+D133*3.3058</f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>+D134*3.3058</f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>+D135*3.3058</f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>+D136*3.3058</f>
        <v>353.72059999999999</v>
      </c>
    </row>
    <row r="137" spans="1:23" x14ac:dyDescent="0.3">
      <c r="A137" s="2">
        <v>10</v>
      </c>
      <c r="C137" s="51" t="s">
        <v>214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165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175</v>
      </c>
      <c r="C140" s="2" t="s">
        <v>167</v>
      </c>
      <c r="D140" s="2" t="s">
        <v>168</v>
      </c>
      <c r="E140" s="57" t="s">
        <v>169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7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7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7"/>
        <v>343.8032</v>
      </c>
    </row>
    <row r="145" spans="1:23" x14ac:dyDescent="0.3">
      <c r="A145" s="2">
        <v>5</v>
      </c>
      <c r="C145" s="51" t="s">
        <v>214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165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176</v>
      </c>
      <c r="C148" s="2" t="s">
        <v>167</v>
      </c>
      <c r="D148" s="2" t="s">
        <v>168</v>
      </c>
      <c r="E148" s="57" t="s">
        <v>169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8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8"/>
        <v>357.02640000000002</v>
      </c>
    </row>
    <row r="152" spans="1:23" x14ac:dyDescent="0.3">
      <c r="A152" s="2">
        <v>4</v>
      </c>
      <c r="C152" s="51" t="s">
        <v>214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165</v>
      </c>
      <c r="D153" s="11">
        <f>SUM(D149:D151)</f>
        <v>311</v>
      </c>
      <c r="E153" s="27">
        <f>SUM(E149:E151)</f>
        <v>1028.1038000000001</v>
      </c>
    </row>
  </sheetData>
  <sortState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disablePrompts="1"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대표님003</cp:lastModifiedBy>
  <dcterms:created xsi:type="dcterms:W3CDTF">2020-03-26T22:13:09Z</dcterms:created>
  <dcterms:modified xsi:type="dcterms:W3CDTF">2020-04-14T07:48:41Z</dcterms:modified>
</cp:coreProperties>
</file>