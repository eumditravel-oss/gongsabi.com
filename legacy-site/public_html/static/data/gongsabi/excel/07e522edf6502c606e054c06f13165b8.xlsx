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0" i="4" l="1"/>
  <c r="D131" i="4"/>
  <c r="D52" i="4" l="1"/>
  <c r="D47" i="4"/>
  <c r="D46" i="4"/>
  <c r="D45" i="4"/>
  <c r="D44" i="4"/>
  <c r="D43" i="4"/>
  <c r="D42" i="4"/>
  <c r="D49" i="4"/>
  <c r="D38" i="4"/>
  <c r="D41" i="4"/>
  <c r="D39" i="4"/>
  <c r="D40" i="4"/>
  <c r="D37" i="4"/>
  <c r="D36" i="4"/>
  <c r="D35" i="4"/>
  <c r="D34" i="4"/>
  <c r="D31" i="4"/>
  <c r="D53" i="4"/>
  <c r="D146" i="4"/>
  <c r="D144" i="4"/>
  <c r="D145" i="4"/>
  <c r="D57" i="4"/>
  <c r="D88" i="4"/>
  <c r="D86" i="4"/>
  <c r="D72" i="4"/>
  <c r="D64" i="4"/>
  <c r="D63" i="4"/>
  <c r="D87" i="4"/>
  <c r="D111" i="4"/>
  <c r="D96" i="4"/>
  <c r="D94" i="4"/>
  <c r="D93" i="4"/>
  <c r="D92" i="4"/>
  <c r="D109" i="4"/>
  <c r="D125" i="4"/>
  <c r="D126" i="4"/>
  <c r="D116" i="4"/>
  <c r="D119" i="4"/>
  <c r="D117" i="4"/>
  <c r="E154" i="4" l="1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1" i="4"/>
  <c r="E26" i="4"/>
  <c r="E54" i="4" l="1"/>
  <c r="E148" i="4"/>
  <c r="E89" i="4"/>
  <c r="E113" i="4"/>
  <c r="E140" i="4"/>
  <c r="E127" i="4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148" i="4"/>
  <c r="D25" i="4" s="1"/>
  <c r="E25" i="4" s="1"/>
  <c r="H25" i="4" s="1"/>
  <c r="I25" i="4" s="1"/>
  <c r="D140" i="4"/>
  <c r="D127" i="4"/>
  <c r="D113" i="4"/>
  <c r="D22" i="4" s="1"/>
  <c r="E22" i="4" s="1"/>
  <c r="H22" i="4" s="1"/>
  <c r="D89" i="4"/>
  <c r="D21" i="4" s="1"/>
  <c r="E21" i="4" s="1"/>
  <c r="H21" i="4" s="1"/>
  <c r="I21" i="4" s="1"/>
  <c r="D60" i="4"/>
  <c r="D20" i="4" s="1"/>
  <c r="E20" i="4" s="1"/>
  <c r="H20" i="4" s="1"/>
  <c r="D54" i="4"/>
  <c r="D19" i="4" s="1"/>
  <c r="E19" i="4" s="1"/>
  <c r="H19" i="4" s="1"/>
  <c r="D18" i="4"/>
  <c r="E18" i="4" s="1"/>
  <c r="D23" i="4"/>
  <c r="E23" i="4" s="1"/>
  <c r="D24" i="4"/>
  <c r="E24" i="4" s="1"/>
  <c r="D26" i="4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BZ154" i="4" s="1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I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H153" i="4"/>
  <c r="BZ153" i="4" s="1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I153" i="4"/>
  <c r="AY153" i="4"/>
  <c r="AZ153" i="4" s="1"/>
  <c r="AW153" i="4"/>
  <c r="AX153" i="4" s="1"/>
  <c r="AU153" i="4"/>
  <c r="AV153" i="4" s="1"/>
  <c r="AS153" i="4"/>
  <c r="AT153" i="4" s="1"/>
  <c r="AQ153" i="4"/>
  <c r="AR153" i="4" s="1"/>
  <c r="AO153" i="4"/>
  <c r="AP153" i="4" s="1"/>
  <c r="AM153" i="4"/>
  <c r="AN153" i="4" s="1"/>
  <c r="AK153" i="4"/>
  <c r="AL153" i="4" s="1"/>
  <c r="AI153" i="4"/>
  <c r="AJ153" i="4" s="1"/>
  <c r="AG153" i="4"/>
  <c r="AH153" i="4" s="1"/>
  <c r="AE153" i="4"/>
  <c r="AF153" i="4" s="1"/>
  <c r="AC153" i="4"/>
  <c r="AD153" i="4" s="1"/>
  <c r="AA153" i="4"/>
  <c r="AB153" i="4" s="1"/>
  <c r="Y153" i="4"/>
  <c r="Z153" i="4" s="1"/>
  <c r="W153" i="4"/>
  <c r="X153" i="4" s="1"/>
  <c r="U153" i="4"/>
  <c r="V153" i="4" s="1"/>
  <c r="S153" i="4"/>
  <c r="T153" i="4" s="1"/>
  <c r="Q153" i="4"/>
  <c r="R153" i="4" s="1"/>
  <c r="O153" i="4"/>
  <c r="P153" i="4" s="1"/>
  <c r="M153" i="4"/>
  <c r="N153" i="4" s="1"/>
  <c r="K153" i="4"/>
  <c r="L153" i="4" s="1"/>
  <c r="J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BZ152" i="4"/>
  <c r="ER152" i="4" s="1"/>
  <c r="ES152" i="4"/>
  <c r="ET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CA152" i="4"/>
  <c r="DE152" i="4" s="1"/>
  <c r="DF152" i="4" s="1"/>
  <c r="DQ152" i="4"/>
  <c r="DR152" i="4" s="1"/>
  <c r="DM152" i="4"/>
  <c r="DN152" i="4"/>
  <c r="DA152" i="4"/>
  <c r="DB152" i="4" s="1"/>
  <c r="CW152" i="4"/>
  <c r="CX152" i="4"/>
  <c r="CK152" i="4"/>
  <c r="CL152" i="4" s="1"/>
  <c r="CG152" i="4"/>
  <c r="CH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K152" i="4" s="1"/>
  <c r="AL152" i="4" s="1"/>
  <c r="AW152" i="4"/>
  <c r="AX152" i="4" s="1"/>
  <c r="AS152" i="4"/>
  <c r="AT152" i="4"/>
  <c r="AO152" i="4"/>
  <c r="AP152" i="4"/>
  <c r="AG152" i="4"/>
  <c r="AH152" i="4" s="1"/>
  <c r="AC152" i="4"/>
  <c r="AD152" i="4" s="1"/>
  <c r="Y152" i="4"/>
  <c r="Z152" i="4"/>
  <c r="Q152" i="4"/>
  <c r="R152" i="4" s="1"/>
  <c r="M152" i="4"/>
  <c r="N152" i="4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BZ151" i="4"/>
  <c r="ER151" i="4"/>
  <c r="ES151" i="4" s="1"/>
  <c r="FO151" i="4" s="1"/>
  <c r="FP151" i="4" s="1"/>
  <c r="FE151" i="4"/>
  <c r="FF151" i="4" s="1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CA151" i="4"/>
  <c r="DG151" i="4" s="1"/>
  <c r="DH151" i="4" s="1"/>
  <c r="CW151" i="4"/>
  <c r="CX151" i="4" s="1"/>
  <c r="CG151" i="4"/>
  <c r="CH151" i="4" s="1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I151" i="4"/>
  <c r="AW151" i="4" s="1"/>
  <c r="A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H148" i="4"/>
  <c r="I148" i="4" s="1"/>
  <c r="AW148" i="4" s="1"/>
  <c r="AX148" i="4" s="1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AK148" i="4"/>
  <c r="AL148" i="4" s="1"/>
  <c r="U148" i="4"/>
  <c r="V148" i="4" s="1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H146" i="4"/>
  <c r="BZ146" i="4" s="1"/>
  <c r="CA146" i="4" s="1"/>
  <c r="DK146" i="4" s="1"/>
  <c r="DL146" i="4" s="1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DQ146" i="4"/>
  <c r="DR146" i="4" s="1"/>
  <c r="DO146" i="4"/>
  <c r="DP146" i="4" s="1"/>
  <c r="DM146" i="4"/>
  <c r="DN146" i="4" s="1"/>
  <c r="DI146" i="4"/>
  <c r="DJ146" i="4" s="1"/>
  <c r="DG146" i="4"/>
  <c r="DH146" i="4" s="1"/>
  <c r="DC146" i="4"/>
  <c r="DD146" i="4" s="1"/>
  <c r="DA146" i="4"/>
  <c r="DB146" i="4" s="1"/>
  <c r="CY146" i="4"/>
  <c r="CZ146" i="4" s="1"/>
  <c r="CW146" i="4"/>
  <c r="CX146" i="4"/>
  <c r="CS146" i="4"/>
  <c r="CT146" i="4" s="1"/>
  <c r="CQ146" i="4"/>
  <c r="CR146" i="4" s="1"/>
  <c r="CM146" i="4"/>
  <c r="CN146" i="4" s="1"/>
  <c r="CK146" i="4"/>
  <c r="CL146" i="4" s="1"/>
  <c r="CI146" i="4"/>
  <c r="CJ146" i="4" s="1"/>
  <c r="CG146" i="4"/>
  <c r="CH146" i="4"/>
  <c r="CC146" i="4"/>
  <c r="CD146" i="4" s="1"/>
  <c r="CB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I146" i="4"/>
  <c r="AW146" i="4" s="1"/>
  <c r="AX146" i="4" s="1"/>
  <c r="AQ146" i="4"/>
  <c r="AR146" i="4" s="1"/>
  <c r="AI146" i="4"/>
  <c r="AJ146" i="4" s="1"/>
  <c r="Y146" i="4"/>
  <c r="Z146" i="4" s="1"/>
  <c r="O146" i="4"/>
  <c r="P146" i="4" s="1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I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BZ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I144" i="4"/>
  <c r="AS144" i="4" s="1"/>
  <c r="AT144" i="4" s="1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H143" i="4"/>
  <c r="I143" i="4" s="1"/>
  <c r="AY143" i="4" s="1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AZ143" i="4"/>
  <c r="AU143" i="4"/>
  <c r="AV143" i="4" s="1"/>
  <c r="AS143" i="4"/>
  <c r="AT143" i="4" s="1"/>
  <c r="AM143" i="4"/>
  <c r="AN143" i="4" s="1"/>
  <c r="AK143" i="4"/>
  <c r="AL143" i="4" s="1"/>
  <c r="AE143" i="4"/>
  <c r="AF143" i="4" s="1"/>
  <c r="AC143" i="4"/>
  <c r="AD143" i="4" s="1"/>
  <c r="W143" i="4"/>
  <c r="X143" i="4" s="1"/>
  <c r="U143" i="4"/>
  <c r="V143" i="4" s="1"/>
  <c r="O143" i="4"/>
  <c r="P143" i="4" s="1"/>
  <c r="M143" i="4"/>
  <c r="N143" i="4" s="1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40" i="4"/>
  <c r="BZ140" i="4" s="1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BZ139" i="4" s="1"/>
  <c r="CA139" i="4" s="1"/>
  <c r="ER139" i="4"/>
  <c r="ES139" i="4" s="1"/>
  <c r="EW139" i="4" s="1"/>
  <c r="EX139" i="4" s="1"/>
  <c r="FS139" i="4"/>
  <c r="FT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DQ139" i="4"/>
  <c r="DR139" i="4" s="1"/>
  <c r="DO139" i="4"/>
  <c r="DP139" i="4" s="1"/>
  <c r="DM139" i="4"/>
  <c r="DN139" i="4"/>
  <c r="DK139" i="4"/>
  <c r="DL139" i="4" s="1"/>
  <c r="DI139" i="4"/>
  <c r="DJ139" i="4" s="1"/>
  <c r="DG139" i="4"/>
  <c r="DH139" i="4" s="1"/>
  <c r="DE139" i="4"/>
  <c r="DF139" i="4"/>
  <c r="DC139" i="4"/>
  <c r="DD139" i="4" s="1"/>
  <c r="DA139" i="4"/>
  <c r="DB139" i="4" s="1"/>
  <c r="CY139" i="4"/>
  <c r="CZ139" i="4" s="1"/>
  <c r="CW139" i="4"/>
  <c r="CX139" i="4"/>
  <c r="CU139" i="4"/>
  <c r="CV139" i="4" s="1"/>
  <c r="CS139" i="4"/>
  <c r="CT139" i="4" s="1"/>
  <c r="CQ139" i="4"/>
  <c r="CR139" i="4" s="1"/>
  <c r="CO139" i="4"/>
  <c r="CP139" i="4"/>
  <c r="CM139" i="4"/>
  <c r="CN139" i="4" s="1"/>
  <c r="CK139" i="4"/>
  <c r="CL139" i="4" s="1"/>
  <c r="CI139" i="4"/>
  <c r="CJ139" i="4" s="1"/>
  <c r="CG139" i="4"/>
  <c r="CH139" i="4"/>
  <c r="CE139" i="4"/>
  <c r="CF139" i="4" s="1"/>
  <c r="CC139" i="4"/>
  <c r="CD139" i="4" s="1"/>
  <c r="CB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Y139" i="4"/>
  <c r="AZ139" i="4" s="1"/>
  <c r="AW139" i="4"/>
  <c r="AX139" i="4" s="1"/>
  <c r="AU139" i="4"/>
  <c r="AV139" i="4" s="1"/>
  <c r="AS139" i="4"/>
  <c r="AT139" i="4" s="1"/>
  <c r="AQ139" i="4"/>
  <c r="AR139" i="4" s="1"/>
  <c r="AO139" i="4"/>
  <c r="AP139" i="4" s="1"/>
  <c r="AM139" i="4"/>
  <c r="AN139" i="4" s="1"/>
  <c r="AK139" i="4"/>
  <c r="AL139" i="4" s="1"/>
  <c r="AI139" i="4"/>
  <c r="AJ139" i="4" s="1"/>
  <c r="AG139" i="4"/>
  <c r="AH139" i="4" s="1"/>
  <c r="AE139" i="4"/>
  <c r="AF139" i="4" s="1"/>
  <c r="AC139" i="4"/>
  <c r="AD139" i="4" s="1"/>
  <c r="AA139" i="4"/>
  <c r="AB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BZ138" i="4"/>
  <c r="ER138" i="4" s="1"/>
  <c r="ES138" i="4" s="1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CA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I138" i="4"/>
  <c r="AY138" i="4" s="1"/>
  <c r="AZ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BZ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I136" i="4"/>
  <c r="AO136" i="4" s="1"/>
  <c r="AP136" i="4" s="1"/>
  <c r="Y136" i="4"/>
  <c r="Z136" i="4" s="1"/>
  <c r="J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H135" i="4"/>
  <c r="I135" i="4" s="1"/>
  <c r="AW135" i="4" s="1"/>
  <c r="AX135" i="4" s="1"/>
  <c r="BZ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AY135" i="4"/>
  <c r="AZ135" i="4" s="1"/>
  <c r="AU135" i="4"/>
  <c r="AV135" i="4"/>
  <c r="AO135" i="4"/>
  <c r="AP135" i="4" s="1"/>
  <c r="AK135" i="4"/>
  <c r="AL135" i="4" s="1"/>
  <c r="AI135" i="4"/>
  <c r="AJ135" i="4" s="1"/>
  <c r="AG135" i="4"/>
  <c r="AH135" i="4" s="1"/>
  <c r="AE135" i="4"/>
  <c r="AF135" i="4"/>
  <c r="AA135" i="4"/>
  <c r="AB135" i="4"/>
  <c r="Y135" i="4"/>
  <c r="Z135" i="4" s="1"/>
  <c r="U135" i="4"/>
  <c r="V135" i="4" s="1"/>
  <c r="S135" i="4"/>
  <c r="T135" i="4" s="1"/>
  <c r="Q135" i="4"/>
  <c r="R135" i="4" s="1"/>
  <c r="O135" i="4"/>
  <c r="P135" i="4"/>
  <c r="K135" i="4"/>
  <c r="L135" i="4"/>
  <c r="J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H134" i="4"/>
  <c r="BZ134" i="4"/>
  <c r="ER134" i="4" s="1"/>
  <c r="ES134" i="4" s="1"/>
  <c r="GA134" i="4" s="1"/>
  <c r="GB134" i="4" s="1"/>
  <c r="FK134" i="4"/>
  <c r="FL134" i="4" s="1"/>
  <c r="EU134" i="4"/>
  <c r="EV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AM134" i="4" s="1"/>
  <c r="AN134" i="4" s="1"/>
  <c r="AY134" i="4"/>
  <c r="AZ134" i="4" s="1"/>
  <c r="AU134" i="4"/>
  <c r="AV134" i="4"/>
  <c r="AI134" i="4"/>
  <c r="AJ134" i="4" s="1"/>
  <c r="AE134" i="4"/>
  <c r="AF134" i="4"/>
  <c r="S134" i="4"/>
  <c r="T134" i="4" s="1"/>
  <c r="O134" i="4"/>
  <c r="P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BZ133" i="4" s="1"/>
  <c r="CA133" i="4" s="1"/>
  <c r="DO133" i="4" s="1"/>
  <c r="DP133" i="4" s="1"/>
  <c r="ER133" i="4"/>
  <c r="ES133" i="4"/>
  <c r="GE133" i="4"/>
  <c r="GF133" i="4" s="1"/>
  <c r="FY133" i="4"/>
  <c r="FZ133" i="4" s="1"/>
  <c r="FO133" i="4"/>
  <c r="FP133" i="4" s="1"/>
  <c r="FI133" i="4"/>
  <c r="FJ133" i="4" s="1"/>
  <c r="EY133" i="4"/>
  <c r="EZ133" i="4" s="1"/>
  <c r="ET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DQ133" i="4"/>
  <c r="DR133" i="4"/>
  <c r="DM133" i="4"/>
  <c r="DN133" i="4"/>
  <c r="DK133" i="4"/>
  <c r="DL133" i="4" s="1"/>
  <c r="DG133" i="4"/>
  <c r="DH133" i="4" s="1"/>
  <c r="DE133" i="4"/>
  <c r="DF133" i="4" s="1"/>
  <c r="DC133" i="4"/>
  <c r="DD133" i="4" s="1"/>
  <c r="DA133" i="4"/>
  <c r="DB133" i="4"/>
  <c r="CW133" i="4"/>
  <c r="CX133" i="4"/>
  <c r="CS133" i="4"/>
  <c r="CT133" i="4"/>
  <c r="CO133" i="4"/>
  <c r="CP133" i="4"/>
  <c r="CK133" i="4"/>
  <c r="CL133" i="4"/>
  <c r="CG133" i="4"/>
  <c r="CH133" i="4"/>
  <c r="CC133" i="4"/>
  <c r="CD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I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I132" i="4" s="1"/>
  <c r="BZ132" i="4"/>
  <c r="ER132" i="4"/>
  <c r="ES132" i="4" s="1"/>
  <c r="GC132" i="4" s="1"/>
  <c r="GD132" i="4" s="1"/>
  <c r="GG132" i="4"/>
  <c r="GH132" i="4" s="1"/>
  <c r="FU132" i="4"/>
  <c r="FV132" i="4" s="1"/>
  <c r="FQ132" i="4"/>
  <c r="FR132" i="4" s="1"/>
  <c r="FE132" i="4"/>
  <c r="FF132" i="4" s="1"/>
  <c r="FA132" i="4"/>
  <c r="FB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CA132" i="4"/>
  <c r="DO132" i="4" s="1"/>
  <c r="DP132" i="4" s="1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AW132" i="4"/>
  <c r="AX132" i="4" s="1"/>
  <c r="AS132" i="4"/>
  <c r="AT132" i="4" s="1"/>
  <c r="AO132" i="4"/>
  <c r="AP132" i="4" s="1"/>
  <c r="AK132" i="4"/>
  <c r="AL132" i="4" s="1"/>
  <c r="AG132" i="4"/>
  <c r="AH132" i="4" s="1"/>
  <c r="AC132" i="4"/>
  <c r="AD132" i="4" s="1"/>
  <c r="Y132" i="4"/>
  <c r="Z132" i="4" s="1"/>
  <c r="U132" i="4"/>
  <c r="V132" i="4" s="1"/>
  <c r="Q132" i="4"/>
  <c r="R132" i="4" s="1"/>
  <c r="M132" i="4"/>
  <c r="N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I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BZ130" i="4" s="1"/>
  <c r="CA130" i="4" s="1"/>
  <c r="DM130" i="4" s="1"/>
  <c r="DN130" i="4" s="1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DQ130" i="4"/>
  <c r="DR130" i="4" s="1"/>
  <c r="DO130" i="4"/>
  <c r="DP130" i="4" s="1"/>
  <c r="DI130" i="4"/>
  <c r="DJ130" i="4" s="1"/>
  <c r="DG130" i="4"/>
  <c r="DH130" i="4" s="1"/>
  <c r="DE130" i="4"/>
  <c r="DF130" i="4" s="1"/>
  <c r="DC130" i="4"/>
  <c r="DD130" i="4" s="1"/>
  <c r="DA130" i="4"/>
  <c r="DB130" i="4" s="1"/>
  <c r="CY130" i="4"/>
  <c r="CZ130" i="4" s="1"/>
  <c r="CW130" i="4"/>
  <c r="CX130" i="4" s="1"/>
  <c r="CU130" i="4"/>
  <c r="CV130" i="4" s="1"/>
  <c r="CS130" i="4"/>
  <c r="CT130" i="4" s="1"/>
  <c r="CQ130" i="4"/>
  <c r="CR130" i="4" s="1"/>
  <c r="CO130" i="4"/>
  <c r="CP130" i="4"/>
  <c r="CM130" i="4"/>
  <c r="CN130" i="4" s="1"/>
  <c r="CK130" i="4"/>
  <c r="CL130" i="4" s="1"/>
  <c r="CI130" i="4"/>
  <c r="CJ130" i="4" s="1"/>
  <c r="CG130" i="4"/>
  <c r="CH130" i="4" s="1"/>
  <c r="CE130" i="4"/>
  <c r="CF130" i="4" s="1"/>
  <c r="CC130" i="4"/>
  <c r="CD130" i="4" s="1"/>
  <c r="CB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I130" i="4"/>
  <c r="AW130" i="4" s="1"/>
  <c r="AX130" i="4" s="1"/>
  <c r="AU130" i="4"/>
  <c r="AV130" i="4" s="1"/>
  <c r="AO130" i="4"/>
  <c r="AP130" i="4" s="1"/>
  <c r="AI130" i="4"/>
  <c r="AJ130" i="4" s="1"/>
  <c r="AA130" i="4"/>
  <c r="AB130" i="4" s="1"/>
  <c r="Y130" i="4"/>
  <c r="Z130" i="4" s="1"/>
  <c r="W130" i="4"/>
  <c r="X130" i="4" s="1"/>
  <c r="S130" i="4"/>
  <c r="T130" i="4" s="1"/>
  <c r="O130" i="4"/>
  <c r="P130" i="4" s="1"/>
  <c r="M130" i="4"/>
  <c r="N130" i="4" s="1"/>
  <c r="J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27" i="4"/>
  <c r="BZ127" i="4" s="1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H124" i="4"/>
  <c r="BZ124" i="4"/>
  <c r="ER124" i="4" s="1"/>
  <c r="ES124" i="4" s="1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CA124" i="4"/>
  <c r="DQ124" i="4" s="1"/>
  <c r="DR124" i="4" s="1"/>
  <c r="DM124" i="4"/>
  <c r="DN124" i="4"/>
  <c r="DI124" i="4"/>
  <c r="DJ124" i="4"/>
  <c r="DE124" i="4"/>
  <c r="DF124" i="4"/>
  <c r="DA124" i="4"/>
  <c r="DB124" i="4"/>
  <c r="CW124" i="4"/>
  <c r="CX124" i="4"/>
  <c r="CS124" i="4"/>
  <c r="CT124" i="4"/>
  <c r="CO124" i="4"/>
  <c r="CP124" i="4"/>
  <c r="CK124" i="4"/>
  <c r="CL124" i="4"/>
  <c r="CG124" i="4"/>
  <c r="CH124" i="4"/>
  <c r="CC124" i="4"/>
  <c r="CD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I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I123" i="4" s="1"/>
  <c r="AU123" i="4" s="1"/>
  <c r="AV123" i="4" s="1"/>
  <c r="BZ123" i="4"/>
  <c r="ER123" i="4"/>
  <c r="ES123" i="4" s="1"/>
  <c r="GG123" i="4"/>
  <c r="GH123" i="4" s="1"/>
  <c r="GC123" i="4"/>
  <c r="GD123" i="4" s="1"/>
  <c r="FY123" i="4"/>
  <c r="FZ123" i="4" s="1"/>
  <c r="FU123" i="4"/>
  <c r="FV123" i="4" s="1"/>
  <c r="FQ123" i="4"/>
  <c r="FR123" i="4" s="1"/>
  <c r="FM123" i="4"/>
  <c r="FN123" i="4" s="1"/>
  <c r="FI123" i="4"/>
  <c r="FJ123" i="4" s="1"/>
  <c r="FE123" i="4"/>
  <c r="FF123" i="4" s="1"/>
  <c r="FA123" i="4"/>
  <c r="FB123" i="4" s="1"/>
  <c r="EW123" i="4"/>
  <c r="EX123" i="4" s="1"/>
  <c r="ET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CA123" i="4"/>
  <c r="DI123" i="4" s="1"/>
  <c r="DJ123" i="4" s="1"/>
  <c r="DQ123" i="4"/>
  <c r="DR123" i="4" s="1"/>
  <c r="DM123" i="4"/>
  <c r="DN123" i="4" s="1"/>
  <c r="DK123" i="4"/>
  <c r="DL123" i="4" s="1"/>
  <c r="DG123" i="4"/>
  <c r="DH123" i="4"/>
  <c r="DA123" i="4"/>
  <c r="DB123" i="4" s="1"/>
  <c r="CW123" i="4"/>
  <c r="CX123" i="4" s="1"/>
  <c r="CU123" i="4"/>
  <c r="CV123" i="4" s="1"/>
  <c r="CQ123" i="4"/>
  <c r="CR123" i="4"/>
  <c r="CM123" i="4"/>
  <c r="CN123" i="4"/>
  <c r="CK123" i="4"/>
  <c r="CL123" i="4" s="1"/>
  <c r="CG123" i="4"/>
  <c r="CH123" i="4" s="1"/>
  <c r="CE123" i="4"/>
  <c r="CF123" i="4" s="1"/>
  <c r="CC123" i="4"/>
  <c r="CD123" i="4" s="1"/>
  <c r="CB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AY123" i="4"/>
  <c r="AZ123" i="4"/>
  <c r="AW123" i="4"/>
  <c r="AX123" i="4" s="1"/>
  <c r="AS123" i="4"/>
  <c r="AT123" i="4" s="1"/>
  <c r="AQ123" i="4"/>
  <c r="AR123" i="4" s="1"/>
  <c r="AO123" i="4"/>
  <c r="AP123" i="4" s="1"/>
  <c r="AM123" i="4"/>
  <c r="AN123" i="4"/>
  <c r="AI123" i="4"/>
  <c r="AJ123" i="4"/>
  <c r="AG123" i="4"/>
  <c r="AH123" i="4" s="1"/>
  <c r="AC123" i="4"/>
  <c r="AD123" i="4" s="1"/>
  <c r="AA123" i="4"/>
  <c r="AB123" i="4" s="1"/>
  <c r="Y123" i="4"/>
  <c r="Z123" i="4" s="1"/>
  <c r="W123" i="4"/>
  <c r="X123" i="4"/>
  <c r="S123" i="4"/>
  <c r="T123" i="4"/>
  <c r="Q123" i="4"/>
  <c r="R123" i="4" s="1"/>
  <c r="M123" i="4"/>
  <c r="N123" i="4" s="1"/>
  <c r="K123" i="4"/>
  <c r="L123" i="4" s="1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BZ122" i="4"/>
  <c r="ER122" i="4" s="1"/>
  <c r="ES122" i="4"/>
  <c r="FW122" i="4" s="1"/>
  <c r="FX122" i="4" s="1"/>
  <c r="GI122" i="4"/>
  <c r="GJ122" i="4" s="1"/>
  <c r="GE122" i="4"/>
  <c r="GF122" i="4"/>
  <c r="FS122" i="4"/>
  <c r="FT122" i="4" s="1"/>
  <c r="FO122" i="4"/>
  <c r="FP122" i="4"/>
  <c r="FC122" i="4"/>
  <c r="FD122" i="4" s="1"/>
  <c r="EY122" i="4"/>
  <c r="EZ122" i="4"/>
  <c r="EU122" i="4"/>
  <c r="EV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CA122" i="4"/>
  <c r="DC122" i="4" s="1"/>
  <c r="DD122" i="4" s="1"/>
  <c r="DO122" i="4"/>
  <c r="DP122" i="4" s="1"/>
  <c r="DK122" i="4"/>
  <c r="DL122" i="4"/>
  <c r="DG122" i="4"/>
  <c r="DH122" i="4"/>
  <c r="CY122" i="4"/>
  <c r="CZ122" i="4" s="1"/>
  <c r="CU122" i="4"/>
  <c r="CV122" i="4"/>
  <c r="CQ122" i="4"/>
  <c r="CR122" i="4"/>
  <c r="CI122" i="4"/>
  <c r="CJ122" i="4" s="1"/>
  <c r="CE122" i="4"/>
  <c r="CF122" i="4"/>
  <c r="CB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I122" i="4"/>
  <c r="AY122" i="4"/>
  <c r="AZ122" i="4"/>
  <c r="AU122" i="4"/>
  <c r="AV122" i="4"/>
  <c r="AQ122" i="4"/>
  <c r="AR122" i="4" s="1"/>
  <c r="AM122" i="4"/>
  <c r="AN122" i="4"/>
  <c r="AI122" i="4"/>
  <c r="AJ122" i="4"/>
  <c r="AE122" i="4"/>
  <c r="AF122" i="4"/>
  <c r="AA122" i="4"/>
  <c r="AB122" i="4" s="1"/>
  <c r="W122" i="4"/>
  <c r="X122" i="4"/>
  <c r="S122" i="4"/>
  <c r="T122" i="4"/>
  <c r="O122" i="4"/>
  <c r="P122" i="4"/>
  <c r="K122" i="4"/>
  <c r="L122" i="4" s="1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H120" i="4"/>
  <c r="BZ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I120" i="4"/>
  <c r="AO120" i="4"/>
  <c r="AP120" i="4" s="1"/>
  <c r="Y120" i="4"/>
  <c r="Z120" i="4" s="1"/>
  <c r="J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BZ119" i="4" s="1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I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BZ118" i="4" s="1"/>
  <c r="CA118" i="4" s="1"/>
  <c r="ER118" i="4"/>
  <c r="ES118" i="4" s="1"/>
  <c r="GG118" i="4" s="1"/>
  <c r="GH118" i="4" s="1"/>
  <c r="GC118" i="4"/>
  <c r="GD118" i="4" s="1"/>
  <c r="FU118" i="4"/>
  <c r="FV118" i="4" s="1"/>
  <c r="FM118" i="4"/>
  <c r="FN118" i="4" s="1"/>
  <c r="FE118" i="4"/>
  <c r="FF118" i="4" s="1"/>
  <c r="FA118" i="4"/>
  <c r="FB118" i="4" s="1"/>
  <c r="EW118" i="4"/>
  <c r="EX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BZ117" i="4" s="1"/>
  <c r="ER117" i="4" s="1"/>
  <c r="ES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I117" i="4"/>
  <c r="AY117" i="4" s="1"/>
  <c r="AZ117" i="4" s="1"/>
  <c r="AU117" i="4"/>
  <c r="AV117" i="4" s="1"/>
  <c r="AM117" i="4"/>
  <c r="AN117" i="4" s="1"/>
  <c r="AI117" i="4"/>
  <c r="AJ117" i="4"/>
  <c r="AE117" i="4"/>
  <c r="AF117" i="4" s="1"/>
  <c r="AA117" i="4"/>
  <c r="AB117" i="4"/>
  <c r="W117" i="4"/>
  <c r="X117" i="4" s="1"/>
  <c r="S117" i="4"/>
  <c r="T117" i="4"/>
  <c r="O117" i="4"/>
  <c r="P117" i="4" s="1"/>
  <c r="K117" i="4"/>
  <c r="L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113" i="4"/>
  <c r="BZ113" i="4" s="1"/>
  <c r="ER113" i="4" s="1"/>
  <c r="ES113" i="4" s="1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H112" i="4"/>
  <c r="I112" i="4" s="1"/>
  <c r="BZ112" i="4"/>
  <c r="ER112" i="4"/>
  <c r="ES112" i="4" s="1"/>
  <c r="GG112" i="4" s="1"/>
  <c r="GH112" i="4" s="1"/>
  <c r="GC112" i="4"/>
  <c r="GD112" i="4" s="1"/>
  <c r="FU112" i="4"/>
  <c r="FV112" i="4" s="1"/>
  <c r="FM112" i="4"/>
  <c r="FN112" i="4" s="1"/>
  <c r="FE112" i="4"/>
  <c r="FF112" i="4" s="1"/>
  <c r="EW112" i="4"/>
  <c r="EX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CA112" i="4"/>
  <c r="DO112" i="4" s="1"/>
  <c r="DP112" i="4" s="1"/>
  <c r="DQ112" i="4"/>
  <c r="DR112" i="4" s="1"/>
  <c r="DM112" i="4"/>
  <c r="DN112" i="4" s="1"/>
  <c r="DI112" i="4"/>
  <c r="DJ112" i="4" s="1"/>
  <c r="DE112" i="4"/>
  <c r="DF112" i="4" s="1"/>
  <c r="DA112" i="4"/>
  <c r="DB112" i="4" s="1"/>
  <c r="CW112" i="4"/>
  <c r="CX112" i="4" s="1"/>
  <c r="CS112" i="4"/>
  <c r="CT112" i="4" s="1"/>
  <c r="CO112" i="4"/>
  <c r="CP112" i="4" s="1"/>
  <c r="CK112" i="4"/>
  <c r="CL112" i="4" s="1"/>
  <c r="CI112" i="4"/>
  <c r="CJ112" i="4"/>
  <c r="CG112" i="4"/>
  <c r="CH112" i="4" s="1"/>
  <c r="CE112" i="4"/>
  <c r="CF112" i="4"/>
  <c r="CC112" i="4"/>
  <c r="CD112" i="4" s="1"/>
  <c r="CB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BZ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BZ109" i="4" s="1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AW109" i="4" s="1"/>
  <c r="AX109" i="4" s="1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108" i="4"/>
  <c r="I108" i="4" s="1"/>
  <c r="AW108" i="4" s="1"/>
  <c r="AX108" i="4" s="1"/>
  <c r="BZ108" i="4"/>
  <c r="ER108" i="4"/>
  <c r="ES108" i="4" s="1"/>
  <c r="FO108" i="4"/>
  <c r="FP108" i="4" s="1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CA108" i="4"/>
  <c r="DM108" i="4"/>
  <c r="DN108" i="4" s="1"/>
  <c r="DG108" i="4"/>
  <c r="DH108" i="4" s="1"/>
  <c r="CW108" i="4"/>
  <c r="CX108" i="4" s="1"/>
  <c r="CQ108" i="4"/>
  <c r="CR108" i="4" s="1"/>
  <c r="CG108" i="4"/>
  <c r="CH108" i="4" s="1"/>
  <c r="CB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AY108" i="4"/>
  <c r="AZ108" i="4"/>
  <c r="AU108" i="4"/>
  <c r="AV108" i="4"/>
  <c r="AS108" i="4"/>
  <c r="AT108" i="4" s="1"/>
  <c r="AO108" i="4"/>
  <c r="AP108" i="4" s="1"/>
  <c r="AM108" i="4"/>
  <c r="AN108" i="4" s="1"/>
  <c r="AK108" i="4"/>
  <c r="AL108" i="4" s="1"/>
  <c r="AI108" i="4"/>
  <c r="AJ108" i="4"/>
  <c r="AE108" i="4"/>
  <c r="AF108" i="4"/>
  <c r="AC108" i="4"/>
  <c r="AD108" i="4" s="1"/>
  <c r="Y108" i="4"/>
  <c r="Z108" i="4" s="1"/>
  <c r="W108" i="4"/>
  <c r="X108" i="4" s="1"/>
  <c r="U108" i="4"/>
  <c r="V108" i="4" s="1"/>
  <c r="S108" i="4"/>
  <c r="T108" i="4"/>
  <c r="O108" i="4"/>
  <c r="P108" i="4"/>
  <c r="M108" i="4"/>
  <c r="N108" i="4" s="1"/>
  <c r="J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BZ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I107" i="4"/>
  <c r="AW107" i="4" s="1"/>
  <c r="AX107" i="4" s="1"/>
  <c r="AY107" i="4"/>
  <c r="AZ107" i="4" s="1"/>
  <c r="AU107" i="4"/>
  <c r="AV107" i="4" s="1"/>
  <c r="AQ107" i="4"/>
  <c r="AR107" i="4" s="1"/>
  <c r="AO107" i="4"/>
  <c r="AP107" i="4"/>
  <c r="AM107" i="4"/>
  <c r="AN107" i="4" s="1"/>
  <c r="AK107" i="4"/>
  <c r="AL107" i="4"/>
  <c r="AI107" i="4"/>
  <c r="AJ107" i="4" s="1"/>
  <c r="AG107" i="4"/>
  <c r="AH107" i="4"/>
  <c r="AE107" i="4"/>
  <c r="AF107" i="4" s="1"/>
  <c r="AC107" i="4"/>
  <c r="AD107" i="4"/>
  <c r="AA107" i="4"/>
  <c r="AB107" i="4" s="1"/>
  <c r="Y107" i="4"/>
  <c r="Z107" i="4"/>
  <c r="W107" i="4"/>
  <c r="X107" i="4" s="1"/>
  <c r="U107" i="4"/>
  <c r="V107" i="4"/>
  <c r="S107" i="4"/>
  <c r="T107" i="4" s="1"/>
  <c r="Q107" i="4"/>
  <c r="R107" i="4"/>
  <c r="O107" i="4"/>
  <c r="P107" i="4" s="1"/>
  <c r="M107" i="4"/>
  <c r="N107" i="4"/>
  <c r="K107" i="4"/>
  <c r="L107" i="4" s="1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BZ106" i="4"/>
  <c r="ER106" i="4" s="1"/>
  <c r="ES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Q106" i="4" s="1"/>
  <c r="DR106" i="4"/>
  <c r="DM106" i="4"/>
  <c r="DN106" i="4"/>
  <c r="DI106" i="4"/>
  <c r="DJ106" i="4"/>
  <c r="DE106" i="4"/>
  <c r="DF106" i="4"/>
  <c r="DA106" i="4"/>
  <c r="DB106" i="4"/>
  <c r="CW106" i="4"/>
  <c r="CX106" i="4"/>
  <c r="CS106" i="4"/>
  <c r="CT106" i="4"/>
  <c r="CO106" i="4"/>
  <c r="CP106" i="4"/>
  <c r="CK106" i="4"/>
  <c r="CL106" i="4"/>
  <c r="CG106" i="4"/>
  <c r="CH106" i="4"/>
  <c r="CC106" i="4"/>
  <c r="CD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I105" i="4" s="1"/>
  <c r="AW105" i="4" s="1"/>
  <c r="AX105" i="4" s="1"/>
  <c r="BZ105" i="4"/>
  <c r="ER105" i="4"/>
  <c r="ES105" i="4" s="1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CA105" i="4"/>
  <c r="DO105" i="4" s="1"/>
  <c r="DP105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U105" i="4"/>
  <c r="CV105" i="4"/>
  <c r="CS105" i="4"/>
  <c r="CT105" i="4" s="1"/>
  <c r="CQ105" i="4"/>
  <c r="CR105" i="4"/>
  <c r="CO105" i="4"/>
  <c r="CP105" i="4" s="1"/>
  <c r="CM105" i="4"/>
  <c r="CN105" i="4"/>
  <c r="CK105" i="4"/>
  <c r="CL105" i="4" s="1"/>
  <c r="CI105" i="4"/>
  <c r="CJ105" i="4"/>
  <c r="CG105" i="4"/>
  <c r="CH105" i="4" s="1"/>
  <c r="CE105" i="4"/>
  <c r="CF105" i="4"/>
  <c r="CC105" i="4"/>
  <c r="CD105" i="4" s="1"/>
  <c r="CB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AS105" i="4"/>
  <c r="AT105" i="4" s="1"/>
  <c r="AK105" i="4"/>
  <c r="AL105" i="4" s="1"/>
  <c r="AC105" i="4"/>
  <c r="AD105" i="4" s="1"/>
  <c r="U105" i="4"/>
  <c r="V105" i="4" s="1"/>
  <c r="M105" i="4"/>
  <c r="N105" i="4" s="1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BZ104" i="4"/>
  <c r="ER104" i="4" s="1"/>
  <c r="ES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W104" i="4" s="1"/>
  <c r="AX104" i="4" s="1"/>
  <c r="AY104" i="4"/>
  <c r="AZ104" i="4"/>
  <c r="AU104" i="4"/>
  <c r="AV104" i="4"/>
  <c r="AQ104" i="4"/>
  <c r="AR104" i="4"/>
  <c r="AM104" i="4"/>
  <c r="AN104" i="4"/>
  <c r="AI104" i="4"/>
  <c r="AJ104" i="4"/>
  <c r="AE104" i="4"/>
  <c r="AF104" i="4"/>
  <c r="AA104" i="4"/>
  <c r="AB104" i="4"/>
  <c r="W104" i="4"/>
  <c r="X104" i="4"/>
  <c r="S104" i="4"/>
  <c r="T104" i="4"/>
  <c r="O104" i="4"/>
  <c r="P104" i="4"/>
  <c r="K104" i="4"/>
  <c r="L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/>
  <c r="ER102" i="4"/>
  <c r="ES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CA102" i="4"/>
  <c r="DO102" i="4" s="1"/>
  <c r="DP102" i="4" s="1"/>
  <c r="DQ102" i="4"/>
  <c r="DR102" i="4"/>
  <c r="DM102" i="4"/>
  <c r="DN102" i="4"/>
  <c r="DI102" i="4"/>
  <c r="DJ102" i="4"/>
  <c r="DE102" i="4"/>
  <c r="DF102" i="4"/>
  <c r="DA102" i="4"/>
  <c r="DB102" i="4"/>
  <c r="CW102" i="4"/>
  <c r="CX102" i="4"/>
  <c r="CS102" i="4"/>
  <c r="CT102" i="4"/>
  <c r="CO102" i="4"/>
  <c r="CP102" i="4"/>
  <c r="CK102" i="4"/>
  <c r="CL102" i="4"/>
  <c r="CG102" i="4"/>
  <c r="CH102" i="4"/>
  <c r="CC102" i="4"/>
  <c r="CD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I101" i="4" s="1"/>
  <c r="BZ101" i="4"/>
  <c r="ER101" i="4"/>
  <c r="ES101" i="4" s="1"/>
  <c r="GG101" i="4"/>
  <c r="GH101" i="4" s="1"/>
  <c r="FY101" i="4"/>
  <c r="FZ101" i="4" s="1"/>
  <c r="FU101" i="4"/>
  <c r="FV101" i="4" s="1"/>
  <c r="FQ101" i="4"/>
  <c r="FR101" i="4" s="1"/>
  <c r="FI101" i="4"/>
  <c r="FJ101" i="4" s="1"/>
  <c r="FE101" i="4"/>
  <c r="FF101" i="4" s="1"/>
  <c r="FA101" i="4"/>
  <c r="FB101" i="4" s="1"/>
  <c r="ET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DQ101" i="4"/>
  <c r="DR101" i="4" s="1"/>
  <c r="DM101" i="4"/>
  <c r="DN101" i="4" s="1"/>
  <c r="DI101" i="4"/>
  <c r="DJ101" i="4" s="1"/>
  <c r="DE101" i="4"/>
  <c r="DF101" i="4" s="1"/>
  <c r="DA101" i="4"/>
  <c r="DB101" i="4" s="1"/>
  <c r="CW101" i="4"/>
  <c r="CX101" i="4" s="1"/>
  <c r="CU101" i="4"/>
  <c r="CV101" i="4"/>
  <c r="CS101" i="4"/>
  <c r="CT101" i="4" s="1"/>
  <c r="CQ101" i="4"/>
  <c r="CR101" i="4"/>
  <c r="CO101" i="4"/>
  <c r="CP101" i="4" s="1"/>
  <c r="CM101" i="4"/>
  <c r="CN101" i="4"/>
  <c r="CK101" i="4"/>
  <c r="CL101" i="4" s="1"/>
  <c r="CI101" i="4"/>
  <c r="CJ101" i="4"/>
  <c r="CG101" i="4"/>
  <c r="CH101" i="4" s="1"/>
  <c r="CE101" i="4"/>
  <c r="CF101" i="4"/>
  <c r="CC101" i="4"/>
  <c r="CD101" i="4" s="1"/>
  <c r="CB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AW101" i="4"/>
  <c r="AX101" i="4" s="1"/>
  <c r="AS101" i="4"/>
  <c r="AT101" i="4" s="1"/>
  <c r="AO101" i="4"/>
  <c r="AP101" i="4" s="1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BZ100" i="4"/>
  <c r="ER100" i="4" s="1"/>
  <c r="ES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CA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I100" i="4"/>
  <c r="AW100" i="4" s="1"/>
  <c r="AX100" i="4" s="1"/>
  <c r="AY100" i="4"/>
  <c r="AZ100" i="4"/>
  <c r="AU100" i="4"/>
  <c r="AV100" i="4"/>
  <c r="AQ100" i="4"/>
  <c r="AR100" i="4"/>
  <c r="AM100" i="4"/>
  <c r="AN100" i="4"/>
  <c r="AI100" i="4"/>
  <c r="AJ100" i="4"/>
  <c r="AE100" i="4"/>
  <c r="AF100" i="4"/>
  <c r="AA100" i="4"/>
  <c r="AB100" i="4"/>
  <c r="W100" i="4"/>
  <c r="X100" i="4"/>
  <c r="S100" i="4"/>
  <c r="T100" i="4"/>
  <c r="O100" i="4"/>
  <c r="P100" i="4"/>
  <c r="K100" i="4"/>
  <c r="L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AO98" i="4"/>
  <c r="AP98" i="4" s="1"/>
  <c r="Y98" i="4"/>
  <c r="Z98" i="4" s="1"/>
  <c r="J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H97" i="4"/>
  <c r="I97" i="4" s="1"/>
  <c r="BZ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AY97" i="4"/>
  <c r="AZ97" i="4" s="1"/>
  <c r="AW97" i="4"/>
  <c r="AX97" i="4" s="1"/>
  <c r="AU97" i="4"/>
  <c r="AV97" i="4"/>
  <c r="AS97" i="4"/>
  <c r="AT97" i="4" s="1"/>
  <c r="AQ97" i="4"/>
  <c r="AR97" i="4" s="1"/>
  <c r="AO97" i="4"/>
  <c r="AP97" i="4" s="1"/>
  <c r="AM97" i="4"/>
  <c r="AN97" i="4"/>
  <c r="AK97" i="4"/>
  <c r="AL97" i="4" s="1"/>
  <c r="AI97" i="4"/>
  <c r="AJ97" i="4" s="1"/>
  <c r="AG97" i="4"/>
  <c r="AH97" i="4" s="1"/>
  <c r="AE97" i="4"/>
  <c r="AF97" i="4"/>
  <c r="AC97" i="4"/>
  <c r="AD97" i="4" s="1"/>
  <c r="AA97" i="4"/>
  <c r="AB97" i="4" s="1"/>
  <c r="Y97" i="4"/>
  <c r="Z97" i="4" s="1"/>
  <c r="W97" i="4"/>
  <c r="X97" i="4"/>
  <c r="U97" i="4"/>
  <c r="V97" i="4" s="1"/>
  <c r="S97" i="4"/>
  <c r="T97" i="4" s="1"/>
  <c r="Q97" i="4"/>
  <c r="R97" i="4" s="1"/>
  <c r="O97" i="4"/>
  <c r="P97" i="4"/>
  <c r="M97" i="4"/>
  <c r="N97" i="4" s="1"/>
  <c r="K97" i="4"/>
  <c r="L97" i="4" s="1"/>
  <c r="J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H96" i="4"/>
  <c r="BZ96" i="4"/>
  <c r="ER96" i="4" s="1"/>
  <c r="ES96" i="4" s="1"/>
  <c r="GA96" i="4" s="1"/>
  <c r="GB96" i="4" s="1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I96" i="4"/>
  <c r="AY96" i="4" s="1"/>
  <c r="AZ96" i="4" s="1"/>
  <c r="AU96" i="4"/>
  <c r="AV96" i="4" s="1"/>
  <c r="AS96" i="4"/>
  <c r="AT96" i="4" s="1"/>
  <c r="AQ96" i="4"/>
  <c r="AR96" i="4" s="1"/>
  <c r="AO96" i="4"/>
  <c r="AP96" i="4" s="1"/>
  <c r="AM96" i="4"/>
  <c r="AN96" i="4" s="1"/>
  <c r="AK96" i="4"/>
  <c r="AL96" i="4" s="1"/>
  <c r="AI96" i="4"/>
  <c r="AJ96" i="4" s="1"/>
  <c r="AG96" i="4"/>
  <c r="AH96" i="4" s="1"/>
  <c r="AE96" i="4"/>
  <c r="AF96" i="4" s="1"/>
  <c r="AC96" i="4"/>
  <c r="AD96" i="4" s="1"/>
  <c r="AA96" i="4"/>
  <c r="AB96" i="4" s="1"/>
  <c r="Y96" i="4"/>
  <c r="Z96" i="4" s="1"/>
  <c r="W96" i="4"/>
  <c r="X96" i="4" s="1"/>
  <c r="U96" i="4"/>
  <c r="V96" i="4" s="1"/>
  <c r="S96" i="4"/>
  <c r="T96" i="4" s="1"/>
  <c r="Q96" i="4"/>
  <c r="R96" i="4" s="1"/>
  <c r="O96" i="4"/>
  <c r="P96" i="4" s="1"/>
  <c r="M96" i="4"/>
  <c r="N96" i="4" s="1"/>
  <c r="K96" i="4"/>
  <c r="L96" i="4" s="1"/>
  <c r="J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BZ95" i="4"/>
  <c r="ER95" i="4" s="1"/>
  <c r="ES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CA95" i="4"/>
  <c r="DQ95" i="4" s="1"/>
  <c r="DR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I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BZ94" i="4" s="1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BZ93" i="4" s="1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I93" i="4"/>
  <c r="AY93" i="4" s="1"/>
  <c r="AZ93" i="4" s="1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89" i="4"/>
  <c r="BZ89" i="4" s="1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88" i="4"/>
  <c r="BZ88" i="4" s="1"/>
  <c r="CA88" i="4" s="1"/>
  <c r="DI88" i="4" s="1"/>
  <c r="DJ88" i="4" s="1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87" i="4"/>
  <c r="I87" i="4" s="1"/>
  <c r="AY87" i="4" s="1"/>
  <c r="AZ87" i="4" s="1"/>
  <c r="BZ87" i="4"/>
  <c r="ER87" i="4" s="1"/>
  <c r="ES87" i="4" s="1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/>
  <c r="ER85" i="4" s="1"/>
  <c r="ES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CA85" i="4"/>
  <c r="DQ85" i="4" s="1"/>
  <c r="DR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I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 s="1"/>
  <c r="CA84" i="4" s="1"/>
  <c r="DQ84" i="4" s="1"/>
  <c r="DR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DM84" i="4"/>
  <c r="DN84" i="4" s="1"/>
  <c r="DI84" i="4"/>
  <c r="DJ84" i="4" s="1"/>
  <c r="DE84" i="4"/>
  <c r="DF84" i="4" s="1"/>
  <c r="CW84" i="4"/>
  <c r="CX84" i="4" s="1"/>
  <c r="CS84" i="4"/>
  <c r="CT84" i="4" s="1"/>
  <c r="CO84" i="4"/>
  <c r="CP84" i="4" s="1"/>
  <c r="CG84" i="4"/>
  <c r="CH84" i="4" s="1"/>
  <c r="CC84" i="4"/>
  <c r="CD84" i="4" s="1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83" i="4"/>
  <c r="BZ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I83" i="4"/>
  <c r="AY83" i="4" s="1"/>
  <c r="AZ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/>
  <c r="ER81" i="4" s="1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Q81" i="4" s="1"/>
  <c r="DR81" i="4" s="1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CA80" i="4" s="1"/>
  <c r="DE80" i="4" s="1"/>
  <c r="DF80" i="4" s="1"/>
  <c r="ER80" i="4"/>
  <c r="ES80" i="4" s="1"/>
  <c r="FE80" i="4" s="1"/>
  <c r="FF80" i="4" s="1"/>
  <c r="FU80" i="4"/>
  <c r="FV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DQ80" i="4"/>
  <c r="DR80" i="4" s="1"/>
  <c r="DM80" i="4"/>
  <c r="DN80" i="4" s="1"/>
  <c r="DI80" i="4"/>
  <c r="DJ80" i="4" s="1"/>
  <c r="DA80" i="4"/>
  <c r="DB80" i="4" s="1"/>
  <c r="CW80" i="4"/>
  <c r="CX80" i="4" s="1"/>
  <c r="CS80" i="4"/>
  <c r="CT80" i="4" s="1"/>
  <c r="CK80" i="4"/>
  <c r="CL80" i="4" s="1"/>
  <c r="CG80" i="4"/>
  <c r="CH80" i="4" s="1"/>
  <c r="CC80" i="4"/>
  <c r="CD80" i="4" s="1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/>
  <c r="ER79" i="4" s="1"/>
  <c r="ES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CA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BZ78" i="4" s="1"/>
  <c r="CA78" i="4" s="1"/>
  <c r="DQ78" i="4" s="1"/>
  <c r="DR78" i="4" s="1"/>
  <c r="ER78" i="4"/>
  <c r="ES78" i="4" s="1"/>
  <c r="GC78" i="4" s="1"/>
  <c r="GD78" i="4" s="1"/>
  <c r="FU78" i="4"/>
  <c r="FV78" i="4" s="1"/>
  <c r="FE78" i="4"/>
  <c r="FF78" i="4" s="1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DO78" i="4"/>
  <c r="DP78" i="4" s="1"/>
  <c r="DM78" i="4"/>
  <c r="DN78" i="4" s="1"/>
  <c r="DK78" i="4"/>
  <c r="DL78" i="4" s="1"/>
  <c r="DG78" i="4"/>
  <c r="DH78" i="4" s="1"/>
  <c r="DE78" i="4"/>
  <c r="DF78" i="4" s="1"/>
  <c r="DC78" i="4"/>
  <c r="DD78" i="4" s="1"/>
  <c r="CY78" i="4"/>
  <c r="CZ78" i="4" s="1"/>
  <c r="CW78" i="4"/>
  <c r="CX78" i="4" s="1"/>
  <c r="CU78" i="4"/>
  <c r="CV78" i="4" s="1"/>
  <c r="CQ78" i="4"/>
  <c r="CR78" i="4" s="1"/>
  <c r="CO78" i="4"/>
  <c r="CP78" i="4"/>
  <c r="CK78" i="4"/>
  <c r="CL78" i="4"/>
  <c r="CG78" i="4"/>
  <c r="CH78" i="4"/>
  <c r="CC78" i="4"/>
  <c r="CD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I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 s="1"/>
  <c r="CA77" i="4" s="1"/>
  <c r="DE77" i="4" s="1"/>
  <c r="DF77" i="4" s="1"/>
  <c r="ER77" i="4"/>
  <c r="ES77" i="4" s="1"/>
  <c r="FU77" i="4"/>
  <c r="FV77" i="4" s="1"/>
  <c r="FE77" i="4"/>
  <c r="FF77" i="4" s="1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DQ77" i="4"/>
  <c r="DR77" i="4" s="1"/>
  <c r="DM77" i="4"/>
  <c r="DN77" i="4" s="1"/>
  <c r="DI77" i="4"/>
  <c r="DJ77" i="4" s="1"/>
  <c r="DA77" i="4"/>
  <c r="DB77" i="4" s="1"/>
  <c r="CW77" i="4"/>
  <c r="CX77" i="4" s="1"/>
  <c r="CS77" i="4"/>
  <c r="CT77" i="4" s="1"/>
  <c r="CK77" i="4"/>
  <c r="CL77" i="4" s="1"/>
  <c r="CG77" i="4"/>
  <c r="CH77" i="4" s="1"/>
  <c r="CC77" i="4"/>
  <c r="CD77" i="4" s="1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/>
  <c r="ER76" i="4" s="1"/>
  <c r="ES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CA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W76" i="4" s="1"/>
  <c r="AX76" i="4" s="1"/>
  <c r="AY76" i="4"/>
  <c r="AZ76" i="4"/>
  <c r="AU76" i="4"/>
  <c r="AV76" i="4"/>
  <c r="AQ76" i="4"/>
  <c r="AR76" i="4"/>
  <c r="AM76" i="4"/>
  <c r="AN76" i="4"/>
  <c r="AI76" i="4"/>
  <c r="AJ76" i="4"/>
  <c r="AE76" i="4"/>
  <c r="AF76" i="4"/>
  <c r="AA76" i="4"/>
  <c r="AB76" i="4"/>
  <c r="W76" i="4"/>
  <c r="X76" i="4"/>
  <c r="S76" i="4"/>
  <c r="T76" i="4"/>
  <c r="O76" i="4"/>
  <c r="P76" i="4"/>
  <c r="K76" i="4"/>
  <c r="L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BZ74" i="4"/>
  <c r="ER74" i="4"/>
  <c r="ES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CA74" i="4"/>
  <c r="DO74" i="4" s="1"/>
  <c r="DP74" i="4" s="1"/>
  <c r="DQ74" i="4"/>
  <c r="DR74" i="4"/>
  <c r="DM74" i="4"/>
  <c r="DN74" i="4"/>
  <c r="DI74" i="4"/>
  <c r="DJ74" i="4"/>
  <c r="DE74" i="4"/>
  <c r="DF74" i="4"/>
  <c r="DA74" i="4"/>
  <c r="DB74" i="4"/>
  <c r="CW74" i="4"/>
  <c r="CX74" i="4"/>
  <c r="CS74" i="4"/>
  <c r="CT74" i="4"/>
  <c r="CO74" i="4"/>
  <c r="CP74" i="4"/>
  <c r="CK74" i="4"/>
  <c r="CL74" i="4"/>
  <c r="CG74" i="4"/>
  <c r="CH74" i="4"/>
  <c r="CC74" i="4"/>
  <c r="CD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I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BZ73" i="4" s="1"/>
  <c r="CA73" i="4" s="1"/>
  <c r="DE73" i="4" s="1"/>
  <c r="DF73" i="4" s="1"/>
  <c r="ER73" i="4"/>
  <c r="ES73" i="4" s="1"/>
  <c r="FU73" i="4" s="1"/>
  <c r="FV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DQ73" i="4"/>
  <c r="DR73" i="4" s="1"/>
  <c r="DM73" i="4"/>
  <c r="DN73" i="4" s="1"/>
  <c r="DI73" i="4"/>
  <c r="DJ73" i="4" s="1"/>
  <c r="DA73" i="4"/>
  <c r="DB73" i="4" s="1"/>
  <c r="CW73" i="4"/>
  <c r="CX73" i="4" s="1"/>
  <c r="CS73" i="4"/>
  <c r="CT73" i="4" s="1"/>
  <c r="CK73" i="4"/>
  <c r="CL73" i="4" s="1"/>
  <c r="CG73" i="4"/>
  <c r="CH73" i="4" s="1"/>
  <c r="CC73" i="4"/>
  <c r="CD73" i="4" s="1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Y72" i="4" s="1"/>
  <c r="AZ72" i="4" s="1"/>
  <c r="AQ72" i="4"/>
  <c r="AR72" i="4" s="1"/>
  <c r="AM72" i="4"/>
  <c r="AN72" i="4" s="1"/>
  <c r="AI72" i="4"/>
  <c r="AJ72" i="4" s="1"/>
  <c r="AE72" i="4"/>
  <c r="AF72" i="4" s="1"/>
  <c r="AA72" i="4"/>
  <c r="AB72" i="4" s="1"/>
  <c r="W72" i="4"/>
  <c r="X72" i="4" s="1"/>
  <c r="S72" i="4"/>
  <c r="T72" i="4" s="1"/>
  <c r="O72" i="4"/>
  <c r="P72" i="4" s="1"/>
  <c r="K72" i="4"/>
  <c r="L72" i="4" s="1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BZ70" i="4"/>
  <c r="ER70" i="4" s="1"/>
  <c r="ES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CA70" i="4"/>
  <c r="DQ70" i="4" s="1"/>
  <c r="DR70" i="4" s="1"/>
  <c r="DM70" i="4"/>
  <c r="DN70" i="4"/>
  <c r="DI70" i="4"/>
  <c r="DJ70" i="4"/>
  <c r="DE70" i="4"/>
  <c r="DF70" i="4"/>
  <c r="DA70" i="4"/>
  <c r="DB70" i="4"/>
  <c r="CW70" i="4"/>
  <c r="CX70" i="4"/>
  <c r="CS70" i="4"/>
  <c r="CT70" i="4"/>
  <c r="CO70" i="4"/>
  <c r="CP70" i="4"/>
  <c r="CK70" i="4"/>
  <c r="CL70" i="4"/>
  <c r="CG70" i="4"/>
  <c r="CH70" i="4"/>
  <c r="CC70" i="4"/>
  <c r="CD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I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BZ69" i="4" s="1"/>
  <c r="CA69" i="4" s="1"/>
  <c r="DE69" i="4" s="1"/>
  <c r="DF69" i="4" s="1"/>
  <c r="ER69" i="4"/>
  <c r="ES69" i="4" s="1"/>
  <c r="FU69" i="4" s="1"/>
  <c r="FV69" i="4" s="1"/>
  <c r="FE69" i="4"/>
  <c r="FF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DQ69" i="4"/>
  <c r="DR69" i="4" s="1"/>
  <c r="DM69" i="4"/>
  <c r="DN69" i="4" s="1"/>
  <c r="DI69" i="4"/>
  <c r="DJ69" i="4" s="1"/>
  <c r="DA69" i="4"/>
  <c r="DB69" i="4" s="1"/>
  <c r="CW69" i="4"/>
  <c r="CX69" i="4" s="1"/>
  <c r="CS69" i="4"/>
  <c r="CT69" i="4" s="1"/>
  <c r="CK69" i="4"/>
  <c r="CL69" i="4" s="1"/>
  <c r="CG69" i="4"/>
  <c r="CH69" i="4" s="1"/>
  <c r="CC69" i="4"/>
  <c r="CD69" i="4" s="1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/>
  <c r="ER68" i="4" s="1"/>
  <c r="ES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CA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W68" i="4" s="1"/>
  <c r="AX68" i="4" s="1"/>
  <c r="AY68" i="4"/>
  <c r="AZ68" i="4"/>
  <c r="AU68" i="4"/>
  <c r="AV68" i="4"/>
  <c r="AQ68" i="4"/>
  <c r="AR68" i="4"/>
  <c r="AM68" i="4"/>
  <c r="AN68" i="4"/>
  <c r="AI68" i="4"/>
  <c r="AJ68" i="4"/>
  <c r="AE68" i="4"/>
  <c r="AF68" i="4"/>
  <c r="AA68" i="4"/>
  <c r="AB68" i="4"/>
  <c r="W68" i="4"/>
  <c r="X68" i="4"/>
  <c r="S68" i="4"/>
  <c r="T68" i="4"/>
  <c r="O68" i="4"/>
  <c r="P68" i="4"/>
  <c r="K68" i="4"/>
  <c r="L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BZ66" i="4"/>
  <c r="ER66" i="4"/>
  <c r="ES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CA66" i="4"/>
  <c r="DO66" i="4" s="1"/>
  <c r="DP66" i="4" s="1"/>
  <c r="DQ66" i="4"/>
  <c r="DR66" i="4"/>
  <c r="DM66" i="4"/>
  <c r="DN66" i="4"/>
  <c r="DI66" i="4"/>
  <c r="DJ66" i="4"/>
  <c r="DE66" i="4"/>
  <c r="DF66" i="4"/>
  <c r="DA66" i="4"/>
  <c r="DB66" i="4"/>
  <c r="CW66" i="4"/>
  <c r="CX66" i="4"/>
  <c r="CS66" i="4"/>
  <c r="CT66" i="4"/>
  <c r="CO66" i="4"/>
  <c r="CP66" i="4"/>
  <c r="CK66" i="4"/>
  <c r="CL66" i="4"/>
  <c r="CG66" i="4"/>
  <c r="CH66" i="4"/>
  <c r="CC66" i="4"/>
  <c r="CD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I65" i="4" s="1"/>
  <c r="AS65" i="4" s="1"/>
  <c r="AT65" i="4" s="1"/>
  <c r="BZ65" i="4"/>
  <c r="ER65" i="4"/>
  <c r="ES65" i="4" s="1"/>
  <c r="GG65" i="4"/>
  <c r="GH65" i="4" s="1"/>
  <c r="GC65" i="4"/>
  <c r="GD65" i="4" s="1"/>
  <c r="FY65" i="4"/>
  <c r="FZ65" i="4" s="1"/>
  <c r="FU65" i="4"/>
  <c r="FV65" i="4" s="1"/>
  <c r="FQ65" i="4"/>
  <c r="FR65" i="4" s="1"/>
  <c r="FM65" i="4"/>
  <c r="FN65" i="4" s="1"/>
  <c r="FI65" i="4"/>
  <c r="FJ65" i="4" s="1"/>
  <c r="FE65" i="4"/>
  <c r="FF65" i="4" s="1"/>
  <c r="FA65" i="4"/>
  <c r="FB65" i="4" s="1"/>
  <c r="EW65" i="4"/>
  <c r="EX65" i="4" s="1"/>
  <c r="ET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CA65" i="4"/>
  <c r="DO65" i="4" s="1"/>
  <c r="DP65" i="4" s="1"/>
  <c r="DQ65" i="4"/>
  <c r="DR65" i="4" s="1"/>
  <c r="DM65" i="4"/>
  <c r="DN65" i="4" s="1"/>
  <c r="DI65" i="4"/>
  <c r="DJ65" i="4" s="1"/>
  <c r="DE65" i="4"/>
  <c r="DF65" i="4" s="1"/>
  <c r="DA65" i="4"/>
  <c r="DB65" i="4" s="1"/>
  <c r="CW65" i="4"/>
  <c r="CX65" i="4" s="1"/>
  <c r="CU65" i="4"/>
  <c r="CV65" i="4"/>
  <c r="CS65" i="4"/>
  <c r="CT65" i="4" s="1"/>
  <c r="CQ65" i="4"/>
  <c r="CR65" i="4"/>
  <c r="CO65" i="4"/>
  <c r="CP65" i="4" s="1"/>
  <c r="CM65" i="4"/>
  <c r="CN65" i="4"/>
  <c r="CK65" i="4"/>
  <c r="CL65" i="4" s="1"/>
  <c r="CI65" i="4"/>
  <c r="CJ65" i="4"/>
  <c r="CG65" i="4"/>
  <c r="CH65" i="4" s="1"/>
  <c r="CE65" i="4"/>
  <c r="CF65" i="4"/>
  <c r="CC65" i="4"/>
  <c r="CD65" i="4" s="1"/>
  <c r="CB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AW65" i="4"/>
  <c r="AX65" i="4" s="1"/>
  <c r="AO65" i="4"/>
  <c r="AP65" i="4" s="1"/>
  <c r="AK65" i="4"/>
  <c r="AL65" i="4" s="1"/>
  <c r="AG65" i="4"/>
  <c r="AH65" i="4" s="1"/>
  <c r="Y65" i="4"/>
  <c r="Z65" i="4" s="1"/>
  <c r="U65" i="4"/>
  <c r="V65" i="4" s="1"/>
  <c r="Q65" i="4"/>
  <c r="R65" i="4" s="1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BZ64" i="4"/>
  <c r="ER64" i="4" s="1"/>
  <c r="ES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AW64" i="4" s="1"/>
  <c r="AX64" i="4" s="1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60" i="4"/>
  <c r="BZ60" i="4" s="1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I60" i="4"/>
  <c r="AC60" i="4" s="1"/>
  <c r="AD60" i="4" s="1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I59" i="4" s="1"/>
  <c r="BZ59" i="4"/>
  <c r="ER59" i="4" s="1"/>
  <c r="ES59" i="4" s="1"/>
  <c r="GI59" i="4" s="1"/>
  <c r="GJ59" i="4" s="1"/>
  <c r="FS59" i="4"/>
  <c r="FT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CA59" i="4"/>
  <c r="DO59" i="4" s="1"/>
  <c r="DP59" i="4" s="1"/>
  <c r="DQ59" i="4"/>
  <c r="DR59" i="4" s="1"/>
  <c r="DM59" i="4"/>
  <c r="DN59" i="4" s="1"/>
  <c r="DK59" i="4"/>
  <c r="DL59" i="4" s="1"/>
  <c r="DI59" i="4"/>
  <c r="DJ59" i="4" s="1"/>
  <c r="DG59" i="4"/>
  <c r="DH59" i="4"/>
  <c r="DC59" i="4"/>
  <c r="DD59" i="4" s="1"/>
  <c r="DA59" i="4"/>
  <c r="DB59" i="4" s="1"/>
  <c r="CW59" i="4"/>
  <c r="CX59" i="4" s="1"/>
  <c r="CU59" i="4"/>
  <c r="CV59" i="4" s="1"/>
  <c r="CS59" i="4"/>
  <c r="CT59" i="4" s="1"/>
  <c r="CQ59" i="4"/>
  <c r="CR59" i="4"/>
  <c r="CM59" i="4"/>
  <c r="CN59" i="4" s="1"/>
  <c r="CK59" i="4"/>
  <c r="CL59" i="4" s="1"/>
  <c r="CG59" i="4"/>
  <c r="CH59" i="4" s="1"/>
  <c r="CE59" i="4"/>
  <c r="CF59" i="4" s="1"/>
  <c r="CC59" i="4"/>
  <c r="CD59" i="4" s="1"/>
  <c r="CB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AY59" i="4"/>
  <c r="AZ59" i="4" s="1"/>
  <c r="AW59" i="4"/>
  <c r="AX59" i="4" s="1"/>
  <c r="AU59" i="4"/>
  <c r="AV59" i="4"/>
  <c r="AS59" i="4"/>
  <c r="AT59" i="4" s="1"/>
  <c r="AQ59" i="4"/>
  <c r="AR59" i="4" s="1"/>
  <c r="AO59" i="4"/>
  <c r="AP59" i="4" s="1"/>
  <c r="AM59" i="4"/>
  <c r="AN59" i="4"/>
  <c r="AK59" i="4"/>
  <c r="AL59" i="4" s="1"/>
  <c r="AI59" i="4"/>
  <c r="AJ59" i="4" s="1"/>
  <c r="AG59" i="4"/>
  <c r="AH59" i="4" s="1"/>
  <c r="AE59" i="4"/>
  <c r="AF59" i="4"/>
  <c r="AC59" i="4"/>
  <c r="AD59" i="4" s="1"/>
  <c r="AA59" i="4"/>
  <c r="AB59" i="4" s="1"/>
  <c r="Y59" i="4"/>
  <c r="Z59" i="4" s="1"/>
  <c r="W59" i="4"/>
  <c r="X59" i="4"/>
  <c r="U59" i="4"/>
  <c r="V59" i="4" s="1"/>
  <c r="S59" i="4"/>
  <c r="T59" i="4" s="1"/>
  <c r="Q59" i="4"/>
  <c r="R59" i="4" s="1"/>
  <c r="O59" i="4"/>
  <c r="P59" i="4"/>
  <c r="M59" i="4"/>
  <c r="N59" i="4" s="1"/>
  <c r="K59" i="4"/>
  <c r="L59" i="4" s="1"/>
  <c r="J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BZ58" i="4"/>
  <c r="ER58" i="4" s="1"/>
  <c r="ES58" i="4" s="1"/>
  <c r="GI58" i="4" s="1"/>
  <c r="GJ58" i="4" s="1"/>
  <c r="FS58" i="4"/>
  <c r="FT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CA58" i="4"/>
  <c r="DK58" i="4" s="1"/>
  <c r="DL58" i="4" s="1"/>
  <c r="DO58" i="4"/>
  <c r="DP58" i="4" s="1"/>
  <c r="DG58" i="4"/>
  <c r="DH58" i="4" s="1"/>
  <c r="CY58" i="4"/>
  <c r="CZ58" i="4" s="1"/>
  <c r="CU58" i="4"/>
  <c r="CV58" i="4"/>
  <c r="CQ58" i="4"/>
  <c r="CR58" i="4" s="1"/>
  <c r="CI58" i="4"/>
  <c r="CJ58" i="4" s="1"/>
  <c r="CE58" i="4"/>
  <c r="CF58" i="4"/>
  <c r="CB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AY58" i="4"/>
  <c r="AZ58" i="4" s="1"/>
  <c r="AU58" i="4"/>
  <c r="AV58" i="4"/>
  <c r="AQ58" i="4"/>
  <c r="AR58" i="4" s="1"/>
  <c r="AM58" i="4"/>
  <c r="AN58" i="4"/>
  <c r="AI58" i="4"/>
  <c r="AJ58" i="4" s="1"/>
  <c r="AE58" i="4"/>
  <c r="AF58" i="4"/>
  <c r="AA58" i="4"/>
  <c r="AB58" i="4" s="1"/>
  <c r="W58" i="4"/>
  <c r="X58" i="4"/>
  <c r="S58" i="4"/>
  <c r="T58" i="4" s="1"/>
  <c r="O58" i="4"/>
  <c r="P58" i="4"/>
  <c r="K58" i="4"/>
  <c r="L58" i="4" s="1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I57" i="4"/>
  <c r="AO57" i="4" s="1"/>
  <c r="AP57" i="4" s="1"/>
  <c r="AU57" i="4"/>
  <c r="AV57" i="4" s="1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54" i="4"/>
  <c r="I54" i="4" s="1"/>
  <c r="AW54" i="4" s="1"/>
  <c r="AX54" i="4" s="1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53" i="4"/>
  <c r="I53" i="4" s="1"/>
  <c r="BZ53" i="4"/>
  <c r="ER53" i="4" s="1"/>
  <c r="ES53" i="4" s="1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BZ51" i="4"/>
  <c r="ER51" i="4" s="1"/>
  <c r="ES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A51" i="4"/>
  <c r="DQ51" i="4" s="1"/>
  <c r="DR51" i="4"/>
  <c r="DI51" i="4"/>
  <c r="DJ51" i="4"/>
  <c r="DE51" i="4"/>
  <c r="DF51" i="4"/>
  <c r="DA51" i="4"/>
  <c r="DB51" i="4"/>
  <c r="CW51" i="4"/>
  <c r="CX51" i="4"/>
  <c r="CS51" i="4"/>
  <c r="CT51" i="4"/>
  <c r="CO51" i="4"/>
  <c r="CP51" i="4"/>
  <c r="CK51" i="4"/>
  <c r="CL51" i="4"/>
  <c r="CG51" i="4"/>
  <c r="CH51" i="4"/>
  <c r="CC51" i="4"/>
  <c r="CD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 s="1"/>
  <c r="CA50" i="4" s="1"/>
  <c r="DQ50" i="4" s="1"/>
  <c r="DR50" i="4" s="1"/>
  <c r="ER50" i="4"/>
  <c r="ES50" i="4" s="1"/>
  <c r="GC50" i="4" s="1"/>
  <c r="GD50" i="4" s="1"/>
  <c r="GG50" i="4"/>
  <c r="GH50" i="4" s="1"/>
  <c r="FU50" i="4"/>
  <c r="FV50" i="4" s="1"/>
  <c r="FQ50" i="4"/>
  <c r="FR50" i="4" s="1"/>
  <c r="FE50" i="4"/>
  <c r="FF50" i="4" s="1"/>
  <c r="FA50" i="4"/>
  <c r="FB50" i="4" s="1"/>
  <c r="ET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DM50" i="4"/>
  <c r="DN50" i="4" s="1"/>
  <c r="DI50" i="4"/>
  <c r="DJ50" i="4" s="1"/>
  <c r="DE50" i="4"/>
  <c r="DF50" i="4" s="1"/>
  <c r="CW50" i="4"/>
  <c r="CX50" i="4" s="1"/>
  <c r="CS50" i="4"/>
  <c r="CT50" i="4" s="1"/>
  <c r="CO50" i="4"/>
  <c r="CP50" i="4" s="1"/>
  <c r="CG50" i="4"/>
  <c r="CH50" i="4" s="1"/>
  <c r="CC50" i="4"/>
  <c r="CD50" i="4" s="1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BZ49" i="4" s="1"/>
  <c r="ER49" i="4" s="1"/>
  <c r="ES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47" i="4"/>
  <c r="BZ47" i="4" s="1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I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I46" i="4" s="1"/>
  <c r="AW46" i="4" s="1"/>
  <c r="AX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AS46" i="4"/>
  <c r="AT46" i="4" s="1"/>
  <c r="AC46" i="4"/>
  <c r="AD46" i="4" s="1"/>
  <c r="M46" i="4"/>
  <c r="N46" i="4" s="1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BZ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I45" i="4"/>
  <c r="AW45" i="4" s="1"/>
  <c r="AX45" i="4" s="1"/>
  <c r="AU45" i="4"/>
  <c r="AV45" i="4" s="1"/>
  <c r="AQ45" i="4"/>
  <c r="AR45" i="4" s="1"/>
  <c r="AM45" i="4"/>
  <c r="AN45" i="4" s="1"/>
  <c r="AI45" i="4"/>
  <c r="AJ45" i="4" s="1"/>
  <c r="AE45" i="4"/>
  <c r="AF45" i="4" s="1"/>
  <c r="AA45" i="4"/>
  <c r="AB45" i="4" s="1"/>
  <c r="W45" i="4"/>
  <c r="X45" i="4" s="1"/>
  <c r="S45" i="4"/>
  <c r="T45" i="4" s="1"/>
  <c r="O45" i="4"/>
  <c r="P45" i="4" s="1"/>
  <c r="K45" i="4"/>
  <c r="L45" i="4" s="1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BZ43" i="4" s="1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I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I42" i="4" s="1"/>
  <c r="AK42" i="4" s="1"/>
  <c r="AL42" i="4" s="1"/>
  <c r="BZ42" i="4"/>
  <c r="ER42" i="4" s="1"/>
  <c r="ES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AS42" i="4"/>
  <c r="AT42" i="4" s="1"/>
  <c r="AO42" i="4"/>
  <c r="AP42" i="4" s="1"/>
  <c r="Y42" i="4"/>
  <c r="Z42" i="4" s="1"/>
  <c r="Q42" i="4"/>
  <c r="R42" i="4" s="1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BZ41" i="4"/>
  <c r="ER41" i="4" s="1"/>
  <c r="ES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I41" i="4"/>
  <c r="AW41" i="4" s="1"/>
  <c r="AX41" i="4" s="1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39" i="4"/>
  <c r="BZ39" i="4" s="1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I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I38" i="4" s="1"/>
  <c r="AS38" i="4" s="1"/>
  <c r="AT38" i="4" s="1"/>
  <c r="BZ38" i="4"/>
  <c r="CA38" i="4" s="1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AW38" i="4"/>
  <c r="AX38" i="4" s="1"/>
  <c r="AO38" i="4"/>
  <c r="AP38" i="4" s="1"/>
  <c r="AK38" i="4"/>
  <c r="AL38" i="4" s="1"/>
  <c r="AG38" i="4"/>
  <c r="AH38" i="4" s="1"/>
  <c r="Y38" i="4"/>
  <c r="Z38" i="4" s="1"/>
  <c r="U38" i="4"/>
  <c r="V38" i="4" s="1"/>
  <c r="Q38" i="4"/>
  <c r="R38" i="4" s="1"/>
  <c r="J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I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36" i="4"/>
  <c r="BZ36" i="4" s="1"/>
  <c r="CA36" i="4" s="1"/>
  <c r="DK36" i="4" s="1"/>
  <c r="DL36" i="4" s="1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DQ36" i="4"/>
  <c r="DR36" i="4" s="1"/>
  <c r="DI36" i="4"/>
  <c r="DJ36" i="4" s="1"/>
  <c r="DG36" i="4"/>
  <c r="DH36" i="4" s="1"/>
  <c r="DC36" i="4"/>
  <c r="DD36" i="4" s="1"/>
  <c r="DA36" i="4"/>
  <c r="DB36" i="4" s="1"/>
  <c r="CY36" i="4"/>
  <c r="CZ36" i="4" s="1"/>
  <c r="CW36" i="4"/>
  <c r="CX36" i="4"/>
  <c r="CS36" i="4"/>
  <c r="CT36" i="4" s="1"/>
  <c r="CQ36" i="4"/>
  <c r="CR36" i="4" s="1"/>
  <c r="CM36" i="4"/>
  <c r="CN36" i="4" s="1"/>
  <c r="CK36" i="4"/>
  <c r="CL36" i="4" s="1"/>
  <c r="CI36" i="4"/>
  <c r="CJ36" i="4" s="1"/>
  <c r="CG36" i="4"/>
  <c r="CH36" i="4"/>
  <c r="CC36" i="4"/>
  <c r="CD36" i="4" s="1"/>
  <c r="CB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Q36" i="4" s="1"/>
  <c r="AR36" i="4" s="1"/>
  <c r="AY36" i="4"/>
  <c r="AZ36" i="4" s="1"/>
  <c r="AU36" i="4"/>
  <c r="AV36" i="4" s="1"/>
  <c r="AS36" i="4"/>
  <c r="AT36" i="4" s="1"/>
  <c r="AO36" i="4"/>
  <c r="AP36" i="4" s="1"/>
  <c r="AI36" i="4"/>
  <c r="AJ36" i="4" s="1"/>
  <c r="AE36" i="4"/>
  <c r="AF36" i="4" s="1"/>
  <c r="AC36" i="4"/>
  <c r="AD36" i="4" s="1"/>
  <c r="AA36" i="4"/>
  <c r="AB36" i="4" s="1"/>
  <c r="Y36" i="4"/>
  <c r="Z36" i="4" s="1"/>
  <c r="U36" i="4"/>
  <c r="V36" i="4"/>
  <c r="S36" i="4"/>
  <c r="T36" i="4" s="1"/>
  <c r="O36" i="4"/>
  <c r="P36" i="4" s="1"/>
  <c r="M36" i="4"/>
  <c r="N36" i="4" s="1"/>
  <c r="K36" i="4"/>
  <c r="L36" i="4" s="1"/>
  <c r="J36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BZ35" i="4"/>
  <c r="ER35" i="4" s="1"/>
  <c r="ES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CA35" i="4"/>
  <c r="CG35" i="4" s="1"/>
  <c r="CH35" i="4" s="1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I35" i="4"/>
  <c r="AW35" i="4" s="1"/>
  <c r="AX35" i="4" s="1"/>
  <c r="AC35" i="4"/>
  <c r="AD35" i="4" s="1"/>
  <c r="Y35" i="4"/>
  <c r="Z35" i="4" s="1"/>
  <c r="U35" i="4"/>
  <c r="V35" i="4" s="1"/>
  <c r="M35" i="4"/>
  <c r="N35" i="4" s="1"/>
  <c r="J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34" i="4"/>
  <c r="BZ34" i="4"/>
  <c r="CA34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I34" i="4"/>
  <c r="AW34" i="4" s="1"/>
  <c r="AX34" i="4" s="1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BZ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18" i="4"/>
  <c r="BZ18" i="4"/>
  <c r="CA18" i="4" s="1"/>
  <c r="H24" i="4"/>
  <c r="BZ24" i="4" s="1"/>
  <c r="ER24" i="4" s="1"/>
  <c r="ES24" i="4" s="1"/>
  <c r="GG24" i="4" s="1"/>
  <c r="GH24" i="4" s="1"/>
  <c r="H26" i="4"/>
  <c r="BZ26" i="4"/>
  <c r="CA26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I26" i="4"/>
  <c r="AW26" i="4" s="1"/>
  <c r="AX26" i="4" s="1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I24" i="4"/>
  <c r="AW24" i="4" s="1"/>
  <c r="AX24" i="4" s="1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I18" i="4"/>
  <c r="AW18" i="4" s="1"/>
  <c r="AX18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U130" i="4" l="1"/>
  <c r="V130" i="4" s="1"/>
  <c r="AC130" i="4"/>
  <c r="AD130" i="4" s="1"/>
  <c r="AM130" i="4"/>
  <c r="AN130" i="4" s="1"/>
  <c r="AY130" i="4"/>
  <c r="AZ130" i="4" s="1"/>
  <c r="DK130" i="4"/>
  <c r="DL130" i="4" s="1"/>
  <c r="AG130" i="4"/>
  <c r="AH130" i="4" s="1"/>
  <c r="AS130" i="4"/>
  <c r="AT130" i="4" s="1"/>
  <c r="ER130" i="4"/>
  <c r="ES130" i="4" s="1"/>
  <c r="FE130" i="4" s="1"/>
  <c r="FF130" i="4" s="1"/>
  <c r="K130" i="4"/>
  <c r="L130" i="4" s="1"/>
  <c r="Q130" i="4"/>
  <c r="R130" i="4" s="1"/>
  <c r="AE130" i="4"/>
  <c r="AF130" i="4" s="1"/>
  <c r="AK130" i="4"/>
  <c r="AL130" i="4" s="1"/>
  <c r="AQ130" i="4"/>
  <c r="AR130" i="4" s="1"/>
  <c r="ER47" i="4"/>
  <c r="ES47" i="4" s="1"/>
  <c r="CA47" i="4"/>
  <c r="BZ46" i="4"/>
  <c r="ER45" i="4"/>
  <c r="ES45" i="4" s="1"/>
  <c r="CA45" i="4"/>
  <c r="AY45" i="4"/>
  <c r="AZ45" i="4" s="1"/>
  <c r="J54" i="4"/>
  <c r="CA43" i="4"/>
  <c r="ER43" i="4"/>
  <c r="ES43" i="4" s="1"/>
  <c r="FU42" i="4"/>
  <c r="FV42" i="4" s="1"/>
  <c r="FE42" i="4"/>
  <c r="FF42" i="4" s="1"/>
  <c r="FY42" i="4"/>
  <c r="FZ42" i="4" s="1"/>
  <c r="ET42" i="4"/>
  <c r="GG42" i="4"/>
  <c r="GH42" i="4" s="1"/>
  <c r="FQ42" i="4"/>
  <c r="FR42" i="4" s="1"/>
  <c r="FA42" i="4"/>
  <c r="FB42" i="4" s="1"/>
  <c r="GC42" i="4"/>
  <c r="GD42" i="4" s="1"/>
  <c r="FM42" i="4"/>
  <c r="FN42" i="4" s="1"/>
  <c r="EW42" i="4"/>
  <c r="EX42" i="4" s="1"/>
  <c r="FI42" i="4"/>
  <c r="FJ42" i="4" s="1"/>
  <c r="CA42" i="4"/>
  <c r="J42" i="4"/>
  <c r="AC42" i="4"/>
  <c r="AD42" i="4" s="1"/>
  <c r="AW42" i="4"/>
  <c r="AX42" i="4" s="1"/>
  <c r="M42" i="4"/>
  <c r="N42" i="4" s="1"/>
  <c r="AG42" i="4"/>
  <c r="AH42" i="4" s="1"/>
  <c r="I49" i="4"/>
  <c r="DO38" i="4"/>
  <c r="DP38" i="4" s="1"/>
  <c r="DM38" i="4"/>
  <c r="DN38" i="4" s="1"/>
  <c r="CW38" i="4"/>
  <c r="CX38" i="4" s="1"/>
  <c r="CG38" i="4"/>
  <c r="CH38" i="4" s="1"/>
  <c r="CO38" i="4"/>
  <c r="CP38" i="4" s="1"/>
  <c r="DI38" i="4"/>
  <c r="DJ38" i="4" s="1"/>
  <c r="CS38" i="4"/>
  <c r="CT38" i="4" s="1"/>
  <c r="CC38" i="4"/>
  <c r="CD38" i="4" s="1"/>
  <c r="DQ38" i="4"/>
  <c r="DR38" i="4" s="1"/>
  <c r="DA38" i="4"/>
  <c r="DB38" i="4" s="1"/>
  <c r="CK38" i="4"/>
  <c r="CL38" i="4" s="1"/>
  <c r="DE38" i="4"/>
  <c r="DF38" i="4" s="1"/>
  <c r="ER38" i="4"/>
  <c r="ES38" i="4" s="1"/>
  <c r="O41" i="4"/>
  <c r="P41" i="4" s="1"/>
  <c r="W41" i="4"/>
  <c r="X41" i="4" s="1"/>
  <c r="AE41" i="4"/>
  <c r="AF41" i="4" s="1"/>
  <c r="AM41" i="4"/>
  <c r="AN41" i="4" s="1"/>
  <c r="AU41" i="4"/>
  <c r="AV41" i="4" s="1"/>
  <c r="K41" i="4"/>
  <c r="L41" i="4" s="1"/>
  <c r="S41" i="4"/>
  <c r="T41" i="4" s="1"/>
  <c r="AA41" i="4"/>
  <c r="AB41" i="4" s="1"/>
  <c r="AI41" i="4"/>
  <c r="AJ41" i="4" s="1"/>
  <c r="AQ41" i="4"/>
  <c r="AR41" i="4" s="1"/>
  <c r="AY41" i="4"/>
  <c r="AZ41" i="4" s="1"/>
  <c r="ER39" i="4"/>
  <c r="ES39" i="4" s="1"/>
  <c r="CA39" i="4"/>
  <c r="AY37" i="4"/>
  <c r="AZ37" i="4" s="1"/>
  <c r="O37" i="4"/>
  <c r="P37" i="4" s="1"/>
  <c r="AE37" i="4"/>
  <c r="AF37" i="4" s="1"/>
  <c r="BZ37" i="4"/>
  <c r="DM36" i="4"/>
  <c r="DN36" i="4" s="1"/>
  <c r="DO36" i="4"/>
  <c r="DP36" i="4" s="1"/>
  <c r="ER36" i="4"/>
  <c r="ES36" i="4" s="1"/>
  <c r="AO54" i="4"/>
  <c r="AP54" i="4" s="1"/>
  <c r="CW35" i="4"/>
  <c r="CX35" i="4" s="1"/>
  <c r="U54" i="4"/>
  <c r="V54" i="4" s="1"/>
  <c r="AK54" i="4"/>
  <c r="AL54" i="4" s="1"/>
  <c r="BZ54" i="4"/>
  <c r="CA54" i="4" s="1"/>
  <c r="DO54" i="4" s="1"/>
  <c r="DP54" i="4" s="1"/>
  <c r="AO35" i="4"/>
  <c r="AP35" i="4" s="1"/>
  <c r="M54" i="4"/>
  <c r="N54" i="4" s="1"/>
  <c r="AC54" i="4"/>
  <c r="AD54" i="4" s="1"/>
  <c r="AS54" i="4"/>
  <c r="AT54" i="4" s="1"/>
  <c r="Y54" i="4"/>
  <c r="Z54" i="4" s="1"/>
  <c r="AS35" i="4"/>
  <c r="AT35" i="4" s="1"/>
  <c r="Q54" i="4"/>
  <c r="R54" i="4" s="1"/>
  <c r="AG54" i="4"/>
  <c r="AH54" i="4" s="1"/>
  <c r="DO34" i="4"/>
  <c r="DP34" i="4" s="1"/>
  <c r="DM34" i="4"/>
  <c r="DN34" i="4" s="1"/>
  <c r="ER34" i="4"/>
  <c r="ES34" i="4" s="1"/>
  <c r="FS34" i="4" s="1"/>
  <c r="FT34" i="4" s="1"/>
  <c r="AY53" i="4"/>
  <c r="AZ53" i="4" s="1"/>
  <c r="AM53" i="4"/>
  <c r="AN53" i="4" s="1"/>
  <c r="AE53" i="4"/>
  <c r="AF53" i="4" s="1"/>
  <c r="W53" i="4"/>
  <c r="X53" i="4" s="1"/>
  <c r="O53" i="4"/>
  <c r="P53" i="4" s="1"/>
  <c r="AQ53" i="4"/>
  <c r="AR53" i="4" s="1"/>
  <c r="AA53" i="4"/>
  <c r="AB53" i="4" s="1"/>
  <c r="S53" i="4"/>
  <c r="T53" i="4" s="1"/>
  <c r="AI53" i="4"/>
  <c r="AJ53" i="4" s="1"/>
  <c r="K53" i="4"/>
  <c r="L53" i="4" s="1"/>
  <c r="BZ19" i="4"/>
  <c r="ER19" i="4" s="1"/>
  <c r="ES19" i="4" s="1"/>
  <c r="I19" i="4"/>
  <c r="Q19" i="4" s="1"/>
  <c r="R19" i="4" s="1"/>
  <c r="CA53" i="4"/>
  <c r="M146" i="4"/>
  <c r="N146" i="4" s="1"/>
  <c r="AE146" i="4"/>
  <c r="AF146" i="4" s="1"/>
  <c r="AO146" i="4"/>
  <c r="AP146" i="4" s="1"/>
  <c r="AY146" i="4"/>
  <c r="AZ146" i="4" s="1"/>
  <c r="J146" i="4"/>
  <c r="S146" i="4"/>
  <c r="T146" i="4" s="1"/>
  <c r="AA146" i="4"/>
  <c r="AB146" i="4" s="1"/>
  <c r="AK146" i="4"/>
  <c r="AL146" i="4" s="1"/>
  <c r="AS146" i="4"/>
  <c r="AT146" i="4" s="1"/>
  <c r="K146" i="4"/>
  <c r="L146" i="4" s="1"/>
  <c r="U146" i="4"/>
  <c r="V146" i="4" s="1"/>
  <c r="AC146" i="4"/>
  <c r="AD146" i="4" s="1"/>
  <c r="AU146" i="4"/>
  <c r="AV146" i="4" s="1"/>
  <c r="ER146" i="4"/>
  <c r="ES146" i="4" s="1"/>
  <c r="ER144" i="4"/>
  <c r="ES144" i="4" s="1"/>
  <c r="CA144" i="4"/>
  <c r="W148" i="4"/>
  <c r="X148" i="4" s="1"/>
  <c r="AM148" i="4"/>
  <c r="AN148" i="4" s="1"/>
  <c r="AC144" i="4"/>
  <c r="AD144" i="4" s="1"/>
  <c r="M148" i="4"/>
  <c r="N148" i="4" s="1"/>
  <c r="AC148" i="4"/>
  <c r="AD148" i="4" s="1"/>
  <c r="AS148" i="4"/>
  <c r="AT148" i="4" s="1"/>
  <c r="O148" i="4"/>
  <c r="P148" i="4" s="1"/>
  <c r="AE148" i="4"/>
  <c r="AF148" i="4" s="1"/>
  <c r="AU148" i="4"/>
  <c r="AV148" i="4" s="1"/>
  <c r="AS145" i="4"/>
  <c r="AT145" i="4" s="1"/>
  <c r="AK145" i="4"/>
  <c r="AL145" i="4" s="1"/>
  <c r="AC145" i="4"/>
  <c r="AD145" i="4" s="1"/>
  <c r="U145" i="4"/>
  <c r="V145" i="4" s="1"/>
  <c r="M145" i="4"/>
  <c r="N145" i="4" s="1"/>
  <c r="AO145" i="4"/>
  <c r="AP145" i="4" s="1"/>
  <c r="Y145" i="4"/>
  <c r="Z145" i="4" s="1"/>
  <c r="AY145" i="4"/>
  <c r="AZ145" i="4" s="1"/>
  <c r="AQ145" i="4"/>
  <c r="AR145" i="4" s="1"/>
  <c r="AI145" i="4"/>
  <c r="AJ145" i="4" s="1"/>
  <c r="AA145" i="4"/>
  <c r="AB145" i="4" s="1"/>
  <c r="S145" i="4"/>
  <c r="T145" i="4" s="1"/>
  <c r="K145" i="4"/>
  <c r="L145" i="4" s="1"/>
  <c r="AG145" i="4"/>
  <c r="AH145" i="4" s="1"/>
  <c r="J145" i="4"/>
  <c r="AU145" i="4"/>
  <c r="AV145" i="4" s="1"/>
  <c r="AM145" i="4"/>
  <c r="AN145" i="4" s="1"/>
  <c r="AE145" i="4"/>
  <c r="AF145" i="4" s="1"/>
  <c r="W145" i="4"/>
  <c r="X145" i="4" s="1"/>
  <c r="O145" i="4"/>
  <c r="P145" i="4" s="1"/>
  <c r="AW145" i="4"/>
  <c r="AX145" i="4" s="1"/>
  <c r="Q145" i="4"/>
  <c r="R145" i="4" s="1"/>
  <c r="BZ145" i="4"/>
  <c r="BZ148" i="4"/>
  <c r="ER60" i="4"/>
  <c r="ES60" i="4" s="1"/>
  <c r="CA60" i="4"/>
  <c r="I20" i="4"/>
  <c r="AW20" i="4" s="1"/>
  <c r="AX20" i="4" s="1"/>
  <c r="BZ20" i="4"/>
  <c r="M60" i="4"/>
  <c r="N60" i="4" s="1"/>
  <c r="Y57" i="4"/>
  <c r="Z57" i="4" s="1"/>
  <c r="Q60" i="4"/>
  <c r="R60" i="4" s="1"/>
  <c r="AE57" i="4"/>
  <c r="AF57" i="4" s="1"/>
  <c r="J60" i="4"/>
  <c r="Y60" i="4"/>
  <c r="Z60" i="4" s="1"/>
  <c r="CK88" i="4"/>
  <c r="CL88" i="4" s="1"/>
  <c r="CG88" i="4"/>
  <c r="CH88" i="4" s="1"/>
  <c r="CW88" i="4"/>
  <c r="CX88" i="4" s="1"/>
  <c r="DM88" i="4"/>
  <c r="DN88" i="4" s="1"/>
  <c r="ER88" i="4"/>
  <c r="ES88" i="4" s="1"/>
  <c r="FI88" i="4" s="1"/>
  <c r="FJ88" i="4" s="1"/>
  <c r="DA88" i="4"/>
  <c r="DB88" i="4" s="1"/>
  <c r="CO88" i="4"/>
  <c r="CP88" i="4" s="1"/>
  <c r="DE88" i="4"/>
  <c r="DF88" i="4" s="1"/>
  <c r="DQ88" i="4"/>
  <c r="DR88" i="4" s="1"/>
  <c r="CC88" i="4"/>
  <c r="CD88" i="4" s="1"/>
  <c r="CS88" i="4"/>
  <c r="CT88" i="4" s="1"/>
  <c r="ER72" i="4"/>
  <c r="ES72" i="4" s="1"/>
  <c r="CA72" i="4"/>
  <c r="O64" i="4"/>
  <c r="P64" i="4" s="1"/>
  <c r="W64" i="4"/>
  <c r="X64" i="4" s="1"/>
  <c r="AE64" i="4"/>
  <c r="AF64" i="4" s="1"/>
  <c r="AM64" i="4"/>
  <c r="AN64" i="4" s="1"/>
  <c r="AU64" i="4"/>
  <c r="AV64" i="4" s="1"/>
  <c r="K64" i="4"/>
  <c r="L64" i="4" s="1"/>
  <c r="S64" i="4"/>
  <c r="T64" i="4" s="1"/>
  <c r="AA64" i="4"/>
  <c r="AB64" i="4" s="1"/>
  <c r="AI64" i="4"/>
  <c r="AJ64" i="4" s="1"/>
  <c r="AQ64" i="4"/>
  <c r="AR64" i="4" s="1"/>
  <c r="AY64" i="4"/>
  <c r="AZ64" i="4" s="1"/>
  <c r="CA64" i="4"/>
  <c r="I89" i="4"/>
  <c r="AW89" i="4" s="1"/>
  <c r="AX89" i="4" s="1"/>
  <c r="ER89" i="4"/>
  <c r="ES89" i="4" s="1"/>
  <c r="GG89" i="4" s="1"/>
  <c r="GH89" i="4" s="1"/>
  <c r="CA89" i="4"/>
  <c r="DQ89" i="4" s="1"/>
  <c r="DR89" i="4" s="1"/>
  <c r="CA24" i="4"/>
  <c r="DE24" i="4" s="1"/>
  <c r="DF24" i="4" s="1"/>
  <c r="I140" i="4"/>
  <c r="W140" i="4" s="1"/>
  <c r="X140" i="4" s="1"/>
  <c r="ER111" i="4"/>
  <c r="ES111" i="4" s="1"/>
  <c r="CA111" i="4"/>
  <c r="I111" i="4"/>
  <c r="AW96" i="4"/>
  <c r="AX96" i="4" s="1"/>
  <c r="EU96" i="4"/>
  <c r="EV96" i="4" s="1"/>
  <c r="I113" i="4"/>
  <c r="CA96" i="4"/>
  <c r="DI96" i="4" s="1"/>
  <c r="DJ96" i="4" s="1"/>
  <c r="FK96" i="4"/>
  <c r="FL96" i="4" s="1"/>
  <c r="ER93" i="4"/>
  <c r="ES93" i="4" s="1"/>
  <c r="CA93" i="4"/>
  <c r="I22" i="4"/>
  <c r="AW22" i="4" s="1"/>
  <c r="AX22" i="4" s="1"/>
  <c r="BZ22" i="4"/>
  <c r="CA22" i="4" s="1"/>
  <c r="DQ22" i="4" s="1"/>
  <c r="DR22" i="4" s="1"/>
  <c r="CA109" i="4"/>
  <c r="ER109" i="4"/>
  <c r="ES109" i="4" s="1"/>
  <c r="GE109" i="4" s="1"/>
  <c r="GF109" i="4" s="1"/>
  <c r="M109" i="4"/>
  <c r="N109" i="4" s="1"/>
  <c r="Y109" i="4"/>
  <c r="Z109" i="4" s="1"/>
  <c r="AS109" i="4"/>
  <c r="AT109" i="4" s="1"/>
  <c r="CA113" i="4"/>
  <c r="CB113" i="4" s="1"/>
  <c r="U109" i="4"/>
  <c r="V109" i="4" s="1"/>
  <c r="AC109" i="4"/>
  <c r="AD109" i="4" s="1"/>
  <c r="J109" i="4"/>
  <c r="AO109" i="4"/>
  <c r="AP109" i="4" s="1"/>
  <c r="AY131" i="4"/>
  <c r="AZ131" i="4" s="1"/>
  <c r="AU131" i="4"/>
  <c r="AV131" i="4" s="1"/>
  <c r="O131" i="4"/>
  <c r="P131" i="4" s="1"/>
  <c r="AI131" i="4"/>
  <c r="AJ131" i="4" s="1"/>
  <c r="S131" i="4"/>
  <c r="T131" i="4" s="1"/>
  <c r="AE131" i="4"/>
  <c r="AF131" i="4" s="1"/>
  <c r="AM131" i="4"/>
  <c r="AN131" i="4" s="1"/>
  <c r="W131" i="4"/>
  <c r="X131" i="4" s="1"/>
  <c r="BZ131" i="4"/>
  <c r="CA131" i="4" s="1"/>
  <c r="D27" i="4"/>
  <c r="E27" i="4" s="1"/>
  <c r="H27" i="4" s="1"/>
  <c r="I27" i="4" s="1"/>
  <c r="M27" i="4" s="1"/>
  <c r="N27" i="4" s="1"/>
  <c r="CG24" i="4"/>
  <c r="CH24" i="4" s="1"/>
  <c r="CW24" i="4"/>
  <c r="CX24" i="4" s="1"/>
  <c r="DM24" i="4"/>
  <c r="DN24" i="4" s="1"/>
  <c r="AU140" i="4"/>
  <c r="AV140" i="4" s="1"/>
  <c r="I127" i="4"/>
  <c r="AS127" i="4" s="1"/>
  <c r="AT127" i="4" s="1"/>
  <c r="ER127" i="4"/>
  <c r="ES127" i="4" s="1"/>
  <c r="GA127" i="4" s="1"/>
  <c r="GB127" i="4" s="1"/>
  <c r="CA127" i="4"/>
  <c r="DI127" i="4" s="1"/>
  <c r="DJ127" i="4" s="1"/>
  <c r="H23" i="4"/>
  <c r="AQ117" i="4"/>
  <c r="AR117" i="4" s="1"/>
  <c r="DE22" i="4"/>
  <c r="DF22" i="4" s="1"/>
  <c r="DO22" i="4"/>
  <c r="DP22" i="4" s="1"/>
  <c r="CI22" i="4"/>
  <c r="CJ22" i="4" s="1"/>
  <c r="AY21" i="4"/>
  <c r="AZ21" i="4" s="1"/>
  <c r="AU21" i="4"/>
  <c r="AV21" i="4" s="1"/>
  <c r="AQ21" i="4"/>
  <c r="AR21" i="4" s="1"/>
  <c r="AM21" i="4"/>
  <c r="AN21" i="4" s="1"/>
  <c r="AI21" i="4"/>
  <c r="AJ21" i="4" s="1"/>
  <c r="AE21" i="4"/>
  <c r="AF21" i="4" s="1"/>
  <c r="AA21" i="4"/>
  <c r="AB21" i="4" s="1"/>
  <c r="W21" i="4"/>
  <c r="X21" i="4" s="1"/>
  <c r="S21" i="4"/>
  <c r="T21" i="4" s="1"/>
  <c r="O21" i="4"/>
  <c r="P21" i="4" s="1"/>
  <c r="K21" i="4"/>
  <c r="L21" i="4" s="1"/>
  <c r="AW21" i="4"/>
  <c r="AX21" i="4" s="1"/>
  <c r="AS21" i="4"/>
  <c r="AT21" i="4" s="1"/>
  <c r="AO21" i="4"/>
  <c r="AP21" i="4" s="1"/>
  <c r="AK21" i="4"/>
  <c r="AL21" i="4" s="1"/>
  <c r="AG21" i="4"/>
  <c r="AH21" i="4" s="1"/>
  <c r="AC21" i="4"/>
  <c r="AD21" i="4" s="1"/>
  <c r="Y21" i="4"/>
  <c r="Z21" i="4" s="1"/>
  <c r="U21" i="4"/>
  <c r="V21" i="4" s="1"/>
  <c r="Q21" i="4"/>
  <c r="R21" i="4" s="1"/>
  <c r="M21" i="4"/>
  <c r="N21" i="4" s="1"/>
  <c r="J21" i="4"/>
  <c r="AY25" i="4"/>
  <c r="AZ25" i="4" s="1"/>
  <c r="AU25" i="4"/>
  <c r="AV25" i="4" s="1"/>
  <c r="AQ25" i="4"/>
  <c r="AR25" i="4" s="1"/>
  <c r="AM25" i="4"/>
  <c r="AN25" i="4" s="1"/>
  <c r="AI25" i="4"/>
  <c r="AJ25" i="4" s="1"/>
  <c r="AE25" i="4"/>
  <c r="AF25" i="4" s="1"/>
  <c r="AA25" i="4"/>
  <c r="AB25" i="4" s="1"/>
  <c r="W25" i="4"/>
  <c r="X25" i="4" s="1"/>
  <c r="S25" i="4"/>
  <c r="T25" i="4" s="1"/>
  <c r="O25" i="4"/>
  <c r="P25" i="4" s="1"/>
  <c r="K25" i="4"/>
  <c r="L25" i="4" s="1"/>
  <c r="AW25" i="4"/>
  <c r="AX25" i="4" s="1"/>
  <c r="AS25" i="4"/>
  <c r="AT25" i="4" s="1"/>
  <c r="AO25" i="4"/>
  <c r="AP25" i="4" s="1"/>
  <c r="AK25" i="4"/>
  <c r="AL25" i="4" s="1"/>
  <c r="AG25" i="4"/>
  <c r="AH25" i="4" s="1"/>
  <c r="AC25" i="4"/>
  <c r="AD25" i="4" s="1"/>
  <c r="Y25" i="4"/>
  <c r="Z25" i="4" s="1"/>
  <c r="U25" i="4"/>
  <c r="V25" i="4" s="1"/>
  <c r="Q25" i="4"/>
  <c r="R25" i="4" s="1"/>
  <c r="M25" i="4"/>
  <c r="N25" i="4" s="1"/>
  <c r="J25" i="4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DQ26" i="4"/>
  <c r="DR26" i="4" s="1"/>
  <c r="DM26" i="4"/>
  <c r="DN26" i="4" s="1"/>
  <c r="DI26" i="4"/>
  <c r="DJ26" i="4" s="1"/>
  <c r="DE26" i="4"/>
  <c r="DF26" i="4" s="1"/>
  <c r="DA26" i="4"/>
  <c r="DB26" i="4" s="1"/>
  <c r="CW26" i="4"/>
  <c r="CX26" i="4" s="1"/>
  <c r="CS26" i="4"/>
  <c r="CT26" i="4" s="1"/>
  <c r="CO26" i="4"/>
  <c r="CP26" i="4" s="1"/>
  <c r="CK26" i="4"/>
  <c r="CL26" i="4" s="1"/>
  <c r="CG26" i="4"/>
  <c r="CH26" i="4" s="1"/>
  <c r="CC26" i="4"/>
  <c r="CD26" i="4" s="1"/>
  <c r="DO26" i="4"/>
  <c r="DP26" i="4" s="1"/>
  <c r="DK26" i="4"/>
  <c r="DL26" i="4" s="1"/>
  <c r="DG26" i="4"/>
  <c r="DH26" i="4" s="1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GI35" i="4"/>
  <c r="GJ35" i="4" s="1"/>
  <c r="GE35" i="4"/>
  <c r="GF35" i="4" s="1"/>
  <c r="GA35" i="4"/>
  <c r="GB35" i="4" s="1"/>
  <c r="FW35" i="4"/>
  <c r="FX35" i="4" s="1"/>
  <c r="FS35" i="4"/>
  <c r="FT35" i="4" s="1"/>
  <c r="FO35" i="4"/>
  <c r="FP35" i="4" s="1"/>
  <c r="FK35" i="4"/>
  <c r="FL35" i="4" s="1"/>
  <c r="FG35" i="4"/>
  <c r="FH35" i="4" s="1"/>
  <c r="FC35" i="4"/>
  <c r="FD35" i="4" s="1"/>
  <c r="EY35" i="4"/>
  <c r="EZ35" i="4" s="1"/>
  <c r="EU35" i="4"/>
  <c r="EV35" i="4" s="1"/>
  <c r="GC35" i="4"/>
  <c r="GD35" i="4" s="1"/>
  <c r="FM35" i="4"/>
  <c r="FN35" i="4" s="1"/>
  <c r="EW35" i="4"/>
  <c r="EX35" i="4" s="1"/>
  <c r="GG35" i="4"/>
  <c r="GH35" i="4" s="1"/>
  <c r="FQ35" i="4"/>
  <c r="FR35" i="4" s="1"/>
  <c r="FA35" i="4"/>
  <c r="FB35" i="4" s="1"/>
  <c r="FY35" i="4"/>
  <c r="FZ35" i="4" s="1"/>
  <c r="FI35" i="4"/>
  <c r="FJ35" i="4" s="1"/>
  <c r="ET35" i="4"/>
  <c r="FU35" i="4"/>
  <c r="FV35" i="4" s="1"/>
  <c r="FE35" i="4"/>
  <c r="FF35" i="4" s="1"/>
  <c r="GI36" i="4"/>
  <c r="GJ36" i="4" s="1"/>
  <c r="GC36" i="4"/>
  <c r="GD36" i="4" s="1"/>
  <c r="FS36" i="4"/>
  <c r="FT36" i="4" s="1"/>
  <c r="FM36" i="4"/>
  <c r="FN36" i="4" s="1"/>
  <c r="FC36" i="4"/>
  <c r="FD36" i="4" s="1"/>
  <c r="EW36" i="4"/>
  <c r="EX36" i="4" s="1"/>
  <c r="FU36" i="4"/>
  <c r="FV36" i="4" s="1"/>
  <c r="FE36" i="4"/>
  <c r="FF36" i="4" s="1"/>
  <c r="GG36" i="4"/>
  <c r="GH36" i="4" s="1"/>
  <c r="FW36" i="4"/>
  <c r="FX36" i="4" s="1"/>
  <c r="FQ36" i="4"/>
  <c r="FR36" i="4" s="1"/>
  <c r="FG36" i="4"/>
  <c r="FH36" i="4" s="1"/>
  <c r="FA36" i="4"/>
  <c r="FB36" i="4" s="1"/>
  <c r="EU36" i="4"/>
  <c r="EV36" i="4" s="1"/>
  <c r="GE36" i="4"/>
  <c r="GF36" i="4" s="1"/>
  <c r="FY36" i="4"/>
  <c r="FZ36" i="4" s="1"/>
  <c r="FO36" i="4"/>
  <c r="FP36" i="4" s="1"/>
  <c r="FI36" i="4"/>
  <c r="FJ36" i="4" s="1"/>
  <c r="EY36" i="4"/>
  <c r="EZ36" i="4" s="1"/>
  <c r="ET36" i="4"/>
  <c r="GA36" i="4"/>
  <c r="GB36" i="4" s="1"/>
  <c r="FK36" i="4"/>
  <c r="FL36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K18" i="4"/>
  <c r="DL18" i="4" s="1"/>
  <c r="DG18" i="4"/>
  <c r="DH18" i="4" s="1"/>
  <c r="DC18" i="4"/>
  <c r="DD18" i="4" s="1"/>
  <c r="CY18" i="4"/>
  <c r="CZ18" i="4" s="1"/>
  <c r="CU18" i="4"/>
  <c r="CV18" i="4" s="1"/>
  <c r="CQ18" i="4"/>
  <c r="CR18" i="4" s="1"/>
  <c r="CM18" i="4"/>
  <c r="CN18" i="4" s="1"/>
  <c r="CI18" i="4"/>
  <c r="CJ18" i="4" s="1"/>
  <c r="CE18" i="4"/>
  <c r="CF18" i="4" s="1"/>
  <c r="CB18" i="4"/>
  <c r="CA31" i="4"/>
  <c r="ER31" i="4"/>
  <c r="ES31" i="4" s="1"/>
  <c r="DO35" i="4"/>
  <c r="DP35" i="4" s="1"/>
  <c r="DK35" i="4"/>
  <c r="DL35" i="4" s="1"/>
  <c r="DG35" i="4"/>
  <c r="DH35" i="4" s="1"/>
  <c r="DC35" i="4"/>
  <c r="DD35" i="4" s="1"/>
  <c r="CY35" i="4"/>
  <c r="CZ35" i="4" s="1"/>
  <c r="CU35" i="4"/>
  <c r="CV35" i="4" s="1"/>
  <c r="CQ35" i="4"/>
  <c r="CR35" i="4" s="1"/>
  <c r="CM35" i="4"/>
  <c r="CN35" i="4" s="1"/>
  <c r="CI35" i="4"/>
  <c r="CJ35" i="4" s="1"/>
  <c r="CE35" i="4"/>
  <c r="CF35" i="4" s="1"/>
  <c r="CB35" i="4"/>
  <c r="GI38" i="4"/>
  <c r="GJ38" i="4" s="1"/>
  <c r="GE38" i="4"/>
  <c r="GF38" i="4" s="1"/>
  <c r="GA38" i="4"/>
  <c r="GB38" i="4" s="1"/>
  <c r="FW38" i="4"/>
  <c r="FX38" i="4" s="1"/>
  <c r="FS38" i="4"/>
  <c r="FT38" i="4" s="1"/>
  <c r="FO38" i="4"/>
  <c r="FP38" i="4" s="1"/>
  <c r="FK38" i="4"/>
  <c r="FL38" i="4" s="1"/>
  <c r="FG38" i="4"/>
  <c r="FH38" i="4" s="1"/>
  <c r="FC38" i="4"/>
  <c r="FD38" i="4" s="1"/>
  <c r="EY38" i="4"/>
  <c r="EZ38" i="4" s="1"/>
  <c r="EU38" i="4"/>
  <c r="EV38" i="4" s="1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I95" i="4"/>
  <c r="GJ95" i="4" s="1"/>
  <c r="GE95" i="4"/>
  <c r="GF95" i="4" s="1"/>
  <c r="GA95" i="4"/>
  <c r="GB95" i="4" s="1"/>
  <c r="FW95" i="4"/>
  <c r="FX95" i="4" s="1"/>
  <c r="FS95" i="4"/>
  <c r="FT95" i="4" s="1"/>
  <c r="FO95" i="4"/>
  <c r="FP95" i="4" s="1"/>
  <c r="FK95" i="4"/>
  <c r="FL95" i="4" s="1"/>
  <c r="FG95" i="4"/>
  <c r="FH95" i="4" s="1"/>
  <c r="FC95" i="4"/>
  <c r="FD95" i="4" s="1"/>
  <c r="EY95" i="4"/>
  <c r="EZ95" i="4" s="1"/>
  <c r="EU95" i="4"/>
  <c r="EV95" i="4" s="1"/>
  <c r="J18" i="4"/>
  <c r="Q18" i="4"/>
  <c r="R18" i="4" s="1"/>
  <c r="Y18" i="4"/>
  <c r="Z18" i="4" s="1"/>
  <c r="K18" i="4"/>
  <c r="L18" i="4" s="1"/>
  <c r="O18" i="4"/>
  <c r="P18" i="4" s="1"/>
  <c r="S18" i="4"/>
  <c r="T18" i="4" s="1"/>
  <c r="W18" i="4"/>
  <c r="X18" i="4" s="1"/>
  <c r="AA18" i="4"/>
  <c r="AB18" i="4" s="1"/>
  <c r="AE18" i="4"/>
  <c r="AF18" i="4" s="1"/>
  <c r="AI18" i="4"/>
  <c r="AJ18" i="4" s="1"/>
  <c r="AM18" i="4"/>
  <c r="AN18" i="4" s="1"/>
  <c r="AQ18" i="4"/>
  <c r="AR18" i="4" s="1"/>
  <c r="AU18" i="4"/>
  <c r="AV18" i="4" s="1"/>
  <c r="AY18" i="4"/>
  <c r="AZ18" i="4" s="1"/>
  <c r="K20" i="4"/>
  <c r="L20" i="4" s="1"/>
  <c r="O20" i="4"/>
  <c r="P20" i="4" s="1"/>
  <c r="S20" i="4"/>
  <c r="T20" i="4" s="1"/>
  <c r="W20" i="4"/>
  <c r="X20" i="4" s="1"/>
  <c r="AA20" i="4"/>
  <c r="AB20" i="4" s="1"/>
  <c r="AE20" i="4"/>
  <c r="AF20" i="4" s="1"/>
  <c r="AI20" i="4"/>
  <c r="AJ20" i="4" s="1"/>
  <c r="AM20" i="4"/>
  <c r="AN20" i="4" s="1"/>
  <c r="AQ20" i="4"/>
  <c r="AR20" i="4" s="1"/>
  <c r="AU20" i="4"/>
  <c r="AV20" i="4" s="1"/>
  <c r="AY20" i="4"/>
  <c r="AZ20" i="4" s="1"/>
  <c r="K24" i="4"/>
  <c r="L24" i="4" s="1"/>
  <c r="O24" i="4"/>
  <c r="P24" i="4" s="1"/>
  <c r="S24" i="4"/>
  <c r="T24" i="4" s="1"/>
  <c r="W24" i="4"/>
  <c r="X24" i="4" s="1"/>
  <c r="AA24" i="4"/>
  <c r="AB24" i="4" s="1"/>
  <c r="AE24" i="4"/>
  <c r="AF24" i="4" s="1"/>
  <c r="AI24" i="4"/>
  <c r="AJ24" i="4" s="1"/>
  <c r="AM24" i="4"/>
  <c r="AN24" i="4" s="1"/>
  <c r="AQ24" i="4"/>
  <c r="AR24" i="4" s="1"/>
  <c r="AU24" i="4"/>
  <c r="AV24" i="4" s="1"/>
  <c r="AY24" i="4"/>
  <c r="AZ24" i="4" s="1"/>
  <c r="CB24" i="4"/>
  <c r="CE24" i="4"/>
  <c r="CF24" i="4" s="1"/>
  <c r="CI24" i="4"/>
  <c r="CJ24" i="4" s="1"/>
  <c r="CM24" i="4"/>
  <c r="CN24" i="4" s="1"/>
  <c r="CQ24" i="4"/>
  <c r="CR24" i="4" s="1"/>
  <c r="CU24" i="4"/>
  <c r="CV24" i="4" s="1"/>
  <c r="CY24" i="4"/>
  <c r="CZ24" i="4" s="1"/>
  <c r="DC24" i="4"/>
  <c r="DD24" i="4" s="1"/>
  <c r="DG24" i="4"/>
  <c r="DH24" i="4" s="1"/>
  <c r="DK24" i="4"/>
  <c r="DL24" i="4" s="1"/>
  <c r="EU24" i="4"/>
  <c r="EV24" i="4" s="1"/>
  <c r="EY24" i="4"/>
  <c r="EZ24" i="4" s="1"/>
  <c r="FC24" i="4"/>
  <c r="FD24" i="4" s="1"/>
  <c r="FG24" i="4"/>
  <c r="FH24" i="4" s="1"/>
  <c r="FK24" i="4"/>
  <c r="FL24" i="4" s="1"/>
  <c r="FO24" i="4"/>
  <c r="FP24" i="4" s="1"/>
  <c r="FS24" i="4"/>
  <c r="FT24" i="4" s="1"/>
  <c r="FW24" i="4"/>
  <c r="FX24" i="4" s="1"/>
  <c r="GA24" i="4"/>
  <c r="GB24" i="4" s="1"/>
  <c r="GE24" i="4"/>
  <c r="GF24" i="4" s="1"/>
  <c r="GI24" i="4"/>
  <c r="GJ24" i="4" s="1"/>
  <c r="K26" i="4"/>
  <c r="L26" i="4" s="1"/>
  <c r="O26" i="4"/>
  <c r="P26" i="4" s="1"/>
  <c r="S26" i="4"/>
  <c r="T26" i="4" s="1"/>
  <c r="W26" i="4"/>
  <c r="X26" i="4" s="1"/>
  <c r="AA26" i="4"/>
  <c r="AB26" i="4" s="1"/>
  <c r="AE26" i="4"/>
  <c r="AF26" i="4" s="1"/>
  <c r="AI26" i="4"/>
  <c r="AJ26" i="4" s="1"/>
  <c r="AM26" i="4"/>
  <c r="AN26" i="4" s="1"/>
  <c r="AQ26" i="4"/>
  <c r="AR26" i="4" s="1"/>
  <c r="AU26" i="4"/>
  <c r="AV26" i="4" s="1"/>
  <c r="AY26" i="4"/>
  <c r="AZ26" i="4" s="1"/>
  <c r="ER26" i="4"/>
  <c r="ES26" i="4" s="1"/>
  <c r="BZ25" i="4"/>
  <c r="ER22" i="4"/>
  <c r="ES22" i="4" s="1"/>
  <c r="BZ21" i="4"/>
  <c r="ER18" i="4"/>
  <c r="I31" i="4"/>
  <c r="K34" i="4"/>
  <c r="L34" i="4" s="1"/>
  <c r="O34" i="4"/>
  <c r="P34" i="4" s="1"/>
  <c r="S34" i="4"/>
  <c r="T34" i="4" s="1"/>
  <c r="W34" i="4"/>
  <c r="X34" i="4" s="1"/>
  <c r="AA34" i="4"/>
  <c r="AB34" i="4" s="1"/>
  <c r="AE34" i="4"/>
  <c r="AF34" i="4" s="1"/>
  <c r="AI34" i="4"/>
  <c r="AJ34" i="4" s="1"/>
  <c r="AM34" i="4"/>
  <c r="AN34" i="4" s="1"/>
  <c r="AQ34" i="4"/>
  <c r="AR34" i="4" s="1"/>
  <c r="AU34" i="4"/>
  <c r="AV34" i="4" s="1"/>
  <c r="AY34" i="4"/>
  <c r="AZ34" i="4" s="1"/>
  <c r="CB34" i="4"/>
  <c r="CE34" i="4"/>
  <c r="CF34" i="4" s="1"/>
  <c r="CI34" i="4"/>
  <c r="CJ34" i="4" s="1"/>
  <c r="CM34" i="4"/>
  <c r="CN34" i="4" s="1"/>
  <c r="CQ34" i="4"/>
  <c r="CR34" i="4" s="1"/>
  <c r="CU34" i="4"/>
  <c r="CV34" i="4" s="1"/>
  <c r="CY34" i="4"/>
  <c r="CZ34" i="4" s="1"/>
  <c r="DC34" i="4"/>
  <c r="DD34" i="4" s="1"/>
  <c r="DG34" i="4"/>
  <c r="DH34" i="4" s="1"/>
  <c r="DK34" i="4"/>
  <c r="DL34" i="4" s="1"/>
  <c r="DQ34" i="4"/>
  <c r="DR34" i="4" s="1"/>
  <c r="ET34" i="4"/>
  <c r="FY34" i="4"/>
  <c r="FZ34" i="4" s="1"/>
  <c r="Q35" i="4"/>
  <c r="R35" i="4" s="1"/>
  <c r="AG35" i="4"/>
  <c r="AH35" i="4" s="1"/>
  <c r="CK35" i="4"/>
  <c r="CL35" i="4" s="1"/>
  <c r="DA35" i="4"/>
  <c r="DB35" i="4" s="1"/>
  <c r="DQ35" i="4"/>
  <c r="DR35" i="4" s="1"/>
  <c r="Q36" i="4"/>
  <c r="R36" i="4" s="1"/>
  <c r="W36" i="4"/>
  <c r="X36" i="4" s="1"/>
  <c r="AG36" i="4"/>
  <c r="AH36" i="4" s="1"/>
  <c r="AM36" i="4"/>
  <c r="AN36" i="4" s="1"/>
  <c r="AW36" i="4"/>
  <c r="AX36" i="4" s="1"/>
  <c r="CE36" i="4"/>
  <c r="CF36" i="4" s="1"/>
  <c r="CO36" i="4"/>
  <c r="CP36" i="4" s="1"/>
  <c r="CU36" i="4"/>
  <c r="CV36" i="4" s="1"/>
  <c r="DE36" i="4"/>
  <c r="DF36" i="4" s="1"/>
  <c r="S37" i="4"/>
  <c r="T37" i="4" s="1"/>
  <c r="AI37" i="4"/>
  <c r="AJ37" i="4" s="1"/>
  <c r="M38" i="4"/>
  <c r="N38" i="4" s="1"/>
  <c r="AC38" i="4"/>
  <c r="AD38" i="4" s="1"/>
  <c r="FA38" i="4"/>
  <c r="FB38" i="4" s="1"/>
  <c r="FQ38" i="4"/>
  <c r="FR38" i="4" s="1"/>
  <c r="GG38" i="4"/>
  <c r="GH38" i="4" s="1"/>
  <c r="AW39" i="4"/>
  <c r="AX39" i="4" s="1"/>
  <c r="AS39" i="4"/>
  <c r="AT39" i="4" s="1"/>
  <c r="AO39" i="4"/>
  <c r="AP39" i="4" s="1"/>
  <c r="AK39" i="4"/>
  <c r="AL39" i="4" s="1"/>
  <c r="AG39" i="4"/>
  <c r="AH39" i="4" s="1"/>
  <c r="AC39" i="4"/>
  <c r="AD39" i="4" s="1"/>
  <c r="Y39" i="4"/>
  <c r="Z39" i="4" s="1"/>
  <c r="U39" i="4"/>
  <c r="V39" i="4" s="1"/>
  <c r="Q39" i="4"/>
  <c r="R39" i="4" s="1"/>
  <c r="M39" i="4"/>
  <c r="N39" i="4" s="1"/>
  <c r="J39" i="4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U42" i="4"/>
  <c r="V42" i="4" s="1"/>
  <c r="GI42" i="4"/>
  <c r="GJ42" i="4" s="1"/>
  <c r="GE42" i="4"/>
  <c r="GF42" i="4" s="1"/>
  <c r="GA42" i="4"/>
  <c r="GB42" i="4" s="1"/>
  <c r="FW42" i="4"/>
  <c r="FX42" i="4" s="1"/>
  <c r="FS42" i="4"/>
  <c r="FT42" i="4" s="1"/>
  <c r="FO42" i="4"/>
  <c r="FP42" i="4" s="1"/>
  <c r="FK42" i="4"/>
  <c r="FL42" i="4" s="1"/>
  <c r="FG42" i="4"/>
  <c r="FH42" i="4" s="1"/>
  <c r="FC42" i="4"/>
  <c r="FD42" i="4" s="1"/>
  <c r="EY42" i="4"/>
  <c r="EZ42" i="4" s="1"/>
  <c r="EU42" i="4"/>
  <c r="EV42" i="4" s="1"/>
  <c r="I44" i="4"/>
  <c r="BZ44" i="4"/>
  <c r="GI45" i="4"/>
  <c r="GJ45" i="4" s="1"/>
  <c r="GE45" i="4"/>
  <c r="GF45" i="4" s="1"/>
  <c r="GA45" i="4"/>
  <c r="GB45" i="4" s="1"/>
  <c r="FW45" i="4"/>
  <c r="FX45" i="4" s="1"/>
  <c r="FS45" i="4"/>
  <c r="FT45" i="4" s="1"/>
  <c r="FO45" i="4"/>
  <c r="FP45" i="4" s="1"/>
  <c r="FK45" i="4"/>
  <c r="FL45" i="4" s="1"/>
  <c r="FG45" i="4"/>
  <c r="FH45" i="4" s="1"/>
  <c r="FC45" i="4"/>
  <c r="FD45" i="4" s="1"/>
  <c r="EY45" i="4"/>
  <c r="EZ45" i="4" s="1"/>
  <c r="EU45" i="4"/>
  <c r="EV45" i="4" s="1"/>
  <c r="GG45" i="4"/>
  <c r="GH45" i="4" s="1"/>
  <c r="GC45" i="4"/>
  <c r="GD45" i="4" s="1"/>
  <c r="FY45" i="4"/>
  <c r="FZ45" i="4" s="1"/>
  <c r="FU45" i="4"/>
  <c r="FV45" i="4" s="1"/>
  <c r="FQ45" i="4"/>
  <c r="FR45" i="4" s="1"/>
  <c r="FM45" i="4"/>
  <c r="FN45" i="4" s="1"/>
  <c r="FI45" i="4"/>
  <c r="FJ45" i="4" s="1"/>
  <c r="FE45" i="4"/>
  <c r="FF45" i="4" s="1"/>
  <c r="FA45" i="4"/>
  <c r="FB45" i="4" s="1"/>
  <c r="EW45" i="4"/>
  <c r="EX45" i="4" s="1"/>
  <c r="ET45" i="4"/>
  <c r="J46" i="4"/>
  <c r="Y46" i="4"/>
  <c r="Z46" i="4" s="1"/>
  <c r="AO46" i="4"/>
  <c r="AP46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CK50" i="4"/>
  <c r="CL50" i="4" s="1"/>
  <c r="DA50" i="4"/>
  <c r="DB50" i="4" s="1"/>
  <c r="EW50" i="4"/>
  <c r="EX50" i="4" s="1"/>
  <c r="FM50" i="4"/>
  <c r="FN50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G53" i="4"/>
  <c r="GH53" i="4" s="1"/>
  <c r="GC53" i="4"/>
  <c r="GD53" i="4" s="1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 s="1"/>
  <c r="FA53" i="4"/>
  <c r="FB53" i="4" s="1"/>
  <c r="EW53" i="4"/>
  <c r="EX53" i="4" s="1"/>
  <c r="ET53" i="4"/>
  <c r="AY54" i="4"/>
  <c r="AZ54" i="4" s="1"/>
  <c r="AU54" i="4"/>
  <c r="AV54" i="4" s="1"/>
  <c r="AQ54" i="4"/>
  <c r="AR54" i="4" s="1"/>
  <c r="AM54" i="4"/>
  <c r="AN54" i="4" s="1"/>
  <c r="AI54" i="4"/>
  <c r="AJ54" i="4" s="1"/>
  <c r="AE54" i="4"/>
  <c r="AF54" i="4" s="1"/>
  <c r="AA54" i="4"/>
  <c r="AB54" i="4" s="1"/>
  <c r="W54" i="4"/>
  <c r="X54" i="4" s="1"/>
  <c r="S54" i="4"/>
  <c r="T54" i="4" s="1"/>
  <c r="O54" i="4"/>
  <c r="P54" i="4" s="1"/>
  <c r="K54" i="4"/>
  <c r="L54" i="4" s="1"/>
  <c r="CA57" i="4"/>
  <c r="ER57" i="4"/>
  <c r="ES57" i="4" s="1"/>
  <c r="ET59" i="4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GC77" i="4"/>
  <c r="GD77" i="4" s="1"/>
  <c r="FM77" i="4"/>
  <c r="FN77" i="4" s="1"/>
  <c r="EW77" i="4"/>
  <c r="EX77" i="4" s="1"/>
  <c r="FY77" i="4"/>
  <c r="FZ77" i="4" s="1"/>
  <c r="FI77" i="4"/>
  <c r="FJ77" i="4" s="1"/>
  <c r="ET77" i="4"/>
  <c r="GG77" i="4"/>
  <c r="GH77" i="4" s="1"/>
  <c r="FQ77" i="4"/>
  <c r="FR77" i="4" s="1"/>
  <c r="FA77" i="4"/>
  <c r="FB77" i="4" s="1"/>
  <c r="I86" i="4"/>
  <c r="BZ86" i="4"/>
  <c r="DM35" i="4"/>
  <c r="DN35" i="4" s="1"/>
  <c r="AW37" i="4"/>
  <c r="AX37" i="4" s="1"/>
  <c r="AS37" i="4"/>
  <c r="AT37" i="4" s="1"/>
  <c r="AO37" i="4"/>
  <c r="AP37" i="4" s="1"/>
  <c r="AK37" i="4"/>
  <c r="AL37" i="4" s="1"/>
  <c r="AG37" i="4"/>
  <c r="AH37" i="4" s="1"/>
  <c r="AC37" i="4"/>
  <c r="AD37" i="4" s="1"/>
  <c r="Y37" i="4"/>
  <c r="Z37" i="4" s="1"/>
  <c r="U37" i="4"/>
  <c r="V37" i="4" s="1"/>
  <c r="Q37" i="4"/>
  <c r="R37" i="4" s="1"/>
  <c r="M37" i="4"/>
  <c r="N37" i="4" s="1"/>
  <c r="J37" i="4"/>
  <c r="FE38" i="4"/>
  <c r="FF38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A58" i="4"/>
  <c r="GB58" i="4" s="1"/>
  <c r="FK58" i="4"/>
  <c r="FL58" i="4" s="1"/>
  <c r="EU58" i="4"/>
  <c r="EV58" i="4" s="1"/>
  <c r="GE58" i="4"/>
  <c r="GF58" i="4" s="1"/>
  <c r="FO58" i="4"/>
  <c r="FP58" i="4" s="1"/>
  <c r="EY58" i="4"/>
  <c r="EZ58" i="4" s="1"/>
  <c r="FW58" i="4"/>
  <c r="FX58" i="4" s="1"/>
  <c r="FG58" i="4"/>
  <c r="FH58" i="4" s="1"/>
  <c r="GG59" i="4"/>
  <c r="GH59" i="4" s="1"/>
  <c r="GA59" i="4"/>
  <c r="GB59" i="4" s="1"/>
  <c r="FQ59" i="4"/>
  <c r="FR59" i="4" s="1"/>
  <c r="FK59" i="4"/>
  <c r="FL59" i="4" s="1"/>
  <c r="FA59" i="4"/>
  <c r="FB59" i="4" s="1"/>
  <c r="EU59" i="4"/>
  <c r="EV59" i="4" s="1"/>
  <c r="GE59" i="4"/>
  <c r="GF59" i="4" s="1"/>
  <c r="FU59" i="4"/>
  <c r="FV59" i="4" s="1"/>
  <c r="FO59" i="4"/>
  <c r="FP59" i="4" s="1"/>
  <c r="FE59" i="4"/>
  <c r="FF59" i="4" s="1"/>
  <c r="EY59" i="4"/>
  <c r="EZ59" i="4" s="1"/>
  <c r="GC59" i="4"/>
  <c r="GD59" i="4" s="1"/>
  <c r="FW59" i="4"/>
  <c r="FX59" i="4" s="1"/>
  <c r="FM59" i="4"/>
  <c r="FN59" i="4" s="1"/>
  <c r="FG59" i="4"/>
  <c r="FH59" i="4" s="1"/>
  <c r="EW59" i="4"/>
  <c r="EX59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I155" i="4"/>
  <c r="BZ155" i="4"/>
  <c r="M18" i="4"/>
  <c r="N18" i="4" s="1"/>
  <c r="U18" i="4"/>
  <c r="V18" i="4" s="1"/>
  <c r="AC18" i="4"/>
  <c r="AD18" i="4" s="1"/>
  <c r="AG18" i="4"/>
  <c r="AH18" i="4" s="1"/>
  <c r="AK18" i="4"/>
  <c r="AL18" i="4" s="1"/>
  <c r="AO18" i="4"/>
  <c r="AP18" i="4" s="1"/>
  <c r="AS18" i="4"/>
  <c r="AT18" i="4" s="1"/>
  <c r="J20" i="4"/>
  <c r="M20" i="4"/>
  <c r="N20" i="4" s="1"/>
  <c r="Q20" i="4"/>
  <c r="R20" i="4" s="1"/>
  <c r="U20" i="4"/>
  <c r="V20" i="4" s="1"/>
  <c r="Y20" i="4"/>
  <c r="Z20" i="4" s="1"/>
  <c r="AC20" i="4"/>
  <c r="AD20" i="4" s="1"/>
  <c r="AG20" i="4"/>
  <c r="AH20" i="4" s="1"/>
  <c r="AK20" i="4"/>
  <c r="AL20" i="4" s="1"/>
  <c r="AO20" i="4"/>
  <c r="AP20" i="4" s="1"/>
  <c r="AS20" i="4"/>
  <c r="AT20" i="4" s="1"/>
  <c r="J24" i="4"/>
  <c r="M24" i="4"/>
  <c r="N24" i="4" s="1"/>
  <c r="Q24" i="4"/>
  <c r="R24" i="4" s="1"/>
  <c r="U24" i="4"/>
  <c r="V24" i="4" s="1"/>
  <c r="Y24" i="4"/>
  <c r="Z24" i="4" s="1"/>
  <c r="AC24" i="4"/>
  <c r="AD24" i="4" s="1"/>
  <c r="AG24" i="4"/>
  <c r="AH24" i="4" s="1"/>
  <c r="AK24" i="4"/>
  <c r="AL24" i="4" s="1"/>
  <c r="AO24" i="4"/>
  <c r="AP24" i="4" s="1"/>
  <c r="AS24" i="4"/>
  <c r="AT24" i="4" s="1"/>
  <c r="ET24" i="4"/>
  <c r="EW24" i="4"/>
  <c r="EX24" i="4" s="1"/>
  <c r="FA24" i="4"/>
  <c r="FB24" i="4" s="1"/>
  <c r="FE24" i="4"/>
  <c r="FF24" i="4" s="1"/>
  <c r="FI24" i="4"/>
  <c r="FJ24" i="4" s="1"/>
  <c r="FM24" i="4"/>
  <c r="FN24" i="4" s="1"/>
  <c r="FQ24" i="4"/>
  <c r="FR24" i="4" s="1"/>
  <c r="FU24" i="4"/>
  <c r="FV24" i="4" s="1"/>
  <c r="FY24" i="4"/>
  <c r="FZ24" i="4" s="1"/>
  <c r="GC24" i="4"/>
  <c r="GD24" i="4" s="1"/>
  <c r="J26" i="4"/>
  <c r="M26" i="4"/>
  <c r="N26" i="4" s="1"/>
  <c r="Q26" i="4"/>
  <c r="R26" i="4" s="1"/>
  <c r="U26" i="4"/>
  <c r="V26" i="4" s="1"/>
  <c r="Y26" i="4"/>
  <c r="Z26" i="4" s="1"/>
  <c r="AC26" i="4"/>
  <c r="AD26" i="4" s="1"/>
  <c r="AG26" i="4"/>
  <c r="AH26" i="4" s="1"/>
  <c r="AK26" i="4"/>
  <c r="AL26" i="4" s="1"/>
  <c r="AO26" i="4"/>
  <c r="AP26" i="4" s="1"/>
  <c r="AS26" i="4"/>
  <c r="AT26" i="4" s="1"/>
  <c r="J34" i="4"/>
  <c r="M34" i="4"/>
  <c r="N34" i="4" s="1"/>
  <c r="Q34" i="4"/>
  <c r="R34" i="4" s="1"/>
  <c r="U34" i="4"/>
  <c r="V34" i="4" s="1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CC34" i="4"/>
  <c r="CD34" i="4" s="1"/>
  <c r="CG34" i="4"/>
  <c r="CH34" i="4" s="1"/>
  <c r="CK34" i="4"/>
  <c r="CL34" i="4" s="1"/>
  <c r="CO34" i="4"/>
  <c r="CP34" i="4" s="1"/>
  <c r="CS34" i="4"/>
  <c r="CT34" i="4" s="1"/>
  <c r="CW34" i="4"/>
  <c r="CX34" i="4" s="1"/>
  <c r="DA34" i="4"/>
  <c r="DB34" i="4" s="1"/>
  <c r="DE34" i="4"/>
  <c r="DF34" i="4" s="1"/>
  <c r="DI34" i="4"/>
  <c r="DJ34" i="4" s="1"/>
  <c r="FQ34" i="4"/>
  <c r="FR34" i="4" s="1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CC35" i="4"/>
  <c r="CD35" i="4" s="1"/>
  <c r="CS35" i="4"/>
  <c r="CT35" i="4" s="1"/>
  <c r="DI35" i="4"/>
  <c r="DJ35" i="4" s="1"/>
  <c r="K37" i="4"/>
  <c r="L37" i="4" s="1"/>
  <c r="AA37" i="4"/>
  <c r="AB37" i="4" s="1"/>
  <c r="AQ37" i="4"/>
  <c r="AR37" i="4" s="1"/>
  <c r="ET38" i="4"/>
  <c r="FI38" i="4"/>
  <c r="FJ38" i="4" s="1"/>
  <c r="FY38" i="4"/>
  <c r="FZ38" i="4" s="1"/>
  <c r="GG39" i="4"/>
  <c r="GH39" i="4" s="1"/>
  <c r="GC39" i="4"/>
  <c r="GD39" i="4" s="1"/>
  <c r="FY39" i="4"/>
  <c r="FZ39" i="4" s="1"/>
  <c r="FU39" i="4"/>
  <c r="FV39" i="4" s="1"/>
  <c r="FQ39" i="4"/>
  <c r="FR39" i="4" s="1"/>
  <c r="FM39" i="4"/>
  <c r="FN39" i="4" s="1"/>
  <c r="FI39" i="4"/>
  <c r="FJ39" i="4" s="1"/>
  <c r="FE39" i="4"/>
  <c r="FF39" i="4" s="1"/>
  <c r="FA39" i="4"/>
  <c r="FB39" i="4" s="1"/>
  <c r="EW39" i="4"/>
  <c r="EX39" i="4" s="1"/>
  <c r="ET39" i="4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DO45" i="4"/>
  <c r="DP45" i="4" s="1"/>
  <c r="DK45" i="4"/>
  <c r="DL45" i="4" s="1"/>
  <c r="DG45" i="4"/>
  <c r="DH45" i="4" s="1"/>
  <c r="DC45" i="4"/>
  <c r="DD45" i="4" s="1"/>
  <c r="CY45" i="4"/>
  <c r="CZ45" i="4" s="1"/>
  <c r="CU45" i="4"/>
  <c r="CV45" i="4" s="1"/>
  <c r="CQ45" i="4"/>
  <c r="CR45" i="4" s="1"/>
  <c r="CM45" i="4"/>
  <c r="CN45" i="4" s="1"/>
  <c r="CI45" i="4"/>
  <c r="CJ45" i="4" s="1"/>
  <c r="CE45" i="4"/>
  <c r="CF45" i="4" s="1"/>
  <c r="CB45" i="4"/>
  <c r="DQ45" i="4"/>
  <c r="DR45" i="4" s="1"/>
  <c r="DM45" i="4"/>
  <c r="DN45" i="4" s="1"/>
  <c r="DI45" i="4"/>
  <c r="DJ45" i="4" s="1"/>
  <c r="DE45" i="4"/>
  <c r="DF45" i="4" s="1"/>
  <c r="DA45" i="4"/>
  <c r="DB45" i="4" s="1"/>
  <c r="CW45" i="4"/>
  <c r="CX45" i="4" s="1"/>
  <c r="CS45" i="4"/>
  <c r="CT45" i="4" s="1"/>
  <c r="CO45" i="4"/>
  <c r="CP45" i="4" s="1"/>
  <c r="CK45" i="4"/>
  <c r="CL45" i="4" s="1"/>
  <c r="CG45" i="4"/>
  <c r="CH45" i="4" s="1"/>
  <c r="CC45" i="4"/>
  <c r="CD45" i="4" s="1"/>
  <c r="Q46" i="4"/>
  <c r="R46" i="4" s="1"/>
  <c r="AG46" i="4"/>
  <c r="AH46" i="4" s="1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I52" i="4"/>
  <c r="BZ52" i="4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Q53" i="4"/>
  <c r="DR53" i="4" s="1"/>
  <c r="DM53" i="4"/>
  <c r="DN53" i="4" s="1"/>
  <c r="DI53" i="4"/>
  <c r="DJ53" i="4" s="1"/>
  <c r="DE53" i="4"/>
  <c r="DF53" i="4" s="1"/>
  <c r="DA53" i="4"/>
  <c r="DB53" i="4" s="1"/>
  <c r="CW53" i="4"/>
  <c r="CX53" i="4" s="1"/>
  <c r="CS53" i="4"/>
  <c r="CT53" i="4" s="1"/>
  <c r="CO53" i="4"/>
  <c r="CP53" i="4" s="1"/>
  <c r="CK53" i="4"/>
  <c r="CL53" i="4" s="1"/>
  <c r="CG53" i="4"/>
  <c r="CH53" i="4" s="1"/>
  <c r="CC53" i="4"/>
  <c r="CD53" i="4" s="1"/>
  <c r="FC58" i="4"/>
  <c r="FD58" i="4" s="1"/>
  <c r="FC59" i="4"/>
  <c r="FD59" i="4" s="1"/>
  <c r="FY59" i="4"/>
  <c r="FZ59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I70" i="4"/>
  <c r="GJ70" i="4" s="1"/>
  <c r="GE70" i="4"/>
  <c r="GF70" i="4" s="1"/>
  <c r="GA70" i="4"/>
  <c r="GB70" i="4" s="1"/>
  <c r="FW70" i="4"/>
  <c r="FX70" i="4" s="1"/>
  <c r="FS70" i="4"/>
  <c r="FT70" i="4" s="1"/>
  <c r="FO70" i="4"/>
  <c r="FP70" i="4" s="1"/>
  <c r="FK70" i="4"/>
  <c r="FL70" i="4" s="1"/>
  <c r="FG70" i="4"/>
  <c r="FH70" i="4" s="1"/>
  <c r="FC70" i="4"/>
  <c r="FD70" i="4" s="1"/>
  <c r="EY70" i="4"/>
  <c r="EZ70" i="4" s="1"/>
  <c r="EU70" i="4"/>
  <c r="EV70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I74" i="4"/>
  <c r="GJ74" i="4" s="1"/>
  <c r="GE74" i="4"/>
  <c r="GF74" i="4" s="1"/>
  <c r="GA74" i="4"/>
  <c r="GB74" i="4" s="1"/>
  <c r="FW74" i="4"/>
  <c r="FX74" i="4" s="1"/>
  <c r="FS74" i="4"/>
  <c r="FT74" i="4" s="1"/>
  <c r="FO74" i="4"/>
  <c r="FP74" i="4" s="1"/>
  <c r="FK74" i="4"/>
  <c r="FL74" i="4" s="1"/>
  <c r="FG74" i="4"/>
  <c r="FH74" i="4" s="1"/>
  <c r="FC74" i="4"/>
  <c r="FD74" i="4" s="1"/>
  <c r="EY74" i="4"/>
  <c r="EZ74" i="4" s="1"/>
  <c r="EU74" i="4"/>
  <c r="EV74" i="4" s="1"/>
  <c r="FO34" i="4"/>
  <c r="FP34" i="4" s="1"/>
  <c r="AU37" i="4"/>
  <c r="AV37" i="4" s="1"/>
  <c r="FU38" i="4"/>
  <c r="FV38" i="4" s="1"/>
  <c r="I40" i="4"/>
  <c r="BZ40" i="4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GC73" i="4"/>
  <c r="GD73" i="4" s="1"/>
  <c r="FM73" i="4"/>
  <c r="FN73" i="4" s="1"/>
  <c r="EW73" i="4"/>
  <c r="EX73" i="4" s="1"/>
  <c r="FY73" i="4"/>
  <c r="FZ73" i="4" s="1"/>
  <c r="FI73" i="4"/>
  <c r="FJ73" i="4" s="1"/>
  <c r="ET73" i="4"/>
  <c r="GG73" i="4"/>
  <c r="GH73" i="4" s="1"/>
  <c r="FQ73" i="4"/>
  <c r="FR73" i="4" s="1"/>
  <c r="FA73" i="4"/>
  <c r="FB73" i="4" s="1"/>
  <c r="ER83" i="4"/>
  <c r="ES83" i="4" s="1"/>
  <c r="CA83" i="4"/>
  <c r="FW34" i="4"/>
  <c r="FX34" i="4" s="1"/>
  <c r="AK35" i="4"/>
  <c r="AL35" i="4" s="1"/>
  <c r="CO35" i="4"/>
  <c r="CP35" i="4" s="1"/>
  <c r="DE35" i="4"/>
  <c r="DF35" i="4" s="1"/>
  <c r="AK36" i="4"/>
  <c r="AL36" i="4" s="1"/>
  <c r="W37" i="4"/>
  <c r="X37" i="4" s="1"/>
  <c r="AM37" i="4"/>
  <c r="AN37" i="4" s="1"/>
  <c r="EW38" i="4"/>
  <c r="EX38" i="4" s="1"/>
  <c r="FM38" i="4"/>
  <c r="FN38" i="4" s="1"/>
  <c r="GC38" i="4"/>
  <c r="GD38" i="4" s="1"/>
  <c r="AY38" i="4"/>
  <c r="AZ38" i="4" s="1"/>
  <c r="AU38" i="4"/>
  <c r="AV38" i="4" s="1"/>
  <c r="AQ38" i="4"/>
  <c r="AR38" i="4" s="1"/>
  <c r="AM38" i="4"/>
  <c r="AN38" i="4" s="1"/>
  <c r="AI38" i="4"/>
  <c r="AJ38" i="4" s="1"/>
  <c r="AE38" i="4"/>
  <c r="AF38" i="4" s="1"/>
  <c r="AA38" i="4"/>
  <c r="AB38" i="4" s="1"/>
  <c r="W38" i="4"/>
  <c r="X38" i="4" s="1"/>
  <c r="S38" i="4"/>
  <c r="T38" i="4" s="1"/>
  <c r="O38" i="4"/>
  <c r="P38" i="4" s="1"/>
  <c r="K38" i="4"/>
  <c r="L38" i="4" s="1"/>
  <c r="CA41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U46" i="4"/>
  <c r="V46" i="4" s="1"/>
  <c r="AK46" i="4"/>
  <c r="AL46" i="4" s="1"/>
  <c r="I48" i="4"/>
  <c r="BZ48" i="4"/>
  <c r="CA49" i="4"/>
  <c r="FI50" i="4"/>
  <c r="FJ50" i="4" s="1"/>
  <c r="FY50" i="4"/>
  <c r="FZ50" i="4" s="1"/>
  <c r="DO50" i="4"/>
  <c r="DP50" i="4" s="1"/>
  <c r="DK50" i="4"/>
  <c r="DL50" i="4" s="1"/>
  <c r="DG50" i="4"/>
  <c r="DH50" i="4" s="1"/>
  <c r="DC50" i="4"/>
  <c r="DD50" i="4" s="1"/>
  <c r="CY50" i="4"/>
  <c r="CZ50" i="4" s="1"/>
  <c r="CU50" i="4"/>
  <c r="CV50" i="4" s="1"/>
  <c r="CQ50" i="4"/>
  <c r="CR50" i="4" s="1"/>
  <c r="CM50" i="4"/>
  <c r="CN50" i="4" s="1"/>
  <c r="CI50" i="4"/>
  <c r="CJ50" i="4" s="1"/>
  <c r="CE50" i="4"/>
  <c r="CF50" i="4" s="1"/>
  <c r="CB50" i="4"/>
  <c r="AW57" i="4"/>
  <c r="AX57" i="4" s="1"/>
  <c r="AM57" i="4"/>
  <c r="AN57" i="4" s="1"/>
  <c r="AG57" i="4"/>
  <c r="AH57" i="4" s="1"/>
  <c r="W57" i="4"/>
  <c r="X57" i="4" s="1"/>
  <c r="AQ57" i="4"/>
  <c r="AR57" i="4" s="1"/>
  <c r="AK57" i="4"/>
  <c r="AL57" i="4" s="1"/>
  <c r="AA57" i="4"/>
  <c r="AB57" i="4" s="1"/>
  <c r="U57" i="4"/>
  <c r="V57" i="4" s="1"/>
  <c r="Q57" i="4"/>
  <c r="R57" i="4" s="1"/>
  <c r="M57" i="4"/>
  <c r="N57" i="4" s="1"/>
  <c r="J57" i="4"/>
  <c r="AY57" i="4"/>
  <c r="AZ57" i="4" s="1"/>
  <c r="AS57" i="4"/>
  <c r="AT57" i="4" s="1"/>
  <c r="AI57" i="4"/>
  <c r="AJ57" i="4" s="1"/>
  <c r="AC57" i="4"/>
  <c r="AD57" i="4" s="1"/>
  <c r="S57" i="4"/>
  <c r="T57" i="4" s="1"/>
  <c r="O57" i="4"/>
  <c r="P57" i="4" s="1"/>
  <c r="K57" i="4"/>
  <c r="L57" i="4" s="1"/>
  <c r="FI59" i="4"/>
  <c r="FJ59" i="4" s="1"/>
  <c r="DO64" i="4"/>
  <c r="DP64" i="4" s="1"/>
  <c r="DK64" i="4"/>
  <c r="DL64" i="4" s="1"/>
  <c r="DG64" i="4"/>
  <c r="DH64" i="4" s="1"/>
  <c r="DC64" i="4"/>
  <c r="DD64" i="4" s="1"/>
  <c r="CY64" i="4"/>
  <c r="CZ64" i="4" s="1"/>
  <c r="CU64" i="4"/>
  <c r="CV64" i="4" s="1"/>
  <c r="CQ64" i="4"/>
  <c r="CR64" i="4" s="1"/>
  <c r="CM64" i="4"/>
  <c r="CN64" i="4" s="1"/>
  <c r="CI64" i="4"/>
  <c r="CJ64" i="4" s="1"/>
  <c r="CE64" i="4"/>
  <c r="CF64" i="4" s="1"/>
  <c r="CB64" i="4"/>
  <c r="DQ64" i="4"/>
  <c r="DR64" i="4" s="1"/>
  <c r="DM64" i="4"/>
  <c r="DN64" i="4" s="1"/>
  <c r="DI64" i="4"/>
  <c r="DJ64" i="4" s="1"/>
  <c r="DE64" i="4"/>
  <c r="DF64" i="4" s="1"/>
  <c r="DA64" i="4"/>
  <c r="DB64" i="4" s="1"/>
  <c r="CW64" i="4"/>
  <c r="CX64" i="4" s="1"/>
  <c r="CS64" i="4"/>
  <c r="CT64" i="4" s="1"/>
  <c r="CO64" i="4"/>
  <c r="CP64" i="4" s="1"/>
  <c r="CK64" i="4"/>
  <c r="CL64" i="4" s="1"/>
  <c r="CG64" i="4"/>
  <c r="CH64" i="4" s="1"/>
  <c r="CC64" i="4"/>
  <c r="CD64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FG69" i="4"/>
  <c r="FH69" i="4" s="1"/>
  <c r="FC69" i="4"/>
  <c r="FD69" i="4" s="1"/>
  <c r="EY69" i="4"/>
  <c r="EZ69" i="4" s="1"/>
  <c r="EU69" i="4"/>
  <c r="EV69" i="4" s="1"/>
  <c r="GC69" i="4"/>
  <c r="GD69" i="4" s="1"/>
  <c r="FM69" i="4"/>
  <c r="FN69" i="4" s="1"/>
  <c r="EW69" i="4"/>
  <c r="EX69" i="4" s="1"/>
  <c r="FY69" i="4"/>
  <c r="FZ69" i="4" s="1"/>
  <c r="FI69" i="4"/>
  <c r="FJ69" i="4" s="1"/>
  <c r="ET69" i="4"/>
  <c r="GG69" i="4"/>
  <c r="GH69" i="4" s="1"/>
  <c r="FQ69" i="4"/>
  <c r="FR69" i="4" s="1"/>
  <c r="FA69" i="4"/>
  <c r="FB69" i="4" s="1"/>
  <c r="FE73" i="4"/>
  <c r="FF73" i="4" s="1"/>
  <c r="DM96" i="4"/>
  <c r="DN96" i="4" s="1"/>
  <c r="DA96" i="4"/>
  <c r="DB96" i="4" s="1"/>
  <c r="CK96" i="4"/>
  <c r="CL96" i="4" s="1"/>
  <c r="DG96" i="4"/>
  <c r="DH96" i="4" s="1"/>
  <c r="CM96" i="4"/>
  <c r="CN96" i="4" s="1"/>
  <c r="CY96" i="4"/>
  <c r="CZ96" i="4" s="1"/>
  <c r="CB39" i="4"/>
  <c r="CE39" i="4"/>
  <c r="CF39" i="4" s="1"/>
  <c r="CI39" i="4"/>
  <c r="CJ39" i="4" s="1"/>
  <c r="CM39" i="4"/>
  <c r="CN39" i="4" s="1"/>
  <c r="CQ39" i="4"/>
  <c r="CR39" i="4" s="1"/>
  <c r="CU39" i="4"/>
  <c r="CV39" i="4" s="1"/>
  <c r="CY39" i="4"/>
  <c r="CZ39" i="4" s="1"/>
  <c r="DC39" i="4"/>
  <c r="DD39" i="4" s="1"/>
  <c r="DG39" i="4"/>
  <c r="DH39" i="4" s="1"/>
  <c r="DK39" i="4"/>
  <c r="DL39" i="4" s="1"/>
  <c r="J41" i="4"/>
  <c r="M41" i="4"/>
  <c r="N41" i="4" s="1"/>
  <c r="Q41" i="4"/>
  <c r="R41" i="4" s="1"/>
  <c r="U41" i="4"/>
  <c r="V41" i="4" s="1"/>
  <c r="Y41" i="4"/>
  <c r="Z41" i="4" s="1"/>
  <c r="AC41" i="4"/>
  <c r="AD41" i="4" s="1"/>
  <c r="AG41" i="4"/>
  <c r="AH41" i="4" s="1"/>
  <c r="AK41" i="4"/>
  <c r="AL41" i="4" s="1"/>
  <c r="AO41" i="4"/>
  <c r="AP41" i="4" s="1"/>
  <c r="AS41" i="4"/>
  <c r="AT41" i="4" s="1"/>
  <c r="CB43" i="4"/>
  <c r="CE43" i="4"/>
  <c r="CF43" i="4" s="1"/>
  <c r="CI43" i="4"/>
  <c r="CJ43" i="4" s="1"/>
  <c r="CM43" i="4"/>
  <c r="CN43" i="4" s="1"/>
  <c r="CQ43" i="4"/>
  <c r="CR43" i="4" s="1"/>
  <c r="CU43" i="4"/>
  <c r="CV43" i="4" s="1"/>
  <c r="CY43" i="4"/>
  <c r="CZ43" i="4" s="1"/>
  <c r="DC43" i="4"/>
  <c r="DD43" i="4" s="1"/>
  <c r="DG43" i="4"/>
  <c r="DH43" i="4" s="1"/>
  <c r="DK43" i="4"/>
  <c r="DL43" i="4" s="1"/>
  <c r="J45" i="4"/>
  <c r="M45" i="4"/>
  <c r="N45" i="4" s="1"/>
  <c r="Q45" i="4"/>
  <c r="R45" i="4" s="1"/>
  <c r="U45" i="4"/>
  <c r="V45" i="4" s="1"/>
  <c r="Y45" i="4"/>
  <c r="Z45" i="4" s="1"/>
  <c r="AC45" i="4"/>
  <c r="AD45" i="4" s="1"/>
  <c r="AG45" i="4"/>
  <c r="AH45" i="4" s="1"/>
  <c r="AK45" i="4"/>
  <c r="AL45" i="4" s="1"/>
  <c r="AO45" i="4"/>
  <c r="AP45" i="4" s="1"/>
  <c r="AS45" i="4"/>
  <c r="AT45" i="4" s="1"/>
  <c r="CB47" i="4"/>
  <c r="CE47" i="4"/>
  <c r="CF47" i="4" s="1"/>
  <c r="CI47" i="4"/>
  <c r="CJ47" i="4" s="1"/>
  <c r="CM47" i="4"/>
  <c r="CN47" i="4" s="1"/>
  <c r="CQ47" i="4"/>
  <c r="CR47" i="4" s="1"/>
  <c r="CU47" i="4"/>
  <c r="CV47" i="4" s="1"/>
  <c r="CY47" i="4"/>
  <c r="CZ47" i="4" s="1"/>
  <c r="DC47" i="4"/>
  <c r="DD47" i="4" s="1"/>
  <c r="DG47" i="4"/>
  <c r="DH47" i="4" s="1"/>
  <c r="DK47" i="4"/>
  <c r="DL47" i="4" s="1"/>
  <c r="J49" i="4"/>
  <c r="M49" i="4"/>
  <c r="N49" i="4" s="1"/>
  <c r="Q49" i="4"/>
  <c r="R49" i="4" s="1"/>
  <c r="U49" i="4"/>
  <c r="V49" i="4" s="1"/>
  <c r="Y49" i="4"/>
  <c r="Z49" i="4" s="1"/>
  <c r="AC49" i="4"/>
  <c r="AD49" i="4" s="1"/>
  <c r="AG49" i="4"/>
  <c r="AH49" i="4" s="1"/>
  <c r="AK49" i="4"/>
  <c r="AL49" i="4" s="1"/>
  <c r="AO49" i="4"/>
  <c r="AP49" i="4" s="1"/>
  <c r="AS49" i="4"/>
  <c r="AT49" i="4" s="1"/>
  <c r="AW49" i="4"/>
  <c r="AX49" i="4" s="1"/>
  <c r="I50" i="4"/>
  <c r="CB51" i="4"/>
  <c r="CE51" i="4"/>
  <c r="CF51" i="4" s="1"/>
  <c r="CI51" i="4"/>
  <c r="CJ51" i="4" s="1"/>
  <c r="CM51" i="4"/>
  <c r="CN51" i="4" s="1"/>
  <c r="CQ51" i="4"/>
  <c r="CR51" i="4" s="1"/>
  <c r="CU51" i="4"/>
  <c r="CV51" i="4" s="1"/>
  <c r="CY51" i="4"/>
  <c r="CZ51" i="4" s="1"/>
  <c r="DC51" i="4"/>
  <c r="DD51" i="4" s="1"/>
  <c r="DG51" i="4"/>
  <c r="DH51" i="4" s="1"/>
  <c r="DK51" i="4"/>
  <c r="DL51" i="4" s="1"/>
  <c r="DO51" i="4"/>
  <c r="DP51" i="4" s="1"/>
  <c r="J53" i="4"/>
  <c r="M53" i="4"/>
  <c r="N53" i="4" s="1"/>
  <c r="Q53" i="4"/>
  <c r="R53" i="4" s="1"/>
  <c r="U53" i="4"/>
  <c r="V53" i="4" s="1"/>
  <c r="Y53" i="4"/>
  <c r="Z53" i="4" s="1"/>
  <c r="AC53" i="4"/>
  <c r="AD53" i="4" s="1"/>
  <c r="AG53" i="4"/>
  <c r="AH53" i="4" s="1"/>
  <c r="AK53" i="4"/>
  <c r="AL53" i="4" s="1"/>
  <c r="AO53" i="4"/>
  <c r="AP53" i="4" s="1"/>
  <c r="AS53" i="4"/>
  <c r="AT53" i="4" s="1"/>
  <c r="AW53" i="4"/>
  <c r="AX53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CM58" i="4"/>
  <c r="CN58" i="4" s="1"/>
  <c r="DC58" i="4"/>
  <c r="DD58" i="4" s="1"/>
  <c r="CI59" i="4"/>
  <c r="CJ59" i="4" s="1"/>
  <c r="CO59" i="4"/>
  <c r="CP59" i="4" s="1"/>
  <c r="CY59" i="4"/>
  <c r="CZ59" i="4" s="1"/>
  <c r="DE59" i="4"/>
  <c r="DF59" i="4" s="1"/>
  <c r="U60" i="4"/>
  <c r="V60" i="4" s="1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GI60" i="4"/>
  <c r="GJ60" i="4" s="1"/>
  <c r="GE60" i="4"/>
  <c r="GF60" i="4" s="1"/>
  <c r="GA60" i="4"/>
  <c r="GB60" i="4" s="1"/>
  <c r="FW60" i="4"/>
  <c r="FX60" i="4" s="1"/>
  <c r="FS60" i="4"/>
  <c r="FT60" i="4" s="1"/>
  <c r="FO60" i="4"/>
  <c r="FP60" i="4" s="1"/>
  <c r="FK60" i="4"/>
  <c r="FL60" i="4" s="1"/>
  <c r="FG60" i="4"/>
  <c r="FH60" i="4" s="1"/>
  <c r="FC60" i="4"/>
  <c r="FD60" i="4" s="1"/>
  <c r="EY60" i="4"/>
  <c r="EZ60" i="4" s="1"/>
  <c r="EU60" i="4"/>
  <c r="EV60" i="4" s="1"/>
  <c r="M65" i="4"/>
  <c r="N65" i="4" s="1"/>
  <c r="AC65" i="4"/>
  <c r="AD65" i="4" s="1"/>
  <c r="GI65" i="4"/>
  <c r="GJ65" i="4" s="1"/>
  <c r="GE65" i="4"/>
  <c r="GF65" i="4" s="1"/>
  <c r="GA65" i="4"/>
  <c r="GB65" i="4" s="1"/>
  <c r="FW65" i="4"/>
  <c r="FX65" i="4" s="1"/>
  <c r="FS65" i="4"/>
  <c r="FT65" i="4" s="1"/>
  <c r="FO65" i="4"/>
  <c r="FP65" i="4" s="1"/>
  <c r="FK65" i="4"/>
  <c r="FL65" i="4" s="1"/>
  <c r="FG65" i="4"/>
  <c r="FH65" i="4" s="1"/>
  <c r="FC65" i="4"/>
  <c r="FD65" i="4" s="1"/>
  <c r="EY65" i="4"/>
  <c r="EZ65" i="4" s="1"/>
  <c r="EU65" i="4"/>
  <c r="EV65" i="4" s="1"/>
  <c r="I67" i="4"/>
  <c r="BZ67" i="4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GG68" i="4"/>
  <c r="GH68" i="4" s="1"/>
  <c r="GC68" i="4"/>
  <c r="GD68" i="4" s="1"/>
  <c r="FY68" i="4"/>
  <c r="FZ68" i="4" s="1"/>
  <c r="FU68" i="4"/>
  <c r="FV68" i="4" s="1"/>
  <c r="FQ68" i="4"/>
  <c r="FR68" i="4" s="1"/>
  <c r="FM68" i="4"/>
  <c r="FN68" i="4" s="1"/>
  <c r="FI68" i="4"/>
  <c r="FJ68" i="4" s="1"/>
  <c r="FE68" i="4"/>
  <c r="FF68" i="4" s="1"/>
  <c r="FA68" i="4"/>
  <c r="FB68" i="4" s="1"/>
  <c r="EW68" i="4"/>
  <c r="EX68" i="4" s="1"/>
  <c r="ET68" i="4"/>
  <c r="CO69" i="4"/>
  <c r="CP69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G72" i="4"/>
  <c r="GH72" i="4" s="1"/>
  <c r="GC72" i="4"/>
  <c r="GD72" i="4" s="1"/>
  <c r="FY72" i="4"/>
  <c r="FZ72" i="4" s="1"/>
  <c r="FU72" i="4"/>
  <c r="FV72" i="4" s="1"/>
  <c r="FQ72" i="4"/>
  <c r="FR72" i="4" s="1"/>
  <c r="FM72" i="4"/>
  <c r="FN72" i="4" s="1"/>
  <c r="FI72" i="4"/>
  <c r="FJ72" i="4" s="1"/>
  <c r="FE72" i="4"/>
  <c r="FF72" i="4" s="1"/>
  <c r="FA72" i="4"/>
  <c r="FB72" i="4" s="1"/>
  <c r="EW72" i="4"/>
  <c r="EX72" i="4" s="1"/>
  <c r="ET72" i="4"/>
  <c r="CO73" i="4"/>
  <c r="CP73" i="4" s="1"/>
  <c r="I75" i="4"/>
  <c r="BZ75" i="4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GG76" i="4"/>
  <c r="GH76" i="4" s="1"/>
  <c r="GC76" i="4"/>
  <c r="GD76" i="4" s="1"/>
  <c r="FY76" i="4"/>
  <c r="FZ76" i="4" s="1"/>
  <c r="FU76" i="4"/>
  <c r="FV76" i="4" s="1"/>
  <c r="FQ76" i="4"/>
  <c r="FR76" i="4" s="1"/>
  <c r="FM76" i="4"/>
  <c r="FN76" i="4" s="1"/>
  <c r="FI76" i="4"/>
  <c r="FJ76" i="4" s="1"/>
  <c r="FE76" i="4"/>
  <c r="FF76" i="4" s="1"/>
  <c r="FA76" i="4"/>
  <c r="FB76" i="4" s="1"/>
  <c r="EW76" i="4"/>
  <c r="EX76" i="4" s="1"/>
  <c r="ET76" i="4"/>
  <c r="CO77" i="4"/>
  <c r="CP77" i="4" s="1"/>
  <c r="FM78" i="4"/>
  <c r="FN78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CI93" i="4"/>
  <c r="CJ93" i="4" s="1"/>
  <c r="CE93" i="4"/>
  <c r="CF93" i="4" s="1"/>
  <c r="CB93" i="4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AU49" i="4"/>
  <c r="AV49" i="4" s="1"/>
  <c r="DM51" i="4"/>
  <c r="DN51" i="4" s="1"/>
  <c r="AU53" i="4"/>
  <c r="AV53" i="4" s="1"/>
  <c r="AW60" i="4"/>
  <c r="AX60" i="4" s="1"/>
  <c r="AS60" i="4"/>
  <c r="AT60" i="4" s="1"/>
  <c r="AO60" i="4"/>
  <c r="AP60" i="4" s="1"/>
  <c r="AK60" i="4"/>
  <c r="AL60" i="4" s="1"/>
  <c r="AG60" i="4"/>
  <c r="AH60" i="4" s="1"/>
  <c r="AY60" i="4"/>
  <c r="AZ60" i="4" s="1"/>
  <c r="AU60" i="4"/>
  <c r="AV60" i="4" s="1"/>
  <c r="AQ60" i="4"/>
  <c r="AR60" i="4" s="1"/>
  <c r="AM60" i="4"/>
  <c r="AN60" i="4" s="1"/>
  <c r="AI60" i="4"/>
  <c r="AJ60" i="4" s="1"/>
  <c r="AE60" i="4"/>
  <c r="AF60" i="4" s="1"/>
  <c r="AA60" i="4"/>
  <c r="AB60" i="4" s="1"/>
  <c r="W60" i="4"/>
  <c r="X60" i="4" s="1"/>
  <c r="S60" i="4"/>
  <c r="T60" i="4" s="1"/>
  <c r="O60" i="4"/>
  <c r="P60" i="4" s="1"/>
  <c r="K60" i="4"/>
  <c r="L60" i="4" s="1"/>
  <c r="AY65" i="4"/>
  <c r="AZ65" i="4" s="1"/>
  <c r="AU65" i="4"/>
  <c r="AV65" i="4" s="1"/>
  <c r="AQ65" i="4"/>
  <c r="AR65" i="4" s="1"/>
  <c r="AM65" i="4"/>
  <c r="AN65" i="4" s="1"/>
  <c r="AI65" i="4"/>
  <c r="AJ65" i="4" s="1"/>
  <c r="AE65" i="4"/>
  <c r="AF65" i="4" s="1"/>
  <c r="AA65" i="4"/>
  <c r="AB65" i="4" s="1"/>
  <c r="W65" i="4"/>
  <c r="X65" i="4" s="1"/>
  <c r="S65" i="4"/>
  <c r="T65" i="4" s="1"/>
  <c r="O65" i="4"/>
  <c r="P65" i="4" s="1"/>
  <c r="K65" i="4"/>
  <c r="L65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DQ68" i="4"/>
  <c r="DR68" i="4" s="1"/>
  <c r="DM68" i="4"/>
  <c r="DN68" i="4" s="1"/>
  <c r="DI68" i="4"/>
  <c r="DJ68" i="4" s="1"/>
  <c r="DE68" i="4"/>
  <c r="DF68" i="4" s="1"/>
  <c r="DA68" i="4"/>
  <c r="DB68" i="4" s="1"/>
  <c r="CW68" i="4"/>
  <c r="CX68" i="4" s="1"/>
  <c r="CS68" i="4"/>
  <c r="CT68" i="4" s="1"/>
  <c r="CO68" i="4"/>
  <c r="CP68" i="4" s="1"/>
  <c r="CK68" i="4"/>
  <c r="CL68" i="4" s="1"/>
  <c r="CG68" i="4"/>
  <c r="CH68" i="4" s="1"/>
  <c r="CC68" i="4"/>
  <c r="CD68" i="4" s="1"/>
  <c r="DO69" i="4"/>
  <c r="DP69" i="4" s="1"/>
  <c r="DK69" i="4"/>
  <c r="DL69" i="4" s="1"/>
  <c r="DG69" i="4"/>
  <c r="DH69" i="4" s="1"/>
  <c r="DC69" i="4"/>
  <c r="DD69" i="4" s="1"/>
  <c r="CY69" i="4"/>
  <c r="CZ69" i="4" s="1"/>
  <c r="CU69" i="4"/>
  <c r="CV69" i="4" s="1"/>
  <c r="CQ69" i="4"/>
  <c r="CR69" i="4" s="1"/>
  <c r="CM69" i="4"/>
  <c r="CN69" i="4" s="1"/>
  <c r="CI69" i="4"/>
  <c r="CJ69" i="4" s="1"/>
  <c r="CE69" i="4"/>
  <c r="CF69" i="4" s="1"/>
  <c r="CB69" i="4"/>
  <c r="I71" i="4"/>
  <c r="BZ71" i="4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DO73" i="4"/>
  <c r="DP73" i="4" s="1"/>
  <c r="DK73" i="4"/>
  <c r="DL73" i="4" s="1"/>
  <c r="DG73" i="4"/>
  <c r="DH73" i="4" s="1"/>
  <c r="DC73" i="4"/>
  <c r="DD73" i="4" s="1"/>
  <c r="CY73" i="4"/>
  <c r="CZ73" i="4" s="1"/>
  <c r="CU73" i="4"/>
  <c r="CV73" i="4" s="1"/>
  <c r="CQ73" i="4"/>
  <c r="CR73" i="4" s="1"/>
  <c r="CM73" i="4"/>
  <c r="CN73" i="4" s="1"/>
  <c r="CI73" i="4"/>
  <c r="CJ73" i="4" s="1"/>
  <c r="CE73" i="4"/>
  <c r="CF73" i="4" s="1"/>
  <c r="CB73" i="4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DQ76" i="4"/>
  <c r="DR76" i="4" s="1"/>
  <c r="DM76" i="4"/>
  <c r="DN76" i="4" s="1"/>
  <c r="DI76" i="4"/>
  <c r="DJ76" i="4" s="1"/>
  <c r="DE76" i="4"/>
  <c r="DF76" i="4" s="1"/>
  <c r="DA76" i="4"/>
  <c r="DB76" i="4" s="1"/>
  <c r="CW76" i="4"/>
  <c r="CX76" i="4" s="1"/>
  <c r="CS76" i="4"/>
  <c r="CT76" i="4" s="1"/>
  <c r="CO76" i="4"/>
  <c r="CP76" i="4" s="1"/>
  <c r="CK76" i="4"/>
  <c r="CL76" i="4" s="1"/>
  <c r="CG76" i="4"/>
  <c r="CH76" i="4" s="1"/>
  <c r="CC76" i="4"/>
  <c r="CD76" i="4" s="1"/>
  <c r="DO77" i="4"/>
  <c r="DP77" i="4" s="1"/>
  <c r="DK77" i="4"/>
  <c r="DL77" i="4" s="1"/>
  <c r="DG77" i="4"/>
  <c r="DH77" i="4" s="1"/>
  <c r="DC77" i="4"/>
  <c r="DD77" i="4" s="1"/>
  <c r="CY77" i="4"/>
  <c r="CZ77" i="4" s="1"/>
  <c r="CU77" i="4"/>
  <c r="CV77" i="4" s="1"/>
  <c r="CQ77" i="4"/>
  <c r="CR77" i="4" s="1"/>
  <c r="CM77" i="4"/>
  <c r="CN77" i="4" s="1"/>
  <c r="CI77" i="4"/>
  <c r="CJ77" i="4" s="1"/>
  <c r="CE77" i="4"/>
  <c r="CF77" i="4" s="1"/>
  <c r="CB77" i="4"/>
  <c r="EW78" i="4"/>
  <c r="EX78" i="4" s="1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GC80" i="4"/>
  <c r="GD80" i="4" s="1"/>
  <c r="FM80" i="4"/>
  <c r="FN80" i="4" s="1"/>
  <c r="EW80" i="4"/>
  <c r="EX80" i="4" s="1"/>
  <c r="FY80" i="4"/>
  <c r="FZ80" i="4" s="1"/>
  <c r="FI80" i="4"/>
  <c r="FJ80" i="4" s="1"/>
  <c r="ET80" i="4"/>
  <c r="GG80" i="4"/>
  <c r="GH80" i="4" s="1"/>
  <c r="FQ80" i="4"/>
  <c r="FR80" i="4" s="1"/>
  <c r="FA80" i="4"/>
  <c r="FB80" i="4" s="1"/>
  <c r="GI105" i="4"/>
  <c r="GJ105" i="4" s="1"/>
  <c r="GE105" i="4"/>
  <c r="GF105" i="4" s="1"/>
  <c r="GA105" i="4"/>
  <c r="GB105" i="4" s="1"/>
  <c r="FW105" i="4"/>
  <c r="FX105" i="4" s="1"/>
  <c r="FS105" i="4"/>
  <c r="FT105" i="4" s="1"/>
  <c r="FO105" i="4"/>
  <c r="FP105" i="4" s="1"/>
  <c r="FK105" i="4"/>
  <c r="FL105" i="4" s="1"/>
  <c r="FG105" i="4"/>
  <c r="FH105" i="4" s="1"/>
  <c r="FC105" i="4"/>
  <c r="FD105" i="4" s="1"/>
  <c r="EY105" i="4"/>
  <c r="EZ105" i="4" s="1"/>
  <c r="EU105" i="4"/>
  <c r="EV105" i="4" s="1"/>
  <c r="GC105" i="4"/>
  <c r="GD105" i="4" s="1"/>
  <c r="FM105" i="4"/>
  <c r="FN105" i="4" s="1"/>
  <c r="EW105" i="4"/>
  <c r="EX105" i="4" s="1"/>
  <c r="FY105" i="4"/>
  <c r="FZ105" i="4" s="1"/>
  <c r="FI105" i="4"/>
  <c r="FJ105" i="4" s="1"/>
  <c r="ET105" i="4"/>
  <c r="GG105" i="4"/>
  <c r="GH105" i="4" s="1"/>
  <c r="FQ105" i="4"/>
  <c r="FR105" i="4" s="1"/>
  <c r="FA105" i="4"/>
  <c r="FB105" i="4" s="1"/>
  <c r="FE105" i="4"/>
  <c r="FF105" i="4" s="1"/>
  <c r="FU105" i="4"/>
  <c r="FV105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CB38" i="4"/>
  <c r="CE38" i="4"/>
  <c r="CF38" i="4" s="1"/>
  <c r="CI38" i="4"/>
  <c r="CJ38" i="4" s="1"/>
  <c r="CM38" i="4"/>
  <c r="CN38" i="4" s="1"/>
  <c r="CQ38" i="4"/>
  <c r="CR38" i="4" s="1"/>
  <c r="CU38" i="4"/>
  <c r="CV38" i="4" s="1"/>
  <c r="CY38" i="4"/>
  <c r="CZ38" i="4" s="1"/>
  <c r="DC38" i="4"/>
  <c r="DD38" i="4" s="1"/>
  <c r="DG38" i="4"/>
  <c r="DH38" i="4" s="1"/>
  <c r="DK38" i="4"/>
  <c r="DL38" i="4" s="1"/>
  <c r="CI42" i="4"/>
  <c r="CJ42" i="4" s="1"/>
  <c r="CY42" i="4"/>
  <c r="CZ42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I63" i="4"/>
  <c r="BZ63" i="4"/>
  <c r="GI64" i="4"/>
  <c r="GJ64" i="4" s="1"/>
  <c r="GE64" i="4"/>
  <c r="GF64" i="4" s="1"/>
  <c r="GA64" i="4"/>
  <c r="GB64" i="4" s="1"/>
  <c r="FW64" i="4"/>
  <c r="FX64" i="4" s="1"/>
  <c r="FS64" i="4"/>
  <c r="FT64" i="4" s="1"/>
  <c r="FO64" i="4"/>
  <c r="FP64" i="4" s="1"/>
  <c r="FK64" i="4"/>
  <c r="FL64" i="4" s="1"/>
  <c r="FG64" i="4"/>
  <c r="FH64" i="4" s="1"/>
  <c r="FC64" i="4"/>
  <c r="FD64" i="4" s="1"/>
  <c r="EY64" i="4"/>
  <c r="EZ64" i="4" s="1"/>
  <c r="EU64" i="4"/>
  <c r="EV64" i="4" s="1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Y66" i="4"/>
  <c r="AZ66" i="4" s="1"/>
  <c r="AU66" i="4"/>
  <c r="AV66" i="4" s="1"/>
  <c r="AQ66" i="4"/>
  <c r="AR66" i="4" s="1"/>
  <c r="AM66" i="4"/>
  <c r="AN66" i="4" s="1"/>
  <c r="AI66" i="4"/>
  <c r="AJ66" i="4" s="1"/>
  <c r="AE66" i="4"/>
  <c r="AF66" i="4" s="1"/>
  <c r="AA66" i="4"/>
  <c r="AB66" i="4" s="1"/>
  <c r="W66" i="4"/>
  <c r="X66" i="4" s="1"/>
  <c r="S66" i="4"/>
  <c r="T66" i="4" s="1"/>
  <c r="O66" i="4"/>
  <c r="P66" i="4" s="1"/>
  <c r="K66" i="4"/>
  <c r="L66" i="4" s="1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AY70" i="4"/>
  <c r="AZ70" i="4" s="1"/>
  <c r="AU70" i="4"/>
  <c r="AV70" i="4" s="1"/>
  <c r="AQ70" i="4"/>
  <c r="AR70" i="4" s="1"/>
  <c r="AM70" i="4"/>
  <c r="AN70" i="4" s="1"/>
  <c r="AI70" i="4"/>
  <c r="AJ70" i="4" s="1"/>
  <c r="AE70" i="4"/>
  <c r="AF70" i="4" s="1"/>
  <c r="AA70" i="4"/>
  <c r="AB70" i="4" s="1"/>
  <c r="W70" i="4"/>
  <c r="X70" i="4" s="1"/>
  <c r="S70" i="4"/>
  <c r="T70" i="4" s="1"/>
  <c r="O70" i="4"/>
  <c r="P70" i="4" s="1"/>
  <c r="K70" i="4"/>
  <c r="L70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Y74" i="4"/>
  <c r="AZ74" i="4" s="1"/>
  <c r="AU74" i="4"/>
  <c r="AV74" i="4" s="1"/>
  <c r="AQ74" i="4"/>
  <c r="AR74" i="4" s="1"/>
  <c r="AM74" i="4"/>
  <c r="AN74" i="4" s="1"/>
  <c r="AI74" i="4"/>
  <c r="AJ74" i="4" s="1"/>
  <c r="AE74" i="4"/>
  <c r="AF74" i="4" s="1"/>
  <c r="AA74" i="4"/>
  <c r="AB74" i="4" s="1"/>
  <c r="W74" i="4"/>
  <c r="X74" i="4" s="1"/>
  <c r="S74" i="4"/>
  <c r="T74" i="4" s="1"/>
  <c r="O74" i="4"/>
  <c r="P74" i="4" s="1"/>
  <c r="K74" i="4"/>
  <c r="L74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Y78" i="4"/>
  <c r="AZ78" i="4" s="1"/>
  <c r="AU78" i="4"/>
  <c r="AV78" i="4" s="1"/>
  <c r="AQ78" i="4"/>
  <c r="AR78" i="4" s="1"/>
  <c r="AM78" i="4"/>
  <c r="AN78" i="4" s="1"/>
  <c r="AI78" i="4"/>
  <c r="AJ78" i="4" s="1"/>
  <c r="AE78" i="4"/>
  <c r="AF78" i="4" s="1"/>
  <c r="AA78" i="4"/>
  <c r="AB78" i="4" s="1"/>
  <c r="W78" i="4"/>
  <c r="X78" i="4" s="1"/>
  <c r="S78" i="4"/>
  <c r="T78" i="4" s="1"/>
  <c r="O78" i="4"/>
  <c r="P78" i="4" s="1"/>
  <c r="K78" i="4"/>
  <c r="L78" i="4" s="1"/>
  <c r="GG78" i="4"/>
  <c r="GH78" i="4" s="1"/>
  <c r="FY78" i="4"/>
  <c r="FZ78" i="4" s="1"/>
  <c r="FQ78" i="4"/>
  <c r="FR78" i="4" s="1"/>
  <c r="FI78" i="4"/>
  <c r="FJ78" i="4" s="1"/>
  <c r="FA78" i="4"/>
  <c r="FB78" i="4" s="1"/>
  <c r="ET78" i="4"/>
  <c r="GE78" i="4"/>
  <c r="GF78" i="4" s="1"/>
  <c r="FW78" i="4"/>
  <c r="FX78" i="4" s="1"/>
  <c r="FO78" i="4"/>
  <c r="FP78" i="4" s="1"/>
  <c r="FG78" i="4"/>
  <c r="FH78" i="4" s="1"/>
  <c r="EY78" i="4"/>
  <c r="EZ78" i="4" s="1"/>
  <c r="GI78" i="4"/>
  <c r="GJ78" i="4" s="1"/>
  <c r="GA78" i="4"/>
  <c r="GB78" i="4" s="1"/>
  <c r="FS78" i="4"/>
  <c r="FT78" i="4" s="1"/>
  <c r="FK78" i="4"/>
  <c r="FL78" i="4" s="1"/>
  <c r="FC78" i="4"/>
  <c r="FD78" i="4" s="1"/>
  <c r="EU78" i="4"/>
  <c r="EV78" i="4" s="1"/>
  <c r="CA94" i="4"/>
  <c r="ER94" i="4"/>
  <c r="ES94" i="4" s="1"/>
  <c r="GI109" i="4"/>
  <c r="GJ109" i="4" s="1"/>
  <c r="FS109" i="4"/>
  <c r="FT109" i="4" s="1"/>
  <c r="FC109" i="4"/>
  <c r="FD109" i="4" s="1"/>
  <c r="FM109" i="4"/>
  <c r="FN109" i="4" s="1"/>
  <c r="FA109" i="4"/>
  <c r="FB109" i="4" s="1"/>
  <c r="FE109" i="4"/>
  <c r="FF109" i="4" s="1"/>
  <c r="CB60" i="4"/>
  <c r="CE60" i="4"/>
  <c r="CF60" i="4" s="1"/>
  <c r="CI60" i="4"/>
  <c r="CJ60" i="4" s="1"/>
  <c r="CM60" i="4"/>
  <c r="CN60" i="4" s="1"/>
  <c r="CQ60" i="4"/>
  <c r="CR60" i="4" s="1"/>
  <c r="CU60" i="4"/>
  <c r="CV60" i="4" s="1"/>
  <c r="CY60" i="4"/>
  <c r="CZ60" i="4" s="1"/>
  <c r="DC60" i="4"/>
  <c r="DD60" i="4" s="1"/>
  <c r="DG60" i="4"/>
  <c r="DH60" i="4" s="1"/>
  <c r="DK60" i="4"/>
  <c r="DL60" i="4" s="1"/>
  <c r="J64" i="4"/>
  <c r="M64" i="4"/>
  <c r="N64" i="4" s="1"/>
  <c r="Q64" i="4"/>
  <c r="R64" i="4" s="1"/>
  <c r="U64" i="4"/>
  <c r="V64" i="4" s="1"/>
  <c r="Y64" i="4"/>
  <c r="Z64" i="4" s="1"/>
  <c r="AC64" i="4"/>
  <c r="AD64" i="4" s="1"/>
  <c r="AG64" i="4"/>
  <c r="AH64" i="4" s="1"/>
  <c r="AK64" i="4"/>
  <c r="AL64" i="4" s="1"/>
  <c r="AO64" i="4"/>
  <c r="AP64" i="4" s="1"/>
  <c r="AS64" i="4"/>
  <c r="AT64" i="4" s="1"/>
  <c r="CB66" i="4"/>
  <c r="CE66" i="4"/>
  <c r="CF66" i="4" s="1"/>
  <c r="CI66" i="4"/>
  <c r="CJ66" i="4" s="1"/>
  <c r="CM66" i="4"/>
  <c r="CN66" i="4" s="1"/>
  <c r="CQ66" i="4"/>
  <c r="CR66" i="4" s="1"/>
  <c r="CU66" i="4"/>
  <c r="CV66" i="4" s="1"/>
  <c r="CY66" i="4"/>
  <c r="CZ66" i="4" s="1"/>
  <c r="DC66" i="4"/>
  <c r="DD66" i="4" s="1"/>
  <c r="DG66" i="4"/>
  <c r="DH66" i="4" s="1"/>
  <c r="DK66" i="4"/>
  <c r="DL66" i="4" s="1"/>
  <c r="J68" i="4"/>
  <c r="M68" i="4"/>
  <c r="N68" i="4" s="1"/>
  <c r="Q68" i="4"/>
  <c r="R68" i="4" s="1"/>
  <c r="U68" i="4"/>
  <c r="V68" i="4" s="1"/>
  <c r="Y68" i="4"/>
  <c r="Z68" i="4" s="1"/>
  <c r="AC68" i="4"/>
  <c r="AD68" i="4" s="1"/>
  <c r="AG68" i="4"/>
  <c r="AH68" i="4" s="1"/>
  <c r="AK68" i="4"/>
  <c r="AL68" i="4" s="1"/>
  <c r="AO68" i="4"/>
  <c r="AP68" i="4" s="1"/>
  <c r="AS68" i="4"/>
  <c r="AT68" i="4" s="1"/>
  <c r="I69" i="4"/>
  <c r="CB70" i="4"/>
  <c r="CE70" i="4"/>
  <c r="CF70" i="4" s="1"/>
  <c r="CI70" i="4"/>
  <c r="CJ70" i="4" s="1"/>
  <c r="CM70" i="4"/>
  <c r="CN70" i="4" s="1"/>
  <c r="CQ70" i="4"/>
  <c r="CR70" i="4" s="1"/>
  <c r="CU70" i="4"/>
  <c r="CV70" i="4" s="1"/>
  <c r="CY70" i="4"/>
  <c r="CZ70" i="4" s="1"/>
  <c r="DC70" i="4"/>
  <c r="DD70" i="4" s="1"/>
  <c r="DG70" i="4"/>
  <c r="DH70" i="4" s="1"/>
  <c r="DK70" i="4"/>
  <c r="DL70" i="4" s="1"/>
  <c r="DO70" i="4"/>
  <c r="DP70" i="4" s="1"/>
  <c r="J72" i="4"/>
  <c r="M72" i="4"/>
  <c r="N72" i="4" s="1"/>
  <c r="Q72" i="4"/>
  <c r="R72" i="4" s="1"/>
  <c r="U72" i="4"/>
  <c r="V72" i="4" s="1"/>
  <c r="Y72" i="4"/>
  <c r="Z72" i="4" s="1"/>
  <c r="AC72" i="4"/>
  <c r="AD72" i="4" s="1"/>
  <c r="AG72" i="4"/>
  <c r="AH72" i="4" s="1"/>
  <c r="AK72" i="4"/>
  <c r="AL72" i="4" s="1"/>
  <c r="AO72" i="4"/>
  <c r="AP72" i="4" s="1"/>
  <c r="AS72" i="4"/>
  <c r="AT72" i="4" s="1"/>
  <c r="AW72" i="4"/>
  <c r="AX72" i="4" s="1"/>
  <c r="I73" i="4"/>
  <c r="CB74" i="4"/>
  <c r="CE74" i="4"/>
  <c r="CF74" i="4" s="1"/>
  <c r="CI74" i="4"/>
  <c r="CJ74" i="4" s="1"/>
  <c r="CM74" i="4"/>
  <c r="CN74" i="4" s="1"/>
  <c r="CQ74" i="4"/>
  <c r="CR74" i="4" s="1"/>
  <c r="CU74" i="4"/>
  <c r="CV74" i="4" s="1"/>
  <c r="CY74" i="4"/>
  <c r="CZ74" i="4" s="1"/>
  <c r="DC74" i="4"/>
  <c r="DD74" i="4" s="1"/>
  <c r="DG74" i="4"/>
  <c r="DH74" i="4" s="1"/>
  <c r="DK74" i="4"/>
  <c r="DL74" i="4" s="1"/>
  <c r="J76" i="4"/>
  <c r="M76" i="4"/>
  <c r="N76" i="4" s="1"/>
  <c r="Q76" i="4"/>
  <c r="R76" i="4" s="1"/>
  <c r="U76" i="4"/>
  <c r="V76" i="4" s="1"/>
  <c r="Y76" i="4"/>
  <c r="Z76" i="4" s="1"/>
  <c r="AC76" i="4"/>
  <c r="AD76" i="4" s="1"/>
  <c r="AG76" i="4"/>
  <c r="AH76" i="4" s="1"/>
  <c r="AK76" i="4"/>
  <c r="AL76" i="4" s="1"/>
  <c r="AO76" i="4"/>
  <c r="AP76" i="4" s="1"/>
  <c r="AS76" i="4"/>
  <c r="AT76" i="4" s="1"/>
  <c r="I77" i="4"/>
  <c r="CB78" i="4"/>
  <c r="CE78" i="4"/>
  <c r="CF78" i="4" s="1"/>
  <c r="CI78" i="4"/>
  <c r="CJ78" i="4" s="1"/>
  <c r="CM78" i="4"/>
  <c r="CN78" i="4" s="1"/>
  <c r="CS78" i="4"/>
  <c r="CT78" i="4" s="1"/>
  <c r="DA78" i="4"/>
  <c r="DB78" i="4" s="1"/>
  <c r="DI78" i="4"/>
  <c r="DJ78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GC79" i="4"/>
  <c r="GD79" i="4" s="1"/>
  <c r="FY79" i="4"/>
  <c r="FZ79" i="4" s="1"/>
  <c r="FU79" i="4"/>
  <c r="FV79" i="4" s="1"/>
  <c r="FQ79" i="4"/>
  <c r="FR79" i="4" s="1"/>
  <c r="FM79" i="4"/>
  <c r="FN79" i="4" s="1"/>
  <c r="FI79" i="4"/>
  <c r="FJ79" i="4" s="1"/>
  <c r="FE79" i="4"/>
  <c r="FF79" i="4" s="1"/>
  <c r="FA79" i="4"/>
  <c r="FB79" i="4" s="1"/>
  <c r="EW79" i="4"/>
  <c r="EX79" i="4" s="1"/>
  <c r="ET79" i="4"/>
  <c r="CO80" i="4"/>
  <c r="CP80" i="4" s="1"/>
  <c r="I82" i="4"/>
  <c r="BZ82" i="4"/>
  <c r="CK84" i="4"/>
  <c r="CL84" i="4" s="1"/>
  <c r="DA84" i="4"/>
  <c r="DB84" i="4" s="1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 s="1"/>
  <c r="M85" i="4"/>
  <c r="N85" i="4" s="1"/>
  <c r="J85" i="4"/>
  <c r="AY85" i="4"/>
  <c r="AZ85" i="4" s="1"/>
  <c r="AU85" i="4"/>
  <c r="AV85" i="4" s="1"/>
  <c r="AQ85" i="4"/>
  <c r="AR85" i="4" s="1"/>
  <c r="AM85" i="4"/>
  <c r="AN85" i="4" s="1"/>
  <c r="AI85" i="4"/>
  <c r="AJ85" i="4" s="1"/>
  <c r="AE85" i="4"/>
  <c r="AF85" i="4" s="1"/>
  <c r="AA85" i="4"/>
  <c r="AB85" i="4" s="1"/>
  <c r="W85" i="4"/>
  <c r="X85" i="4" s="1"/>
  <c r="S85" i="4"/>
  <c r="T85" i="4" s="1"/>
  <c r="O85" i="4"/>
  <c r="P85" i="4" s="1"/>
  <c r="K85" i="4"/>
  <c r="L85" i="4" s="1"/>
  <c r="CA87" i="4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GG96" i="4"/>
  <c r="GH96" i="4" s="1"/>
  <c r="GC96" i="4"/>
  <c r="GD96" i="4" s="1"/>
  <c r="FY96" i="4"/>
  <c r="FZ96" i="4" s="1"/>
  <c r="FU96" i="4"/>
  <c r="FV96" i="4" s="1"/>
  <c r="FQ96" i="4"/>
  <c r="FR96" i="4" s="1"/>
  <c r="FM96" i="4"/>
  <c r="FN96" i="4" s="1"/>
  <c r="FI96" i="4"/>
  <c r="FJ96" i="4" s="1"/>
  <c r="FE96" i="4"/>
  <c r="FF96" i="4" s="1"/>
  <c r="FA96" i="4"/>
  <c r="FB96" i="4" s="1"/>
  <c r="EW96" i="4"/>
  <c r="EX96" i="4" s="1"/>
  <c r="ET96" i="4"/>
  <c r="GI96" i="4"/>
  <c r="GJ96" i="4" s="1"/>
  <c r="FS96" i="4"/>
  <c r="FT96" i="4" s="1"/>
  <c r="FC96" i="4"/>
  <c r="FD96" i="4" s="1"/>
  <c r="FW96" i="4"/>
  <c r="FX96" i="4" s="1"/>
  <c r="FG96" i="4"/>
  <c r="FH96" i="4" s="1"/>
  <c r="GE96" i="4"/>
  <c r="GF96" i="4" s="1"/>
  <c r="FO96" i="4"/>
  <c r="FP96" i="4" s="1"/>
  <c r="EY96" i="4"/>
  <c r="EZ96" i="4" s="1"/>
  <c r="ER98" i="4"/>
  <c r="ES98" i="4" s="1"/>
  <c r="CA98" i="4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GE102" i="4"/>
  <c r="GF102" i="4" s="1"/>
  <c r="GA102" i="4"/>
  <c r="GB102" i="4" s="1"/>
  <c r="FW102" i="4"/>
  <c r="FX102" i="4" s="1"/>
  <c r="FS102" i="4"/>
  <c r="FT102" i="4" s="1"/>
  <c r="FO102" i="4"/>
  <c r="FP102" i="4" s="1"/>
  <c r="FK102" i="4"/>
  <c r="FL102" i="4" s="1"/>
  <c r="FG102" i="4"/>
  <c r="FH102" i="4" s="1"/>
  <c r="FC102" i="4"/>
  <c r="FD102" i="4" s="1"/>
  <c r="EY102" i="4"/>
  <c r="EZ102" i="4" s="1"/>
  <c r="EU102" i="4"/>
  <c r="EV102" i="4" s="1"/>
  <c r="AU72" i="4"/>
  <c r="AV72" i="4" s="1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S79" i="4"/>
  <c r="AT79" i="4" s="1"/>
  <c r="AO79" i="4"/>
  <c r="AP79" i="4" s="1"/>
  <c r="AK79" i="4"/>
  <c r="AL79" i="4" s="1"/>
  <c r="AG79" i="4"/>
  <c r="AH79" i="4" s="1"/>
  <c r="AC79" i="4"/>
  <c r="AD79" i="4" s="1"/>
  <c r="Y79" i="4"/>
  <c r="Z79" i="4" s="1"/>
  <c r="U79" i="4"/>
  <c r="V79" i="4" s="1"/>
  <c r="Q79" i="4"/>
  <c r="R79" i="4" s="1"/>
  <c r="M79" i="4"/>
  <c r="N79" i="4" s="1"/>
  <c r="J79" i="4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Q79" i="4"/>
  <c r="DR79" i="4" s="1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ER84" i="4"/>
  <c r="ES84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I92" i="4"/>
  <c r="BZ92" i="4"/>
  <c r="AW95" i="4"/>
  <c r="AX95" i="4" s="1"/>
  <c r="AS95" i="4"/>
  <c r="AT95" i="4" s="1"/>
  <c r="AO95" i="4"/>
  <c r="AP95" i="4" s="1"/>
  <c r="AK95" i="4"/>
  <c r="AL95" i="4" s="1"/>
  <c r="AG95" i="4"/>
  <c r="AH95" i="4" s="1"/>
  <c r="AC95" i="4"/>
  <c r="AD95" i="4" s="1"/>
  <c r="Y95" i="4"/>
  <c r="Z95" i="4" s="1"/>
  <c r="U95" i="4"/>
  <c r="V95" i="4" s="1"/>
  <c r="Q95" i="4"/>
  <c r="R95" i="4" s="1"/>
  <c r="M95" i="4"/>
  <c r="N95" i="4" s="1"/>
  <c r="J95" i="4"/>
  <c r="AY95" i="4"/>
  <c r="AZ95" i="4" s="1"/>
  <c r="AU95" i="4"/>
  <c r="AV95" i="4" s="1"/>
  <c r="AQ95" i="4"/>
  <c r="AR95" i="4" s="1"/>
  <c r="AM95" i="4"/>
  <c r="AN95" i="4" s="1"/>
  <c r="AI95" i="4"/>
  <c r="AJ95" i="4" s="1"/>
  <c r="AE95" i="4"/>
  <c r="AF95" i="4" s="1"/>
  <c r="AA95" i="4"/>
  <c r="AB95" i="4" s="1"/>
  <c r="W95" i="4"/>
  <c r="X95" i="4" s="1"/>
  <c r="S95" i="4"/>
  <c r="T95" i="4" s="1"/>
  <c r="O95" i="4"/>
  <c r="P95" i="4" s="1"/>
  <c r="K95" i="4"/>
  <c r="L95" i="4" s="1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M100" i="4"/>
  <c r="DN100" i="4" s="1"/>
  <c r="DI100" i="4"/>
  <c r="DJ100" i="4" s="1"/>
  <c r="DE100" i="4"/>
  <c r="DF100" i="4" s="1"/>
  <c r="DA100" i="4"/>
  <c r="DB100" i="4" s="1"/>
  <c r="CW100" i="4"/>
  <c r="CX100" i="4" s="1"/>
  <c r="CS100" i="4"/>
  <c r="CT100" i="4" s="1"/>
  <c r="CO100" i="4"/>
  <c r="CP100" i="4" s="1"/>
  <c r="CK100" i="4"/>
  <c r="CL100" i="4" s="1"/>
  <c r="CG100" i="4"/>
  <c r="CH100" i="4" s="1"/>
  <c r="CC100" i="4"/>
  <c r="CD100" i="4" s="1"/>
  <c r="GC108" i="4"/>
  <c r="GD108" i="4" s="1"/>
  <c r="FW108" i="4"/>
  <c r="FX108" i="4" s="1"/>
  <c r="FM108" i="4"/>
  <c r="FN108" i="4" s="1"/>
  <c r="FG108" i="4"/>
  <c r="FH108" i="4" s="1"/>
  <c r="EW108" i="4"/>
  <c r="EX108" i="4" s="1"/>
  <c r="GG108" i="4"/>
  <c r="GH108" i="4" s="1"/>
  <c r="GA108" i="4"/>
  <c r="GB108" i="4" s="1"/>
  <c r="FQ108" i="4"/>
  <c r="FR108" i="4" s="1"/>
  <c r="FK108" i="4"/>
  <c r="FL108" i="4" s="1"/>
  <c r="FA108" i="4"/>
  <c r="FB108" i="4" s="1"/>
  <c r="EU108" i="4"/>
  <c r="EV108" i="4" s="1"/>
  <c r="GI108" i="4"/>
  <c r="GJ108" i="4" s="1"/>
  <c r="FY108" i="4"/>
  <c r="FZ108" i="4" s="1"/>
  <c r="FS108" i="4"/>
  <c r="FT108" i="4" s="1"/>
  <c r="FI108" i="4"/>
  <c r="FJ108" i="4" s="1"/>
  <c r="FC108" i="4"/>
  <c r="FD108" i="4" s="1"/>
  <c r="ET108" i="4"/>
  <c r="FE108" i="4"/>
  <c r="FF108" i="4" s="1"/>
  <c r="FU108" i="4"/>
  <c r="FV108" i="4" s="1"/>
  <c r="EY108" i="4"/>
  <c r="EZ108" i="4" s="1"/>
  <c r="GE108" i="4"/>
  <c r="GF108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K112" i="4"/>
  <c r="AL112" i="4" s="1"/>
  <c r="U112" i="4"/>
  <c r="V112" i="4" s="1"/>
  <c r="AW112" i="4"/>
  <c r="AX112" i="4" s="1"/>
  <c r="AG112" i="4"/>
  <c r="AH112" i="4" s="1"/>
  <c r="Q112" i="4"/>
  <c r="R112" i="4" s="1"/>
  <c r="AO112" i="4"/>
  <c r="AP112" i="4" s="1"/>
  <c r="Y112" i="4"/>
  <c r="Z112" i="4" s="1"/>
  <c r="J112" i="4"/>
  <c r="AC112" i="4"/>
  <c r="AD112" i="4" s="1"/>
  <c r="M112" i="4"/>
  <c r="N112" i="4" s="1"/>
  <c r="AS112" i="4"/>
  <c r="AT112" i="4" s="1"/>
  <c r="AW119" i="4"/>
  <c r="AX119" i="4" s="1"/>
  <c r="AS119" i="4"/>
  <c r="AT119" i="4" s="1"/>
  <c r="AO119" i="4"/>
  <c r="AP119" i="4" s="1"/>
  <c r="AK119" i="4"/>
  <c r="AL119" i="4" s="1"/>
  <c r="AG119" i="4"/>
  <c r="AH119" i="4" s="1"/>
  <c r="AC119" i="4"/>
  <c r="AD119" i="4" s="1"/>
  <c r="Y119" i="4"/>
  <c r="Z119" i="4" s="1"/>
  <c r="U119" i="4"/>
  <c r="V119" i="4" s="1"/>
  <c r="Q119" i="4"/>
  <c r="R119" i="4" s="1"/>
  <c r="M119" i="4"/>
  <c r="N119" i="4" s="1"/>
  <c r="J119" i="4"/>
  <c r="AY119" i="4"/>
  <c r="AZ119" i="4" s="1"/>
  <c r="AU119" i="4"/>
  <c r="AV119" i="4" s="1"/>
  <c r="AQ119" i="4"/>
  <c r="AR119" i="4" s="1"/>
  <c r="AM119" i="4"/>
  <c r="AN119" i="4" s="1"/>
  <c r="AI119" i="4"/>
  <c r="AJ119" i="4" s="1"/>
  <c r="AE119" i="4"/>
  <c r="AF119" i="4" s="1"/>
  <c r="AA119" i="4"/>
  <c r="AB119" i="4" s="1"/>
  <c r="W119" i="4"/>
  <c r="X119" i="4" s="1"/>
  <c r="S119" i="4"/>
  <c r="T119" i="4" s="1"/>
  <c r="O119" i="4"/>
  <c r="P119" i="4" s="1"/>
  <c r="K119" i="4"/>
  <c r="L119" i="4" s="1"/>
  <c r="CY65" i="4"/>
  <c r="CZ65" i="4" s="1"/>
  <c r="DC65" i="4"/>
  <c r="DD65" i="4" s="1"/>
  <c r="DG65" i="4"/>
  <c r="DH65" i="4" s="1"/>
  <c r="DK65" i="4"/>
  <c r="DL65" i="4" s="1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Y81" i="4"/>
  <c r="AZ81" i="4" s="1"/>
  <c r="AU81" i="4"/>
  <c r="AV81" i="4" s="1"/>
  <c r="AQ81" i="4"/>
  <c r="AR81" i="4" s="1"/>
  <c r="AM81" i="4"/>
  <c r="AN81" i="4" s="1"/>
  <c r="AI81" i="4"/>
  <c r="AJ81" i="4" s="1"/>
  <c r="AE81" i="4"/>
  <c r="AF81" i="4" s="1"/>
  <c r="AA81" i="4"/>
  <c r="AB81" i="4" s="1"/>
  <c r="W81" i="4"/>
  <c r="X81" i="4" s="1"/>
  <c r="S81" i="4"/>
  <c r="T81" i="4" s="1"/>
  <c r="O81" i="4"/>
  <c r="P81" i="4" s="1"/>
  <c r="K81" i="4"/>
  <c r="L81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GA88" i="4"/>
  <c r="GB88" i="4" s="1"/>
  <c r="FK88" i="4"/>
  <c r="FL88" i="4" s="1"/>
  <c r="EU88" i="4"/>
  <c r="EV88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ER97" i="4"/>
  <c r="ES97" i="4" s="1"/>
  <c r="CA97" i="4"/>
  <c r="AY98" i="4"/>
  <c r="AZ98" i="4" s="1"/>
  <c r="AU98" i="4"/>
  <c r="AV98" i="4" s="1"/>
  <c r="AQ98" i="4"/>
  <c r="AR98" i="4" s="1"/>
  <c r="AM98" i="4"/>
  <c r="AN98" i="4" s="1"/>
  <c r="AI98" i="4"/>
  <c r="AJ98" i="4" s="1"/>
  <c r="AE98" i="4"/>
  <c r="AF98" i="4" s="1"/>
  <c r="AA98" i="4"/>
  <c r="AB98" i="4" s="1"/>
  <c r="W98" i="4"/>
  <c r="X98" i="4" s="1"/>
  <c r="S98" i="4"/>
  <c r="T98" i="4" s="1"/>
  <c r="O98" i="4"/>
  <c r="P98" i="4" s="1"/>
  <c r="K98" i="4"/>
  <c r="L98" i="4" s="1"/>
  <c r="AW98" i="4"/>
  <c r="AX98" i="4" s="1"/>
  <c r="AG98" i="4"/>
  <c r="AH98" i="4" s="1"/>
  <c r="Q98" i="4"/>
  <c r="R98" i="4" s="1"/>
  <c r="AK98" i="4"/>
  <c r="AL98" i="4" s="1"/>
  <c r="U98" i="4"/>
  <c r="V98" i="4" s="1"/>
  <c r="AS98" i="4"/>
  <c r="AT98" i="4" s="1"/>
  <c r="AC98" i="4"/>
  <c r="AD98" i="4" s="1"/>
  <c r="M98" i="4"/>
  <c r="N98" i="4" s="1"/>
  <c r="BZ121" i="4"/>
  <c r="I121" i="4"/>
  <c r="I80" i="4"/>
  <c r="CB81" i="4"/>
  <c r="CE81" i="4"/>
  <c r="CF81" i="4" s="1"/>
  <c r="CI81" i="4"/>
  <c r="CJ81" i="4" s="1"/>
  <c r="CM81" i="4"/>
  <c r="CN81" i="4" s="1"/>
  <c r="CQ81" i="4"/>
  <c r="CR81" i="4" s="1"/>
  <c r="CU81" i="4"/>
  <c r="CV81" i="4" s="1"/>
  <c r="CY81" i="4"/>
  <c r="CZ81" i="4" s="1"/>
  <c r="DC81" i="4"/>
  <c r="DD81" i="4" s="1"/>
  <c r="DG81" i="4"/>
  <c r="DH81" i="4" s="1"/>
  <c r="DK81" i="4"/>
  <c r="DL81" i="4" s="1"/>
  <c r="DO81" i="4"/>
  <c r="DP81" i="4" s="1"/>
  <c r="J83" i="4"/>
  <c r="M83" i="4"/>
  <c r="N83" i="4" s="1"/>
  <c r="Q83" i="4"/>
  <c r="R83" i="4" s="1"/>
  <c r="U83" i="4"/>
  <c r="V83" i="4" s="1"/>
  <c r="Y83" i="4"/>
  <c r="Z83" i="4" s="1"/>
  <c r="AC83" i="4"/>
  <c r="AD83" i="4" s="1"/>
  <c r="AG83" i="4"/>
  <c r="AH83" i="4" s="1"/>
  <c r="AK83" i="4"/>
  <c r="AL83" i="4" s="1"/>
  <c r="AO83" i="4"/>
  <c r="AP83" i="4" s="1"/>
  <c r="AS83" i="4"/>
  <c r="AT83" i="4" s="1"/>
  <c r="AW83" i="4"/>
  <c r="AX83" i="4" s="1"/>
  <c r="I84" i="4"/>
  <c r="CB85" i="4"/>
  <c r="CE85" i="4"/>
  <c r="CF85" i="4" s="1"/>
  <c r="CI85" i="4"/>
  <c r="CJ85" i="4" s="1"/>
  <c r="CM85" i="4"/>
  <c r="CN85" i="4" s="1"/>
  <c r="CQ85" i="4"/>
  <c r="CR85" i="4" s="1"/>
  <c r="CU85" i="4"/>
  <c r="CV85" i="4" s="1"/>
  <c r="CY85" i="4"/>
  <c r="CZ85" i="4" s="1"/>
  <c r="DC85" i="4"/>
  <c r="DD85" i="4" s="1"/>
  <c r="DG85" i="4"/>
  <c r="DH85" i="4" s="1"/>
  <c r="DK85" i="4"/>
  <c r="DL85" i="4" s="1"/>
  <c r="DO85" i="4"/>
  <c r="DP85" i="4" s="1"/>
  <c r="J87" i="4"/>
  <c r="M87" i="4"/>
  <c r="N87" i="4" s="1"/>
  <c r="Q87" i="4"/>
  <c r="R87" i="4" s="1"/>
  <c r="U87" i="4"/>
  <c r="V87" i="4" s="1"/>
  <c r="Y87" i="4"/>
  <c r="Z87" i="4" s="1"/>
  <c r="AC87" i="4"/>
  <c r="AD87" i="4" s="1"/>
  <c r="AG87" i="4"/>
  <c r="AH87" i="4" s="1"/>
  <c r="AK87" i="4"/>
  <c r="AL87" i="4" s="1"/>
  <c r="AO87" i="4"/>
  <c r="AP87" i="4" s="1"/>
  <c r="AS87" i="4"/>
  <c r="AT87" i="4" s="1"/>
  <c r="AW87" i="4"/>
  <c r="AX87" i="4" s="1"/>
  <c r="I88" i="4"/>
  <c r="CB89" i="4"/>
  <c r="CE89" i="4"/>
  <c r="CF89" i="4" s="1"/>
  <c r="CI89" i="4"/>
  <c r="CJ89" i="4" s="1"/>
  <c r="CM89" i="4"/>
  <c r="CN89" i="4" s="1"/>
  <c r="CQ89" i="4"/>
  <c r="CR89" i="4" s="1"/>
  <c r="CU89" i="4"/>
  <c r="CV89" i="4" s="1"/>
  <c r="CY89" i="4"/>
  <c r="CZ89" i="4" s="1"/>
  <c r="DC89" i="4"/>
  <c r="DD89" i="4" s="1"/>
  <c r="DG89" i="4"/>
  <c r="DH89" i="4" s="1"/>
  <c r="DK89" i="4"/>
  <c r="DL89" i="4" s="1"/>
  <c r="DO89" i="4"/>
  <c r="DP89" i="4" s="1"/>
  <c r="J93" i="4"/>
  <c r="M93" i="4"/>
  <c r="N93" i="4" s="1"/>
  <c r="Q93" i="4"/>
  <c r="R93" i="4" s="1"/>
  <c r="U93" i="4"/>
  <c r="V93" i="4" s="1"/>
  <c r="Y93" i="4"/>
  <c r="Z93" i="4" s="1"/>
  <c r="AC93" i="4"/>
  <c r="AD93" i="4" s="1"/>
  <c r="AG93" i="4"/>
  <c r="AH93" i="4" s="1"/>
  <c r="AK93" i="4"/>
  <c r="AL93" i="4" s="1"/>
  <c r="AO93" i="4"/>
  <c r="AP93" i="4" s="1"/>
  <c r="AS93" i="4"/>
  <c r="AT93" i="4" s="1"/>
  <c r="AW93" i="4"/>
  <c r="AX93" i="4" s="1"/>
  <c r="I94" i="4"/>
  <c r="CB95" i="4"/>
  <c r="CE95" i="4"/>
  <c r="CF95" i="4" s="1"/>
  <c r="CI95" i="4"/>
  <c r="CJ95" i="4" s="1"/>
  <c r="CM95" i="4"/>
  <c r="CN95" i="4" s="1"/>
  <c r="CQ95" i="4"/>
  <c r="CR95" i="4" s="1"/>
  <c r="CU95" i="4"/>
  <c r="CV95" i="4" s="1"/>
  <c r="CY95" i="4"/>
  <c r="CZ95" i="4" s="1"/>
  <c r="DC95" i="4"/>
  <c r="DD95" i="4" s="1"/>
  <c r="DG95" i="4"/>
  <c r="DH95" i="4" s="1"/>
  <c r="DK95" i="4"/>
  <c r="DL95" i="4" s="1"/>
  <c r="DO95" i="4"/>
  <c r="DP95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I103" i="4"/>
  <c r="BZ103" i="4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J105" i="4"/>
  <c r="Y105" i="4"/>
  <c r="Z105" i="4" s="1"/>
  <c r="AO105" i="4"/>
  <c r="AP105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I126" i="4"/>
  <c r="BZ126" i="4"/>
  <c r="CC81" i="4"/>
  <c r="CD81" i="4" s="1"/>
  <c r="CG81" i="4"/>
  <c r="CH81" i="4" s="1"/>
  <c r="CK81" i="4"/>
  <c r="CL81" i="4" s="1"/>
  <c r="CO81" i="4"/>
  <c r="CP81" i="4" s="1"/>
  <c r="CS81" i="4"/>
  <c r="CT81" i="4" s="1"/>
  <c r="CW81" i="4"/>
  <c r="CX81" i="4" s="1"/>
  <c r="DA81" i="4"/>
  <c r="DB81" i="4" s="1"/>
  <c r="DE81" i="4"/>
  <c r="DF81" i="4" s="1"/>
  <c r="DI81" i="4"/>
  <c r="DJ81" i="4" s="1"/>
  <c r="DM81" i="4"/>
  <c r="DN81" i="4" s="1"/>
  <c r="K83" i="4"/>
  <c r="L83" i="4" s="1"/>
  <c r="O83" i="4"/>
  <c r="P83" i="4" s="1"/>
  <c r="S83" i="4"/>
  <c r="T83" i="4" s="1"/>
  <c r="W83" i="4"/>
  <c r="X83" i="4" s="1"/>
  <c r="AA83" i="4"/>
  <c r="AB83" i="4" s="1"/>
  <c r="AE83" i="4"/>
  <c r="AF83" i="4" s="1"/>
  <c r="AI83" i="4"/>
  <c r="AJ83" i="4" s="1"/>
  <c r="AM83" i="4"/>
  <c r="AN83" i="4" s="1"/>
  <c r="AQ83" i="4"/>
  <c r="AR83" i="4" s="1"/>
  <c r="AU83" i="4"/>
  <c r="AV83" i="4" s="1"/>
  <c r="CC85" i="4"/>
  <c r="CD85" i="4" s="1"/>
  <c r="CG85" i="4"/>
  <c r="CH85" i="4" s="1"/>
  <c r="CK85" i="4"/>
  <c r="CL85" i="4" s="1"/>
  <c r="CO85" i="4"/>
  <c r="CP85" i="4" s="1"/>
  <c r="CS85" i="4"/>
  <c r="CT85" i="4" s="1"/>
  <c r="CW85" i="4"/>
  <c r="CX85" i="4" s="1"/>
  <c r="DA85" i="4"/>
  <c r="DB85" i="4" s="1"/>
  <c r="DE85" i="4"/>
  <c r="DF85" i="4" s="1"/>
  <c r="DI85" i="4"/>
  <c r="DJ85" i="4" s="1"/>
  <c r="DM85" i="4"/>
  <c r="DN85" i="4" s="1"/>
  <c r="K87" i="4"/>
  <c r="L87" i="4" s="1"/>
  <c r="O87" i="4"/>
  <c r="P87" i="4" s="1"/>
  <c r="S87" i="4"/>
  <c r="T87" i="4" s="1"/>
  <c r="W87" i="4"/>
  <c r="X87" i="4" s="1"/>
  <c r="AA87" i="4"/>
  <c r="AB87" i="4" s="1"/>
  <c r="AE87" i="4"/>
  <c r="AF87" i="4" s="1"/>
  <c r="AI87" i="4"/>
  <c r="AJ87" i="4" s="1"/>
  <c r="AM87" i="4"/>
  <c r="AN87" i="4" s="1"/>
  <c r="AQ87" i="4"/>
  <c r="AR87" i="4" s="1"/>
  <c r="AU87" i="4"/>
  <c r="AV87" i="4" s="1"/>
  <c r="CC89" i="4"/>
  <c r="CD89" i="4" s="1"/>
  <c r="CG89" i="4"/>
  <c r="CH89" i="4" s="1"/>
  <c r="CK89" i="4"/>
  <c r="CL89" i="4" s="1"/>
  <c r="CO89" i="4"/>
  <c r="CP89" i="4" s="1"/>
  <c r="CS89" i="4"/>
  <c r="CT89" i="4" s="1"/>
  <c r="CW89" i="4"/>
  <c r="CX89" i="4" s="1"/>
  <c r="DA89" i="4"/>
  <c r="DB89" i="4" s="1"/>
  <c r="DE89" i="4"/>
  <c r="DF89" i="4" s="1"/>
  <c r="DI89" i="4"/>
  <c r="DJ89" i="4" s="1"/>
  <c r="DM89" i="4"/>
  <c r="DN89" i="4" s="1"/>
  <c r="K93" i="4"/>
  <c r="L93" i="4" s="1"/>
  <c r="O93" i="4"/>
  <c r="P93" i="4" s="1"/>
  <c r="S93" i="4"/>
  <c r="T93" i="4" s="1"/>
  <c r="W93" i="4"/>
  <c r="X93" i="4" s="1"/>
  <c r="AA93" i="4"/>
  <c r="AB93" i="4" s="1"/>
  <c r="AE93" i="4"/>
  <c r="AF93" i="4" s="1"/>
  <c r="AI93" i="4"/>
  <c r="AJ93" i="4" s="1"/>
  <c r="AM93" i="4"/>
  <c r="AN93" i="4" s="1"/>
  <c r="AQ93" i="4"/>
  <c r="AR93" i="4" s="1"/>
  <c r="AU93" i="4"/>
  <c r="AV93" i="4" s="1"/>
  <c r="CC95" i="4"/>
  <c r="CD95" i="4" s="1"/>
  <c r="CG95" i="4"/>
  <c r="CH95" i="4" s="1"/>
  <c r="CK95" i="4"/>
  <c r="CL95" i="4" s="1"/>
  <c r="CO95" i="4"/>
  <c r="CP95" i="4" s="1"/>
  <c r="CS95" i="4"/>
  <c r="CT95" i="4" s="1"/>
  <c r="CW95" i="4"/>
  <c r="CX95" i="4" s="1"/>
  <c r="DA95" i="4"/>
  <c r="DB95" i="4" s="1"/>
  <c r="DE95" i="4"/>
  <c r="DF95" i="4" s="1"/>
  <c r="DI95" i="4"/>
  <c r="DJ95" i="4" s="1"/>
  <c r="DM95" i="4"/>
  <c r="DN95" i="4" s="1"/>
  <c r="EW101" i="4"/>
  <c r="EX101" i="4" s="1"/>
  <c r="FM101" i="4"/>
  <c r="FN101" i="4" s="1"/>
  <c r="GC101" i="4"/>
  <c r="GD101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CA104" i="4"/>
  <c r="Q105" i="4"/>
  <c r="R105" i="4" s="1"/>
  <c r="AG105" i="4"/>
  <c r="AH105" i="4" s="1"/>
  <c r="DO108" i="4"/>
  <c r="DP108" i="4" s="1"/>
  <c r="DE108" i="4"/>
  <c r="DF108" i="4" s="1"/>
  <c r="CY108" i="4"/>
  <c r="CZ108" i="4" s="1"/>
  <c r="CO108" i="4"/>
  <c r="CP108" i="4" s="1"/>
  <c r="CI108" i="4"/>
  <c r="CJ108" i="4" s="1"/>
  <c r="DI108" i="4"/>
  <c r="DJ108" i="4" s="1"/>
  <c r="DC108" i="4"/>
  <c r="DD108" i="4" s="1"/>
  <c r="CS108" i="4"/>
  <c r="CT108" i="4" s="1"/>
  <c r="CM108" i="4"/>
  <c r="CN108" i="4" s="1"/>
  <c r="CC108" i="4"/>
  <c r="CD108" i="4" s="1"/>
  <c r="DQ108" i="4"/>
  <c r="DR108" i="4" s="1"/>
  <c r="DK108" i="4"/>
  <c r="DL108" i="4" s="1"/>
  <c r="DA108" i="4"/>
  <c r="DB108" i="4" s="1"/>
  <c r="CU108" i="4"/>
  <c r="CV108" i="4" s="1"/>
  <c r="CK108" i="4"/>
  <c r="CL108" i="4" s="1"/>
  <c r="CE108" i="4"/>
  <c r="CF108" i="4" s="1"/>
  <c r="DO109" i="4"/>
  <c r="DP109" i="4" s="1"/>
  <c r="DK109" i="4"/>
  <c r="DL109" i="4" s="1"/>
  <c r="DG109" i="4"/>
  <c r="DH109" i="4" s="1"/>
  <c r="DC109" i="4"/>
  <c r="DD109" i="4" s="1"/>
  <c r="CY109" i="4"/>
  <c r="CZ109" i="4" s="1"/>
  <c r="CU109" i="4"/>
  <c r="CV109" i="4" s="1"/>
  <c r="CQ109" i="4"/>
  <c r="CR109" i="4" s="1"/>
  <c r="CM109" i="4"/>
  <c r="CN109" i="4" s="1"/>
  <c r="CI109" i="4"/>
  <c r="CJ109" i="4" s="1"/>
  <c r="CE109" i="4"/>
  <c r="CF109" i="4" s="1"/>
  <c r="CB109" i="4"/>
  <c r="DE109" i="4"/>
  <c r="DF109" i="4" s="1"/>
  <c r="CO109" i="4"/>
  <c r="CP109" i="4" s="1"/>
  <c r="DI109" i="4"/>
  <c r="DJ109" i="4" s="1"/>
  <c r="CS109" i="4"/>
  <c r="CT109" i="4" s="1"/>
  <c r="CC109" i="4"/>
  <c r="CD109" i="4" s="1"/>
  <c r="DQ109" i="4"/>
  <c r="DR109" i="4" s="1"/>
  <c r="DA109" i="4"/>
  <c r="DB109" i="4" s="1"/>
  <c r="CK109" i="4"/>
  <c r="CL109" i="4" s="1"/>
  <c r="I99" i="4"/>
  <c r="BZ99" i="4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GC100" i="4"/>
  <c r="GD100" i="4" s="1"/>
  <c r="FY100" i="4"/>
  <c r="FZ100" i="4" s="1"/>
  <c r="FU100" i="4"/>
  <c r="FV100" i="4" s="1"/>
  <c r="FQ100" i="4"/>
  <c r="FR100" i="4" s="1"/>
  <c r="FM100" i="4"/>
  <c r="FN100" i="4" s="1"/>
  <c r="FI100" i="4"/>
  <c r="FJ100" i="4" s="1"/>
  <c r="FE100" i="4"/>
  <c r="FF100" i="4" s="1"/>
  <c r="FA100" i="4"/>
  <c r="FB100" i="4" s="1"/>
  <c r="EW100" i="4"/>
  <c r="EX100" i="4" s="1"/>
  <c r="ET100" i="4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Y102" i="4"/>
  <c r="AZ102" i="4" s="1"/>
  <c r="AU102" i="4"/>
  <c r="AV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ER107" i="4"/>
  <c r="ES107" i="4" s="1"/>
  <c r="CA107" i="4"/>
  <c r="BZ110" i="4"/>
  <c r="I110" i="4"/>
  <c r="J100" i="4"/>
  <c r="M100" i="4"/>
  <c r="N100" i="4" s="1"/>
  <c r="Q100" i="4"/>
  <c r="R100" i="4" s="1"/>
  <c r="U100" i="4"/>
  <c r="V100" i="4" s="1"/>
  <c r="Y100" i="4"/>
  <c r="Z100" i="4" s="1"/>
  <c r="AC100" i="4"/>
  <c r="AD100" i="4" s="1"/>
  <c r="AG100" i="4"/>
  <c r="AH100" i="4" s="1"/>
  <c r="AK100" i="4"/>
  <c r="AL100" i="4" s="1"/>
  <c r="AO100" i="4"/>
  <c r="AP100" i="4" s="1"/>
  <c r="AS100" i="4"/>
  <c r="AT100" i="4" s="1"/>
  <c r="CB102" i="4"/>
  <c r="CE102" i="4"/>
  <c r="CF102" i="4" s="1"/>
  <c r="CI102" i="4"/>
  <c r="CJ102" i="4" s="1"/>
  <c r="CM102" i="4"/>
  <c r="CN102" i="4" s="1"/>
  <c r="CQ102" i="4"/>
  <c r="CR102" i="4" s="1"/>
  <c r="CU102" i="4"/>
  <c r="CV102" i="4" s="1"/>
  <c r="CY102" i="4"/>
  <c r="CZ102" i="4" s="1"/>
  <c r="DC102" i="4"/>
  <c r="DD102" i="4" s="1"/>
  <c r="DG102" i="4"/>
  <c r="DH102" i="4" s="1"/>
  <c r="DK102" i="4"/>
  <c r="DL102" i="4" s="1"/>
  <c r="J104" i="4"/>
  <c r="M104" i="4"/>
  <c r="N104" i="4" s="1"/>
  <c r="Q104" i="4"/>
  <c r="R104" i="4" s="1"/>
  <c r="U104" i="4"/>
  <c r="V104" i="4" s="1"/>
  <c r="Y104" i="4"/>
  <c r="Z104" i="4" s="1"/>
  <c r="AC104" i="4"/>
  <c r="AD104" i="4" s="1"/>
  <c r="AG104" i="4"/>
  <c r="AH104" i="4" s="1"/>
  <c r="AK104" i="4"/>
  <c r="AL104" i="4" s="1"/>
  <c r="AO104" i="4"/>
  <c r="AP104" i="4" s="1"/>
  <c r="AS104" i="4"/>
  <c r="AT104" i="4" s="1"/>
  <c r="CB106" i="4"/>
  <c r="CE106" i="4"/>
  <c r="CF106" i="4" s="1"/>
  <c r="CI106" i="4"/>
  <c r="CJ106" i="4" s="1"/>
  <c r="CM106" i="4"/>
  <c r="CN106" i="4" s="1"/>
  <c r="CQ106" i="4"/>
  <c r="CR106" i="4" s="1"/>
  <c r="CU106" i="4"/>
  <c r="CV106" i="4" s="1"/>
  <c r="CY106" i="4"/>
  <c r="CZ106" i="4" s="1"/>
  <c r="DC106" i="4"/>
  <c r="DD106" i="4" s="1"/>
  <c r="DG106" i="4"/>
  <c r="DH106" i="4" s="1"/>
  <c r="DK106" i="4"/>
  <c r="DL106" i="4" s="1"/>
  <c r="DO106" i="4"/>
  <c r="DP106" i="4" s="1"/>
  <c r="K108" i="4"/>
  <c r="L108" i="4" s="1"/>
  <c r="Q108" i="4"/>
  <c r="R108" i="4" s="1"/>
  <c r="AA108" i="4"/>
  <c r="AB108" i="4" s="1"/>
  <c r="AG108" i="4"/>
  <c r="AH108" i="4" s="1"/>
  <c r="AQ108" i="4"/>
  <c r="AR108" i="4" s="1"/>
  <c r="Q109" i="4"/>
  <c r="R109" i="4" s="1"/>
  <c r="AG109" i="4"/>
  <c r="AH109" i="4" s="1"/>
  <c r="GI111" i="4"/>
  <c r="GJ111" i="4" s="1"/>
  <c r="GE111" i="4"/>
  <c r="GF111" i="4" s="1"/>
  <c r="GA111" i="4"/>
  <c r="GB111" i="4" s="1"/>
  <c r="FW111" i="4"/>
  <c r="FX111" i="4" s="1"/>
  <c r="FS111" i="4"/>
  <c r="FT111" i="4" s="1"/>
  <c r="FO111" i="4"/>
  <c r="FP111" i="4" s="1"/>
  <c r="FK111" i="4"/>
  <c r="FL111" i="4" s="1"/>
  <c r="FG111" i="4"/>
  <c r="FH111" i="4" s="1"/>
  <c r="FC111" i="4"/>
  <c r="FD111" i="4" s="1"/>
  <c r="EY111" i="4"/>
  <c r="EZ111" i="4" s="1"/>
  <c r="EU111" i="4"/>
  <c r="EV111" i="4" s="1"/>
  <c r="GG111" i="4"/>
  <c r="GH111" i="4" s="1"/>
  <c r="GC111" i="4"/>
  <c r="GD111" i="4" s="1"/>
  <c r="FY111" i="4"/>
  <c r="FZ111" i="4" s="1"/>
  <c r="FU111" i="4"/>
  <c r="FV111" i="4" s="1"/>
  <c r="FQ111" i="4"/>
  <c r="FR111" i="4" s="1"/>
  <c r="FM111" i="4"/>
  <c r="FN111" i="4" s="1"/>
  <c r="FI111" i="4"/>
  <c r="FJ111" i="4" s="1"/>
  <c r="FE111" i="4"/>
  <c r="FF111" i="4" s="1"/>
  <c r="FA111" i="4"/>
  <c r="FB111" i="4" s="1"/>
  <c r="EW111" i="4"/>
  <c r="EX111" i="4" s="1"/>
  <c r="ET111" i="4"/>
  <c r="ET112" i="4"/>
  <c r="FI112" i="4"/>
  <c r="FJ112" i="4" s="1"/>
  <c r="FY112" i="4"/>
  <c r="FZ112" i="4" s="1"/>
  <c r="GG113" i="4"/>
  <c r="GH113" i="4" s="1"/>
  <c r="GC113" i="4"/>
  <c r="GD113" i="4" s="1"/>
  <c r="FY113" i="4"/>
  <c r="FZ113" i="4" s="1"/>
  <c r="FU113" i="4"/>
  <c r="FV113" i="4" s="1"/>
  <c r="FQ113" i="4"/>
  <c r="FR113" i="4" s="1"/>
  <c r="FM113" i="4"/>
  <c r="FN113" i="4" s="1"/>
  <c r="FI113" i="4"/>
  <c r="FJ113" i="4" s="1"/>
  <c r="FE113" i="4"/>
  <c r="FF113" i="4" s="1"/>
  <c r="FA113" i="4"/>
  <c r="FB113" i="4" s="1"/>
  <c r="EW113" i="4"/>
  <c r="EX113" i="4" s="1"/>
  <c r="ET113" i="4"/>
  <c r="GI113" i="4"/>
  <c r="GJ113" i="4" s="1"/>
  <c r="GE113" i="4"/>
  <c r="GF113" i="4" s="1"/>
  <c r="GA113" i="4"/>
  <c r="GB113" i="4" s="1"/>
  <c r="FW113" i="4"/>
  <c r="FX113" i="4" s="1"/>
  <c r="FS113" i="4"/>
  <c r="FT113" i="4" s="1"/>
  <c r="FO113" i="4"/>
  <c r="FP113" i="4" s="1"/>
  <c r="FK113" i="4"/>
  <c r="FL113" i="4" s="1"/>
  <c r="FG113" i="4"/>
  <c r="FH113" i="4" s="1"/>
  <c r="FC113" i="4"/>
  <c r="FD113" i="4" s="1"/>
  <c r="EY113" i="4"/>
  <c r="EZ113" i="4" s="1"/>
  <c r="EU113" i="4"/>
  <c r="EV113" i="4" s="1"/>
  <c r="CA117" i="4"/>
  <c r="ET118" i="4"/>
  <c r="FI118" i="4"/>
  <c r="FJ118" i="4" s="1"/>
  <c r="FY118" i="4"/>
  <c r="FZ118" i="4" s="1"/>
  <c r="DO118" i="4"/>
  <c r="DP118" i="4" s="1"/>
  <c r="DK118" i="4"/>
  <c r="DL118" i="4" s="1"/>
  <c r="DG118" i="4"/>
  <c r="DH118" i="4" s="1"/>
  <c r="DC118" i="4"/>
  <c r="DD118" i="4" s="1"/>
  <c r="CY118" i="4"/>
  <c r="CZ118" i="4" s="1"/>
  <c r="CU118" i="4"/>
  <c r="CV118" i="4" s="1"/>
  <c r="CQ118" i="4"/>
  <c r="CR118" i="4" s="1"/>
  <c r="CM118" i="4"/>
  <c r="CN118" i="4" s="1"/>
  <c r="CI118" i="4"/>
  <c r="CJ118" i="4" s="1"/>
  <c r="CE118" i="4"/>
  <c r="CF118" i="4" s="1"/>
  <c r="CB118" i="4"/>
  <c r="ER120" i="4"/>
  <c r="ES120" i="4" s="1"/>
  <c r="CA120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DO111" i="4"/>
  <c r="DP111" i="4" s="1"/>
  <c r="DK111" i="4"/>
  <c r="DL111" i="4" s="1"/>
  <c r="DG111" i="4"/>
  <c r="DH111" i="4" s="1"/>
  <c r="DC111" i="4"/>
  <c r="DD111" i="4" s="1"/>
  <c r="CY111" i="4"/>
  <c r="CZ111" i="4" s="1"/>
  <c r="CU111" i="4"/>
  <c r="CV111" i="4" s="1"/>
  <c r="CQ111" i="4"/>
  <c r="CR111" i="4" s="1"/>
  <c r="CM111" i="4"/>
  <c r="CN111" i="4" s="1"/>
  <c r="CI111" i="4"/>
  <c r="CJ111" i="4" s="1"/>
  <c r="CE111" i="4"/>
  <c r="CF111" i="4" s="1"/>
  <c r="CB111" i="4"/>
  <c r="DQ111" i="4"/>
  <c r="DR111" i="4" s="1"/>
  <c r="DM111" i="4"/>
  <c r="DN111" i="4" s="1"/>
  <c r="DI111" i="4"/>
  <c r="DJ111" i="4" s="1"/>
  <c r="DE111" i="4"/>
  <c r="DF111" i="4" s="1"/>
  <c r="DA111" i="4"/>
  <c r="DB111" i="4" s="1"/>
  <c r="CW111" i="4"/>
  <c r="CX111" i="4" s="1"/>
  <c r="CS111" i="4"/>
  <c r="CT111" i="4" s="1"/>
  <c r="CO111" i="4"/>
  <c r="CP111" i="4" s="1"/>
  <c r="CK111" i="4"/>
  <c r="CL111" i="4" s="1"/>
  <c r="CG111" i="4"/>
  <c r="CH111" i="4" s="1"/>
  <c r="CC111" i="4"/>
  <c r="CD111" i="4" s="1"/>
  <c r="FA112" i="4"/>
  <c r="FB112" i="4" s="1"/>
  <c r="FQ112" i="4"/>
  <c r="FR112" i="4" s="1"/>
  <c r="AW113" i="4"/>
  <c r="AX113" i="4" s="1"/>
  <c r="AS113" i="4"/>
  <c r="AT113" i="4" s="1"/>
  <c r="AO113" i="4"/>
  <c r="AP113" i="4" s="1"/>
  <c r="AK113" i="4"/>
  <c r="AL113" i="4" s="1"/>
  <c r="AG113" i="4"/>
  <c r="AH113" i="4" s="1"/>
  <c r="AC113" i="4"/>
  <c r="AD113" i="4" s="1"/>
  <c r="Y113" i="4"/>
  <c r="Z113" i="4" s="1"/>
  <c r="U113" i="4"/>
  <c r="V113" i="4" s="1"/>
  <c r="Q113" i="4"/>
  <c r="R113" i="4" s="1"/>
  <c r="M113" i="4"/>
  <c r="N113" i="4" s="1"/>
  <c r="J113" i="4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FQ118" i="4"/>
  <c r="FR118" i="4" s="1"/>
  <c r="CY101" i="4"/>
  <c r="CZ101" i="4" s="1"/>
  <c r="DC101" i="4"/>
  <c r="DD101" i="4" s="1"/>
  <c r="DG101" i="4"/>
  <c r="DH101" i="4" s="1"/>
  <c r="DK101" i="4"/>
  <c r="DL101" i="4" s="1"/>
  <c r="CY105" i="4"/>
  <c r="CZ105" i="4" s="1"/>
  <c r="DC105" i="4"/>
  <c r="DD105" i="4" s="1"/>
  <c r="DG105" i="4"/>
  <c r="DH105" i="4" s="1"/>
  <c r="DK105" i="4"/>
  <c r="DL105" i="4" s="1"/>
  <c r="AS107" i="4"/>
  <c r="AT107" i="4" s="1"/>
  <c r="AK109" i="4"/>
  <c r="AL109" i="4" s="1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I116" i="4"/>
  <c r="BZ116" i="4"/>
  <c r="GI118" i="4"/>
  <c r="GJ118" i="4" s="1"/>
  <c r="GE118" i="4"/>
  <c r="GF118" i="4" s="1"/>
  <c r="GA118" i="4"/>
  <c r="GB118" i="4" s="1"/>
  <c r="FW118" i="4"/>
  <c r="FX118" i="4" s="1"/>
  <c r="FS118" i="4"/>
  <c r="FT118" i="4" s="1"/>
  <c r="FO118" i="4"/>
  <c r="FP118" i="4" s="1"/>
  <c r="FK118" i="4"/>
  <c r="FL118" i="4" s="1"/>
  <c r="FG118" i="4"/>
  <c r="FH118" i="4" s="1"/>
  <c r="FC118" i="4"/>
  <c r="FD118" i="4" s="1"/>
  <c r="EY118" i="4"/>
  <c r="EZ118" i="4" s="1"/>
  <c r="EU118" i="4"/>
  <c r="EV118" i="4" s="1"/>
  <c r="ER119" i="4"/>
  <c r="ES119" i="4" s="1"/>
  <c r="CA119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G120" i="4"/>
  <c r="AH120" i="4" s="1"/>
  <c r="Q120" i="4"/>
  <c r="R120" i="4" s="1"/>
  <c r="AK120" i="4"/>
  <c r="AL120" i="4" s="1"/>
  <c r="U120" i="4"/>
  <c r="V120" i="4" s="1"/>
  <c r="AS120" i="4"/>
  <c r="AT120" i="4" s="1"/>
  <c r="AC120" i="4"/>
  <c r="AD120" i="4" s="1"/>
  <c r="M120" i="4"/>
  <c r="N120" i="4" s="1"/>
  <c r="J111" i="4"/>
  <c r="M111" i="4"/>
  <c r="N111" i="4" s="1"/>
  <c r="Q111" i="4"/>
  <c r="R111" i="4" s="1"/>
  <c r="U111" i="4"/>
  <c r="V111" i="4" s="1"/>
  <c r="Y111" i="4"/>
  <c r="Z111" i="4" s="1"/>
  <c r="AC111" i="4"/>
  <c r="AD111" i="4" s="1"/>
  <c r="AG111" i="4"/>
  <c r="AH111" i="4" s="1"/>
  <c r="AK111" i="4"/>
  <c r="AL111" i="4" s="1"/>
  <c r="AO111" i="4"/>
  <c r="AP111" i="4" s="1"/>
  <c r="AS111" i="4"/>
  <c r="AT111" i="4" s="1"/>
  <c r="AW111" i="4"/>
  <c r="AX111" i="4" s="1"/>
  <c r="CE113" i="4"/>
  <c r="CF113" i="4" s="1"/>
  <c r="CU113" i="4"/>
  <c r="CV113" i="4" s="1"/>
  <c r="DK113" i="4"/>
  <c r="DL113" i="4" s="1"/>
  <c r="J117" i="4"/>
  <c r="M117" i="4"/>
  <c r="N117" i="4" s="1"/>
  <c r="Q117" i="4"/>
  <c r="R117" i="4" s="1"/>
  <c r="U117" i="4"/>
  <c r="V117" i="4" s="1"/>
  <c r="Y117" i="4"/>
  <c r="Z117" i="4" s="1"/>
  <c r="AC117" i="4"/>
  <c r="AD117" i="4" s="1"/>
  <c r="AG117" i="4"/>
  <c r="AH117" i="4" s="1"/>
  <c r="AK117" i="4"/>
  <c r="AL117" i="4" s="1"/>
  <c r="AO117" i="4"/>
  <c r="AP117" i="4" s="1"/>
  <c r="AS117" i="4"/>
  <c r="AT117" i="4" s="1"/>
  <c r="AW117" i="4"/>
  <c r="AX117" i="4" s="1"/>
  <c r="I118" i="4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CM122" i="4"/>
  <c r="CN122" i="4" s="1"/>
  <c r="FG122" i="4"/>
  <c r="FH122" i="4" s="1"/>
  <c r="O123" i="4"/>
  <c r="P123" i="4" s="1"/>
  <c r="U123" i="4"/>
  <c r="V123" i="4" s="1"/>
  <c r="AE123" i="4"/>
  <c r="AF123" i="4" s="1"/>
  <c r="AK123" i="4"/>
  <c r="AL123" i="4" s="1"/>
  <c r="CI123" i="4"/>
  <c r="CJ123" i="4" s="1"/>
  <c r="CO123" i="4"/>
  <c r="CP123" i="4" s="1"/>
  <c r="CY123" i="4"/>
  <c r="CZ123" i="4" s="1"/>
  <c r="DE123" i="4"/>
  <c r="DF123" i="4" s="1"/>
  <c r="DO123" i="4"/>
  <c r="DP123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ER131" i="4"/>
  <c r="ES131" i="4" s="1"/>
  <c r="GG122" i="4"/>
  <c r="GH122" i="4" s="1"/>
  <c r="GC122" i="4"/>
  <c r="GD122" i="4" s="1"/>
  <c r="FY122" i="4"/>
  <c r="FZ122" i="4" s="1"/>
  <c r="FU122" i="4"/>
  <c r="FV122" i="4" s="1"/>
  <c r="FQ122" i="4"/>
  <c r="FR122" i="4" s="1"/>
  <c r="FM122" i="4"/>
  <c r="FN122" i="4" s="1"/>
  <c r="FI122" i="4"/>
  <c r="FJ122" i="4" s="1"/>
  <c r="FE122" i="4"/>
  <c r="FF122" i="4" s="1"/>
  <c r="FA122" i="4"/>
  <c r="FB122" i="4" s="1"/>
  <c r="EW122" i="4"/>
  <c r="EX122" i="4" s="1"/>
  <c r="ET122" i="4"/>
  <c r="I125" i="4"/>
  <c r="BZ125" i="4"/>
  <c r="FS127" i="4"/>
  <c r="FT127" i="4" s="1"/>
  <c r="FK130" i="4"/>
  <c r="FL130" i="4" s="1"/>
  <c r="FY130" i="4"/>
  <c r="FZ130" i="4" s="1"/>
  <c r="ET130" i="4"/>
  <c r="FG130" i="4"/>
  <c r="FH130" i="4" s="1"/>
  <c r="CM112" i="4"/>
  <c r="CN112" i="4" s="1"/>
  <c r="CQ112" i="4"/>
  <c r="CR112" i="4" s="1"/>
  <c r="CU112" i="4"/>
  <c r="CV112" i="4" s="1"/>
  <c r="CY112" i="4"/>
  <c r="CZ112" i="4" s="1"/>
  <c r="DC112" i="4"/>
  <c r="DD112" i="4" s="1"/>
  <c r="DG112" i="4"/>
  <c r="DH112" i="4" s="1"/>
  <c r="DK112" i="4"/>
  <c r="DL112" i="4" s="1"/>
  <c r="DQ122" i="4"/>
  <c r="DR122" i="4" s="1"/>
  <c r="DM122" i="4"/>
  <c r="DN122" i="4" s="1"/>
  <c r="DI122" i="4"/>
  <c r="DJ122" i="4" s="1"/>
  <c r="DE122" i="4"/>
  <c r="DF122" i="4" s="1"/>
  <c r="DA122" i="4"/>
  <c r="DB122" i="4" s="1"/>
  <c r="CW122" i="4"/>
  <c r="CX122" i="4" s="1"/>
  <c r="CS122" i="4"/>
  <c r="CT122" i="4" s="1"/>
  <c r="CO122" i="4"/>
  <c r="CP122" i="4" s="1"/>
  <c r="CK122" i="4"/>
  <c r="CL122" i="4" s="1"/>
  <c r="CG122" i="4"/>
  <c r="CH122" i="4" s="1"/>
  <c r="CC122" i="4"/>
  <c r="CD122" i="4" s="1"/>
  <c r="FK122" i="4"/>
  <c r="FL122" i="4" s="1"/>
  <c r="GA122" i="4"/>
  <c r="GB122" i="4" s="1"/>
  <c r="CS123" i="4"/>
  <c r="CT123" i="4" s="1"/>
  <c r="DC123" i="4"/>
  <c r="DD123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AY133" i="4"/>
  <c r="AZ133" i="4" s="1"/>
  <c r="AU133" i="4"/>
  <c r="AV133" i="4" s="1"/>
  <c r="AQ133" i="4"/>
  <c r="AR133" i="4" s="1"/>
  <c r="AM133" i="4"/>
  <c r="AN133" i="4" s="1"/>
  <c r="AI133" i="4"/>
  <c r="AJ133" i="4" s="1"/>
  <c r="AE133" i="4"/>
  <c r="AF133" i="4" s="1"/>
  <c r="AA133" i="4"/>
  <c r="AB133" i="4" s="1"/>
  <c r="W133" i="4"/>
  <c r="X133" i="4" s="1"/>
  <c r="S133" i="4"/>
  <c r="T133" i="4" s="1"/>
  <c r="O133" i="4"/>
  <c r="P133" i="4" s="1"/>
  <c r="K133" i="4"/>
  <c r="L133" i="4" s="1"/>
  <c r="CB124" i="4"/>
  <c r="CE124" i="4"/>
  <c r="CF124" i="4" s="1"/>
  <c r="CI124" i="4"/>
  <c r="CJ124" i="4" s="1"/>
  <c r="CM124" i="4"/>
  <c r="CN124" i="4" s="1"/>
  <c r="CQ124" i="4"/>
  <c r="CR124" i="4" s="1"/>
  <c r="CU124" i="4"/>
  <c r="CV124" i="4" s="1"/>
  <c r="CY124" i="4"/>
  <c r="CZ124" i="4" s="1"/>
  <c r="DC124" i="4"/>
  <c r="DD124" i="4" s="1"/>
  <c r="DG124" i="4"/>
  <c r="DH124" i="4" s="1"/>
  <c r="DK124" i="4"/>
  <c r="DL124" i="4" s="1"/>
  <c r="DO124" i="4"/>
  <c r="DP124" i="4" s="1"/>
  <c r="AY127" i="4"/>
  <c r="AZ127" i="4" s="1"/>
  <c r="AU127" i="4"/>
  <c r="AV127" i="4" s="1"/>
  <c r="AQ127" i="4"/>
  <c r="AR127" i="4" s="1"/>
  <c r="AM127" i="4"/>
  <c r="AN127" i="4" s="1"/>
  <c r="AI127" i="4"/>
  <c r="AJ127" i="4" s="1"/>
  <c r="AE127" i="4"/>
  <c r="AF127" i="4" s="1"/>
  <c r="AA127" i="4"/>
  <c r="AB127" i="4" s="1"/>
  <c r="W127" i="4"/>
  <c r="X127" i="4" s="1"/>
  <c r="S127" i="4"/>
  <c r="T127" i="4" s="1"/>
  <c r="O127" i="4"/>
  <c r="P127" i="4" s="1"/>
  <c r="K127" i="4"/>
  <c r="L127" i="4" s="1"/>
  <c r="CS127" i="4"/>
  <c r="CT127" i="4" s="1"/>
  <c r="K131" i="4"/>
  <c r="L131" i="4" s="1"/>
  <c r="AA131" i="4"/>
  <c r="AB131" i="4" s="1"/>
  <c r="AQ131" i="4"/>
  <c r="AR131" i="4" s="1"/>
  <c r="EW132" i="4"/>
  <c r="EX132" i="4" s="1"/>
  <c r="FM132" i="4"/>
  <c r="FN132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GG133" i="4"/>
  <c r="GH133" i="4" s="1"/>
  <c r="FW133" i="4"/>
  <c r="FX133" i="4" s="1"/>
  <c r="FQ133" i="4"/>
  <c r="FR133" i="4" s="1"/>
  <c r="FG133" i="4"/>
  <c r="FH133" i="4" s="1"/>
  <c r="FA133" i="4"/>
  <c r="FB133" i="4" s="1"/>
  <c r="GA133" i="4"/>
  <c r="GB133" i="4" s="1"/>
  <c r="FU133" i="4"/>
  <c r="FV133" i="4" s="1"/>
  <c r="FK133" i="4"/>
  <c r="FL133" i="4" s="1"/>
  <c r="FE133" i="4"/>
  <c r="FF133" i="4" s="1"/>
  <c r="EU133" i="4"/>
  <c r="EV133" i="4" s="1"/>
  <c r="GI133" i="4"/>
  <c r="GJ133" i="4" s="1"/>
  <c r="GC133" i="4"/>
  <c r="GD133" i="4" s="1"/>
  <c r="FS133" i="4"/>
  <c r="FT133" i="4" s="1"/>
  <c r="FM133" i="4"/>
  <c r="FN133" i="4" s="1"/>
  <c r="FC133" i="4"/>
  <c r="FD133" i="4" s="1"/>
  <c r="EW133" i="4"/>
  <c r="EX133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GI134" i="4"/>
  <c r="GJ134" i="4" s="1"/>
  <c r="FS134" i="4"/>
  <c r="FT134" i="4" s="1"/>
  <c r="FC134" i="4"/>
  <c r="FD134" i="4" s="1"/>
  <c r="FW134" i="4"/>
  <c r="FX134" i="4" s="1"/>
  <c r="FG134" i="4"/>
  <c r="FH134" i="4" s="1"/>
  <c r="GE134" i="4"/>
  <c r="GF134" i="4" s="1"/>
  <c r="FO134" i="4"/>
  <c r="FP134" i="4" s="1"/>
  <c r="EY134" i="4"/>
  <c r="EZ134" i="4" s="1"/>
  <c r="ER135" i="4"/>
  <c r="ES135" i="4" s="1"/>
  <c r="CA135" i="4"/>
  <c r="AY136" i="4"/>
  <c r="AZ136" i="4" s="1"/>
  <c r="AU136" i="4"/>
  <c r="AV136" i="4" s="1"/>
  <c r="AQ136" i="4"/>
  <c r="AR136" i="4" s="1"/>
  <c r="AM136" i="4"/>
  <c r="AN136" i="4" s="1"/>
  <c r="AI136" i="4"/>
  <c r="AJ136" i="4" s="1"/>
  <c r="AE136" i="4"/>
  <c r="AF136" i="4" s="1"/>
  <c r="AA136" i="4"/>
  <c r="AB136" i="4" s="1"/>
  <c r="W136" i="4"/>
  <c r="X136" i="4" s="1"/>
  <c r="S136" i="4"/>
  <c r="T136" i="4" s="1"/>
  <c r="O136" i="4"/>
  <c r="P136" i="4" s="1"/>
  <c r="K136" i="4"/>
  <c r="L136" i="4" s="1"/>
  <c r="AW136" i="4"/>
  <c r="AX136" i="4" s="1"/>
  <c r="AG136" i="4"/>
  <c r="AH136" i="4" s="1"/>
  <c r="Q136" i="4"/>
  <c r="R136" i="4" s="1"/>
  <c r="AK136" i="4"/>
  <c r="AL136" i="4" s="1"/>
  <c r="U136" i="4"/>
  <c r="V136" i="4" s="1"/>
  <c r="AS136" i="4"/>
  <c r="AT136" i="4" s="1"/>
  <c r="AC136" i="4"/>
  <c r="AD136" i="4" s="1"/>
  <c r="M136" i="4"/>
  <c r="N136" i="4" s="1"/>
  <c r="GA139" i="4"/>
  <c r="GB139" i="4" s="1"/>
  <c r="FU139" i="4"/>
  <c r="FV139" i="4" s="1"/>
  <c r="FK139" i="4"/>
  <c r="FL139" i="4" s="1"/>
  <c r="FE139" i="4"/>
  <c r="FF139" i="4" s="1"/>
  <c r="EU139" i="4"/>
  <c r="EV139" i="4" s="1"/>
  <c r="GE139" i="4"/>
  <c r="GF139" i="4" s="1"/>
  <c r="FY139" i="4"/>
  <c r="FZ139" i="4" s="1"/>
  <c r="FO139" i="4"/>
  <c r="FP139" i="4" s="1"/>
  <c r="FI139" i="4"/>
  <c r="FJ139" i="4" s="1"/>
  <c r="EY139" i="4"/>
  <c r="EZ139" i="4" s="1"/>
  <c r="ET139" i="4"/>
  <c r="GG139" i="4"/>
  <c r="GH139" i="4" s="1"/>
  <c r="FW139" i="4"/>
  <c r="FX139" i="4" s="1"/>
  <c r="FQ139" i="4"/>
  <c r="FR139" i="4" s="1"/>
  <c r="FG139" i="4"/>
  <c r="FH139" i="4" s="1"/>
  <c r="FA139" i="4"/>
  <c r="FB139" i="4" s="1"/>
  <c r="GC139" i="4"/>
  <c r="GD139" i="4" s="1"/>
  <c r="FC139" i="4"/>
  <c r="FD139" i="4" s="1"/>
  <c r="GI139" i="4"/>
  <c r="GJ139" i="4" s="1"/>
  <c r="FM139" i="4"/>
  <c r="FN139" i="4" s="1"/>
  <c r="DK127" i="4"/>
  <c r="DL127" i="4" s="1"/>
  <c r="CU127" i="4"/>
  <c r="CV127" i="4" s="1"/>
  <c r="CE127" i="4"/>
  <c r="CF127" i="4" s="1"/>
  <c r="AW131" i="4"/>
  <c r="AX131" i="4" s="1"/>
  <c r="AS131" i="4"/>
  <c r="AT131" i="4" s="1"/>
  <c r="AO131" i="4"/>
  <c r="AP131" i="4" s="1"/>
  <c r="AK131" i="4"/>
  <c r="AL131" i="4" s="1"/>
  <c r="AG131" i="4"/>
  <c r="AH131" i="4" s="1"/>
  <c r="AC131" i="4"/>
  <c r="AD131" i="4" s="1"/>
  <c r="Y131" i="4"/>
  <c r="Z131" i="4" s="1"/>
  <c r="U131" i="4"/>
  <c r="V131" i="4" s="1"/>
  <c r="Q131" i="4"/>
  <c r="R131" i="4" s="1"/>
  <c r="M131" i="4"/>
  <c r="N131" i="4" s="1"/>
  <c r="J131" i="4"/>
  <c r="ET132" i="4"/>
  <c r="FI132" i="4"/>
  <c r="FJ132" i="4" s="1"/>
  <c r="FY132" i="4"/>
  <c r="FZ132" i="4" s="1"/>
  <c r="CA134" i="4"/>
  <c r="ER136" i="4"/>
  <c r="ES136" i="4" s="1"/>
  <c r="CA136" i="4"/>
  <c r="CB133" i="4"/>
  <c r="CE133" i="4"/>
  <c r="CF133" i="4" s="1"/>
  <c r="CI133" i="4"/>
  <c r="CJ133" i="4" s="1"/>
  <c r="CM133" i="4"/>
  <c r="CN133" i="4" s="1"/>
  <c r="CQ133" i="4"/>
  <c r="CR133" i="4" s="1"/>
  <c r="CU133" i="4"/>
  <c r="CV133" i="4" s="1"/>
  <c r="CY133" i="4"/>
  <c r="CZ133" i="4" s="1"/>
  <c r="DI133" i="4"/>
  <c r="DJ133" i="4" s="1"/>
  <c r="W134" i="4"/>
  <c r="X134" i="4" s="1"/>
  <c r="M135" i="4"/>
  <c r="N135" i="4" s="1"/>
  <c r="W135" i="4"/>
  <c r="X135" i="4" s="1"/>
  <c r="AC135" i="4"/>
  <c r="AD135" i="4" s="1"/>
  <c r="AM135" i="4"/>
  <c r="AN135" i="4" s="1"/>
  <c r="AS135" i="4"/>
  <c r="AT135" i="4" s="1"/>
  <c r="AW134" i="4"/>
  <c r="AX134" i="4" s="1"/>
  <c r="AS134" i="4"/>
  <c r="AT134" i="4" s="1"/>
  <c r="AO134" i="4"/>
  <c r="AP134" i="4" s="1"/>
  <c r="AK134" i="4"/>
  <c r="AL134" i="4" s="1"/>
  <c r="AG134" i="4"/>
  <c r="AH134" i="4" s="1"/>
  <c r="AC134" i="4"/>
  <c r="AD134" i="4" s="1"/>
  <c r="Y134" i="4"/>
  <c r="Z134" i="4" s="1"/>
  <c r="U134" i="4"/>
  <c r="V134" i="4" s="1"/>
  <c r="Q134" i="4"/>
  <c r="R134" i="4" s="1"/>
  <c r="M134" i="4"/>
  <c r="N134" i="4" s="1"/>
  <c r="J134" i="4"/>
  <c r="I137" i="4"/>
  <c r="BZ137" i="4"/>
  <c r="ER140" i="4"/>
  <c r="ES140" i="4" s="1"/>
  <c r="CA140" i="4"/>
  <c r="AW144" i="4"/>
  <c r="AX144" i="4" s="1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AK144" i="4"/>
  <c r="AL144" i="4" s="1"/>
  <c r="U144" i="4"/>
  <c r="V144" i="4" s="1"/>
  <c r="AO144" i="4"/>
  <c r="AP144" i="4" s="1"/>
  <c r="Y144" i="4"/>
  <c r="Z144" i="4" s="1"/>
  <c r="J144" i="4"/>
  <c r="AG144" i="4"/>
  <c r="AH144" i="4" s="1"/>
  <c r="Q144" i="4"/>
  <c r="R144" i="4" s="1"/>
  <c r="DQ144" i="4"/>
  <c r="DR144" i="4" s="1"/>
  <c r="DM144" i="4"/>
  <c r="DN144" i="4" s="1"/>
  <c r="DI144" i="4"/>
  <c r="DJ144" i="4" s="1"/>
  <c r="DE144" i="4"/>
  <c r="DF144" i="4" s="1"/>
  <c r="DA144" i="4"/>
  <c r="DB144" i="4" s="1"/>
  <c r="CW144" i="4"/>
  <c r="CX144" i="4" s="1"/>
  <c r="CS144" i="4"/>
  <c r="CT144" i="4" s="1"/>
  <c r="CO144" i="4"/>
  <c r="CP144" i="4" s="1"/>
  <c r="CK144" i="4"/>
  <c r="CL144" i="4" s="1"/>
  <c r="CG144" i="4"/>
  <c r="CH144" i="4" s="1"/>
  <c r="CC144" i="4"/>
  <c r="CD144" i="4" s="1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GG144" i="4"/>
  <c r="GH144" i="4" s="1"/>
  <c r="GC144" i="4"/>
  <c r="GD144" i="4" s="1"/>
  <c r="FY144" i="4"/>
  <c r="FZ144" i="4" s="1"/>
  <c r="FU144" i="4"/>
  <c r="FV144" i="4" s="1"/>
  <c r="FQ144" i="4"/>
  <c r="FR144" i="4" s="1"/>
  <c r="FM144" i="4"/>
  <c r="FN144" i="4" s="1"/>
  <c r="FI144" i="4"/>
  <c r="FJ144" i="4" s="1"/>
  <c r="FE144" i="4"/>
  <c r="FF144" i="4" s="1"/>
  <c r="FA144" i="4"/>
  <c r="FB144" i="4" s="1"/>
  <c r="EW144" i="4"/>
  <c r="EX144" i="4" s="1"/>
  <c r="ET144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CB132" i="4"/>
  <c r="CE132" i="4"/>
  <c r="CF132" i="4" s="1"/>
  <c r="CI132" i="4"/>
  <c r="CJ132" i="4" s="1"/>
  <c r="CM132" i="4"/>
  <c r="CN132" i="4" s="1"/>
  <c r="CQ132" i="4"/>
  <c r="CR132" i="4" s="1"/>
  <c r="CU132" i="4"/>
  <c r="CV132" i="4" s="1"/>
  <c r="CY132" i="4"/>
  <c r="CZ132" i="4" s="1"/>
  <c r="DC132" i="4"/>
  <c r="DD132" i="4" s="1"/>
  <c r="DG132" i="4"/>
  <c r="DH132" i="4" s="1"/>
  <c r="DK132" i="4"/>
  <c r="DL132" i="4" s="1"/>
  <c r="K134" i="4"/>
  <c r="L134" i="4" s="1"/>
  <c r="AA134" i="4"/>
  <c r="AB134" i="4" s="1"/>
  <c r="AQ134" i="4"/>
  <c r="AR134" i="4" s="1"/>
  <c r="AQ135" i="4"/>
  <c r="AR135" i="4" s="1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M144" i="4"/>
  <c r="N144" i="4" s="1"/>
  <c r="BZ147" i="4"/>
  <c r="I147" i="4"/>
  <c r="J138" i="4"/>
  <c r="M138" i="4"/>
  <c r="N138" i="4" s="1"/>
  <c r="Q138" i="4"/>
  <c r="R138" i="4" s="1"/>
  <c r="U138" i="4"/>
  <c r="V138" i="4" s="1"/>
  <c r="Y138" i="4"/>
  <c r="Z138" i="4" s="1"/>
  <c r="AC138" i="4"/>
  <c r="AD138" i="4" s="1"/>
  <c r="AG138" i="4"/>
  <c r="AH138" i="4" s="1"/>
  <c r="AK138" i="4"/>
  <c r="AL138" i="4" s="1"/>
  <c r="AO138" i="4"/>
  <c r="AP138" i="4" s="1"/>
  <c r="AS138" i="4"/>
  <c r="AT138" i="4" s="1"/>
  <c r="AW138" i="4"/>
  <c r="AX138" i="4" s="1"/>
  <c r="AQ140" i="4"/>
  <c r="AR140" i="4" s="1"/>
  <c r="K143" i="4"/>
  <c r="L143" i="4" s="1"/>
  <c r="Q143" i="4"/>
  <c r="R143" i="4" s="1"/>
  <c r="AA143" i="4"/>
  <c r="AB143" i="4" s="1"/>
  <c r="AG143" i="4"/>
  <c r="AH143" i="4" s="1"/>
  <c r="AQ143" i="4"/>
  <c r="AR143" i="4" s="1"/>
  <c r="AW143" i="4"/>
  <c r="AX143" i="4" s="1"/>
  <c r="GI146" i="4"/>
  <c r="GJ146" i="4" s="1"/>
  <c r="GC146" i="4"/>
  <c r="GD146" i="4" s="1"/>
  <c r="FS146" i="4"/>
  <c r="FT146" i="4" s="1"/>
  <c r="FM146" i="4"/>
  <c r="FN146" i="4" s="1"/>
  <c r="FC146" i="4"/>
  <c r="FD146" i="4" s="1"/>
  <c r="EW146" i="4"/>
  <c r="EX146" i="4" s="1"/>
  <c r="GG146" i="4"/>
  <c r="GH146" i="4" s="1"/>
  <c r="FW146" i="4"/>
  <c r="FX146" i="4" s="1"/>
  <c r="FQ146" i="4"/>
  <c r="FR146" i="4" s="1"/>
  <c r="FG146" i="4"/>
  <c r="FH146" i="4" s="1"/>
  <c r="FA146" i="4"/>
  <c r="FB146" i="4" s="1"/>
  <c r="GE146" i="4"/>
  <c r="GF146" i="4" s="1"/>
  <c r="FY146" i="4"/>
  <c r="FZ146" i="4" s="1"/>
  <c r="FO146" i="4"/>
  <c r="FP146" i="4" s="1"/>
  <c r="FI146" i="4"/>
  <c r="FJ146" i="4" s="1"/>
  <c r="EY146" i="4"/>
  <c r="EZ146" i="4" s="1"/>
  <c r="ET146" i="4"/>
  <c r="CO151" i="4"/>
  <c r="CP151" i="4" s="1"/>
  <c r="K138" i="4"/>
  <c r="L138" i="4" s="1"/>
  <c r="O138" i="4"/>
  <c r="P138" i="4" s="1"/>
  <c r="S138" i="4"/>
  <c r="T138" i="4" s="1"/>
  <c r="W138" i="4"/>
  <c r="X138" i="4" s="1"/>
  <c r="AA138" i="4"/>
  <c r="AB138" i="4" s="1"/>
  <c r="AE138" i="4"/>
  <c r="AF138" i="4" s="1"/>
  <c r="AI138" i="4"/>
  <c r="AJ138" i="4" s="1"/>
  <c r="AM138" i="4"/>
  <c r="AN138" i="4" s="1"/>
  <c r="AQ138" i="4"/>
  <c r="AR138" i="4" s="1"/>
  <c r="AU138" i="4"/>
  <c r="AV138" i="4" s="1"/>
  <c r="AI140" i="4"/>
  <c r="AJ140" i="4" s="1"/>
  <c r="J143" i="4"/>
  <c r="S143" i="4"/>
  <c r="T143" i="4" s="1"/>
  <c r="Y143" i="4"/>
  <c r="Z143" i="4" s="1"/>
  <c r="AI143" i="4"/>
  <c r="AJ143" i="4" s="1"/>
  <c r="AO143" i="4"/>
  <c r="AP143" i="4" s="1"/>
  <c r="BZ143" i="4"/>
  <c r="GG151" i="4"/>
  <c r="GH151" i="4" s="1"/>
  <c r="GA151" i="4"/>
  <c r="GB151" i="4" s="1"/>
  <c r="FQ151" i="4"/>
  <c r="FR151" i="4" s="1"/>
  <c r="FK151" i="4"/>
  <c r="FL151" i="4" s="1"/>
  <c r="FA151" i="4"/>
  <c r="FB151" i="4" s="1"/>
  <c r="EU151" i="4"/>
  <c r="EV151" i="4" s="1"/>
  <c r="GC151" i="4"/>
  <c r="GD151" i="4" s="1"/>
  <c r="FW151" i="4"/>
  <c r="FX151" i="4" s="1"/>
  <c r="FM151" i="4"/>
  <c r="FN151" i="4" s="1"/>
  <c r="FG151" i="4"/>
  <c r="FH151" i="4" s="1"/>
  <c r="EW151" i="4"/>
  <c r="EX151" i="4" s="1"/>
  <c r="GE151" i="4"/>
  <c r="GF151" i="4" s="1"/>
  <c r="FU151" i="4"/>
  <c r="FV151" i="4" s="1"/>
  <c r="EY151" i="4"/>
  <c r="EZ151" i="4" s="1"/>
  <c r="FS151" i="4"/>
  <c r="FT151" i="4" s="1"/>
  <c r="FI151" i="4"/>
  <c r="FJ151" i="4" s="1"/>
  <c r="GI151" i="4"/>
  <c r="GJ151" i="4" s="1"/>
  <c r="FY151" i="4"/>
  <c r="FZ151" i="4" s="1"/>
  <c r="FC151" i="4"/>
  <c r="FD151" i="4" s="1"/>
  <c r="ET151" i="4"/>
  <c r="AS140" i="4"/>
  <c r="AT140" i="4" s="1"/>
  <c r="AC140" i="4"/>
  <c r="AD140" i="4" s="1"/>
  <c r="M140" i="4"/>
  <c r="N140" i="4" s="1"/>
  <c r="DI151" i="4"/>
  <c r="DJ151" i="4" s="1"/>
  <c r="DC151" i="4"/>
  <c r="DD151" i="4" s="1"/>
  <c r="DO151" i="4"/>
  <c r="DP151" i="4" s="1"/>
  <c r="DE151" i="4"/>
  <c r="DF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DM151" i="4"/>
  <c r="DN151" i="4" s="1"/>
  <c r="CS151" i="4"/>
  <c r="CT151" i="4" s="1"/>
  <c r="CK151" i="4"/>
  <c r="CL151" i="4" s="1"/>
  <c r="CC151" i="4"/>
  <c r="CD151" i="4" s="1"/>
  <c r="DK151" i="4"/>
  <c r="DL151" i="4" s="1"/>
  <c r="DA151" i="4"/>
  <c r="DB151" i="4" s="1"/>
  <c r="DQ151" i="4"/>
  <c r="DR151" i="4" s="1"/>
  <c r="Q146" i="4"/>
  <c r="R146" i="4" s="1"/>
  <c r="W146" i="4"/>
  <c r="X146" i="4" s="1"/>
  <c r="AG146" i="4"/>
  <c r="AH146" i="4" s="1"/>
  <c r="AM146" i="4"/>
  <c r="AN146" i="4" s="1"/>
  <c r="CE146" i="4"/>
  <c r="CF146" i="4" s="1"/>
  <c r="CO146" i="4"/>
  <c r="CP146" i="4" s="1"/>
  <c r="CU146" i="4"/>
  <c r="CV146" i="4" s="1"/>
  <c r="DE146" i="4"/>
  <c r="DF146" i="4" s="1"/>
  <c r="J148" i="4"/>
  <c r="S148" i="4"/>
  <c r="T148" i="4" s="1"/>
  <c r="Y148" i="4"/>
  <c r="Z148" i="4" s="1"/>
  <c r="AI148" i="4"/>
  <c r="AJ148" i="4" s="1"/>
  <c r="AO148" i="4"/>
  <c r="AP148" i="4" s="1"/>
  <c r="AY148" i="4"/>
  <c r="AZ148" i="4" s="1"/>
  <c r="M151" i="4"/>
  <c r="N151" i="4" s="1"/>
  <c r="U151" i="4"/>
  <c r="V151" i="4" s="1"/>
  <c r="AC151" i="4"/>
  <c r="AD151" i="4" s="1"/>
  <c r="AK151" i="4"/>
  <c r="AL151" i="4" s="1"/>
  <c r="AS151" i="4"/>
  <c r="AT151" i="4" s="1"/>
  <c r="K148" i="4"/>
  <c r="L148" i="4" s="1"/>
  <c r="Q148" i="4"/>
  <c r="R148" i="4" s="1"/>
  <c r="AA148" i="4"/>
  <c r="AB148" i="4" s="1"/>
  <c r="AG148" i="4"/>
  <c r="AH148" i="4" s="1"/>
  <c r="AQ148" i="4"/>
  <c r="AR148" i="4" s="1"/>
  <c r="J151" i="4"/>
  <c r="Q151" i="4"/>
  <c r="R151" i="4" s="1"/>
  <c r="Y151" i="4"/>
  <c r="Z151" i="4" s="1"/>
  <c r="AG151" i="4"/>
  <c r="AH151" i="4" s="1"/>
  <c r="AO151" i="4"/>
  <c r="AP151" i="4" s="1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U152" i="4"/>
  <c r="V152" i="4" s="1"/>
  <c r="CO152" i="4"/>
  <c r="CP152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CA153" i="4"/>
  <c r="ER153" i="4"/>
  <c r="ES153" i="4" s="1"/>
  <c r="CA154" i="4"/>
  <c r="ER154" i="4"/>
  <c r="ES154" i="4" s="1"/>
  <c r="AY152" i="4"/>
  <c r="AZ152" i="4" s="1"/>
  <c r="AU152" i="4"/>
  <c r="AV152" i="4" s="1"/>
  <c r="AQ152" i="4"/>
  <c r="AR152" i="4" s="1"/>
  <c r="AM152" i="4"/>
  <c r="AN152" i="4" s="1"/>
  <c r="AI152" i="4"/>
  <c r="AJ152" i="4" s="1"/>
  <c r="AE152" i="4"/>
  <c r="AF152" i="4" s="1"/>
  <c r="AA152" i="4"/>
  <c r="AB152" i="4" s="1"/>
  <c r="W152" i="4"/>
  <c r="X152" i="4" s="1"/>
  <c r="S152" i="4"/>
  <c r="T152" i="4" s="1"/>
  <c r="O152" i="4"/>
  <c r="P152" i="4" s="1"/>
  <c r="K152" i="4"/>
  <c r="L152" i="4" s="1"/>
  <c r="CC152" i="4"/>
  <c r="CD152" i="4" s="1"/>
  <c r="CS152" i="4"/>
  <c r="CT152" i="4" s="1"/>
  <c r="DI152" i="4"/>
  <c r="DJ152" i="4" s="1"/>
  <c r="GG152" i="4"/>
  <c r="GH152" i="4" s="1"/>
  <c r="GC152" i="4"/>
  <c r="GD152" i="4" s="1"/>
  <c r="FY152" i="4"/>
  <c r="FZ152" i="4" s="1"/>
  <c r="FU152" i="4"/>
  <c r="FV152" i="4" s="1"/>
  <c r="FQ152" i="4"/>
  <c r="FR152" i="4" s="1"/>
  <c r="FM152" i="4"/>
  <c r="FN152" i="4" s="1"/>
  <c r="FI152" i="4"/>
  <c r="FJ152" i="4" s="1"/>
  <c r="FE152" i="4"/>
  <c r="FF152" i="4" s="1"/>
  <c r="FA152" i="4"/>
  <c r="FB152" i="4" s="1"/>
  <c r="EW152" i="4"/>
  <c r="EX152" i="4" s="1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U154" i="4"/>
  <c r="AV154" i="4" s="1"/>
  <c r="AQ154" i="4"/>
  <c r="AR154" i="4" s="1"/>
  <c r="AM154" i="4"/>
  <c r="AN154" i="4" s="1"/>
  <c r="AI154" i="4"/>
  <c r="AJ154" i="4" s="1"/>
  <c r="AE154" i="4"/>
  <c r="AF154" i="4" s="1"/>
  <c r="AA154" i="4"/>
  <c r="AB154" i="4" s="1"/>
  <c r="W154" i="4"/>
  <c r="X154" i="4" s="1"/>
  <c r="S154" i="4"/>
  <c r="T154" i="4" s="1"/>
  <c r="O154" i="4"/>
  <c r="P154" i="4" s="1"/>
  <c r="K154" i="4"/>
  <c r="L154" i="4" s="1"/>
  <c r="FQ130" i="4" l="1"/>
  <c r="FR130" i="4" s="1"/>
  <c r="EY130" i="4"/>
  <c r="EZ130" i="4" s="1"/>
  <c r="GE130" i="4"/>
  <c r="GF130" i="4" s="1"/>
  <c r="FU130" i="4"/>
  <c r="FV130" i="4" s="1"/>
  <c r="FW130" i="4"/>
  <c r="FX130" i="4" s="1"/>
  <c r="FI130" i="4"/>
  <c r="FJ130" i="4" s="1"/>
  <c r="EU130" i="4"/>
  <c r="EV130" i="4" s="1"/>
  <c r="GA130" i="4"/>
  <c r="GB130" i="4" s="1"/>
  <c r="FA130" i="4"/>
  <c r="FB130" i="4" s="1"/>
  <c r="GG130" i="4"/>
  <c r="GH130" i="4" s="1"/>
  <c r="FO130" i="4"/>
  <c r="FP130" i="4" s="1"/>
  <c r="CO24" i="4"/>
  <c r="CP24" i="4" s="1"/>
  <c r="Q140" i="4"/>
  <c r="R140" i="4" s="1"/>
  <c r="AG140" i="4"/>
  <c r="AH140" i="4" s="1"/>
  <c r="AW140" i="4"/>
  <c r="AX140" i="4" s="1"/>
  <c r="S140" i="4"/>
  <c r="T140" i="4" s="1"/>
  <c r="AA140" i="4"/>
  <c r="AB140" i="4" s="1"/>
  <c r="O140" i="4"/>
  <c r="P140" i="4" s="1"/>
  <c r="AM140" i="4"/>
  <c r="AN140" i="4" s="1"/>
  <c r="U140" i="4"/>
  <c r="V140" i="4" s="1"/>
  <c r="AK140" i="4"/>
  <c r="AL140" i="4" s="1"/>
  <c r="K140" i="4"/>
  <c r="L140" i="4" s="1"/>
  <c r="J140" i="4"/>
  <c r="Y140" i="4"/>
  <c r="Z140" i="4" s="1"/>
  <c r="AO140" i="4"/>
  <c r="AP140" i="4" s="1"/>
  <c r="GC130" i="4"/>
  <c r="GD130" i="4" s="1"/>
  <c r="FM130" i="4"/>
  <c r="FN130" i="4" s="1"/>
  <c r="FS130" i="4"/>
  <c r="FT130" i="4" s="1"/>
  <c r="FC130" i="4"/>
  <c r="FD130" i="4" s="1"/>
  <c r="GI130" i="4"/>
  <c r="GJ130" i="4" s="1"/>
  <c r="EW130" i="4"/>
  <c r="EX130" i="4" s="1"/>
  <c r="DO47" i="4"/>
  <c r="DP47" i="4" s="1"/>
  <c r="DM47" i="4"/>
  <c r="DN47" i="4" s="1"/>
  <c r="DE47" i="4"/>
  <c r="DF47" i="4" s="1"/>
  <c r="CW47" i="4"/>
  <c r="CX47" i="4" s="1"/>
  <c r="CO47" i="4"/>
  <c r="CP47" i="4" s="1"/>
  <c r="CG47" i="4"/>
  <c r="CH47" i="4" s="1"/>
  <c r="DQ47" i="4"/>
  <c r="DR47" i="4" s="1"/>
  <c r="DI47" i="4"/>
  <c r="DJ47" i="4" s="1"/>
  <c r="DA47" i="4"/>
  <c r="DB47" i="4" s="1"/>
  <c r="CS47" i="4"/>
  <c r="CT47" i="4" s="1"/>
  <c r="CK47" i="4"/>
  <c r="CL47" i="4" s="1"/>
  <c r="CC47" i="4"/>
  <c r="CD47" i="4" s="1"/>
  <c r="ER46" i="4"/>
  <c r="ES46" i="4" s="1"/>
  <c r="CA46" i="4"/>
  <c r="DO43" i="4"/>
  <c r="DP43" i="4" s="1"/>
  <c r="DM43" i="4"/>
  <c r="DN43" i="4" s="1"/>
  <c r="DE43" i="4"/>
  <c r="DF43" i="4" s="1"/>
  <c r="CW43" i="4"/>
  <c r="CX43" i="4" s="1"/>
  <c r="CO43" i="4"/>
  <c r="CP43" i="4" s="1"/>
  <c r="CG43" i="4"/>
  <c r="CH43" i="4" s="1"/>
  <c r="DQ43" i="4"/>
  <c r="DR43" i="4" s="1"/>
  <c r="DI43" i="4"/>
  <c r="DJ43" i="4" s="1"/>
  <c r="DA43" i="4"/>
  <c r="DB43" i="4" s="1"/>
  <c r="CS43" i="4"/>
  <c r="CT43" i="4" s="1"/>
  <c r="CK43" i="4"/>
  <c r="CL43" i="4" s="1"/>
  <c r="CC43" i="4"/>
  <c r="CD43" i="4" s="1"/>
  <c r="DO42" i="4"/>
  <c r="DP42" i="4" s="1"/>
  <c r="DM42" i="4"/>
  <c r="DN42" i="4" s="1"/>
  <c r="CW42" i="4"/>
  <c r="CX42" i="4" s="1"/>
  <c r="CG42" i="4"/>
  <c r="CH42" i="4" s="1"/>
  <c r="CO42" i="4"/>
  <c r="CP42" i="4" s="1"/>
  <c r="DA42" i="4"/>
  <c r="DB42" i="4" s="1"/>
  <c r="DI42" i="4"/>
  <c r="DJ42" i="4" s="1"/>
  <c r="CS42" i="4"/>
  <c r="CT42" i="4" s="1"/>
  <c r="CC42" i="4"/>
  <c r="CD42" i="4" s="1"/>
  <c r="DE42" i="4"/>
  <c r="DF42" i="4" s="1"/>
  <c r="CB42" i="4"/>
  <c r="DQ42" i="4"/>
  <c r="DR42" i="4" s="1"/>
  <c r="CK42" i="4"/>
  <c r="CL42" i="4" s="1"/>
  <c r="DK42" i="4"/>
  <c r="DL42" i="4" s="1"/>
  <c r="CE42" i="4"/>
  <c r="CF42" i="4" s="1"/>
  <c r="DG42" i="4"/>
  <c r="DH42" i="4" s="1"/>
  <c r="CQ42" i="4"/>
  <c r="CR42" i="4" s="1"/>
  <c r="CU42" i="4"/>
  <c r="CV42" i="4" s="1"/>
  <c r="DC42" i="4"/>
  <c r="DD42" i="4" s="1"/>
  <c r="CM42" i="4"/>
  <c r="CN42" i="4" s="1"/>
  <c r="AY49" i="4"/>
  <c r="AZ49" i="4" s="1"/>
  <c r="AA49" i="4"/>
  <c r="AB49" i="4" s="1"/>
  <c r="AM49" i="4"/>
  <c r="AN49" i="4" s="1"/>
  <c r="AE49" i="4"/>
  <c r="AF49" i="4" s="1"/>
  <c r="W49" i="4"/>
  <c r="X49" i="4" s="1"/>
  <c r="O49" i="4"/>
  <c r="P49" i="4" s="1"/>
  <c r="AI49" i="4"/>
  <c r="AJ49" i="4" s="1"/>
  <c r="K49" i="4"/>
  <c r="L49" i="4" s="1"/>
  <c r="AQ49" i="4"/>
  <c r="AR49" i="4" s="1"/>
  <c r="S49" i="4"/>
  <c r="T49" i="4" s="1"/>
  <c r="DQ54" i="4"/>
  <c r="DR54" i="4" s="1"/>
  <c r="CY54" i="4"/>
  <c r="CZ54" i="4" s="1"/>
  <c r="DK54" i="4"/>
  <c r="DL54" i="4" s="1"/>
  <c r="AC19" i="4"/>
  <c r="AD19" i="4" s="1"/>
  <c r="CE54" i="4"/>
  <c r="CF54" i="4" s="1"/>
  <c r="CK54" i="4"/>
  <c r="CL54" i="4" s="1"/>
  <c r="J19" i="4"/>
  <c r="CQ54" i="4"/>
  <c r="CR54" i="4" s="1"/>
  <c r="DI54" i="4"/>
  <c r="DJ54" i="4" s="1"/>
  <c r="CW54" i="4"/>
  <c r="CX54" i="4" s="1"/>
  <c r="AK19" i="4"/>
  <c r="AL19" i="4" s="1"/>
  <c r="M19" i="4"/>
  <c r="N19" i="4" s="1"/>
  <c r="CU54" i="4"/>
  <c r="CV54" i="4" s="1"/>
  <c r="DM54" i="4"/>
  <c r="DN54" i="4" s="1"/>
  <c r="CB54" i="4"/>
  <c r="CO54" i="4"/>
  <c r="CP54" i="4" s="1"/>
  <c r="AQ19" i="4"/>
  <c r="AR19" i="4" s="1"/>
  <c r="AS19" i="4"/>
  <c r="AT19" i="4" s="1"/>
  <c r="Y19" i="4"/>
  <c r="Z19" i="4" s="1"/>
  <c r="DO39" i="4"/>
  <c r="DP39" i="4" s="1"/>
  <c r="DM39" i="4"/>
  <c r="DN39" i="4" s="1"/>
  <c r="DE39" i="4"/>
  <c r="DF39" i="4" s="1"/>
  <c r="CW39" i="4"/>
  <c r="CX39" i="4" s="1"/>
  <c r="CO39" i="4"/>
  <c r="CP39" i="4" s="1"/>
  <c r="CG39" i="4"/>
  <c r="CH39" i="4" s="1"/>
  <c r="DQ39" i="4"/>
  <c r="DR39" i="4" s="1"/>
  <c r="CS39" i="4"/>
  <c r="CT39" i="4" s="1"/>
  <c r="DI39" i="4"/>
  <c r="DJ39" i="4" s="1"/>
  <c r="CK39" i="4"/>
  <c r="CL39" i="4" s="1"/>
  <c r="CC39" i="4"/>
  <c r="CD39" i="4" s="1"/>
  <c r="DA39" i="4"/>
  <c r="DB39" i="4" s="1"/>
  <c r="AM19" i="4"/>
  <c r="AN19" i="4" s="1"/>
  <c r="AO19" i="4"/>
  <c r="AP19" i="4" s="1"/>
  <c r="U19" i="4"/>
  <c r="V19" i="4" s="1"/>
  <c r="ER37" i="4"/>
  <c r="ES37" i="4" s="1"/>
  <c r="CA37" i="4"/>
  <c r="AU19" i="4"/>
  <c r="AV19" i="4" s="1"/>
  <c r="AW19" i="4"/>
  <c r="AX19" i="4" s="1"/>
  <c r="AG19" i="4"/>
  <c r="AH19" i="4" s="1"/>
  <c r="CM54" i="4"/>
  <c r="CN54" i="4" s="1"/>
  <c r="CS54" i="4"/>
  <c r="CT54" i="4" s="1"/>
  <c r="CI54" i="4"/>
  <c r="CJ54" i="4" s="1"/>
  <c r="CG54" i="4"/>
  <c r="CH54" i="4" s="1"/>
  <c r="DA54" i="4"/>
  <c r="DB54" i="4" s="1"/>
  <c r="DC54" i="4"/>
  <c r="DD54" i="4" s="1"/>
  <c r="DE54" i="4"/>
  <c r="DF54" i="4" s="1"/>
  <c r="CC54" i="4"/>
  <c r="CD54" i="4" s="1"/>
  <c r="ER54" i="4"/>
  <c r="ES54" i="4" s="1"/>
  <c r="FQ54" i="4" s="1"/>
  <c r="FR54" i="4" s="1"/>
  <c r="DG54" i="4"/>
  <c r="DH54" i="4" s="1"/>
  <c r="FM34" i="4"/>
  <c r="FN34" i="4" s="1"/>
  <c r="FK34" i="4"/>
  <c r="FL34" i="4" s="1"/>
  <c r="GC34" i="4"/>
  <c r="GD34" i="4" s="1"/>
  <c r="FE34" i="4"/>
  <c r="FF34" i="4" s="1"/>
  <c r="EY34" i="4"/>
  <c r="EZ34" i="4" s="1"/>
  <c r="FG34" i="4"/>
  <c r="FH34" i="4" s="1"/>
  <c r="GG34" i="4"/>
  <c r="GH34" i="4" s="1"/>
  <c r="FA34" i="4"/>
  <c r="FB34" i="4" s="1"/>
  <c r="FI34" i="4"/>
  <c r="FJ34" i="4" s="1"/>
  <c r="GE34" i="4"/>
  <c r="GF34" i="4" s="1"/>
  <c r="EW34" i="4"/>
  <c r="EX34" i="4" s="1"/>
  <c r="GA34" i="4"/>
  <c r="GB34" i="4" s="1"/>
  <c r="EU34" i="4"/>
  <c r="EV34" i="4" s="1"/>
  <c r="GI34" i="4"/>
  <c r="GJ34" i="4" s="1"/>
  <c r="FC34" i="4"/>
  <c r="FD34" i="4" s="1"/>
  <c r="FU34" i="4"/>
  <c r="FV34" i="4" s="1"/>
  <c r="CA19" i="4"/>
  <c r="DK19" i="4" s="1"/>
  <c r="DL19" i="4" s="1"/>
  <c r="AY19" i="4"/>
  <c r="AZ19" i="4" s="1"/>
  <c r="AE19" i="4"/>
  <c r="AF19" i="4" s="1"/>
  <c r="W19" i="4"/>
  <c r="X19" i="4" s="1"/>
  <c r="O19" i="4"/>
  <c r="P19" i="4" s="1"/>
  <c r="AI19" i="4"/>
  <c r="AJ19" i="4" s="1"/>
  <c r="S19" i="4"/>
  <c r="T19" i="4" s="1"/>
  <c r="AA19" i="4"/>
  <c r="AB19" i="4" s="1"/>
  <c r="K19" i="4"/>
  <c r="L19" i="4" s="1"/>
  <c r="FE146" i="4"/>
  <c r="FF146" i="4" s="1"/>
  <c r="FU146" i="4"/>
  <c r="FV146" i="4" s="1"/>
  <c r="GA146" i="4"/>
  <c r="GB146" i="4" s="1"/>
  <c r="EU146" i="4"/>
  <c r="EV146" i="4" s="1"/>
  <c r="FK146" i="4"/>
  <c r="FL146" i="4" s="1"/>
  <c r="CA148" i="4"/>
  <c r="ER148" i="4"/>
  <c r="ES148" i="4" s="1"/>
  <c r="CA145" i="4"/>
  <c r="ER145" i="4"/>
  <c r="ES145" i="4" s="1"/>
  <c r="ER20" i="4"/>
  <c r="ES20" i="4" s="1"/>
  <c r="CA20" i="4"/>
  <c r="DO60" i="4"/>
  <c r="DP60" i="4" s="1"/>
  <c r="DA60" i="4"/>
  <c r="DB60" i="4" s="1"/>
  <c r="CK60" i="4"/>
  <c r="CL60" i="4" s="1"/>
  <c r="DM60" i="4"/>
  <c r="DN60" i="4" s="1"/>
  <c r="DE60" i="4"/>
  <c r="DF60" i="4" s="1"/>
  <c r="CW60" i="4"/>
  <c r="CX60" i="4" s="1"/>
  <c r="CO60" i="4"/>
  <c r="CP60" i="4" s="1"/>
  <c r="CG60" i="4"/>
  <c r="CH60" i="4" s="1"/>
  <c r="DQ60" i="4"/>
  <c r="DR60" i="4" s="1"/>
  <c r="CS60" i="4"/>
  <c r="CT60" i="4" s="1"/>
  <c r="CC60" i="4"/>
  <c r="CD60" i="4" s="1"/>
  <c r="DI60" i="4"/>
  <c r="DJ60" i="4" s="1"/>
  <c r="EW89" i="4"/>
  <c r="EX89" i="4" s="1"/>
  <c r="EY88" i="4"/>
  <c r="EZ88" i="4" s="1"/>
  <c r="FO88" i="4"/>
  <c r="FP88" i="4" s="1"/>
  <c r="GE88" i="4"/>
  <c r="GF88" i="4" s="1"/>
  <c r="FC88" i="4"/>
  <c r="FD88" i="4" s="1"/>
  <c r="FS88" i="4"/>
  <c r="FT88" i="4" s="1"/>
  <c r="GI88" i="4"/>
  <c r="GJ88" i="4" s="1"/>
  <c r="FY88" i="4"/>
  <c r="FZ88" i="4" s="1"/>
  <c r="GG88" i="4"/>
  <c r="GH88" i="4" s="1"/>
  <c r="FM88" i="4"/>
  <c r="FN88" i="4" s="1"/>
  <c r="FU88" i="4"/>
  <c r="FV88" i="4" s="1"/>
  <c r="GC88" i="4"/>
  <c r="GD88" i="4" s="1"/>
  <c r="FE88" i="4"/>
  <c r="FF88" i="4" s="1"/>
  <c r="FA88" i="4"/>
  <c r="FB88" i="4" s="1"/>
  <c r="FQ88" i="4"/>
  <c r="FR88" i="4" s="1"/>
  <c r="EW88" i="4"/>
  <c r="EX88" i="4" s="1"/>
  <c r="FG88" i="4"/>
  <c r="FH88" i="4" s="1"/>
  <c r="FW88" i="4"/>
  <c r="FX88" i="4" s="1"/>
  <c r="ET88" i="4"/>
  <c r="FM89" i="4"/>
  <c r="FN89" i="4" s="1"/>
  <c r="FK89" i="4"/>
  <c r="FL89" i="4" s="1"/>
  <c r="GC89" i="4"/>
  <c r="GD89" i="4" s="1"/>
  <c r="EU89" i="4"/>
  <c r="EV89" i="4" s="1"/>
  <c r="GA89" i="4"/>
  <c r="GB89" i="4" s="1"/>
  <c r="J89" i="4"/>
  <c r="AM89" i="4"/>
  <c r="AN89" i="4" s="1"/>
  <c r="Y89" i="4"/>
  <c r="Z89" i="4" s="1"/>
  <c r="W89" i="4"/>
  <c r="X89" i="4" s="1"/>
  <c r="AO89" i="4"/>
  <c r="AP89" i="4" s="1"/>
  <c r="S89" i="4"/>
  <c r="T89" i="4" s="1"/>
  <c r="AI89" i="4"/>
  <c r="AJ89" i="4" s="1"/>
  <c r="AY89" i="4"/>
  <c r="AZ89" i="4" s="1"/>
  <c r="U89" i="4"/>
  <c r="V89" i="4" s="1"/>
  <c r="AK89" i="4"/>
  <c r="AL89" i="4" s="1"/>
  <c r="K89" i="4"/>
  <c r="L89" i="4" s="1"/>
  <c r="AA89" i="4"/>
  <c r="AB89" i="4" s="1"/>
  <c r="AQ89" i="4"/>
  <c r="AR89" i="4" s="1"/>
  <c r="M89" i="4"/>
  <c r="N89" i="4" s="1"/>
  <c r="AC89" i="4"/>
  <c r="AD89" i="4" s="1"/>
  <c r="AS89" i="4"/>
  <c r="AT89" i="4" s="1"/>
  <c r="O89" i="4"/>
  <c r="P89" i="4" s="1"/>
  <c r="AE89" i="4"/>
  <c r="AF89" i="4" s="1"/>
  <c r="AU89" i="4"/>
  <c r="AV89" i="4" s="1"/>
  <c r="Q89" i="4"/>
  <c r="R89" i="4" s="1"/>
  <c r="AG89" i="4"/>
  <c r="AH89" i="4" s="1"/>
  <c r="FC89" i="4"/>
  <c r="FD89" i="4" s="1"/>
  <c r="FS89" i="4"/>
  <c r="FT89" i="4" s="1"/>
  <c r="GI89" i="4"/>
  <c r="GJ89" i="4" s="1"/>
  <c r="FE89" i="4"/>
  <c r="FF89" i="4" s="1"/>
  <c r="FU89" i="4"/>
  <c r="FV89" i="4" s="1"/>
  <c r="FG89" i="4"/>
  <c r="FH89" i="4" s="1"/>
  <c r="FW89" i="4"/>
  <c r="FX89" i="4" s="1"/>
  <c r="ET89" i="4"/>
  <c r="FI89" i="4"/>
  <c r="FJ89" i="4" s="1"/>
  <c r="FY89" i="4"/>
  <c r="FZ89" i="4" s="1"/>
  <c r="EY89" i="4"/>
  <c r="EZ89" i="4" s="1"/>
  <c r="FO89" i="4"/>
  <c r="FP89" i="4" s="1"/>
  <c r="GE89" i="4"/>
  <c r="GF89" i="4" s="1"/>
  <c r="FA89" i="4"/>
  <c r="FB89" i="4" s="1"/>
  <c r="FQ89" i="4"/>
  <c r="FR89" i="4" s="1"/>
  <c r="AY140" i="4"/>
  <c r="AZ140" i="4" s="1"/>
  <c r="AE140" i="4"/>
  <c r="AF140" i="4" s="1"/>
  <c r="DO24" i="4"/>
  <c r="DP24" i="4" s="1"/>
  <c r="DQ24" i="4"/>
  <c r="DR24" i="4" s="1"/>
  <c r="CK24" i="4"/>
  <c r="CL24" i="4" s="1"/>
  <c r="DA24" i="4"/>
  <c r="DB24" i="4" s="1"/>
  <c r="DI24" i="4"/>
  <c r="DJ24" i="4" s="1"/>
  <c r="CC24" i="4"/>
  <c r="CD24" i="4" s="1"/>
  <c r="CS24" i="4"/>
  <c r="CT24" i="4" s="1"/>
  <c r="AY111" i="4"/>
  <c r="AZ111" i="4" s="1"/>
  <c r="AU111" i="4"/>
  <c r="AV111" i="4" s="1"/>
  <c r="AE111" i="4"/>
  <c r="AF111" i="4" s="1"/>
  <c r="W111" i="4"/>
  <c r="X111" i="4" s="1"/>
  <c r="AQ111" i="4"/>
  <c r="AR111" i="4" s="1"/>
  <c r="AI111" i="4"/>
  <c r="AJ111" i="4" s="1"/>
  <c r="AA111" i="4"/>
  <c r="AB111" i="4" s="1"/>
  <c r="S111" i="4"/>
  <c r="T111" i="4" s="1"/>
  <c r="K111" i="4"/>
  <c r="L111" i="4" s="1"/>
  <c r="AM111" i="4"/>
  <c r="AN111" i="4" s="1"/>
  <c r="O111" i="4"/>
  <c r="P111" i="4" s="1"/>
  <c r="CI96" i="4"/>
  <c r="CJ96" i="4" s="1"/>
  <c r="DC96" i="4"/>
  <c r="DD96" i="4" s="1"/>
  <c r="DK96" i="4"/>
  <c r="DL96" i="4" s="1"/>
  <c r="CO96" i="4"/>
  <c r="CP96" i="4" s="1"/>
  <c r="DE96" i="4"/>
  <c r="DF96" i="4" s="1"/>
  <c r="DQ96" i="4"/>
  <c r="DR96" i="4" s="1"/>
  <c r="CE96" i="4"/>
  <c r="CF96" i="4" s="1"/>
  <c r="CB96" i="4"/>
  <c r="CC96" i="4"/>
  <c r="CD96" i="4" s="1"/>
  <c r="CS96" i="4"/>
  <c r="CT96" i="4" s="1"/>
  <c r="DO96" i="4"/>
  <c r="DP96" i="4" s="1"/>
  <c r="CU96" i="4"/>
  <c r="CV96" i="4" s="1"/>
  <c r="CQ96" i="4"/>
  <c r="CR96" i="4" s="1"/>
  <c r="CG96" i="4"/>
  <c r="CH96" i="4" s="1"/>
  <c r="CW96" i="4"/>
  <c r="CX96" i="4" s="1"/>
  <c r="AG22" i="4"/>
  <c r="AH22" i="4" s="1"/>
  <c r="AM22" i="4"/>
  <c r="AN22" i="4" s="1"/>
  <c r="AS22" i="4"/>
  <c r="AT22" i="4" s="1"/>
  <c r="M22" i="4"/>
  <c r="N22" i="4" s="1"/>
  <c r="AQ22" i="4"/>
  <c r="AR22" i="4" s="1"/>
  <c r="K22" i="4"/>
  <c r="L22" i="4" s="1"/>
  <c r="AC22" i="4"/>
  <c r="AD22" i="4" s="1"/>
  <c r="AA22" i="4"/>
  <c r="AB22" i="4" s="1"/>
  <c r="Q22" i="4"/>
  <c r="R22" i="4" s="1"/>
  <c r="W22" i="4"/>
  <c r="X22" i="4" s="1"/>
  <c r="CQ22" i="4"/>
  <c r="CR22" i="4" s="1"/>
  <c r="AO22" i="4"/>
  <c r="AP22" i="4" s="1"/>
  <c r="Y22" i="4"/>
  <c r="Z22" i="4" s="1"/>
  <c r="J22" i="4"/>
  <c r="AY22" i="4"/>
  <c r="AZ22" i="4" s="1"/>
  <c r="AI22" i="4"/>
  <c r="AJ22" i="4" s="1"/>
  <c r="S22" i="4"/>
  <c r="T22" i="4" s="1"/>
  <c r="CY22" i="4"/>
  <c r="CZ22" i="4" s="1"/>
  <c r="CO22" i="4"/>
  <c r="CP22" i="4" s="1"/>
  <c r="CG22" i="4"/>
  <c r="CH22" i="4" s="1"/>
  <c r="DM22" i="4"/>
  <c r="DN22" i="4" s="1"/>
  <c r="AK22" i="4"/>
  <c r="AL22" i="4" s="1"/>
  <c r="U22" i="4"/>
  <c r="V22" i="4" s="1"/>
  <c r="AU22" i="4"/>
  <c r="AV22" i="4" s="1"/>
  <c r="AE22" i="4"/>
  <c r="AF22" i="4" s="1"/>
  <c r="O22" i="4"/>
  <c r="P22" i="4" s="1"/>
  <c r="CB22" i="4"/>
  <c r="DG22" i="4"/>
  <c r="DH22" i="4" s="1"/>
  <c r="CW22" i="4"/>
  <c r="CX22" i="4" s="1"/>
  <c r="DG113" i="4"/>
  <c r="DH113" i="4" s="1"/>
  <c r="CQ113" i="4"/>
  <c r="CR113" i="4" s="1"/>
  <c r="ET109" i="4"/>
  <c r="FQ109" i="4"/>
  <c r="FR109" i="4" s="1"/>
  <c r="GC109" i="4"/>
  <c r="GD109" i="4" s="1"/>
  <c r="FG109" i="4"/>
  <c r="FH109" i="4" s="1"/>
  <c r="FW109" i="4"/>
  <c r="FX109" i="4" s="1"/>
  <c r="CM22" i="4"/>
  <c r="CN22" i="4" s="1"/>
  <c r="DC22" i="4"/>
  <c r="DD22" i="4" s="1"/>
  <c r="CC22" i="4"/>
  <c r="CD22" i="4" s="1"/>
  <c r="CS22" i="4"/>
  <c r="CT22" i="4" s="1"/>
  <c r="DI22" i="4"/>
  <c r="DJ22" i="4" s="1"/>
  <c r="DM109" i="4"/>
  <c r="DN109" i="4" s="1"/>
  <c r="CG109" i="4"/>
  <c r="CH109" i="4" s="1"/>
  <c r="CW109" i="4"/>
  <c r="CX109" i="4" s="1"/>
  <c r="BZ27" i="4"/>
  <c r="BZ28" i="4" s="1"/>
  <c r="CA28" i="4" s="1"/>
  <c r="DO113" i="4"/>
  <c r="DP113" i="4" s="1"/>
  <c r="DQ113" i="4"/>
  <c r="DR113" i="4" s="1"/>
  <c r="DI113" i="4"/>
  <c r="DJ113" i="4" s="1"/>
  <c r="DA113" i="4"/>
  <c r="DB113" i="4" s="1"/>
  <c r="CS113" i="4"/>
  <c r="CT113" i="4" s="1"/>
  <c r="CK113" i="4"/>
  <c r="CL113" i="4" s="1"/>
  <c r="CC113" i="4"/>
  <c r="CD113" i="4" s="1"/>
  <c r="CG113" i="4"/>
  <c r="CH113" i="4" s="1"/>
  <c r="DE113" i="4"/>
  <c r="DF113" i="4" s="1"/>
  <c r="CO113" i="4"/>
  <c r="CP113" i="4" s="1"/>
  <c r="DM113" i="4"/>
  <c r="DN113" i="4" s="1"/>
  <c r="CW113" i="4"/>
  <c r="CX113" i="4" s="1"/>
  <c r="DC113" i="4"/>
  <c r="DD113" i="4" s="1"/>
  <c r="CM113" i="4"/>
  <c r="CN113" i="4" s="1"/>
  <c r="FI109" i="4"/>
  <c r="FJ109" i="4" s="1"/>
  <c r="GG109" i="4"/>
  <c r="GH109" i="4" s="1"/>
  <c r="EU109" i="4"/>
  <c r="EV109" i="4" s="1"/>
  <c r="FK109" i="4"/>
  <c r="FL109" i="4" s="1"/>
  <c r="GA109" i="4"/>
  <c r="GB109" i="4" s="1"/>
  <c r="D28" i="4"/>
  <c r="CY113" i="4"/>
  <c r="CZ113" i="4" s="1"/>
  <c r="CI113" i="4"/>
  <c r="CJ113" i="4" s="1"/>
  <c r="FU109" i="4"/>
  <c r="FV109" i="4" s="1"/>
  <c r="FY109" i="4"/>
  <c r="FZ109" i="4" s="1"/>
  <c r="EW109" i="4"/>
  <c r="EX109" i="4" s="1"/>
  <c r="EY109" i="4"/>
  <c r="EZ109" i="4" s="1"/>
  <c r="FO109" i="4"/>
  <c r="FP109" i="4" s="1"/>
  <c r="CE22" i="4"/>
  <c r="CF22" i="4" s="1"/>
  <c r="CU22" i="4"/>
  <c r="CV22" i="4" s="1"/>
  <c r="DK22" i="4"/>
  <c r="DL22" i="4" s="1"/>
  <c r="CK22" i="4"/>
  <c r="CL22" i="4" s="1"/>
  <c r="DA22" i="4"/>
  <c r="DB22" i="4" s="1"/>
  <c r="E28" i="4"/>
  <c r="H28" i="4" s="1"/>
  <c r="I28" i="4" s="1"/>
  <c r="AS28" i="4" s="1"/>
  <c r="AT28" i="4" s="1"/>
  <c r="FC127" i="4"/>
  <c r="FD127" i="4" s="1"/>
  <c r="GG127" i="4"/>
  <c r="GH127" i="4" s="1"/>
  <c r="GI127" i="4"/>
  <c r="GJ127" i="4" s="1"/>
  <c r="FE127" i="4"/>
  <c r="FF127" i="4" s="1"/>
  <c r="AK27" i="4"/>
  <c r="AL27" i="4" s="1"/>
  <c r="FQ127" i="4"/>
  <c r="FR127" i="4" s="1"/>
  <c r="FY127" i="4"/>
  <c r="FZ127" i="4" s="1"/>
  <c r="EY127" i="4"/>
  <c r="EZ127" i="4" s="1"/>
  <c r="FO127" i="4"/>
  <c r="FP127" i="4" s="1"/>
  <c r="GE127" i="4"/>
  <c r="GF127" i="4" s="1"/>
  <c r="ET127" i="4"/>
  <c r="FU127" i="4"/>
  <c r="FV127" i="4" s="1"/>
  <c r="FG127" i="4"/>
  <c r="FH127" i="4" s="1"/>
  <c r="FW127" i="4"/>
  <c r="FX127" i="4" s="1"/>
  <c r="FA127" i="4"/>
  <c r="FB127" i="4" s="1"/>
  <c r="FI127" i="4"/>
  <c r="FJ127" i="4" s="1"/>
  <c r="EU127" i="4"/>
  <c r="EV127" i="4" s="1"/>
  <c r="FK127" i="4"/>
  <c r="FL127" i="4" s="1"/>
  <c r="CI127" i="4"/>
  <c r="CJ127" i="4" s="1"/>
  <c r="CY127" i="4"/>
  <c r="CZ127" i="4" s="1"/>
  <c r="DO127" i="4"/>
  <c r="DP127" i="4" s="1"/>
  <c r="CC127" i="4"/>
  <c r="CD127" i="4" s="1"/>
  <c r="CM127" i="4"/>
  <c r="CN127" i="4" s="1"/>
  <c r="DC127" i="4"/>
  <c r="DD127" i="4" s="1"/>
  <c r="CB127" i="4"/>
  <c r="CQ127" i="4"/>
  <c r="CR127" i="4" s="1"/>
  <c r="DG127" i="4"/>
  <c r="DH127" i="4" s="1"/>
  <c r="U27" i="4"/>
  <c r="V27" i="4" s="1"/>
  <c r="AW127" i="4"/>
  <c r="AX127" i="4" s="1"/>
  <c r="AO127" i="4"/>
  <c r="AP127" i="4" s="1"/>
  <c r="AC127" i="4"/>
  <c r="AD127" i="4" s="1"/>
  <c r="U127" i="4"/>
  <c r="V127" i="4" s="1"/>
  <c r="AK127" i="4"/>
  <c r="AL127" i="4" s="1"/>
  <c r="Y127" i="4"/>
  <c r="Z127" i="4" s="1"/>
  <c r="M127" i="4"/>
  <c r="N127" i="4" s="1"/>
  <c r="AG127" i="4"/>
  <c r="AH127" i="4" s="1"/>
  <c r="Q127" i="4"/>
  <c r="R127" i="4" s="1"/>
  <c r="J127" i="4"/>
  <c r="AG27" i="4"/>
  <c r="AH27" i="4" s="1"/>
  <c r="Q27" i="4"/>
  <c r="R27" i="4" s="1"/>
  <c r="BZ23" i="4"/>
  <c r="I23" i="4"/>
  <c r="AS27" i="4"/>
  <c r="AT27" i="4" s="1"/>
  <c r="AC27" i="4"/>
  <c r="AD27" i="4" s="1"/>
  <c r="DQ127" i="4"/>
  <c r="DR127" i="4" s="1"/>
  <c r="DM127" i="4"/>
  <c r="DN127" i="4" s="1"/>
  <c r="CW127" i="4"/>
  <c r="CX127" i="4" s="1"/>
  <c r="CG127" i="4"/>
  <c r="CH127" i="4" s="1"/>
  <c r="CO127" i="4"/>
  <c r="CP127" i="4" s="1"/>
  <c r="DA127" i="4"/>
  <c r="DB127" i="4" s="1"/>
  <c r="CK127" i="4"/>
  <c r="CL127" i="4" s="1"/>
  <c r="DE127" i="4"/>
  <c r="DF127" i="4" s="1"/>
  <c r="AW27" i="4"/>
  <c r="AX27" i="4" s="1"/>
  <c r="AY27" i="4"/>
  <c r="AZ27" i="4" s="1"/>
  <c r="AQ27" i="4"/>
  <c r="AR27" i="4" s="1"/>
  <c r="AI27" i="4"/>
  <c r="AJ27" i="4" s="1"/>
  <c r="AA27" i="4"/>
  <c r="AB27" i="4" s="1"/>
  <c r="S27" i="4"/>
  <c r="T27" i="4" s="1"/>
  <c r="K27" i="4"/>
  <c r="L27" i="4" s="1"/>
  <c r="AU27" i="4"/>
  <c r="AV27" i="4" s="1"/>
  <c r="O27" i="4"/>
  <c r="P27" i="4" s="1"/>
  <c r="AM27" i="4"/>
  <c r="AN27" i="4" s="1"/>
  <c r="AE27" i="4"/>
  <c r="AF27" i="4" s="1"/>
  <c r="W27" i="4"/>
  <c r="X27" i="4" s="1"/>
  <c r="AO27" i="4"/>
  <c r="AP27" i="4" s="1"/>
  <c r="Y27" i="4"/>
  <c r="Z27" i="4" s="1"/>
  <c r="J27" i="4"/>
  <c r="GC127" i="4"/>
  <c r="GD127" i="4" s="1"/>
  <c r="EW127" i="4"/>
  <c r="EX127" i="4" s="1"/>
  <c r="FM127" i="4"/>
  <c r="FN127" i="4" s="1"/>
  <c r="ER137" i="4"/>
  <c r="ES137" i="4" s="1"/>
  <c r="CA137" i="4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U116" i="4"/>
  <c r="AV116" i="4" s="1"/>
  <c r="AE116" i="4"/>
  <c r="AF116" i="4" s="1"/>
  <c r="O116" i="4"/>
  <c r="P116" i="4" s="1"/>
  <c r="AQ116" i="4"/>
  <c r="AR116" i="4" s="1"/>
  <c r="AA116" i="4"/>
  <c r="AB116" i="4" s="1"/>
  <c r="K116" i="4"/>
  <c r="L116" i="4" s="1"/>
  <c r="AY116" i="4"/>
  <c r="AZ116" i="4" s="1"/>
  <c r="AI116" i="4"/>
  <c r="AJ116" i="4" s="1"/>
  <c r="S116" i="4"/>
  <c r="T116" i="4" s="1"/>
  <c r="W116" i="4"/>
  <c r="X116" i="4" s="1"/>
  <c r="AM116" i="4"/>
  <c r="AN116" i="4" s="1"/>
  <c r="ER103" i="4"/>
  <c r="ES103" i="4" s="1"/>
  <c r="CA103" i="4"/>
  <c r="AY69" i="4"/>
  <c r="AZ69" i="4" s="1"/>
  <c r="AU69" i="4"/>
  <c r="AV69" i="4" s="1"/>
  <c r="AQ69" i="4"/>
  <c r="AR69" i="4" s="1"/>
  <c r="AM69" i="4"/>
  <c r="AN69" i="4" s="1"/>
  <c r="AI69" i="4"/>
  <c r="AJ69" i="4" s="1"/>
  <c r="AE69" i="4"/>
  <c r="AF69" i="4" s="1"/>
  <c r="AA69" i="4"/>
  <c r="AB69" i="4" s="1"/>
  <c r="W69" i="4"/>
  <c r="X69" i="4" s="1"/>
  <c r="S69" i="4"/>
  <c r="T69" i="4" s="1"/>
  <c r="O69" i="4"/>
  <c r="P69" i="4" s="1"/>
  <c r="K69" i="4"/>
  <c r="L69" i="4" s="1"/>
  <c r="AK69" i="4"/>
  <c r="AL69" i="4" s="1"/>
  <c r="U69" i="4"/>
  <c r="V69" i="4" s="1"/>
  <c r="AW69" i="4"/>
  <c r="AX69" i="4" s="1"/>
  <c r="AG69" i="4"/>
  <c r="AH69" i="4" s="1"/>
  <c r="Q69" i="4"/>
  <c r="R69" i="4" s="1"/>
  <c r="AO69" i="4"/>
  <c r="AP69" i="4" s="1"/>
  <c r="Y69" i="4"/>
  <c r="Z69" i="4" s="1"/>
  <c r="J69" i="4"/>
  <c r="AS69" i="4"/>
  <c r="AT69" i="4" s="1"/>
  <c r="AC69" i="4"/>
  <c r="AD69" i="4" s="1"/>
  <c r="M69" i="4"/>
  <c r="N69" i="4" s="1"/>
  <c r="ER25" i="4"/>
  <c r="ES25" i="4" s="1"/>
  <c r="CA25" i="4"/>
  <c r="ER147" i="4"/>
  <c r="ES147" i="4" s="1"/>
  <c r="CA147" i="4"/>
  <c r="AS137" i="4"/>
  <c r="AT137" i="4" s="1"/>
  <c r="AK137" i="4"/>
  <c r="AL137" i="4" s="1"/>
  <c r="AC137" i="4"/>
  <c r="AD137" i="4" s="1"/>
  <c r="W137" i="4"/>
  <c r="X137" i="4" s="1"/>
  <c r="Q137" i="4"/>
  <c r="R137" i="4" s="1"/>
  <c r="AY137" i="4"/>
  <c r="AZ137" i="4" s="1"/>
  <c r="AQ137" i="4"/>
  <c r="AR137" i="4" s="1"/>
  <c r="AI137" i="4"/>
  <c r="AJ137" i="4" s="1"/>
  <c r="AA137" i="4"/>
  <c r="AB137" i="4" s="1"/>
  <c r="U137" i="4"/>
  <c r="V137" i="4" s="1"/>
  <c r="K137" i="4"/>
  <c r="L137" i="4" s="1"/>
  <c r="AU137" i="4"/>
  <c r="AV137" i="4" s="1"/>
  <c r="AM137" i="4"/>
  <c r="AN137" i="4" s="1"/>
  <c r="AE137" i="4"/>
  <c r="AF137" i="4" s="1"/>
  <c r="S137" i="4"/>
  <c r="T137" i="4" s="1"/>
  <c r="M137" i="4"/>
  <c r="N137" i="4" s="1"/>
  <c r="AG137" i="4"/>
  <c r="AH137" i="4" s="1"/>
  <c r="J137" i="4"/>
  <c r="Y137" i="4"/>
  <c r="Z137" i="4" s="1"/>
  <c r="AO137" i="4"/>
  <c r="AP137" i="4" s="1"/>
  <c r="O137" i="4"/>
  <c r="P137" i="4" s="1"/>
  <c r="AW137" i="4"/>
  <c r="AX137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C140" i="4"/>
  <c r="DD140" i="4" s="1"/>
  <c r="CM140" i="4"/>
  <c r="CN140" i="4" s="1"/>
  <c r="DG140" i="4"/>
  <c r="DH140" i="4" s="1"/>
  <c r="CQ140" i="4"/>
  <c r="CR140" i="4" s="1"/>
  <c r="CB140" i="4"/>
  <c r="DO140" i="4"/>
  <c r="DP140" i="4" s="1"/>
  <c r="CY140" i="4"/>
  <c r="CZ140" i="4" s="1"/>
  <c r="CI140" i="4"/>
  <c r="CJ140" i="4" s="1"/>
  <c r="CE140" i="4"/>
  <c r="CF140" i="4" s="1"/>
  <c r="CU140" i="4"/>
  <c r="CV140" i="4" s="1"/>
  <c r="DK140" i="4"/>
  <c r="DL140" i="4" s="1"/>
  <c r="DQ135" i="4"/>
  <c r="DR135" i="4" s="1"/>
  <c r="DK135" i="4"/>
  <c r="DL135" i="4" s="1"/>
  <c r="DA135" i="4"/>
  <c r="DB135" i="4" s="1"/>
  <c r="CU135" i="4"/>
  <c r="CV135" i="4" s="1"/>
  <c r="CK135" i="4"/>
  <c r="CL135" i="4" s="1"/>
  <c r="CE135" i="4"/>
  <c r="CF135" i="4" s="1"/>
  <c r="DO135" i="4"/>
  <c r="DP135" i="4" s="1"/>
  <c r="DE135" i="4"/>
  <c r="DF135" i="4" s="1"/>
  <c r="CY135" i="4"/>
  <c r="CZ135" i="4" s="1"/>
  <c r="CO135" i="4"/>
  <c r="CP135" i="4" s="1"/>
  <c r="CI135" i="4"/>
  <c r="CJ135" i="4" s="1"/>
  <c r="DM135" i="4"/>
  <c r="DN135" i="4" s="1"/>
  <c r="DG135" i="4"/>
  <c r="DH135" i="4" s="1"/>
  <c r="CW135" i="4"/>
  <c r="CX135" i="4" s="1"/>
  <c r="CQ135" i="4"/>
  <c r="CR135" i="4" s="1"/>
  <c r="CG135" i="4"/>
  <c r="CH135" i="4" s="1"/>
  <c r="CB135" i="4"/>
  <c r="CS135" i="4"/>
  <c r="CT135" i="4" s="1"/>
  <c r="DI135" i="4"/>
  <c r="DJ135" i="4" s="1"/>
  <c r="CM135" i="4"/>
  <c r="CN135" i="4" s="1"/>
  <c r="CC135" i="4"/>
  <c r="CD135" i="4" s="1"/>
  <c r="DC135" i="4"/>
  <c r="DD135" i="4" s="1"/>
  <c r="AY118" i="4"/>
  <c r="AZ118" i="4" s="1"/>
  <c r="AU118" i="4"/>
  <c r="AV118" i="4" s="1"/>
  <c r="AQ118" i="4"/>
  <c r="AR118" i="4" s="1"/>
  <c r="AM118" i="4"/>
  <c r="AN118" i="4" s="1"/>
  <c r="AI118" i="4"/>
  <c r="AJ118" i="4" s="1"/>
  <c r="AE118" i="4"/>
  <c r="AF118" i="4" s="1"/>
  <c r="AA118" i="4"/>
  <c r="AB118" i="4" s="1"/>
  <c r="W118" i="4"/>
  <c r="X118" i="4" s="1"/>
  <c r="S118" i="4"/>
  <c r="T118" i="4" s="1"/>
  <c r="O118" i="4"/>
  <c r="P118" i="4" s="1"/>
  <c r="K118" i="4"/>
  <c r="L118" i="4" s="1"/>
  <c r="AS118" i="4"/>
  <c r="AT118" i="4" s="1"/>
  <c r="AC118" i="4"/>
  <c r="AD118" i="4" s="1"/>
  <c r="M118" i="4"/>
  <c r="N118" i="4" s="1"/>
  <c r="AO118" i="4"/>
  <c r="AP118" i="4" s="1"/>
  <c r="Y118" i="4"/>
  <c r="Z118" i="4" s="1"/>
  <c r="J118" i="4"/>
  <c r="AW118" i="4"/>
  <c r="AX118" i="4" s="1"/>
  <c r="AG118" i="4"/>
  <c r="AH118" i="4" s="1"/>
  <c r="Q118" i="4"/>
  <c r="R118" i="4" s="1"/>
  <c r="U118" i="4"/>
  <c r="V118" i="4" s="1"/>
  <c r="AK118" i="4"/>
  <c r="AL118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FW140" i="4"/>
  <c r="FX140" i="4" s="1"/>
  <c r="FG140" i="4"/>
  <c r="FH140" i="4" s="1"/>
  <c r="GA140" i="4"/>
  <c r="GB140" i="4" s="1"/>
  <c r="FK140" i="4"/>
  <c r="FL140" i="4" s="1"/>
  <c r="EU140" i="4"/>
  <c r="EV140" i="4" s="1"/>
  <c r="GI140" i="4"/>
  <c r="GJ140" i="4" s="1"/>
  <c r="FS140" i="4"/>
  <c r="FT140" i="4" s="1"/>
  <c r="FC140" i="4"/>
  <c r="FD140" i="4" s="1"/>
  <c r="EY140" i="4"/>
  <c r="EZ140" i="4" s="1"/>
  <c r="GE140" i="4"/>
  <c r="GF140" i="4" s="1"/>
  <c r="FO140" i="4"/>
  <c r="FP140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A136" i="4"/>
  <c r="DB136" i="4" s="1"/>
  <c r="CK136" i="4"/>
  <c r="CL136" i="4" s="1"/>
  <c r="DE136" i="4"/>
  <c r="DF136" i="4" s="1"/>
  <c r="CO136" i="4"/>
  <c r="CP136" i="4" s="1"/>
  <c r="DM136" i="4"/>
  <c r="DN136" i="4" s="1"/>
  <c r="CW136" i="4"/>
  <c r="CX136" i="4" s="1"/>
  <c r="CG136" i="4"/>
  <c r="CH136" i="4" s="1"/>
  <c r="DI136" i="4"/>
  <c r="DJ136" i="4" s="1"/>
  <c r="CS136" i="4"/>
  <c r="CT136" i="4" s="1"/>
  <c r="CC136" i="4"/>
  <c r="CD136" i="4" s="1"/>
  <c r="GI135" i="4"/>
  <c r="GJ135" i="4" s="1"/>
  <c r="FY135" i="4"/>
  <c r="FZ135" i="4" s="1"/>
  <c r="FS135" i="4"/>
  <c r="FT135" i="4" s="1"/>
  <c r="FI135" i="4"/>
  <c r="FJ135" i="4" s="1"/>
  <c r="FC135" i="4"/>
  <c r="FD135" i="4" s="1"/>
  <c r="ET135" i="4"/>
  <c r="GC135" i="4"/>
  <c r="GD135" i="4" s="1"/>
  <c r="FW135" i="4"/>
  <c r="FX135" i="4" s="1"/>
  <c r="FM135" i="4"/>
  <c r="FN135" i="4" s="1"/>
  <c r="FG135" i="4"/>
  <c r="FH135" i="4" s="1"/>
  <c r="EW135" i="4"/>
  <c r="EX135" i="4" s="1"/>
  <c r="GE135" i="4"/>
  <c r="GF135" i="4" s="1"/>
  <c r="FU135" i="4"/>
  <c r="FV135" i="4" s="1"/>
  <c r="FO135" i="4"/>
  <c r="FP135" i="4" s="1"/>
  <c r="FE135" i="4"/>
  <c r="FF135" i="4" s="1"/>
  <c r="EY135" i="4"/>
  <c r="EZ135" i="4" s="1"/>
  <c r="FA135" i="4"/>
  <c r="FB135" i="4" s="1"/>
  <c r="FQ135" i="4"/>
  <c r="FR135" i="4" s="1"/>
  <c r="EU135" i="4"/>
  <c r="EV135" i="4" s="1"/>
  <c r="GA135" i="4"/>
  <c r="GB135" i="4" s="1"/>
  <c r="FK135" i="4"/>
  <c r="FL135" i="4" s="1"/>
  <c r="GG135" i="4"/>
  <c r="GH135" i="4" s="1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AY125" i="4"/>
  <c r="AZ125" i="4" s="1"/>
  <c r="AI125" i="4"/>
  <c r="AJ125" i="4" s="1"/>
  <c r="S125" i="4"/>
  <c r="T125" i="4" s="1"/>
  <c r="AU125" i="4"/>
  <c r="AV125" i="4" s="1"/>
  <c r="AE125" i="4"/>
  <c r="AF125" i="4" s="1"/>
  <c r="O125" i="4"/>
  <c r="P125" i="4" s="1"/>
  <c r="AM125" i="4"/>
  <c r="AN125" i="4" s="1"/>
  <c r="W125" i="4"/>
  <c r="X125" i="4" s="1"/>
  <c r="AQ125" i="4"/>
  <c r="AR125" i="4" s="1"/>
  <c r="AA125" i="4"/>
  <c r="AB125" i="4" s="1"/>
  <c r="K125" i="4"/>
  <c r="L125" i="4" s="1"/>
  <c r="DQ131" i="4"/>
  <c r="DR131" i="4" s="1"/>
  <c r="DM131" i="4"/>
  <c r="DN131" i="4" s="1"/>
  <c r="DI131" i="4"/>
  <c r="DJ131" i="4" s="1"/>
  <c r="DE131" i="4"/>
  <c r="DF131" i="4" s="1"/>
  <c r="DA131" i="4"/>
  <c r="DB131" i="4" s="1"/>
  <c r="CW131" i="4"/>
  <c r="CX131" i="4" s="1"/>
  <c r="CS131" i="4"/>
  <c r="CT131" i="4" s="1"/>
  <c r="CO131" i="4"/>
  <c r="CP131" i="4" s="1"/>
  <c r="CK131" i="4"/>
  <c r="CL131" i="4" s="1"/>
  <c r="CG131" i="4"/>
  <c r="CH131" i="4" s="1"/>
  <c r="CC131" i="4"/>
  <c r="CD131" i="4" s="1"/>
  <c r="DC131" i="4"/>
  <c r="DD131" i="4" s="1"/>
  <c r="CM131" i="4"/>
  <c r="CN131" i="4" s="1"/>
  <c r="DG131" i="4"/>
  <c r="DH131" i="4" s="1"/>
  <c r="CQ131" i="4"/>
  <c r="CR131" i="4" s="1"/>
  <c r="CB131" i="4"/>
  <c r="DO131" i="4"/>
  <c r="DP131" i="4" s="1"/>
  <c r="CY131" i="4"/>
  <c r="CZ131" i="4" s="1"/>
  <c r="CI131" i="4"/>
  <c r="CJ131" i="4" s="1"/>
  <c r="CE131" i="4"/>
  <c r="CF131" i="4" s="1"/>
  <c r="DK131" i="4"/>
  <c r="DL131" i="4" s="1"/>
  <c r="CU131" i="4"/>
  <c r="CV131" i="4" s="1"/>
  <c r="GI119" i="4"/>
  <c r="GJ119" i="4" s="1"/>
  <c r="FY119" i="4"/>
  <c r="FZ119" i="4" s="1"/>
  <c r="FS119" i="4"/>
  <c r="FT119" i="4" s="1"/>
  <c r="FI119" i="4"/>
  <c r="FJ119" i="4" s="1"/>
  <c r="FC119" i="4"/>
  <c r="FD119" i="4" s="1"/>
  <c r="ET119" i="4"/>
  <c r="GC119" i="4"/>
  <c r="GD119" i="4" s="1"/>
  <c r="FW119" i="4"/>
  <c r="FX119" i="4" s="1"/>
  <c r="FM119" i="4"/>
  <c r="FN119" i="4" s="1"/>
  <c r="FG119" i="4"/>
  <c r="FH119" i="4" s="1"/>
  <c r="EW119" i="4"/>
  <c r="EX119" i="4" s="1"/>
  <c r="GE119" i="4"/>
  <c r="GF119" i="4" s="1"/>
  <c r="FU119" i="4"/>
  <c r="FV119" i="4" s="1"/>
  <c r="FO119" i="4"/>
  <c r="FP119" i="4" s="1"/>
  <c r="FE119" i="4"/>
  <c r="FF119" i="4" s="1"/>
  <c r="EY119" i="4"/>
  <c r="EZ119" i="4" s="1"/>
  <c r="FQ119" i="4"/>
  <c r="FR119" i="4" s="1"/>
  <c r="EU119" i="4"/>
  <c r="EV119" i="4" s="1"/>
  <c r="GG119" i="4"/>
  <c r="GH119" i="4" s="1"/>
  <c r="FK119" i="4"/>
  <c r="FL119" i="4" s="1"/>
  <c r="FA119" i="4"/>
  <c r="FB119" i="4" s="1"/>
  <c r="GA119" i="4"/>
  <c r="GB119" i="4" s="1"/>
  <c r="ER116" i="4"/>
  <c r="ES116" i="4" s="1"/>
  <c r="CA116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FY120" i="4"/>
  <c r="FZ120" i="4" s="1"/>
  <c r="FI120" i="4"/>
  <c r="FJ120" i="4" s="1"/>
  <c r="ET120" i="4"/>
  <c r="GC120" i="4"/>
  <c r="GD120" i="4" s="1"/>
  <c r="FM120" i="4"/>
  <c r="FN120" i="4" s="1"/>
  <c r="EW120" i="4"/>
  <c r="EX120" i="4" s="1"/>
  <c r="FU120" i="4"/>
  <c r="FV120" i="4" s="1"/>
  <c r="FE120" i="4"/>
  <c r="FF120" i="4" s="1"/>
  <c r="GG120" i="4"/>
  <c r="GH120" i="4" s="1"/>
  <c r="FQ120" i="4"/>
  <c r="FR120" i="4" s="1"/>
  <c r="FA120" i="4"/>
  <c r="FB120" i="4" s="1"/>
  <c r="ER110" i="4"/>
  <c r="ES110" i="4" s="1"/>
  <c r="CA110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AS88" i="4"/>
  <c r="AT88" i="4" s="1"/>
  <c r="AC88" i="4"/>
  <c r="AD88" i="4" s="1"/>
  <c r="M88" i="4"/>
  <c r="N88" i="4" s="1"/>
  <c r="AO88" i="4"/>
  <c r="AP88" i="4" s="1"/>
  <c r="Y88" i="4"/>
  <c r="Z88" i="4" s="1"/>
  <c r="J88" i="4"/>
  <c r="AW88" i="4"/>
  <c r="AX88" i="4" s="1"/>
  <c r="AG88" i="4"/>
  <c r="AH88" i="4" s="1"/>
  <c r="Q88" i="4"/>
  <c r="R88" i="4" s="1"/>
  <c r="AK88" i="4"/>
  <c r="AL88" i="4" s="1"/>
  <c r="U88" i="4"/>
  <c r="V88" i="4" s="1"/>
  <c r="CA121" i="4"/>
  <c r="ER121" i="4"/>
  <c r="ES121" i="4" s="1"/>
  <c r="DQ97" i="4"/>
  <c r="DR97" i="4" s="1"/>
  <c r="DK97" i="4"/>
  <c r="DL97" i="4" s="1"/>
  <c r="DA97" i="4"/>
  <c r="DB97" i="4" s="1"/>
  <c r="CU97" i="4"/>
  <c r="CV97" i="4" s="1"/>
  <c r="CK97" i="4"/>
  <c r="CL97" i="4" s="1"/>
  <c r="CE97" i="4"/>
  <c r="CF97" i="4" s="1"/>
  <c r="DO97" i="4"/>
  <c r="DP97" i="4" s="1"/>
  <c r="DE97" i="4"/>
  <c r="DF97" i="4" s="1"/>
  <c r="CY97" i="4"/>
  <c r="CZ97" i="4" s="1"/>
  <c r="CO97" i="4"/>
  <c r="CP97" i="4" s="1"/>
  <c r="CI97" i="4"/>
  <c r="CJ97" i="4" s="1"/>
  <c r="DM97" i="4"/>
  <c r="DN97" i="4" s="1"/>
  <c r="DG97" i="4"/>
  <c r="DH97" i="4" s="1"/>
  <c r="CW97" i="4"/>
  <c r="CX97" i="4" s="1"/>
  <c r="CQ97" i="4"/>
  <c r="CR97" i="4" s="1"/>
  <c r="CG97" i="4"/>
  <c r="CH97" i="4" s="1"/>
  <c r="CB97" i="4"/>
  <c r="DI97" i="4"/>
  <c r="DJ97" i="4" s="1"/>
  <c r="CM97" i="4"/>
  <c r="CN97" i="4" s="1"/>
  <c r="DC97" i="4"/>
  <c r="DD97" i="4" s="1"/>
  <c r="CS97" i="4"/>
  <c r="CT97" i="4" s="1"/>
  <c r="CC97" i="4"/>
  <c r="CD97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I92" i="4"/>
  <c r="AJ92" i="4" s="1"/>
  <c r="S92" i="4"/>
  <c r="T92" i="4" s="1"/>
  <c r="AU92" i="4"/>
  <c r="AV92" i="4" s="1"/>
  <c r="AE92" i="4"/>
  <c r="AF92" i="4" s="1"/>
  <c r="O92" i="4"/>
  <c r="P92" i="4" s="1"/>
  <c r="AM92" i="4"/>
  <c r="AN92" i="4" s="1"/>
  <c r="W92" i="4"/>
  <c r="X92" i="4" s="1"/>
  <c r="AQ92" i="4"/>
  <c r="AR92" i="4" s="1"/>
  <c r="K92" i="4"/>
  <c r="L92" i="4" s="1"/>
  <c r="AA92" i="4"/>
  <c r="AB92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GG94" i="4"/>
  <c r="GH94" i="4" s="1"/>
  <c r="FQ94" i="4"/>
  <c r="FR94" i="4" s="1"/>
  <c r="FA94" i="4"/>
  <c r="FB94" i="4" s="1"/>
  <c r="GC94" i="4"/>
  <c r="GD94" i="4" s="1"/>
  <c r="FM94" i="4"/>
  <c r="FN94" i="4" s="1"/>
  <c r="EW94" i="4"/>
  <c r="EX94" i="4" s="1"/>
  <c r="FU94" i="4"/>
  <c r="FV94" i="4" s="1"/>
  <c r="FE94" i="4"/>
  <c r="FF94" i="4" s="1"/>
  <c r="FY94" i="4"/>
  <c r="FZ94" i="4" s="1"/>
  <c r="ET94" i="4"/>
  <c r="FI94" i="4"/>
  <c r="FJ94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AQ75" i="4"/>
  <c r="AR75" i="4" s="1"/>
  <c r="AA75" i="4"/>
  <c r="AB75" i="4" s="1"/>
  <c r="K75" i="4"/>
  <c r="L75" i="4" s="1"/>
  <c r="AM75" i="4"/>
  <c r="AN75" i="4" s="1"/>
  <c r="W75" i="4"/>
  <c r="X75" i="4" s="1"/>
  <c r="AU75" i="4"/>
  <c r="AV75" i="4" s="1"/>
  <c r="AE75" i="4"/>
  <c r="AF75" i="4" s="1"/>
  <c r="O75" i="4"/>
  <c r="P75" i="4" s="1"/>
  <c r="AY75" i="4"/>
  <c r="AZ75" i="4" s="1"/>
  <c r="AI75" i="4"/>
  <c r="AJ75" i="4" s="1"/>
  <c r="S75" i="4"/>
  <c r="T75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AQ67" i="4"/>
  <c r="AR67" i="4" s="1"/>
  <c r="AA67" i="4"/>
  <c r="AB67" i="4" s="1"/>
  <c r="K67" i="4"/>
  <c r="L67" i="4" s="1"/>
  <c r="AM67" i="4"/>
  <c r="AN67" i="4" s="1"/>
  <c r="W67" i="4"/>
  <c r="X67" i="4" s="1"/>
  <c r="AU67" i="4"/>
  <c r="AV67" i="4" s="1"/>
  <c r="AE67" i="4"/>
  <c r="AF67" i="4" s="1"/>
  <c r="O67" i="4"/>
  <c r="P67" i="4" s="1"/>
  <c r="S67" i="4"/>
  <c r="T67" i="4" s="1"/>
  <c r="AY67" i="4"/>
  <c r="AZ67" i="4" s="1"/>
  <c r="AI67" i="4"/>
  <c r="AJ67" i="4" s="1"/>
  <c r="AY50" i="4"/>
  <c r="AZ50" i="4" s="1"/>
  <c r="AU50" i="4"/>
  <c r="AV50" i="4" s="1"/>
  <c r="AQ50" i="4"/>
  <c r="AR50" i="4" s="1"/>
  <c r="AM50" i="4"/>
  <c r="AN50" i="4" s="1"/>
  <c r="AI50" i="4"/>
  <c r="AJ50" i="4" s="1"/>
  <c r="AE50" i="4"/>
  <c r="AF50" i="4" s="1"/>
  <c r="AA50" i="4"/>
  <c r="AB50" i="4" s="1"/>
  <c r="W50" i="4"/>
  <c r="X50" i="4" s="1"/>
  <c r="S50" i="4"/>
  <c r="T50" i="4" s="1"/>
  <c r="O50" i="4"/>
  <c r="P50" i="4" s="1"/>
  <c r="K50" i="4"/>
  <c r="L50" i="4" s="1"/>
  <c r="AW50" i="4"/>
  <c r="AX50" i="4" s="1"/>
  <c r="AG50" i="4"/>
  <c r="AH50" i="4" s="1"/>
  <c r="Q50" i="4"/>
  <c r="R50" i="4" s="1"/>
  <c r="AO50" i="4"/>
  <c r="AP50" i="4" s="1"/>
  <c r="J50" i="4"/>
  <c r="AS50" i="4"/>
  <c r="AT50" i="4" s="1"/>
  <c r="AC50" i="4"/>
  <c r="AD50" i="4" s="1"/>
  <c r="M50" i="4"/>
  <c r="N50" i="4" s="1"/>
  <c r="AK50" i="4"/>
  <c r="AL50" i="4" s="1"/>
  <c r="U50" i="4"/>
  <c r="V50" i="4" s="1"/>
  <c r="Y50" i="4"/>
  <c r="Z5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AU48" i="4"/>
  <c r="AV48" i="4" s="1"/>
  <c r="AE48" i="4"/>
  <c r="AF48" i="4" s="1"/>
  <c r="O48" i="4"/>
  <c r="P48" i="4" s="1"/>
  <c r="AM48" i="4"/>
  <c r="AN48" i="4" s="1"/>
  <c r="AQ48" i="4"/>
  <c r="AR48" i="4" s="1"/>
  <c r="AA48" i="4"/>
  <c r="AB48" i="4" s="1"/>
  <c r="K48" i="4"/>
  <c r="L48" i="4" s="1"/>
  <c r="AY48" i="4"/>
  <c r="AZ48" i="4" s="1"/>
  <c r="AI48" i="4"/>
  <c r="AJ48" i="4" s="1"/>
  <c r="S48" i="4"/>
  <c r="T48" i="4" s="1"/>
  <c r="W48" i="4"/>
  <c r="X48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AW155" i="4"/>
  <c r="AX155" i="4" s="1"/>
  <c r="AS155" i="4"/>
  <c r="AT155" i="4" s="1"/>
  <c r="AO155" i="4"/>
  <c r="AP155" i="4" s="1"/>
  <c r="AK155" i="4"/>
  <c r="AL155" i="4" s="1"/>
  <c r="AG155" i="4"/>
  <c r="AH155" i="4" s="1"/>
  <c r="AC155" i="4"/>
  <c r="AD155" i="4" s="1"/>
  <c r="Y155" i="4"/>
  <c r="Z155" i="4" s="1"/>
  <c r="U155" i="4"/>
  <c r="V155" i="4" s="1"/>
  <c r="Q155" i="4"/>
  <c r="R155" i="4" s="1"/>
  <c r="M155" i="4"/>
  <c r="N155" i="4" s="1"/>
  <c r="J155" i="4"/>
  <c r="AY155" i="4"/>
  <c r="AZ155" i="4" s="1"/>
  <c r="AI155" i="4"/>
  <c r="AJ155" i="4" s="1"/>
  <c r="S155" i="4"/>
  <c r="T155" i="4" s="1"/>
  <c r="AQ155" i="4"/>
  <c r="AR155" i="4" s="1"/>
  <c r="AA155" i="4"/>
  <c r="AB155" i="4" s="1"/>
  <c r="K155" i="4"/>
  <c r="L155" i="4" s="1"/>
  <c r="AE155" i="4"/>
  <c r="AF155" i="4" s="1"/>
  <c r="W155" i="4"/>
  <c r="X155" i="4" s="1"/>
  <c r="AM155" i="4"/>
  <c r="AN155" i="4" s="1"/>
  <c r="O155" i="4"/>
  <c r="P155" i="4" s="1"/>
  <c r="AU155" i="4"/>
  <c r="AV155" i="4" s="1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M86" i="4"/>
  <c r="AN86" i="4" s="1"/>
  <c r="W86" i="4"/>
  <c r="X86" i="4" s="1"/>
  <c r="AY86" i="4"/>
  <c r="AZ86" i="4" s="1"/>
  <c r="AI86" i="4"/>
  <c r="AJ86" i="4" s="1"/>
  <c r="S86" i="4"/>
  <c r="T86" i="4" s="1"/>
  <c r="AQ86" i="4"/>
  <c r="AR86" i="4" s="1"/>
  <c r="AA86" i="4"/>
  <c r="AB86" i="4" s="1"/>
  <c r="K86" i="4"/>
  <c r="L86" i="4" s="1"/>
  <c r="AU86" i="4"/>
  <c r="AV86" i="4" s="1"/>
  <c r="AE86" i="4"/>
  <c r="AF86" i="4" s="1"/>
  <c r="O86" i="4"/>
  <c r="P86" i="4" s="1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Q44" i="4"/>
  <c r="AR44" i="4" s="1"/>
  <c r="AA44" i="4"/>
  <c r="AB44" i="4" s="1"/>
  <c r="K44" i="4"/>
  <c r="L44" i="4" s="1"/>
  <c r="S44" i="4"/>
  <c r="T44" i="4" s="1"/>
  <c r="AM44" i="4"/>
  <c r="AN44" i="4" s="1"/>
  <c r="W44" i="4"/>
  <c r="X44" i="4" s="1"/>
  <c r="AY44" i="4"/>
  <c r="AZ44" i="4" s="1"/>
  <c r="AU44" i="4"/>
  <c r="AV44" i="4" s="1"/>
  <c r="AE44" i="4"/>
  <c r="AF44" i="4" s="1"/>
  <c r="O44" i="4"/>
  <c r="P44" i="4" s="1"/>
  <c r="AI44" i="4"/>
  <c r="AJ44" i="4" s="1"/>
  <c r="GG22" i="4"/>
  <c r="GH22" i="4" s="1"/>
  <c r="GC22" i="4"/>
  <c r="GD22" i="4" s="1"/>
  <c r="FY22" i="4"/>
  <c r="FZ22" i="4" s="1"/>
  <c r="FU22" i="4"/>
  <c r="FV22" i="4" s="1"/>
  <c r="FQ22" i="4"/>
  <c r="FR22" i="4" s="1"/>
  <c r="FM22" i="4"/>
  <c r="FN22" i="4" s="1"/>
  <c r="FI22" i="4"/>
  <c r="FJ22" i="4" s="1"/>
  <c r="FE22" i="4"/>
  <c r="FF22" i="4" s="1"/>
  <c r="FA22" i="4"/>
  <c r="FB22" i="4" s="1"/>
  <c r="EW22" i="4"/>
  <c r="EX22" i="4" s="1"/>
  <c r="ET22" i="4"/>
  <c r="GI22" i="4"/>
  <c r="GJ22" i="4" s="1"/>
  <c r="GE22" i="4"/>
  <c r="GF22" i="4" s="1"/>
  <c r="GA22" i="4"/>
  <c r="GB22" i="4" s="1"/>
  <c r="FW22" i="4"/>
  <c r="FX22" i="4" s="1"/>
  <c r="FS22" i="4"/>
  <c r="FT22" i="4" s="1"/>
  <c r="FO22" i="4"/>
  <c r="FP22" i="4" s="1"/>
  <c r="FK22" i="4"/>
  <c r="FL22" i="4" s="1"/>
  <c r="FG22" i="4"/>
  <c r="FH22" i="4" s="1"/>
  <c r="FC22" i="4"/>
  <c r="FD22" i="4" s="1"/>
  <c r="EY22" i="4"/>
  <c r="EZ22" i="4" s="1"/>
  <c r="EU22" i="4"/>
  <c r="EV22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M147" i="4"/>
  <c r="AN147" i="4" s="1"/>
  <c r="W147" i="4"/>
  <c r="X147" i="4" s="1"/>
  <c r="AQ147" i="4"/>
  <c r="AR147" i="4" s="1"/>
  <c r="AA147" i="4"/>
  <c r="AB147" i="4" s="1"/>
  <c r="K147" i="4"/>
  <c r="L147" i="4" s="1"/>
  <c r="AY147" i="4"/>
  <c r="AZ147" i="4" s="1"/>
  <c r="AI147" i="4"/>
  <c r="AJ147" i="4" s="1"/>
  <c r="S147" i="4"/>
  <c r="T147" i="4" s="1"/>
  <c r="AU147" i="4"/>
  <c r="AV147" i="4" s="1"/>
  <c r="AE147" i="4"/>
  <c r="AF147" i="4" s="1"/>
  <c r="O147" i="4"/>
  <c r="P147" i="4" s="1"/>
  <c r="AY94" i="4"/>
  <c r="AZ94" i="4" s="1"/>
  <c r="AU94" i="4"/>
  <c r="AV94" i="4" s="1"/>
  <c r="AQ94" i="4"/>
  <c r="AR94" i="4" s="1"/>
  <c r="AM94" i="4"/>
  <c r="AN94" i="4" s="1"/>
  <c r="AI94" i="4"/>
  <c r="AJ94" i="4" s="1"/>
  <c r="AE94" i="4"/>
  <c r="AF94" i="4" s="1"/>
  <c r="AA94" i="4"/>
  <c r="AB94" i="4" s="1"/>
  <c r="W94" i="4"/>
  <c r="X94" i="4" s="1"/>
  <c r="S94" i="4"/>
  <c r="T94" i="4" s="1"/>
  <c r="O94" i="4"/>
  <c r="P94" i="4" s="1"/>
  <c r="K94" i="4"/>
  <c r="L94" i="4" s="1"/>
  <c r="AO94" i="4"/>
  <c r="AP94" i="4" s="1"/>
  <c r="Y94" i="4"/>
  <c r="Z94" i="4" s="1"/>
  <c r="J94" i="4"/>
  <c r="AK94" i="4"/>
  <c r="AL94" i="4" s="1"/>
  <c r="U94" i="4"/>
  <c r="V94" i="4" s="1"/>
  <c r="AS94" i="4"/>
  <c r="AT94" i="4" s="1"/>
  <c r="AC94" i="4"/>
  <c r="AD94" i="4" s="1"/>
  <c r="M94" i="4"/>
  <c r="N94" i="4" s="1"/>
  <c r="AG94" i="4"/>
  <c r="AH94" i="4" s="1"/>
  <c r="Q94" i="4"/>
  <c r="R94" i="4" s="1"/>
  <c r="AW94" i="4"/>
  <c r="AX94" i="4" s="1"/>
  <c r="GI97" i="4"/>
  <c r="GJ97" i="4" s="1"/>
  <c r="FY97" i="4"/>
  <c r="FZ97" i="4" s="1"/>
  <c r="FS97" i="4"/>
  <c r="FT97" i="4" s="1"/>
  <c r="FI97" i="4"/>
  <c r="FJ97" i="4" s="1"/>
  <c r="FC97" i="4"/>
  <c r="FD97" i="4" s="1"/>
  <c r="ET97" i="4"/>
  <c r="GC97" i="4"/>
  <c r="GD97" i="4" s="1"/>
  <c r="FW97" i="4"/>
  <c r="FX97" i="4" s="1"/>
  <c r="FM97" i="4"/>
  <c r="FN97" i="4" s="1"/>
  <c r="FG97" i="4"/>
  <c r="FH97" i="4" s="1"/>
  <c r="EW97" i="4"/>
  <c r="EX97" i="4" s="1"/>
  <c r="GE97" i="4"/>
  <c r="GF97" i="4" s="1"/>
  <c r="FU97" i="4"/>
  <c r="FV97" i="4" s="1"/>
  <c r="FO97" i="4"/>
  <c r="FP97" i="4" s="1"/>
  <c r="FE97" i="4"/>
  <c r="FF97" i="4" s="1"/>
  <c r="EY97" i="4"/>
  <c r="EZ97" i="4" s="1"/>
  <c r="FQ97" i="4"/>
  <c r="FR97" i="4" s="1"/>
  <c r="EU97" i="4"/>
  <c r="EV97" i="4" s="1"/>
  <c r="GG97" i="4"/>
  <c r="GH97" i="4" s="1"/>
  <c r="FK97" i="4"/>
  <c r="FL97" i="4" s="1"/>
  <c r="FA97" i="4"/>
  <c r="FB97" i="4" s="1"/>
  <c r="GA97" i="4"/>
  <c r="GB97" i="4" s="1"/>
  <c r="ER82" i="4"/>
  <c r="ES82" i="4" s="1"/>
  <c r="CA82" i="4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DE94" i="4"/>
  <c r="DF94" i="4" s="1"/>
  <c r="CO94" i="4"/>
  <c r="CP94" i="4" s="1"/>
  <c r="DQ94" i="4"/>
  <c r="DR94" i="4" s="1"/>
  <c r="DA94" i="4"/>
  <c r="DB94" i="4" s="1"/>
  <c r="CK94" i="4"/>
  <c r="CL94" i="4" s="1"/>
  <c r="DI94" i="4"/>
  <c r="DJ94" i="4" s="1"/>
  <c r="CS94" i="4"/>
  <c r="CT94" i="4" s="1"/>
  <c r="CC94" i="4"/>
  <c r="CD94" i="4" s="1"/>
  <c r="CG94" i="4"/>
  <c r="CH94" i="4" s="1"/>
  <c r="CW94" i="4"/>
  <c r="CX94" i="4" s="1"/>
  <c r="DM94" i="4"/>
  <c r="DN94" i="4" s="1"/>
  <c r="ER40" i="4"/>
  <c r="ES40" i="4" s="1"/>
  <c r="CA40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AS31" i="4"/>
  <c r="AT31" i="4" s="1"/>
  <c r="AC31" i="4"/>
  <c r="AD31" i="4" s="1"/>
  <c r="Q31" i="4"/>
  <c r="R31" i="4" s="1"/>
  <c r="AW31" i="4"/>
  <c r="AX31" i="4" s="1"/>
  <c r="AK31" i="4"/>
  <c r="AL31" i="4" s="1"/>
  <c r="U31" i="4"/>
  <c r="V31" i="4" s="1"/>
  <c r="J31" i="4"/>
  <c r="AO31" i="4"/>
  <c r="AP31" i="4" s="1"/>
  <c r="AG31" i="4"/>
  <c r="AH31" i="4" s="1"/>
  <c r="Y31" i="4"/>
  <c r="Z31" i="4" s="1"/>
  <c r="M31" i="4"/>
  <c r="N31" i="4" s="1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GC31" i="4"/>
  <c r="GD31" i="4" s="1"/>
  <c r="FQ31" i="4"/>
  <c r="FR31" i="4" s="1"/>
  <c r="FI31" i="4"/>
  <c r="FJ31" i="4" s="1"/>
  <c r="EW31" i="4"/>
  <c r="EX31" i="4" s="1"/>
  <c r="FU31" i="4"/>
  <c r="FV31" i="4" s="1"/>
  <c r="FE31" i="4"/>
  <c r="FF31" i="4" s="1"/>
  <c r="ET31" i="4"/>
  <c r="GG31" i="4"/>
  <c r="GH31" i="4" s="1"/>
  <c r="FY31" i="4"/>
  <c r="FZ31" i="4" s="1"/>
  <c r="FM31" i="4"/>
  <c r="FN31" i="4" s="1"/>
  <c r="FA31" i="4"/>
  <c r="FB31" i="4" s="1"/>
  <c r="GI19" i="4"/>
  <c r="GJ19" i="4" s="1"/>
  <c r="GE19" i="4"/>
  <c r="GF19" i="4" s="1"/>
  <c r="GA19" i="4"/>
  <c r="GB19" i="4" s="1"/>
  <c r="FW19" i="4"/>
  <c r="FX19" i="4" s="1"/>
  <c r="FS19" i="4"/>
  <c r="FT19" i="4" s="1"/>
  <c r="FO19" i="4"/>
  <c r="FP19" i="4" s="1"/>
  <c r="FK19" i="4"/>
  <c r="FL19" i="4" s="1"/>
  <c r="FG19" i="4"/>
  <c r="FH19" i="4" s="1"/>
  <c r="FC19" i="4"/>
  <c r="FD19" i="4" s="1"/>
  <c r="EY19" i="4"/>
  <c r="EZ19" i="4" s="1"/>
  <c r="EU19" i="4"/>
  <c r="EV19" i="4" s="1"/>
  <c r="GG19" i="4"/>
  <c r="GH19" i="4" s="1"/>
  <c r="GC19" i="4"/>
  <c r="GD19" i="4" s="1"/>
  <c r="FY19" i="4"/>
  <c r="FZ19" i="4" s="1"/>
  <c r="FU19" i="4"/>
  <c r="FV19" i="4" s="1"/>
  <c r="FQ19" i="4"/>
  <c r="FR19" i="4" s="1"/>
  <c r="FM19" i="4"/>
  <c r="FN19" i="4" s="1"/>
  <c r="FI19" i="4"/>
  <c r="FJ19" i="4" s="1"/>
  <c r="FE19" i="4"/>
  <c r="FF19" i="4" s="1"/>
  <c r="FA19" i="4"/>
  <c r="FB19" i="4" s="1"/>
  <c r="EW19" i="4"/>
  <c r="EX19" i="4" s="1"/>
  <c r="ET19" i="4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DQ153" i="4"/>
  <c r="DR153" i="4" s="1"/>
  <c r="DA153" i="4"/>
  <c r="DB153" i="4" s="1"/>
  <c r="DI153" i="4"/>
  <c r="DJ153" i="4" s="1"/>
  <c r="CW153" i="4"/>
  <c r="CX153" i="4" s="1"/>
  <c r="CM153" i="4"/>
  <c r="CN153" i="4" s="1"/>
  <c r="CE153" i="4"/>
  <c r="CF153" i="4" s="1"/>
  <c r="CS153" i="4"/>
  <c r="CT153" i="4" s="1"/>
  <c r="CK153" i="4"/>
  <c r="CL153" i="4" s="1"/>
  <c r="CC153" i="4"/>
  <c r="CD153" i="4" s="1"/>
  <c r="DE153" i="4"/>
  <c r="DF153" i="4" s="1"/>
  <c r="CO153" i="4"/>
  <c r="CP153" i="4" s="1"/>
  <c r="CG153" i="4"/>
  <c r="CH153" i="4" s="1"/>
  <c r="CB153" i="4"/>
  <c r="DM153" i="4"/>
  <c r="DN153" i="4" s="1"/>
  <c r="CI153" i="4"/>
  <c r="CJ153" i="4" s="1"/>
  <c r="CQ153" i="4"/>
  <c r="CR153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A107" i="4"/>
  <c r="GB107" i="4" s="1"/>
  <c r="FK107" i="4"/>
  <c r="FL107" i="4" s="1"/>
  <c r="EU107" i="4"/>
  <c r="EV107" i="4" s="1"/>
  <c r="GI107" i="4"/>
  <c r="GJ107" i="4" s="1"/>
  <c r="FS107" i="4"/>
  <c r="FT107" i="4" s="1"/>
  <c r="FC107" i="4"/>
  <c r="FD107" i="4" s="1"/>
  <c r="EY107" i="4"/>
  <c r="EZ107" i="4" s="1"/>
  <c r="FO107" i="4"/>
  <c r="FP107" i="4" s="1"/>
  <c r="GE107" i="4"/>
  <c r="GF107" i="4" s="1"/>
  <c r="ER99" i="4"/>
  <c r="ES99" i="4" s="1"/>
  <c r="CA99" i="4"/>
  <c r="ER126" i="4"/>
  <c r="ES126" i="4" s="1"/>
  <c r="CA126" i="4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AQ103" i="4"/>
  <c r="AR103" i="4" s="1"/>
  <c r="AA103" i="4"/>
  <c r="AB103" i="4" s="1"/>
  <c r="K103" i="4"/>
  <c r="L103" i="4" s="1"/>
  <c r="AM103" i="4"/>
  <c r="AN103" i="4" s="1"/>
  <c r="W103" i="4"/>
  <c r="X103" i="4" s="1"/>
  <c r="AU103" i="4"/>
  <c r="AV103" i="4" s="1"/>
  <c r="AE103" i="4"/>
  <c r="AF103" i="4" s="1"/>
  <c r="O103" i="4"/>
  <c r="P103" i="4" s="1"/>
  <c r="AI103" i="4"/>
  <c r="AJ103" i="4" s="1"/>
  <c r="S103" i="4"/>
  <c r="T103" i="4" s="1"/>
  <c r="AY103" i="4"/>
  <c r="AZ103" i="4" s="1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AK80" i="4"/>
  <c r="AL80" i="4" s="1"/>
  <c r="U80" i="4"/>
  <c r="V80" i="4" s="1"/>
  <c r="AW80" i="4"/>
  <c r="AX80" i="4" s="1"/>
  <c r="AG80" i="4"/>
  <c r="AH80" i="4" s="1"/>
  <c r="Q80" i="4"/>
  <c r="R80" i="4" s="1"/>
  <c r="AO80" i="4"/>
  <c r="AP80" i="4" s="1"/>
  <c r="Y80" i="4"/>
  <c r="Z80" i="4" s="1"/>
  <c r="J80" i="4"/>
  <c r="AS80" i="4"/>
  <c r="AT80" i="4" s="1"/>
  <c r="M80" i="4"/>
  <c r="N80" i="4" s="1"/>
  <c r="AC80" i="4"/>
  <c r="AD80" i="4" s="1"/>
  <c r="DO98" i="4"/>
  <c r="DP98" i="4" s="1"/>
  <c r="DK98" i="4"/>
  <c r="DL98" i="4" s="1"/>
  <c r="DG98" i="4"/>
  <c r="DH98" i="4" s="1"/>
  <c r="DC98" i="4"/>
  <c r="DD98" i="4" s="1"/>
  <c r="CY98" i="4"/>
  <c r="CZ98" i="4" s="1"/>
  <c r="CU98" i="4"/>
  <c r="CV98" i="4" s="1"/>
  <c r="CQ98" i="4"/>
  <c r="CR98" i="4" s="1"/>
  <c r="CM98" i="4"/>
  <c r="CN98" i="4" s="1"/>
  <c r="CI98" i="4"/>
  <c r="CJ98" i="4" s="1"/>
  <c r="CE98" i="4"/>
  <c r="CF98" i="4" s="1"/>
  <c r="CB98" i="4"/>
  <c r="DQ98" i="4"/>
  <c r="DR98" i="4" s="1"/>
  <c r="DA98" i="4"/>
  <c r="DB98" i="4" s="1"/>
  <c r="CK98" i="4"/>
  <c r="CL98" i="4" s="1"/>
  <c r="DE98" i="4"/>
  <c r="DF98" i="4" s="1"/>
  <c r="CO98" i="4"/>
  <c r="CP98" i="4" s="1"/>
  <c r="DM98" i="4"/>
  <c r="DN98" i="4" s="1"/>
  <c r="CW98" i="4"/>
  <c r="CX98" i="4" s="1"/>
  <c r="CG98" i="4"/>
  <c r="CH98" i="4" s="1"/>
  <c r="CC98" i="4"/>
  <c r="CD98" i="4" s="1"/>
  <c r="DI98" i="4"/>
  <c r="DJ98" i="4" s="1"/>
  <c r="CS98" i="4"/>
  <c r="CT98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Q82" i="4"/>
  <c r="AR82" i="4" s="1"/>
  <c r="AA82" i="4"/>
  <c r="AB82" i="4" s="1"/>
  <c r="K82" i="4"/>
  <c r="L82" i="4" s="1"/>
  <c r="AM82" i="4"/>
  <c r="AN82" i="4" s="1"/>
  <c r="W82" i="4"/>
  <c r="X82" i="4" s="1"/>
  <c r="AU82" i="4"/>
  <c r="AV82" i="4" s="1"/>
  <c r="AE82" i="4"/>
  <c r="AF82" i="4" s="1"/>
  <c r="O82" i="4"/>
  <c r="P82" i="4" s="1"/>
  <c r="AY82" i="4"/>
  <c r="AZ82" i="4" s="1"/>
  <c r="S82" i="4"/>
  <c r="T82" i="4" s="1"/>
  <c r="AI82" i="4"/>
  <c r="AJ82" i="4" s="1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AK73" i="4"/>
  <c r="AL73" i="4" s="1"/>
  <c r="U73" i="4"/>
  <c r="V73" i="4" s="1"/>
  <c r="AW73" i="4"/>
  <c r="AX73" i="4" s="1"/>
  <c r="AG73" i="4"/>
  <c r="AH73" i="4" s="1"/>
  <c r="Q73" i="4"/>
  <c r="R73" i="4" s="1"/>
  <c r="AO73" i="4"/>
  <c r="AP73" i="4" s="1"/>
  <c r="Y73" i="4"/>
  <c r="Z73" i="4" s="1"/>
  <c r="J73" i="4"/>
  <c r="M73" i="4"/>
  <c r="N73" i="4" s="1"/>
  <c r="AS73" i="4"/>
  <c r="AT73" i="4" s="1"/>
  <c r="AC73" i="4"/>
  <c r="AD73" i="4" s="1"/>
  <c r="AW63" i="4"/>
  <c r="AX63" i="4" s="1"/>
  <c r="AS63" i="4"/>
  <c r="AT63" i="4" s="1"/>
  <c r="AO63" i="4"/>
  <c r="AP63" i="4" s="1"/>
  <c r="AK63" i="4"/>
  <c r="AL63" i="4" s="1"/>
  <c r="AG63" i="4"/>
  <c r="AH63" i="4" s="1"/>
  <c r="AC63" i="4"/>
  <c r="AD63" i="4" s="1"/>
  <c r="Y63" i="4"/>
  <c r="Z63" i="4" s="1"/>
  <c r="U63" i="4"/>
  <c r="V63" i="4" s="1"/>
  <c r="Q63" i="4"/>
  <c r="R63" i="4" s="1"/>
  <c r="M63" i="4"/>
  <c r="N63" i="4" s="1"/>
  <c r="J63" i="4"/>
  <c r="AU63" i="4"/>
  <c r="AV63" i="4" s="1"/>
  <c r="AE63" i="4"/>
  <c r="AF63" i="4" s="1"/>
  <c r="O63" i="4"/>
  <c r="P63" i="4" s="1"/>
  <c r="AQ63" i="4"/>
  <c r="AR63" i="4" s="1"/>
  <c r="AA63" i="4"/>
  <c r="AB63" i="4" s="1"/>
  <c r="K63" i="4"/>
  <c r="L63" i="4" s="1"/>
  <c r="AY63" i="4"/>
  <c r="AZ63" i="4" s="1"/>
  <c r="AI63" i="4"/>
  <c r="AJ63" i="4" s="1"/>
  <c r="S63" i="4"/>
  <c r="T63" i="4" s="1"/>
  <c r="AM63" i="4"/>
  <c r="AN63" i="4" s="1"/>
  <c r="W63" i="4"/>
  <c r="X63" i="4" s="1"/>
  <c r="ER71" i="4"/>
  <c r="ES71" i="4" s="1"/>
  <c r="CA71" i="4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AM40" i="4"/>
  <c r="AN40" i="4" s="1"/>
  <c r="W40" i="4"/>
  <c r="X40" i="4" s="1"/>
  <c r="O40" i="4"/>
  <c r="P40" i="4" s="1"/>
  <c r="AY40" i="4"/>
  <c r="AZ40" i="4" s="1"/>
  <c r="AI40" i="4"/>
  <c r="AJ40" i="4" s="1"/>
  <c r="S40" i="4"/>
  <c r="T40" i="4" s="1"/>
  <c r="AU40" i="4"/>
  <c r="AV40" i="4" s="1"/>
  <c r="AQ40" i="4"/>
  <c r="AR40" i="4" s="1"/>
  <c r="AA40" i="4"/>
  <c r="AB40" i="4" s="1"/>
  <c r="K40" i="4"/>
  <c r="L40" i="4" s="1"/>
  <c r="AE40" i="4"/>
  <c r="AF40" i="4" s="1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AY52" i="4"/>
  <c r="AZ52" i="4" s="1"/>
  <c r="AI52" i="4"/>
  <c r="AJ52" i="4" s="1"/>
  <c r="S52" i="4"/>
  <c r="T52" i="4" s="1"/>
  <c r="AA52" i="4"/>
  <c r="AB52" i="4" s="1"/>
  <c r="AU52" i="4"/>
  <c r="AV52" i="4" s="1"/>
  <c r="AE52" i="4"/>
  <c r="AF52" i="4" s="1"/>
  <c r="O52" i="4"/>
  <c r="P52" i="4" s="1"/>
  <c r="K52" i="4"/>
  <c r="L52" i="4" s="1"/>
  <c r="AM52" i="4"/>
  <c r="AN52" i="4" s="1"/>
  <c r="W52" i="4"/>
  <c r="X52" i="4" s="1"/>
  <c r="AQ52" i="4"/>
  <c r="AR52" i="4" s="1"/>
  <c r="GE57" i="4"/>
  <c r="GF57" i="4" s="1"/>
  <c r="FY57" i="4"/>
  <c r="FZ57" i="4" s="1"/>
  <c r="FO57" i="4"/>
  <c r="FP57" i="4" s="1"/>
  <c r="FI57" i="4"/>
  <c r="FJ57" i="4" s="1"/>
  <c r="EY57" i="4"/>
  <c r="EZ57" i="4" s="1"/>
  <c r="ET57" i="4"/>
  <c r="GI57" i="4"/>
  <c r="GJ57" i="4" s="1"/>
  <c r="GC57" i="4"/>
  <c r="GD57" i="4" s="1"/>
  <c r="FS57" i="4"/>
  <c r="FT57" i="4" s="1"/>
  <c r="FM57" i="4"/>
  <c r="FN57" i="4" s="1"/>
  <c r="FC57" i="4"/>
  <c r="FD57" i="4" s="1"/>
  <c r="EW57" i="4"/>
  <c r="EX57" i="4" s="1"/>
  <c r="GA57" i="4"/>
  <c r="GB57" i="4" s="1"/>
  <c r="FU57" i="4"/>
  <c r="FV57" i="4" s="1"/>
  <c r="FK57" i="4"/>
  <c r="FL57" i="4" s="1"/>
  <c r="FE57" i="4"/>
  <c r="FF57" i="4" s="1"/>
  <c r="EU57" i="4"/>
  <c r="EV57" i="4" s="1"/>
  <c r="GG57" i="4"/>
  <c r="GH57" i="4" s="1"/>
  <c r="FA57" i="4"/>
  <c r="FB57" i="4" s="1"/>
  <c r="FG57" i="4"/>
  <c r="FH57" i="4" s="1"/>
  <c r="FW57" i="4"/>
  <c r="FX57" i="4" s="1"/>
  <c r="FQ57" i="4"/>
  <c r="FR57" i="4" s="1"/>
  <c r="ES18" i="4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DM31" i="4"/>
  <c r="DN31" i="4" s="1"/>
  <c r="DA31" i="4"/>
  <c r="DB31" i="4" s="1"/>
  <c r="CO31" i="4"/>
  <c r="CP31" i="4" s="1"/>
  <c r="CC31" i="4"/>
  <c r="CD31" i="4" s="1"/>
  <c r="DI31" i="4"/>
  <c r="DJ31" i="4" s="1"/>
  <c r="CW31" i="4"/>
  <c r="CX31" i="4" s="1"/>
  <c r="CG31" i="4"/>
  <c r="CH31" i="4" s="1"/>
  <c r="DQ31" i="4"/>
  <c r="DR31" i="4" s="1"/>
  <c r="DE31" i="4"/>
  <c r="DF31" i="4" s="1"/>
  <c r="CS31" i="4"/>
  <c r="CT31" i="4" s="1"/>
  <c r="CK31" i="4"/>
  <c r="CL31" i="4" s="1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C153" i="4"/>
  <c r="GD153" i="4" s="1"/>
  <c r="FM153" i="4"/>
  <c r="FN153" i="4" s="1"/>
  <c r="EW153" i="4"/>
  <c r="EX153" i="4" s="1"/>
  <c r="FU153" i="4"/>
  <c r="FV153" i="4" s="1"/>
  <c r="FE153" i="4"/>
  <c r="FF153" i="4" s="1"/>
  <c r="FQ153" i="4"/>
  <c r="FR153" i="4" s="1"/>
  <c r="FI153" i="4"/>
  <c r="FJ153" i="4" s="1"/>
  <c r="FY153" i="4"/>
  <c r="FZ153" i="4" s="1"/>
  <c r="ET153" i="4"/>
  <c r="GG153" i="4"/>
  <c r="GH153" i="4" s="1"/>
  <c r="FA153" i="4"/>
  <c r="FB153" i="4" s="1"/>
  <c r="ER143" i="4"/>
  <c r="ES143" i="4" s="1"/>
  <c r="CA143" i="4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FY136" i="4"/>
  <c r="FZ136" i="4" s="1"/>
  <c r="FI136" i="4"/>
  <c r="FJ136" i="4" s="1"/>
  <c r="ET136" i="4"/>
  <c r="GC136" i="4"/>
  <c r="GD136" i="4" s="1"/>
  <c r="FM136" i="4"/>
  <c r="FN136" i="4" s="1"/>
  <c r="EW136" i="4"/>
  <c r="EX136" i="4" s="1"/>
  <c r="FU136" i="4"/>
  <c r="FV136" i="4" s="1"/>
  <c r="FE136" i="4"/>
  <c r="FF136" i="4" s="1"/>
  <c r="FQ136" i="4"/>
  <c r="FR136" i="4" s="1"/>
  <c r="GG136" i="4"/>
  <c r="GH136" i="4" s="1"/>
  <c r="FA136" i="4"/>
  <c r="FB136" i="4" s="1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FW131" i="4"/>
  <c r="FX131" i="4" s="1"/>
  <c r="FG131" i="4"/>
  <c r="FH131" i="4" s="1"/>
  <c r="GA131" i="4"/>
  <c r="GB131" i="4" s="1"/>
  <c r="FK131" i="4"/>
  <c r="FL131" i="4" s="1"/>
  <c r="EU131" i="4"/>
  <c r="EV131" i="4" s="1"/>
  <c r="GI131" i="4"/>
  <c r="GJ131" i="4" s="1"/>
  <c r="FS131" i="4"/>
  <c r="FT131" i="4" s="1"/>
  <c r="FC131" i="4"/>
  <c r="FD131" i="4" s="1"/>
  <c r="GE131" i="4"/>
  <c r="GF131" i="4" s="1"/>
  <c r="FO131" i="4"/>
  <c r="FP131" i="4" s="1"/>
  <c r="EY131" i="4"/>
  <c r="EZ131" i="4" s="1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O107" i="4"/>
  <c r="DP107" i="4" s="1"/>
  <c r="CY107" i="4"/>
  <c r="CZ107" i="4" s="1"/>
  <c r="CI107" i="4"/>
  <c r="CJ107" i="4" s="1"/>
  <c r="DK107" i="4"/>
  <c r="DL107" i="4" s="1"/>
  <c r="CU107" i="4"/>
  <c r="CV107" i="4" s="1"/>
  <c r="CE107" i="4"/>
  <c r="CF107" i="4" s="1"/>
  <c r="DC107" i="4"/>
  <c r="DD107" i="4" s="1"/>
  <c r="CM107" i="4"/>
  <c r="CN107" i="4" s="1"/>
  <c r="DG107" i="4"/>
  <c r="DH107" i="4" s="1"/>
  <c r="CQ107" i="4"/>
  <c r="CR107" i="4" s="1"/>
  <c r="CB107" i="4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AK77" i="4"/>
  <c r="AL77" i="4" s="1"/>
  <c r="U77" i="4"/>
  <c r="V77" i="4" s="1"/>
  <c r="AW77" i="4"/>
  <c r="AX77" i="4" s="1"/>
  <c r="AG77" i="4"/>
  <c r="AH77" i="4" s="1"/>
  <c r="Q77" i="4"/>
  <c r="R77" i="4" s="1"/>
  <c r="AO77" i="4"/>
  <c r="AP77" i="4" s="1"/>
  <c r="Y77" i="4"/>
  <c r="Z77" i="4" s="1"/>
  <c r="J77" i="4"/>
  <c r="AC77" i="4"/>
  <c r="AD77" i="4" s="1"/>
  <c r="M77" i="4"/>
  <c r="N77" i="4" s="1"/>
  <c r="AS77" i="4"/>
  <c r="AT77" i="4" s="1"/>
  <c r="ER63" i="4"/>
  <c r="ES63" i="4" s="1"/>
  <c r="CA63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ER52" i="4"/>
  <c r="ES52" i="4" s="1"/>
  <c r="CA52" i="4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DO134" i="4"/>
  <c r="DP134" i="4" s="1"/>
  <c r="CY134" i="4"/>
  <c r="CZ134" i="4" s="1"/>
  <c r="CI134" i="4"/>
  <c r="CJ134" i="4" s="1"/>
  <c r="DC134" i="4"/>
  <c r="DD134" i="4" s="1"/>
  <c r="CM134" i="4"/>
  <c r="CN134" i="4" s="1"/>
  <c r="DK134" i="4"/>
  <c r="DL134" i="4" s="1"/>
  <c r="CU134" i="4"/>
  <c r="CV134" i="4" s="1"/>
  <c r="CE134" i="4"/>
  <c r="CF134" i="4" s="1"/>
  <c r="CB134" i="4"/>
  <c r="CQ134" i="4"/>
  <c r="CR134" i="4" s="1"/>
  <c r="DG134" i="4"/>
  <c r="DH134" i="4" s="1"/>
  <c r="ER125" i="4"/>
  <c r="ES125" i="4" s="1"/>
  <c r="CA125" i="4"/>
  <c r="DQ119" i="4"/>
  <c r="DR119" i="4" s="1"/>
  <c r="DK119" i="4"/>
  <c r="DL119" i="4" s="1"/>
  <c r="DA119" i="4"/>
  <c r="DB119" i="4" s="1"/>
  <c r="CU119" i="4"/>
  <c r="CV119" i="4" s="1"/>
  <c r="DO119" i="4"/>
  <c r="DP119" i="4" s="1"/>
  <c r="DE119" i="4"/>
  <c r="DF119" i="4" s="1"/>
  <c r="CY119" i="4"/>
  <c r="CZ119" i="4" s="1"/>
  <c r="CO119" i="4"/>
  <c r="CP119" i="4" s="1"/>
  <c r="CK119" i="4"/>
  <c r="CL119" i="4" s="1"/>
  <c r="CG119" i="4"/>
  <c r="CH119" i="4" s="1"/>
  <c r="CC119" i="4"/>
  <c r="CD119" i="4" s="1"/>
  <c r="DM119" i="4"/>
  <c r="DN119" i="4" s="1"/>
  <c r="DG119" i="4"/>
  <c r="DH119" i="4" s="1"/>
  <c r="CW119" i="4"/>
  <c r="CX119" i="4" s="1"/>
  <c r="CQ119" i="4"/>
  <c r="CR119" i="4" s="1"/>
  <c r="CM119" i="4"/>
  <c r="CN119" i="4" s="1"/>
  <c r="CI119" i="4"/>
  <c r="CJ119" i="4" s="1"/>
  <c r="CE119" i="4"/>
  <c r="CF119" i="4" s="1"/>
  <c r="CB119" i="4"/>
  <c r="DI119" i="4"/>
  <c r="DJ119" i="4" s="1"/>
  <c r="DC119" i="4"/>
  <c r="DD119" i="4" s="1"/>
  <c r="CS119" i="4"/>
  <c r="CT119" i="4" s="1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A120" i="4"/>
  <c r="DB120" i="4" s="1"/>
  <c r="CK120" i="4"/>
  <c r="CL120" i="4" s="1"/>
  <c r="DE120" i="4"/>
  <c r="DF120" i="4" s="1"/>
  <c r="CO120" i="4"/>
  <c r="CP120" i="4" s="1"/>
  <c r="DM120" i="4"/>
  <c r="DN120" i="4" s="1"/>
  <c r="CW120" i="4"/>
  <c r="CX120" i="4" s="1"/>
  <c r="CG120" i="4"/>
  <c r="CH120" i="4" s="1"/>
  <c r="CC120" i="4"/>
  <c r="CD120" i="4" s="1"/>
  <c r="DI120" i="4"/>
  <c r="DJ120" i="4" s="1"/>
  <c r="CS120" i="4"/>
  <c r="CT120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AQ110" i="4"/>
  <c r="AR110" i="4" s="1"/>
  <c r="AK110" i="4"/>
  <c r="AL110" i="4" s="1"/>
  <c r="AA110" i="4"/>
  <c r="AB110" i="4" s="1"/>
  <c r="U110" i="4"/>
  <c r="V110" i="4" s="1"/>
  <c r="K110" i="4"/>
  <c r="L110" i="4" s="1"/>
  <c r="AU110" i="4"/>
  <c r="AV110" i="4" s="1"/>
  <c r="AO110" i="4"/>
  <c r="AP110" i="4" s="1"/>
  <c r="AE110" i="4"/>
  <c r="AF110" i="4" s="1"/>
  <c r="Y110" i="4"/>
  <c r="Z110" i="4" s="1"/>
  <c r="O110" i="4"/>
  <c r="P110" i="4" s="1"/>
  <c r="J110" i="4"/>
  <c r="AW110" i="4"/>
  <c r="AX110" i="4" s="1"/>
  <c r="AM110" i="4"/>
  <c r="AN110" i="4" s="1"/>
  <c r="AG110" i="4"/>
  <c r="AH110" i="4" s="1"/>
  <c r="W110" i="4"/>
  <c r="X110" i="4" s="1"/>
  <c r="Q110" i="4"/>
  <c r="R110" i="4" s="1"/>
  <c r="S110" i="4"/>
  <c r="T110" i="4" s="1"/>
  <c r="AI110" i="4"/>
  <c r="AJ110" i="4" s="1"/>
  <c r="M110" i="4"/>
  <c r="N110" i="4" s="1"/>
  <c r="AS110" i="4"/>
  <c r="AT110" i="4" s="1"/>
  <c r="AY110" i="4"/>
  <c r="AZ110" i="4" s="1"/>
  <c r="AC110" i="4"/>
  <c r="AD110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AU99" i="4"/>
  <c r="AV99" i="4" s="1"/>
  <c r="AM99" i="4"/>
  <c r="AN99" i="4" s="1"/>
  <c r="AE99" i="4"/>
  <c r="AF99" i="4" s="1"/>
  <c r="W99" i="4"/>
  <c r="X99" i="4" s="1"/>
  <c r="K99" i="4"/>
  <c r="L99" i="4" s="1"/>
  <c r="AY99" i="4"/>
  <c r="AZ99" i="4" s="1"/>
  <c r="AQ99" i="4"/>
  <c r="AR99" i="4" s="1"/>
  <c r="AI99" i="4"/>
  <c r="AJ99" i="4" s="1"/>
  <c r="AA99" i="4"/>
  <c r="AB99" i="4" s="1"/>
  <c r="S99" i="4"/>
  <c r="T99" i="4" s="1"/>
  <c r="M99" i="4"/>
  <c r="N99" i="4" s="1"/>
  <c r="J99" i="4"/>
  <c r="O99" i="4"/>
  <c r="P99" i="4" s="1"/>
  <c r="AS126" i="4"/>
  <c r="AT126" i="4" s="1"/>
  <c r="AM126" i="4"/>
  <c r="AN126" i="4" s="1"/>
  <c r="AC126" i="4"/>
  <c r="AD126" i="4" s="1"/>
  <c r="W126" i="4"/>
  <c r="X126" i="4" s="1"/>
  <c r="M126" i="4"/>
  <c r="N126" i="4" s="1"/>
  <c r="AW126" i="4"/>
  <c r="AX126" i="4" s="1"/>
  <c r="AQ126" i="4"/>
  <c r="AR126" i="4" s="1"/>
  <c r="AG126" i="4"/>
  <c r="AH126" i="4" s="1"/>
  <c r="AA126" i="4"/>
  <c r="AB126" i="4" s="1"/>
  <c r="Q126" i="4"/>
  <c r="R126" i="4" s="1"/>
  <c r="K126" i="4"/>
  <c r="L126" i="4" s="1"/>
  <c r="AY126" i="4"/>
  <c r="AZ126" i="4" s="1"/>
  <c r="AO126" i="4"/>
  <c r="AP126" i="4" s="1"/>
  <c r="AI126" i="4"/>
  <c r="AJ126" i="4" s="1"/>
  <c r="Y126" i="4"/>
  <c r="Z126" i="4" s="1"/>
  <c r="S126" i="4"/>
  <c r="T126" i="4" s="1"/>
  <c r="J126" i="4"/>
  <c r="U126" i="4"/>
  <c r="V126" i="4" s="1"/>
  <c r="AK126" i="4"/>
  <c r="AL126" i="4" s="1"/>
  <c r="O126" i="4"/>
  <c r="P126" i="4" s="1"/>
  <c r="AU126" i="4"/>
  <c r="AV126" i="4" s="1"/>
  <c r="AE126" i="4"/>
  <c r="AF126" i="4" s="1"/>
  <c r="AY84" i="4"/>
  <c r="AZ84" i="4" s="1"/>
  <c r="AU84" i="4"/>
  <c r="AV84" i="4" s="1"/>
  <c r="AQ84" i="4"/>
  <c r="AR84" i="4" s="1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W84" i="4"/>
  <c r="AX84" i="4" s="1"/>
  <c r="AG84" i="4"/>
  <c r="AH84" i="4" s="1"/>
  <c r="Q84" i="4"/>
  <c r="R84" i="4" s="1"/>
  <c r="AS84" i="4"/>
  <c r="AT84" i="4" s="1"/>
  <c r="AC84" i="4"/>
  <c r="AD84" i="4" s="1"/>
  <c r="M84" i="4"/>
  <c r="N84" i="4" s="1"/>
  <c r="AK84" i="4"/>
  <c r="AL84" i="4" s="1"/>
  <c r="U84" i="4"/>
  <c r="V84" i="4" s="1"/>
  <c r="AO84" i="4"/>
  <c r="AP84" i="4" s="1"/>
  <c r="Y84" i="4"/>
  <c r="Z84" i="4" s="1"/>
  <c r="J84" i="4"/>
  <c r="AW121" i="4"/>
  <c r="AX121" i="4" s="1"/>
  <c r="AM121" i="4"/>
  <c r="AN121" i="4" s="1"/>
  <c r="AG121" i="4"/>
  <c r="AH121" i="4" s="1"/>
  <c r="W121" i="4"/>
  <c r="X121" i="4" s="1"/>
  <c r="Q121" i="4"/>
  <c r="R121" i="4" s="1"/>
  <c r="AQ121" i="4"/>
  <c r="AR121" i="4" s="1"/>
  <c r="AK121" i="4"/>
  <c r="AL121" i="4" s="1"/>
  <c r="AA121" i="4"/>
  <c r="AB121" i="4" s="1"/>
  <c r="U121" i="4"/>
  <c r="V121" i="4" s="1"/>
  <c r="K121" i="4"/>
  <c r="L121" i="4" s="1"/>
  <c r="AY121" i="4"/>
  <c r="AZ121" i="4" s="1"/>
  <c r="AS121" i="4"/>
  <c r="AT121" i="4" s="1"/>
  <c r="AI121" i="4"/>
  <c r="AJ121" i="4" s="1"/>
  <c r="AC121" i="4"/>
  <c r="AD121" i="4" s="1"/>
  <c r="S121" i="4"/>
  <c r="T121" i="4" s="1"/>
  <c r="M121" i="4"/>
  <c r="N121" i="4" s="1"/>
  <c r="AU121" i="4"/>
  <c r="AV121" i="4" s="1"/>
  <c r="Y121" i="4"/>
  <c r="Z121" i="4" s="1"/>
  <c r="AO121" i="4"/>
  <c r="AP121" i="4" s="1"/>
  <c r="AE121" i="4"/>
  <c r="AF121" i="4" s="1"/>
  <c r="J121" i="4"/>
  <c r="O121" i="4"/>
  <c r="P121" i="4" s="1"/>
  <c r="ER92" i="4"/>
  <c r="ES92" i="4" s="1"/>
  <c r="CA92" i="4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FY84" i="4"/>
  <c r="FZ84" i="4" s="1"/>
  <c r="FI84" i="4"/>
  <c r="FJ84" i="4" s="1"/>
  <c r="ET84" i="4"/>
  <c r="FU84" i="4"/>
  <c r="FV84" i="4" s="1"/>
  <c r="FE84" i="4"/>
  <c r="FF84" i="4" s="1"/>
  <c r="GC84" i="4"/>
  <c r="GD84" i="4" s="1"/>
  <c r="FM84" i="4"/>
  <c r="FN84" i="4" s="1"/>
  <c r="EW84" i="4"/>
  <c r="EX84" i="4" s="1"/>
  <c r="GG84" i="4"/>
  <c r="GH84" i="4" s="1"/>
  <c r="FA84" i="4"/>
  <c r="FB84" i="4" s="1"/>
  <c r="FQ84" i="4"/>
  <c r="FR84" i="4" s="1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FY98" i="4"/>
  <c r="FZ98" i="4" s="1"/>
  <c r="FI98" i="4"/>
  <c r="FJ98" i="4" s="1"/>
  <c r="ET98" i="4"/>
  <c r="GC98" i="4"/>
  <c r="GD98" i="4" s="1"/>
  <c r="FM98" i="4"/>
  <c r="FN98" i="4" s="1"/>
  <c r="EW98" i="4"/>
  <c r="EX98" i="4" s="1"/>
  <c r="FU98" i="4"/>
  <c r="FV98" i="4" s="1"/>
  <c r="FE98" i="4"/>
  <c r="FF98" i="4" s="1"/>
  <c r="GG98" i="4"/>
  <c r="GH98" i="4" s="1"/>
  <c r="FQ98" i="4"/>
  <c r="FR98" i="4" s="1"/>
  <c r="FA98" i="4"/>
  <c r="FB98" i="4" s="1"/>
  <c r="AW71" i="4"/>
  <c r="AX71" i="4" s="1"/>
  <c r="AS71" i="4"/>
  <c r="AT71" i="4" s="1"/>
  <c r="AO71" i="4"/>
  <c r="AP71" i="4" s="1"/>
  <c r="AK71" i="4"/>
  <c r="AL71" i="4" s="1"/>
  <c r="AG71" i="4"/>
  <c r="AH71" i="4" s="1"/>
  <c r="AC71" i="4"/>
  <c r="AD71" i="4" s="1"/>
  <c r="Y71" i="4"/>
  <c r="Z71" i="4" s="1"/>
  <c r="U71" i="4"/>
  <c r="V71" i="4" s="1"/>
  <c r="Q71" i="4"/>
  <c r="R71" i="4" s="1"/>
  <c r="M71" i="4"/>
  <c r="N71" i="4" s="1"/>
  <c r="J71" i="4"/>
  <c r="AY71" i="4"/>
  <c r="AZ71" i="4" s="1"/>
  <c r="AI71" i="4"/>
  <c r="AJ71" i="4" s="1"/>
  <c r="S71" i="4"/>
  <c r="T71" i="4" s="1"/>
  <c r="AU71" i="4"/>
  <c r="AV71" i="4" s="1"/>
  <c r="AE71" i="4"/>
  <c r="AF71" i="4" s="1"/>
  <c r="O71" i="4"/>
  <c r="P71" i="4" s="1"/>
  <c r="AM71" i="4"/>
  <c r="AN71" i="4" s="1"/>
  <c r="W71" i="4"/>
  <c r="X71" i="4" s="1"/>
  <c r="AA71" i="4"/>
  <c r="AB71" i="4" s="1"/>
  <c r="K71" i="4"/>
  <c r="L71" i="4" s="1"/>
  <c r="AQ71" i="4"/>
  <c r="AR71" i="4" s="1"/>
  <c r="ER75" i="4"/>
  <c r="ES75" i="4" s="1"/>
  <c r="CA75" i="4"/>
  <c r="ER67" i="4"/>
  <c r="ES67" i="4" s="1"/>
  <c r="CA67" i="4"/>
  <c r="ER48" i="4"/>
  <c r="ES48" i="4" s="1"/>
  <c r="CA48" i="4"/>
  <c r="ER155" i="4"/>
  <c r="ES155" i="4" s="1"/>
  <c r="CA155" i="4"/>
  <c r="ER86" i="4"/>
  <c r="ES86" i="4" s="1"/>
  <c r="CA86" i="4"/>
  <c r="DK57" i="4"/>
  <c r="DL57" i="4" s="1"/>
  <c r="DE57" i="4"/>
  <c r="DF57" i="4" s="1"/>
  <c r="CU57" i="4"/>
  <c r="CV57" i="4" s="1"/>
  <c r="CO57" i="4"/>
  <c r="CP57" i="4" s="1"/>
  <c r="CE57" i="4"/>
  <c r="CF57" i="4" s="1"/>
  <c r="DO57" i="4"/>
  <c r="DP57" i="4" s="1"/>
  <c r="DI57" i="4"/>
  <c r="DJ57" i="4" s="1"/>
  <c r="CY57" i="4"/>
  <c r="CZ57" i="4" s="1"/>
  <c r="CS57" i="4"/>
  <c r="CT57" i="4" s="1"/>
  <c r="CI57" i="4"/>
  <c r="CJ57" i="4" s="1"/>
  <c r="CC57" i="4"/>
  <c r="CD57" i="4" s="1"/>
  <c r="DQ57" i="4"/>
  <c r="DR57" i="4" s="1"/>
  <c r="DG57" i="4"/>
  <c r="DH57" i="4" s="1"/>
  <c r="DA57" i="4"/>
  <c r="DB57" i="4" s="1"/>
  <c r="CQ57" i="4"/>
  <c r="CR57" i="4" s="1"/>
  <c r="CK57" i="4"/>
  <c r="CL57" i="4" s="1"/>
  <c r="CB57" i="4"/>
  <c r="DC57" i="4"/>
  <c r="DD57" i="4" s="1"/>
  <c r="CG57" i="4"/>
  <c r="CH57" i="4" s="1"/>
  <c r="DM57" i="4"/>
  <c r="DN57" i="4" s="1"/>
  <c r="CW57" i="4"/>
  <c r="CX57" i="4" s="1"/>
  <c r="CM57" i="4"/>
  <c r="CN57" i="4" s="1"/>
  <c r="ER44" i="4"/>
  <c r="ES44" i="4" s="1"/>
  <c r="CA44" i="4"/>
  <c r="ER21" i="4"/>
  <c r="ES21" i="4" s="1"/>
  <c r="CA21" i="4"/>
  <c r="DO46" i="4" l="1"/>
  <c r="DP46" i="4" s="1"/>
  <c r="DE46" i="4"/>
  <c r="DF46" i="4" s="1"/>
  <c r="CQ46" i="4"/>
  <c r="CR46" i="4" s="1"/>
  <c r="CG46" i="4"/>
  <c r="CH46" i="4" s="1"/>
  <c r="CB46" i="4"/>
  <c r="DQ46" i="4"/>
  <c r="DR46" i="4" s="1"/>
  <c r="DA46" i="4"/>
  <c r="DB46" i="4" s="1"/>
  <c r="CK46" i="4"/>
  <c r="CL46" i="4" s="1"/>
  <c r="CE46" i="4"/>
  <c r="CF46" i="4" s="1"/>
  <c r="DM46" i="4"/>
  <c r="DN46" i="4" s="1"/>
  <c r="CW46" i="4"/>
  <c r="CX46" i="4" s="1"/>
  <c r="CO46" i="4"/>
  <c r="CP46" i="4" s="1"/>
  <c r="CI46" i="4"/>
  <c r="CJ46" i="4" s="1"/>
  <c r="DI46" i="4"/>
  <c r="DJ46" i="4" s="1"/>
  <c r="CS46" i="4"/>
  <c r="CT46" i="4" s="1"/>
  <c r="CM46" i="4"/>
  <c r="CN46" i="4" s="1"/>
  <c r="CC46" i="4"/>
  <c r="CD46" i="4" s="1"/>
  <c r="CY46" i="4"/>
  <c r="CZ46" i="4" s="1"/>
  <c r="DC46" i="4"/>
  <c r="DD46" i="4" s="1"/>
  <c r="DG46" i="4"/>
  <c r="DH46" i="4" s="1"/>
  <c r="CU46" i="4"/>
  <c r="CV46" i="4" s="1"/>
  <c r="DK46" i="4"/>
  <c r="DL46" i="4" s="1"/>
  <c r="GG46" i="4"/>
  <c r="GH46" i="4" s="1"/>
  <c r="FE46" i="4"/>
  <c r="FF46" i="4" s="1"/>
  <c r="GC46" i="4"/>
  <c r="GD46" i="4" s="1"/>
  <c r="EW46" i="4"/>
  <c r="EX46" i="4" s="1"/>
  <c r="FU46" i="4"/>
  <c r="FV46" i="4" s="1"/>
  <c r="FM46" i="4"/>
  <c r="FN46" i="4" s="1"/>
  <c r="FY46" i="4"/>
  <c r="FZ46" i="4" s="1"/>
  <c r="FQ46" i="4"/>
  <c r="FR46" i="4" s="1"/>
  <c r="FW46" i="4"/>
  <c r="FX46" i="4" s="1"/>
  <c r="FG46" i="4"/>
  <c r="FH46" i="4" s="1"/>
  <c r="FO46" i="4"/>
  <c r="FP46" i="4" s="1"/>
  <c r="GI46" i="4"/>
  <c r="GJ46" i="4" s="1"/>
  <c r="FS46" i="4"/>
  <c r="FT46" i="4" s="1"/>
  <c r="FC46" i="4"/>
  <c r="FD46" i="4" s="1"/>
  <c r="ET46" i="4"/>
  <c r="EY46" i="4"/>
  <c r="EZ46" i="4" s="1"/>
  <c r="FI46" i="4"/>
  <c r="FJ46" i="4" s="1"/>
  <c r="FA46" i="4"/>
  <c r="FB46" i="4" s="1"/>
  <c r="GA46" i="4"/>
  <c r="GB46" i="4" s="1"/>
  <c r="FK46" i="4"/>
  <c r="FL46" i="4" s="1"/>
  <c r="EU46" i="4"/>
  <c r="EV46" i="4" s="1"/>
  <c r="GE46" i="4"/>
  <c r="GF46" i="4" s="1"/>
  <c r="CW19" i="4"/>
  <c r="CX19" i="4" s="1"/>
  <c r="CY19" i="4"/>
  <c r="CZ19" i="4" s="1"/>
  <c r="DM19" i="4"/>
  <c r="DN19" i="4" s="1"/>
  <c r="DG19" i="4"/>
  <c r="DH19" i="4" s="1"/>
  <c r="CG19" i="4"/>
  <c r="CH19" i="4" s="1"/>
  <c r="CB19" i="4"/>
  <c r="DO19" i="4"/>
  <c r="DP19" i="4" s="1"/>
  <c r="CO19" i="4"/>
  <c r="CP19" i="4" s="1"/>
  <c r="CI19" i="4"/>
  <c r="CJ19" i="4" s="1"/>
  <c r="DE19" i="4"/>
  <c r="DF19" i="4" s="1"/>
  <c r="CQ19" i="4"/>
  <c r="CR19" i="4" s="1"/>
  <c r="GG54" i="4"/>
  <c r="GH54" i="4" s="1"/>
  <c r="DK37" i="4"/>
  <c r="DL37" i="4" s="1"/>
  <c r="CM37" i="4"/>
  <c r="CN37" i="4" s="1"/>
  <c r="CB37" i="4"/>
  <c r="DO37" i="4"/>
  <c r="DP37" i="4" s="1"/>
  <c r="DC37" i="4"/>
  <c r="DD37" i="4" s="1"/>
  <c r="DE37" i="4"/>
  <c r="DF37" i="4" s="1"/>
  <c r="CO37" i="4"/>
  <c r="CP37" i="4" s="1"/>
  <c r="CY37" i="4"/>
  <c r="CZ37" i="4" s="1"/>
  <c r="DM37" i="4"/>
  <c r="DN37" i="4" s="1"/>
  <c r="CQ37" i="4"/>
  <c r="CR37" i="4" s="1"/>
  <c r="DQ37" i="4"/>
  <c r="DR37" i="4" s="1"/>
  <c r="DA37" i="4"/>
  <c r="DB37" i="4" s="1"/>
  <c r="CK37" i="4"/>
  <c r="CL37" i="4" s="1"/>
  <c r="CG37" i="4"/>
  <c r="CH37" i="4" s="1"/>
  <c r="DG37" i="4"/>
  <c r="DH37" i="4" s="1"/>
  <c r="CU37" i="4"/>
  <c r="CV37" i="4" s="1"/>
  <c r="DI37" i="4"/>
  <c r="DJ37" i="4" s="1"/>
  <c r="CS37" i="4"/>
  <c r="CT37" i="4" s="1"/>
  <c r="CC37" i="4"/>
  <c r="CD37" i="4" s="1"/>
  <c r="CE37" i="4"/>
  <c r="CF37" i="4" s="1"/>
  <c r="CI37" i="4"/>
  <c r="CJ37" i="4" s="1"/>
  <c r="CW37" i="4"/>
  <c r="CX37" i="4" s="1"/>
  <c r="GI37" i="4"/>
  <c r="GJ37" i="4" s="1"/>
  <c r="FS37" i="4"/>
  <c r="FT37" i="4" s="1"/>
  <c r="FC37" i="4"/>
  <c r="FD37" i="4" s="1"/>
  <c r="GC37" i="4"/>
  <c r="GD37" i="4" s="1"/>
  <c r="FM37" i="4"/>
  <c r="FN37" i="4" s="1"/>
  <c r="EW37" i="4"/>
  <c r="EX37" i="4" s="1"/>
  <c r="GA37" i="4"/>
  <c r="GB37" i="4" s="1"/>
  <c r="FE37" i="4"/>
  <c r="FF37" i="4" s="1"/>
  <c r="GE37" i="4"/>
  <c r="GF37" i="4" s="1"/>
  <c r="FO37" i="4"/>
  <c r="FP37" i="4" s="1"/>
  <c r="EY37" i="4"/>
  <c r="EZ37" i="4" s="1"/>
  <c r="FY37" i="4"/>
  <c r="FZ37" i="4" s="1"/>
  <c r="FI37" i="4"/>
  <c r="FJ37" i="4" s="1"/>
  <c r="ET37" i="4"/>
  <c r="FK37" i="4"/>
  <c r="FL37" i="4" s="1"/>
  <c r="FU37" i="4"/>
  <c r="FV37" i="4" s="1"/>
  <c r="FW37" i="4"/>
  <c r="FX37" i="4" s="1"/>
  <c r="FG37" i="4"/>
  <c r="FH37" i="4" s="1"/>
  <c r="GG37" i="4"/>
  <c r="GH37" i="4" s="1"/>
  <c r="FQ37" i="4"/>
  <c r="FR37" i="4" s="1"/>
  <c r="FA37" i="4"/>
  <c r="FB37" i="4" s="1"/>
  <c r="EU37" i="4"/>
  <c r="EV37" i="4" s="1"/>
  <c r="GC54" i="4"/>
  <c r="GD54" i="4" s="1"/>
  <c r="FM54" i="4"/>
  <c r="FN54" i="4" s="1"/>
  <c r="GA54" i="4"/>
  <c r="GB54" i="4" s="1"/>
  <c r="FK54" i="4"/>
  <c r="FL54" i="4" s="1"/>
  <c r="EU54" i="4"/>
  <c r="EV54" i="4" s="1"/>
  <c r="FW54" i="4"/>
  <c r="FX54" i="4" s="1"/>
  <c r="FG54" i="4"/>
  <c r="FH54" i="4" s="1"/>
  <c r="ET54" i="4"/>
  <c r="FA54" i="4"/>
  <c r="FB54" i="4" s="1"/>
  <c r="GI54" i="4"/>
  <c r="GJ54" i="4" s="1"/>
  <c r="FS54" i="4"/>
  <c r="FT54" i="4" s="1"/>
  <c r="FC54" i="4"/>
  <c r="FD54" i="4" s="1"/>
  <c r="FI54" i="4"/>
  <c r="FJ54" i="4" s="1"/>
  <c r="EW54" i="4"/>
  <c r="EX54" i="4" s="1"/>
  <c r="GE54" i="4"/>
  <c r="GF54" i="4" s="1"/>
  <c r="FO54" i="4"/>
  <c r="FP54" i="4" s="1"/>
  <c r="EY54" i="4"/>
  <c r="EZ54" i="4" s="1"/>
  <c r="FY54" i="4"/>
  <c r="FZ54" i="4" s="1"/>
  <c r="CK19" i="4"/>
  <c r="CL19" i="4" s="1"/>
  <c r="DA19" i="4"/>
  <c r="DB19" i="4" s="1"/>
  <c r="DQ19" i="4"/>
  <c r="DR19" i="4" s="1"/>
  <c r="CM19" i="4"/>
  <c r="CN19" i="4" s="1"/>
  <c r="DC19" i="4"/>
  <c r="DD19" i="4" s="1"/>
  <c r="FU54" i="4"/>
  <c r="FV54" i="4" s="1"/>
  <c r="CC19" i="4"/>
  <c r="CD19" i="4" s="1"/>
  <c r="CS19" i="4"/>
  <c r="CT19" i="4" s="1"/>
  <c r="DI19" i="4"/>
  <c r="DJ19" i="4" s="1"/>
  <c r="CE19" i="4"/>
  <c r="CF19" i="4" s="1"/>
  <c r="CU19" i="4"/>
  <c r="CV19" i="4" s="1"/>
  <c r="FE54" i="4"/>
  <c r="FF54" i="4" s="1"/>
  <c r="DC145" i="4"/>
  <c r="DD145" i="4" s="1"/>
  <c r="CS145" i="4"/>
  <c r="CT145" i="4" s="1"/>
  <c r="CK145" i="4"/>
  <c r="CL145" i="4" s="1"/>
  <c r="CC145" i="4"/>
  <c r="CD145" i="4" s="1"/>
  <c r="CW145" i="4"/>
  <c r="CX145" i="4" s="1"/>
  <c r="DO145" i="4"/>
  <c r="DP145" i="4" s="1"/>
  <c r="CY145" i="4"/>
  <c r="CZ145" i="4" s="1"/>
  <c r="CQ145" i="4"/>
  <c r="CR145" i="4" s="1"/>
  <c r="CI145" i="4"/>
  <c r="CJ145" i="4" s="1"/>
  <c r="CB145" i="4"/>
  <c r="CG145" i="4"/>
  <c r="CH145" i="4" s="1"/>
  <c r="DG145" i="4"/>
  <c r="DH145" i="4" s="1"/>
  <c r="CU145" i="4"/>
  <c r="CV145" i="4" s="1"/>
  <c r="CM145" i="4"/>
  <c r="CN145" i="4" s="1"/>
  <c r="CE145" i="4"/>
  <c r="CF145" i="4" s="1"/>
  <c r="DK145" i="4"/>
  <c r="DL145" i="4" s="1"/>
  <c r="CO145" i="4"/>
  <c r="CP145" i="4" s="1"/>
  <c r="DE145" i="4"/>
  <c r="DF145" i="4" s="1"/>
  <c r="DQ145" i="4"/>
  <c r="DR145" i="4" s="1"/>
  <c r="DA145" i="4"/>
  <c r="DB145" i="4" s="1"/>
  <c r="DI145" i="4"/>
  <c r="DJ145" i="4" s="1"/>
  <c r="DM145" i="4"/>
  <c r="DN145" i="4" s="1"/>
  <c r="FK145" i="4"/>
  <c r="FL145" i="4" s="1"/>
  <c r="EY145" i="4"/>
  <c r="EZ145" i="4" s="1"/>
  <c r="FG145" i="4"/>
  <c r="FH145" i="4" s="1"/>
  <c r="FU145" i="4"/>
  <c r="FV145" i="4" s="1"/>
  <c r="GI145" i="4"/>
  <c r="GJ145" i="4" s="1"/>
  <c r="FS145" i="4"/>
  <c r="FT145" i="4" s="1"/>
  <c r="FI145" i="4"/>
  <c r="FJ145" i="4" s="1"/>
  <c r="ET145" i="4"/>
  <c r="GA145" i="4"/>
  <c r="GB145" i="4" s="1"/>
  <c r="GE145" i="4"/>
  <c r="GF145" i="4" s="1"/>
  <c r="FO145" i="4"/>
  <c r="FP145" i="4" s="1"/>
  <c r="FE145" i="4"/>
  <c r="FF145" i="4" s="1"/>
  <c r="GG145" i="4"/>
  <c r="GH145" i="4" s="1"/>
  <c r="GC145" i="4"/>
  <c r="GD145" i="4" s="1"/>
  <c r="FQ145" i="4"/>
  <c r="FR145" i="4" s="1"/>
  <c r="FC145" i="4"/>
  <c r="FD145" i="4" s="1"/>
  <c r="EU145" i="4"/>
  <c r="EV145" i="4" s="1"/>
  <c r="FW145" i="4"/>
  <c r="FX145" i="4" s="1"/>
  <c r="FM145" i="4"/>
  <c r="FN145" i="4" s="1"/>
  <c r="EW145" i="4"/>
  <c r="EX145" i="4" s="1"/>
  <c r="FY145" i="4"/>
  <c r="FZ145" i="4" s="1"/>
  <c r="FA145" i="4"/>
  <c r="FB145" i="4" s="1"/>
  <c r="FU148" i="4"/>
  <c r="FV148" i="4" s="1"/>
  <c r="FM148" i="4"/>
  <c r="FN148" i="4" s="1"/>
  <c r="FG148" i="4"/>
  <c r="FH148" i="4" s="1"/>
  <c r="GC148" i="4"/>
  <c r="GD148" i="4" s="1"/>
  <c r="GI148" i="4"/>
  <c r="GJ148" i="4" s="1"/>
  <c r="FS148" i="4"/>
  <c r="FT148" i="4" s="1"/>
  <c r="FQ148" i="4"/>
  <c r="FR148" i="4" s="1"/>
  <c r="FC148" i="4"/>
  <c r="FD148" i="4" s="1"/>
  <c r="EU148" i="4"/>
  <c r="EV148" i="4" s="1"/>
  <c r="GG148" i="4"/>
  <c r="GH148" i="4" s="1"/>
  <c r="FK148" i="4"/>
  <c r="FL148" i="4" s="1"/>
  <c r="GE148" i="4"/>
  <c r="GF148" i="4" s="1"/>
  <c r="FO148" i="4"/>
  <c r="FP148" i="4" s="1"/>
  <c r="FE148" i="4"/>
  <c r="FF148" i="4" s="1"/>
  <c r="ET148" i="4"/>
  <c r="GA148" i="4"/>
  <c r="GB148" i="4" s="1"/>
  <c r="EW148" i="4"/>
  <c r="EX148" i="4" s="1"/>
  <c r="FW148" i="4"/>
  <c r="FX148" i="4" s="1"/>
  <c r="FY148" i="4"/>
  <c r="FZ148" i="4" s="1"/>
  <c r="FI148" i="4"/>
  <c r="FJ148" i="4" s="1"/>
  <c r="FA148" i="4"/>
  <c r="FB148" i="4" s="1"/>
  <c r="EY148" i="4"/>
  <c r="EZ148" i="4" s="1"/>
  <c r="DQ148" i="4"/>
  <c r="DR148" i="4" s="1"/>
  <c r="DE148" i="4"/>
  <c r="DF148" i="4" s="1"/>
  <c r="CO148" i="4"/>
  <c r="CP148" i="4" s="1"/>
  <c r="CG148" i="4"/>
  <c r="CH148" i="4" s="1"/>
  <c r="DO148" i="4"/>
  <c r="DP148" i="4" s="1"/>
  <c r="CY148" i="4"/>
  <c r="CZ148" i="4" s="1"/>
  <c r="CI148" i="4"/>
  <c r="CJ148" i="4" s="1"/>
  <c r="CW148" i="4"/>
  <c r="CX148" i="4" s="1"/>
  <c r="DG148" i="4"/>
  <c r="DH148" i="4" s="1"/>
  <c r="CQ148" i="4"/>
  <c r="CR148" i="4" s="1"/>
  <c r="CB148" i="4"/>
  <c r="DM148" i="4"/>
  <c r="DN148" i="4" s="1"/>
  <c r="CC148" i="4"/>
  <c r="CD148" i="4" s="1"/>
  <c r="DI148" i="4"/>
  <c r="DJ148" i="4" s="1"/>
  <c r="CK148" i="4"/>
  <c r="CL148" i="4" s="1"/>
  <c r="DA148" i="4"/>
  <c r="DB148" i="4" s="1"/>
  <c r="CM148" i="4"/>
  <c r="CN148" i="4" s="1"/>
  <c r="CU148" i="4"/>
  <c r="CV148" i="4" s="1"/>
  <c r="CS148" i="4"/>
  <c r="CT148" i="4" s="1"/>
  <c r="DC148" i="4"/>
  <c r="DD148" i="4" s="1"/>
  <c r="CE148" i="4"/>
  <c r="CF148" i="4" s="1"/>
  <c r="DK148" i="4"/>
  <c r="DL148" i="4" s="1"/>
  <c r="DO20" i="4"/>
  <c r="DP20" i="4" s="1"/>
  <c r="DE20" i="4"/>
  <c r="DF20" i="4" s="1"/>
  <c r="CG20" i="4"/>
  <c r="CH20" i="4" s="1"/>
  <c r="DQ20" i="4"/>
  <c r="DR20" i="4" s="1"/>
  <c r="DI20" i="4"/>
  <c r="DJ20" i="4" s="1"/>
  <c r="DA20" i="4"/>
  <c r="DB20" i="4" s="1"/>
  <c r="CS20" i="4"/>
  <c r="CT20" i="4" s="1"/>
  <c r="CK20" i="4"/>
  <c r="CL20" i="4" s="1"/>
  <c r="CC20" i="4"/>
  <c r="CD20" i="4" s="1"/>
  <c r="DM20" i="4"/>
  <c r="DN20" i="4" s="1"/>
  <c r="CO20" i="4"/>
  <c r="CP20" i="4" s="1"/>
  <c r="CW20" i="4"/>
  <c r="CX20" i="4" s="1"/>
  <c r="CB20" i="4"/>
  <c r="CQ20" i="4"/>
  <c r="CR20" i="4" s="1"/>
  <c r="DG20" i="4"/>
  <c r="DH20" i="4" s="1"/>
  <c r="DC20" i="4"/>
  <c r="DD20" i="4" s="1"/>
  <c r="CE20" i="4"/>
  <c r="CF20" i="4" s="1"/>
  <c r="CU20" i="4"/>
  <c r="CV20" i="4" s="1"/>
  <c r="DK20" i="4"/>
  <c r="DL20" i="4" s="1"/>
  <c r="CI20" i="4"/>
  <c r="CJ20" i="4" s="1"/>
  <c r="CY20" i="4"/>
  <c r="CZ20" i="4" s="1"/>
  <c r="CM20" i="4"/>
  <c r="CN20" i="4" s="1"/>
  <c r="GG20" i="4"/>
  <c r="GH20" i="4" s="1"/>
  <c r="FQ20" i="4"/>
  <c r="FR20" i="4" s="1"/>
  <c r="FA20" i="4"/>
  <c r="FB20" i="4" s="1"/>
  <c r="GE20" i="4"/>
  <c r="GF20" i="4" s="1"/>
  <c r="FO20" i="4"/>
  <c r="FP20" i="4" s="1"/>
  <c r="EY20" i="4"/>
  <c r="EZ20" i="4" s="1"/>
  <c r="FE20" i="4"/>
  <c r="FF20" i="4" s="1"/>
  <c r="FC20" i="4"/>
  <c r="FD20" i="4" s="1"/>
  <c r="GC20" i="4"/>
  <c r="GD20" i="4" s="1"/>
  <c r="FM20" i="4"/>
  <c r="FN20" i="4" s="1"/>
  <c r="EW20" i="4"/>
  <c r="EX20" i="4" s="1"/>
  <c r="GA20" i="4"/>
  <c r="GB20" i="4" s="1"/>
  <c r="FK20" i="4"/>
  <c r="FL20" i="4" s="1"/>
  <c r="EU20" i="4"/>
  <c r="EV20" i="4" s="1"/>
  <c r="FU20" i="4"/>
  <c r="FV20" i="4" s="1"/>
  <c r="FY20" i="4"/>
  <c r="FZ20" i="4" s="1"/>
  <c r="FI20" i="4"/>
  <c r="FJ20" i="4" s="1"/>
  <c r="ET20" i="4"/>
  <c r="FW20" i="4"/>
  <c r="FX20" i="4" s="1"/>
  <c r="FG20" i="4"/>
  <c r="FH20" i="4" s="1"/>
  <c r="GI20" i="4"/>
  <c r="GJ20" i="4" s="1"/>
  <c r="FS20" i="4"/>
  <c r="FT20" i="4" s="1"/>
  <c r="Y28" i="4"/>
  <c r="Z28" i="4" s="1"/>
  <c r="U28" i="4"/>
  <c r="V28" i="4" s="1"/>
  <c r="Q28" i="4"/>
  <c r="R28" i="4" s="1"/>
  <c r="AO28" i="4"/>
  <c r="AP28" i="4" s="1"/>
  <c r="AG28" i="4"/>
  <c r="AH28" i="4" s="1"/>
  <c r="K28" i="4"/>
  <c r="L28" i="4" s="1"/>
  <c r="W28" i="4"/>
  <c r="X28" i="4" s="1"/>
  <c r="O28" i="4"/>
  <c r="P28" i="4" s="1"/>
  <c r="AI28" i="4"/>
  <c r="AJ28" i="4" s="1"/>
  <c r="AC28" i="4"/>
  <c r="AD28" i="4" s="1"/>
  <c r="ER27" i="4"/>
  <c r="ES27" i="4" s="1"/>
  <c r="GA27" i="4" s="1"/>
  <c r="GB27" i="4" s="1"/>
  <c r="AM28" i="4"/>
  <c r="AN28" i="4" s="1"/>
  <c r="AU28" i="4"/>
  <c r="AV28" i="4" s="1"/>
  <c r="AY28" i="4"/>
  <c r="AZ28" i="4" s="1"/>
  <c r="AA28" i="4"/>
  <c r="AB28" i="4" s="1"/>
  <c r="CA27" i="4"/>
  <c r="DO27" i="4" s="1"/>
  <c r="DP27" i="4" s="1"/>
  <c r="J28" i="4"/>
  <c r="AE28" i="4"/>
  <c r="AF28" i="4" s="1"/>
  <c r="S28" i="4"/>
  <c r="T28" i="4" s="1"/>
  <c r="AK28" i="4"/>
  <c r="AL28" i="4" s="1"/>
  <c r="AW28" i="4"/>
  <c r="AX28" i="4" s="1"/>
  <c r="M28" i="4"/>
  <c r="N28" i="4" s="1"/>
  <c r="AQ28" i="4"/>
  <c r="AR28" i="4" s="1"/>
  <c r="AW23" i="4"/>
  <c r="AX23" i="4" s="1"/>
  <c r="AY23" i="4"/>
  <c r="AZ23" i="4" s="1"/>
  <c r="AQ23" i="4"/>
  <c r="AR23" i="4" s="1"/>
  <c r="AI23" i="4"/>
  <c r="AJ23" i="4" s="1"/>
  <c r="AA23" i="4"/>
  <c r="AB23" i="4" s="1"/>
  <c r="S23" i="4"/>
  <c r="T23" i="4" s="1"/>
  <c r="K23" i="4"/>
  <c r="L23" i="4" s="1"/>
  <c r="AU23" i="4"/>
  <c r="AV23" i="4" s="1"/>
  <c r="AM23" i="4"/>
  <c r="AN23" i="4" s="1"/>
  <c r="AE23" i="4"/>
  <c r="AF23" i="4" s="1"/>
  <c r="W23" i="4"/>
  <c r="X23" i="4" s="1"/>
  <c r="O23" i="4"/>
  <c r="P23" i="4" s="1"/>
  <c r="M23" i="4"/>
  <c r="N23" i="4" s="1"/>
  <c r="AC23" i="4"/>
  <c r="AD23" i="4" s="1"/>
  <c r="AS23" i="4"/>
  <c r="AT23" i="4" s="1"/>
  <c r="Y23" i="4"/>
  <c r="Z23" i="4" s="1"/>
  <c r="Q23" i="4"/>
  <c r="R23" i="4" s="1"/>
  <c r="AG23" i="4"/>
  <c r="AH23" i="4" s="1"/>
  <c r="AO23" i="4"/>
  <c r="AP23" i="4" s="1"/>
  <c r="U23" i="4"/>
  <c r="V23" i="4" s="1"/>
  <c r="AK23" i="4"/>
  <c r="AL23" i="4" s="1"/>
  <c r="J23" i="4"/>
  <c r="ER23" i="4"/>
  <c r="ES23" i="4" s="1"/>
  <c r="CA23" i="4"/>
  <c r="DG27" i="4"/>
  <c r="DH27" i="4" s="1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E125" i="4"/>
  <c r="GF125" i="4" s="1"/>
  <c r="FO125" i="4"/>
  <c r="FP125" i="4" s="1"/>
  <c r="EY125" i="4"/>
  <c r="EZ125" i="4" s="1"/>
  <c r="GI125" i="4"/>
  <c r="GJ125" i="4" s="1"/>
  <c r="FS125" i="4"/>
  <c r="FT125" i="4" s="1"/>
  <c r="FC125" i="4"/>
  <c r="FD125" i="4" s="1"/>
  <c r="GA125" i="4"/>
  <c r="GB125" i="4" s="1"/>
  <c r="FK125" i="4"/>
  <c r="FL125" i="4" s="1"/>
  <c r="EU125" i="4"/>
  <c r="EV125" i="4" s="1"/>
  <c r="FW125" i="4"/>
  <c r="FX125" i="4" s="1"/>
  <c r="FG125" i="4"/>
  <c r="FH125" i="4" s="1"/>
  <c r="GC143" i="4"/>
  <c r="GD143" i="4" s="1"/>
  <c r="FW143" i="4"/>
  <c r="FX143" i="4" s="1"/>
  <c r="FM143" i="4"/>
  <c r="FN143" i="4" s="1"/>
  <c r="FG143" i="4"/>
  <c r="FH143" i="4" s="1"/>
  <c r="EW143" i="4"/>
  <c r="EX143" i="4" s="1"/>
  <c r="GG143" i="4"/>
  <c r="GH143" i="4" s="1"/>
  <c r="GA143" i="4"/>
  <c r="GB143" i="4" s="1"/>
  <c r="FQ143" i="4"/>
  <c r="FR143" i="4" s="1"/>
  <c r="FK143" i="4"/>
  <c r="FL143" i="4" s="1"/>
  <c r="FA143" i="4"/>
  <c r="FB143" i="4" s="1"/>
  <c r="EU143" i="4"/>
  <c r="EV143" i="4" s="1"/>
  <c r="GI143" i="4"/>
  <c r="GJ143" i="4" s="1"/>
  <c r="FY143" i="4"/>
  <c r="FZ143" i="4" s="1"/>
  <c r="FS143" i="4"/>
  <c r="FT143" i="4" s="1"/>
  <c r="FI143" i="4"/>
  <c r="FJ143" i="4" s="1"/>
  <c r="FC143" i="4"/>
  <c r="FD143" i="4" s="1"/>
  <c r="ET143" i="4"/>
  <c r="FO143" i="4"/>
  <c r="FP143" i="4" s="1"/>
  <c r="GE143" i="4"/>
  <c r="GF143" i="4" s="1"/>
  <c r="FU143" i="4"/>
  <c r="FV143" i="4" s="1"/>
  <c r="EY143" i="4"/>
  <c r="EZ143" i="4" s="1"/>
  <c r="FE143" i="4"/>
  <c r="FF143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C44" i="4"/>
  <c r="DD44" i="4" s="1"/>
  <c r="CM44" i="4"/>
  <c r="CN44" i="4" s="1"/>
  <c r="CU44" i="4"/>
  <c r="CV44" i="4" s="1"/>
  <c r="DO44" i="4"/>
  <c r="DP44" i="4" s="1"/>
  <c r="CY44" i="4"/>
  <c r="CZ44" i="4" s="1"/>
  <c r="CI44" i="4"/>
  <c r="CJ44" i="4" s="1"/>
  <c r="CE44" i="4"/>
  <c r="CF44" i="4" s="1"/>
  <c r="DG44" i="4"/>
  <c r="DH44" i="4" s="1"/>
  <c r="CQ44" i="4"/>
  <c r="CR44" i="4" s="1"/>
  <c r="CB44" i="4"/>
  <c r="DK44" i="4"/>
  <c r="DL44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O86" i="4"/>
  <c r="DP86" i="4" s="1"/>
  <c r="CY86" i="4"/>
  <c r="CZ86" i="4" s="1"/>
  <c r="CI86" i="4"/>
  <c r="CJ86" i="4" s="1"/>
  <c r="DK86" i="4"/>
  <c r="DL86" i="4" s="1"/>
  <c r="CU86" i="4"/>
  <c r="CV86" i="4" s="1"/>
  <c r="CE86" i="4"/>
  <c r="CF86" i="4" s="1"/>
  <c r="DC86" i="4"/>
  <c r="DD86" i="4" s="1"/>
  <c r="CM86" i="4"/>
  <c r="CN86" i="4" s="1"/>
  <c r="CQ86" i="4"/>
  <c r="CR86" i="4" s="1"/>
  <c r="CB86" i="4"/>
  <c r="DG86" i="4"/>
  <c r="DH86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G48" i="4"/>
  <c r="DH48" i="4" s="1"/>
  <c r="CQ48" i="4"/>
  <c r="CR48" i="4" s="1"/>
  <c r="CB48" i="4"/>
  <c r="CI48" i="4"/>
  <c r="CJ48" i="4" s="1"/>
  <c r="DC48" i="4"/>
  <c r="DD48" i="4" s="1"/>
  <c r="CM48" i="4"/>
  <c r="CN48" i="4" s="1"/>
  <c r="CY48" i="4"/>
  <c r="CZ48" i="4" s="1"/>
  <c r="DK48" i="4"/>
  <c r="DL48" i="4" s="1"/>
  <c r="CU48" i="4"/>
  <c r="CV48" i="4" s="1"/>
  <c r="CE48" i="4"/>
  <c r="CF48" i="4" s="1"/>
  <c r="DO48" i="4"/>
  <c r="DP48" i="4" s="1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I44" i="4"/>
  <c r="GJ44" i="4" s="1"/>
  <c r="FS44" i="4"/>
  <c r="FT44" i="4" s="1"/>
  <c r="FC44" i="4"/>
  <c r="FD44" i="4" s="1"/>
  <c r="EU44" i="4"/>
  <c r="EV44" i="4" s="1"/>
  <c r="GE44" i="4"/>
  <c r="GF44" i="4" s="1"/>
  <c r="FO44" i="4"/>
  <c r="FP44" i="4" s="1"/>
  <c r="EY44" i="4"/>
  <c r="EZ44" i="4" s="1"/>
  <c r="GA44" i="4"/>
  <c r="GB44" i="4" s="1"/>
  <c r="FW44" i="4"/>
  <c r="FX44" i="4" s="1"/>
  <c r="FG44" i="4"/>
  <c r="FH44" i="4" s="1"/>
  <c r="FK44" i="4"/>
  <c r="FL44" i="4" s="1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E86" i="4"/>
  <c r="GF86" i="4" s="1"/>
  <c r="FO86" i="4"/>
  <c r="FP86" i="4" s="1"/>
  <c r="EY86" i="4"/>
  <c r="EZ86" i="4" s="1"/>
  <c r="GA86" i="4"/>
  <c r="GB86" i="4" s="1"/>
  <c r="FK86" i="4"/>
  <c r="FL86" i="4" s="1"/>
  <c r="EU86" i="4"/>
  <c r="EV86" i="4" s="1"/>
  <c r="GI86" i="4"/>
  <c r="GJ86" i="4" s="1"/>
  <c r="FS86" i="4"/>
  <c r="FT86" i="4" s="1"/>
  <c r="FC86" i="4"/>
  <c r="FD86" i="4" s="1"/>
  <c r="FG86" i="4"/>
  <c r="FH86" i="4" s="1"/>
  <c r="FW86" i="4"/>
  <c r="FX86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FW48" i="4"/>
  <c r="FX48" i="4" s="1"/>
  <c r="FG48" i="4"/>
  <c r="FH48" i="4" s="1"/>
  <c r="EY48" i="4"/>
  <c r="EZ48" i="4" s="1"/>
  <c r="GI48" i="4"/>
  <c r="GJ48" i="4" s="1"/>
  <c r="FS48" i="4"/>
  <c r="FT48" i="4" s="1"/>
  <c r="FC48" i="4"/>
  <c r="FD48" i="4" s="1"/>
  <c r="FO48" i="4"/>
  <c r="FP48" i="4" s="1"/>
  <c r="GA48" i="4"/>
  <c r="GB48" i="4" s="1"/>
  <c r="FK48" i="4"/>
  <c r="FL48" i="4" s="1"/>
  <c r="EU48" i="4"/>
  <c r="EV48" i="4" s="1"/>
  <c r="GE48" i="4"/>
  <c r="GF48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A92" i="4"/>
  <c r="GB92" i="4" s="1"/>
  <c r="FK92" i="4"/>
  <c r="FL92" i="4" s="1"/>
  <c r="EU92" i="4"/>
  <c r="EV92" i="4" s="1"/>
  <c r="FW92" i="4"/>
  <c r="FX92" i="4" s="1"/>
  <c r="FG92" i="4"/>
  <c r="FH92" i="4" s="1"/>
  <c r="GE92" i="4"/>
  <c r="GF92" i="4" s="1"/>
  <c r="FO92" i="4"/>
  <c r="FP92" i="4" s="1"/>
  <c r="EY92" i="4"/>
  <c r="EZ92" i="4" s="1"/>
  <c r="GI92" i="4"/>
  <c r="GJ92" i="4" s="1"/>
  <c r="FS92" i="4"/>
  <c r="FT92" i="4" s="1"/>
  <c r="FC92" i="4"/>
  <c r="FD92" i="4" s="1"/>
  <c r="DO21" i="4"/>
  <c r="DP21" i="4" s="1"/>
  <c r="DK21" i="4"/>
  <c r="DL21" i="4" s="1"/>
  <c r="DG21" i="4"/>
  <c r="DH21" i="4" s="1"/>
  <c r="DC21" i="4"/>
  <c r="DD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DQ21" i="4"/>
  <c r="DR21" i="4" s="1"/>
  <c r="DM21" i="4"/>
  <c r="DN21" i="4" s="1"/>
  <c r="DI21" i="4"/>
  <c r="DJ21" i="4" s="1"/>
  <c r="DE21" i="4"/>
  <c r="DF21" i="4" s="1"/>
  <c r="DA21" i="4"/>
  <c r="DB21" i="4" s="1"/>
  <c r="CW21" i="4"/>
  <c r="CX21" i="4" s="1"/>
  <c r="CS21" i="4"/>
  <c r="CT21" i="4" s="1"/>
  <c r="CO21" i="4"/>
  <c r="CP21" i="4" s="1"/>
  <c r="CK21" i="4"/>
  <c r="CL21" i="4" s="1"/>
  <c r="CG21" i="4"/>
  <c r="CH21" i="4" s="1"/>
  <c r="CC21" i="4"/>
  <c r="CD21" i="4" s="1"/>
  <c r="DQ155" i="4"/>
  <c r="DR155" i="4" s="1"/>
  <c r="DM155" i="4"/>
  <c r="DN155" i="4" s="1"/>
  <c r="DI155" i="4"/>
  <c r="DJ155" i="4" s="1"/>
  <c r="DE155" i="4"/>
  <c r="DF155" i="4" s="1"/>
  <c r="DA155" i="4"/>
  <c r="DB155" i="4" s="1"/>
  <c r="CW155" i="4"/>
  <c r="CX155" i="4" s="1"/>
  <c r="CS155" i="4"/>
  <c r="CT155" i="4" s="1"/>
  <c r="CO155" i="4"/>
  <c r="CP155" i="4" s="1"/>
  <c r="CK155" i="4"/>
  <c r="CL155" i="4" s="1"/>
  <c r="CG155" i="4"/>
  <c r="CH155" i="4" s="1"/>
  <c r="CC155" i="4"/>
  <c r="CD155" i="4" s="1"/>
  <c r="DK155" i="4"/>
  <c r="DL155" i="4" s="1"/>
  <c r="CU155" i="4"/>
  <c r="CV155" i="4" s="1"/>
  <c r="CE155" i="4"/>
  <c r="CF155" i="4" s="1"/>
  <c r="DC155" i="4"/>
  <c r="DD155" i="4" s="1"/>
  <c r="CM155" i="4"/>
  <c r="CN155" i="4" s="1"/>
  <c r="CY155" i="4"/>
  <c r="CZ155" i="4" s="1"/>
  <c r="CQ155" i="4"/>
  <c r="CR155" i="4" s="1"/>
  <c r="DG155" i="4"/>
  <c r="DH155" i="4" s="1"/>
  <c r="CB155" i="4"/>
  <c r="CI155" i="4"/>
  <c r="CJ155" i="4" s="1"/>
  <c r="DO155" i="4"/>
  <c r="DP155" i="4" s="1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DC67" i="4"/>
  <c r="DD67" i="4" s="1"/>
  <c r="CM67" i="4"/>
  <c r="CN67" i="4" s="1"/>
  <c r="DO67" i="4"/>
  <c r="DP67" i="4" s="1"/>
  <c r="CY67" i="4"/>
  <c r="CZ67" i="4" s="1"/>
  <c r="CI67" i="4"/>
  <c r="CJ67" i="4" s="1"/>
  <c r="DG67" i="4"/>
  <c r="DH67" i="4" s="1"/>
  <c r="CQ67" i="4"/>
  <c r="CR67" i="4" s="1"/>
  <c r="CB67" i="4"/>
  <c r="DK67" i="4"/>
  <c r="DL67" i="4" s="1"/>
  <c r="CE67" i="4"/>
  <c r="CF67" i="4" s="1"/>
  <c r="CU67" i="4"/>
  <c r="CV67" i="4" s="1"/>
  <c r="DQ125" i="4"/>
  <c r="DR125" i="4" s="1"/>
  <c r="DM125" i="4"/>
  <c r="DN125" i="4" s="1"/>
  <c r="DI125" i="4"/>
  <c r="DJ125" i="4" s="1"/>
  <c r="DE125" i="4"/>
  <c r="DF125" i="4" s="1"/>
  <c r="DK125" i="4"/>
  <c r="DL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G125" i="4"/>
  <c r="DH125" i="4" s="1"/>
  <c r="CU125" i="4"/>
  <c r="CV125" i="4" s="1"/>
  <c r="CE125" i="4"/>
  <c r="CF125" i="4" s="1"/>
  <c r="CQ125" i="4"/>
  <c r="CR125" i="4" s="1"/>
  <c r="CB125" i="4"/>
  <c r="CY125" i="4"/>
  <c r="CZ125" i="4" s="1"/>
  <c r="CI125" i="4"/>
  <c r="CJ125" i="4" s="1"/>
  <c r="DC125" i="4"/>
  <c r="DD125" i="4" s="1"/>
  <c r="CM125" i="4"/>
  <c r="CN125" i="4" s="1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DK52" i="4"/>
  <c r="DL52" i="4" s="1"/>
  <c r="CU52" i="4"/>
  <c r="CV52" i="4" s="1"/>
  <c r="CE52" i="4"/>
  <c r="CF52" i="4" s="1"/>
  <c r="DC52" i="4"/>
  <c r="DD52" i="4" s="1"/>
  <c r="DG52" i="4"/>
  <c r="DH52" i="4" s="1"/>
  <c r="CQ52" i="4"/>
  <c r="CR52" i="4" s="1"/>
  <c r="CB52" i="4"/>
  <c r="DO52" i="4"/>
  <c r="DP52" i="4" s="1"/>
  <c r="CY52" i="4"/>
  <c r="CZ52" i="4" s="1"/>
  <c r="CI52" i="4"/>
  <c r="CJ52" i="4" s="1"/>
  <c r="CM52" i="4"/>
  <c r="CN52" i="4" s="1"/>
  <c r="DQ63" i="4"/>
  <c r="DR63" i="4" s="1"/>
  <c r="DM63" i="4"/>
  <c r="DN63" i="4" s="1"/>
  <c r="DI63" i="4"/>
  <c r="DJ63" i="4" s="1"/>
  <c r="DE63" i="4"/>
  <c r="DF63" i="4" s="1"/>
  <c r="DA63" i="4"/>
  <c r="DB63" i="4" s="1"/>
  <c r="CW63" i="4"/>
  <c r="CX63" i="4" s="1"/>
  <c r="CS63" i="4"/>
  <c r="CT63" i="4" s="1"/>
  <c r="CO63" i="4"/>
  <c r="CP63" i="4" s="1"/>
  <c r="CK63" i="4"/>
  <c r="CL63" i="4" s="1"/>
  <c r="CG63" i="4"/>
  <c r="CH63" i="4" s="1"/>
  <c r="CC63" i="4"/>
  <c r="CD63" i="4" s="1"/>
  <c r="DG63" i="4"/>
  <c r="DH63" i="4" s="1"/>
  <c r="CQ63" i="4"/>
  <c r="CR63" i="4" s="1"/>
  <c r="CB63" i="4"/>
  <c r="DC63" i="4"/>
  <c r="DD63" i="4" s="1"/>
  <c r="CM63" i="4"/>
  <c r="CN63" i="4" s="1"/>
  <c r="DK63" i="4"/>
  <c r="DL63" i="4" s="1"/>
  <c r="CU63" i="4"/>
  <c r="CV63" i="4" s="1"/>
  <c r="CE63" i="4"/>
  <c r="CF63" i="4" s="1"/>
  <c r="DO63" i="4"/>
  <c r="DP63" i="4" s="1"/>
  <c r="CY63" i="4"/>
  <c r="CZ63" i="4" s="1"/>
  <c r="CI63" i="4"/>
  <c r="CJ63" i="4" s="1"/>
  <c r="DO143" i="4"/>
  <c r="DP143" i="4" s="1"/>
  <c r="DE143" i="4"/>
  <c r="DF143" i="4" s="1"/>
  <c r="CY143" i="4"/>
  <c r="CZ143" i="4" s="1"/>
  <c r="CO143" i="4"/>
  <c r="CP143" i="4" s="1"/>
  <c r="CI143" i="4"/>
  <c r="CJ143" i="4" s="1"/>
  <c r="DI143" i="4"/>
  <c r="DJ143" i="4" s="1"/>
  <c r="DC143" i="4"/>
  <c r="DD143" i="4" s="1"/>
  <c r="CS143" i="4"/>
  <c r="CT143" i="4" s="1"/>
  <c r="CM143" i="4"/>
  <c r="CN143" i="4" s="1"/>
  <c r="CC143" i="4"/>
  <c r="CD143" i="4" s="1"/>
  <c r="DQ143" i="4"/>
  <c r="DR143" i="4" s="1"/>
  <c r="DK143" i="4"/>
  <c r="DL143" i="4" s="1"/>
  <c r="DA143" i="4"/>
  <c r="DB143" i="4" s="1"/>
  <c r="CU143" i="4"/>
  <c r="CV143" i="4" s="1"/>
  <c r="CK143" i="4"/>
  <c r="CL143" i="4" s="1"/>
  <c r="CE143" i="4"/>
  <c r="CF143" i="4" s="1"/>
  <c r="DM143" i="4"/>
  <c r="DN143" i="4" s="1"/>
  <c r="CQ143" i="4"/>
  <c r="CR143" i="4" s="1"/>
  <c r="DG143" i="4"/>
  <c r="DH143" i="4" s="1"/>
  <c r="CW143" i="4"/>
  <c r="CX143" i="4" s="1"/>
  <c r="CB143" i="4"/>
  <c r="CG143" i="4"/>
  <c r="CH143" i="4" s="1"/>
  <c r="DM126" i="4"/>
  <c r="DN126" i="4" s="1"/>
  <c r="DG126" i="4"/>
  <c r="DH126" i="4" s="1"/>
  <c r="CW126" i="4"/>
  <c r="CX126" i="4" s="1"/>
  <c r="CQ126" i="4"/>
  <c r="CR126" i="4" s="1"/>
  <c r="CG126" i="4"/>
  <c r="CH126" i="4" s="1"/>
  <c r="CB126" i="4"/>
  <c r="DQ126" i="4"/>
  <c r="DR126" i="4" s="1"/>
  <c r="DK126" i="4"/>
  <c r="DL126" i="4" s="1"/>
  <c r="DA126" i="4"/>
  <c r="DB126" i="4" s="1"/>
  <c r="CU126" i="4"/>
  <c r="CV126" i="4" s="1"/>
  <c r="CK126" i="4"/>
  <c r="CL126" i="4" s="1"/>
  <c r="CE126" i="4"/>
  <c r="CF126" i="4" s="1"/>
  <c r="DI126" i="4"/>
  <c r="DJ126" i="4" s="1"/>
  <c r="DC126" i="4"/>
  <c r="DD126" i="4" s="1"/>
  <c r="CS126" i="4"/>
  <c r="CT126" i="4" s="1"/>
  <c r="CM126" i="4"/>
  <c r="CN126" i="4" s="1"/>
  <c r="CC126" i="4"/>
  <c r="CD126" i="4" s="1"/>
  <c r="CY126" i="4"/>
  <c r="CZ126" i="4" s="1"/>
  <c r="DO126" i="4"/>
  <c r="DP126" i="4" s="1"/>
  <c r="DE126" i="4"/>
  <c r="DF126" i="4" s="1"/>
  <c r="CI126" i="4"/>
  <c r="CJ126" i="4" s="1"/>
  <c r="CO126" i="4"/>
  <c r="CP126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K147" i="4"/>
  <c r="DL147" i="4" s="1"/>
  <c r="CU147" i="4"/>
  <c r="CV147" i="4" s="1"/>
  <c r="CE147" i="4"/>
  <c r="CF147" i="4" s="1"/>
  <c r="DO147" i="4"/>
  <c r="DP147" i="4" s="1"/>
  <c r="CY147" i="4"/>
  <c r="CZ147" i="4" s="1"/>
  <c r="CI147" i="4"/>
  <c r="CJ147" i="4" s="1"/>
  <c r="DG147" i="4"/>
  <c r="DH147" i="4" s="1"/>
  <c r="CQ147" i="4"/>
  <c r="CR147" i="4" s="1"/>
  <c r="CB147" i="4"/>
  <c r="DC147" i="4"/>
  <c r="DD147" i="4" s="1"/>
  <c r="CM147" i="4"/>
  <c r="CN147" i="4" s="1"/>
  <c r="GI21" i="4"/>
  <c r="GJ21" i="4" s="1"/>
  <c r="GE21" i="4"/>
  <c r="GF21" i="4" s="1"/>
  <c r="GA21" i="4"/>
  <c r="GB21" i="4" s="1"/>
  <c r="FW21" i="4"/>
  <c r="FX21" i="4" s="1"/>
  <c r="FS21" i="4"/>
  <c r="FT21" i="4" s="1"/>
  <c r="FO21" i="4"/>
  <c r="FP21" i="4" s="1"/>
  <c r="FK21" i="4"/>
  <c r="FL21" i="4" s="1"/>
  <c r="FG21" i="4"/>
  <c r="FH21" i="4" s="1"/>
  <c r="FC21" i="4"/>
  <c r="FD21" i="4" s="1"/>
  <c r="EY21" i="4"/>
  <c r="EZ21" i="4" s="1"/>
  <c r="EU21" i="4"/>
  <c r="EV21" i="4" s="1"/>
  <c r="GG21" i="4"/>
  <c r="GH21" i="4" s="1"/>
  <c r="GC21" i="4"/>
  <c r="GD21" i="4" s="1"/>
  <c r="FY21" i="4"/>
  <c r="FZ21" i="4" s="1"/>
  <c r="FU21" i="4"/>
  <c r="FV21" i="4" s="1"/>
  <c r="FQ21" i="4"/>
  <c r="FR21" i="4" s="1"/>
  <c r="FM21" i="4"/>
  <c r="FN21" i="4" s="1"/>
  <c r="FI21" i="4"/>
  <c r="FJ21" i="4" s="1"/>
  <c r="FE21" i="4"/>
  <c r="FF21" i="4" s="1"/>
  <c r="FA21" i="4"/>
  <c r="FB21" i="4" s="1"/>
  <c r="EW21" i="4"/>
  <c r="EX21" i="4" s="1"/>
  <c r="ET21" i="4"/>
  <c r="GG155" i="4"/>
  <c r="GH155" i="4" s="1"/>
  <c r="GC155" i="4"/>
  <c r="GD155" i="4" s="1"/>
  <c r="FY155" i="4"/>
  <c r="FZ155" i="4" s="1"/>
  <c r="FU155" i="4"/>
  <c r="FV155" i="4" s="1"/>
  <c r="FQ155" i="4"/>
  <c r="FR155" i="4" s="1"/>
  <c r="FM155" i="4"/>
  <c r="FN155" i="4" s="1"/>
  <c r="FI155" i="4"/>
  <c r="FJ155" i="4" s="1"/>
  <c r="FE155" i="4"/>
  <c r="FF155" i="4" s="1"/>
  <c r="FA155" i="4"/>
  <c r="FB155" i="4" s="1"/>
  <c r="EW155" i="4"/>
  <c r="EX155" i="4" s="1"/>
  <c r="ET155" i="4"/>
  <c r="GA155" i="4"/>
  <c r="GB155" i="4" s="1"/>
  <c r="FK155" i="4"/>
  <c r="FL155" i="4" s="1"/>
  <c r="EU155" i="4"/>
  <c r="EV155" i="4" s="1"/>
  <c r="GI155" i="4"/>
  <c r="GJ155" i="4" s="1"/>
  <c r="FS155" i="4"/>
  <c r="FT155" i="4" s="1"/>
  <c r="FC155" i="4"/>
  <c r="FD155" i="4" s="1"/>
  <c r="FW155" i="4"/>
  <c r="FX155" i="4" s="1"/>
  <c r="FO155" i="4"/>
  <c r="FP155" i="4" s="1"/>
  <c r="GE155" i="4"/>
  <c r="GF155" i="4" s="1"/>
  <c r="EY155" i="4"/>
  <c r="EZ155" i="4" s="1"/>
  <c r="FG155" i="4"/>
  <c r="FH155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GA52" i="4"/>
  <c r="GB52" i="4" s="1"/>
  <c r="FK52" i="4"/>
  <c r="FL52" i="4" s="1"/>
  <c r="EU52" i="4"/>
  <c r="EV52" i="4" s="1"/>
  <c r="FC52" i="4"/>
  <c r="FD52" i="4" s="1"/>
  <c r="FW52" i="4"/>
  <c r="FX52" i="4" s="1"/>
  <c r="FG52" i="4"/>
  <c r="FH52" i="4" s="1"/>
  <c r="FS52" i="4"/>
  <c r="FT52" i="4" s="1"/>
  <c r="GE52" i="4"/>
  <c r="GF52" i="4" s="1"/>
  <c r="FO52" i="4"/>
  <c r="FP52" i="4" s="1"/>
  <c r="EY52" i="4"/>
  <c r="EZ52" i="4" s="1"/>
  <c r="GI52" i="4"/>
  <c r="GJ52" i="4" s="1"/>
  <c r="GG63" i="4"/>
  <c r="GH63" i="4" s="1"/>
  <c r="GC63" i="4"/>
  <c r="GD63" i="4" s="1"/>
  <c r="FY63" i="4"/>
  <c r="FZ63" i="4" s="1"/>
  <c r="FU63" i="4"/>
  <c r="FV63" i="4" s="1"/>
  <c r="FQ63" i="4"/>
  <c r="FR63" i="4" s="1"/>
  <c r="FM63" i="4"/>
  <c r="FN63" i="4" s="1"/>
  <c r="FI63" i="4"/>
  <c r="FJ63" i="4" s="1"/>
  <c r="FE63" i="4"/>
  <c r="FF63" i="4" s="1"/>
  <c r="FA63" i="4"/>
  <c r="FB63" i="4" s="1"/>
  <c r="EW63" i="4"/>
  <c r="EX63" i="4" s="1"/>
  <c r="ET63" i="4"/>
  <c r="FW63" i="4"/>
  <c r="FX63" i="4" s="1"/>
  <c r="FG63" i="4"/>
  <c r="FH63" i="4" s="1"/>
  <c r="GI63" i="4"/>
  <c r="GJ63" i="4" s="1"/>
  <c r="FS63" i="4"/>
  <c r="FT63" i="4" s="1"/>
  <c r="FC63" i="4"/>
  <c r="FD63" i="4" s="1"/>
  <c r="GA63" i="4"/>
  <c r="GB63" i="4" s="1"/>
  <c r="FK63" i="4"/>
  <c r="FL63" i="4" s="1"/>
  <c r="EU63" i="4"/>
  <c r="EV63" i="4" s="1"/>
  <c r="FO63" i="4"/>
  <c r="FP63" i="4" s="1"/>
  <c r="EY63" i="4"/>
  <c r="EZ63" i="4" s="1"/>
  <c r="GE63" i="4"/>
  <c r="GF63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I18" i="4"/>
  <c r="GJ18" i="4" s="1"/>
  <c r="GE18" i="4"/>
  <c r="GF18" i="4" s="1"/>
  <c r="GA18" i="4"/>
  <c r="GB18" i="4" s="1"/>
  <c r="FW18" i="4"/>
  <c r="FX18" i="4" s="1"/>
  <c r="FS18" i="4"/>
  <c r="FT18" i="4" s="1"/>
  <c r="FO18" i="4"/>
  <c r="FP18" i="4" s="1"/>
  <c r="FK18" i="4"/>
  <c r="FL18" i="4" s="1"/>
  <c r="FG18" i="4"/>
  <c r="FH18" i="4" s="1"/>
  <c r="FC18" i="4"/>
  <c r="FD18" i="4" s="1"/>
  <c r="EY18" i="4"/>
  <c r="EZ18" i="4" s="1"/>
  <c r="EU18" i="4"/>
  <c r="EV18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GE147" i="4"/>
  <c r="GF147" i="4" s="1"/>
  <c r="FO147" i="4"/>
  <c r="FP147" i="4" s="1"/>
  <c r="EY147" i="4"/>
  <c r="EZ147" i="4" s="1"/>
  <c r="GI147" i="4"/>
  <c r="GJ147" i="4" s="1"/>
  <c r="FS147" i="4"/>
  <c r="FT147" i="4" s="1"/>
  <c r="FC147" i="4"/>
  <c r="FD147" i="4" s="1"/>
  <c r="GA147" i="4"/>
  <c r="GB147" i="4" s="1"/>
  <c r="FK147" i="4"/>
  <c r="FL147" i="4" s="1"/>
  <c r="EU147" i="4"/>
  <c r="EV147" i="4" s="1"/>
  <c r="FG147" i="4"/>
  <c r="FH147" i="4" s="1"/>
  <c r="FW147" i="4"/>
  <c r="FX147" i="4" s="1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C75" i="4"/>
  <c r="DD75" i="4" s="1"/>
  <c r="CM75" i="4"/>
  <c r="CN75" i="4" s="1"/>
  <c r="DO75" i="4"/>
  <c r="DP75" i="4" s="1"/>
  <c r="CY75" i="4"/>
  <c r="CZ75" i="4" s="1"/>
  <c r="CI75" i="4"/>
  <c r="CJ75" i="4" s="1"/>
  <c r="DG75" i="4"/>
  <c r="DH75" i="4" s="1"/>
  <c r="CQ75" i="4"/>
  <c r="CR75" i="4" s="1"/>
  <c r="CB75" i="4"/>
  <c r="DK75" i="4"/>
  <c r="DL75" i="4" s="1"/>
  <c r="CU75" i="4"/>
  <c r="CV75" i="4" s="1"/>
  <c r="CE75" i="4"/>
  <c r="CF75" i="4" s="1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DK92" i="4"/>
  <c r="DL92" i="4" s="1"/>
  <c r="CU92" i="4"/>
  <c r="CV92" i="4" s="1"/>
  <c r="CE92" i="4"/>
  <c r="CF92" i="4" s="1"/>
  <c r="DG92" i="4"/>
  <c r="DH92" i="4" s="1"/>
  <c r="CQ92" i="4"/>
  <c r="CR92" i="4" s="1"/>
  <c r="CB92" i="4"/>
  <c r="DO92" i="4"/>
  <c r="DP92" i="4" s="1"/>
  <c r="CY92" i="4"/>
  <c r="CZ92" i="4" s="1"/>
  <c r="CI92" i="4"/>
  <c r="CJ92" i="4" s="1"/>
  <c r="DC92" i="4"/>
  <c r="DD92" i="4" s="1"/>
  <c r="CM92" i="4"/>
  <c r="CN92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G99" i="4"/>
  <c r="DH99" i="4" s="1"/>
  <c r="CQ99" i="4"/>
  <c r="CR99" i="4" s="1"/>
  <c r="CB99" i="4"/>
  <c r="DC99" i="4"/>
  <c r="DD99" i="4" s="1"/>
  <c r="CM99" i="4"/>
  <c r="CN99" i="4" s="1"/>
  <c r="DK99" i="4"/>
  <c r="DL99" i="4" s="1"/>
  <c r="CU99" i="4"/>
  <c r="CV99" i="4" s="1"/>
  <c r="CE99" i="4"/>
  <c r="CF99" i="4" s="1"/>
  <c r="DO99" i="4"/>
  <c r="DP99" i="4" s="1"/>
  <c r="CI99" i="4"/>
  <c r="CJ99" i="4" s="1"/>
  <c r="CY99" i="4"/>
  <c r="CZ99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DO40" i="4"/>
  <c r="DP40" i="4" s="1"/>
  <c r="CY40" i="4"/>
  <c r="CZ40" i="4" s="1"/>
  <c r="CI40" i="4"/>
  <c r="CJ40" i="4" s="1"/>
  <c r="CQ40" i="4"/>
  <c r="CR40" i="4" s="1"/>
  <c r="DK40" i="4"/>
  <c r="DL40" i="4" s="1"/>
  <c r="CU40" i="4"/>
  <c r="CV40" i="4" s="1"/>
  <c r="CE40" i="4"/>
  <c r="CF40" i="4" s="1"/>
  <c r="DG40" i="4"/>
  <c r="DH40" i="4" s="1"/>
  <c r="DC40" i="4"/>
  <c r="DD40" i="4" s="1"/>
  <c r="CM40" i="4"/>
  <c r="CN40" i="4" s="1"/>
  <c r="CB40" i="4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C82" i="4"/>
  <c r="DD82" i="4" s="1"/>
  <c r="CM82" i="4"/>
  <c r="CN82" i="4" s="1"/>
  <c r="DO82" i="4"/>
  <c r="DP82" i="4" s="1"/>
  <c r="CY82" i="4"/>
  <c r="CZ82" i="4" s="1"/>
  <c r="CI82" i="4"/>
  <c r="CJ82" i="4" s="1"/>
  <c r="DG82" i="4"/>
  <c r="DH82" i="4" s="1"/>
  <c r="CQ82" i="4"/>
  <c r="CR82" i="4" s="1"/>
  <c r="CB82" i="4"/>
  <c r="DK82" i="4"/>
  <c r="DL82" i="4" s="1"/>
  <c r="CU82" i="4"/>
  <c r="CV82" i="4" s="1"/>
  <c r="CE82" i="4"/>
  <c r="CF82" i="4" s="1"/>
  <c r="GE121" i="4"/>
  <c r="GF121" i="4" s="1"/>
  <c r="FY121" i="4"/>
  <c r="FZ121" i="4" s="1"/>
  <c r="FO121" i="4"/>
  <c r="FP121" i="4" s="1"/>
  <c r="FI121" i="4"/>
  <c r="FJ121" i="4" s="1"/>
  <c r="EY121" i="4"/>
  <c r="EZ121" i="4" s="1"/>
  <c r="ET121" i="4"/>
  <c r="GI121" i="4"/>
  <c r="GJ121" i="4" s="1"/>
  <c r="GC121" i="4"/>
  <c r="GD121" i="4" s="1"/>
  <c r="FS121" i="4"/>
  <c r="FT121" i="4" s="1"/>
  <c r="FM121" i="4"/>
  <c r="FN121" i="4" s="1"/>
  <c r="FC121" i="4"/>
  <c r="FD121" i="4" s="1"/>
  <c r="EW121" i="4"/>
  <c r="EX121" i="4" s="1"/>
  <c r="GA121" i="4"/>
  <c r="GB121" i="4" s="1"/>
  <c r="FU121" i="4"/>
  <c r="FV121" i="4" s="1"/>
  <c r="FK121" i="4"/>
  <c r="FL121" i="4" s="1"/>
  <c r="FE121" i="4"/>
  <c r="FF121" i="4" s="1"/>
  <c r="EU121" i="4"/>
  <c r="EV121" i="4" s="1"/>
  <c r="FG121" i="4"/>
  <c r="FH121" i="4" s="1"/>
  <c r="FW121" i="4"/>
  <c r="FX121" i="4" s="1"/>
  <c r="FA121" i="4"/>
  <c r="FB121" i="4" s="1"/>
  <c r="GG121" i="4"/>
  <c r="GH121" i="4" s="1"/>
  <c r="FQ121" i="4"/>
  <c r="FR121" i="4" s="1"/>
  <c r="DO110" i="4"/>
  <c r="DP110" i="4" s="1"/>
  <c r="DI110" i="4"/>
  <c r="DJ110" i="4" s="1"/>
  <c r="CY110" i="4"/>
  <c r="CZ110" i="4" s="1"/>
  <c r="CS110" i="4"/>
  <c r="CT110" i="4" s="1"/>
  <c r="CI110" i="4"/>
  <c r="CJ110" i="4" s="1"/>
  <c r="CC110" i="4"/>
  <c r="CD110" i="4" s="1"/>
  <c r="DM110" i="4"/>
  <c r="DN110" i="4" s="1"/>
  <c r="DC110" i="4"/>
  <c r="DD110" i="4" s="1"/>
  <c r="CW110" i="4"/>
  <c r="CX110" i="4" s="1"/>
  <c r="CM110" i="4"/>
  <c r="CN110" i="4" s="1"/>
  <c r="CG110" i="4"/>
  <c r="CH110" i="4" s="1"/>
  <c r="DK110" i="4"/>
  <c r="DL110" i="4" s="1"/>
  <c r="DE110" i="4"/>
  <c r="DF110" i="4" s="1"/>
  <c r="CU110" i="4"/>
  <c r="CV110" i="4" s="1"/>
  <c r="CO110" i="4"/>
  <c r="CP110" i="4" s="1"/>
  <c r="CE110" i="4"/>
  <c r="CF110" i="4" s="1"/>
  <c r="CQ110" i="4"/>
  <c r="CR110" i="4" s="1"/>
  <c r="DG110" i="4"/>
  <c r="DH110" i="4" s="1"/>
  <c r="CK110" i="4"/>
  <c r="CL110" i="4" s="1"/>
  <c r="DQ110" i="4"/>
  <c r="DR110" i="4" s="1"/>
  <c r="CB110" i="4"/>
  <c r="DA110" i="4"/>
  <c r="DB110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G116" i="4"/>
  <c r="DH116" i="4" s="1"/>
  <c r="CQ116" i="4"/>
  <c r="CR116" i="4" s="1"/>
  <c r="CB116" i="4"/>
  <c r="DC116" i="4"/>
  <c r="DD116" i="4" s="1"/>
  <c r="CM116" i="4"/>
  <c r="CN116" i="4" s="1"/>
  <c r="DK116" i="4"/>
  <c r="DL116" i="4" s="1"/>
  <c r="CU116" i="4"/>
  <c r="CV116" i="4" s="1"/>
  <c r="CE116" i="4"/>
  <c r="CF116" i="4" s="1"/>
  <c r="CI116" i="4"/>
  <c r="CJ116" i="4" s="1"/>
  <c r="CY116" i="4"/>
  <c r="CZ116" i="4" s="1"/>
  <c r="DO116" i="4"/>
  <c r="DP116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DQ25" i="4"/>
  <c r="DR25" i="4" s="1"/>
  <c r="DM25" i="4"/>
  <c r="DN25" i="4" s="1"/>
  <c r="DI25" i="4"/>
  <c r="DJ25" i="4" s="1"/>
  <c r="DE25" i="4"/>
  <c r="DF25" i="4" s="1"/>
  <c r="DA25" i="4"/>
  <c r="DB25" i="4" s="1"/>
  <c r="CW25" i="4"/>
  <c r="CX25" i="4" s="1"/>
  <c r="CS25" i="4"/>
  <c r="CT25" i="4" s="1"/>
  <c r="CO25" i="4"/>
  <c r="CP25" i="4" s="1"/>
  <c r="CK25" i="4"/>
  <c r="CL25" i="4" s="1"/>
  <c r="CG25" i="4"/>
  <c r="CH25" i="4" s="1"/>
  <c r="CC25" i="4"/>
  <c r="CD25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DC103" i="4"/>
  <c r="DD103" i="4" s="1"/>
  <c r="CM103" i="4"/>
  <c r="CN103" i="4" s="1"/>
  <c r="DO103" i="4"/>
  <c r="DP103" i="4" s="1"/>
  <c r="CY103" i="4"/>
  <c r="CZ103" i="4" s="1"/>
  <c r="CI103" i="4"/>
  <c r="CJ103" i="4" s="1"/>
  <c r="DG103" i="4"/>
  <c r="DH103" i="4" s="1"/>
  <c r="CQ103" i="4"/>
  <c r="CR103" i="4" s="1"/>
  <c r="CB103" i="4"/>
  <c r="CE103" i="4"/>
  <c r="CF103" i="4" s="1"/>
  <c r="CU103" i="4"/>
  <c r="CV103" i="4" s="1"/>
  <c r="DK103" i="4"/>
  <c r="DL103" i="4" s="1"/>
  <c r="DK137" i="4"/>
  <c r="DL137" i="4" s="1"/>
  <c r="DC137" i="4"/>
  <c r="DD137" i="4" s="1"/>
  <c r="CU137" i="4"/>
  <c r="CV137" i="4" s="1"/>
  <c r="CM137" i="4"/>
  <c r="CN137" i="4" s="1"/>
  <c r="CE137" i="4"/>
  <c r="CF137" i="4" s="1"/>
  <c r="DQ137" i="4"/>
  <c r="DR137" i="4" s="1"/>
  <c r="DI137" i="4"/>
  <c r="DJ137" i="4" s="1"/>
  <c r="DA137" i="4"/>
  <c r="DB137" i="4" s="1"/>
  <c r="CS137" i="4"/>
  <c r="CT137" i="4" s="1"/>
  <c r="CK137" i="4"/>
  <c r="CL137" i="4" s="1"/>
  <c r="CC137" i="4"/>
  <c r="CD137" i="4" s="1"/>
  <c r="DM137" i="4"/>
  <c r="DN137" i="4" s="1"/>
  <c r="DE137" i="4"/>
  <c r="DF137" i="4" s="1"/>
  <c r="CW137" i="4"/>
  <c r="CX137" i="4" s="1"/>
  <c r="CO137" i="4"/>
  <c r="CP137" i="4" s="1"/>
  <c r="CG137" i="4"/>
  <c r="CH137" i="4" s="1"/>
  <c r="CY137" i="4"/>
  <c r="CZ137" i="4" s="1"/>
  <c r="CQ137" i="4"/>
  <c r="CR137" i="4" s="1"/>
  <c r="DG137" i="4"/>
  <c r="DH137" i="4" s="1"/>
  <c r="CB137" i="4"/>
  <c r="DO137" i="4"/>
  <c r="DP137" i="4" s="1"/>
  <c r="CI137" i="4"/>
  <c r="CJ13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GI67" i="4"/>
  <c r="GJ67" i="4" s="1"/>
  <c r="FS67" i="4"/>
  <c r="FT67" i="4" s="1"/>
  <c r="FC67" i="4"/>
  <c r="FD67" i="4" s="1"/>
  <c r="GE67" i="4"/>
  <c r="GF67" i="4" s="1"/>
  <c r="FO67" i="4"/>
  <c r="FP67" i="4" s="1"/>
  <c r="EY67" i="4"/>
  <c r="EZ67" i="4" s="1"/>
  <c r="FW67" i="4"/>
  <c r="FX67" i="4" s="1"/>
  <c r="FG67" i="4"/>
  <c r="FH67" i="4" s="1"/>
  <c r="GA67" i="4"/>
  <c r="GB67" i="4" s="1"/>
  <c r="EU67" i="4"/>
  <c r="EV67" i="4" s="1"/>
  <c r="FK67" i="4"/>
  <c r="FL67" i="4" s="1"/>
  <c r="GE126" i="4"/>
  <c r="GF126" i="4" s="1"/>
  <c r="FU126" i="4"/>
  <c r="FV126" i="4" s="1"/>
  <c r="FO126" i="4"/>
  <c r="FP126" i="4" s="1"/>
  <c r="FE126" i="4"/>
  <c r="FF126" i="4" s="1"/>
  <c r="EY126" i="4"/>
  <c r="EZ126" i="4" s="1"/>
  <c r="GI126" i="4"/>
  <c r="GJ126" i="4" s="1"/>
  <c r="FY126" i="4"/>
  <c r="FZ126" i="4" s="1"/>
  <c r="FS126" i="4"/>
  <c r="FT126" i="4" s="1"/>
  <c r="FI126" i="4"/>
  <c r="FJ126" i="4" s="1"/>
  <c r="FC126" i="4"/>
  <c r="FD126" i="4" s="1"/>
  <c r="ET126" i="4"/>
  <c r="GG126" i="4"/>
  <c r="GH126" i="4" s="1"/>
  <c r="GA126" i="4"/>
  <c r="GB126" i="4" s="1"/>
  <c r="FQ126" i="4"/>
  <c r="FR126" i="4" s="1"/>
  <c r="FK126" i="4"/>
  <c r="FL126" i="4" s="1"/>
  <c r="FA126" i="4"/>
  <c r="FB126" i="4" s="1"/>
  <c r="EU126" i="4"/>
  <c r="EV126" i="4" s="1"/>
  <c r="GC126" i="4"/>
  <c r="GD126" i="4" s="1"/>
  <c r="FG126" i="4"/>
  <c r="FH126" i="4" s="1"/>
  <c r="FW126" i="4"/>
  <c r="FX126" i="4" s="1"/>
  <c r="FM126" i="4"/>
  <c r="FN126" i="4" s="1"/>
  <c r="EW126" i="4"/>
  <c r="EX126" i="4" s="1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DK71" i="4"/>
  <c r="DL71" i="4" s="1"/>
  <c r="CU71" i="4"/>
  <c r="CV71" i="4" s="1"/>
  <c r="CE71" i="4"/>
  <c r="CF71" i="4" s="1"/>
  <c r="DG71" i="4"/>
  <c r="DH71" i="4" s="1"/>
  <c r="CQ71" i="4"/>
  <c r="CR71" i="4" s="1"/>
  <c r="CB71" i="4"/>
  <c r="DO71" i="4"/>
  <c r="DP71" i="4" s="1"/>
  <c r="CY71" i="4"/>
  <c r="CZ71" i="4" s="1"/>
  <c r="CI71" i="4"/>
  <c r="CJ71" i="4" s="1"/>
  <c r="CM71" i="4"/>
  <c r="CN71" i="4" s="1"/>
  <c r="DC71" i="4"/>
  <c r="DD71" i="4" s="1"/>
  <c r="DQ28" i="4"/>
  <c r="DR28" i="4" s="1"/>
  <c r="DM28" i="4"/>
  <c r="DN28" i="4" s="1"/>
  <c r="DI28" i="4"/>
  <c r="DJ28" i="4" s="1"/>
  <c r="DE28" i="4"/>
  <c r="DF28" i="4" s="1"/>
  <c r="DA28" i="4"/>
  <c r="DB28" i="4" s="1"/>
  <c r="CW28" i="4"/>
  <c r="CX28" i="4" s="1"/>
  <c r="CS28" i="4"/>
  <c r="CT28" i="4" s="1"/>
  <c r="CO28" i="4"/>
  <c r="CP28" i="4" s="1"/>
  <c r="CK28" i="4"/>
  <c r="CL28" i="4" s="1"/>
  <c r="CG28" i="4"/>
  <c r="CH28" i="4" s="1"/>
  <c r="CC28" i="4"/>
  <c r="CD28" i="4" s="1"/>
  <c r="CU28" i="4"/>
  <c r="CV28" i="4" s="1"/>
  <c r="CE28" i="4"/>
  <c r="CF28" i="4" s="1"/>
  <c r="DO28" i="4"/>
  <c r="DP28" i="4" s="1"/>
  <c r="DC28" i="4"/>
  <c r="DD28" i="4" s="1"/>
  <c r="CQ28" i="4"/>
  <c r="CR28" i="4" s="1"/>
  <c r="CI28" i="4"/>
  <c r="CJ28" i="4" s="1"/>
  <c r="DK28" i="4"/>
  <c r="DL28" i="4" s="1"/>
  <c r="DG28" i="4"/>
  <c r="DH28" i="4" s="1"/>
  <c r="CY28" i="4"/>
  <c r="CZ28" i="4" s="1"/>
  <c r="CM28" i="4"/>
  <c r="CN28" i="4" s="1"/>
  <c r="CB28" i="4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GI75" i="4"/>
  <c r="GJ75" i="4" s="1"/>
  <c r="FS75" i="4"/>
  <c r="FT75" i="4" s="1"/>
  <c r="FC75" i="4"/>
  <c r="FD75" i="4" s="1"/>
  <c r="GE75" i="4"/>
  <c r="GF75" i="4" s="1"/>
  <c r="FO75" i="4"/>
  <c r="FP75" i="4" s="1"/>
  <c r="EY75" i="4"/>
  <c r="EZ75" i="4" s="1"/>
  <c r="FW75" i="4"/>
  <c r="FX75" i="4" s="1"/>
  <c r="FG75" i="4"/>
  <c r="FH75" i="4" s="1"/>
  <c r="FK75" i="4"/>
  <c r="FL75" i="4" s="1"/>
  <c r="EU75" i="4"/>
  <c r="EV75" i="4" s="1"/>
  <c r="GA75" i="4"/>
  <c r="GB75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GA71" i="4"/>
  <c r="GB71" i="4" s="1"/>
  <c r="FK71" i="4"/>
  <c r="FL71" i="4" s="1"/>
  <c r="EU71" i="4"/>
  <c r="EV71" i="4" s="1"/>
  <c r="FW71" i="4"/>
  <c r="FX71" i="4" s="1"/>
  <c r="FG71" i="4"/>
  <c r="FH71" i="4" s="1"/>
  <c r="GE71" i="4"/>
  <c r="GF71" i="4" s="1"/>
  <c r="FO71" i="4"/>
  <c r="FP71" i="4" s="1"/>
  <c r="EY71" i="4"/>
  <c r="EZ71" i="4" s="1"/>
  <c r="FC71" i="4"/>
  <c r="FD71" i="4" s="1"/>
  <c r="GI71" i="4"/>
  <c r="GJ71" i="4" s="1"/>
  <c r="FS71" i="4"/>
  <c r="FT71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FW99" i="4"/>
  <c r="FX99" i="4" s="1"/>
  <c r="FG99" i="4"/>
  <c r="FH99" i="4" s="1"/>
  <c r="GI99" i="4"/>
  <c r="GJ99" i="4" s="1"/>
  <c r="FS99" i="4"/>
  <c r="FT99" i="4" s="1"/>
  <c r="FC99" i="4"/>
  <c r="FD99" i="4" s="1"/>
  <c r="GA99" i="4"/>
  <c r="GB99" i="4" s="1"/>
  <c r="FK99" i="4"/>
  <c r="FL99" i="4" s="1"/>
  <c r="EU99" i="4"/>
  <c r="EV99" i="4" s="1"/>
  <c r="GE99" i="4"/>
  <c r="GF99" i="4" s="1"/>
  <c r="FO99" i="4"/>
  <c r="FP99" i="4" s="1"/>
  <c r="EY99" i="4"/>
  <c r="EZ99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GE40" i="4"/>
  <c r="GF40" i="4" s="1"/>
  <c r="FO40" i="4"/>
  <c r="FP40" i="4" s="1"/>
  <c r="EY40" i="4"/>
  <c r="EZ40" i="4" s="1"/>
  <c r="GA40" i="4"/>
  <c r="GB40" i="4" s="1"/>
  <c r="FK40" i="4"/>
  <c r="FL40" i="4" s="1"/>
  <c r="EU40" i="4"/>
  <c r="EV40" i="4" s="1"/>
  <c r="FW40" i="4"/>
  <c r="FX40" i="4" s="1"/>
  <c r="GI40" i="4"/>
  <c r="GJ40" i="4" s="1"/>
  <c r="FS40" i="4"/>
  <c r="FT40" i="4" s="1"/>
  <c r="FC40" i="4"/>
  <c r="FD40" i="4" s="1"/>
  <c r="FG40" i="4"/>
  <c r="FH40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I82" i="4"/>
  <c r="GJ82" i="4" s="1"/>
  <c r="FS82" i="4"/>
  <c r="FT82" i="4" s="1"/>
  <c r="FC82" i="4"/>
  <c r="FD82" i="4" s="1"/>
  <c r="GE82" i="4"/>
  <c r="GF82" i="4" s="1"/>
  <c r="FO82" i="4"/>
  <c r="FP82" i="4" s="1"/>
  <c r="EY82" i="4"/>
  <c r="EZ82" i="4" s="1"/>
  <c r="FW82" i="4"/>
  <c r="FX82" i="4" s="1"/>
  <c r="FG82" i="4"/>
  <c r="FH82" i="4" s="1"/>
  <c r="FK82" i="4"/>
  <c r="FL82" i="4" s="1"/>
  <c r="EU82" i="4"/>
  <c r="EV82" i="4" s="1"/>
  <c r="GA82" i="4"/>
  <c r="GB82" i="4" s="1"/>
  <c r="DK121" i="4"/>
  <c r="DL121" i="4" s="1"/>
  <c r="DE121" i="4"/>
  <c r="DF121" i="4" s="1"/>
  <c r="CU121" i="4"/>
  <c r="CV121" i="4" s="1"/>
  <c r="CO121" i="4"/>
  <c r="CP121" i="4" s="1"/>
  <c r="CE121" i="4"/>
  <c r="CF121" i="4" s="1"/>
  <c r="DO121" i="4"/>
  <c r="DP121" i="4" s="1"/>
  <c r="DI121" i="4"/>
  <c r="DJ121" i="4" s="1"/>
  <c r="CY121" i="4"/>
  <c r="CZ121" i="4" s="1"/>
  <c r="CS121" i="4"/>
  <c r="CT121" i="4" s="1"/>
  <c r="CI121" i="4"/>
  <c r="CJ121" i="4" s="1"/>
  <c r="CC121" i="4"/>
  <c r="CD121" i="4" s="1"/>
  <c r="DQ121" i="4"/>
  <c r="DR121" i="4" s="1"/>
  <c r="DG121" i="4"/>
  <c r="DH121" i="4" s="1"/>
  <c r="DA121" i="4"/>
  <c r="DB121" i="4" s="1"/>
  <c r="CQ121" i="4"/>
  <c r="CR121" i="4" s="1"/>
  <c r="CK121" i="4"/>
  <c r="CL121" i="4" s="1"/>
  <c r="CB121" i="4"/>
  <c r="CW121" i="4"/>
  <c r="CX121" i="4" s="1"/>
  <c r="DM121" i="4"/>
  <c r="DN121" i="4" s="1"/>
  <c r="DC121" i="4"/>
  <c r="DD121" i="4" s="1"/>
  <c r="CG121" i="4"/>
  <c r="CH121" i="4" s="1"/>
  <c r="CM121" i="4"/>
  <c r="CN121" i="4" s="1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GE110" i="4"/>
  <c r="GF110" i="4" s="1"/>
  <c r="FO110" i="4"/>
  <c r="FP110" i="4" s="1"/>
  <c r="FC110" i="4"/>
  <c r="FD110" i="4" s="1"/>
  <c r="EW110" i="4"/>
  <c r="EX110" i="4" s="1"/>
  <c r="GA110" i="4"/>
  <c r="GB110" i="4" s="1"/>
  <c r="FK110" i="4"/>
  <c r="FL110" i="4" s="1"/>
  <c r="FA110" i="4"/>
  <c r="FB110" i="4" s="1"/>
  <c r="GI110" i="4"/>
  <c r="GJ110" i="4" s="1"/>
  <c r="FS110" i="4"/>
  <c r="FT110" i="4" s="1"/>
  <c r="FE110" i="4"/>
  <c r="FF110" i="4" s="1"/>
  <c r="EY110" i="4"/>
  <c r="EZ110" i="4" s="1"/>
  <c r="ET110" i="4"/>
  <c r="EU110" i="4"/>
  <c r="EV110" i="4" s="1"/>
  <c r="FW110" i="4"/>
  <c r="FX110" i="4" s="1"/>
  <c r="FG110" i="4"/>
  <c r="FH110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FW116" i="4"/>
  <c r="FX116" i="4" s="1"/>
  <c r="FG116" i="4"/>
  <c r="FH116" i="4" s="1"/>
  <c r="GI116" i="4"/>
  <c r="GJ116" i="4" s="1"/>
  <c r="FS116" i="4"/>
  <c r="FT116" i="4" s="1"/>
  <c r="FC116" i="4"/>
  <c r="FD116" i="4" s="1"/>
  <c r="GA116" i="4"/>
  <c r="GB116" i="4" s="1"/>
  <c r="FK116" i="4"/>
  <c r="FL116" i="4" s="1"/>
  <c r="EU116" i="4"/>
  <c r="EV116" i="4" s="1"/>
  <c r="GE116" i="4"/>
  <c r="GF116" i="4" s="1"/>
  <c r="EY116" i="4"/>
  <c r="EZ116" i="4" s="1"/>
  <c r="FO116" i="4"/>
  <c r="FP116" i="4" s="1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I103" i="4"/>
  <c r="GJ103" i="4" s="1"/>
  <c r="FS103" i="4"/>
  <c r="FT103" i="4" s="1"/>
  <c r="FC103" i="4"/>
  <c r="FD103" i="4" s="1"/>
  <c r="GE103" i="4"/>
  <c r="GF103" i="4" s="1"/>
  <c r="FO103" i="4"/>
  <c r="FP103" i="4" s="1"/>
  <c r="EY103" i="4"/>
  <c r="EZ103" i="4" s="1"/>
  <c r="FW103" i="4"/>
  <c r="FX103" i="4" s="1"/>
  <c r="FG103" i="4"/>
  <c r="FH103" i="4" s="1"/>
  <c r="GA103" i="4"/>
  <c r="GB103" i="4" s="1"/>
  <c r="EU103" i="4"/>
  <c r="EV103" i="4" s="1"/>
  <c r="FK103" i="4"/>
  <c r="FL103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GA137" i="4"/>
  <c r="GB137" i="4" s="1"/>
  <c r="FK137" i="4"/>
  <c r="FL137" i="4" s="1"/>
  <c r="EW137" i="4"/>
  <c r="EX137" i="4" s="1"/>
  <c r="FW137" i="4"/>
  <c r="FX137" i="4" s="1"/>
  <c r="FG137" i="4"/>
  <c r="FH137" i="4" s="1"/>
  <c r="EU137" i="4"/>
  <c r="EV137" i="4" s="1"/>
  <c r="GE137" i="4"/>
  <c r="GF137" i="4" s="1"/>
  <c r="FO137" i="4"/>
  <c r="FP137" i="4" s="1"/>
  <c r="EY137" i="4"/>
  <c r="EZ137" i="4" s="1"/>
  <c r="GI137" i="4"/>
  <c r="GJ137" i="4" s="1"/>
  <c r="FS137" i="4"/>
  <c r="FT137" i="4" s="1"/>
  <c r="ET137" i="4"/>
  <c r="FC137" i="4"/>
  <c r="FD137" i="4" s="1"/>
  <c r="CC27" i="4" l="1"/>
  <c r="CD27" i="4" s="1"/>
  <c r="CG27" i="4"/>
  <c r="CH27" i="4" s="1"/>
  <c r="GG27" i="4"/>
  <c r="GH27" i="4" s="1"/>
  <c r="DQ27" i="4"/>
  <c r="DR27" i="4" s="1"/>
  <c r="DI27" i="4"/>
  <c r="DJ27" i="4" s="1"/>
  <c r="CO27" i="4"/>
  <c r="CP27" i="4" s="1"/>
  <c r="FS27" i="4"/>
  <c r="FT27" i="4" s="1"/>
  <c r="CE27" i="4"/>
  <c r="CF27" i="4" s="1"/>
  <c r="CK27" i="4"/>
  <c r="CL27" i="4" s="1"/>
  <c r="CY27" i="4"/>
  <c r="CZ27" i="4" s="1"/>
  <c r="CW27" i="4"/>
  <c r="CX27" i="4" s="1"/>
  <c r="DE27" i="4"/>
  <c r="DF27" i="4" s="1"/>
  <c r="CQ27" i="4"/>
  <c r="CR27" i="4" s="1"/>
  <c r="CS27" i="4"/>
  <c r="CT27" i="4" s="1"/>
  <c r="DK27" i="4"/>
  <c r="DL27" i="4" s="1"/>
  <c r="DM27" i="4"/>
  <c r="DN27" i="4" s="1"/>
  <c r="DA27" i="4"/>
  <c r="DB27" i="4" s="1"/>
  <c r="FI27" i="4"/>
  <c r="FJ27" i="4" s="1"/>
  <c r="ET27" i="4"/>
  <c r="FW27" i="4"/>
  <c r="FX27" i="4" s="1"/>
  <c r="EW27" i="4"/>
  <c r="EX27" i="4" s="1"/>
  <c r="EY27" i="4"/>
  <c r="EZ27" i="4" s="1"/>
  <c r="FU27" i="4"/>
  <c r="FV27" i="4" s="1"/>
  <c r="GC27" i="4"/>
  <c r="GD27" i="4" s="1"/>
  <c r="FA27" i="4"/>
  <c r="FB27" i="4" s="1"/>
  <c r="FK27" i="4"/>
  <c r="FL27" i="4" s="1"/>
  <c r="CI27" i="4"/>
  <c r="CJ27" i="4" s="1"/>
  <c r="CM27" i="4"/>
  <c r="CN27" i="4" s="1"/>
  <c r="CU27" i="4"/>
  <c r="CV27" i="4" s="1"/>
  <c r="DC27" i="4"/>
  <c r="DD27" i="4" s="1"/>
  <c r="CB27" i="4"/>
  <c r="FM27" i="4"/>
  <c r="FN27" i="4" s="1"/>
  <c r="GI27" i="4"/>
  <c r="GJ27" i="4" s="1"/>
  <c r="GE27" i="4"/>
  <c r="GF27" i="4" s="1"/>
  <c r="FG27" i="4"/>
  <c r="FH27" i="4" s="1"/>
  <c r="EU27" i="4"/>
  <c r="EV27" i="4" s="1"/>
  <c r="FO27" i="4"/>
  <c r="FP27" i="4" s="1"/>
  <c r="FC27" i="4"/>
  <c r="FD27" i="4" s="1"/>
  <c r="FY27" i="4"/>
  <c r="FZ27" i="4" s="1"/>
  <c r="FQ27" i="4"/>
  <c r="FR27" i="4" s="1"/>
  <c r="FE27" i="4"/>
  <c r="FF27" i="4" s="1"/>
  <c r="ER28" i="4"/>
  <c r="ES28" i="4" s="1"/>
  <c r="GA28" i="4" s="1"/>
  <c r="GB28" i="4" s="1"/>
  <c r="DK23" i="4"/>
  <c r="DL23" i="4" s="1"/>
  <c r="CU23" i="4"/>
  <c r="CV23" i="4" s="1"/>
  <c r="CE23" i="4"/>
  <c r="CF23" i="4" s="1"/>
  <c r="DI23" i="4"/>
  <c r="DJ23" i="4" s="1"/>
  <c r="CS23" i="4"/>
  <c r="CT23" i="4" s="1"/>
  <c r="CC23" i="4"/>
  <c r="CD23" i="4" s="1"/>
  <c r="DG23" i="4"/>
  <c r="DH23" i="4" s="1"/>
  <c r="CQ23" i="4"/>
  <c r="CR23" i="4" s="1"/>
  <c r="CB23" i="4"/>
  <c r="DE23" i="4"/>
  <c r="DF23" i="4" s="1"/>
  <c r="CO23" i="4"/>
  <c r="CP23" i="4" s="1"/>
  <c r="DC23" i="4"/>
  <c r="DD23" i="4" s="1"/>
  <c r="CM23" i="4"/>
  <c r="CN23" i="4" s="1"/>
  <c r="DQ23" i="4"/>
  <c r="DR23" i="4" s="1"/>
  <c r="DA23" i="4"/>
  <c r="DB23" i="4" s="1"/>
  <c r="CK23" i="4"/>
  <c r="CL23" i="4" s="1"/>
  <c r="DO23" i="4"/>
  <c r="DP23" i="4" s="1"/>
  <c r="CY23" i="4"/>
  <c r="CZ23" i="4" s="1"/>
  <c r="CI23" i="4"/>
  <c r="CJ23" i="4" s="1"/>
  <c r="DM23" i="4"/>
  <c r="DN23" i="4" s="1"/>
  <c r="CW23" i="4"/>
  <c r="CX23" i="4" s="1"/>
  <c r="CG23" i="4"/>
  <c r="CH23" i="4" s="1"/>
  <c r="GA23" i="4"/>
  <c r="GB23" i="4" s="1"/>
  <c r="FK23" i="4"/>
  <c r="FL23" i="4" s="1"/>
  <c r="EU23" i="4"/>
  <c r="EV23" i="4" s="1"/>
  <c r="FU23" i="4"/>
  <c r="FV23" i="4" s="1"/>
  <c r="FE23" i="4"/>
  <c r="FF23" i="4" s="1"/>
  <c r="FW23" i="4"/>
  <c r="FX23" i="4" s="1"/>
  <c r="FG23" i="4"/>
  <c r="FH23" i="4" s="1"/>
  <c r="GG23" i="4"/>
  <c r="GH23" i="4" s="1"/>
  <c r="FA23" i="4"/>
  <c r="FB23" i="4" s="1"/>
  <c r="FY23" i="4"/>
  <c r="FZ23" i="4" s="1"/>
  <c r="FQ23" i="4"/>
  <c r="FR23" i="4" s="1"/>
  <c r="GE23" i="4"/>
  <c r="GF23" i="4" s="1"/>
  <c r="EY23" i="4"/>
  <c r="EZ23" i="4" s="1"/>
  <c r="ET23" i="4"/>
  <c r="GI23" i="4"/>
  <c r="GJ23" i="4" s="1"/>
  <c r="FS23" i="4"/>
  <c r="FT23" i="4" s="1"/>
  <c r="FC23" i="4"/>
  <c r="FD23" i="4" s="1"/>
  <c r="GC23" i="4"/>
  <c r="GD23" i="4" s="1"/>
  <c r="FM23" i="4"/>
  <c r="FN23" i="4" s="1"/>
  <c r="EW23" i="4"/>
  <c r="EX23" i="4" s="1"/>
  <c r="FO23" i="4"/>
  <c r="FP23" i="4" s="1"/>
  <c r="FI23" i="4"/>
  <c r="FJ23" i="4" s="1"/>
  <c r="FM28" i="4" l="1"/>
  <c r="FN28" i="4" s="1"/>
  <c r="GI28" i="4"/>
  <c r="GJ28" i="4" s="1"/>
  <c r="ET28" i="4"/>
  <c r="FO28" i="4"/>
  <c r="FP28" i="4" s="1"/>
  <c r="FQ28" i="4"/>
  <c r="FR28" i="4" s="1"/>
  <c r="GG28" i="4"/>
  <c r="GH28" i="4" s="1"/>
  <c r="EW28" i="4"/>
  <c r="EX28" i="4" s="1"/>
  <c r="EY28" i="4"/>
  <c r="EZ28" i="4" s="1"/>
  <c r="FS28" i="4"/>
  <c r="FT28" i="4" s="1"/>
  <c r="FA28" i="4"/>
  <c r="FB28" i="4" s="1"/>
  <c r="FY28" i="4"/>
  <c r="FZ28" i="4" s="1"/>
  <c r="FC28" i="4"/>
  <c r="FD28" i="4" s="1"/>
  <c r="FW28" i="4"/>
  <c r="FX28" i="4" s="1"/>
  <c r="FI28" i="4"/>
  <c r="FJ28" i="4" s="1"/>
  <c r="GC28" i="4"/>
  <c r="GD28" i="4" s="1"/>
  <c r="FG28" i="4"/>
  <c r="FH28" i="4" s="1"/>
  <c r="GE28" i="4"/>
  <c r="GF28" i="4" s="1"/>
  <c r="FE28" i="4"/>
  <c r="FF28" i="4" s="1"/>
  <c r="FU28" i="4"/>
  <c r="FV28" i="4" s="1"/>
  <c r="EU28" i="4"/>
  <c r="EV28" i="4" s="1"/>
  <c r="FK28" i="4"/>
  <c r="FL28" i="4" s="1"/>
</calcChain>
</file>

<file path=xl/sharedStrings.xml><?xml version="1.0" encoding="utf-8"?>
<sst xmlns="http://schemas.openxmlformats.org/spreadsheetml/2006/main" count="716" uniqueCount="317">
  <si>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</si>
  <si>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</si>
  <si>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</si>
  <si>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</si>
  <si>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</si>
  <si>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</si>
  <si>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</si>
  <si>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</si>
  <si>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</si>
  <si>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</si>
  <si>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</si>
  <si>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</si>
  <si>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</si>
  <si>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</si>
  <si>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</si>
  <si>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</si>
  <si>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</si>
  <si>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</si>
  <si>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</si>
  <si>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</si>
  <si>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</si>
  <si>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</si>
  <si>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</si>
  <si>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</si>
  <si>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</si>
  <si>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</si>
  <si>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</si>
  <si>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</si>
  <si>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</si>
  <si>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</si>
  <si>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</si>
  <si>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</si>
  <si>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</si>
  <si>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</si>
  <si>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</si>
  <si>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</si>
  <si>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</si>
  <si>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</si>
  <si>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</si>
  <si>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</si>
  <si>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</si>
  <si>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</si>
  <si>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</si>
  <si>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</si>
  <si>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</si>
  <si>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</si>
  <si>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</si>
  <si>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</si>
  <si>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</si>
  <si>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</si>
  <si>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</si>
  <si>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</si>
  <si>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</si>
  <si>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</si>
  <si>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</si>
  <si>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</si>
  <si>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</si>
  <si>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</si>
  <si>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</si>
  <si>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</si>
  <si>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</si>
  <si>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</si>
  <si>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</si>
  <si>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</si>
  <si>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</si>
  <si>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</si>
  <si>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</si>
  <si>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</si>
  <si>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</si>
  <si>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</si>
  <si>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</si>
  <si>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</si>
  <si>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</si>
  <si>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</si>
  <si>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</si>
  <si>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</si>
  <si>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</si>
  <si>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</si>
  <si>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</si>
  <si>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</si>
  <si>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</si>
  <si>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</si>
  <si>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</si>
  <si>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</si>
  <si>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</si>
  <si>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</si>
  <si>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</si>
  <si>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</si>
  <si>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</si>
  <si>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</si>
  <si>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</si>
  <si>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</si>
  <si>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</si>
  <si>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</si>
  <si>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</si>
  <si>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</si>
  <si>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</si>
  <si>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</si>
  <si>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</si>
  <si>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</si>
  <si>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</si>
  <si>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</si>
  <si>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</si>
  <si>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</si>
  <si>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</si>
  <si>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</si>
  <si>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</si>
  <si>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</si>
  <si>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</si>
  <si>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</si>
  <si>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</si>
  <si>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</si>
  <si>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</si>
  <si>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</si>
  <si>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</si>
  <si>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</si>
  <si>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</si>
  <si>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</si>
  <si>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</si>
  <si>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</si>
  <si>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</si>
  <si>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</si>
  <si>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</si>
  <si>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</si>
  <si>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</si>
  <si>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</si>
  <si>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</si>
  <si>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</si>
  <si>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</si>
  <si>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</si>
  <si>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</si>
  <si>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</si>
  <si>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</si>
  <si>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</si>
  <si>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</si>
  <si>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</si>
  <si>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</si>
  <si>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</si>
  <si>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</si>
  <si>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</si>
  <si>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</si>
  <si>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</si>
  <si>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</si>
  <si>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</si>
  <si>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</si>
  <si>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</si>
  <si>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</si>
  <si>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</si>
  <si>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</si>
  <si>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</si>
  <si>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</si>
  <si>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</si>
  <si>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</si>
  <si>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</si>
  <si>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</si>
  <si>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</si>
  <si>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</si>
  <si>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</si>
  <si>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</si>
  <si>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</si>
  <si>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</si>
  <si>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</si>
  <si>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</si>
  <si>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</si>
  <si>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</si>
  <si>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</si>
  <si>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</si>
  <si>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</si>
  <si>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</si>
  <si>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</si>
  <si>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</si>
  <si>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</si>
  <si>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</si>
  <si>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</si>
  <si>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</si>
  <si>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</si>
  <si>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</si>
  <si>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</si>
  <si>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</si>
  <si>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</si>
  <si>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</si>
  <si>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</si>
  <si>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</si>
  <si>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</si>
  <si>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</si>
  <si>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</si>
  <si>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</si>
  <si>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</si>
  <si>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</si>
  <si>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</si>
  <si>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</si>
  <si>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</si>
  <si>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</si>
  <si>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</si>
  <si>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</si>
  <si>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</si>
  <si>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</si>
  <si>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</si>
  <si>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</si>
  <si>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</si>
  <si>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</si>
  <si>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</si>
  <si>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</si>
  <si>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</si>
  <si>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</si>
  <si>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</si>
  <si>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</si>
  <si>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</si>
  <si>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</si>
  <si>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</si>
  <si>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</si>
  <si>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</si>
  <si>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</si>
  <si>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</si>
  <si>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</si>
  <si>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</si>
  <si>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</si>
  <si>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</si>
  <si>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</si>
  <si>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</si>
  <si>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</si>
  <si>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</si>
  <si>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</si>
  <si>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</si>
  <si>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</si>
  <si>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</si>
  <si>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</si>
  <si>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</si>
  <si>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</si>
  <si>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</si>
  <si>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</si>
  <si>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</si>
  <si>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</si>
  <si>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</si>
  <si>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</si>
  <si>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</si>
  <si>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</si>
  <si>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</si>
  <si>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</si>
  <si>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</si>
  <si>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</si>
  <si>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</si>
  <si>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</si>
  <si>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</si>
  <si>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</si>
  <si>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</si>
  <si>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</si>
  <si>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</si>
  <si>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</si>
  <si>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</si>
  <si>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</si>
  <si>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</si>
  <si>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</si>
  <si>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</si>
  <si>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</si>
  <si>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</si>
  <si>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</si>
  <si>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</si>
  <si>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</si>
  <si>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</si>
  <si>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</si>
  <si>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</si>
  <si>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</si>
  <si>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</si>
  <si>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</si>
  <si>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</si>
  <si>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</si>
  <si>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</si>
  <si>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</si>
  <si>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</si>
  <si>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</si>
  <si>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</si>
  <si>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</si>
  <si>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</si>
  <si>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</si>
  <si>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</si>
  <si>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</si>
  <si>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</si>
  <si>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</si>
  <si>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</si>
  <si>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</si>
  <si>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</si>
  <si>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</si>
  <si>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</si>
  <si>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</si>
  <si>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</si>
  <si>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</si>
  <si>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</si>
  <si>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</si>
  <si>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</si>
  <si>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</si>
  <si>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</si>
  <si>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</si>
  <si>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</si>
  <si>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</si>
  <si>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</si>
  <si>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</si>
  <si>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</si>
  <si>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</si>
  <si>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</si>
  <si>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</si>
  <si>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</si>
  <si>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</si>
  <si>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</si>
  <si>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00도서관 건립공사</t>
  </si>
  <si>
    <t>교육연구</t>
  </si>
  <si>
    <t>충청도</t>
  </si>
  <si>
    <t>전화공사</t>
  </si>
  <si>
    <t>TV공청설비공사</t>
  </si>
  <si>
    <t>CCTV설치공사</t>
  </si>
  <si>
    <t>변전설비공사</t>
  </si>
  <si>
    <t>공조닥트,배관공사</t>
  </si>
  <si>
    <t>위생기구,배관공사</t>
  </si>
  <si>
    <t>기계실공사,기타공사</t>
    <phoneticPr fontId="2" type="noConversion"/>
  </si>
  <si>
    <t>관로공,부대시설공,부대공,사급자재대,조경공사</t>
    <phoneticPr fontId="2" type="noConversion"/>
  </si>
  <si>
    <t>창호공사,창호하드웨어공사</t>
    <phoneticPr fontId="2" type="noConversion"/>
  </si>
  <si>
    <t>토및지정공사,기타공사,골재비및운반비,철거공사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</si>
</sst>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158</v>
      </c>
      <c r="B2" s="80" t="s">
        <v>0</v>
      </c>
      <c r="C2" s="81"/>
      <c r="D2" s="80" t="s">
        <v>1</v>
      </c>
      <c r="E2" s="81"/>
      <c r="F2" s="80" t="s">
        <v>159</v>
      </c>
      <c r="G2" s="81"/>
      <c r="H2" s="80" t="s">
        <v>2</v>
      </c>
      <c r="I2" s="81"/>
      <c r="J2" s="80" t="s">
        <v>3</v>
      </c>
      <c r="K2" s="81"/>
      <c r="L2" s="80" t="s">
        <v>160</v>
      </c>
      <c r="M2" s="81"/>
      <c r="N2" s="80" t="s">
        <v>161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304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305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292</v>
      </c>
    </row>
    <row r="7" spans="1:216" ht="17.25" thickBot="1" x14ac:dyDescent="0.35">
      <c r="C7" s="37">
        <v>4457</v>
      </c>
      <c r="D7" s="36">
        <f>+C7/3.3058</f>
        <v>1348.2364329360519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306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188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87" t="s">
        <v>237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239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240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238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241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238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242</v>
      </c>
      <c r="I16" s="55" t="s">
        <v>243</v>
      </c>
      <c r="J16" s="55"/>
      <c r="K16" s="55" t="s">
        <v>244</v>
      </c>
      <c r="M16" s="55" t="s">
        <v>245</v>
      </c>
      <c r="O16" s="55" t="s">
        <v>246</v>
      </c>
      <c r="Q16" s="57" t="s">
        <v>247</v>
      </c>
      <c r="R16" s="56"/>
      <c r="S16" s="58" t="s">
        <v>248</v>
      </c>
      <c r="U16" s="57" t="s">
        <v>249</v>
      </c>
      <c r="W16" s="55" t="s">
        <v>250</v>
      </c>
      <c r="Y16" s="57" t="s">
        <v>251</v>
      </c>
      <c r="AA16" s="55" t="s">
        <v>252</v>
      </c>
      <c r="AC16" s="55" t="s">
        <v>253</v>
      </c>
      <c r="AE16" s="55" t="s">
        <v>254</v>
      </c>
      <c r="AG16" s="55" t="s">
        <v>255</v>
      </c>
      <c r="AH16" s="56"/>
      <c r="AI16" s="58" t="s">
        <v>256</v>
      </c>
      <c r="AK16" s="55" t="s">
        <v>257</v>
      </c>
      <c r="AM16" s="55" t="s">
        <v>258</v>
      </c>
      <c r="AO16" s="55" t="s">
        <v>259</v>
      </c>
      <c r="AQ16" s="55" t="s">
        <v>260</v>
      </c>
      <c r="AR16" s="56"/>
      <c r="AS16" s="58" t="s">
        <v>261</v>
      </c>
      <c r="AU16" s="55" t="s">
        <v>262</v>
      </c>
      <c r="AW16" s="55" t="s">
        <v>263</v>
      </c>
      <c r="AY16" s="55" t="s">
        <v>264</v>
      </c>
      <c r="BC16" s="55" t="s">
        <v>265</v>
      </c>
      <c r="BD16" s="55" t="s">
        <v>244</v>
      </c>
      <c r="BE16" s="55" t="s">
        <v>210</v>
      </c>
      <c r="BF16" s="55" t="s">
        <v>209</v>
      </c>
      <c r="BG16" s="55" t="s">
        <v>207</v>
      </c>
      <c r="BH16" s="55" t="s">
        <v>204</v>
      </c>
      <c r="BI16" s="55" t="s">
        <v>203</v>
      </c>
      <c r="BJ16" s="55" t="s">
        <v>201</v>
      </c>
      <c r="BK16" s="55" t="s">
        <v>200</v>
      </c>
      <c r="BL16" s="55" t="s">
        <v>199</v>
      </c>
      <c r="BM16" s="55" t="s">
        <v>196</v>
      </c>
      <c r="BN16" s="55" t="s">
        <v>193</v>
      </c>
      <c r="BO16" s="55" t="s">
        <v>190</v>
      </c>
      <c r="BP16" s="55" t="s">
        <v>188</v>
      </c>
      <c r="BQ16" s="55" t="s">
        <v>182</v>
      </c>
      <c r="BR16" s="55" t="s">
        <v>179</v>
      </c>
      <c r="BS16" s="55" t="s">
        <v>266</v>
      </c>
      <c r="BT16" s="55" t="s">
        <v>267</v>
      </c>
      <c r="BU16" s="55" t="s">
        <v>268</v>
      </c>
      <c r="BV16" s="55" t="s">
        <v>269</v>
      </c>
      <c r="BW16" s="55" t="s">
        <v>270</v>
      </c>
      <c r="BX16" s="55" t="s">
        <v>271</v>
      </c>
      <c r="BZ16" s="55" t="s">
        <v>242</v>
      </c>
      <c r="CA16" s="55" t="s">
        <v>243</v>
      </c>
      <c r="CC16" s="55" t="s">
        <v>244</v>
      </c>
      <c r="CE16" s="55" t="s">
        <v>245</v>
      </c>
      <c r="CG16" s="55" t="s">
        <v>246</v>
      </c>
      <c r="CI16" s="55" t="s">
        <v>247</v>
      </c>
      <c r="CJ16" s="56"/>
      <c r="CK16" s="58" t="s">
        <v>248</v>
      </c>
      <c r="CM16" s="55" t="s">
        <v>249</v>
      </c>
      <c r="CO16" s="55" t="s">
        <v>250</v>
      </c>
      <c r="CQ16" s="55" t="s">
        <v>251</v>
      </c>
      <c r="CS16" s="55" t="s">
        <v>252</v>
      </c>
      <c r="CU16" s="55" t="s">
        <v>253</v>
      </c>
      <c r="CW16" s="55" t="s">
        <v>254</v>
      </c>
      <c r="CY16" s="55" t="s">
        <v>255</v>
      </c>
      <c r="CZ16" s="56"/>
      <c r="DA16" s="58" t="s">
        <v>256</v>
      </c>
      <c r="DC16" s="55" t="s">
        <v>257</v>
      </c>
      <c r="DE16" s="55" t="s">
        <v>258</v>
      </c>
      <c r="DG16" s="55" t="s">
        <v>259</v>
      </c>
      <c r="DI16" s="55" t="s">
        <v>260</v>
      </c>
      <c r="DJ16" s="56"/>
      <c r="DK16" s="58" t="s">
        <v>261</v>
      </c>
      <c r="DM16" s="55" t="s">
        <v>262</v>
      </c>
      <c r="DO16" s="55" t="s">
        <v>263</v>
      </c>
      <c r="DQ16" s="55" t="s">
        <v>264</v>
      </c>
      <c r="DU16" s="55" t="s">
        <v>265</v>
      </c>
      <c r="DV16" s="55" t="s">
        <v>244</v>
      </c>
      <c r="DW16" s="55" t="s">
        <v>210</v>
      </c>
      <c r="DX16" s="55" t="s">
        <v>209</v>
      </c>
      <c r="DY16" s="55" t="s">
        <v>207</v>
      </c>
      <c r="DZ16" s="55" t="s">
        <v>204</v>
      </c>
      <c r="EA16" s="55" t="s">
        <v>203</v>
      </c>
      <c r="EB16" s="55" t="s">
        <v>201</v>
      </c>
      <c r="EC16" s="55" t="s">
        <v>200</v>
      </c>
      <c r="ED16" s="55" t="s">
        <v>199</v>
      </c>
      <c r="EE16" s="55" t="s">
        <v>196</v>
      </c>
      <c r="EF16" s="55" t="s">
        <v>193</v>
      </c>
      <c r="EG16" s="55" t="s">
        <v>190</v>
      </c>
      <c r="EH16" s="55" t="s">
        <v>188</v>
      </c>
      <c r="EI16" s="55" t="s">
        <v>182</v>
      </c>
      <c r="EJ16" s="55" t="s">
        <v>179</v>
      </c>
      <c r="EK16" s="55" t="s">
        <v>266</v>
      </c>
      <c r="EL16" s="55" t="s">
        <v>267</v>
      </c>
      <c r="EM16" s="55" t="s">
        <v>268</v>
      </c>
      <c r="EN16" s="55" t="s">
        <v>269</v>
      </c>
      <c r="EO16" s="55" t="s">
        <v>270</v>
      </c>
      <c r="EP16" s="55" t="s">
        <v>271</v>
      </c>
      <c r="ER16" s="55" t="s">
        <v>242</v>
      </c>
      <c r="ES16" s="55" t="s">
        <v>243</v>
      </c>
      <c r="ET16" s="55"/>
      <c r="EU16" s="55" t="s">
        <v>244</v>
      </c>
      <c r="EV16" s="55"/>
      <c r="EW16" s="55" t="s">
        <v>245</v>
      </c>
      <c r="EX16" s="55"/>
      <c r="EY16" s="55" t="s">
        <v>246</v>
      </c>
      <c r="EZ16" s="55"/>
      <c r="FA16" s="55" t="s">
        <v>247</v>
      </c>
      <c r="FB16" s="56"/>
      <c r="FC16" s="58" t="s">
        <v>248</v>
      </c>
      <c r="FD16" s="55"/>
      <c r="FE16" s="55" t="s">
        <v>249</v>
      </c>
      <c r="FF16" s="55"/>
      <c r="FG16" s="55" t="s">
        <v>250</v>
      </c>
      <c r="FH16" s="55"/>
      <c r="FI16" s="55" t="s">
        <v>251</v>
      </c>
      <c r="FJ16" s="55"/>
      <c r="FK16" s="55" t="s">
        <v>252</v>
      </c>
      <c r="FL16" s="55"/>
      <c r="FM16" s="55" t="s">
        <v>253</v>
      </c>
      <c r="FN16" s="55"/>
      <c r="FO16" s="55" t="s">
        <v>254</v>
      </c>
      <c r="FP16" s="55"/>
      <c r="FQ16" s="55" t="s">
        <v>255</v>
      </c>
      <c r="FR16" s="56"/>
      <c r="FS16" s="58" t="s">
        <v>256</v>
      </c>
      <c r="FT16" s="55"/>
      <c r="FU16" s="55" t="s">
        <v>257</v>
      </c>
      <c r="FV16" s="55"/>
      <c r="FW16" s="55" t="s">
        <v>258</v>
      </c>
      <c r="FX16" s="55"/>
      <c r="FY16" s="55" t="s">
        <v>259</v>
      </c>
      <c r="FZ16" s="55"/>
      <c r="GA16" s="55" t="s">
        <v>260</v>
      </c>
      <c r="GB16" s="56"/>
      <c r="GC16" s="58" t="s">
        <v>261</v>
      </c>
      <c r="GD16" s="55"/>
      <c r="GE16" s="55" t="s">
        <v>262</v>
      </c>
      <c r="GF16" s="55"/>
      <c r="GG16" s="55" t="s">
        <v>263</v>
      </c>
      <c r="GH16" s="55"/>
      <c r="GI16" s="55" t="s">
        <v>264</v>
      </c>
      <c r="GJ16" s="55"/>
      <c r="GK16" s="55"/>
      <c r="GL16" s="55"/>
      <c r="GM16" s="55" t="s">
        <v>265</v>
      </c>
      <c r="GN16" s="55" t="s">
        <v>244</v>
      </c>
      <c r="GO16" s="55" t="s">
        <v>210</v>
      </c>
      <c r="GP16" s="55" t="s">
        <v>209</v>
      </c>
      <c r="GQ16" s="55" t="s">
        <v>207</v>
      </c>
      <c r="GR16" s="55" t="s">
        <v>204</v>
      </c>
      <c r="GS16" s="55" t="s">
        <v>203</v>
      </c>
      <c r="GT16" s="55" t="s">
        <v>201</v>
      </c>
      <c r="GU16" s="55" t="s">
        <v>200</v>
      </c>
      <c r="GV16" s="55" t="s">
        <v>199</v>
      </c>
      <c r="GW16" s="55" t="s">
        <v>196</v>
      </c>
      <c r="GX16" s="55" t="s">
        <v>193</v>
      </c>
      <c r="GY16" s="55" t="s">
        <v>190</v>
      </c>
      <c r="GZ16" s="55" t="s">
        <v>188</v>
      </c>
      <c r="HA16" s="55" t="s">
        <v>182</v>
      </c>
      <c r="HB16" s="55" t="s">
        <v>179</v>
      </c>
      <c r="HC16" s="55" t="s">
        <v>266</v>
      </c>
      <c r="HD16" s="55" t="s">
        <v>267</v>
      </c>
      <c r="HE16" s="55" t="s">
        <v>268</v>
      </c>
      <c r="HF16" s="55" t="s">
        <v>269</v>
      </c>
      <c r="HG16" s="55" t="s">
        <v>270</v>
      </c>
      <c r="HH16" s="55" t="s">
        <v>271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293</v>
      </c>
      <c r="E17" s="35" t="s">
        <v>155</v>
      </c>
      <c r="I17" s="55" t="s">
        <v>272</v>
      </c>
      <c r="J17" s="55" t="s">
        <v>273</v>
      </c>
      <c r="K17" s="55" t="s">
        <v>272</v>
      </c>
      <c r="L17" s="55" t="s">
        <v>273</v>
      </c>
      <c r="M17" s="55" t="s">
        <v>272</v>
      </c>
      <c r="N17" s="55" t="s">
        <v>273</v>
      </c>
      <c r="O17" s="55" t="s">
        <v>272</v>
      </c>
      <c r="P17" s="55" t="s">
        <v>273</v>
      </c>
      <c r="Q17" s="57" t="s">
        <v>272</v>
      </c>
      <c r="R17" s="55" t="s">
        <v>273</v>
      </c>
      <c r="S17" s="55" t="s">
        <v>272</v>
      </c>
      <c r="T17" s="55" t="s">
        <v>273</v>
      </c>
      <c r="U17" s="57" t="s">
        <v>272</v>
      </c>
      <c r="V17" s="55" t="s">
        <v>273</v>
      </c>
      <c r="W17" s="55" t="s">
        <v>272</v>
      </c>
      <c r="X17" s="55" t="s">
        <v>273</v>
      </c>
      <c r="Y17" s="57" t="s">
        <v>272</v>
      </c>
      <c r="Z17" s="55" t="s">
        <v>273</v>
      </c>
      <c r="AA17" s="55" t="s">
        <v>272</v>
      </c>
      <c r="AB17" s="55" t="s">
        <v>273</v>
      </c>
      <c r="AC17" s="55" t="s">
        <v>272</v>
      </c>
      <c r="AD17" s="55" t="s">
        <v>273</v>
      </c>
      <c r="AE17" s="55" t="s">
        <v>272</v>
      </c>
      <c r="AF17" s="55" t="s">
        <v>273</v>
      </c>
      <c r="AG17" s="55" t="s">
        <v>272</v>
      </c>
      <c r="AH17" s="55" t="s">
        <v>273</v>
      </c>
      <c r="AI17" s="55" t="s">
        <v>272</v>
      </c>
      <c r="AJ17" s="55" t="s">
        <v>273</v>
      </c>
      <c r="AK17" s="55" t="s">
        <v>272</v>
      </c>
      <c r="AL17" s="55" t="s">
        <v>273</v>
      </c>
      <c r="AM17" s="55" t="s">
        <v>272</v>
      </c>
      <c r="AN17" s="55" t="s">
        <v>273</v>
      </c>
      <c r="AO17" s="55" t="s">
        <v>272</v>
      </c>
      <c r="AP17" s="55" t="s">
        <v>273</v>
      </c>
      <c r="AQ17" s="55" t="s">
        <v>272</v>
      </c>
      <c r="AR17" s="55" t="s">
        <v>273</v>
      </c>
      <c r="AS17" s="55" t="s">
        <v>272</v>
      </c>
      <c r="AT17" s="55" t="s">
        <v>273</v>
      </c>
      <c r="AU17" s="55" t="s">
        <v>272</v>
      </c>
      <c r="AV17" s="55" t="s">
        <v>273</v>
      </c>
      <c r="AW17" s="55" t="s">
        <v>272</v>
      </c>
      <c r="AX17" s="55" t="s">
        <v>273</v>
      </c>
      <c r="AY17" s="55" t="s">
        <v>272</v>
      </c>
      <c r="AZ17" s="55" t="s">
        <v>273</v>
      </c>
      <c r="CA17" s="55" t="s">
        <v>272</v>
      </c>
      <c r="CB17" s="55" t="s">
        <v>273</v>
      </c>
      <c r="CC17" s="55" t="s">
        <v>272</v>
      </c>
      <c r="CD17" s="55" t="s">
        <v>273</v>
      </c>
      <c r="CE17" s="55" t="s">
        <v>272</v>
      </c>
      <c r="CF17" s="55" t="s">
        <v>273</v>
      </c>
      <c r="CG17" s="55" t="s">
        <v>272</v>
      </c>
      <c r="CH17" s="55" t="s">
        <v>273</v>
      </c>
      <c r="CI17" s="55" t="s">
        <v>272</v>
      </c>
      <c r="CJ17" s="55" t="s">
        <v>273</v>
      </c>
      <c r="CK17" s="55" t="s">
        <v>272</v>
      </c>
      <c r="CL17" s="55" t="s">
        <v>273</v>
      </c>
      <c r="CM17" s="55" t="s">
        <v>272</v>
      </c>
      <c r="CN17" s="55" t="s">
        <v>273</v>
      </c>
      <c r="CO17" s="55" t="s">
        <v>272</v>
      </c>
      <c r="CP17" s="55" t="s">
        <v>273</v>
      </c>
      <c r="CQ17" s="55" t="s">
        <v>272</v>
      </c>
      <c r="CR17" s="55" t="s">
        <v>273</v>
      </c>
      <c r="CS17" s="55" t="s">
        <v>272</v>
      </c>
      <c r="CT17" s="55" t="s">
        <v>273</v>
      </c>
      <c r="CU17" s="55" t="s">
        <v>272</v>
      </c>
      <c r="CV17" s="55" t="s">
        <v>273</v>
      </c>
      <c r="CW17" s="55" t="s">
        <v>272</v>
      </c>
      <c r="CX17" s="55" t="s">
        <v>273</v>
      </c>
      <c r="CY17" s="55" t="s">
        <v>272</v>
      </c>
      <c r="CZ17" s="55" t="s">
        <v>273</v>
      </c>
      <c r="DA17" s="55" t="s">
        <v>272</v>
      </c>
      <c r="DB17" s="55" t="s">
        <v>273</v>
      </c>
      <c r="DC17" s="55" t="s">
        <v>272</v>
      </c>
      <c r="DD17" s="55" t="s">
        <v>273</v>
      </c>
      <c r="DE17" s="55" t="s">
        <v>272</v>
      </c>
      <c r="DF17" s="55" t="s">
        <v>273</v>
      </c>
      <c r="DG17" s="55" t="s">
        <v>272</v>
      </c>
      <c r="DH17" s="55" t="s">
        <v>273</v>
      </c>
      <c r="DI17" s="55" t="s">
        <v>272</v>
      </c>
      <c r="DJ17" s="55" t="s">
        <v>273</v>
      </c>
      <c r="DK17" s="55" t="s">
        <v>272</v>
      </c>
      <c r="DL17" s="55" t="s">
        <v>273</v>
      </c>
      <c r="DM17" s="55" t="s">
        <v>272</v>
      </c>
      <c r="DN17" s="55" t="s">
        <v>273</v>
      </c>
      <c r="DO17" s="55" t="s">
        <v>272</v>
      </c>
      <c r="DP17" s="55" t="s">
        <v>273</v>
      </c>
      <c r="DQ17" s="55" t="s">
        <v>272</v>
      </c>
      <c r="DR17" s="55" t="s">
        <v>273</v>
      </c>
      <c r="ER17" s="55"/>
      <c r="ES17" s="55" t="s">
        <v>272</v>
      </c>
      <c r="ET17" s="55" t="s">
        <v>273</v>
      </c>
      <c r="EU17" s="55" t="s">
        <v>272</v>
      </c>
      <c r="EV17" s="55" t="s">
        <v>273</v>
      </c>
      <c r="EW17" s="55" t="s">
        <v>272</v>
      </c>
      <c r="EX17" s="55" t="s">
        <v>273</v>
      </c>
      <c r="EY17" s="55" t="s">
        <v>272</v>
      </c>
      <c r="EZ17" s="55" t="s">
        <v>273</v>
      </c>
      <c r="FA17" s="55" t="s">
        <v>272</v>
      </c>
      <c r="FB17" s="55" t="s">
        <v>273</v>
      </c>
      <c r="FC17" s="55" t="s">
        <v>272</v>
      </c>
      <c r="FD17" s="55" t="s">
        <v>273</v>
      </c>
      <c r="FE17" s="55" t="s">
        <v>272</v>
      </c>
      <c r="FF17" s="55" t="s">
        <v>273</v>
      </c>
      <c r="FG17" s="55" t="s">
        <v>272</v>
      </c>
      <c r="FH17" s="55" t="s">
        <v>273</v>
      </c>
      <c r="FI17" s="55" t="s">
        <v>272</v>
      </c>
      <c r="FJ17" s="55" t="s">
        <v>273</v>
      </c>
      <c r="FK17" s="55" t="s">
        <v>272</v>
      </c>
      <c r="FL17" s="55" t="s">
        <v>273</v>
      </c>
      <c r="FM17" s="55" t="s">
        <v>272</v>
      </c>
      <c r="FN17" s="55" t="s">
        <v>273</v>
      </c>
      <c r="FO17" s="55" t="s">
        <v>272</v>
      </c>
      <c r="FP17" s="55" t="s">
        <v>273</v>
      </c>
      <c r="FQ17" s="55" t="s">
        <v>272</v>
      </c>
      <c r="FR17" s="55" t="s">
        <v>273</v>
      </c>
      <c r="FS17" s="55" t="s">
        <v>272</v>
      </c>
      <c r="FT17" s="55" t="s">
        <v>273</v>
      </c>
      <c r="FU17" s="55" t="s">
        <v>272</v>
      </c>
      <c r="FV17" s="55" t="s">
        <v>273</v>
      </c>
      <c r="FW17" s="55" t="s">
        <v>272</v>
      </c>
      <c r="FX17" s="55" t="s">
        <v>273</v>
      </c>
      <c r="FY17" s="55" t="s">
        <v>272</v>
      </c>
      <c r="FZ17" s="55" t="s">
        <v>273</v>
      </c>
      <c r="GA17" s="55" t="s">
        <v>272</v>
      </c>
      <c r="GB17" s="55" t="s">
        <v>273</v>
      </c>
      <c r="GC17" s="55" t="s">
        <v>272</v>
      </c>
      <c r="GD17" s="55" t="s">
        <v>273</v>
      </c>
      <c r="GE17" s="55" t="s">
        <v>272</v>
      </c>
      <c r="GF17" s="55" t="s">
        <v>273</v>
      </c>
      <c r="GG17" s="55" t="s">
        <v>272</v>
      </c>
      <c r="GH17" s="55" t="s">
        <v>273</v>
      </c>
      <c r="GI17" s="55" t="s">
        <v>272</v>
      </c>
      <c r="GJ17" s="55" t="s">
        <v>273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2940</v>
      </c>
      <c r="E18" s="66">
        <f t="shared" ref="E18:E27" si="0">TRUNC(+D18*3.3058,-1)</f>
        <v>9710</v>
      </c>
      <c r="H18" s="55">
        <f>+E18*1.1</f>
        <v>10681</v>
      </c>
      <c r="I18" s="55">
        <f>+H18</f>
        <v>10681</v>
      </c>
      <c r="J18" s="59">
        <f>+I18*3.3058</f>
        <v>35309.249799999998</v>
      </c>
      <c r="K18" s="55">
        <f>+I18*BD18</f>
        <v>10360.57</v>
      </c>
      <c r="L18" s="59">
        <f>+K18*3.3058</f>
        <v>34249.972306000003</v>
      </c>
      <c r="M18" s="55">
        <f>+I18*BE18</f>
        <v>10146.949999999999</v>
      </c>
      <c r="N18" s="59">
        <f>+M18*3.3058</f>
        <v>33543.78731</v>
      </c>
      <c r="O18" s="55">
        <f t="shared" ref="O18:O28" si="1">+I18*BF18</f>
        <v>9933.33</v>
      </c>
      <c r="P18" s="59">
        <f>+O18*3.3058</f>
        <v>32837.602314000003</v>
      </c>
      <c r="Q18" s="57">
        <f t="shared" ref="Q18:Q28" si="2">+I18*BG18</f>
        <v>9719.7100000000009</v>
      </c>
      <c r="R18" s="59">
        <f>+Q18*3.3058</f>
        <v>32131.417318000003</v>
      </c>
      <c r="S18" s="55">
        <f t="shared" ref="S18:S28" si="3">+I18*BH18</f>
        <v>9506.09</v>
      </c>
      <c r="T18" s="59">
        <f>+S18*3.3058</f>
        <v>31425.232322</v>
      </c>
      <c r="U18" s="57">
        <f t="shared" ref="U18:U28" si="4">+I18*BI18</f>
        <v>9292.4699999999993</v>
      </c>
      <c r="V18" s="59">
        <f>+U18*3.3058</f>
        <v>30719.047326</v>
      </c>
      <c r="W18" s="60">
        <f t="shared" ref="W18:W28" si="5">+I18*BJ18</f>
        <v>9078.85</v>
      </c>
      <c r="X18" s="59">
        <f>+W18*3.3058</f>
        <v>30012.862330000004</v>
      </c>
      <c r="Y18" s="57">
        <f t="shared" ref="Y18:Y28" si="6">+I18*BK18</f>
        <v>8865.23</v>
      </c>
      <c r="Z18" s="59">
        <f>+Y18*3.3058</f>
        <v>29306.677334</v>
      </c>
      <c r="AA18" s="55">
        <f t="shared" ref="AA18:AA28" si="7">+I18*BL18</f>
        <v>8651.6099999999988</v>
      </c>
      <c r="AB18" s="59">
        <f>+AA18*3.3058</f>
        <v>28600.492337999996</v>
      </c>
      <c r="AC18" s="60">
        <f t="shared" ref="AC18:AC28" si="8">+I18*BM18</f>
        <v>8437.99</v>
      </c>
      <c r="AD18" s="59">
        <f>+AC18*3.3058</f>
        <v>27894.307342</v>
      </c>
      <c r="AE18" s="60">
        <f t="shared" ref="AE18:AE28" si="9">+I18*BN18</f>
        <v>8224.369999999999</v>
      </c>
      <c r="AF18" s="59">
        <f>+AE18*3.3058</f>
        <v>27188.122345999996</v>
      </c>
      <c r="AG18" s="60">
        <f t="shared" ref="AG18:AG28" si="10">+I18*BO18</f>
        <v>8010.7499999999991</v>
      </c>
      <c r="AH18" s="59">
        <f>+AG18*3.3058</f>
        <v>26481.937349999997</v>
      </c>
      <c r="AI18" s="55">
        <f t="shared" ref="AI18:AI28" si="11">+I18*BP18</f>
        <v>7797.1299999999983</v>
      </c>
      <c r="AJ18" s="59">
        <f>+AI18*3.3058</f>
        <v>25775.752353999997</v>
      </c>
      <c r="AK18" s="60">
        <f t="shared" ref="AK18:AK28" si="12">+I18*BQ18</f>
        <v>7583.5099999999984</v>
      </c>
      <c r="AL18" s="59">
        <f>+AK18*3.3058</f>
        <v>25069.567357999997</v>
      </c>
      <c r="AM18" s="60">
        <f t="shared" ref="AM18:AM28" si="13">+I18*BR18</f>
        <v>7369.8899999999985</v>
      </c>
      <c r="AN18" s="59">
        <f>+AM18*3.3058</f>
        <v>24363.382361999997</v>
      </c>
      <c r="AO18" s="60">
        <f t="shared" ref="AO18:AO28" si="14">+I18*BS18</f>
        <v>7156.2699999999977</v>
      </c>
      <c r="AP18" s="59">
        <f>+AO18*3.3058</f>
        <v>23657.197365999993</v>
      </c>
      <c r="AQ18" s="60">
        <f t="shared" ref="AQ18:AQ28" si="15">+I18*BT18</f>
        <v>6942.6499999999978</v>
      </c>
      <c r="AR18" s="59">
        <f>+AQ18*3.3058</f>
        <v>22951.012369999993</v>
      </c>
      <c r="AS18" s="55">
        <f t="shared" ref="AS18:AS28" si="16">+I18*BU18</f>
        <v>6729.0299999999979</v>
      </c>
      <c r="AT18" s="59">
        <f>+AS18*3.3058</f>
        <v>22244.827373999993</v>
      </c>
      <c r="AU18" s="60">
        <f t="shared" ref="AU18:AU28" si="17">+I18*BV18</f>
        <v>6515.4099999999971</v>
      </c>
      <c r="AV18" s="59">
        <f>+AU18*3.3058</f>
        <v>21538.64237799999</v>
      </c>
      <c r="AW18" s="60">
        <f t="shared" ref="AW18:AW28" si="18">+I18*BW18</f>
        <v>6301.7899999999972</v>
      </c>
      <c r="AX18" s="59">
        <f>+AW18*3.3058</f>
        <v>20832.45738199999</v>
      </c>
      <c r="AY18" s="55">
        <f t="shared" ref="AY18:AY28" si="19">+I18*BX18</f>
        <v>6088.1699999999973</v>
      </c>
      <c r="AZ18" s="59">
        <f>+AY18*3.3058</f>
        <v>20126.272385999993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9719.7100000000009</v>
      </c>
      <c r="CA18" s="55">
        <f>+BZ18</f>
        <v>9719.7100000000009</v>
      </c>
      <c r="CB18" s="59">
        <f>+CA18*3.3058</f>
        <v>32131.417318000003</v>
      </c>
      <c r="CC18" s="55">
        <f>+CA18*DV18</f>
        <v>9428.1187000000009</v>
      </c>
      <c r="CD18" s="59">
        <f>+CC18*3.3058</f>
        <v>31167.474798460004</v>
      </c>
      <c r="CE18" s="55">
        <f>+CA18*DW18</f>
        <v>9233.7245000000003</v>
      </c>
      <c r="CF18" s="59">
        <f>+CE18*3.3058</f>
        <v>30524.846452100002</v>
      </c>
      <c r="CG18" s="55">
        <f t="shared" ref="CG18:CG28" si="21">+CA18*DX18</f>
        <v>9039.3303000000014</v>
      </c>
      <c r="CH18" s="59">
        <f>+CG18*3.3058</f>
        <v>29882.218105740005</v>
      </c>
      <c r="CI18" s="57">
        <f t="shared" ref="CI18:CI28" si="22">+CA18*DY18</f>
        <v>8844.9361000000008</v>
      </c>
      <c r="CJ18" s="59">
        <f>+CI18*3.3058</f>
        <v>29239.589759380004</v>
      </c>
      <c r="CK18" s="55">
        <f t="shared" ref="CK18:CK28" si="23">+CA18*DZ18</f>
        <v>8650.5419000000002</v>
      </c>
      <c r="CL18" s="59">
        <f>+CK18*3.3058</f>
        <v>28596.961413020003</v>
      </c>
      <c r="CM18" s="57">
        <f t="shared" ref="CM18:CM28" si="24">+CA18*EA18</f>
        <v>8456.1477000000014</v>
      </c>
      <c r="CN18" s="59">
        <f>+CM18*3.3058</f>
        <v>27954.333066660005</v>
      </c>
      <c r="CO18" s="60">
        <f t="shared" ref="CO18:CO28" si="25">+CA18*EB18</f>
        <v>8261.7535000000007</v>
      </c>
      <c r="CP18" s="59">
        <f>+CO18*3.3058</f>
        <v>27311.704720300004</v>
      </c>
      <c r="CQ18" s="57">
        <f t="shared" ref="CQ18:CQ28" si="26">+CA18*EC18</f>
        <v>8067.3593000000001</v>
      </c>
      <c r="CR18" s="59">
        <f>+CQ18*3.3058</f>
        <v>26669.076373939999</v>
      </c>
      <c r="CS18" s="55">
        <f t="shared" ref="CS18:CS28" si="27">+CA18*ED18</f>
        <v>7872.9651000000003</v>
      </c>
      <c r="CT18" s="59">
        <f>+CS18*3.3058</f>
        <v>26026.448027580002</v>
      </c>
      <c r="CU18" s="60">
        <f t="shared" ref="CU18:CU28" si="28">+CA18*EE18</f>
        <v>7678.5708999999997</v>
      </c>
      <c r="CV18" s="59">
        <f>+CU18*3.3058</f>
        <v>25383.81968122</v>
      </c>
      <c r="CW18" s="60">
        <f t="shared" ref="CW18:CW28" si="29">+CA18*EF18</f>
        <v>7484.1767</v>
      </c>
      <c r="CX18" s="59">
        <f>+CW18*3.3058</f>
        <v>24741.191334859999</v>
      </c>
      <c r="CY18" s="60">
        <f t="shared" ref="CY18:CY28" si="30">+CA18*EG18</f>
        <v>7289.7824999999993</v>
      </c>
      <c r="CZ18" s="59">
        <f>+CY18*3.3058</f>
        <v>24098.562988499998</v>
      </c>
      <c r="DA18" s="55">
        <f t="shared" ref="DA18:DA28" si="31">+CA18*EH18</f>
        <v>7095.3882999999996</v>
      </c>
      <c r="DB18" s="59">
        <f>+DA18*3.3058</f>
        <v>23455.934642140001</v>
      </c>
      <c r="DC18" s="60">
        <f t="shared" ref="DC18:DC28" si="32">+CA18*EI18</f>
        <v>6900.994099999999</v>
      </c>
      <c r="DD18" s="59">
        <f>+DC18*3.3058</f>
        <v>22813.306295779996</v>
      </c>
      <c r="DE18" s="60">
        <f t="shared" ref="DE18:DE28" si="33">+CA18*EJ18</f>
        <v>6706.5998999999993</v>
      </c>
      <c r="DF18" s="59">
        <f>+DE18*3.3058</f>
        <v>22170.677949419998</v>
      </c>
      <c r="DG18" s="60">
        <f t="shared" ref="DG18:DG28" si="34">+CA18*EK18</f>
        <v>6512.2056999999986</v>
      </c>
      <c r="DH18" s="59">
        <f>+DG18*3.3058</f>
        <v>21528.049603059997</v>
      </c>
      <c r="DI18" s="60">
        <f t="shared" ref="DI18:DI28" si="35">+CA18*EL18</f>
        <v>6317.8114999999989</v>
      </c>
      <c r="DJ18" s="59">
        <f>+DI18*3.3058</f>
        <v>20885.421256699996</v>
      </c>
      <c r="DK18" s="55">
        <f t="shared" ref="DK18:DK28" si="36">+CA18*EM18</f>
        <v>6123.4172999999982</v>
      </c>
      <c r="DL18" s="59">
        <f>+DK18*3.3058</f>
        <v>20242.792910339995</v>
      </c>
      <c r="DM18" s="60">
        <f t="shared" ref="DM18:DM28" si="37">+CA18*EN18</f>
        <v>5929.0230999999985</v>
      </c>
      <c r="DN18" s="59">
        <f>+DM18*3.3058</f>
        <v>19600.164563979997</v>
      </c>
      <c r="DO18" s="60">
        <f t="shared" ref="DO18:DO28" si="38">+CA18*EO18</f>
        <v>5734.6288999999979</v>
      </c>
      <c r="DP18" s="59">
        <f>+DO18*3.3058</f>
        <v>18957.536217619992</v>
      </c>
      <c r="DQ18" s="55">
        <f t="shared" ref="DQ18:DQ28" si="39">+CA18*EP18</f>
        <v>5540.2346999999982</v>
      </c>
      <c r="DR18" s="59">
        <f>+DQ18*3.3058</f>
        <v>18314.907871259995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8844.9361000000008</v>
      </c>
      <c r="ES18" s="55">
        <f>+ER18</f>
        <v>8844.9361000000008</v>
      </c>
      <c r="ET18" s="59">
        <f>+ES18*3.3058</f>
        <v>29239.589759380004</v>
      </c>
      <c r="EU18" s="55">
        <f>+ES18*GN18</f>
        <v>8579.588017</v>
      </c>
      <c r="EV18" s="59">
        <f>+EU18*3.3058</f>
        <v>28362.402066598599</v>
      </c>
      <c r="EW18" s="55">
        <f>+ES18*GO18</f>
        <v>8402.6892950000001</v>
      </c>
      <c r="EX18" s="59">
        <f>+EW18*3.3058</f>
        <v>27777.610271411002</v>
      </c>
      <c r="EY18" s="55">
        <f t="shared" ref="EY18:EY28" si="41">+ES18*GP18</f>
        <v>8225.790573000002</v>
      </c>
      <c r="EZ18" s="59">
        <f>+EY18*3.3058</f>
        <v>27192.818476223409</v>
      </c>
      <c r="FA18" s="57">
        <f t="shared" ref="FA18:FA28" si="42">+ES18*GQ18</f>
        <v>8048.8918510000012</v>
      </c>
      <c r="FB18" s="59">
        <f>+FA18*3.3058</f>
        <v>26608.026681035804</v>
      </c>
      <c r="FC18" s="55">
        <f t="shared" ref="FC18:FC28" si="43">+ES18*GR18</f>
        <v>7871.9931290000004</v>
      </c>
      <c r="FD18" s="59">
        <f>+FC18*3.3058</f>
        <v>26023.234885848204</v>
      </c>
      <c r="FE18" s="57">
        <f t="shared" ref="FE18:FE28" si="44">+ES18*GS18</f>
        <v>7695.0944070000005</v>
      </c>
      <c r="FF18" s="59">
        <f>+FE18*3.3058</f>
        <v>25438.443090660603</v>
      </c>
      <c r="FG18" s="60">
        <f t="shared" ref="FG18:FG28" si="45">+ES18*GT18</f>
        <v>7518.1956850000006</v>
      </c>
      <c r="FH18" s="59">
        <f>+FG18*3.3058</f>
        <v>24853.651295473002</v>
      </c>
      <c r="FI18" s="57">
        <f t="shared" ref="FI18:FI28" si="46">+ES18*GU18</f>
        <v>7341.2969630000007</v>
      </c>
      <c r="FJ18" s="59">
        <f>+FI18*3.3058</f>
        <v>24268.859500285402</v>
      </c>
      <c r="FK18" s="55">
        <f t="shared" ref="FK18:FK28" si="47">+ES18*GV18</f>
        <v>7164.3982409999999</v>
      </c>
      <c r="FL18" s="59">
        <f>+FK18*3.3058</f>
        <v>23684.067705097801</v>
      </c>
      <c r="FM18" s="60">
        <f t="shared" ref="FM18:FM28" si="48">+ES18*GW18</f>
        <v>6987.499519</v>
      </c>
      <c r="FN18" s="59">
        <f>+FM18*3.3058</f>
        <v>23099.2759099102</v>
      </c>
      <c r="FO18" s="60">
        <f t="shared" ref="FO18:FO28" si="49">+ES18*GX18</f>
        <v>6810.6007970000001</v>
      </c>
      <c r="FP18" s="59">
        <f>+FO18*3.3058</f>
        <v>22514.4841147226</v>
      </c>
      <c r="FQ18" s="60">
        <f t="shared" ref="FQ18:FQ28" si="50">+ES18*GY18</f>
        <v>6633.7020749999992</v>
      </c>
      <c r="FR18" s="59">
        <f>+FQ18*3.3058</f>
        <v>21929.692319534999</v>
      </c>
      <c r="FS18" s="55">
        <f t="shared" ref="FS18:FS28" si="51">+ES18*GZ18</f>
        <v>6456.8033529999993</v>
      </c>
      <c r="FT18" s="59">
        <f>+FS18*3.3058</f>
        <v>21344.900524347398</v>
      </c>
      <c r="FU18" s="60">
        <f t="shared" ref="FU18:FU28" si="52">+ES18*HA18</f>
        <v>6279.9046309999994</v>
      </c>
      <c r="FV18" s="59">
        <f>+FU18*3.3058</f>
        <v>20760.108729159798</v>
      </c>
      <c r="FW18" s="60">
        <f t="shared" ref="FW18:FW28" si="53">+ES18*HB18</f>
        <v>6103.0059089999995</v>
      </c>
      <c r="FX18" s="59">
        <f>+FW18*3.3058</f>
        <v>20175.316933972197</v>
      </c>
      <c r="FY18" s="60">
        <f t="shared" ref="FY18:FY28" si="54">+ES18*HC18</f>
        <v>5926.1071869999987</v>
      </c>
      <c r="FZ18" s="59">
        <f>+FY18*3.3058</f>
        <v>19590.525138784596</v>
      </c>
      <c r="GA18" s="60">
        <f t="shared" ref="GA18:GA28" si="55">+ES18*HD18</f>
        <v>5749.2084649999988</v>
      </c>
      <c r="GB18" s="59">
        <f>+GA18*3.3058</f>
        <v>19005.733343596996</v>
      </c>
      <c r="GC18" s="55">
        <f t="shared" ref="GC18:GC28" si="56">+ES18*HE18</f>
        <v>5572.3097429999989</v>
      </c>
      <c r="GD18" s="59">
        <f>+GC18*3.3058</f>
        <v>18420.941548409395</v>
      </c>
      <c r="GE18" s="60">
        <f t="shared" ref="GE18:GE28" si="57">+ES18*HF18</f>
        <v>5395.4110209999981</v>
      </c>
      <c r="GF18" s="59">
        <f>+GE18*3.3058</f>
        <v>17836.149753221795</v>
      </c>
      <c r="GG18" s="60">
        <f t="shared" ref="GG18:GG28" si="58">+ES18*HG18</f>
        <v>5218.5122989999982</v>
      </c>
      <c r="GH18" s="59">
        <f>+GG18*3.3058</f>
        <v>17251.357958034194</v>
      </c>
      <c r="GI18" s="55">
        <f t="shared" ref="GI18:GI28" si="59">+ES18*HH18</f>
        <v>5041.6135769999983</v>
      </c>
      <c r="GJ18" s="59">
        <f>+GI18*3.3058</f>
        <v>16666.566162846593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656050</v>
      </c>
      <c r="E19" s="67">
        <f t="shared" si="0"/>
        <v>2168770</v>
      </c>
      <c r="H19" s="55">
        <f t="shared" ref="H19:H83" si="61">+E19*1.1</f>
        <v>2385647</v>
      </c>
      <c r="I19" s="55">
        <f t="shared" ref="I19:I83" si="62">+H19</f>
        <v>2385647</v>
      </c>
      <c r="J19" s="59">
        <f t="shared" ref="J19:J83" si="63">+I19*3.3058</f>
        <v>7886471.8525999999</v>
      </c>
      <c r="K19" s="55">
        <f t="shared" ref="K19:K28" si="64">+I19*BD19</f>
        <v>2314077.59</v>
      </c>
      <c r="L19" s="59">
        <f t="shared" ref="L19:L28" si="65">+K19*3.3058</f>
        <v>7649877.6970219994</v>
      </c>
      <c r="M19" s="55">
        <f t="shared" ref="M19:M28" si="66">+I19*BE19</f>
        <v>2266364.65</v>
      </c>
      <c r="N19" s="59">
        <f t="shared" ref="N19:N28" si="67">+M19*3.3058</f>
        <v>7492148.25997</v>
      </c>
      <c r="O19" s="55">
        <f t="shared" si="1"/>
        <v>2218651.71</v>
      </c>
      <c r="P19" s="59">
        <f t="shared" ref="P19:P28" si="68">+O19*3.3058</f>
        <v>7334418.8229179997</v>
      </c>
      <c r="Q19" s="57">
        <f t="shared" si="2"/>
        <v>2170938.77</v>
      </c>
      <c r="R19" s="59">
        <f t="shared" ref="R19:R28" si="69">+Q19*3.3058</f>
        <v>7176689.3858660003</v>
      </c>
      <c r="S19" s="55">
        <f t="shared" si="3"/>
        <v>2123225.83</v>
      </c>
      <c r="T19" s="59">
        <f t="shared" ref="T19:T28" si="70">+S19*3.3058</f>
        <v>7018959.948814</v>
      </c>
      <c r="U19" s="57">
        <f t="shared" si="4"/>
        <v>2075512.89</v>
      </c>
      <c r="V19" s="59">
        <f t="shared" ref="V19:V28" si="71">+U19*3.3058</f>
        <v>6861230.5117619997</v>
      </c>
      <c r="W19" s="60">
        <f t="shared" si="5"/>
        <v>2027799.95</v>
      </c>
      <c r="X19" s="59">
        <f t="shared" ref="X19:X28" si="72">+W19*3.3058</f>
        <v>6703501.0747100003</v>
      </c>
      <c r="Y19" s="57">
        <f t="shared" si="6"/>
        <v>1980087.01</v>
      </c>
      <c r="Z19" s="59">
        <f t="shared" ref="Z19:Z28" si="73">+Y19*3.3058</f>
        <v>6545771.637658</v>
      </c>
      <c r="AA19" s="55">
        <f t="shared" si="7"/>
        <v>1932374.0699999998</v>
      </c>
      <c r="AB19" s="59">
        <f t="shared" ref="AB19:AB28" si="74">+AA19*3.3058</f>
        <v>6388042.2006059997</v>
      </c>
      <c r="AC19" s="60">
        <f t="shared" si="8"/>
        <v>1884661.13</v>
      </c>
      <c r="AD19" s="59">
        <f t="shared" ref="AD19:AD28" si="75">+AC19*3.3058</f>
        <v>6230312.7635539994</v>
      </c>
      <c r="AE19" s="60">
        <f t="shared" si="9"/>
        <v>1836948.1899999997</v>
      </c>
      <c r="AF19" s="59">
        <f t="shared" ref="AF19:AF28" si="76">+AE19*3.3058</f>
        <v>6072583.3265019991</v>
      </c>
      <c r="AG19" s="60">
        <f t="shared" si="10"/>
        <v>1789235.2499999998</v>
      </c>
      <c r="AH19" s="59">
        <f t="shared" ref="AH19:AH28" si="77">+AG19*3.3058</f>
        <v>5914853.8894499997</v>
      </c>
      <c r="AI19" s="55">
        <f t="shared" si="11"/>
        <v>1741522.3099999996</v>
      </c>
      <c r="AJ19" s="59">
        <f t="shared" ref="AJ19:AJ28" si="78">+AI19*3.3058</f>
        <v>5757124.4523979984</v>
      </c>
      <c r="AK19" s="60">
        <f t="shared" si="12"/>
        <v>1693809.3699999996</v>
      </c>
      <c r="AL19" s="59">
        <f t="shared" ref="AL19:AL28" si="79">+AK19*3.3058</f>
        <v>5599395.015345999</v>
      </c>
      <c r="AM19" s="60">
        <f t="shared" si="13"/>
        <v>1646096.4299999997</v>
      </c>
      <c r="AN19" s="59">
        <f t="shared" ref="AN19:AN28" si="80">+AM19*3.3058</f>
        <v>5441665.5782939987</v>
      </c>
      <c r="AO19" s="60">
        <f t="shared" si="14"/>
        <v>1598383.4899999995</v>
      </c>
      <c r="AP19" s="59">
        <f t="shared" ref="AP19:AP28" si="81">+AO19*3.3058</f>
        <v>5283936.1412419984</v>
      </c>
      <c r="AQ19" s="60">
        <f t="shared" si="15"/>
        <v>1550670.5499999996</v>
      </c>
      <c r="AR19" s="59">
        <f t="shared" ref="AR19:AR28" si="82">+AQ19*3.3058</f>
        <v>5126206.704189999</v>
      </c>
      <c r="AS19" s="55">
        <f t="shared" si="16"/>
        <v>1502957.6099999994</v>
      </c>
      <c r="AT19" s="59">
        <f t="shared" ref="AT19:AT28" si="83">+AS19*3.3058</f>
        <v>4968477.2671379978</v>
      </c>
      <c r="AU19" s="60">
        <f t="shared" si="17"/>
        <v>1455244.6699999995</v>
      </c>
      <c r="AV19" s="59">
        <f t="shared" ref="AV19:AV28" si="84">+AU19*3.3058</f>
        <v>4810747.8300859984</v>
      </c>
      <c r="AW19" s="60">
        <f t="shared" si="18"/>
        <v>1407531.7299999993</v>
      </c>
      <c r="AX19" s="59">
        <f t="shared" ref="AX19:AX28" si="85">+AW19*3.3058</f>
        <v>4653018.3930339981</v>
      </c>
      <c r="AY19" s="55">
        <f t="shared" si="19"/>
        <v>1359818.7899999993</v>
      </c>
      <c r="AZ19" s="59">
        <f t="shared" ref="AZ19:AZ28" si="86">+AY19*3.3058</f>
        <v>4495288.9559819978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2170938.77</v>
      </c>
      <c r="CA19" s="55">
        <f t="shared" ref="CA19:CA83" si="89">+BZ19</f>
        <v>2170938.77</v>
      </c>
      <c r="CB19" s="59">
        <f t="shared" ref="CB19:CB28" si="90">+CA19*3.3058</f>
        <v>7176689.3858660003</v>
      </c>
      <c r="CC19" s="55">
        <f t="shared" ref="CC19:CC28" si="91">+CA19*DV19</f>
        <v>2105810.6069</v>
      </c>
      <c r="CD19" s="59">
        <f t="shared" ref="CD19:CD28" si="92">+CC19*3.3058</f>
        <v>6961388.7042900203</v>
      </c>
      <c r="CE19" s="55">
        <f t="shared" ref="CE19:CE28" si="93">+CA19*DW19</f>
        <v>2062391.8314999999</v>
      </c>
      <c r="CF19" s="59">
        <f t="shared" ref="CF19:CF28" si="94">+CE19*3.3058</f>
        <v>6817854.9165726993</v>
      </c>
      <c r="CG19" s="55">
        <f t="shared" si="21"/>
        <v>2018973.0561000002</v>
      </c>
      <c r="CH19" s="59">
        <f t="shared" ref="CH19:CH28" si="95">+CG19*3.3058</f>
        <v>6674321.1288553802</v>
      </c>
      <c r="CI19" s="57">
        <f t="shared" si="22"/>
        <v>1975554.2807</v>
      </c>
      <c r="CJ19" s="59">
        <f t="shared" ref="CJ19:CJ28" si="96">+CI19*3.3058</f>
        <v>6530787.3411380602</v>
      </c>
      <c r="CK19" s="55">
        <f t="shared" si="23"/>
        <v>1932135.5053000001</v>
      </c>
      <c r="CL19" s="59">
        <f t="shared" ref="CL19:CL28" si="97">+CK19*3.3058</f>
        <v>6387253.5534207402</v>
      </c>
      <c r="CM19" s="57">
        <f t="shared" si="24"/>
        <v>1888716.7298999999</v>
      </c>
      <c r="CN19" s="59">
        <f t="shared" ref="CN19:CN28" si="98">+CM19*3.3058</f>
        <v>6243719.7657034202</v>
      </c>
      <c r="CO19" s="60">
        <f t="shared" si="25"/>
        <v>1845297.9545</v>
      </c>
      <c r="CP19" s="59">
        <f t="shared" ref="CP19:CP28" si="99">+CO19*3.3058</f>
        <v>6100185.9779861001</v>
      </c>
      <c r="CQ19" s="57">
        <f t="shared" si="26"/>
        <v>1801879.1790999998</v>
      </c>
      <c r="CR19" s="59">
        <f t="shared" ref="CR19:CR28" si="100">+CQ19*3.3058</f>
        <v>5956652.1902687792</v>
      </c>
      <c r="CS19" s="55">
        <f t="shared" si="27"/>
        <v>1758460.4036999999</v>
      </c>
      <c r="CT19" s="59">
        <f t="shared" ref="CT19:CT28" si="101">+CS19*3.3058</f>
        <v>5813118.4025514601</v>
      </c>
      <c r="CU19" s="60">
        <f t="shared" si="28"/>
        <v>1715041.6282999997</v>
      </c>
      <c r="CV19" s="59">
        <f t="shared" ref="CV19:CV28" si="102">+CU19*3.3058</f>
        <v>5669584.6148341391</v>
      </c>
      <c r="CW19" s="60">
        <f t="shared" si="29"/>
        <v>1671622.8528999998</v>
      </c>
      <c r="CX19" s="59">
        <f t="shared" ref="CX19:CX28" si="103">+CW19*3.3058</f>
        <v>5526050.8271168191</v>
      </c>
      <c r="CY19" s="60">
        <f t="shared" si="30"/>
        <v>1628204.0774999997</v>
      </c>
      <c r="CZ19" s="59">
        <f t="shared" ref="CZ19:CZ28" si="104">+CY19*3.3058</f>
        <v>5382517.0393994991</v>
      </c>
      <c r="DA19" s="55">
        <f t="shared" si="31"/>
        <v>1584785.3020999997</v>
      </c>
      <c r="DB19" s="59">
        <f t="shared" ref="DB19:DB28" si="105">+DA19*3.3058</f>
        <v>5238983.251682179</v>
      </c>
      <c r="DC19" s="60">
        <f t="shared" si="32"/>
        <v>1541366.5266999996</v>
      </c>
      <c r="DD19" s="59">
        <f t="shared" ref="DD19:DD28" si="106">+DC19*3.3058</f>
        <v>5095449.463964859</v>
      </c>
      <c r="DE19" s="60">
        <f t="shared" si="33"/>
        <v>1497947.7512999997</v>
      </c>
      <c r="DF19" s="59">
        <f t="shared" ref="DF19:DF28" si="107">+DE19*3.3058</f>
        <v>4951915.676247539</v>
      </c>
      <c r="DG19" s="60">
        <f t="shared" si="34"/>
        <v>1454528.9758999997</v>
      </c>
      <c r="DH19" s="59">
        <f t="shared" ref="DH19:DH28" si="108">+DG19*3.3058</f>
        <v>4808381.888530219</v>
      </c>
      <c r="DI19" s="60">
        <f t="shared" si="35"/>
        <v>1411110.2004999996</v>
      </c>
      <c r="DJ19" s="59">
        <f t="shared" ref="DJ19:DJ28" si="109">+DI19*3.3058</f>
        <v>4664848.1008128989</v>
      </c>
      <c r="DK19" s="55">
        <f t="shared" si="36"/>
        <v>1367691.4250999996</v>
      </c>
      <c r="DL19" s="59">
        <f t="shared" ref="DL19:DL28" si="110">+DK19*3.3058</f>
        <v>4521314.3130955789</v>
      </c>
      <c r="DM19" s="60">
        <f t="shared" si="37"/>
        <v>1324272.6496999995</v>
      </c>
      <c r="DN19" s="59">
        <f t="shared" ref="DN19:DN28" si="111">+DM19*3.3058</f>
        <v>4377780.525378258</v>
      </c>
      <c r="DO19" s="60">
        <f t="shared" si="38"/>
        <v>1280853.8742999996</v>
      </c>
      <c r="DP19" s="59">
        <f t="shared" ref="DP19:DP28" si="112">+DO19*3.3058</f>
        <v>4234246.7376609389</v>
      </c>
      <c r="DQ19" s="55">
        <f t="shared" si="39"/>
        <v>1237435.0988999994</v>
      </c>
      <c r="DR19" s="59">
        <f t="shared" ref="DR19:DR28" si="113">+DQ19*3.3058</f>
        <v>4090712.9499436179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3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1975554.2807</v>
      </c>
      <c r="ES19" s="55">
        <f t="shared" ref="ES19:ES83" si="116">+ER19</f>
        <v>1975554.2807</v>
      </c>
      <c r="ET19" s="59">
        <f t="shared" ref="ET19:ET28" si="117">+ES19*3.3058</f>
        <v>6530787.3411380602</v>
      </c>
      <c r="EU19" s="55">
        <f t="shared" ref="EU19:EU28" si="118">+ES19*GN19</f>
        <v>1916287.652279</v>
      </c>
      <c r="EV19" s="59">
        <f t="shared" ref="EV19:EV28" si="119">+EU19*3.3058</f>
        <v>6334863.7209039181</v>
      </c>
      <c r="EW19" s="55">
        <f t="shared" ref="EW19:EW28" si="120">+ES19*GO19</f>
        <v>1876776.5666649998</v>
      </c>
      <c r="EX19" s="59">
        <f t="shared" ref="EX19:EX28" si="121">+EW19*3.3058</f>
        <v>6204247.9740811568</v>
      </c>
      <c r="EY19" s="55">
        <f t="shared" si="41"/>
        <v>1837265.4810510001</v>
      </c>
      <c r="EZ19" s="59">
        <f t="shared" ref="EZ19:EZ28" si="122">+EY19*3.3058</f>
        <v>6073632.2272583963</v>
      </c>
      <c r="FA19" s="57">
        <f t="shared" si="42"/>
        <v>1797754.3954370001</v>
      </c>
      <c r="FB19" s="59">
        <f t="shared" ref="FB19:FB28" si="123">+FA19*3.3058</f>
        <v>5943016.480435635</v>
      </c>
      <c r="FC19" s="55">
        <f t="shared" si="43"/>
        <v>1758243.3098230001</v>
      </c>
      <c r="FD19" s="59">
        <f t="shared" ref="FD19:FD28" si="124">+FC19*3.3058</f>
        <v>5812400.7336128736</v>
      </c>
      <c r="FE19" s="57">
        <f t="shared" si="44"/>
        <v>1718732.2242089999</v>
      </c>
      <c r="FF19" s="59">
        <f t="shared" ref="FF19:FF28" si="125">+FE19*3.3058</f>
        <v>5681784.9867901122</v>
      </c>
      <c r="FG19" s="60">
        <f t="shared" si="45"/>
        <v>1679221.1385949999</v>
      </c>
      <c r="FH19" s="59">
        <f t="shared" ref="FH19:FH28" si="126">+FG19*3.3058</f>
        <v>5551169.2399673508</v>
      </c>
      <c r="FI19" s="57">
        <f t="shared" si="46"/>
        <v>1639710.0529809999</v>
      </c>
      <c r="FJ19" s="59">
        <f t="shared" ref="FJ19:FJ28" si="127">+FI19*3.3058</f>
        <v>5420553.4931445895</v>
      </c>
      <c r="FK19" s="55">
        <f t="shared" si="47"/>
        <v>1600198.9673669999</v>
      </c>
      <c r="FL19" s="59">
        <f t="shared" ref="FL19:FL28" si="128">+FK19*3.3058</f>
        <v>5289937.7463218281</v>
      </c>
      <c r="FM19" s="60">
        <f t="shared" si="48"/>
        <v>1560687.881753</v>
      </c>
      <c r="FN19" s="59">
        <f t="shared" ref="FN19:FN28" si="129">+FM19*3.3058</f>
        <v>5159321.9994990677</v>
      </c>
      <c r="FO19" s="60">
        <f t="shared" si="49"/>
        <v>1521176.7961389998</v>
      </c>
      <c r="FP19" s="59">
        <f t="shared" ref="FP19:FP28" si="130">+FO19*3.3058</f>
        <v>5028706.2526763054</v>
      </c>
      <c r="FQ19" s="60">
        <f t="shared" si="50"/>
        <v>1481665.7105249998</v>
      </c>
      <c r="FR19" s="59">
        <f t="shared" ref="FR19:FR28" si="131">+FQ19*3.3058</f>
        <v>4898090.505853544</v>
      </c>
      <c r="FS19" s="55">
        <f t="shared" si="51"/>
        <v>1442154.6249109998</v>
      </c>
      <c r="FT19" s="59">
        <f t="shared" ref="FT19:FT28" si="132">+FS19*3.3058</f>
        <v>4767474.7590307835</v>
      </c>
      <c r="FU19" s="60">
        <f t="shared" si="52"/>
        <v>1402643.5392969998</v>
      </c>
      <c r="FV19" s="59">
        <f t="shared" ref="FV19:FV28" si="133">+FU19*3.3058</f>
        <v>4636859.0122080222</v>
      </c>
      <c r="FW19" s="60">
        <f t="shared" si="53"/>
        <v>1363132.4536829996</v>
      </c>
      <c r="FX19" s="59">
        <f t="shared" ref="FX19:FX28" si="134">+FW19*3.3058</f>
        <v>4506243.2653852599</v>
      </c>
      <c r="FY19" s="60">
        <f t="shared" si="54"/>
        <v>1323621.3680689996</v>
      </c>
      <c r="FZ19" s="59">
        <f t="shared" ref="FZ19:FZ28" si="135">+FY19*3.3058</f>
        <v>4375627.5185624994</v>
      </c>
      <c r="GA19" s="60">
        <f t="shared" si="55"/>
        <v>1284110.2824549996</v>
      </c>
      <c r="GB19" s="59">
        <f t="shared" ref="GB19:GB28" si="136">+GA19*3.3058</f>
        <v>4245011.7717397381</v>
      </c>
      <c r="GC19" s="55">
        <f t="shared" si="56"/>
        <v>1244599.1968409996</v>
      </c>
      <c r="GD19" s="59">
        <f t="shared" ref="GD19:GD28" si="137">+GC19*3.3058</f>
        <v>4114396.0249169767</v>
      </c>
      <c r="GE19" s="60">
        <f t="shared" si="57"/>
        <v>1205088.1112269994</v>
      </c>
      <c r="GF19" s="59">
        <f t="shared" ref="GF19:GF28" si="138">+GE19*3.3058</f>
        <v>3983780.2780942149</v>
      </c>
      <c r="GG19" s="60">
        <f t="shared" si="58"/>
        <v>1165577.0256129995</v>
      </c>
      <c r="GH19" s="59">
        <f t="shared" ref="GH19:GH28" si="139">+GG19*3.3058</f>
        <v>3853164.5312714535</v>
      </c>
      <c r="GI19" s="55">
        <f t="shared" si="59"/>
        <v>1126065.9399989995</v>
      </c>
      <c r="GJ19" s="59">
        <f t="shared" ref="GJ19:GJ28" si="140">+GI19*3.3058</f>
        <v>3722548.7844486926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3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89800</v>
      </c>
      <c r="E20" s="67">
        <f t="shared" si="0"/>
        <v>296860</v>
      </c>
      <c r="H20" s="55">
        <f t="shared" si="61"/>
        <v>326546</v>
      </c>
      <c r="I20" s="55">
        <f t="shared" si="62"/>
        <v>326546</v>
      </c>
      <c r="J20" s="59">
        <f t="shared" si="63"/>
        <v>1079495.7668000001</v>
      </c>
      <c r="K20" s="55">
        <f t="shared" si="64"/>
        <v>316749.62</v>
      </c>
      <c r="L20" s="59">
        <f t="shared" si="65"/>
        <v>1047110.893796</v>
      </c>
      <c r="M20" s="55">
        <f t="shared" si="66"/>
        <v>310218.7</v>
      </c>
      <c r="N20" s="59">
        <f t="shared" si="67"/>
        <v>1025520.97846</v>
      </c>
      <c r="O20" s="55">
        <f t="shared" si="1"/>
        <v>303687.78000000003</v>
      </c>
      <c r="P20" s="59">
        <f t="shared" si="68"/>
        <v>1003931.0631240001</v>
      </c>
      <c r="Q20" s="57">
        <f t="shared" si="2"/>
        <v>297156.86</v>
      </c>
      <c r="R20" s="59">
        <f t="shared" si="69"/>
        <v>982341.14778799994</v>
      </c>
      <c r="S20" s="55">
        <f t="shared" si="3"/>
        <v>290625.94</v>
      </c>
      <c r="T20" s="59">
        <f t="shared" si="70"/>
        <v>960751.23245200003</v>
      </c>
      <c r="U20" s="57">
        <f t="shared" si="4"/>
        <v>284095.02</v>
      </c>
      <c r="V20" s="59">
        <f t="shared" si="71"/>
        <v>939161.31711600011</v>
      </c>
      <c r="W20" s="60">
        <f t="shared" si="5"/>
        <v>277564.09999999998</v>
      </c>
      <c r="X20" s="59">
        <f t="shared" si="72"/>
        <v>917571.40177999996</v>
      </c>
      <c r="Y20" s="57">
        <f t="shared" si="6"/>
        <v>271033.18</v>
      </c>
      <c r="Z20" s="59">
        <f t="shared" si="73"/>
        <v>895981.48644400004</v>
      </c>
      <c r="AA20" s="55">
        <f t="shared" si="7"/>
        <v>264502.26</v>
      </c>
      <c r="AB20" s="59">
        <f t="shared" si="74"/>
        <v>874391.571108</v>
      </c>
      <c r="AC20" s="60">
        <f t="shared" si="8"/>
        <v>257971.33999999997</v>
      </c>
      <c r="AD20" s="59">
        <f t="shared" si="75"/>
        <v>852801.65577199985</v>
      </c>
      <c r="AE20" s="60">
        <f t="shared" si="9"/>
        <v>251440.41999999998</v>
      </c>
      <c r="AF20" s="59">
        <f t="shared" si="76"/>
        <v>831211.74043599993</v>
      </c>
      <c r="AG20" s="60">
        <f t="shared" si="10"/>
        <v>244909.49999999997</v>
      </c>
      <c r="AH20" s="59">
        <f t="shared" si="77"/>
        <v>809621.8250999999</v>
      </c>
      <c r="AI20" s="55">
        <f t="shared" si="11"/>
        <v>238378.57999999996</v>
      </c>
      <c r="AJ20" s="59">
        <f t="shared" si="78"/>
        <v>788031.90976399987</v>
      </c>
      <c r="AK20" s="60">
        <f t="shared" si="12"/>
        <v>231847.65999999995</v>
      </c>
      <c r="AL20" s="59">
        <f t="shared" si="79"/>
        <v>766441.99442799983</v>
      </c>
      <c r="AM20" s="60">
        <f t="shared" si="13"/>
        <v>225316.73999999993</v>
      </c>
      <c r="AN20" s="59">
        <f t="shared" si="80"/>
        <v>744852.0790919998</v>
      </c>
      <c r="AO20" s="60">
        <f t="shared" si="14"/>
        <v>218785.81999999995</v>
      </c>
      <c r="AP20" s="59">
        <f t="shared" si="81"/>
        <v>723262.16375599988</v>
      </c>
      <c r="AQ20" s="60">
        <f t="shared" si="15"/>
        <v>212254.89999999994</v>
      </c>
      <c r="AR20" s="59">
        <f t="shared" si="82"/>
        <v>701672.24841999984</v>
      </c>
      <c r="AS20" s="55">
        <f t="shared" si="16"/>
        <v>205723.97999999992</v>
      </c>
      <c r="AT20" s="59">
        <f t="shared" si="83"/>
        <v>680082.33308399981</v>
      </c>
      <c r="AU20" s="60">
        <f t="shared" si="17"/>
        <v>199193.05999999991</v>
      </c>
      <c r="AV20" s="59">
        <f t="shared" si="84"/>
        <v>658492.41774799977</v>
      </c>
      <c r="AW20" s="60">
        <f t="shared" si="18"/>
        <v>192662.13999999993</v>
      </c>
      <c r="AX20" s="59">
        <f t="shared" si="85"/>
        <v>636902.50241199974</v>
      </c>
      <c r="AY20" s="55">
        <f t="shared" si="19"/>
        <v>186131.21999999991</v>
      </c>
      <c r="AZ20" s="59">
        <f t="shared" si="86"/>
        <v>615312.58707599971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297156.86</v>
      </c>
      <c r="CA20" s="55">
        <f t="shared" si="89"/>
        <v>297156.86</v>
      </c>
      <c r="CB20" s="59">
        <f t="shared" si="90"/>
        <v>982341.14778799994</v>
      </c>
      <c r="CC20" s="55">
        <f t="shared" si="91"/>
        <v>288242.15419999999</v>
      </c>
      <c r="CD20" s="59">
        <f t="shared" si="92"/>
        <v>952870.91335436003</v>
      </c>
      <c r="CE20" s="55">
        <f t="shared" si="93"/>
        <v>282299.01699999999</v>
      </c>
      <c r="CF20" s="59">
        <f t="shared" si="94"/>
        <v>933224.09039859998</v>
      </c>
      <c r="CG20" s="55">
        <f t="shared" si="21"/>
        <v>276355.8798</v>
      </c>
      <c r="CH20" s="59">
        <f t="shared" si="95"/>
        <v>913577.26744284004</v>
      </c>
      <c r="CI20" s="57">
        <f t="shared" si="22"/>
        <v>270412.7426</v>
      </c>
      <c r="CJ20" s="59">
        <f t="shared" si="96"/>
        <v>893930.44448707998</v>
      </c>
      <c r="CK20" s="55">
        <f t="shared" si="23"/>
        <v>264469.6054</v>
      </c>
      <c r="CL20" s="59">
        <f t="shared" si="97"/>
        <v>874283.62153132004</v>
      </c>
      <c r="CM20" s="57">
        <f t="shared" si="24"/>
        <v>258526.46819999997</v>
      </c>
      <c r="CN20" s="59">
        <f t="shared" si="98"/>
        <v>854636.79857555998</v>
      </c>
      <c r="CO20" s="60">
        <f t="shared" si="25"/>
        <v>252583.33099999998</v>
      </c>
      <c r="CP20" s="59">
        <f t="shared" si="99"/>
        <v>834989.97561979992</v>
      </c>
      <c r="CQ20" s="57">
        <f t="shared" si="26"/>
        <v>246640.19379999998</v>
      </c>
      <c r="CR20" s="59">
        <f t="shared" si="100"/>
        <v>815343.15266403998</v>
      </c>
      <c r="CS20" s="55">
        <f t="shared" si="27"/>
        <v>240697.05659999998</v>
      </c>
      <c r="CT20" s="59">
        <f t="shared" si="101"/>
        <v>795696.32970827993</v>
      </c>
      <c r="CU20" s="60">
        <f t="shared" si="28"/>
        <v>234753.91939999996</v>
      </c>
      <c r="CV20" s="59">
        <f t="shared" si="102"/>
        <v>776049.50675251987</v>
      </c>
      <c r="CW20" s="60">
        <f t="shared" si="29"/>
        <v>228810.78219999996</v>
      </c>
      <c r="CX20" s="59">
        <f t="shared" si="103"/>
        <v>756402.68379675993</v>
      </c>
      <c r="CY20" s="60">
        <f t="shared" si="30"/>
        <v>222867.64499999996</v>
      </c>
      <c r="CZ20" s="59">
        <f t="shared" si="104"/>
        <v>736755.86084099987</v>
      </c>
      <c r="DA20" s="55">
        <f t="shared" si="31"/>
        <v>216924.50779999996</v>
      </c>
      <c r="DB20" s="59">
        <f t="shared" si="105"/>
        <v>717109.03788523993</v>
      </c>
      <c r="DC20" s="60">
        <f t="shared" si="32"/>
        <v>210981.37059999994</v>
      </c>
      <c r="DD20" s="59">
        <f t="shared" si="106"/>
        <v>697462.21492947976</v>
      </c>
      <c r="DE20" s="60">
        <f t="shared" si="33"/>
        <v>205038.23339999994</v>
      </c>
      <c r="DF20" s="59">
        <f t="shared" si="107"/>
        <v>677815.39197371982</v>
      </c>
      <c r="DG20" s="60">
        <f t="shared" si="34"/>
        <v>199095.09619999994</v>
      </c>
      <c r="DH20" s="59">
        <f t="shared" si="108"/>
        <v>658168.56901795988</v>
      </c>
      <c r="DI20" s="60">
        <f t="shared" si="35"/>
        <v>193151.95899999994</v>
      </c>
      <c r="DJ20" s="59">
        <f t="shared" si="109"/>
        <v>638521.74606219982</v>
      </c>
      <c r="DK20" s="55">
        <f t="shared" si="36"/>
        <v>187208.82179999992</v>
      </c>
      <c r="DL20" s="59">
        <f t="shared" si="110"/>
        <v>618874.92310643976</v>
      </c>
      <c r="DM20" s="60">
        <f t="shared" si="37"/>
        <v>181265.68459999992</v>
      </c>
      <c r="DN20" s="59">
        <f t="shared" si="111"/>
        <v>599228.1001506797</v>
      </c>
      <c r="DO20" s="60">
        <f t="shared" si="38"/>
        <v>175322.54739999992</v>
      </c>
      <c r="DP20" s="59">
        <f t="shared" si="112"/>
        <v>579581.27719491976</v>
      </c>
      <c r="DQ20" s="55">
        <f t="shared" si="39"/>
        <v>169379.41019999993</v>
      </c>
      <c r="DR20" s="59">
        <f t="shared" si="113"/>
        <v>559934.45423915982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270412.7426</v>
      </c>
      <c r="ES20" s="55">
        <f t="shared" si="116"/>
        <v>270412.7426</v>
      </c>
      <c r="ET20" s="59">
        <f t="shared" si="117"/>
        <v>893930.44448707998</v>
      </c>
      <c r="EU20" s="55">
        <f t="shared" si="118"/>
        <v>262300.36032199999</v>
      </c>
      <c r="EV20" s="59">
        <f t="shared" si="119"/>
        <v>867112.53115246759</v>
      </c>
      <c r="EW20" s="55">
        <f t="shared" si="120"/>
        <v>256892.10546999998</v>
      </c>
      <c r="EX20" s="59">
        <f t="shared" si="121"/>
        <v>849233.922262726</v>
      </c>
      <c r="EY20" s="55">
        <f t="shared" si="41"/>
        <v>251483.850618</v>
      </c>
      <c r="EZ20" s="59">
        <f t="shared" si="122"/>
        <v>831355.31337298441</v>
      </c>
      <c r="FA20" s="57">
        <f t="shared" si="42"/>
        <v>246075.59576600001</v>
      </c>
      <c r="FB20" s="59">
        <f t="shared" si="123"/>
        <v>813476.70448324282</v>
      </c>
      <c r="FC20" s="55">
        <f t="shared" si="43"/>
        <v>240667.340914</v>
      </c>
      <c r="FD20" s="59">
        <f t="shared" si="124"/>
        <v>795598.09559350123</v>
      </c>
      <c r="FE20" s="57">
        <f t="shared" si="44"/>
        <v>235259.08606199999</v>
      </c>
      <c r="FF20" s="59">
        <f t="shared" si="125"/>
        <v>777719.48670375952</v>
      </c>
      <c r="FG20" s="60">
        <f t="shared" si="45"/>
        <v>229850.83121</v>
      </c>
      <c r="FH20" s="59">
        <f t="shared" si="126"/>
        <v>759840.87781401805</v>
      </c>
      <c r="FI20" s="57">
        <f t="shared" si="46"/>
        <v>224442.57635799999</v>
      </c>
      <c r="FJ20" s="59">
        <f t="shared" si="127"/>
        <v>741962.26892427634</v>
      </c>
      <c r="FK20" s="55">
        <f t="shared" si="47"/>
        <v>219034.32150599998</v>
      </c>
      <c r="FL20" s="59">
        <f t="shared" si="128"/>
        <v>724083.66003453475</v>
      </c>
      <c r="FM20" s="60">
        <f t="shared" si="48"/>
        <v>213626.06665399997</v>
      </c>
      <c r="FN20" s="59">
        <f t="shared" si="129"/>
        <v>706205.05114479305</v>
      </c>
      <c r="FO20" s="60">
        <f t="shared" si="49"/>
        <v>208217.81180199998</v>
      </c>
      <c r="FP20" s="59">
        <f t="shared" si="130"/>
        <v>688326.44225505157</v>
      </c>
      <c r="FQ20" s="60">
        <f t="shared" si="50"/>
        <v>202809.55694999997</v>
      </c>
      <c r="FR20" s="59">
        <f t="shared" si="131"/>
        <v>670447.83336530987</v>
      </c>
      <c r="FS20" s="55">
        <f t="shared" si="51"/>
        <v>197401.30209799996</v>
      </c>
      <c r="FT20" s="59">
        <f t="shared" si="132"/>
        <v>652569.22447556828</v>
      </c>
      <c r="FU20" s="60">
        <f t="shared" si="52"/>
        <v>191993.04724599997</v>
      </c>
      <c r="FV20" s="59">
        <f t="shared" si="133"/>
        <v>634690.61558582669</v>
      </c>
      <c r="FW20" s="60">
        <f t="shared" si="53"/>
        <v>186584.79239399996</v>
      </c>
      <c r="FX20" s="59">
        <f t="shared" si="134"/>
        <v>616812.0066960851</v>
      </c>
      <c r="FY20" s="60">
        <f t="shared" si="54"/>
        <v>181176.53754199995</v>
      </c>
      <c r="FZ20" s="59">
        <f t="shared" si="135"/>
        <v>598933.39780634339</v>
      </c>
      <c r="GA20" s="60">
        <f t="shared" si="55"/>
        <v>175768.28268999993</v>
      </c>
      <c r="GB20" s="59">
        <f t="shared" si="136"/>
        <v>581054.7889166018</v>
      </c>
      <c r="GC20" s="55">
        <f t="shared" si="56"/>
        <v>170360.02783799995</v>
      </c>
      <c r="GD20" s="59">
        <f t="shared" si="137"/>
        <v>563176.18002686021</v>
      </c>
      <c r="GE20" s="60">
        <f t="shared" si="57"/>
        <v>164951.77298599994</v>
      </c>
      <c r="GF20" s="59">
        <f t="shared" si="138"/>
        <v>545297.57113711862</v>
      </c>
      <c r="GG20" s="60">
        <f t="shared" si="58"/>
        <v>159543.51813399993</v>
      </c>
      <c r="GH20" s="59">
        <f t="shared" si="139"/>
        <v>527418.96224737691</v>
      </c>
      <c r="GI20" s="55">
        <f t="shared" si="59"/>
        <v>154135.26328199991</v>
      </c>
      <c r="GJ20" s="59">
        <f t="shared" si="140"/>
        <v>509540.35335763532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364770</v>
      </c>
      <c r="E21" s="67">
        <f t="shared" si="0"/>
        <v>1205850</v>
      </c>
      <c r="H21" s="55">
        <f t="shared" si="61"/>
        <v>1326435</v>
      </c>
      <c r="I21" s="55">
        <f t="shared" si="62"/>
        <v>1326435</v>
      </c>
      <c r="J21" s="59">
        <f t="shared" si="63"/>
        <v>4384928.8229999999</v>
      </c>
      <c r="K21" s="55">
        <f t="shared" si="64"/>
        <v>1286641.95</v>
      </c>
      <c r="L21" s="59">
        <f t="shared" si="65"/>
        <v>4253380.9583099997</v>
      </c>
      <c r="M21" s="55">
        <f t="shared" si="66"/>
        <v>1260113.25</v>
      </c>
      <c r="N21" s="59">
        <f t="shared" si="67"/>
        <v>4165682.38185</v>
      </c>
      <c r="O21" s="55">
        <f t="shared" si="1"/>
        <v>1233584.55</v>
      </c>
      <c r="P21" s="59">
        <f t="shared" si="68"/>
        <v>4077983.8053900003</v>
      </c>
      <c r="Q21" s="57">
        <f t="shared" si="2"/>
        <v>1207055.8500000001</v>
      </c>
      <c r="R21" s="59">
        <f t="shared" si="69"/>
        <v>3990285.2289300002</v>
      </c>
      <c r="S21" s="55">
        <f t="shared" si="3"/>
        <v>1180527.1499999999</v>
      </c>
      <c r="T21" s="59">
        <f t="shared" si="70"/>
        <v>3902586.6524699996</v>
      </c>
      <c r="U21" s="57">
        <f t="shared" si="4"/>
        <v>1153998.45</v>
      </c>
      <c r="V21" s="59">
        <f t="shared" si="71"/>
        <v>3814888.07601</v>
      </c>
      <c r="W21" s="60">
        <f t="shared" si="5"/>
        <v>1127469.75</v>
      </c>
      <c r="X21" s="59">
        <f t="shared" si="72"/>
        <v>3727189.4995500003</v>
      </c>
      <c r="Y21" s="57">
        <f t="shared" si="6"/>
        <v>1100941.05</v>
      </c>
      <c r="Z21" s="59">
        <f t="shared" si="73"/>
        <v>3639490.9230900002</v>
      </c>
      <c r="AA21" s="55">
        <f t="shared" si="7"/>
        <v>1074412.3499999999</v>
      </c>
      <c r="AB21" s="59">
        <f t="shared" si="74"/>
        <v>3551792.3466299996</v>
      </c>
      <c r="AC21" s="60">
        <f t="shared" si="8"/>
        <v>1047883.6499999999</v>
      </c>
      <c r="AD21" s="59">
        <f t="shared" si="75"/>
        <v>3464093.7701699999</v>
      </c>
      <c r="AE21" s="60">
        <f t="shared" si="9"/>
        <v>1021354.9499999998</v>
      </c>
      <c r="AF21" s="59">
        <f t="shared" si="76"/>
        <v>3376395.1937099993</v>
      </c>
      <c r="AG21" s="60">
        <f t="shared" si="10"/>
        <v>994826.24999999988</v>
      </c>
      <c r="AH21" s="59">
        <f t="shared" si="77"/>
        <v>3288696.6172499997</v>
      </c>
      <c r="AI21" s="55">
        <f t="shared" si="11"/>
        <v>968297.54999999981</v>
      </c>
      <c r="AJ21" s="59">
        <f t="shared" si="78"/>
        <v>3200998.0407899995</v>
      </c>
      <c r="AK21" s="60">
        <f t="shared" si="12"/>
        <v>941768.84999999986</v>
      </c>
      <c r="AL21" s="59">
        <f t="shared" si="79"/>
        <v>3113299.4643299994</v>
      </c>
      <c r="AM21" s="60">
        <f t="shared" si="13"/>
        <v>915240.14999999979</v>
      </c>
      <c r="AN21" s="59">
        <f t="shared" si="80"/>
        <v>3025600.8878699993</v>
      </c>
      <c r="AO21" s="60">
        <f t="shared" si="14"/>
        <v>888711.44999999972</v>
      </c>
      <c r="AP21" s="59">
        <f t="shared" si="81"/>
        <v>2937902.3114099992</v>
      </c>
      <c r="AQ21" s="60">
        <f t="shared" si="15"/>
        <v>862182.74999999977</v>
      </c>
      <c r="AR21" s="59">
        <f t="shared" si="82"/>
        <v>2850203.7349499995</v>
      </c>
      <c r="AS21" s="55">
        <f t="shared" si="16"/>
        <v>835654.0499999997</v>
      </c>
      <c r="AT21" s="59">
        <f t="shared" si="83"/>
        <v>2762505.1584899989</v>
      </c>
      <c r="AU21" s="60">
        <f t="shared" si="17"/>
        <v>809125.34999999974</v>
      </c>
      <c r="AV21" s="59">
        <f t="shared" si="84"/>
        <v>2674806.5820299992</v>
      </c>
      <c r="AW21" s="60">
        <f t="shared" si="18"/>
        <v>782596.64999999967</v>
      </c>
      <c r="AX21" s="59">
        <f t="shared" si="85"/>
        <v>2587108.0055699991</v>
      </c>
      <c r="AY21" s="55">
        <f t="shared" si="19"/>
        <v>756067.9499999996</v>
      </c>
      <c r="AZ21" s="59">
        <f t="shared" si="86"/>
        <v>2499409.429109999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1207055.8500000001</v>
      </c>
      <c r="CA21" s="55">
        <f t="shared" si="89"/>
        <v>1207055.8500000001</v>
      </c>
      <c r="CB21" s="59">
        <f t="shared" si="90"/>
        <v>3990285.2289300002</v>
      </c>
      <c r="CC21" s="55">
        <f t="shared" si="91"/>
        <v>1170844.1745</v>
      </c>
      <c r="CD21" s="59">
        <f t="shared" si="92"/>
        <v>3870576.6720620999</v>
      </c>
      <c r="CE21" s="55">
        <f t="shared" si="93"/>
        <v>1146703.0575000001</v>
      </c>
      <c r="CF21" s="59">
        <f t="shared" si="94"/>
        <v>3790770.9674835005</v>
      </c>
      <c r="CG21" s="55">
        <f t="shared" si="21"/>
        <v>1122561.9405000003</v>
      </c>
      <c r="CH21" s="59">
        <f t="shared" si="95"/>
        <v>3710965.2629049011</v>
      </c>
      <c r="CI21" s="57">
        <f t="shared" si="22"/>
        <v>1098420.8235000002</v>
      </c>
      <c r="CJ21" s="59">
        <f t="shared" si="96"/>
        <v>3631159.5583263007</v>
      </c>
      <c r="CK21" s="55">
        <f t="shared" si="23"/>
        <v>1074279.7065000001</v>
      </c>
      <c r="CL21" s="59">
        <f t="shared" si="97"/>
        <v>3551353.8537477003</v>
      </c>
      <c r="CM21" s="57">
        <f t="shared" si="24"/>
        <v>1050138.5895</v>
      </c>
      <c r="CN21" s="59">
        <f t="shared" si="98"/>
        <v>3471548.1491691</v>
      </c>
      <c r="CO21" s="60">
        <f t="shared" si="25"/>
        <v>1025997.4725</v>
      </c>
      <c r="CP21" s="59">
        <f t="shared" si="99"/>
        <v>3391742.4445905001</v>
      </c>
      <c r="CQ21" s="57">
        <f t="shared" si="26"/>
        <v>1001856.3555000001</v>
      </c>
      <c r="CR21" s="59">
        <f t="shared" si="100"/>
        <v>3311936.7400119002</v>
      </c>
      <c r="CS21" s="55">
        <f t="shared" si="27"/>
        <v>977715.23849999998</v>
      </c>
      <c r="CT21" s="59">
        <f t="shared" si="101"/>
        <v>3232131.0354332998</v>
      </c>
      <c r="CU21" s="60">
        <f t="shared" si="28"/>
        <v>953574.12150000001</v>
      </c>
      <c r="CV21" s="59">
        <f t="shared" si="102"/>
        <v>3152325.3308546999</v>
      </c>
      <c r="CW21" s="60">
        <f t="shared" si="29"/>
        <v>929433.00449999992</v>
      </c>
      <c r="CX21" s="59">
        <f t="shared" si="103"/>
        <v>3072519.6262760996</v>
      </c>
      <c r="CY21" s="60">
        <f t="shared" si="30"/>
        <v>905291.88749999995</v>
      </c>
      <c r="CZ21" s="59">
        <f t="shared" si="104"/>
        <v>2992713.9216974997</v>
      </c>
      <c r="DA21" s="55">
        <f t="shared" si="31"/>
        <v>881150.77049999987</v>
      </c>
      <c r="DB21" s="59">
        <f t="shared" si="105"/>
        <v>2912908.2171188998</v>
      </c>
      <c r="DC21" s="60">
        <f t="shared" si="32"/>
        <v>857009.6534999999</v>
      </c>
      <c r="DD21" s="59">
        <f t="shared" si="106"/>
        <v>2833102.5125402999</v>
      </c>
      <c r="DE21" s="60">
        <f t="shared" si="33"/>
        <v>832868.53649999981</v>
      </c>
      <c r="DF21" s="59">
        <f t="shared" si="107"/>
        <v>2753296.8079616996</v>
      </c>
      <c r="DG21" s="60">
        <f t="shared" si="34"/>
        <v>808727.41949999984</v>
      </c>
      <c r="DH21" s="59">
        <f t="shared" si="108"/>
        <v>2673491.1033830997</v>
      </c>
      <c r="DI21" s="60">
        <f t="shared" si="35"/>
        <v>784586.30249999987</v>
      </c>
      <c r="DJ21" s="59">
        <f t="shared" si="109"/>
        <v>2593685.3988044998</v>
      </c>
      <c r="DK21" s="55">
        <f t="shared" si="36"/>
        <v>760445.18549999979</v>
      </c>
      <c r="DL21" s="59">
        <f t="shared" si="110"/>
        <v>2513879.6942258994</v>
      </c>
      <c r="DM21" s="60">
        <f t="shared" si="37"/>
        <v>736304.06849999982</v>
      </c>
      <c r="DN21" s="59">
        <f t="shared" si="111"/>
        <v>2434073.9896472995</v>
      </c>
      <c r="DO21" s="60">
        <f t="shared" si="38"/>
        <v>712162.95149999973</v>
      </c>
      <c r="DP21" s="59">
        <f t="shared" si="112"/>
        <v>2354268.2850686992</v>
      </c>
      <c r="DQ21" s="55">
        <f t="shared" si="39"/>
        <v>688021.83449999976</v>
      </c>
      <c r="DR21" s="59">
        <f t="shared" si="113"/>
        <v>2274462.5804900993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1098420.8235000002</v>
      </c>
      <c r="ES21" s="55">
        <f t="shared" si="116"/>
        <v>1098420.8235000002</v>
      </c>
      <c r="ET21" s="59">
        <f t="shared" si="117"/>
        <v>3631159.5583263007</v>
      </c>
      <c r="EU21" s="55">
        <f t="shared" si="118"/>
        <v>1065468.1987950001</v>
      </c>
      <c r="EV21" s="59">
        <f t="shared" si="119"/>
        <v>3522224.7715765112</v>
      </c>
      <c r="EW21" s="55">
        <f t="shared" si="120"/>
        <v>1043499.7823250002</v>
      </c>
      <c r="EX21" s="59">
        <f t="shared" si="121"/>
        <v>3449601.5804099855</v>
      </c>
      <c r="EY21" s="55">
        <f t="shared" si="41"/>
        <v>1021531.3658550002</v>
      </c>
      <c r="EZ21" s="59">
        <f t="shared" si="122"/>
        <v>3376978.3892434598</v>
      </c>
      <c r="FA21" s="57">
        <f t="shared" si="42"/>
        <v>999562.94938500016</v>
      </c>
      <c r="FB21" s="59">
        <f t="shared" si="123"/>
        <v>3304355.1980769336</v>
      </c>
      <c r="FC21" s="55">
        <f t="shared" si="43"/>
        <v>977594.53291500022</v>
      </c>
      <c r="FD21" s="59">
        <f t="shared" si="124"/>
        <v>3231732.0069104079</v>
      </c>
      <c r="FE21" s="57">
        <f t="shared" si="44"/>
        <v>955626.11644500017</v>
      </c>
      <c r="FF21" s="59">
        <f t="shared" si="125"/>
        <v>3159108.8157438817</v>
      </c>
      <c r="FG21" s="60">
        <f t="shared" si="45"/>
        <v>933657.69997500011</v>
      </c>
      <c r="FH21" s="59">
        <f t="shared" si="126"/>
        <v>3086485.6245773556</v>
      </c>
      <c r="FI21" s="57">
        <f t="shared" si="46"/>
        <v>911689.28350500006</v>
      </c>
      <c r="FJ21" s="59">
        <f t="shared" si="127"/>
        <v>3013862.4334108294</v>
      </c>
      <c r="FK21" s="55">
        <f t="shared" si="47"/>
        <v>889720.86703500012</v>
      </c>
      <c r="FL21" s="59">
        <f t="shared" si="128"/>
        <v>2941239.2422443032</v>
      </c>
      <c r="FM21" s="60">
        <f t="shared" si="48"/>
        <v>867752.45056500006</v>
      </c>
      <c r="FN21" s="59">
        <f t="shared" si="129"/>
        <v>2868616.0510777771</v>
      </c>
      <c r="FO21" s="60">
        <f t="shared" si="49"/>
        <v>845784.03409500001</v>
      </c>
      <c r="FP21" s="59">
        <f t="shared" si="130"/>
        <v>2795992.8599112509</v>
      </c>
      <c r="FQ21" s="60">
        <f t="shared" si="50"/>
        <v>823815.61762499996</v>
      </c>
      <c r="FR21" s="59">
        <f t="shared" si="131"/>
        <v>2723369.6687447247</v>
      </c>
      <c r="FS21" s="55">
        <f t="shared" si="51"/>
        <v>801847.20115500002</v>
      </c>
      <c r="FT21" s="59">
        <f t="shared" si="132"/>
        <v>2650746.477578199</v>
      </c>
      <c r="FU21" s="60">
        <f t="shared" si="52"/>
        <v>779878.78468499996</v>
      </c>
      <c r="FV21" s="59">
        <f t="shared" si="133"/>
        <v>2578123.2864116728</v>
      </c>
      <c r="FW21" s="60">
        <f t="shared" si="53"/>
        <v>757910.36821499991</v>
      </c>
      <c r="FX21" s="59">
        <f t="shared" si="134"/>
        <v>2505500.0952451467</v>
      </c>
      <c r="FY21" s="60">
        <f t="shared" si="54"/>
        <v>735941.95174499997</v>
      </c>
      <c r="FZ21" s="59">
        <f t="shared" si="135"/>
        <v>2432876.904078621</v>
      </c>
      <c r="GA21" s="60">
        <f t="shared" si="55"/>
        <v>713973.53527499991</v>
      </c>
      <c r="GB21" s="59">
        <f t="shared" si="136"/>
        <v>2360253.7129120948</v>
      </c>
      <c r="GC21" s="55">
        <f t="shared" si="56"/>
        <v>692005.11880499986</v>
      </c>
      <c r="GD21" s="59">
        <f t="shared" si="137"/>
        <v>2287630.5217455686</v>
      </c>
      <c r="GE21" s="60">
        <f t="shared" si="57"/>
        <v>670036.70233499981</v>
      </c>
      <c r="GF21" s="59">
        <f t="shared" si="138"/>
        <v>2215007.3305790424</v>
      </c>
      <c r="GG21" s="60">
        <f t="shared" si="58"/>
        <v>648068.28586499987</v>
      </c>
      <c r="GH21" s="59">
        <f t="shared" si="139"/>
        <v>2142384.1394125167</v>
      </c>
      <c r="GI21" s="55">
        <f t="shared" si="59"/>
        <v>626099.86939499981</v>
      </c>
      <c r="GJ21" s="59">
        <f t="shared" si="140"/>
        <v>2069760.9482459903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128360</v>
      </c>
      <c r="E22" s="67">
        <f t="shared" si="0"/>
        <v>424330</v>
      </c>
      <c r="H22" s="55">
        <f t="shared" si="61"/>
        <v>466763.00000000006</v>
      </c>
      <c r="I22" s="55">
        <f t="shared" si="62"/>
        <v>466763.00000000006</v>
      </c>
      <c r="J22" s="59">
        <f t="shared" si="63"/>
        <v>1543025.1254000003</v>
      </c>
      <c r="K22" s="55">
        <f t="shared" si="64"/>
        <v>452760.11000000004</v>
      </c>
      <c r="L22" s="59">
        <f t="shared" si="65"/>
        <v>1496734.3716380002</v>
      </c>
      <c r="M22" s="55">
        <f t="shared" si="66"/>
        <v>443424.85000000003</v>
      </c>
      <c r="N22" s="59">
        <f t="shared" si="67"/>
        <v>1465873.8691300002</v>
      </c>
      <c r="O22" s="55">
        <f t="shared" si="1"/>
        <v>434089.59000000008</v>
      </c>
      <c r="P22" s="59">
        <f t="shared" si="68"/>
        <v>1435013.3666220002</v>
      </c>
      <c r="Q22" s="57">
        <f t="shared" si="2"/>
        <v>424754.33000000007</v>
      </c>
      <c r="R22" s="59">
        <f t="shared" si="69"/>
        <v>1404152.8641140002</v>
      </c>
      <c r="S22" s="55">
        <f t="shared" si="3"/>
        <v>415419.07000000007</v>
      </c>
      <c r="T22" s="59">
        <f t="shared" si="70"/>
        <v>1373292.3616060002</v>
      </c>
      <c r="U22" s="57">
        <f t="shared" si="4"/>
        <v>406083.81000000006</v>
      </c>
      <c r="V22" s="59">
        <f t="shared" si="71"/>
        <v>1342431.8590980002</v>
      </c>
      <c r="W22" s="60">
        <f t="shared" si="5"/>
        <v>396748.55000000005</v>
      </c>
      <c r="X22" s="59">
        <f t="shared" si="72"/>
        <v>1311571.3565900002</v>
      </c>
      <c r="Y22" s="57">
        <f t="shared" si="6"/>
        <v>387413.29000000004</v>
      </c>
      <c r="Z22" s="59">
        <f t="shared" si="73"/>
        <v>1280710.8540820002</v>
      </c>
      <c r="AA22" s="55">
        <f t="shared" si="7"/>
        <v>378078.03</v>
      </c>
      <c r="AB22" s="59">
        <f t="shared" si="74"/>
        <v>1249850.3515740002</v>
      </c>
      <c r="AC22" s="60">
        <f t="shared" si="8"/>
        <v>368742.77</v>
      </c>
      <c r="AD22" s="59">
        <f t="shared" si="75"/>
        <v>1218989.8490660002</v>
      </c>
      <c r="AE22" s="60">
        <f t="shared" si="9"/>
        <v>359407.51</v>
      </c>
      <c r="AF22" s="59">
        <f t="shared" si="76"/>
        <v>1188129.346558</v>
      </c>
      <c r="AG22" s="60">
        <f t="shared" si="10"/>
        <v>350072.25</v>
      </c>
      <c r="AH22" s="59">
        <f t="shared" si="77"/>
        <v>1157268.84405</v>
      </c>
      <c r="AI22" s="55">
        <f t="shared" si="11"/>
        <v>340736.99</v>
      </c>
      <c r="AJ22" s="59">
        <f t="shared" si="78"/>
        <v>1126408.341542</v>
      </c>
      <c r="AK22" s="60">
        <f t="shared" si="12"/>
        <v>331401.73</v>
      </c>
      <c r="AL22" s="59">
        <f t="shared" si="79"/>
        <v>1095547.8390339999</v>
      </c>
      <c r="AM22" s="60">
        <f t="shared" si="13"/>
        <v>322066.46999999997</v>
      </c>
      <c r="AN22" s="59">
        <f t="shared" si="80"/>
        <v>1064687.3365259999</v>
      </c>
      <c r="AO22" s="60">
        <f t="shared" si="14"/>
        <v>312731.20999999996</v>
      </c>
      <c r="AP22" s="59">
        <f t="shared" si="81"/>
        <v>1033826.8340179999</v>
      </c>
      <c r="AQ22" s="60">
        <f t="shared" si="15"/>
        <v>303395.94999999995</v>
      </c>
      <c r="AR22" s="59">
        <f t="shared" si="82"/>
        <v>1002966.3315099998</v>
      </c>
      <c r="AS22" s="55">
        <f t="shared" si="16"/>
        <v>294060.68999999994</v>
      </c>
      <c r="AT22" s="59">
        <f t="shared" si="83"/>
        <v>972105.82900199981</v>
      </c>
      <c r="AU22" s="60">
        <f t="shared" si="17"/>
        <v>284725.42999999993</v>
      </c>
      <c r="AV22" s="59">
        <f t="shared" si="84"/>
        <v>941245.3264939998</v>
      </c>
      <c r="AW22" s="60">
        <f t="shared" si="18"/>
        <v>275390.16999999993</v>
      </c>
      <c r="AX22" s="59">
        <f t="shared" si="85"/>
        <v>910384.8239859998</v>
      </c>
      <c r="AY22" s="55">
        <f t="shared" si="19"/>
        <v>266054.90999999992</v>
      </c>
      <c r="AZ22" s="59">
        <f t="shared" si="86"/>
        <v>879524.32147799979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424754.33000000007</v>
      </c>
      <c r="CA22" s="55">
        <f t="shared" si="89"/>
        <v>424754.33000000007</v>
      </c>
      <c r="CB22" s="59">
        <f t="shared" si="90"/>
        <v>1404152.8641140002</v>
      </c>
      <c r="CC22" s="55">
        <f t="shared" si="91"/>
        <v>412011.70010000007</v>
      </c>
      <c r="CD22" s="59">
        <f t="shared" si="92"/>
        <v>1362028.2781905802</v>
      </c>
      <c r="CE22" s="55">
        <f t="shared" si="93"/>
        <v>403516.61350000004</v>
      </c>
      <c r="CF22" s="59">
        <f t="shared" si="94"/>
        <v>1333945.2209083003</v>
      </c>
      <c r="CG22" s="55">
        <f t="shared" si="21"/>
        <v>395021.52690000011</v>
      </c>
      <c r="CH22" s="59">
        <f t="shared" si="95"/>
        <v>1305862.1636260203</v>
      </c>
      <c r="CI22" s="57">
        <f t="shared" si="22"/>
        <v>386526.44030000007</v>
      </c>
      <c r="CJ22" s="59">
        <f t="shared" si="96"/>
        <v>1277779.1063437404</v>
      </c>
      <c r="CK22" s="55">
        <f t="shared" si="23"/>
        <v>378031.35370000009</v>
      </c>
      <c r="CL22" s="59">
        <f t="shared" si="97"/>
        <v>1249696.0490614604</v>
      </c>
      <c r="CM22" s="57">
        <f t="shared" si="24"/>
        <v>369536.26710000006</v>
      </c>
      <c r="CN22" s="59">
        <f t="shared" si="98"/>
        <v>1221612.9917791802</v>
      </c>
      <c r="CO22" s="60">
        <f t="shared" si="25"/>
        <v>361041.18050000007</v>
      </c>
      <c r="CP22" s="59">
        <f t="shared" si="99"/>
        <v>1193529.9344969003</v>
      </c>
      <c r="CQ22" s="57">
        <f t="shared" si="26"/>
        <v>352546.09390000004</v>
      </c>
      <c r="CR22" s="59">
        <f t="shared" si="100"/>
        <v>1165446.8772146201</v>
      </c>
      <c r="CS22" s="55">
        <f t="shared" si="27"/>
        <v>344051.00730000006</v>
      </c>
      <c r="CT22" s="59">
        <f t="shared" si="101"/>
        <v>1137363.8199323402</v>
      </c>
      <c r="CU22" s="60">
        <f t="shared" si="28"/>
        <v>335555.92070000002</v>
      </c>
      <c r="CV22" s="59">
        <f t="shared" si="102"/>
        <v>1109280.76265006</v>
      </c>
      <c r="CW22" s="60">
        <f t="shared" si="29"/>
        <v>327060.83410000004</v>
      </c>
      <c r="CX22" s="59">
        <f t="shared" si="103"/>
        <v>1081197.7053677801</v>
      </c>
      <c r="CY22" s="60">
        <f t="shared" si="30"/>
        <v>318565.7475</v>
      </c>
      <c r="CZ22" s="59">
        <f t="shared" si="104"/>
        <v>1053114.6480855001</v>
      </c>
      <c r="DA22" s="55">
        <f t="shared" si="31"/>
        <v>310070.66090000002</v>
      </c>
      <c r="DB22" s="59">
        <f t="shared" si="105"/>
        <v>1025031.5908032201</v>
      </c>
      <c r="DC22" s="60">
        <f t="shared" si="32"/>
        <v>301575.57429999998</v>
      </c>
      <c r="DD22" s="59">
        <f t="shared" si="106"/>
        <v>996948.53352093999</v>
      </c>
      <c r="DE22" s="60">
        <f t="shared" si="33"/>
        <v>293080.4877</v>
      </c>
      <c r="DF22" s="59">
        <f t="shared" si="107"/>
        <v>968865.47623866005</v>
      </c>
      <c r="DG22" s="60">
        <f t="shared" si="34"/>
        <v>284585.40109999996</v>
      </c>
      <c r="DH22" s="59">
        <f t="shared" si="108"/>
        <v>940782.41895637987</v>
      </c>
      <c r="DI22" s="60">
        <f t="shared" si="35"/>
        <v>276090.31449999998</v>
      </c>
      <c r="DJ22" s="59">
        <f t="shared" si="109"/>
        <v>912699.36167409993</v>
      </c>
      <c r="DK22" s="55">
        <f t="shared" si="36"/>
        <v>267595.22789999994</v>
      </c>
      <c r="DL22" s="59">
        <f t="shared" si="110"/>
        <v>884616.30439181987</v>
      </c>
      <c r="DM22" s="60">
        <f t="shared" si="37"/>
        <v>259100.14129999996</v>
      </c>
      <c r="DN22" s="59">
        <f t="shared" si="111"/>
        <v>856533.24710953992</v>
      </c>
      <c r="DO22" s="60">
        <f t="shared" si="38"/>
        <v>250605.05469999995</v>
      </c>
      <c r="DP22" s="59">
        <f t="shared" si="112"/>
        <v>828450.18982725986</v>
      </c>
      <c r="DQ22" s="55">
        <f t="shared" si="39"/>
        <v>242109.96809999994</v>
      </c>
      <c r="DR22" s="59">
        <f t="shared" si="113"/>
        <v>800367.1325449798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386526.44030000007</v>
      </c>
      <c r="ES22" s="55">
        <f t="shared" si="116"/>
        <v>386526.44030000007</v>
      </c>
      <c r="ET22" s="59">
        <f t="shared" si="117"/>
        <v>1277779.1063437404</v>
      </c>
      <c r="EU22" s="55">
        <f t="shared" si="118"/>
        <v>374930.64709100005</v>
      </c>
      <c r="EV22" s="59">
        <f t="shared" si="119"/>
        <v>1239445.733153428</v>
      </c>
      <c r="EW22" s="55">
        <f t="shared" si="120"/>
        <v>367200.11828500003</v>
      </c>
      <c r="EX22" s="59">
        <f t="shared" si="121"/>
        <v>1213890.1510265532</v>
      </c>
      <c r="EY22" s="55">
        <f t="shared" si="41"/>
        <v>359469.58947900007</v>
      </c>
      <c r="EZ22" s="59">
        <f t="shared" si="122"/>
        <v>1188334.5688996785</v>
      </c>
      <c r="FA22" s="57">
        <f t="shared" si="42"/>
        <v>351739.06067300006</v>
      </c>
      <c r="FB22" s="59">
        <f t="shared" si="123"/>
        <v>1162778.9867728036</v>
      </c>
      <c r="FC22" s="55">
        <f t="shared" si="43"/>
        <v>344008.5318670001</v>
      </c>
      <c r="FD22" s="59">
        <f t="shared" si="124"/>
        <v>1137223.4046459289</v>
      </c>
      <c r="FE22" s="57">
        <f t="shared" si="44"/>
        <v>336278.00306100008</v>
      </c>
      <c r="FF22" s="59">
        <f t="shared" si="125"/>
        <v>1111667.8225190542</v>
      </c>
      <c r="FG22" s="60">
        <f t="shared" si="45"/>
        <v>328547.47425500007</v>
      </c>
      <c r="FH22" s="59">
        <f t="shared" si="126"/>
        <v>1086112.2403921792</v>
      </c>
      <c r="FI22" s="57">
        <f t="shared" si="46"/>
        <v>320816.94544900005</v>
      </c>
      <c r="FJ22" s="59">
        <f t="shared" si="127"/>
        <v>1060556.6582653043</v>
      </c>
      <c r="FK22" s="55">
        <f t="shared" si="47"/>
        <v>313086.41664300003</v>
      </c>
      <c r="FL22" s="59">
        <f t="shared" si="128"/>
        <v>1035001.0761384296</v>
      </c>
      <c r="FM22" s="60">
        <f t="shared" si="48"/>
        <v>305355.88783700002</v>
      </c>
      <c r="FN22" s="59">
        <f t="shared" si="129"/>
        <v>1009445.4940115546</v>
      </c>
      <c r="FO22" s="60">
        <f t="shared" si="49"/>
        <v>297625.359031</v>
      </c>
      <c r="FP22" s="59">
        <f t="shared" si="130"/>
        <v>983889.91188467981</v>
      </c>
      <c r="FQ22" s="60">
        <f t="shared" si="50"/>
        <v>289894.83022500004</v>
      </c>
      <c r="FR22" s="59">
        <f t="shared" si="131"/>
        <v>958334.32975780522</v>
      </c>
      <c r="FS22" s="55">
        <f t="shared" si="51"/>
        <v>282164.30141900002</v>
      </c>
      <c r="FT22" s="59">
        <f t="shared" si="132"/>
        <v>932778.74763093027</v>
      </c>
      <c r="FU22" s="60">
        <f t="shared" si="52"/>
        <v>274433.77261300001</v>
      </c>
      <c r="FV22" s="59">
        <f t="shared" si="133"/>
        <v>907223.16550405545</v>
      </c>
      <c r="FW22" s="60">
        <f t="shared" si="53"/>
        <v>266703.24380699999</v>
      </c>
      <c r="FX22" s="59">
        <f t="shared" si="134"/>
        <v>881667.58337718062</v>
      </c>
      <c r="FY22" s="60">
        <f t="shared" si="54"/>
        <v>258972.71500099998</v>
      </c>
      <c r="FZ22" s="59">
        <f t="shared" si="135"/>
        <v>856112.00125030568</v>
      </c>
      <c r="GA22" s="60">
        <f t="shared" si="55"/>
        <v>251242.18619499996</v>
      </c>
      <c r="GB22" s="59">
        <f t="shared" si="136"/>
        <v>830556.41912343085</v>
      </c>
      <c r="GC22" s="55">
        <f t="shared" si="56"/>
        <v>243511.65738899997</v>
      </c>
      <c r="GD22" s="59">
        <f t="shared" si="137"/>
        <v>805000.83699655614</v>
      </c>
      <c r="GE22" s="60">
        <f t="shared" si="57"/>
        <v>235781.12858299995</v>
      </c>
      <c r="GF22" s="59">
        <f t="shared" si="138"/>
        <v>779445.25486968132</v>
      </c>
      <c r="GG22" s="60">
        <f t="shared" si="58"/>
        <v>228050.59977699994</v>
      </c>
      <c r="GH22" s="59">
        <f t="shared" si="139"/>
        <v>753889.67274280638</v>
      </c>
      <c r="GI22" s="55">
        <f t="shared" si="59"/>
        <v>220320.07097099995</v>
      </c>
      <c r="GJ22" s="59">
        <f t="shared" si="140"/>
        <v>728334.09061593167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48380</v>
      </c>
      <c r="E23" s="67">
        <f t="shared" si="0"/>
        <v>159930</v>
      </c>
      <c r="H23" s="55">
        <f t="shared" si="61"/>
        <v>175923</v>
      </c>
      <c r="I23" s="55">
        <f t="shared" si="62"/>
        <v>175923</v>
      </c>
      <c r="J23" s="59">
        <f t="shared" si="63"/>
        <v>581566.25340000005</v>
      </c>
      <c r="K23" s="55">
        <f t="shared" si="64"/>
        <v>170645.31</v>
      </c>
      <c r="L23" s="59">
        <f t="shared" si="65"/>
        <v>564119.26579800004</v>
      </c>
      <c r="M23" s="55">
        <f t="shared" si="66"/>
        <v>167126.85</v>
      </c>
      <c r="N23" s="59">
        <f t="shared" si="67"/>
        <v>552487.94073000003</v>
      </c>
      <c r="O23" s="55">
        <f t="shared" si="1"/>
        <v>163608.39000000001</v>
      </c>
      <c r="P23" s="59">
        <f t="shared" si="68"/>
        <v>540856.61566200003</v>
      </c>
      <c r="Q23" s="57">
        <f t="shared" si="2"/>
        <v>160089.93</v>
      </c>
      <c r="R23" s="59">
        <f t="shared" si="69"/>
        <v>529225.29059400002</v>
      </c>
      <c r="S23" s="55">
        <f t="shared" si="3"/>
        <v>156571.47</v>
      </c>
      <c r="T23" s="59">
        <f t="shared" si="70"/>
        <v>517593.96552600001</v>
      </c>
      <c r="U23" s="57">
        <f t="shared" si="4"/>
        <v>153053.01</v>
      </c>
      <c r="V23" s="59">
        <f t="shared" si="71"/>
        <v>505962.64045800007</v>
      </c>
      <c r="W23" s="60">
        <f t="shared" si="5"/>
        <v>149534.54999999999</v>
      </c>
      <c r="X23" s="59">
        <f t="shared" si="72"/>
        <v>494331.31538999995</v>
      </c>
      <c r="Y23" s="57">
        <f t="shared" si="6"/>
        <v>146016.09</v>
      </c>
      <c r="Z23" s="59">
        <f t="shared" si="73"/>
        <v>482699.990322</v>
      </c>
      <c r="AA23" s="55">
        <f t="shared" si="7"/>
        <v>142497.62999999998</v>
      </c>
      <c r="AB23" s="59">
        <f t="shared" si="74"/>
        <v>471068.66525399993</v>
      </c>
      <c r="AC23" s="60">
        <f t="shared" si="8"/>
        <v>138979.16999999998</v>
      </c>
      <c r="AD23" s="59">
        <f t="shared" si="75"/>
        <v>459437.34018599993</v>
      </c>
      <c r="AE23" s="60">
        <f t="shared" si="9"/>
        <v>135460.71</v>
      </c>
      <c r="AF23" s="59">
        <f t="shared" si="76"/>
        <v>447806.01511799998</v>
      </c>
      <c r="AG23" s="60">
        <f t="shared" si="10"/>
        <v>131942.24999999997</v>
      </c>
      <c r="AH23" s="59">
        <f t="shared" si="77"/>
        <v>436174.69004999992</v>
      </c>
      <c r="AI23" s="55">
        <f t="shared" si="11"/>
        <v>128423.78999999998</v>
      </c>
      <c r="AJ23" s="59">
        <f t="shared" si="78"/>
        <v>424543.36498199991</v>
      </c>
      <c r="AK23" s="60">
        <f t="shared" si="12"/>
        <v>124905.32999999997</v>
      </c>
      <c r="AL23" s="59">
        <f t="shared" si="79"/>
        <v>412912.03991399991</v>
      </c>
      <c r="AM23" s="60">
        <f t="shared" si="13"/>
        <v>121386.86999999997</v>
      </c>
      <c r="AN23" s="59">
        <f t="shared" si="80"/>
        <v>401280.7148459999</v>
      </c>
      <c r="AO23" s="60">
        <f t="shared" si="14"/>
        <v>117868.40999999997</v>
      </c>
      <c r="AP23" s="59">
        <f t="shared" si="81"/>
        <v>389649.3897779999</v>
      </c>
      <c r="AQ23" s="60">
        <f t="shared" si="15"/>
        <v>114349.94999999997</v>
      </c>
      <c r="AR23" s="59">
        <f t="shared" si="82"/>
        <v>378018.06470999989</v>
      </c>
      <c r="AS23" s="55">
        <f t="shared" si="16"/>
        <v>110831.48999999996</v>
      </c>
      <c r="AT23" s="59">
        <f t="shared" si="83"/>
        <v>366386.73964199988</v>
      </c>
      <c r="AU23" s="60">
        <f t="shared" si="17"/>
        <v>107313.02999999996</v>
      </c>
      <c r="AV23" s="59">
        <f t="shared" si="84"/>
        <v>354755.41457399988</v>
      </c>
      <c r="AW23" s="60">
        <f t="shared" si="18"/>
        <v>103794.56999999995</v>
      </c>
      <c r="AX23" s="59">
        <f t="shared" si="85"/>
        <v>343124.08950599981</v>
      </c>
      <c r="AY23" s="55">
        <f t="shared" si="19"/>
        <v>100276.10999999996</v>
      </c>
      <c r="AZ23" s="59">
        <f t="shared" si="86"/>
        <v>331492.76443799987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160089.93</v>
      </c>
      <c r="CA23" s="55">
        <f t="shared" si="89"/>
        <v>160089.93</v>
      </c>
      <c r="CB23" s="59">
        <f t="shared" si="90"/>
        <v>529225.29059400002</v>
      </c>
      <c r="CC23" s="55">
        <f t="shared" si="91"/>
        <v>155287.23209999999</v>
      </c>
      <c r="CD23" s="59">
        <f t="shared" si="92"/>
        <v>513348.53187617997</v>
      </c>
      <c r="CE23" s="55">
        <f t="shared" si="93"/>
        <v>152085.43349999998</v>
      </c>
      <c r="CF23" s="59">
        <f t="shared" si="94"/>
        <v>502764.02606429998</v>
      </c>
      <c r="CG23" s="55">
        <f t="shared" si="21"/>
        <v>148883.6349</v>
      </c>
      <c r="CH23" s="59">
        <f t="shared" si="95"/>
        <v>492179.52025242004</v>
      </c>
      <c r="CI23" s="57">
        <f t="shared" si="22"/>
        <v>145681.8363</v>
      </c>
      <c r="CJ23" s="59">
        <f t="shared" si="96"/>
        <v>481595.01444053999</v>
      </c>
      <c r="CK23" s="55">
        <f t="shared" si="23"/>
        <v>142480.03769999999</v>
      </c>
      <c r="CL23" s="59">
        <f t="shared" si="97"/>
        <v>471010.50862865994</v>
      </c>
      <c r="CM23" s="57">
        <f t="shared" si="24"/>
        <v>139278.23910000001</v>
      </c>
      <c r="CN23" s="59">
        <f t="shared" si="98"/>
        <v>460426.00281678</v>
      </c>
      <c r="CO23" s="60">
        <f t="shared" si="25"/>
        <v>136076.4405</v>
      </c>
      <c r="CP23" s="59">
        <f t="shared" si="99"/>
        <v>449841.49700490001</v>
      </c>
      <c r="CQ23" s="57">
        <f t="shared" si="26"/>
        <v>132874.64189999999</v>
      </c>
      <c r="CR23" s="59">
        <f t="shared" si="100"/>
        <v>439256.99119301996</v>
      </c>
      <c r="CS23" s="55">
        <f t="shared" si="27"/>
        <v>129672.84329999998</v>
      </c>
      <c r="CT23" s="59">
        <f t="shared" si="101"/>
        <v>428672.48538113997</v>
      </c>
      <c r="CU23" s="60">
        <f t="shared" si="28"/>
        <v>126471.04469999998</v>
      </c>
      <c r="CV23" s="59">
        <f t="shared" si="102"/>
        <v>418087.97956925997</v>
      </c>
      <c r="CW23" s="60">
        <f t="shared" si="29"/>
        <v>123269.24609999997</v>
      </c>
      <c r="CX23" s="59">
        <f t="shared" si="103"/>
        <v>407503.47375737992</v>
      </c>
      <c r="CY23" s="60">
        <f t="shared" si="30"/>
        <v>120067.44749999998</v>
      </c>
      <c r="CZ23" s="59">
        <f t="shared" si="104"/>
        <v>396918.96794549993</v>
      </c>
      <c r="DA23" s="55">
        <f t="shared" si="31"/>
        <v>116865.64889999997</v>
      </c>
      <c r="DB23" s="59">
        <f t="shared" si="105"/>
        <v>386334.46213361993</v>
      </c>
      <c r="DC23" s="60">
        <f t="shared" si="32"/>
        <v>113663.85029999998</v>
      </c>
      <c r="DD23" s="59">
        <f t="shared" si="106"/>
        <v>375749.95632173994</v>
      </c>
      <c r="DE23" s="60">
        <f t="shared" si="33"/>
        <v>110462.05169999997</v>
      </c>
      <c r="DF23" s="59">
        <f t="shared" si="107"/>
        <v>365165.45050985989</v>
      </c>
      <c r="DG23" s="60">
        <f t="shared" si="34"/>
        <v>107260.25309999997</v>
      </c>
      <c r="DH23" s="59">
        <f t="shared" si="108"/>
        <v>354580.9446979799</v>
      </c>
      <c r="DI23" s="60">
        <f t="shared" si="35"/>
        <v>104058.45449999996</v>
      </c>
      <c r="DJ23" s="59">
        <f t="shared" si="109"/>
        <v>343996.4388860999</v>
      </c>
      <c r="DK23" s="55">
        <f t="shared" si="36"/>
        <v>100856.65589999995</v>
      </c>
      <c r="DL23" s="59">
        <f t="shared" si="110"/>
        <v>333411.93307421985</v>
      </c>
      <c r="DM23" s="60">
        <f t="shared" si="37"/>
        <v>97654.85729999996</v>
      </c>
      <c r="DN23" s="59">
        <f t="shared" si="111"/>
        <v>322827.42726233986</v>
      </c>
      <c r="DO23" s="60">
        <f t="shared" si="38"/>
        <v>94453.05869999995</v>
      </c>
      <c r="DP23" s="59">
        <f t="shared" si="112"/>
        <v>312242.92145045986</v>
      </c>
      <c r="DQ23" s="55">
        <f t="shared" si="39"/>
        <v>91251.260099999956</v>
      </c>
      <c r="DR23" s="59">
        <f t="shared" si="113"/>
        <v>301658.41563857987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145681.8363</v>
      </c>
      <c r="ES23" s="55">
        <f t="shared" si="116"/>
        <v>145681.8363</v>
      </c>
      <c r="ET23" s="59">
        <f t="shared" si="117"/>
        <v>481595.01444053999</v>
      </c>
      <c r="EU23" s="55">
        <f t="shared" si="118"/>
        <v>141311.381211</v>
      </c>
      <c r="EV23" s="59">
        <f t="shared" si="119"/>
        <v>467147.16400732379</v>
      </c>
      <c r="EW23" s="55">
        <f t="shared" si="120"/>
        <v>138397.744485</v>
      </c>
      <c r="EX23" s="59">
        <f t="shared" si="121"/>
        <v>457515.26371851302</v>
      </c>
      <c r="EY23" s="55">
        <f t="shared" si="41"/>
        <v>135484.10775900001</v>
      </c>
      <c r="EZ23" s="59">
        <f t="shared" si="122"/>
        <v>447883.36342970224</v>
      </c>
      <c r="FA23" s="57">
        <f t="shared" si="42"/>
        <v>132570.47103300001</v>
      </c>
      <c r="FB23" s="59">
        <f t="shared" si="123"/>
        <v>438251.46314089146</v>
      </c>
      <c r="FC23" s="55">
        <f t="shared" si="43"/>
        <v>129656.834307</v>
      </c>
      <c r="FD23" s="59">
        <f t="shared" si="124"/>
        <v>428619.56285208062</v>
      </c>
      <c r="FE23" s="57">
        <f t="shared" si="44"/>
        <v>126743.197581</v>
      </c>
      <c r="FF23" s="59">
        <f t="shared" si="125"/>
        <v>418987.66256326978</v>
      </c>
      <c r="FG23" s="60">
        <f t="shared" si="45"/>
        <v>123829.56085499999</v>
      </c>
      <c r="FH23" s="59">
        <f t="shared" si="126"/>
        <v>409355.76227445895</v>
      </c>
      <c r="FI23" s="57">
        <f t="shared" si="46"/>
        <v>120915.92412899999</v>
      </c>
      <c r="FJ23" s="59">
        <f t="shared" si="127"/>
        <v>399723.86198564817</v>
      </c>
      <c r="FK23" s="55">
        <f t="shared" si="47"/>
        <v>118002.28740299999</v>
      </c>
      <c r="FL23" s="59">
        <f t="shared" si="128"/>
        <v>390091.96169683739</v>
      </c>
      <c r="FM23" s="60">
        <f t="shared" si="48"/>
        <v>115088.65067699998</v>
      </c>
      <c r="FN23" s="59">
        <f t="shared" si="129"/>
        <v>380460.06140802655</v>
      </c>
      <c r="FO23" s="60">
        <f t="shared" si="49"/>
        <v>112175.01395099999</v>
      </c>
      <c r="FP23" s="59">
        <f t="shared" si="130"/>
        <v>370828.16111921577</v>
      </c>
      <c r="FQ23" s="60">
        <f t="shared" si="50"/>
        <v>109261.37722499997</v>
      </c>
      <c r="FR23" s="59">
        <f t="shared" si="131"/>
        <v>361196.26083040494</v>
      </c>
      <c r="FS23" s="55">
        <f t="shared" si="51"/>
        <v>106347.74049899998</v>
      </c>
      <c r="FT23" s="59">
        <f t="shared" si="132"/>
        <v>351564.36054159416</v>
      </c>
      <c r="FU23" s="60">
        <f t="shared" si="52"/>
        <v>103434.10377299998</v>
      </c>
      <c r="FV23" s="59">
        <f t="shared" si="133"/>
        <v>341932.46025278332</v>
      </c>
      <c r="FW23" s="60">
        <f t="shared" si="53"/>
        <v>100520.46704699997</v>
      </c>
      <c r="FX23" s="59">
        <f t="shared" si="134"/>
        <v>332300.55996397248</v>
      </c>
      <c r="FY23" s="60">
        <f t="shared" si="54"/>
        <v>97606.830320999972</v>
      </c>
      <c r="FZ23" s="59">
        <f t="shared" si="135"/>
        <v>322668.6596751617</v>
      </c>
      <c r="GA23" s="60">
        <f t="shared" si="55"/>
        <v>94693.193594999961</v>
      </c>
      <c r="GB23" s="59">
        <f t="shared" si="136"/>
        <v>313036.75938635087</v>
      </c>
      <c r="GC23" s="55">
        <f t="shared" si="56"/>
        <v>91779.556868999964</v>
      </c>
      <c r="GD23" s="59">
        <f t="shared" si="137"/>
        <v>303404.85909754009</v>
      </c>
      <c r="GE23" s="60">
        <f t="shared" si="57"/>
        <v>88865.920142999967</v>
      </c>
      <c r="GF23" s="59">
        <f t="shared" si="138"/>
        <v>293772.95880872931</v>
      </c>
      <c r="GG23" s="60">
        <f t="shared" si="58"/>
        <v>85952.283416999955</v>
      </c>
      <c r="GH23" s="59">
        <f t="shared" si="139"/>
        <v>284141.05851991847</v>
      </c>
      <c r="GI23" s="55">
        <f t="shared" si="59"/>
        <v>83038.646690999958</v>
      </c>
      <c r="GJ23" s="59">
        <f t="shared" si="140"/>
        <v>274509.15823110769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31740</v>
      </c>
      <c r="E24" s="67">
        <f t="shared" si="0"/>
        <v>104920</v>
      </c>
      <c r="H24" s="55">
        <f t="shared" si="61"/>
        <v>115412.00000000001</v>
      </c>
      <c r="I24" s="55">
        <f t="shared" si="62"/>
        <v>115412.00000000001</v>
      </c>
      <c r="J24" s="59">
        <f t="shared" si="63"/>
        <v>381528.98960000003</v>
      </c>
      <c r="K24" s="55">
        <f t="shared" si="64"/>
        <v>111949.64000000001</v>
      </c>
      <c r="L24" s="59">
        <f t="shared" si="65"/>
        <v>370083.11991200008</v>
      </c>
      <c r="M24" s="55">
        <f t="shared" si="66"/>
        <v>109641.40000000001</v>
      </c>
      <c r="N24" s="59">
        <f t="shared" si="67"/>
        <v>362452.54012000002</v>
      </c>
      <c r="O24" s="55">
        <f t="shared" si="1"/>
        <v>107333.16000000002</v>
      </c>
      <c r="P24" s="59">
        <f t="shared" si="68"/>
        <v>354821.96032800007</v>
      </c>
      <c r="Q24" s="57">
        <f t="shared" si="2"/>
        <v>105024.92000000001</v>
      </c>
      <c r="R24" s="59">
        <f t="shared" si="69"/>
        <v>347191.38053600007</v>
      </c>
      <c r="S24" s="55">
        <f t="shared" si="3"/>
        <v>102716.68000000001</v>
      </c>
      <c r="T24" s="59">
        <f t="shared" si="70"/>
        <v>339560.80074400001</v>
      </c>
      <c r="U24" s="57">
        <f t="shared" si="4"/>
        <v>100408.44000000002</v>
      </c>
      <c r="V24" s="59">
        <f t="shared" si="71"/>
        <v>331930.22095200006</v>
      </c>
      <c r="W24" s="60">
        <f t="shared" si="5"/>
        <v>98100.200000000012</v>
      </c>
      <c r="X24" s="59">
        <f t="shared" si="72"/>
        <v>324299.64116000006</v>
      </c>
      <c r="Y24" s="57">
        <f t="shared" si="6"/>
        <v>95791.96</v>
      </c>
      <c r="Z24" s="59">
        <f t="shared" si="73"/>
        <v>316669.06136800005</v>
      </c>
      <c r="AA24" s="55">
        <f t="shared" si="7"/>
        <v>93483.72</v>
      </c>
      <c r="AB24" s="59">
        <f t="shared" si="74"/>
        <v>309038.48157599999</v>
      </c>
      <c r="AC24" s="60">
        <f t="shared" si="8"/>
        <v>91175.48</v>
      </c>
      <c r="AD24" s="59">
        <f t="shared" si="75"/>
        <v>301407.90178399999</v>
      </c>
      <c r="AE24" s="60">
        <f t="shared" si="9"/>
        <v>88867.24</v>
      </c>
      <c r="AF24" s="59">
        <f t="shared" si="76"/>
        <v>293777.32199200004</v>
      </c>
      <c r="AG24" s="60">
        <f t="shared" si="10"/>
        <v>86559</v>
      </c>
      <c r="AH24" s="59">
        <f t="shared" si="77"/>
        <v>286146.74219999998</v>
      </c>
      <c r="AI24" s="55">
        <f t="shared" si="11"/>
        <v>84250.76</v>
      </c>
      <c r="AJ24" s="59">
        <f t="shared" si="78"/>
        <v>278516.16240799997</v>
      </c>
      <c r="AK24" s="60">
        <f t="shared" si="12"/>
        <v>81942.51999999999</v>
      </c>
      <c r="AL24" s="59">
        <f t="shared" si="79"/>
        <v>270885.58261599997</v>
      </c>
      <c r="AM24" s="60">
        <f t="shared" si="13"/>
        <v>79634.279999999984</v>
      </c>
      <c r="AN24" s="59">
        <f t="shared" si="80"/>
        <v>263255.00282399997</v>
      </c>
      <c r="AO24" s="60">
        <f t="shared" si="14"/>
        <v>77326.039999999994</v>
      </c>
      <c r="AP24" s="59">
        <f t="shared" si="81"/>
        <v>255624.42303199999</v>
      </c>
      <c r="AQ24" s="60">
        <f t="shared" si="15"/>
        <v>75017.799999999988</v>
      </c>
      <c r="AR24" s="59">
        <f t="shared" si="82"/>
        <v>247993.84323999996</v>
      </c>
      <c r="AS24" s="55">
        <f t="shared" si="16"/>
        <v>72709.559999999983</v>
      </c>
      <c r="AT24" s="59">
        <f t="shared" si="83"/>
        <v>240363.26344799995</v>
      </c>
      <c r="AU24" s="60">
        <f t="shared" si="17"/>
        <v>70401.319999999978</v>
      </c>
      <c r="AV24" s="59">
        <f t="shared" si="84"/>
        <v>232732.68365599992</v>
      </c>
      <c r="AW24" s="60">
        <f t="shared" si="18"/>
        <v>68093.079999999973</v>
      </c>
      <c r="AX24" s="59">
        <f t="shared" si="85"/>
        <v>225102.10386399992</v>
      </c>
      <c r="AY24" s="55">
        <f t="shared" si="19"/>
        <v>65784.839999999982</v>
      </c>
      <c r="AZ24" s="59">
        <f t="shared" si="86"/>
        <v>217471.52407199994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105024.92000000001</v>
      </c>
      <c r="CA24" s="55">
        <f t="shared" si="89"/>
        <v>105024.92000000001</v>
      </c>
      <c r="CB24" s="59">
        <f t="shared" si="90"/>
        <v>347191.38053600007</v>
      </c>
      <c r="CC24" s="55">
        <f t="shared" si="91"/>
        <v>101874.17240000001</v>
      </c>
      <c r="CD24" s="59">
        <f t="shared" si="92"/>
        <v>336775.63911992003</v>
      </c>
      <c r="CE24" s="55">
        <f t="shared" si="93"/>
        <v>99773.674000000014</v>
      </c>
      <c r="CF24" s="59">
        <f t="shared" si="94"/>
        <v>329831.81150920008</v>
      </c>
      <c r="CG24" s="55">
        <f t="shared" si="21"/>
        <v>97673.175600000017</v>
      </c>
      <c r="CH24" s="59">
        <f t="shared" si="95"/>
        <v>322887.98389848007</v>
      </c>
      <c r="CI24" s="57">
        <f t="shared" si="22"/>
        <v>95572.67720000002</v>
      </c>
      <c r="CJ24" s="59">
        <f t="shared" si="96"/>
        <v>315944.15628776007</v>
      </c>
      <c r="CK24" s="55">
        <f t="shared" si="23"/>
        <v>93472.178800000009</v>
      </c>
      <c r="CL24" s="59">
        <f t="shared" si="97"/>
        <v>309000.32867704006</v>
      </c>
      <c r="CM24" s="57">
        <f t="shared" si="24"/>
        <v>91371.680400000012</v>
      </c>
      <c r="CN24" s="59">
        <f t="shared" si="98"/>
        <v>302056.50106632005</v>
      </c>
      <c r="CO24" s="60">
        <f t="shared" si="25"/>
        <v>89271.182000000015</v>
      </c>
      <c r="CP24" s="59">
        <f t="shared" si="99"/>
        <v>295112.67345560004</v>
      </c>
      <c r="CQ24" s="57">
        <f t="shared" si="26"/>
        <v>87170.683600000004</v>
      </c>
      <c r="CR24" s="59">
        <f t="shared" si="100"/>
        <v>288168.84584488004</v>
      </c>
      <c r="CS24" s="55">
        <f t="shared" si="27"/>
        <v>85070.185200000007</v>
      </c>
      <c r="CT24" s="59">
        <f t="shared" si="101"/>
        <v>281225.01823416003</v>
      </c>
      <c r="CU24" s="60">
        <f t="shared" si="28"/>
        <v>82969.686799999996</v>
      </c>
      <c r="CV24" s="59">
        <f t="shared" si="102"/>
        <v>274281.19062343996</v>
      </c>
      <c r="CW24" s="60">
        <f t="shared" si="29"/>
        <v>80869.188399999999</v>
      </c>
      <c r="CX24" s="59">
        <f t="shared" si="103"/>
        <v>267337.36301272002</v>
      </c>
      <c r="CY24" s="60">
        <f t="shared" si="30"/>
        <v>78768.69</v>
      </c>
      <c r="CZ24" s="59">
        <f t="shared" si="104"/>
        <v>260393.53540200001</v>
      </c>
      <c r="DA24" s="55">
        <f t="shared" si="31"/>
        <v>76668.191599999991</v>
      </c>
      <c r="DB24" s="59">
        <f t="shared" si="105"/>
        <v>253449.70779127997</v>
      </c>
      <c r="DC24" s="60">
        <f t="shared" si="32"/>
        <v>74567.693199999994</v>
      </c>
      <c r="DD24" s="59">
        <f t="shared" si="106"/>
        <v>246505.88018055999</v>
      </c>
      <c r="DE24" s="60">
        <f t="shared" si="33"/>
        <v>72467.194799999997</v>
      </c>
      <c r="DF24" s="59">
        <f t="shared" si="107"/>
        <v>239562.05256983999</v>
      </c>
      <c r="DG24" s="60">
        <f t="shared" si="34"/>
        <v>70366.696399999986</v>
      </c>
      <c r="DH24" s="59">
        <f t="shared" si="108"/>
        <v>232618.22495911995</v>
      </c>
      <c r="DI24" s="60">
        <f t="shared" si="35"/>
        <v>68266.197999999989</v>
      </c>
      <c r="DJ24" s="59">
        <f t="shared" si="109"/>
        <v>225674.39734839997</v>
      </c>
      <c r="DK24" s="55">
        <f t="shared" si="36"/>
        <v>66165.699599999978</v>
      </c>
      <c r="DL24" s="59">
        <f t="shared" si="110"/>
        <v>218730.56973767994</v>
      </c>
      <c r="DM24" s="60">
        <f t="shared" si="37"/>
        <v>64065.201199999981</v>
      </c>
      <c r="DN24" s="59">
        <f t="shared" si="111"/>
        <v>211786.74212695993</v>
      </c>
      <c r="DO24" s="60">
        <f t="shared" si="38"/>
        <v>61964.702799999985</v>
      </c>
      <c r="DP24" s="59">
        <f t="shared" si="112"/>
        <v>204842.91451623995</v>
      </c>
      <c r="DQ24" s="55">
        <f t="shared" si="39"/>
        <v>59864.204399999981</v>
      </c>
      <c r="DR24" s="59">
        <f t="shared" si="113"/>
        <v>197899.08690551994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95572.67720000002</v>
      </c>
      <c r="ES24" s="55">
        <f t="shared" si="116"/>
        <v>95572.67720000002</v>
      </c>
      <c r="ET24" s="59">
        <f t="shared" si="117"/>
        <v>315944.15628776007</v>
      </c>
      <c r="EU24" s="55">
        <f t="shared" si="118"/>
        <v>92705.496884000022</v>
      </c>
      <c r="EV24" s="59">
        <f t="shared" si="119"/>
        <v>306465.83159912727</v>
      </c>
      <c r="EW24" s="55">
        <f t="shared" si="120"/>
        <v>90794.043340000018</v>
      </c>
      <c r="EX24" s="59">
        <f t="shared" si="121"/>
        <v>300146.94847337209</v>
      </c>
      <c r="EY24" s="55">
        <f t="shared" si="41"/>
        <v>88882.589796000029</v>
      </c>
      <c r="EZ24" s="59">
        <f t="shared" si="122"/>
        <v>293828.06534761691</v>
      </c>
      <c r="FA24" s="57">
        <f t="shared" si="42"/>
        <v>86971.136252000026</v>
      </c>
      <c r="FB24" s="59">
        <f t="shared" si="123"/>
        <v>287509.18222186167</v>
      </c>
      <c r="FC24" s="55">
        <f t="shared" si="43"/>
        <v>85059.682708000022</v>
      </c>
      <c r="FD24" s="59">
        <f t="shared" si="124"/>
        <v>281190.29909610649</v>
      </c>
      <c r="FE24" s="57">
        <f t="shared" si="44"/>
        <v>83148.229164000018</v>
      </c>
      <c r="FF24" s="59">
        <f t="shared" si="125"/>
        <v>274871.41597035126</v>
      </c>
      <c r="FG24" s="60">
        <f t="shared" si="45"/>
        <v>81236.775620000015</v>
      </c>
      <c r="FH24" s="59">
        <f t="shared" si="126"/>
        <v>268552.53284459608</v>
      </c>
      <c r="FI24" s="57">
        <f t="shared" si="46"/>
        <v>79325.322076000011</v>
      </c>
      <c r="FJ24" s="59">
        <f t="shared" si="127"/>
        <v>262233.64971884084</v>
      </c>
      <c r="FK24" s="55">
        <f t="shared" si="47"/>
        <v>77413.868532000008</v>
      </c>
      <c r="FL24" s="59">
        <f t="shared" si="128"/>
        <v>255914.76659308563</v>
      </c>
      <c r="FM24" s="60">
        <f t="shared" si="48"/>
        <v>75502.414988000004</v>
      </c>
      <c r="FN24" s="59">
        <f t="shared" si="129"/>
        <v>249595.88346733042</v>
      </c>
      <c r="FO24" s="60">
        <f t="shared" si="49"/>
        <v>73590.961444</v>
      </c>
      <c r="FP24" s="59">
        <f t="shared" si="130"/>
        <v>243277.00034157521</v>
      </c>
      <c r="FQ24" s="60">
        <f t="shared" si="50"/>
        <v>71679.507900000011</v>
      </c>
      <c r="FR24" s="59">
        <f t="shared" si="131"/>
        <v>236958.11721582004</v>
      </c>
      <c r="FS24" s="55">
        <f t="shared" si="51"/>
        <v>69768.054356000008</v>
      </c>
      <c r="FT24" s="59">
        <f t="shared" si="132"/>
        <v>230639.23409006483</v>
      </c>
      <c r="FU24" s="60">
        <f t="shared" si="52"/>
        <v>67856.600812000004</v>
      </c>
      <c r="FV24" s="59">
        <f t="shared" si="133"/>
        <v>224320.35096430962</v>
      </c>
      <c r="FW24" s="60">
        <f t="shared" si="53"/>
        <v>65945.147268000001</v>
      </c>
      <c r="FX24" s="59">
        <f t="shared" si="134"/>
        <v>218001.46783855441</v>
      </c>
      <c r="FY24" s="60">
        <f t="shared" si="54"/>
        <v>64033.693723999997</v>
      </c>
      <c r="FZ24" s="59">
        <f t="shared" si="135"/>
        <v>211682.5847127992</v>
      </c>
      <c r="GA24" s="60">
        <f t="shared" si="55"/>
        <v>62122.240179999993</v>
      </c>
      <c r="GB24" s="59">
        <f t="shared" si="136"/>
        <v>205363.70158704399</v>
      </c>
      <c r="GC24" s="55">
        <f t="shared" si="56"/>
        <v>60210.78663599999</v>
      </c>
      <c r="GD24" s="59">
        <f t="shared" si="137"/>
        <v>199044.81846128876</v>
      </c>
      <c r="GE24" s="60">
        <f t="shared" si="57"/>
        <v>58299.333091999986</v>
      </c>
      <c r="GF24" s="59">
        <f t="shared" si="138"/>
        <v>192725.93533553355</v>
      </c>
      <c r="GG24" s="60">
        <f t="shared" si="58"/>
        <v>56387.87954799999</v>
      </c>
      <c r="GH24" s="59">
        <f t="shared" si="139"/>
        <v>186407.05220977837</v>
      </c>
      <c r="GI24" s="55">
        <f t="shared" si="59"/>
        <v>54476.426003999986</v>
      </c>
      <c r="GJ24" s="59">
        <f t="shared" si="140"/>
        <v>180088.16908402316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51750</v>
      </c>
      <c r="E25" s="67">
        <f t="shared" si="0"/>
        <v>171070</v>
      </c>
      <c r="H25" s="55">
        <f t="shared" si="61"/>
        <v>188177.00000000003</v>
      </c>
      <c r="I25" s="55">
        <f t="shared" si="62"/>
        <v>188177.00000000003</v>
      </c>
      <c r="J25" s="59">
        <f t="shared" si="63"/>
        <v>622075.5266000001</v>
      </c>
      <c r="K25" s="55">
        <f t="shared" si="64"/>
        <v>182531.69000000003</v>
      </c>
      <c r="L25" s="59">
        <f t="shared" si="65"/>
        <v>603413.26080200006</v>
      </c>
      <c r="M25" s="55">
        <f t="shared" si="66"/>
        <v>178768.15000000002</v>
      </c>
      <c r="N25" s="59">
        <f t="shared" si="67"/>
        <v>590971.75027000008</v>
      </c>
      <c r="O25" s="55">
        <f t="shared" si="1"/>
        <v>175004.61000000004</v>
      </c>
      <c r="P25" s="59">
        <f t="shared" si="68"/>
        <v>578530.23973800021</v>
      </c>
      <c r="Q25" s="57">
        <f t="shared" si="2"/>
        <v>171241.07000000004</v>
      </c>
      <c r="R25" s="59">
        <f t="shared" si="69"/>
        <v>566088.72920600011</v>
      </c>
      <c r="S25" s="55">
        <f t="shared" si="3"/>
        <v>167477.53000000003</v>
      </c>
      <c r="T25" s="59">
        <f t="shared" si="70"/>
        <v>553647.21867400012</v>
      </c>
      <c r="U25" s="57">
        <f t="shared" si="4"/>
        <v>163713.99000000002</v>
      </c>
      <c r="V25" s="59">
        <f t="shared" si="71"/>
        <v>541205.70814200013</v>
      </c>
      <c r="W25" s="60">
        <f t="shared" si="5"/>
        <v>159950.45000000001</v>
      </c>
      <c r="X25" s="59">
        <f t="shared" si="72"/>
        <v>528764.19761000003</v>
      </c>
      <c r="Y25" s="57">
        <f t="shared" si="6"/>
        <v>156186.91</v>
      </c>
      <c r="Z25" s="59">
        <f t="shared" si="73"/>
        <v>516322.68707800005</v>
      </c>
      <c r="AA25" s="55">
        <f t="shared" si="7"/>
        <v>152423.37000000002</v>
      </c>
      <c r="AB25" s="59">
        <f t="shared" si="74"/>
        <v>503881.17654600012</v>
      </c>
      <c r="AC25" s="60">
        <f t="shared" si="8"/>
        <v>148659.83000000002</v>
      </c>
      <c r="AD25" s="59">
        <f t="shared" si="75"/>
        <v>491439.66601400007</v>
      </c>
      <c r="AE25" s="60">
        <f t="shared" si="9"/>
        <v>144896.29</v>
      </c>
      <c r="AF25" s="59">
        <f t="shared" si="76"/>
        <v>478998.15548200003</v>
      </c>
      <c r="AG25" s="60">
        <f t="shared" si="10"/>
        <v>141132.75</v>
      </c>
      <c r="AH25" s="59">
        <f t="shared" si="77"/>
        <v>466556.64494999999</v>
      </c>
      <c r="AI25" s="55">
        <f t="shared" si="11"/>
        <v>137369.21</v>
      </c>
      <c r="AJ25" s="59">
        <f t="shared" si="78"/>
        <v>454115.134418</v>
      </c>
      <c r="AK25" s="60">
        <f t="shared" si="12"/>
        <v>133605.66999999998</v>
      </c>
      <c r="AL25" s="59">
        <f t="shared" si="79"/>
        <v>441673.62388599996</v>
      </c>
      <c r="AM25" s="60">
        <f t="shared" si="13"/>
        <v>129842.12999999999</v>
      </c>
      <c r="AN25" s="59">
        <f t="shared" si="80"/>
        <v>429232.11335399997</v>
      </c>
      <c r="AO25" s="60">
        <f t="shared" si="14"/>
        <v>126078.58999999998</v>
      </c>
      <c r="AP25" s="59">
        <f t="shared" si="81"/>
        <v>416790.60282199993</v>
      </c>
      <c r="AQ25" s="60">
        <f t="shared" si="15"/>
        <v>122315.04999999999</v>
      </c>
      <c r="AR25" s="59">
        <f t="shared" si="82"/>
        <v>404349.09228999994</v>
      </c>
      <c r="AS25" s="55">
        <f t="shared" si="16"/>
        <v>118551.50999999998</v>
      </c>
      <c r="AT25" s="59">
        <f t="shared" si="83"/>
        <v>391907.58175799996</v>
      </c>
      <c r="AU25" s="60">
        <f t="shared" si="17"/>
        <v>114787.96999999997</v>
      </c>
      <c r="AV25" s="59">
        <f t="shared" si="84"/>
        <v>379466.07122599991</v>
      </c>
      <c r="AW25" s="60">
        <f t="shared" si="18"/>
        <v>111024.42999999996</v>
      </c>
      <c r="AX25" s="59">
        <f t="shared" si="85"/>
        <v>367024.56069399987</v>
      </c>
      <c r="AY25" s="55">
        <f t="shared" si="19"/>
        <v>107260.88999999997</v>
      </c>
      <c r="AZ25" s="59">
        <f t="shared" si="86"/>
        <v>354583.05016199988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171241.07000000004</v>
      </c>
      <c r="CA25" s="55">
        <f t="shared" si="89"/>
        <v>171241.07000000004</v>
      </c>
      <c r="CB25" s="59">
        <f t="shared" si="90"/>
        <v>566088.72920600011</v>
      </c>
      <c r="CC25" s="55">
        <f t="shared" si="91"/>
        <v>166103.83790000004</v>
      </c>
      <c r="CD25" s="59">
        <f t="shared" si="92"/>
        <v>549106.06732982013</v>
      </c>
      <c r="CE25" s="55">
        <f t="shared" si="93"/>
        <v>162679.01650000003</v>
      </c>
      <c r="CF25" s="59">
        <f t="shared" si="94"/>
        <v>537784.29274570011</v>
      </c>
      <c r="CG25" s="55">
        <f t="shared" si="21"/>
        <v>159254.19510000004</v>
      </c>
      <c r="CH25" s="59">
        <f t="shared" si="95"/>
        <v>526462.5181615802</v>
      </c>
      <c r="CI25" s="57">
        <f t="shared" si="22"/>
        <v>155829.37370000003</v>
      </c>
      <c r="CJ25" s="59">
        <f t="shared" si="96"/>
        <v>515140.74357746012</v>
      </c>
      <c r="CK25" s="55">
        <f t="shared" si="23"/>
        <v>152404.55230000004</v>
      </c>
      <c r="CL25" s="59">
        <f t="shared" si="97"/>
        <v>503818.96899334015</v>
      </c>
      <c r="CM25" s="57">
        <f t="shared" si="24"/>
        <v>148979.73090000002</v>
      </c>
      <c r="CN25" s="59">
        <f t="shared" si="98"/>
        <v>492497.19440922007</v>
      </c>
      <c r="CO25" s="60">
        <f t="shared" si="25"/>
        <v>145554.90950000004</v>
      </c>
      <c r="CP25" s="59">
        <f t="shared" si="99"/>
        <v>481175.41982510011</v>
      </c>
      <c r="CQ25" s="57">
        <f t="shared" si="26"/>
        <v>142130.08810000002</v>
      </c>
      <c r="CR25" s="59">
        <f t="shared" si="100"/>
        <v>469853.64524098008</v>
      </c>
      <c r="CS25" s="55">
        <f t="shared" si="27"/>
        <v>138705.26670000001</v>
      </c>
      <c r="CT25" s="59">
        <f t="shared" si="101"/>
        <v>458531.87065686006</v>
      </c>
      <c r="CU25" s="60">
        <f t="shared" si="28"/>
        <v>135280.44530000002</v>
      </c>
      <c r="CV25" s="59">
        <f t="shared" si="102"/>
        <v>447210.0960727401</v>
      </c>
      <c r="CW25" s="60">
        <f t="shared" si="29"/>
        <v>131855.62390000001</v>
      </c>
      <c r="CX25" s="59">
        <f t="shared" si="103"/>
        <v>435888.32148862001</v>
      </c>
      <c r="CY25" s="60">
        <f t="shared" si="30"/>
        <v>128430.80250000001</v>
      </c>
      <c r="CZ25" s="59">
        <f t="shared" si="104"/>
        <v>424566.54690450005</v>
      </c>
      <c r="DA25" s="55">
        <f t="shared" si="31"/>
        <v>125005.9811</v>
      </c>
      <c r="DB25" s="59">
        <f t="shared" si="105"/>
        <v>413244.77232038003</v>
      </c>
      <c r="DC25" s="60">
        <f t="shared" si="32"/>
        <v>121581.1597</v>
      </c>
      <c r="DD25" s="59">
        <f t="shared" si="106"/>
        <v>401922.99773626</v>
      </c>
      <c r="DE25" s="60">
        <f t="shared" si="33"/>
        <v>118156.3383</v>
      </c>
      <c r="DF25" s="59">
        <f t="shared" si="107"/>
        <v>390601.22315214004</v>
      </c>
      <c r="DG25" s="60">
        <f t="shared" si="34"/>
        <v>114731.51689999999</v>
      </c>
      <c r="DH25" s="59">
        <f t="shared" si="108"/>
        <v>379279.44856801996</v>
      </c>
      <c r="DI25" s="60">
        <f t="shared" si="35"/>
        <v>111306.69549999999</v>
      </c>
      <c r="DJ25" s="59">
        <f t="shared" si="109"/>
        <v>367957.67398389999</v>
      </c>
      <c r="DK25" s="55">
        <f t="shared" si="36"/>
        <v>107881.87409999999</v>
      </c>
      <c r="DL25" s="59">
        <f t="shared" si="110"/>
        <v>356635.89939977997</v>
      </c>
      <c r="DM25" s="60">
        <f t="shared" si="37"/>
        <v>104457.05269999999</v>
      </c>
      <c r="DN25" s="59">
        <f t="shared" si="111"/>
        <v>345314.12481565995</v>
      </c>
      <c r="DO25" s="60">
        <f t="shared" si="38"/>
        <v>101032.23129999998</v>
      </c>
      <c r="DP25" s="59">
        <f t="shared" si="112"/>
        <v>333992.35023153998</v>
      </c>
      <c r="DQ25" s="55">
        <f t="shared" si="39"/>
        <v>97607.40989999997</v>
      </c>
      <c r="DR25" s="59">
        <f t="shared" si="113"/>
        <v>322670.5756474199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155829.37370000003</v>
      </c>
      <c r="ES25" s="55">
        <f t="shared" si="116"/>
        <v>155829.37370000003</v>
      </c>
      <c r="ET25" s="59">
        <f t="shared" si="117"/>
        <v>515140.74357746012</v>
      </c>
      <c r="EU25" s="55">
        <f t="shared" si="118"/>
        <v>151154.49248900003</v>
      </c>
      <c r="EV25" s="59">
        <f t="shared" si="119"/>
        <v>499686.52127013629</v>
      </c>
      <c r="EW25" s="55">
        <f t="shared" si="120"/>
        <v>148037.90501500003</v>
      </c>
      <c r="EX25" s="59">
        <f t="shared" si="121"/>
        <v>489383.70639858709</v>
      </c>
      <c r="EY25" s="55">
        <f t="shared" si="41"/>
        <v>144921.31754100003</v>
      </c>
      <c r="EZ25" s="59">
        <f t="shared" si="122"/>
        <v>479080.89152703789</v>
      </c>
      <c r="FA25" s="57">
        <f t="shared" si="42"/>
        <v>141804.73006700003</v>
      </c>
      <c r="FB25" s="59">
        <f t="shared" si="123"/>
        <v>468778.07665548869</v>
      </c>
      <c r="FC25" s="55">
        <f t="shared" si="43"/>
        <v>138688.14259300003</v>
      </c>
      <c r="FD25" s="59">
        <f t="shared" si="124"/>
        <v>458475.2617839395</v>
      </c>
      <c r="FE25" s="57">
        <f t="shared" si="44"/>
        <v>135571.55511900003</v>
      </c>
      <c r="FF25" s="59">
        <f t="shared" si="125"/>
        <v>448172.4469123903</v>
      </c>
      <c r="FG25" s="60">
        <f t="shared" si="45"/>
        <v>132454.96764500003</v>
      </c>
      <c r="FH25" s="59">
        <f t="shared" si="126"/>
        <v>437869.6320408411</v>
      </c>
      <c r="FI25" s="57">
        <f t="shared" si="46"/>
        <v>129338.38017100001</v>
      </c>
      <c r="FJ25" s="59">
        <f t="shared" si="127"/>
        <v>427566.81716929184</v>
      </c>
      <c r="FK25" s="55">
        <f t="shared" si="47"/>
        <v>126221.79269700001</v>
      </c>
      <c r="FL25" s="59">
        <f t="shared" si="128"/>
        <v>417264.00229774264</v>
      </c>
      <c r="FM25" s="60">
        <f t="shared" si="48"/>
        <v>123105.20522300001</v>
      </c>
      <c r="FN25" s="59">
        <f t="shared" si="129"/>
        <v>406961.18742619344</v>
      </c>
      <c r="FO25" s="60">
        <f t="shared" si="49"/>
        <v>119988.61774900001</v>
      </c>
      <c r="FP25" s="59">
        <f t="shared" si="130"/>
        <v>396658.37255464424</v>
      </c>
      <c r="FQ25" s="60">
        <f t="shared" si="50"/>
        <v>116872.030275</v>
      </c>
      <c r="FR25" s="59">
        <f t="shared" si="131"/>
        <v>386355.55768309499</v>
      </c>
      <c r="FS25" s="55">
        <f t="shared" si="51"/>
        <v>113755.442801</v>
      </c>
      <c r="FT25" s="59">
        <f t="shared" si="132"/>
        <v>376052.74281154579</v>
      </c>
      <c r="FU25" s="60">
        <f t="shared" si="52"/>
        <v>110638.855327</v>
      </c>
      <c r="FV25" s="59">
        <f t="shared" si="133"/>
        <v>365749.92793999659</v>
      </c>
      <c r="FW25" s="60">
        <f t="shared" si="53"/>
        <v>107522.267853</v>
      </c>
      <c r="FX25" s="59">
        <f t="shared" si="134"/>
        <v>355447.11306844739</v>
      </c>
      <c r="FY25" s="60">
        <f t="shared" si="54"/>
        <v>104405.68037899998</v>
      </c>
      <c r="FZ25" s="59">
        <f t="shared" si="135"/>
        <v>345144.29819689813</v>
      </c>
      <c r="GA25" s="60">
        <f t="shared" si="55"/>
        <v>101289.09290499998</v>
      </c>
      <c r="GB25" s="59">
        <f t="shared" si="136"/>
        <v>334841.48332534893</v>
      </c>
      <c r="GC25" s="55">
        <f t="shared" si="56"/>
        <v>98172.505430999983</v>
      </c>
      <c r="GD25" s="59">
        <f t="shared" si="137"/>
        <v>324538.66845379974</v>
      </c>
      <c r="GE25" s="60">
        <f t="shared" si="57"/>
        <v>95055.917956999983</v>
      </c>
      <c r="GF25" s="59">
        <f t="shared" si="138"/>
        <v>314235.85358225054</v>
      </c>
      <c r="GG25" s="60">
        <f t="shared" si="58"/>
        <v>91939.330482999969</v>
      </c>
      <c r="GH25" s="59">
        <f t="shared" si="139"/>
        <v>303933.03871070128</v>
      </c>
      <c r="GI25" s="55">
        <f t="shared" si="59"/>
        <v>88822.743008999969</v>
      </c>
      <c r="GJ25" s="59">
        <f t="shared" si="140"/>
        <v>293630.22383915208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0</v>
      </c>
      <c r="E26" s="67">
        <f t="shared" si="0"/>
        <v>0</v>
      </c>
      <c r="H26" s="55">
        <f t="shared" si="61"/>
        <v>0</v>
      </c>
      <c r="I26" s="55">
        <f t="shared" si="62"/>
        <v>0</v>
      </c>
      <c r="J26" s="59">
        <f t="shared" si="63"/>
        <v>0</v>
      </c>
      <c r="K26" s="55">
        <f t="shared" si="64"/>
        <v>0</v>
      </c>
      <c r="L26" s="59">
        <f t="shared" si="65"/>
        <v>0</v>
      </c>
      <c r="M26" s="55">
        <f t="shared" si="66"/>
        <v>0</v>
      </c>
      <c r="N26" s="59">
        <f t="shared" si="67"/>
        <v>0</v>
      </c>
      <c r="O26" s="55">
        <f t="shared" si="1"/>
        <v>0</v>
      </c>
      <c r="P26" s="59">
        <f t="shared" si="68"/>
        <v>0</v>
      </c>
      <c r="Q26" s="57">
        <f t="shared" si="2"/>
        <v>0</v>
      </c>
      <c r="R26" s="59">
        <f t="shared" si="69"/>
        <v>0</v>
      </c>
      <c r="S26" s="55">
        <f t="shared" si="3"/>
        <v>0</v>
      </c>
      <c r="T26" s="59">
        <f t="shared" si="70"/>
        <v>0</v>
      </c>
      <c r="U26" s="57">
        <f t="shared" si="4"/>
        <v>0</v>
      </c>
      <c r="V26" s="59">
        <f t="shared" si="71"/>
        <v>0</v>
      </c>
      <c r="W26" s="60">
        <f t="shared" si="5"/>
        <v>0</v>
      </c>
      <c r="X26" s="59">
        <f t="shared" si="72"/>
        <v>0</v>
      </c>
      <c r="Y26" s="57">
        <f t="shared" si="6"/>
        <v>0</v>
      </c>
      <c r="Z26" s="59">
        <f t="shared" si="73"/>
        <v>0</v>
      </c>
      <c r="AA26" s="55">
        <f t="shared" si="7"/>
        <v>0</v>
      </c>
      <c r="AB26" s="59">
        <f t="shared" si="74"/>
        <v>0</v>
      </c>
      <c r="AC26" s="60">
        <f t="shared" si="8"/>
        <v>0</v>
      </c>
      <c r="AD26" s="59">
        <f t="shared" si="75"/>
        <v>0</v>
      </c>
      <c r="AE26" s="60">
        <f t="shared" si="9"/>
        <v>0</v>
      </c>
      <c r="AF26" s="59">
        <f t="shared" si="76"/>
        <v>0</v>
      </c>
      <c r="AG26" s="60">
        <f t="shared" si="10"/>
        <v>0</v>
      </c>
      <c r="AH26" s="59">
        <f t="shared" si="77"/>
        <v>0</v>
      </c>
      <c r="AI26" s="55">
        <f t="shared" si="11"/>
        <v>0</v>
      </c>
      <c r="AJ26" s="59">
        <f t="shared" si="78"/>
        <v>0</v>
      </c>
      <c r="AK26" s="60">
        <f t="shared" si="12"/>
        <v>0</v>
      </c>
      <c r="AL26" s="59">
        <f t="shared" si="79"/>
        <v>0</v>
      </c>
      <c r="AM26" s="60">
        <f t="shared" si="13"/>
        <v>0</v>
      </c>
      <c r="AN26" s="59">
        <f t="shared" si="80"/>
        <v>0</v>
      </c>
      <c r="AO26" s="60">
        <f t="shared" si="14"/>
        <v>0</v>
      </c>
      <c r="AP26" s="59">
        <f t="shared" si="81"/>
        <v>0</v>
      </c>
      <c r="AQ26" s="60">
        <f t="shared" si="15"/>
        <v>0</v>
      </c>
      <c r="AR26" s="59">
        <f t="shared" si="82"/>
        <v>0</v>
      </c>
      <c r="AS26" s="55">
        <f t="shared" si="16"/>
        <v>0</v>
      </c>
      <c r="AT26" s="59">
        <f t="shared" si="83"/>
        <v>0</v>
      </c>
      <c r="AU26" s="60">
        <f t="shared" si="17"/>
        <v>0</v>
      </c>
      <c r="AV26" s="59">
        <f t="shared" si="84"/>
        <v>0</v>
      </c>
      <c r="AW26" s="60">
        <f t="shared" si="18"/>
        <v>0</v>
      </c>
      <c r="AX26" s="59">
        <f t="shared" si="85"/>
        <v>0</v>
      </c>
      <c r="AY26" s="55">
        <f t="shared" si="19"/>
        <v>0</v>
      </c>
      <c r="AZ26" s="59">
        <f t="shared" si="86"/>
        <v>0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0</v>
      </c>
      <c r="CA26" s="55">
        <f t="shared" si="89"/>
        <v>0</v>
      </c>
      <c r="CB26" s="59">
        <f t="shared" si="90"/>
        <v>0</v>
      </c>
      <c r="CC26" s="55">
        <f t="shared" si="91"/>
        <v>0</v>
      </c>
      <c r="CD26" s="59">
        <f t="shared" si="92"/>
        <v>0</v>
      </c>
      <c r="CE26" s="55">
        <f t="shared" si="93"/>
        <v>0</v>
      </c>
      <c r="CF26" s="59">
        <f t="shared" si="94"/>
        <v>0</v>
      </c>
      <c r="CG26" s="55">
        <f t="shared" si="21"/>
        <v>0</v>
      </c>
      <c r="CH26" s="59">
        <f t="shared" si="95"/>
        <v>0</v>
      </c>
      <c r="CI26" s="57">
        <f t="shared" si="22"/>
        <v>0</v>
      </c>
      <c r="CJ26" s="59">
        <f t="shared" si="96"/>
        <v>0</v>
      </c>
      <c r="CK26" s="55">
        <f t="shared" si="23"/>
        <v>0</v>
      </c>
      <c r="CL26" s="59">
        <f t="shared" si="97"/>
        <v>0</v>
      </c>
      <c r="CM26" s="57">
        <f t="shared" si="24"/>
        <v>0</v>
      </c>
      <c r="CN26" s="59">
        <f t="shared" si="98"/>
        <v>0</v>
      </c>
      <c r="CO26" s="60">
        <f t="shared" si="25"/>
        <v>0</v>
      </c>
      <c r="CP26" s="59">
        <f t="shared" si="99"/>
        <v>0</v>
      </c>
      <c r="CQ26" s="57">
        <f t="shared" si="26"/>
        <v>0</v>
      </c>
      <c r="CR26" s="59">
        <f t="shared" si="100"/>
        <v>0</v>
      </c>
      <c r="CS26" s="55">
        <f t="shared" si="27"/>
        <v>0</v>
      </c>
      <c r="CT26" s="59">
        <f t="shared" si="101"/>
        <v>0</v>
      </c>
      <c r="CU26" s="60">
        <f t="shared" si="28"/>
        <v>0</v>
      </c>
      <c r="CV26" s="59">
        <f t="shared" si="102"/>
        <v>0</v>
      </c>
      <c r="CW26" s="60">
        <f t="shared" si="29"/>
        <v>0</v>
      </c>
      <c r="CX26" s="59">
        <f t="shared" si="103"/>
        <v>0</v>
      </c>
      <c r="CY26" s="60">
        <f t="shared" si="30"/>
        <v>0</v>
      </c>
      <c r="CZ26" s="59">
        <f t="shared" si="104"/>
        <v>0</v>
      </c>
      <c r="DA26" s="55">
        <f t="shared" si="31"/>
        <v>0</v>
      </c>
      <c r="DB26" s="59">
        <f t="shared" si="105"/>
        <v>0</v>
      </c>
      <c r="DC26" s="60">
        <f t="shared" si="32"/>
        <v>0</v>
      </c>
      <c r="DD26" s="59">
        <f t="shared" si="106"/>
        <v>0</v>
      </c>
      <c r="DE26" s="60">
        <f t="shared" si="33"/>
        <v>0</v>
      </c>
      <c r="DF26" s="59">
        <f t="shared" si="107"/>
        <v>0</v>
      </c>
      <c r="DG26" s="60">
        <f t="shared" si="34"/>
        <v>0</v>
      </c>
      <c r="DH26" s="59">
        <f t="shared" si="108"/>
        <v>0</v>
      </c>
      <c r="DI26" s="60">
        <f t="shared" si="35"/>
        <v>0</v>
      </c>
      <c r="DJ26" s="59">
        <f t="shared" si="109"/>
        <v>0</v>
      </c>
      <c r="DK26" s="55">
        <f t="shared" si="36"/>
        <v>0</v>
      </c>
      <c r="DL26" s="59">
        <f t="shared" si="110"/>
        <v>0</v>
      </c>
      <c r="DM26" s="60">
        <f t="shared" si="37"/>
        <v>0</v>
      </c>
      <c r="DN26" s="59">
        <f t="shared" si="111"/>
        <v>0</v>
      </c>
      <c r="DO26" s="60">
        <f t="shared" si="38"/>
        <v>0</v>
      </c>
      <c r="DP26" s="59">
        <f t="shared" si="112"/>
        <v>0</v>
      </c>
      <c r="DQ26" s="55">
        <f t="shared" si="39"/>
        <v>0</v>
      </c>
      <c r="DR26" s="59">
        <f t="shared" si="113"/>
        <v>0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0</v>
      </c>
      <c r="ES26" s="55">
        <f t="shared" si="116"/>
        <v>0</v>
      </c>
      <c r="ET26" s="59">
        <f t="shared" si="117"/>
        <v>0</v>
      </c>
      <c r="EU26" s="55">
        <f t="shared" si="118"/>
        <v>0</v>
      </c>
      <c r="EV26" s="59">
        <f t="shared" si="119"/>
        <v>0</v>
      </c>
      <c r="EW26" s="55">
        <f t="shared" si="120"/>
        <v>0</v>
      </c>
      <c r="EX26" s="59">
        <f t="shared" si="121"/>
        <v>0</v>
      </c>
      <c r="EY26" s="55">
        <f t="shared" si="41"/>
        <v>0</v>
      </c>
      <c r="EZ26" s="59">
        <f t="shared" si="122"/>
        <v>0</v>
      </c>
      <c r="FA26" s="57">
        <f t="shared" si="42"/>
        <v>0</v>
      </c>
      <c r="FB26" s="59">
        <f t="shared" si="123"/>
        <v>0</v>
      </c>
      <c r="FC26" s="55">
        <f t="shared" si="43"/>
        <v>0</v>
      </c>
      <c r="FD26" s="59">
        <f t="shared" si="124"/>
        <v>0</v>
      </c>
      <c r="FE26" s="57">
        <f t="shared" si="44"/>
        <v>0</v>
      </c>
      <c r="FF26" s="59">
        <f t="shared" si="125"/>
        <v>0</v>
      </c>
      <c r="FG26" s="60">
        <f t="shared" si="45"/>
        <v>0</v>
      </c>
      <c r="FH26" s="59">
        <f t="shared" si="126"/>
        <v>0</v>
      </c>
      <c r="FI26" s="57">
        <f t="shared" si="46"/>
        <v>0</v>
      </c>
      <c r="FJ26" s="59">
        <f t="shared" si="127"/>
        <v>0</v>
      </c>
      <c r="FK26" s="55">
        <f t="shared" si="47"/>
        <v>0</v>
      </c>
      <c r="FL26" s="59">
        <f t="shared" si="128"/>
        <v>0</v>
      </c>
      <c r="FM26" s="60">
        <f t="shared" si="48"/>
        <v>0</v>
      </c>
      <c r="FN26" s="59">
        <f t="shared" si="129"/>
        <v>0</v>
      </c>
      <c r="FO26" s="60">
        <f t="shared" si="49"/>
        <v>0</v>
      </c>
      <c r="FP26" s="59">
        <f t="shared" si="130"/>
        <v>0</v>
      </c>
      <c r="FQ26" s="60">
        <f t="shared" si="50"/>
        <v>0</v>
      </c>
      <c r="FR26" s="59">
        <f t="shared" si="131"/>
        <v>0</v>
      </c>
      <c r="FS26" s="55">
        <f t="shared" si="51"/>
        <v>0</v>
      </c>
      <c r="FT26" s="59">
        <f t="shared" si="132"/>
        <v>0</v>
      </c>
      <c r="FU26" s="60">
        <f t="shared" si="52"/>
        <v>0</v>
      </c>
      <c r="FV26" s="59">
        <f t="shared" si="133"/>
        <v>0</v>
      </c>
      <c r="FW26" s="60">
        <f t="shared" si="53"/>
        <v>0</v>
      </c>
      <c r="FX26" s="59">
        <f t="shared" si="134"/>
        <v>0</v>
      </c>
      <c r="FY26" s="60">
        <f t="shared" si="54"/>
        <v>0</v>
      </c>
      <c r="FZ26" s="59">
        <f t="shared" si="135"/>
        <v>0</v>
      </c>
      <c r="GA26" s="60">
        <f t="shared" si="55"/>
        <v>0</v>
      </c>
      <c r="GB26" s="59">
        <f t="shared" si="136"/>
        <v>0</v>
      </c>
      <c r="GC26" s="55">
        <f t="shared" si="56"/>
        <v>0</v>
      </c>
      <c r="GD26" s="59">
        <f t="shared" si="137"/>
        <v>0</v>
      </c>
      <c r="GE26" s="60">
        <f t="shared" si="57"/>
        <v>0</v>
      </c>
      <c r="GF26" s="59">
        <f t="shared" si="138"/>
        <v>0</v>
      </c>
      <c r="GG26" s="60">
        <f t="shared" si="58"/>
        <v>0</v>
      </c>
      <c r="GH26" s="59">
        <f t="shared" si="139"/>
        <v>0</v>
      </c>
      <c r="GI26" s="55">
        <f t="shared" si="59"/>
        <v>0</v>
      </c>
      <c r="GJ26" s="59">
        <f t="shared" si="140"/>
        <v>0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156</v>
      </c>
      <c r="D27" s="53">
        <f>TRUNC(SUM(D18:D26)*0.275,-1)</f>
        <v>377790</v>
      </c>
      <c r="E27" s="68">
        <f t="shared" si="0"/>
        <v>1248890</v>
      </c>
      <c r="H27" s="55">
        <f t="shared" si="61"/>
        <v>1373779</v>
      </c>
      <c r="I27" s="55">
        <f t="shared" si="62"/>
        <v>1373779</v>
      </c>
      <c r="J27" s="59">
        <f t="shared" si="63"/>
        <v>4541438.6182000004</v>
      </c>
      <c r="K27" s="55">
        <f t="shared" si="64"/>
        <v>1332565.6299999999</v>
      </c>
      <c r="L27" s="59">
        <f t="shared" si="65"/>
        <v>4405195.4596539997</v>
      </c>
      <c r="M27" s="55">
        <f t="shared" si="66"/>
        <v>1305090.05</v>
      </c>
      <c r="N27" s="59">
        <f t="shared" si="67"/>
        <v>4314366.6872899998</v>
      </c>
      <c r="O27" s="55">
        <f t="shared" si="1"/>
        <v>1277614.47</v>
      </c>
      <c r="P27" s="59">
        <f t="shared" si="68"/>
        <v>4223537.9149259999</v>
      </c>
      <c r="Q27" s="57">
        <f t="shared" si="2"/>
        <v>1250138.8900000001</v>
      </c>
      <c r="R27" s="59">
        <f t="shared" si="69"/>
        <v>4132709.1425620005</v>
      </c>
      <c r="S27" s="55">
        <f t="shared" si="3"/>
        <v>1222663.31</v>
      </c>
      <c r="T27" s="59">
        <f t="shared" si="70"/>
        <v>4041880.3701980002</v>
      </c>
      <c r="U27" s="57">
        <f t="shared" si="4"/>
        <v>1195187.73</v>
      </c>
      <c r="V27" s="59">
        <f t="shared" si="71"/>
        <v>3951051.5978339999</v>
      </c>
      <c r="W27" s="60">
        <f t="shared" si="5"/>
        <v>1167712.1499999999</v>
      </c>
      <c r="X27" s="59">
        <f t="shared" si="72"/>
        <v>3860222.8254699996</v>
      </c>
      <c r="Y27" s="57">
        <f t="shared" si="6"/>
        <v>1140236.5699999998</v>
      </c>
      <c r="Z27" s="59">
        <f t="shared" si="73"/>
        <v>3769394.0531059997</v>
      </c>
      <c r="AA27" s="55">
        <f t="shared" si="7"/>
        <v>1112760.99</v>
      </c>
      <c r="AB27" s="59">
        <f t="shared" si="74"/>
        <v>3678565.2807419999</v>
      </c>
      <c r="AC27" s="60">
        <f t="shared" si="8"/>
        <v>1085285.4099999999</v>
      </c>
      <c r="AD27" s="59">
        <f t="shared" si="75"/>
        <v>3587736.508378</v>
      </c>
      <c r="AE27" s="60">
        <f t="shared" si="9"/>
        <v>1057809.8299999998</v>
      </c>
      <c r="AF27" s="59">
        <f t="shared" si="76"/>
        <v>3496907.7360139997</v>
      </c>
      <c r="AG27" s="60">
        <f t="shared" si="10"/>
        <v>1030334.2499999999</v>
      </c>
      <c r="AH27" s="59">
        <f t="shared" si="77"/>
        <v>3406078.9636499998</v>
      </c>
      <c r="AI27" s="55">
        <f t="shared" si="11"/>
        <v>1002858.6699999998</v>
      </c>
      <c r="AJ27" s="59">
        <f t="shared" si="78"/>
        <v>3315250.1912859995</v>
      </c>
      <c r="AK27" s="60">
        <f t="shared" si="12"/>
        <v>975383.08999999985</v>
      </c>
      <c r="AL27" s="59">
        <f t="shared" si="79"/>
        <v>3224421.4189219996</v>
      </c>
      <c r="AM27" s="60">
        <f t="shared" si="13"/>
        <v>947907.50999999978</v>
      </c>
      <c r="AN27" s="59">
        <f t="shared" si="80"/>
        <v>3133592.6465579993</v>
      </c>
      <c r="AO27" s="60">
        <f t="shared" si="14"/>
        <v>920431.9299999997</v>
      </c>
      <c r="AP27" s="59">
        <f t="shared" si="81"/>
        <v>3042763.874193999</v>
      </c>
      <c r="AQ27" s="60">
        <f t="shared" si="15"/>
        <v>892956.34999999974</v>
      </c>
      <c r="AR27" s="59">
        <f t="shared" si="82"/>
        <v>2951935.1018299991</v>
      </c>
      <c r="AS27" s="55">
        <f t="shared" si="16"/>
        <v>865480.76999999967</v>
      </c>
      <c r="AT27" s="59">
        <f t="shared" si="83"/>
        <v>2861106.3294659988</v>
      </c>
      <c r="AU27" s="60">
        <f t="shared" si="17"/>
        <v>838005.18999999971</v>
      </c>
      <c r="AV27" s="59">
        <f t="shared" si="84"/>
        <v>2770277.5571019989</v>
      </c>
      <c r="AW27" s="60">
        <f t="shared" si="18"/>
        <v>810529.60999999964</v>
      </c>
      <c r="AX27" s="59">
        <f t="shared" si="85"/>
        <v>2679448.7847379991</v>
      </c>
      <c r="AY27" s="55">
        <f t="shared" si="19"/>
        <v>783054.02999999968</v>
      </c>
      <c r="AZ27" s="59">
        <f t="shared" si="86"/>
        <v>2588620.0123739988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961645.29999999993</v>
      </c>
      <c r="CA27" s="55">
        <f t="shared" si="89"/>
        <v>961645.29999999993</v>
      </c>
      <c r="CB27" s="59">
        <f t="shared" si="90"/>
        <v>3179007.0327399997</v>
      </c>
      <c r="CC27" s="55">
        <f t="shared" si="91"/>
        <v>932795.94099999988</v>
      </c>
      <c r="CD27" s="59">
        <f t="shared" si="92"/>
        <v>3083636.8217577995</v>
      </c>
      <c r="CE27" s="55">
        <f t="shared" si="93"/>
        <v>913563.03499999992</v>
      </c>
      <c r="CF27" s="59">
        <f t="shared" si="94"/>
        <v>3020056.681103</v>
      </c>
      <c r="CG27" s="55">
        <f t="shared" si="21"/>
        <v>894330.12899999996</v>
      </c>
      <c r="CH27" s="59">
        <f t="shared" si="95"/>
        <v>2956476.5404482</v>
      </c>
      <c r="CI27" s="57">
        <f t="shared" si="22"/>
        <v>875097.223</v>
      </c>
      <c r="CJ27" s="59">
        <f t="shared" si="96"/>
        <v>2892896.3997934</v>
      </c>
      <c r="CK27" s="55">
        <f t="shared" si="23"/>
        <v>855864.31699999992</v>
      </c>
      <c r="CL27" s="59">
        <f t="shared" si="97"/>
        <v>2829316.2591386</v>
      </c>
      <c r="CM27" s="57">
        <f t="shared" si="24"/>
        <v>836631.41099999996</v>
      </c>
      <c r="CN27" s="59">
        <f t="shared" si="98"/>
        <v>2765736.1184838</v>
      </c>
      <c r="CO27" s="60">
        <f t="shared" si="25"/>
        <v>817398.50499999989</v>
      </c>
      <c r="CP27" s="59">
        <f t="shared" si="99"/>
        <v>2702155.9778289995</v>
      </c>
      <c r="CQ27" s="57">
        <f t="shared" si="26"/>
        <v>798165.59899999993</v>
      </c>
      <c r="CR27" s="59">
        <f t="shared" si="100"/>
        <v>2638575.8371742</v>
      </c>
      <c r="CS27" s="55">
        <f t="shared" si="27"/>
        <v>778932.69299999985</v>
      </c>
      <c r="CT27" s="59">
        <f t="shared" si="101"/>
        <v>2574995.6965193995</v>
      </c>
      <c r="CU27" s="60">
        <f t="shared" si="28"/>
        <v>759699.78699999989</v>
      </c>
      <c r="CV27" s="59">
        <f t="shared" si="102"/>
        <v>2511415.5558645995</v>
      </c>
      <c r="CW27" s="60">
        <f t="shared" si="29"/>
        <v>740466.88099999982</v>
      </c>
      <c r="CX27" s="59">
        <f t="shared" si="103"/>
        <v>2447835.4152097995</v>
      </c>
      <c r="CY27" s="60">
        <f t="shared" si="30"/>
        <v>721233.97499999986</v>
      </c>
      <c r="CZ27" s="59">
        <f t="shared" si="104"/>
        <v>2384255.2745549995</v>
      </c>
      <c r="DA27" s="55">
        <f t="shared" si="31"/>
        <v>702001.06899999978</v>
      </c>
      <c r="DB27" s="59">
        <f t="shared" si="105"/>
        <v>2320675.1339001996</v>
      </c>
      <c r="DC27" s="60">
        <f t="shared" si="32"/>
        <v>682768.16299999983</v>
      </c>
      <c r="DD27" s="59">
        <f t="shared" si="106"/>
        <v>2257094.9932453996</v>
      </c>
      <c r="DE27" s="60">
        <f t="shared" si="33"/>
        <v>663535.25699999975</v>
      </c>
      <c r="DF27" s="59">
        <f t="shared" si="107"/>
        <v>2193514.8525905991</v>
      </c>
      <c r="DG27" s="60">
        <f t="shared" si="34"/>
        <v>644302.35099999979</v>
      </c>
      <c r="DH27" s="59">
        <f t="shared" si="108"/>
        <v>2129934.7119357996</v>
      </c>
      <c r="DI27" s="60">
        <f t="shared" si="35"/>
        <v>625069.44499999972</v>
      </c>
      <c r="DJ27" s="59">
        <f t="shared" si="109"/>
        <v>2066354.5712809991</v>
      </c>
      <c r="DK27" s="55">
        <f t="shared" si="36"/>
        <v>605836.53899999976</v>
      </c>
      <c r="DL27" s="59">
        <f t="shared" si="110"/>
        <v>2002774.4306261993</v>
      </c>
      <c r="DM27" s="60">
        <f t="shared" si="37"/>
        <v>586603.63299999968</v>
      </c>
      <c r="DN27" s="59">
        <f t="shared" si="111"/>
        <v>1939194.2899713989</v>
      </c>
      <c r="DO27" s="60">
        <f t="shared" si="38"/>
        <v>567370.72699999972</v>
      </c>
      <c r="DP27" s="59">
        <f t="shared" si="112"/>
        <v>1875614.1493165991</v>
      </c>
      <c r="DQ27" s="55">
        <f t="shared" si="39"/>
        <v>548137.82099999965</v>
      </c>
      <c r="DR27" s="59">
        <f t="shared" si="113"/>
        <v>1812034.0086617989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673151.71</v>
      </c>
      <c r="ES27" s="55">
        <f t="shared" si="116"/>
        <v>673151.71</v>
      </c>
      <c r="ET27" s="59">
        <f t="shared" si="117"/>
        <v>2225304.9229179998</v>
      </c>
      <c r="EU27" s="55">
        <f t="shared" si="118"/>
        <v>652957.15869999991</v>
      </c>
      <c r="EV27" s="59">
        <f t="shared" si="119"/>
        <v>2158545.7752304599</v>
      </c>
      <c r="EW27" s="55">
        <f t="shared" si="120"/>
        <v>639494.12449999992</v>
      </c>
      <c r="EX27" s="59">
        <f t="shared" si="121"/>
        <v>2114039.6767720999</v>
      </c>
      <c r="EY27" s="55">
        <f t="shared" si="41"/>
        <v>626031.09030000004</v>
      </c>
      <c r="EZ27" s="59">
        <f t="shared" si="122"/>
        <v>2069533.5783137402</v>
      </c>
      <c r="FA27" s="57">
        <f t="shared" si="42"/>
        <v>612568.05609999993</v>
      </c>
      <c r="FB27" s="59">
        <f t="shared" si="123"/>
        <v>2025027.4798553798</v>
      </c>
      <c r="FC27" s="55">
        <f t="shared" si="43"/>
        <v>599105.02189999993</v>
      </c>
      <c r="FD27" s="59">
        <f t="shared" si="124"/>
        <v>1980521.3813970198</v>
      </c>
      <c r="FE27" s="57">
        <f t="shared" si="44"/>
        <v>585641.98769999994</v>
      </c>
      <c r="FF27" s="59">
        <f t="shared" si="125"/>
        <v>1936015.2829386599</v>
      </c>
      <c r="FG27" s="60">
        <f t="shared" si="45"/>
        <v>572178.95349999995</v>
      </c>
      <c r="FH27" s="59">
        <f t="shared" si="126"/>
        <v>1891509.1844802999</v>
      </c>
      <c r="FI27" s="57">
        <f t="shared" si="46"/>
        <v>558715.91929999995</v>
      </c>
      <c r="FJ27" s="59">
        <f t="shared" si="127"/>
        <v>1847003.08602194</v>
      </c>
      <c r="FK27" s="55">
        <f t="shared" si="47"/>
        <v>545252.88509999996</v>
      </c>
      <c r="FL27" s="59">
        <f t="shared" si="128"/>
        <v>1802496.9875635798</v>
      </c>
      <c r="FM27" s="60">
        <f t="shared" si="48"/>
        <v>531789.85089999996</v>
      </c>
      <c r="FN27" s="59">
        <f t="shared" si="129"/>
        <v>1757990.8891052199</v>
      </c>
      <c r="FO27" s="60">
        <f t="shared" si="49"/>
        <v>518326.81669999991</v>
      </c>
      <c r="FP27" s="59">
        <f t="shared" si="130"/>
        <v>1713484.7906468597</v>
      </c>
      <c r="FQ27" s="60">
        <f t="shared" si="50"/>
        <v>504863.78249999991</v>
      </c>
      <c r="FR27" s="59">
        <f t="shared" si="131"/>
        <v>1668978.6921884997</v>
      </c>
      <c r="FS27" s="55">
        <f t="shared" si="51"/>
        <v>491400.74829999986</v>
      </c>
      <c r="FT27" s="59">
        <f t="shared" si="132"/>
        <v>1624472.5937301395</v>
      </c>
      <c r="FU27" s="60">
        <f t="shared" si="52"/>
        <v>477937.71409999987</v>
      </c>
      <c r="FV27" s="59">
        <f t="shared" si="133"/>
        <v>1579966.4952717796</v>
      </c>
      <c r="FW27" s="60">
        <f t="shared" si="53"/>
        <v>464474.67989999987</v>
      </c>
      <c r="FX27" s="59">
        <f t="shared" si="134"/>
        <v>1535460.3968134196</v>
      </c>
      <c r="FY27" s="60">
        <f t="shared" si="54"/>
        <v>451011.64569999988</v>
      </c>
      <c r="FZ27" s="59">
        <f t="shared" si="135"/>
        <v>1490954.2983550597</v>
      </c>
      <c r="GA27" s="60">
        <f t="shared" si="55"/>
        <v>437548.61149999982</v>
      </c>
      <c r="GB27" s="59">
        <f t="shared" si="136"/>
        <v>1446448.1998966995</v>
      </c>
      <c r="GC27" s="55">
        <f t="shared" si="56"/>
        <v>424085.57729999983</v>
      </c>
      <c r="GD27" s="59">
        <f t="shared" si="137"/>
        <v>1401942.1014383396</v>
      </c>
      <c r="GE27" s="60">
        <f t="shared" si="57"/>
        <v>410622.54309999984</v>
      </c>
      <c r="GF27" s="59">
        <f t="shared" si="138"/>
        <v>1357436.0029799794</v>
      </c>
      <c r="GG27" s="60">
        <f t="shared" si="58"/>
        <v>397159.50889999978</v>
      </c>
      <c r="GH27" s="59">
        <f t="shared" si="139"/>
        <v>1312929.9045216192</v>
      </c>
      <c r="GI27" s="55">
        <f t="shared" si="59"/>
        <v>383696.47469999979</v>
      </c>
      <c r="GJ27" s="59">
        <f t="shared" si="140"/>
        <v>1268423.8060632593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1751580</v>
      </c>
      <c r="E28" s="44">
        <f>SUM(E18:E27)</f>
        <v>5790330</v>
      </c>
      <c r="H28" s="55">
        <f t="shared" si="61"/>
        <v>6369363.0000000009</v>
      </c>
      <c r="I28" s="55">
        <f t="shared" si="62"/>
        <v>6369363.0000000009</v>
      </c>
      <c r="J28" s="59">
        <f t="shared" si="63"/>
        <v>21055840.205400005</v>
      </c>
      <c r="K28" s="55">
        <f t="shared" si="64"/>
        <v>6178282.1100000003</v>
      </c>
      <c r="L28" s="59">
        <f t="shared" si="65"/>
        <v>20424164.999238003</v>
      </c>
      <c r="M28" s="55">
        <f t="shared" si="66"/>
        <v>6050894.8500000006</v>
      </c>
      <c r="N28" s="59">
        <f t="shared" si="67"/>
        <v>20003048.195130002</v>
      </c>
      <c r="O28" s="55">
        <f t="shared" si="1"/>
        <v>5923507.5900000008</v>
      </c>
      <c r="P28" s="59">
        <f t="shared" si="68"/>
        <v>19581931.391022004</v>
      </c>
      <c r="Q28" s="57">
        <f t="shared" si="2"/>
        <v>5796120.330000001</v>
      </c>
      <c r="R28" s="59">
        <f t="shared" si="69"/>
        <v>19160814.586914003</v>
      </c>
      <c r="S28" s="55">
        <f t="shared" si="3"/>
        <v>5668733.0700000012</v>
      </c>
      <c r="T28" s="59">
        <f t="shared" si="70"/>
        <v>18739697.782806005</v>
      </c>
      <c r="U28" s="57">
        <f t="shared" si="4"/>
        <v>5541345.8100000005</v>
      </c>
      <c r="V28" s="59">
        <f t="shared" si="71"/>
        <v>18318580.978698</v>
      </c>
      <c r="W28" s="60">
        <f t="shared" si="5"/>
        <v>5413958.5500000007</v>
      </c>
      <c r="X28" s="59">
        <f t="shared" si="72"/>
        <v>17897464.174590003</v>
      </c>
      <c r="Y28" s="57">
        <f t="shared" si="6"/>
        <v>5286571.290000001</v>
      </c>
      <c r="Z28" s="59">
        <f t="shared" si="73"/>
        <v>17476347.370482005</v>
      </c>
      <c r="AA28" s="55">
        <f t="shared" si="7"/>
        <v>5159184.03</v>
      </c>
      <c r="AB28" s="59">
        <f t="shared" si="74"/>
        <v>17055230.566374</v>
      </c>
      <c r="AC28" s="60">
        <f t="shared" si="8"/>
        <v>5031796.7700000005</v>
      </c>
      <c r="AD28" s="59">
        <f t="shared" si="75"/>
        <v>16634113.762266003</v>
      </c>
      <c r="AE28" s="60">
        <f t="shared" si="9"/>
        <v>4904409.51</v>
      </c>
      <c r="AF28" s="59">
        <f t="shared" si="76"/>
        <v>16212996.958157999</v>
      </c>
      <c r="AG28" s="60">
        <f t="shared" si="10"/>
        <v>4777022.25</v>
      </c>
      <c r="AH28" s="59">
        <f t="shared" si="77"/>
        <v>15791880.15405</v>
      </c>
      <c r="AI28" s="55">
        <f t="shared" si="11"/>
        <v>4649634.99</v>
      </c>
      <c r="AJ28" s="59">
        <f t="shared" si="78"/>
        <v>15370763.349942001</v>
      </c>
      <c r="AK28" s="60">
        <f t="shared" si="12"/>
        <v>4522247.7299999995</v>
      </c>
      <c r="AL28" s="59">
        <f t="shared" si="79"/>
        <v>14949646.545833999</v>
      </c>
      <c r="AM28" s="60">
        <f t="shared" si="13"/>
        <v>4394860.47</v>
      </c>
      <c r="AN28" s="59">
        <f t="shared" si="80"/>
        <v>14528529.741726</v>
      </c>
      <c r="AO28" s="60">
        <f t="shared" si="14"/>
        <v>4267473.209999999</v>
      </c>
      <c r="AP28" s="59">
        <f t="shared" si="81"/>
        <v>14107412.937617997</v>
      </c>
      <c r="AQ28" s="60">
        <f t="shared" si="15"/>
        <v>4140085.9499999993</v>
      </c>
      <c r="AR28" s="59">
        <f t="shared" si="82"/>
        <v>13686296.133509997</v>
      </c>
      <c r="AS28" s="55">
        <f t="shared" si="16"/>
        <v>4012698.689999999</v>
      </c>
      <c r="AT28" s="59">
        <f t="shared" si="83"/>
        <v>13265179.329401998</v>
      </c>
      <c r="AU28" s="60">
        <f t="shared" si="17"/>
        <v>3885311.4299999992</v>
      </c>
      <c r="AV28" s="59">
        <f t="shared" si="84"/>
        <v>12844062.525293998</v>
      </c>
      <c r="AW28" s="60">
        <f t="shared" si="18"/>
        <v>3757924.169999999</v>
      </c>
      <c r="AX28" s="59">
        <f t="shared" si="85"/>
        <v>12422945.721185997</v>
      </c>
      <c r="AY28" s="55">
        <f t="shared" si="19"/>
        <v>3630536.9099999988</v>
      </c>
      <c r="AZ28" s="59">
        <f t="shared" si="86"/>
        <v>12001828.917077996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5507626.7400000002</v>
      </c>
      <c r="CA28" s="55">
        <f t="shared" si="89"/>
        <v>5507626.7400000002</v>
      </c>
      <c r="CB28" s="59">
        <f t="shared" si="90"/>
        <v>18207112.477092002</v>
      </c>
      <c r="CC28" s="55">
        <f t="shared" si="91"/>
        <v>5342397.9378000004</v>
      </c>
      <c r="CD28" s="59">
        <f t="shared" si="92"/>
        <v>17660899.102779243</v>
      </c>
      <c r="CE28" s="55">
        <f t="shared" si="93"/>
        <v>5232245.4029999999</v>
      </c>
      <c r="CF28" s="59">
        <f t="shared" si="94"/>
        <v>17296756.853237402</v>
      </c>
      <c r="CG28" s="55">
        <f t="shared" si="21"/>
        <v>5122092.8682000004</v>
      </c>
      <c r="CH28" s="59">
        <f t="shared" si="95"/>
        <v>16932614.60369556</v>
      </c>
      <c r="CI28" s="57">
        <f t="shared" si="22"/>
        <v>5011940.3334000008</v>
      </c>
      <c r="CJ28" s="59">
        <f t="shared" si="96"/>
        <v>16568472.354153723</v>
      </c>
      <c r="CK28" s="55">
        <f t="shared" si="23"/>
        <v>4901787.7986000003</v>
      </c>
      <c r="CL28" s="59">
        <f t="shared" si="97"/>
        <v>16204330.104611881</v>
      </c>
      <c r="CM28" s="57">
        <f t="shared" si="24"/>
        <v>4791635.2637999998</v>
      </c>
      <c r="CN28" s="59">
        <f t="shared" si="98"/>
        <v>15840187.85507004</v>
      </c>
      <c r="CO28" s="60">
        <f t="shared" si="25"/>
        <v>4681482.7290000003</v>
      </c>
      <c r="CP28" s="59">
        <f t="shared" si="99"/>
        <v>15476045.605528202</v>
      </c>
      <c r="CQ28" s="57">
        <f t="shared" si="26"/>
        <v>4571330.1941999998</v>
      </c>
      <c r="CR28" s="59">
        <f t="shared" si="100"/>
        <v>15111903.35598636</v>
      </c>
      <c r="CS28" s="55">
        <f t="shared" si="27"/>
        <v>4461177.6594000002</v>
      </c>
      <c r="CT28" s="59">
        <f t="shared" si="101"/>
        <v>14747761.106444521</v>
      </c>
      <c r="CU28" s="60">
        <f t="shared" si="28"/>
        <v>4351025.1245999997</v>
      </c>
      <c r="CV28" s="59">
        <f t="shared" si="102"/>
        <v>14383618.856902679</v>
      </c>
      <c r="CW28" s="60">
        <f t="shared" si="29"/>
        <v>4240872.5897999993</v>
      </c>
      <c r="CX28" s="59">
        <f t="shared" si="103"/>
        <v>14019476.607360838</v>
      </c>
      <c r="CY28" s="60">
        <f t="shared" si="30"/>
        <v>4130720.0549999997</v>
      </c>
      <c r="CZ28" s="59">
        <f t="shared" si="104"/>
        <v>13655334.357818998</v>
      </c>
      <c r="DA28" s="55">
        <f t="shared" si="31"/>
        <v>4020567.5201999997</v>
      </c>
      <c r="DB28" s="59">
        <f t="shared" si="105"/>
        <v>13291192.108277159</v>
      </c>
      <c r="DC28" s="60">
        <f t="shared" si="32"/>
        <v>3910414.9853999992</v>
      </c>
      <c r="DD28" s="59">
        <f t="shared" si="106"/>
        <v>12927049.858735317</v>
      </c>
      <c r="DE28" s="60">
        <f t="shared" si="33"/>
        <v>3800262.4505999992</v>
      </c>
      <c r="DF28" s="59">
        <f t="shared" si="107"/>
        <v>12562907.609193478</v>
      </c>
      <c r="DG28" s="60">
        <f t="shared" si="34"/>
        <v>3690109.9157999991</v>
      </c>
      <c r="DH28" s="59">
        <f t="shared" si="108"/>
        <v>12198765.359651638</v>
      </c>
      <c r="DI28" s="60">
        <f t="shared" si="35"/>
        <v>3579957.3809999991</v>
      </c>
      <c r="DJ28" s="59">
        <f t="shared" si="109"/>
        <v>11834623.110109797</v>
      </c>
      <c r="DK28" s="55">
        <f t="shared" si="36"/>
        <v>3469804.8461999991</v>
      </c>
      <c r="DL28" s="59">
        <f t="shared" si="110"/>
        <v>11470480.860567957</v>
      </c>
      <c r="DM28" s="60">
        <f t="shared" si="37"/>
        <v>3359652.3113999986</v>
      </c>
      <c r="DN28" s="59">
        <f t="shared" si="111"/>
        <v>11106338.611026116</v>
      </c>
      <c r="DO28" s="60">
        <f t="shared" si="38"/>
        <v>3249499.7765999986</v>
      </c>
      <c r="DP28" s="59">
        <f t="shared" si="112"/>
        <v>10742196.361484276</v>
      </c>
      <c r="DQ28" s="55">
        <f t="shared" si="39"/>
        <v>3139347.2417999986</v>
      </c>
      <c r="DR28" s="59">
        <f t="shared" si="113"/>
        <v>10378054.111942435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4809994.8203999996</v>
      </c>
      <c r="ES28" s="55">
        <f t="shared" si="116"/>
        <v>4809994.8203999996</v>
      </c>
      <c r="ET28" s="59">
        <f t="shared" si="117"/>
        <v>15900880.877278319</v>
      </c>
      <c r="EU28" s="55">
        <f t="shared" si="118"/>
        <v>4665694.9757879991</v>
      </c>
      <c r="EV28" s="59">
        <f t="shared" si="119"/>
        <v>15423854.450959967</v>
      </c>
      <c r="EW28" s="55">
        <f t="shared" si="120"/>
        <v>4569495.0793799991</v>
      </c>
      <c r="EX28" s="59">
        <f t="shared" si="121"/>
        <v>15105836.833414402</v>
      </c>
      <c r="EY28" s="55">
        <f t="shared" si="41"/>
        <v>4473295.182972</v>
      </c>
      <c r="EZ28" s="59">
        <f t="shared" si="122"/>
        <v>14787819.215868838</v>
      </c>
      <c r="FA28" s="57">
        <f t="shared" si="42"/>
        <v>4377095.286564</v>
      </c>
      <c r="FB28" s="59">
        <f t="shared" si="123"/>
        <v>14469801.598323271</v>
      </c>
      <c r="FC28" s="55">
        <f t="shared" si="43"/>
        <v>4280895.3901559999</v>
      </c>
      <c r="FD28" s="59">
        <f t="shared" si="124"/>
        <v>14151783.980777705</v>
      </c>
      <c r="FE28" s="57">
        <f t="shared" si="44"/>
        <v>4184695.4937479994</v>
      </c>
      <c r="FF28" s="59">
        <f t="shared" si="125"/>
        <v>13833766.363232138</v>
      </c>
      <c r="FG28" s="60">
        <f t="shared" si="45"/>
        <v>4088495.5973399994</v>
      </c>
      <c r="FH28" s="59">
        <f t="shared" si="126"/>
        <v>13515748.74568657</v>
      </c>
      <c r="FI28" s="57">
        <f t="shared" si="46"/>
        <v>3992295.7009319994</v>
      </c>
      <c r="FJ28" s="59">
        <f t="shared" si="127"/>
        <v>13197731.128141005</v>
      </c>
      <c r="FK28" s="55">
        <f t="shared" si="47"/>
        <v>3896095.8045239993</v>
      </c>
      <c r="FL28" s="59">
        <f t="shared" si="128"/>
        <v>12879713.510595437</v>
      </c>
      <c r="FM28" s="60">
        <f t="shared" si="48"/>
        <v>3799895.9081159993</v>
      </c>
      <c r="FN28" s="59">
        <f t="shared" si="129"/>
        <v>12561695.893049872</v>
      </c>
      <c r="FO28" s="60">
        <f t="shared" si="49"/>
        <v>3703696.0117079993</v>
      </c>
      <c r="FP28" s="59">
        <f t="shared" si="130"/>
        <v>12243678.275504304</v>
      </c>
      <c r="FQ28" s="60">
        <f t="shared" si="50"/>
        <v>3607496.1152999992</v>
      </c>
      <c r="FR28" s="59">
        <f t="shared" si="131"/>
        <v>11925660.657958739</v>
      </c>
      <c r="FS28" s="55">
        <f t="shared" si="51"/>
        <v>3511296.2188919992</v>
      </c>
      <c r="FT28" s="59">
        <f t="shared" si="132"/>
        <v>11607643.040413171</v>
      </c>
      <c r="FU28" s="60">
        <f t="shared" si="52"/>
        <v>3415096.3224839992</v>
      </c>
      <c r="FV28" s="59">
        <f t="shared" si="133"/>
        <v>11289625.422867605</v>
      </c>
      <c r="FW28" s="60">
        <f t="shared" si="53"/>
        <v>3318896.4260759992</v>
      </c>
      <c r="FX28" s="59">
        <f t="shared" si="134"/>
        <v>10971607.805322038</v>
      </c>
      <c r="FY28" s="60">
        <f t="shared" si="54"/>
        <v>3222696.5296679987</v>
      </c>
      <c r="FZ28" s="59">
        <f t="shared" si="135"/>
        <v>10653590.187776471</v>
      </c>
      <c r="GA28" s="60">
        <f t="shared" si="55"/>
        <v>3126496.6332599986</v>
      </c>
      <c r="GB28" s="59">
        <f t="shared" si="136"/>
        <v>10335572.570230903</v>
      </c>
      <c r="GC28" s="55">
        <f t="shared" si="56"/>
        <v>3030296.7368519986</v>
      </c>
      <c r="GD28" s="59">
        <f t="shared" si="137"/>
        <v>10017554.952685338</v>
      </c>
      <c r="GE28" s="60">
        <f t="shared" si="57"/>
        <v>2934096.8404439986</v>
      </c>
      <c r="GF28" s="59">
        <f t="shared" si="138"/>
        <v>9699537.3351397701</v>
      </c>
      <c r="GG28" s="60">
        <f t="shared" si="58"/>
        <v>2837896.9440359985</v>
      </c>
      <c r="GH28" s="59">
        <f t="shared" si="139"/>
        <v>9381519.7175942045</v>
      </c>
      <c r="GI28" s="55">
        <f t="shared" si="59"/>
        <v>2741697.0476279985</v>
      </c>
      <c r="GJ28" s="59">
        <f t="shared" si="140"/>
        <v>9063502.100048637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274</v>
      </c>
      <c r="R29" s="61"/>
      <c r="S29" s="61" t="s">
        <v>275</v>
      </c>
      <c r="T29" s="62"/>
      <c r="U29" s="61" t="s">
        <v>276</v>
      </c>
      <c r="V29" s="63"/>
      <c r="W29" s="61" t="s">
        <v>277</v>
      </c>
      <c r="X29" s="62"/>
      <c r="Y29" s="61" t="s">
        <v>278</v>
      </c>
      <c r="Z29" s="61"/>
      <c r="AA29" s="61" t="s">
        <v>279</v>
      </c>
      <c r="AB29" s="63"/>
      <c r="AC29" s="61" t="s">
        <v>280</v>
      </c>
      <c r="AD29" s="63"/>
      <c r="AE29" s="61" t="s">
        <v>281</v>
      </c>
      <c r="AF29" s="63"/>
      <c r="AG29" s="61" t="s">
        <v>282</v>
      </c>
      <c r="AH29" s="61"/>
      <c r="AI29" s="61" t="s">
        <v>283</v>
      </c>
      <c r="AJ29" s="63"/>
      <c r="AK29" s="61" t="s">
        <v>284</v>
      </c>
      <c r="AL29" s="63"/>
      <c r="AM29" s="61" t="s">
        <v>285</v>
      </c>
      <c r="AN29" s="63"/>
      <c r="AO29" s="61" t="s">
        <v>286</v>
      </c>
      <c r="AP29" s="63"/>
      <c r="AQ29" s="61" t="s">
        <v>287</v>
      </c>
      <c r="AR29" s="61"/>
      <c r="AS29" s="61" t="s">
        <v>288</v>
      </c>
      <c r="AT29" s="63"/>
      <c r="AU29" s="61" t="s">
        <v>289</v>
      </c>
      <c r="AV29" s="63"/>
      <c r="AW29" s="61" t="s">
        <v>290</v>
      </c>
      <c r="AX29" s="61"/>
      <c r="AY29" s="61" t="s">
        <v>291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274</v>
      </c>
      <c r="CJ29" s="61"/>
      <c r="CK29" s="61" t="s">
        <v>275</v>
      </c>
      <c r="CL29" s="62"/>
      <c r="CM29" s="61" t="s">
        <v>276</v>
      </c>
      <c r="CN29" s="63"/>
      <c r="CO29" s="61" t="s">
        <v>277</v>
      </c>
      <c r="CP29" s="62"/>
      <c r="CQ29" s="61" t="s">
        <v>278</v>
      </c>
      <c r="CR29" s="61"/>
      <c r="CS29" s="61" t="s">
        <v>279</v>
      </c>
      <c r="CT29" s="63"/>
      <c r="CU29" s="61" t="s">
        <v>280</v>
      </c>
      <c r="CV29" s="63"/>
      <c r="CW29" s="61" t="s">
        <v>281</v>
      </c>
      <c r="CX29" s="63"/>
      <c r="CY29" s="61" t="s">
        <v>282</v>
      </c>
      <c r="CZ29" s="61"/>
      <c r="DA29" s="61" t="s">
        <v>283</v>
      </c>
      <c r="DB29" s="63"/>
      <c r="DC29" s="61" t="s">
        <v>284</v>
      </c>
      <c r="DD29" s="63"/>
      <c r="DE29" s="61" t="s">
        <v>285</v>
      </c>
      <c r="DF29" s="63"/>
      <c r="DG29" s="61" t="s">
        <v>286</v>
      </c>
      <c r="DH29" s="63"/>
      <c r="DI29" s="61" t="s">
        <v>287</v>
      </c>
      <c r="DJ29" s="61"/>
      <c r="DK29" s="61" t="s">
        <v>288</v>
      </c>
      <c r="DL29" s="63"/>
      <c r="DM29" s="61" t="s">
        <v>289</v>
      </c>
      <c r="DN29" s="63"/>
      <c r="DO29" s="61" t="s">
        <v>290</v>
      </c>
      <c r="DP29" s="61"/>
      <c r="DQ29" s="61" t="s">
        <v>291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274</v>
      </c>
      <c r="FB29" s="61"/>
      <c r="FC29" s="61" t="s">
        <v>275</v>
      </c>
      <c r="FD29" s="62"/>
      <c r="FE29" s="61" t="s">
        <v>276</v>
      </c>
      <c r="FF29" s="63"/>
      <c r="FG29" s="61" t="s">
        <v>277</v>
      </c>
      <c r="FH29" s="62"/>
      <c r="FI29" s="61" t="s">
        <v>278</v>
      </c>
      <c r="FJ29" s="61"/>
      <c r="FK29" s="61" t="s">
        <v>279</v>
      </c>
      <c r="FL29" s="63"/>
      <c r="FM29" s="61" t="s">
        <v>280</v>
      </c>
      <c r="FN29" s="63"/>
      <c r="FO29" s="61" t="s">
        <v>281</v>
      </c>
      <c r="FP29" s="63"/>
      <c r="FQ29" s="61" t="s">
        <v>282</v>
      </c>
      <c r="FR29" s="61"/>
      <c r="FS29" s="61" t="s">
        <v>283</v>
      </c>
      <c r="FT29" s="63"/>
      <c r="FU29" s="61" t="s">
        <v>284</v>
      </c>
      <c r="FV29" s="63"/>
      <c r="FW29" s="61" t="s">
        <v>285</v>
      </c>
      <c r="FX29" s="63"/>
      <c r="FY29" s="61" t="s">
        <v>286</v>
      </c>
      <c r="FZ29" s="63"/>
      <c r="GA29" s="61" t="s">
        <v>287</v>
      </c>
      <c r="GB29" s="61"/>
      <c r="GC29" s="61" t="s">
        <v>288</v>
      </c>
      <c r="GD29" s="63"/>
      <c r="GE29" s="61" t="s">
        <v>289</v>
      </c>
      <c r="GF29" s="63"/>
      <c r="GG29" s="61" t="s">
        <v>290</v>
      </c>
      <c r="GH29" s="61"/>
      <c r="GI29" s="61" t="s">
        <v>291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294</v>
      </c>
      <c r="D30" s="65" t="s">
        <v>272</v>
      </c>
      <c r="E30" s="65" t="s">
        <v>155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f>TRUNC(2948.86807269464,-1)</f>
        <v>2940</v>
      </c>
      <c r="E31" s="69">
        <f>TRUNC(+D31*3.3058,-1)</f>
        <v>9710</v>
      </c>
      <c r="H31" s="55">
        <f t="shared" si="61"/>
        <v>10681</v>
      </c>
      <c r="I31" s="55">
        <f t="shared" si="62"/>
        <v>10681</v>
      </c>
      <c r="J31" s="59">
        <f t="shared" si="63"/>
        <v>35309.249799999998</v>
      </c>
      <c r="K31" s="55">
        <f>+I31*BD31</f>
        <v>10360.57</v>
      </c>
      <c r="L31" s="59">
        <f>+K31*3.3058</f>
        <v>34249.972306000003</v>
      </c>
      <c r="M31" s="55">
        <f>+I31*BE31</f>
        <v>10146.949999999999</v>
      </c>
      <c r="N31" s="59">
        <f>+M31*3.3058</f>
        <v>33543.78731</v>
      </c>
      <c r="O31" s="55">
        <f>+I31*BF31</f>
        <v>9933.33</v>
      </c>
      <c r="P31" s="59">
        <f>+O31*3.3058</f>
        <v>32837.602314000003</v>
      </c>
      <c r="Q31" s="57">
        <f>+I31*BG31</f>
        <v>9719.7100000000009</v>
      </c>
      <c r="R31" s="59">
        <f>+Q31*3.3058</f>
        <v>32131.417318000003</v>
      </c>
      <c r="S31" s="55">
        <f>+I31*BH31</f>
        <v>9506.09</v>
      </c>
      <c r="T31" s="59">
        <f>+S31*3.3058</f>
        <v>31425.232322</v>
      </c>
      <c r="U31" s="57">
        <f>+I31*BI31</f>
        <v>9292.4699999999993</v>
      </c>
      <c r="V31" s="59">
        <f>+U31*3.3058</f>
        <v>30719.047326</v>
      </c>
      <c r="W31" s="60">
        <f>+I31*BJ31</f>
        <v>9078.85</v>
      </c>
      <c r="X31" s="59">
        <f>+W31*3.3058</f>
        <v>30012.862330000004</v>
      </c>
      <c r="Y31" s="57">
        <f>+I31*BK31</f>
        <v>8865.23</v>
      </c>
      <c r="Z31" s="59">
        <f>+Y31*3.3058</f>
        <v>29306.677334</v>
      </c>
      <c r="AA31" s="55">
        <f>+I31*BL31</f>
        <v>8651.6099999999988</v>
      </c>
      <c r="AB31" s="59">
        <f>+AA31*3.3058</f>
        <v>28600.492337999996</v>
      </c>
      <c r="AC31" s="60">
        <f>+I31*BM31</f>
        <v>8437.99</v>
      </c>
      <c r="AD31" s="59">
        <f>+AC31*3.3058</f>
        <v>27894.307342</v>
      </c>
      <c r="AE31" s="60">
        <f>+I31*BN31</f>
        <v>8224.369999999999</v>
      </c>
      <c r="AF31" s="59">
        <f>+AE31*3.3058</f>
        <v>27188.122345999996</v>
      </c>
      <c r="AG31" s="60">
        <f>+I31*BO31</f>
        <v>8010.7499999999991</v>
      </c>
      <c r="AH31" s="59">
        <f>+AG31*3.3058</f>
        <v>26481.937349999997</v>
      </c>
      <c r="AI31" s="55">
        <f>+I31*BP31</f>
        <v>7797.1299999999983</v>
      </c>
      <c r="AJ31" s="59">
        <f>+AI31*3.3058</f>
        <v>25775.752353999997</v>
      </c>
      <c r="AK31" s="60">
        <f>+I31*BQ31</f>
        <v>7583.5099999999984</v>
      </c>
      <c r="AL31" s="59">
        <f>+AK31*3.3058</f>
        <v>25069.567357999997</v>
      </c>
      <c r="AM31" s="60">
        <f>+I31*BR31</f>
        <v>7369.8899999999985</v>
      </c>
      <c r="AN31" s="59">
        <f>+AM31*3.3058</f>
        <v>24363.382361999997</v>
      </c>
      <c r="AO31" s="60">
        <f>+I31*BS31</f>
        <v>7156.2699999999977</v>
      </c>
      <c r="AP31" s="59">
        <f>+AO31*3.3058</f>
        <v>23657.197365999993</v>
      </c>
      <c r="AQ31" s="60">
        <f>+I31*BT31</f>
        <v>6942.6499999999978</v>
      </c>
      <c r="AR31" s="59">
        <f>+AQ31*3.3058</f>
        <v>22951.012369999993</v>
      </c>
      <c r="AS31" s="55">
        <f>+I31*BU31</f>
        <v>6729.0299999999979</v>
      </c>
      <c r="AT31" s="59">
        <f>+AS31*3.3058</f>
        <v>22244.827373999993</v>
      </c>
      <c r="AU31" s="60">
        <f>+I31*BV31</f>
        <v>6515.4099999999971</v>
      </c>
      <c r="AV31" s="59">
        <f>+AU31*3.3058</f>
        <v>21538.64237799999</v>
      </c>
      <c r="AW31" s="60">
        <f>+I31*BW31</f>
        <v>6301.7899999999972</v>
      </c>
      <c r="AX31" s="59">
        <f>+AW31*3.3058</f>
        <v>20832.45738199999</v>
      </c>
      <c r="AY31" s="55">
        <f>+I31*BX31</f>
        <v>6088.1699999999973</v>
      </c>
      <c r="AZ31" s="59">
        <f>+AY31*3.3058</f>
        <v>20126.272385999993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3">+BF31-0.02</f>
        <v>0.91</v>
      </c>
      <c r="BH31" s="55">
        <f t="shared" si="143"/>
        <v>0.89</v>
      </c>
      <c r="BI31" s="55">
        <f t="shared" si="143"/>
        <v>0.87</v>
      </c>
      <c r="BJ31" s="55">
        <f t="shared" si="143"/>
        <v>0.85</v>
      </c>
      <c r="BK31" s="55">
        <f t="shared" si="143"/>
        <v>0.83</v>
      </c>
      <c r="BL31" s="55">
        <f t="shared" si="143"/>
        <v>0.80999999999999994</v>
      </c>
      <c r="BM31" s="55">
        <f t="shared" si="143"/>
        <v>0.78999999999999992</v>
      </c>
      <c r="BN31" s="55">
        <f t="shared" si="143"/>
        <v>0.76999999999999991</v>
      </c>
      <c r="BO31" s="55">
        <f t="shared" si="143"/>
        <v>0.74999999999999989</v>
      </c>
      <c r="BP31" s="55">
        <f t="shared" si="143"/>
        <v>0.72999999999999987</v>
      </c>
      <c r="BQ31" s="55">
        <f t="shared" si="143"/>
        <v>0.70999999999999985</v>
      </c>
      <c r="BR31" s="55">
        <f t="shared" si="143"/>
        <v>0.68999999999999984</v>
      </c>
      <c r="BS31" s="55">
        <f t="shared" si="143"/>
        <v>0.66999999999999982</v>
      </c>
      <c r="BT31" s="55">
        <f t="shared" si="143"/>
        <v>0.6499999999999998</v>
      </c>
      <c r="BU31" s="55">
        <f t="shared" si="143"/>
        <v>0.62999999999999978</v>
      </c>
      <c r="BV31" s="55">
        <f t="shared" si="143"/>
        <v>0.60999999999999976</v>
      </c>
      <c r="BW31" s="55">
        <f t="shared" si="143"/>
        <v>0.58999999999999975</v>
      </c>
      <c r="BX31" s="55">
        <f t="shared" si="143"/>
        <v>0.56999999999999973</v>
      </c>
      <c r="BZ31" s="55">
        <f t="shared" si="88"/>
        <v>9719.7100000000009</v>
      </c>
      <c r="CA31" s="55">
        <f t="shared" si="89"/>
        <v>9719.7100000000009</v>
      </c>
      <c r="CB31" s="59">
        <f t="shared" ref="CB31" si="144">+CA31*3.3058</f>
        <v>32131.417318000003</v>
      </c>
      <c r="CC31" s="55">
        <f>+CA31*DV31</f>
        <v>9428.1187000000009</v>
      </c>
      <c r="CD31" s="59">
        <f>+CC31*3.3058</f>
        <v>31167.474798460004</v>
      </c>
      <c r="CE31" s="55">
        <f>+CA31*DW31</f>
        <v>9233.7245000000003</v>
      </c>
      <c r="CF31" s="59">
        <f>+CE31*3.3058</f>
        <v>30524.846452100002</v>
      </c>
      <c r="CG31" s="55">
        <f>+CA31*DX31</f>
        <v>9039.3303000000014</v>
      </c>
      <c r="CH31" s="59">
        <f>+CG31*3.3058</f>
        <v>29882.218105740005</v>
      </c>
      <c r="CI31" s="57">
        <f>+CA31*DY31</f>
        <v>8844.9361000000008</v>
      </c>
      <c r="CJ31" s="59">
        <f>+CI31*3.3058</f>
        <v>29239.589759380004</v>
      </c>
      <c r="CK31" s="55">
        <f>+CA31*DZ31</f>
        <v>8650.5419000000002</v>
      </c>
      <c r="CL31" s="59">
        <f>+CK31*3.3058</f>
        <v>28596.961413020003</v>
      </c>
      <c r="CM31" s="57">
        <f>+CA31*EA31</f>
        <v>8456.1477000000014</v>
      </c>
      <c r="CN31" s="59">
        <f>+CM31*3.3058</f>
        <v>27954.333066660005</v>
      </c>
      <c r="CO31" s="60">
        <f>+CA31*EB31</f>
        <v>8261.7535000000007</v>
      </c>
      <c r="CP31" s="59">
        <f>+CO31*3.3058</f>
        <v>27311.704720300004</v>
      </c>
      <c r="CQ31" s="57">
        <f>+CA31*EC31</f>
        <v>8067.3593000000001</v>
      </c>
      <c r="CR31" s="59">
        <f>+CQ31*3.3058</f>
        <v>26669.076373939999</v>
      </c>
      <c r="CS31" s="55">
        <f>+CA31*ED31</f>
        <v>7872.9651000000003</v>
      </c>
      <c r="CT31" s="59">
        <f>+CS31*3.3058</f>
        <v>26026.448027580002</v>
      </c>
      <c r="CU31" s="60">
        <f>+CA31*EE31</f>
        <v>7678.5708999999997</v>
      </c>
      <c r="CV31" s="59">
        <f>+CU31*3.3058</f>
        <v>25383.81968122</v>
      </c>
      <c r="CW31" s="60">
        <f>+CA31*EF31</f>
        <v>7484.1767</v>
      </c>
      <c r="CX31" s="59">
        <f>+CW31*3.3058</f>
        <v>24741.191334859999</v>
      </c>
      <c r="CY31" s="60">
        <f>+CA31*EG31</f>
        <v>7289.7824999999993</v>
      </c>
      <c r="CZ31" s="59">
        <f>+CY31*3.3058</f>
        <v>24098.562988499998</v>
      </c>
      <c r="DA31" s="55">
        <f>+CA31*EH31</f>
        <v>7095.3882999999996</v>
      </c>
      <c r="DB31" s="59">
        <f>+DA31*3.3058</f>
        <v>23455.934642140001</v>
      </c>
      <c r="DC31" s="60">
        <f>+CA31*EI31</f>
        <v>6900.994099999999</v>
      </c>
      <c r="DD31" s="59">
        <f>+DC31*3.3058</f>
        <v>22813.306295779996</v>
      </c>
      <c r="DE31" s="60">
        <f>+CA31*EJ31</f>
        <v>6706.5998999999993</v>
      </c>
      <c r="DF31" s="59">
        <f>+DE31*3.3058</f>
        <v>22170.677949419998</v>
      </c>
      <c r="DG31" s="60">
        <f>+CA31*EK31</f>
        <v>6512.2056999999986</v>
      </c>
      <c r="DH31" s="59">
        <f>+DG31*3.3058</f>
        <v>21528.049603059997</v>
      </c>
      <c r="DI31" s="60">
        <f>+CA31*EL31</f>
        <v>6317.8114999999989</v>
      </c>
      <c r="DJ31" s="59">
        <f>+DI31*3.3058</f>
        <v>20885.421256699996</v>
      </c>
      <c r="DK31" s="55">
        <f>+CA31*EM31</f>
        <v>6123.4172999999982</v>
      </c>
      <c r="DL31" s="59">
        <f>+DK31*3.3058</f>
        <v>20242.792910339995</v>
      </c>
      <c r="DM31" s="60">
        <f>+CA31*EN31</f>
        <v>5929.0230999999985</v>
      </c>
      <c r="DN31" s="59">
        <f>+DM31*3.3058</f>
        <v>19600.164563979997</v>
      </c>
      <c r="DO31" s="60">
        <f>+CA31*EO31</f>
        <v>5734.6288999999979</v>
      </c>
      <c r="DP31" s="59">
        <f>+DO31*3.3058</f>
        <v>18957.536217619992</v>
      </c>
      <c r="DQ31" s="55">
        <f>+CA31*EP31</f>
        <v>5540.2346999999982</v>
      </c>
      <c r="DR31" s="59">
        <f>+DQ31*3.3058</f>
        <v>18314.907871259995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8844.9361000000008</v>
      </c>
      <c r="ES31" s="55">
        <f t="shared" si="116"/>
        <v>8844.9361000000008</v>
      </c>
      <c r="ET31" s="59">
        <f t="shared" ref="ET31" si="145">+ES31*3.3058</f>
        <v>29239.589759380004</v>
      </c>
      <c r="EU31" s="55">
        <f>+ES31*GN31</f>
        <v>8579.588017</v>
      </c>
      <c r="EV31" s="59">
        <f>+EU31*3.3058</f>
        <v>28362.402066598599</v>
      </c>
      <c r="EW31" s="55">
        <f>+ES31*GO31</f>
        <v>8402.6892950000001</v>
      </c>
      <c r="EX31" s="59">
        <f>+EW31*3.3058</f>
        <v>27777.610271411002</v>
      </c>
      <c r="EY31" s="55">
        <f>+ES31*GP31</f>
        <v>8225.790573000002</v>
      </c>
      <c r="EZ31" s="59">
        <f>+EY31*3.3058</f>
        <v>27192.818476223409</v>
      </c>
      <c r="FA31" s="57">
        <f>+ES31*GQ31</f>
        <v>8048.8918510000012</v>
      </c>
      <c r="FB31" s="59">
        <f>+FA31*3.3058</f>
        <v>26608.026681035804</v>
      </c>
      <c r="FC31" s="55">
        <f>+ES31*GR31</f>
        <v>7871.9931290000004</v>
      </c>
      <c r="FD31" s="59">
        <f>+FC31*3.3058</f>
        <v>26023.234885848204</v>
      </c>
      <c r="FE31" s="57">
        <f>+ES31*GS31</f>
        <v>7695.0944070000005</v>
      </c>
      <c r="FF31" s="59">
        <f>+FE31*3.3058</f>
        <v>25438.443090660603</v>
      </c>
      <c r="FG31" s="60">
        <f>+ES31*GT31</f>
        <v>7518.1956850000006</v>
      </c>
      <c r="FH31" s="59">
        <f>+FG31*3.3058</f>
        <v>24853.651295473002</v>
      </c>
      <c r="FI31" s="57">
        <f>+ES31*GU31</f>
        <v>7341.2969630000007</v>
      </c>
      <c r="FJ31" s="59">
        <f>+FI31*3.3058</f>
        <v>24268.859500285402</v>
      </c>
      <c r="FK31" s="55">
        <f>+ES31*GV31</f>
        <v>7164.3982409999999</v>
      </c>
      <c r="FL31" s="59">
        <f>+FK31*3.3058</f>
        <v>23684.067705097801</v>
      </c>
      <c r="FM31" s="60">
        <f>+ES31*GW31</f>
        <v>6987.499519</v>
      </c>
      <c r="FN31" s="59">
        <f>+FM31*3.3058</f>
        <v>23099.2759099102</v>
      </c>
      <c r="FO31" s="60">
        <f>+ES31*GX31</f>
        <v>6810.6007970000001</v>
      </c>
      <c r="FP31" s="59">
        <f>+FO31*3.3058</f>
        <v>22514.4841147226</v>
      </c>
      <c r="FQ31" s="60">
        <f>+ES31*GY31</f>
        <v>6633.7020749999992</v>
      </c>
      <c r="FR31" s="59">
        <f>+FQ31*3.3058</f>
        <v>21929.692319534999</v>
      </c>
      <c r="FS31" s="55">
        <f>+ES31*GZ31</f>
        <v>6456.8033529999993</v>
      </c>
      <c r="FT31" s="59">
        <f>+FS31*3.3058</f>
        <v>21344.900524347398</v>
      </c>
      <c r="FU31" s="60">
        <f>+ES31*HA31</f>
        <v>6279.9046309999994</v>
      </c>
      <c r="FV31" s="59">
        <f>+FU31*3.3058</f>
        <v>20760.108729159798</v>
      </c>
      <c r="FW31" s="60">
        <f>+ES31*HB31</f>
        <v>6103.0059089999995</v>
      </c>
      <c r="FX31" s="59">
        <f>+FW31*3.3058</f>
        <v>20175.316933972197</v>
      </c>
      <c r="FY31" s="60">
        <f>+ES31*HC31</f>
        <v>5926.1071869999987</v>
      </c>
      <c r="FZ31" s="59">
        <f>+FY31*3.3058</f>
        <v>19590.525138784596</v>
      </c>
      <c r="GA31" s="60">
        <f>+ES31*HD31</f>
        <v>5749.2084649999988</v>
      </c>
      <c r="GB31" s="59">
        <f>+GA31*3.3058</f>
        <v>19005.733343596996</v>
      </c>
      <c r="GC31" s="55">
        <f>+ES31*HE31</f>
        <v>5572.3097429999989</v>
      </c>
      <c r="GD31" s="59">
        <f>+GC31*3.3058</f>
        <v>18420.941548409395</v>
      </c>
      <c r="GE31" s="60">
        <f>+ES31*HF31</f>
        <v>5395.4110209999981</v>
      </c>
      <c r="GF31" s="59">
        <f>+GE31*3.3058</f>
        <v>17836.149753221795</v>
      </c>
      <c r="GG31" s="60">
        <f>+ES31*HG31</f>
        <v>5218.5122989999982</v>
      </c>
      <c r="GH31" s="59">
        <f>+GG31*3.3058</f>
        <v>17251.357958034194</v>
      </c>
      <c r="GI31" s="55">
        <f>+ES31*HH31</f>
        <v>5041.6135769999983</v>
      </c>
      <c r="GJ31" s="59">
        <f>+GI31*3.3058</f>
        <v>16666.566162846593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x14ac:dyDescent="0.3">
      <c r="J32" s="55"/>
      <c r="W32" s="60"/>
      <c r="AC32" s="60"/>
      <c r="AE32" s="60"/>
      <c r="AG32" s="60"/>
      <c r="AK32" s="60"/>
      <c r="AM32" s="60"/>
      <c r="AO32" s="60"/>
      <c r="AQ32" s="60"/>
      <c r="AU32" s="60"/>
      <c r="AW32" s="60"/>
      <c r="BC32" s="55">
        <v>1</v>
      </c>
      <c r="BD32" s="55">
        <v>0.97</v>
      </c>
      <c r="BE32" s="55">
        <v>0.95</v>
      </c>
      <c r="BF32" s="55">
        <v>0.93</v>
      </c>
      <c r="BG32" s="55">
        <f t="shared" si="143"/>
        <v>0.91</v>
      </c>
      <c r="BH32" s="55">
        <f t="shared" si="143"/>
        <v>0.89</v>
      </c>
      <c r="BI32" s="55">
        <f t="shared" si="143"/>
        <v>0.87</v>
      </c>
      <c r="BJ32" s="55">
        <f t="shared" si="143"/>
        <v>0.85</v>
      </c>
      <c r="BK32" s="55">
        <f t="shared" si="143"/>
        <v>0.83</v>
      </c>
      <c r="BL32" s="55">
        <f t="shared" si="143"/>
        <v>0.80999999999999994</v>
      </c>
      <c r="BM32" s="55">
        <f t="shared" si="143"/>
        <v>0.78999999999999992</v>
      </c>
      <c r="BN32" s="55">
        <f t="shared" si="143"/>
        <v>0.76999999999999991</v>
      </c>
      <c r="BO32" s="55">
        <f t="shared" si="143"/>
        <v>0.74999999999999989</v>
      </c>
      <c r="BP32" s="55">
        <f t="shared" si="143"/>
        <v>0.72999999999999987</v>
      </c>
      <c r="BQ32" s="55">
        <f t="shared" si="143"/>
        <v>0.70999999999999985</v>
      </c>
      <c r="BR32" s="55">
        <f t="shared" si="143"/>
        <v>0.68999999999999984</v>
      </c>
      <c r="BS32" s="55">
        <f t="shared" si="143"/>
        <v>0.66999999999999982</v>
      </c>
      <c r="BT32" s="55">
        <f t="shared" si="143"/>
        <v>0.6499999999999998</v>
      </c>
      <c r="BU32" s="55">
        <f t="shared" si="143"/>
        <v>0.62999999999999978</v>
      </c>
      <c r="BV32" s="55">
        <f t="shared" si="143"/>
        <v>0.60999999999999976</v>
      </c>
      <c r="BW32" s="55">
        <f t="shared" si="143"/>
        <v>0.58999999999999975</v>
      </c>
      <c r="BX32" s="55">
        <f t="shared" si="143"/>
        <v>0.56999999999999973</v>
      </c>
      <c r="BZ32" s="55">
        <f t="shared" si="88"/>
        <v>0</v>
      </c>
      <c r="CI32" s="57"/>
      <c r="CM32" s="57"/>
      <c r="CO32" s="60"/>
      <c r="CQ32" s="57"/>
      <c r="CU32" s="60"/>
      <c r="CW32" s="60"/>
      <c r="CY32" s="60"/>
      <c r="DC32" s="60"/>
      <c r="DE32" s="60"/>
      <c r="DG32" s="60"/>
      <c r="DI32" s="60"/>
      <c r="DM32" s="60"/>
      <c r="DO32" s="60"/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4"/>
        <v>0.91</v>
      </c>
      <c r="DZ32" s="55">
        <f t="shared" si="114"/>
        <v>0.89</v>
      </c>
      <c r="EA32" s="55">
        <f t="shared" si="114"/>
        <v>0.87</v>
      </c>
      <c r="EB32" s="55">
        <f t="shared" si="114"/>
        <v>0.85</v>
      </c>
      <c r="EC32" s="55">
        <f t="shared" si="114"/>
        <v>0.83</v>
      </c>
      <c r="ED32" s="55">
        <f t="shared" si="114"/>
        <v>0.80999999999999994</v>
      </c>
      <c r="EE32" s="55">
        <f t="shared" si="114"/>
        <v>0.78999999999999992</v>
      </c>
      <c r="EF32" s="55">
        <f t="shared" si="114"/>
        <v>0.76999999999999991</v>
      </c>
      <c r="EG32" s="55">
        <f t="shared" si="114"/>
        <v>0.74999999999999989</v>
      </c>
      <c r="EH32" s="55">
        <f t="shared" si="114"/>
        <v>0.72999999999999987</v>
      </c>
      <c r="EI32" s="55">
        <f t="shared" si="114"/>
        <v>0.70999999999999985</v>
      </c>
      <c r="EJ32" s="55">
        <f t="shared" si="114"/>
        <v>0.68999999999999984</v>
      </c>
      <c r="EK32" s="55">
        <f t="shared" si="114"/>
        <v>0.66999999999999982</v>
      </c>
      <c r="EL32" s="55">
        <f t="shared" si="114"/>
        <v>0.6499999999999998</v>
      </c>
      <c r="EM32" s="55">
        <f t="shared" si="114"/>
        <v>0.62999999999999978</v>
      </c>
      <c r="EN32" s="55">
        <f t="shared" si="114"/>
        <v>0.60999999999999976</v>
      </c>
      <c r="EO32" s="55">
        <f t="shared" si="114"/>
        <v>0.58999999999999975</v>
      </c>
      <c r="EP32" s="55">
        <f t="shared" si="114"/>
        <v>0.56999999999999973</v>
      </c>
      <c r="ER32" s="55">
        <f t="shared" si="142"/>
        <v>0</v>
      </c>
      <c r="ES32" s="55"/>
      <c r="ET32" s="55"/>
      <c r="EU32" s="55"/>
      <c r="EV32" s="55"/>
      <c r="EW32" s="55"/>
      <c r="EX32" s="55"/>
      <c r="EY32" s="55"/>
      <c r="EZ32" s="55"/>
      <c r="FA32" s="57"/>
      <c r="FB32" s="55"/>
      <c r="FC32" s="55"/>
      <c r="FD32" s="55"/>
      <c r="FE32" s="57"/>
      <c r="FF32" s="55"/>
      <c r="FG32" s="60"/>
      <c r="FH32" s="55"/>
      <c r="FI32" s="57"/>
      <c r="FJ32" s="55"/>
      <c r="FK32" s="55"/>
      <c r="FL32" s="55"/>
      <c r="FM32" s="60"/>
      <c r="FN32" s="55"/>
      <c r="FO32" s="60"/>
      <c r="FP32" s="55"/>
      <c r="FQ32" s="60"/>
      <c r="FR32" s="55"/>
      <c r="FS32" s="55"/>
      <c r="FT32" s="55"/>
      <c r="FU32" s="60"/>
      <c r="FV32" s="55"/>
      <c r="FW32" s="60"/>
      <c r="FX32" s="55"/>
      <c r="FY32" s="60"/>
      <c r="FZ32" s="55"/>
      <c r="GA32" s="60"/>
      <c r="GB32" s="55"/>
      <c r="GC32" s="55"/>
      <c r="GD32" s="55"/>
      <c r="GE32" s="60"/>
      <c r="GF32" s="55"/>
      <c r="GG32" s="60"/>
      <c r="GH32" s="55"/>
      <c r="GI32" s="55"/>
      <c r="GJ32" s="55"/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1"/>
        <v>0.91</v>
      </c>
      <c r="GR32" s="55">
        <f t="shared" si="141"/>
        <v>0.89</v>
      </c>
      <c r="GS32" s="55">
        <f t="shared" si="141"/>
        <v>0.87</v>
      </c>
      <c r="GT32" s="55">
        <f t="shared" si="141"/>
        <v>0.85</v>
      </c>
      <c r="GU32" s="55">
        <f t="shared" si="141"/>
        <v>0.83</v>
      </c>
      <c r="GV32" s="55">
        <f t="shared" si="141"/>
        <v>0.80999999999999994</v>
      </c>
      <c r="GW32" s="55">
        <f t="shared" si="141"/>
        <v>0.78999999999999992</v>
      </c>
      <c r="GX32" s="55">
        <f t="shared" si="141"/>
        <v>0.76999999999999991</v>
      </c>
      <c r="GY32" s="55">
        <f t="shared" si="141"/>
        <v>0.74999999999999989</v>
      </c>
      <c r="GZ32" s="55">
        <f t="shared" si="141"/>
        <v>0.72999999999999987</v>
      </c>
      <c r="HA32" s="55">
        <f t="shared" si="141"/>
        <v>0.70999999999999985</v>
      </c>
      <c r="HB32" s="55">
        <f t="shared" si="141"/>
        <v>0.68999999999999984</v>
      </c>
      <c r="HC32" s="55">
        <f t="shared" si="141"/>
        <v>0.66999999999999982</v>
      </c>
      <c r="HD32" s="55">
        <f t="shared" si="141"/>
        <v>0.6499999999999998</v>
      </c>
      <c r="HE32" s="55">
        <f t="shared" si="141"/>
        <v>0.62999999999999978</v>
      </c>
      <c r="HF32" s="55">
        <f t="shared" si="141"/>
        <v>0.60999999999999976</v>
      </c>
      <c r="HG32" s="55">
        <f t="shared" si="141"/>
        <v>0.58999999999999975</v>
      </c>
      <c r="HH32" s="55">
        <f t="shared" si="141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293</v>
      </c>
      <c r="E33" s="35" t="s">
        <v>155</v>
      </c>
      <c r="J33" s="55"/>
      <c r="W33" s="60"/>
      <c r="AC33" s="60"/>
      <c r="AE33" s="60"/>
      <c r="AG33" s="60"/>
      <c r="AK33" s="60"/>
      <c r="AM33" s="60"/>
      <c r="AO33" s="60"/>
      <c r="AQ33" s="60"/>
      <c r="AU33" s="60"/>
      <c r="AW33" s="60"/>
      <c r="BC33" s="55">
        <v>1</v>
      </c>
      <c r="BD33" s="55">
        <v>0.97</v>
      </c>
      <c r="BE33" s="55">
        <v>0.95</v>
      </c>
      <c r="BF33" s="55">
        <v>0.93</v>
      </c>
      <c r="BG33" s="55">
        <f t="shared" si="143"/>
        <v>0.91</v>
      </c>
      <c r="BH33" s="55">
        <f t="shared" si="143"/>
        <v>0.89</v>
      </c>
      <c r="BI33" s="55">
        <f t="shared" si="143"/>
        <v>0.87</v>
      </c>
      <c r="BJ33" s="55">
        <f t="shared" si="143"/>
        <v>0.85</v>
      </c>
      <c r="BK33" s="55">
        <f t="shared" si="143"/>
        <v>0.83</v>
      </c>
      <c r="BL33" s="55">
        <f t="shared" si="143"/>
        <v>0.80999999999999994</v>
      </c>
      <c r="BM33" s="55">
        <f t="shared" si="143"/>
        <v>0.78999999999999992</v>
      </c>
      <c r="BN33" s="55">
        <f t="shared" si="143"/>
        <v>0.76999999999999991</v>
      </c>
      <c r="BO33" s="55">
        <f t="shared" si="143"/>
        <v>0.74999999999999989</v>
      </c>
      <c r="BP33" s="55">
        <f t="shared" si="143"/>
        <v>0.72999999999999987</v>
      </c>
      <c r="BQ33" s="55">
        <f t="shared" si="143"/>
        <v>0.70999999999999985</v>
      </c>
      <c r="BR33" s="55">
        <f t="shared" si="143"/>
        <v>0.68999999999999984</v>
      </c>
      <c r="BS33" s="55">
        <f t="shared" si="143"/>
        <v>0.66999999999999982</v>
      </c>
      <c r="BT33" s="55">
        <f t="shared" si="143"/>
        <v>0.6499999999999998</v>
      </c>
      <c r="BU33" s="55">
        <f t="shared" si="143"/>
        <v>0.62999999999999978</v>
      </c>
      <c r="BV33" s="55">
        <f t="shared" si="143"/>
        <v>0.60999999999999976</v>
      </c>
      <c r="BW33" s="55">
        <f t="shared" si="143"/>
        <v>0.58999999999999975</v>
      </c>
      <c r="BX33" s="55">
        <f t="shared" si="143"/>
        <v>0.56999999999999973</v>
      </c>
      <c r="BZ33" s="55">
        <f t="shared" si="88"/>
        <v>0</v>
      </c>
      <c r="CI33" s="57"/>
      <c r="CM33" s="57"/>
      <c r="CO33" s="60"/>
      <c r="CQ33" s="57"/>
      <c r="CU33" s="60"/>
      <c r="CW33" s="60"/>
      <c r="CY33" s="60"/>
      <c r="DC33" s="60"/>
      <c r="DE33" s="60"/>
      <c r="DG33" s="60"/>
      <c r="DI33" s="60"/>
      <c r="DM33" s="60"/>
      <c r="DO33" s="60"/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4"/>
        <v>0.91</v>
      </c>
      <c r="DZ33" s="55">
        <f t="shared" si="114"/>
        <v>0.89</v>
      </c>
      <c r="EA33" s="55">
        <f t="shared" si="114"/>
        <v>0.87</v>
      </c>
      <c r="EB33" s="55">
        <f t="shared" ref="EB33:EP33" si="146">+EA33-0.02</f>
        <v>0.85</v>
      </c>
      <c r="EC33" s="55">
        <f t="shared" si="146"/>
        <v>0.83</v>
      </c>
      <c r="ED33" s="55">
        <f t="shared" si="146"/>
        <v>0.80999999999999994</v>
      </c>
      <c r="EE33" s="55">
        <f t="shared" si="146"/>
        <v>0.78999999999999992</v>
      </c>
      <c r="EF33" s="55">
        <f t="shared" si="146"/>
        <v>0.76999999999999991</v>
      </c>
      <c r="EG33" s="55">
        <f t="shared" si="146"/>
        <v>0.74999999999999989</v>
      </c>
      <c r="EH33" s="55">
        <f t="shared" si="146"/>
        <v>0.72999999999999987</v>
      </c>
      <c r="EI33" s="55">
        <f t="shared" si="146"/>
        <v>0.70999999999999985</v>
      </c>
      <c r="EJ33" s="55">
        <f t="shared" si="146"/>
        <v>0.68999999999999984</v>
      </c>
      <c r="EK33" s="55">
        <f t="shared" si="146"/>
        <v>0.66999999999999982</v>
      </c>
      <c r="EL33" s="55">
        <f t="shared" si="146"/>
        <v>0.6499999999999998</v>
      </c>
      <c r="EM33" s="55">
        <f t="shared" si="146"/>
        <v>0.62999999999999978</v>
      </c>
      <c r="EN33" s="55">
        <f t="shared" si="146"/>
        <v>0.60999999999999976</v>
      </c>
      <c r="EO33" s="55">
        <f t="shared" si="146"/>
        <v>0.58999999999999975</v>
      </c>
      <c r="EP33" s="55">
        <f t="shared" si="146"/>
        <v>0.56999999999999973</v>
      </c>
      <c r="ER33" s="55">
        <f t="shared" si="142"/>
        <v>0</v>
      </c>
      <c r="ES33" s="55"/>
      <c r="ET33" s="55"/>
      <c r="EU33" s="55"/>
      <c r="EV33" s="55"/>
      <c r="EW33" s="55"/>
      <c r="EX33" s="55"/>
      <c r="EY33" s="55"/>
      <c r="EZ33" s="55"/>
      <c r="FA33" s="57"/>
      <c r="FB33" s="55"/>
      <c r="FC33" s="55"/>
      <c r="FD33" s="55"/>
      <c r="FE33" s="57"/>
      <c r="FF33" s="55"/>
      <c r="FG33" s="60"/>
      <c r="FH33" s="55"/>
      <c r="FI33" s="57"/>
      <c r="FJ33" s="55"/>
      <c r="FK33" s="55"/>
      <c r="FL33" s="55"/>
      <c r="FM33" s="60"/>
      <c r="FN33" s="55"/>
      <c r="FO33" s="60"/>
      <c r="FP33" s="55"/>
      <c r="FQ33" s="60"/>
      <c r="FR33" s="55"/>
      <c r="FS33" s="55"/>
      <c r="FT33" s="55"/>
      <c r="FU33" s="60"/>
      <c r="FV33" s="55"/>
      <c r="FW33" s="60"/>
      <c r="FX33" s="55"/>
      <c r="FY33" s="60"/>
      <c r="FZ33" s="55"/>
      <c r="GA33" s="60"/>
      <c r="GB33" s="55"/>
      <c r="GC33" s="55"/>
      <c r="GD33" s="55"/>
      <c r="GE33" s="60"/>
      <c r="GF33" s="55"/>
      <c r="GG33" s="60"/>
      <c r="GH33" s="55"/>
      <c r="GI33" s="55"/>
      <c r="GJ33" s="55"/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1"/>
        <v>0.91</v>
      </c>
      <c r="GR33" s="55">
        <f t="shared" si="141"/>
        <v>0.89</v>
      </c>
      <c r="GS33" s="55">
        <f t="shared" si="141"/>
        <v>0.87</v>
      </c>
      <c r="GT33" s="55">
        <f t="shared" ref="GT33:HH33" si="147">+GS33-0.02</f>
        <v>0.85</v>
      </c>
      <c r="GU33" s="55">
        <f t="shared" si="147"/>
        <v>0.83</v>
      </c>
      <c r="GV33" s="55">
        <f t="shared" si="147"/>
        <v>0.80999999999999994</v>
      </c>
      <c r="GW33" s="55">
        <f t="shared" si="147"/>
        <v>0.78999999999999992</v>
      </c>
      <c r="GX33" s="55">
        <f t="shared" si="147"/>
        <v>0.76999999999999991</v>
      </c>
      <c r="GY33" s="55">
        <f t="shared" si="147"/>
        <v>0.74999999999999989</v>
      </c>
      <c r="GZ33" s="55">
        <f t="shared" si="147"/>
        <v>0.72999999999999987</v>
      </c>
      <c r="HA33" s="55">
        <f t="shared" si="147"/>
        <v>0.70999999999999985</v>
      </c>
      <c r="HB33" s="55">
        <f t="shared" si="147"/>
        <v>0.68999999999999984</v>
      </c>
      <c r="HC33" s="55">
        <f t="shared" si="147"/>
        <v>0.66999999999999982</v>
      </c>
      <c r="HD33" s="55">
        <f t="shared" si="147"/>
        <v>0.6499999999999998</v>
      </c>
      <c r="HE33" s="55">
        <f t="shared" si="147"/>
        <v>0.62999999999999978</v>
      </c>
      <c r="HF33" s="55">
        <f t="shared" si="147"/>
        <v>0.60999999999999976</v>
      </c>
      <c r="HG33" s="55">
        <f t="shared" si="147"/>
        <v>0.58999999999999975</v>
      </c>
      <c r="HH33" s="55">
        <f t="shared" si="147"/>
        <v>0.56999999999999973</v>
      </c>
    </row>
    <row r="34" spans="1:216" x14ac:dyDescent="0.3">
      <c r="A34" s="2">
        <v>1</v>
      </c>
      <c r="C34" s="38" t="s">
        <v>15</v>
      </c>
      <c r="D34" s="40">
        <f>TRUNC(46141.4906888041,-1)</f>
        <v>46140</v>
      </c>
      <c r="E34" s="70">
        <f t="shared" ref="E34:E53" si="148">TRUNC(+D34*3.3058,-1)</f>
        <v>152520</v>
      </c>
      <c r="H34" s="55">
        <f t="shared" si="61"/>
        <v>167772</v>
      </c>
      <c r="I34" s="55">
        <f t="shared" si="62"/>
        <v>167772</v>
      </c>
      <c r="J34" s="59">
        <f t="shared" si="63"/>
        <v>554620.67760000005</v>
      </c>
      <c r="K34" s="55">
        <f t="shared" ref="K34:K54" si="149">+I34*BD34</f>
        <v>162738.84</v>
      </c>
      <c r="L34" s="59">
        <f t="shared" ref="L34:L54" si="150">+K34*3.3058</f>
        <v>537982.05727200001</v>
      </c>
      <c r="M34" s="55">
        <f t="shared" ref="M34:M54" si="151">+I34*BE34</f>
        <v>159383.4</v>
      </c>
      <c r="N34" s="59">
        <f t="shared" ref="N34:N54" si="152">+M34*3.3058</f>
        <v>526889.64371999993</v>
      </c>
      <c r="O34" s="55">
        <f t="shared" ref="O34:O54" si="153">+I34*BF34</f>
        <v>156027.96000000002</v>
      </c>
      <c r="P34" s="59">
        <f t="shared" ref="P34:P54" si="154">+O34*3.3058</f>
        <v>515797.2301680001</v>
      </c>
      <c r="Q34" s="57">
        <f t="shared" ref="Q34:Q54" si="155">+I34*BG34</f>
        <v>152672.52000000002</v>
      </c>
      <c r="R34" s="59">
        <f t="shared" ref="R34:R54" si="156">+Q34*3.3058</f>
        <v>504704.81661600008</v>
      </c>
      <c r="S34" s="55">
        <f t="shared" ref="S34:S54" si="157">+I34*BH34</f>
        <v>149317.08000000002</v>
      </c>
      <c r="T34" s="59">
        <f t="shared" ref="T34:T54" si="158">+S34*3.3058</f>
        <v>493612.40306400007</v>
      </c>
      <c r="U34" s="57">
        <f t="shared" ref="U34:U54" si="159">+I34*BI34</f>
        <v>145961.63999999998</v>
      </c>
      <c r="V34" s="59">
        <f t="shared" ref="V34:V54" si="160">+U34*3.3058</f>
        <v>482519.98951199994</v>
      </c>
      <c r="W34" s="60">
        <f t="shared" ref="W34:W54" si="161">+I34*BJ34</f>
        <v>142606.19999999998</v>
      </c>
      <c r="X34" s="59">
        <f t="shared" ref="X34:X54" si="162">+W34*3.3058</f>
        <v>471427.57595999993</v>
      </c>
      <c r="Y34" s="57">
        <f t="shared" ref="Y34:Y54" si="163">+I34*BK34</f>
        <v>139250.75999999998</v>
      </c>
      <c r="Z34" s="59">
        <f t="shared" ref="Z34:Z54" si="164">+Y34*3.3058</f>
        <v>460335.16240799992</v>
      </c>
      <c r="AA34" s="55">
        <f t="shared" ref="AA34:AA54" si="165">+I34*BL34</f>
        <v>135895.31999999998</v>
      </c>
      <c r="AB34" s="59">
        <f t="shared" ref="AB34:AB54" si="166">+AA34*3.3058</f>
        <v>449242.74885599996</v>
      </c>
      <c r="AC34" s="60">
        <f t="shared" ref="AC34:AC54" si="167">+I34*BM34</f>
        <v>132539.87999999998</v>
      </c>
      <c r="AD34" s="59">
        <f t="shared" ref="AD34:AD54" si="168">+AC34*3.3058</f>
        <v>438150.33530399995</v>
      </c>
      <c r="AE34" s="60">
        <f t="shared" ref="AE34:AE54" si="169">+I34*BN34</f>
        <v>129184.43999999999</v>
      </c>
      <c r="AF34" s="59">
        <f t="shared" ref="AF34:AF54" si="170">+AE34*3.3058</f>
        <v>427057.92175199999</v>
      </c>
      <c r="AG34" s="60">
        <f t="shared" ref="AG34:AG54" si="171">+I34*BO34</f>
        <v>125828.99999999999</v>
      </c>
      <c r="AH34" s="59">
        <f t="shared" ref="AH34:AH54" si="172">+AG34*3.3058</f>
        <v>415965.50819999998</v>
      </c>
      <c r="AI34" s="55">
        <f t="shared" ref="AI34:AI54" si="173">+I34*BP34</f>
        <v>122473.55999999998</v>
      </c>
      <c r="AJ34" s="59">
        <f t="shared" ref="AJ34:AJ54" si="174">+AI34*3.3058</f>
        <v>404873.09464799997</v>
      </c>
      <c r="AK34" s="60">
        <f t="shared" ref="AK34:AK54" si="175">+I34*BQ34</f>
        <v>119118.11999999998</v>
      </c>
      <c r="AL34" s="59">
        <f t="shared" ref="AL34:AL54" si="176">+AK34*3.3058</f>
        <v>393780.68109599996</v>
      </c>
      <c r="AM34" s="60">
        <f t="shared" ref="AM34:AM54" si="177">+I34*BR34</f>
        <v>115762.67999999998</v>
      </c>
      <c r="AN34" s="59">
        <f t="shared" ref="AN34:AN54" si="178">+AM34*3.3058</f>
        <v>382688.26754399994</v>
      </c>
      <c r="AO34" s="60">
        <f t="shared" ref="AO34:AO54" si="179">+I34*BS34</f>
        <v>112407.23999999998</v>
      </c>
      <c r="AP34" s="59">
        <f t="shared" ref="AP34:AP54" si="180">+AO34*3.3058</f>
        <v>371595.85399199993</v>
      </c>
      <c r="AQ34" s="60">
        <f t="shared" ref="AQ34:AQ54" si="181">+I34*BT34</f>
        <v>109051.79999999996</v>
      </c>
      <c r="AR34" s="59">
        <f t="shared" ref="AR34:AR54" si="182">+AQ34*3.3058</f>
        <v>360503.44043999986</v>
      </c>
      <c r="AS34" s="55">
        <f t="shared" ref="AS34:AS54" si="183">+I34*BU34</f>
        <v>105696.35999999996</v>
      </c>
      <c r="AT34" s="59">
        <f t="shared" ref="AT34:AT54" si="184">+AS34*3.3058</f>
        <v>349411.02688799985</v>
      </c>
      <c r="AU34" s="60">
        <f t="shared" ref="AU34:AU54" si="185">+I34*BV34</f>
        <v>102340.91999999995</v>
      </c>
      <c r="AV34" s="59">
        <f t="shared" ref="AV34:AV54" si="186">+AU34*3.3058</f>
        <v>338318.61333599983</v>
      </c>
      <c r="AW34" s="60">
        <f t="shared" ref="AW34:AW54" si="187">+I34*BW34</f>
        <v>98985.479999999952</v>
      </c>
      <c r="AX34" s="59">
        <f t="shared" ref="AX34:AX54" si="188">+AW34*3.3058</f>
        <v>327226.19978399982</v>
      </c>
      <c r="AY34" s="55">
        <f t="shared" ref="AY34:AY54" si="189">+I34*BX34</f>
        <v>95630.03999999995</v>
      </c>
      <c r="AZ34" s="59">
        <f t="shared" ref="AZ34:AZ54" si="190">+AY34*3.3058</f>
        <v>316133.78623199987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3"/>
        <v>0.91</v>
      </c>
      <c r="BH34" s="55">
        <f t="shared" si="143"/>
        <v>0.89</v>
      </c>
      <c r="BI34" s="55">
        <f t="shared" si="143"/>
        <v>0.87</v>
      </c>
      <c r="BJ34" s="55">
        <f t="shared" si="143"/>
        <v>0.85</v>
      </c>
      <c r="BK34" s="55">
        <f t="shared" si="143"/>
        <v>0.83</v>
      </c>
      <c r="BL34" s="55">
        <f t="shared" si="143"/>
        <v>0.80999999999999994</v>
      </c>
      <c r="BM34" s="55">
        <f t="shared" si="143"/>
        <v>0.78999999999999992</v>
      </c>
      <c r="BN34" s="55">
        <f t="shared" si="143"/>
        <v>0.76999999999999991</v>
      </c>
      <c r="BO34" s="55">
        <f t="shared" si="143"/>
        <v>0.74999999999999989</v>
      </c>
      <c r="BP34" s="55">
        <f t="shared" si="143"/>
        <v>0.72999999999999987</v>
      </c>
      <c r="BQ34" s="55">
        <f t="shared" si="143"/>
        <v>0.70999999999999985</v>
      </c>
      <c r="BR34" s="55">
        <f t="shared" si="143"/>
        <v>0.68999999999999984</v>
      </c>
      <c r="BS34" s="55">
        <f t="shared" si="143"/>
        <v>0.66999999999999982</v>
      </c>
      <c r="BT34" s="55">
        <f t="shared" si="143"/>
        <v>0.6499999999999998</v>
      </c>
      <c r="BU34" s="55">
        <f t="shared" si="143"/>
        <v>0.62999999999999978</v>
      </c>
      <c r="BV34" s="55">
        <f t="shared" si="143"/>
        <v>0.60999999999999976</v>
      </c>
      <c r="BW34" s="55">
        <f t="shared" si="143"/>
        <v>0.58999999999999975</v>
      </c>
      <c r="BX34" s="55">
        <f t="shared" si="143"/>
        <v>0.56999999999999973</v>
      </c>
      <c r="BZ34" s="55">
        <f t="shared" si="88"/>
        <v>152672.52000000002</v>
      </c>
      <c r="CA34" s="55">
        <f t="shared" si="89"/>
        <v>152672.52000000002</v>
      </c>
      <c r="CB34" s="59">
        <f t="shared" ref="CB34:CB54" si="191">+CA34*3.3058</f>
        <v>504704.81661600008</v>
      </c>
      <c r="CC34" s="55">
        <f t="shared" ref="CC34:CC54" si="192">+CA34*DV34</f>
        <v>148092.3444</v>
      </c>
      <c r="CD34" s="59">
        <f t="shared" ref="CD34:CD54" si="193">+CC34*3.3058</f>
        <v>489563.67211752001</v>
      </c>
      <c r="CE34" s="55">
        <f t="shared" ref="CE34:CE54" si="194">+CA34*DW34</f>
        <v>145038.894</v>
      </c>
      <c r="CF34" s="59">
        <f t="shared" ref="CF34:CF54" si="195">+CE34*3.3058</f>
        <v>479469.5757852</v>
      </c>
      <c r="CG34" s="55">
        <f t="shared" ref="CG34:CG54" si="196">+CA34*DX34</f>
        <v>141985.44360000003</v>
      </c>
      <c r="CH34" s="59">
        <f t="shared" ref="CH34:CH54" si="197">+CG34*3.3058</f>
        <v>469375.4794528801</v>
      </c>
      <c r="CI34" s="57">
        <f t="shared" ref="CI34:CI54" si="198">+CA34*DY34</f>
        <v>138931.99320000003</v>
      </c>
      <c r="CJ34" s="59">
        <f t="shared" ref="CJ34:CJ54" si="199">+CI34*3.3058</f>
        <v>459281.38312056009</v>
      </c>
      <c r="CK34" s="55">
        <f t="shared" ref="CK34:CK54" si="200">+CA34*DZ34</f>
        <v>135878.54280000002</v>
      </c>
      <c r="CL34" s="59">
        <f t="shared" ref="CL34:CL54" si="201">+CK34*3.3058</f>
        <v>449187.28678824008</v>
      </c>
      <c r="CM34" s="57">
        <f t="shared" ref="CM34:CM54" si="202">+CA34*EA34</f>
        <v>132825.09240000002</v>
      </c>
      <c r="CN34" s="59">
        <f t="shared" ref="CN34:CN54" si="203">+CM34*3.3058</f>
        <v>439093.19045592006</v>
      </c>
      <c r="CO34" s="60">
        <f t="shared" ref="CO34:CO54" si="204">+CA34*EB34</f>
        <v>129771.64200000001</v>
      </c>
      <c r="CP34" s="59">
        <f t="shared" ref="CP34:CP54" si="205">+CO34*3.3058</f>
        <v>428999.09412360005</v>
      </c>
      <c r="CQ34" s="57">
        <f t="shared" ref="CQ34:CQ54" si="206">+CA34*EC34</f>
        <v>126718.19160000001</v>
      </c>
      <c r="CR34" s="59">
        <f t="shared" ref="CR34:CR54" si="207">+CQ34*3.3058</f>
        <v>418904.99779128004</v>
      </c>
      <c r="CS34" s="55">
        <f t="shared" ref="CS34:CS54" si="208">+CA34*ED34</f>
        <v>123664.7412</v>
      </c>
      <c r="CT34" s="59">
        <f t="shared" ref="CT34:CT54" si="209">+CS34*3.3058</f>
        <v>408810.90145896003</v>
      </c>
      <c r="CU34" s="60">
        <f t="shared" ref="CU34:CU54" si="210">+CA34*EE34</f>
        <v>120611.2908</v>
      </c>
      <c r="CV34" s="59">
        <f t="shared" ref="CV34:CV54" si="211">+CU34*3.3058</f>
        <v>398716.80512664001</v>
      </c>
      <c r="CW34" s="60">
        <f t="shared" ref="CW34:CW54" si="212">+CA34*EF34</f>
        <v>117557.8404</v>
      </c>
      <c r="CX34" s="59">
        <f t="shared" ref="CX34:CX54" si="213">+CW34*3.3058</f>
        <v>388622.70879432</v>
      </c>
      <c r="CY34" s="60">
        <f t="shared" ref="CY34:CY54" si="214">+CA34*EG34</f>
        <v>114504.39</v>
      </c>
      <c r="CZ34" s="59">
        <f t="shared" ref="CZ34:CZ54" si="215">+CY34*3.3058</f>
        <v>378528.61246199999</v>
      </c>
      <c r="DA34" s="55">
        <f t="shared" ref="DA34:DA54" si="216">+CA34*EH34</f>
        <v>111450.9396</v>
      </c>
      <c r="DB34" s="59">
        <f t="shared" ref="DB34:DB54" si="217">+DA34*3.3058</f>
        <v>368434.51612967998</v>
      </c>
      <c r="DC34" s="60">
        <f t="shared" ref="DC34:DC54" si="218">+CA34*EI34</f>
        <v>108397.4892</v>
      </c>
      <c r="DD34" s="59">
        <f t="shared" ref="DD34:DD54" si="219">+DC34*3.3058</f>
        <v>358340.41979736002</v>
      </c>
      <c r="DE34" s="60">
        <f t="shared" ref="DE34:DE54" si="220">+CA34*EJ34</f>
        <v>105344.03879999999</v>
      </c>
      <c r="DF34" s="59">
        <f t="shared" ref="DF34:DF54" si="221">+DE34*3.3058</f>
        <v>348246.32346504001</v>
      </c>
      <c r="DG34" s="60">
        <f t="shared" ref="DG34:DG54" si="222">+CA34*EK34</f>
        <v>102290.58839999998</v>
      </c>
      <c r="DH34" s="59">
        <f t="shared" ref="DH34:DH54" si="223">+DG34*3.3058</f>
        <v>338152.22713271994</v>
      </c>
      <c r="DI34" s="60">
        <f t="shared" ref="DI34:DI54" si="224">+CA34*EL34</f>
        <v>99237.137999999977</v>
      </c>
      <c r="DJ34" s="59">
        <f t="shared" ref="DJ34:DJ54" si="225">+DI34*3.3058</f>
        <v>328058.13080039993</v>
      </c>
      <c r="DK34" s="55">
        <f t="shared" ref="DK34:DK54" si="226">+CA34*EM34</f>
        <v>96183.687599999976</v>
      </c>
      <c r="DL34" s="59">
        <f t="shared" ref="DL34:DL54" si="227">+DK34*3.3058</f>
        <v>317964.03446807992</v>
      </c>
      <c r="DM34" s="60">
        <f t="shared" ref="DM34:DM54" si="228">+CA34*EN34</f>
        <v>93130.237199999974</v>
      </c>
      <c r="DN34" s="59">
        <f t="shared" ref="DN34:DN54" si="229">+DM34*3.3058</f>
        <v>307869.9381357599</v>
      </c>
      <c r="DO34" s="60">
        <f t="shared" ref="DO34:DO54" si="230">+CA34*EO34</f>
        <v>90076.786799999973</v>
      </c>
      <c r="DP34" s="59">
        <f t="shared" ref="DP34:DP54" si="231">+DO34*3.3058</f>
        <v>297775.84180343989</v>
      </c>
      <c r="DQ34" s="55">
        <f t="shared" ref="DQ34:DQ54" si="232">+CA34*EP34</f>
        <v>87023.336399999971</v>
      </c>
      <c r="DR34" s="59">
        <f t="shared" ref="DR34:DR54" si="233">+DQ34*3.3058</f>
        <v>287681.74547111994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4">+DX34-0.02</f>
        <v>0.91</v>
      </c>
      <c r="DZ34" s="55">
        <f t="shared" si="234"/>
        <v>0.89</v>
      </c>
      <c r="EA34" s="55">
        <f t="shared" si="234"/>
        <v>0.87</v>
      </c>
      <c r="EB34" s="55">
        <f t="shared" si="234"/>
        <v>0.85</v>
      </c>
      <c r="EC34" s="55">
        <f t="shared" si="234"/>
        <v>0.83</v>
      </c>
      <c r="ED34" s="55">
        <f t="shared" si="234"/>
        <v>0.80999999999999994</v>
      </c>
      <c r="EE34" s="55">
        <f t="shared" si="234"/>
        <v>0.78999999999999992</v>
      </c>
      <c r="EF34" s="55">
        <f t="shared" si="234"/>
        <v>0.76999999999999991</v>
      </c>
      <c r="EG34" s="55">
        <f t="shared" si="234"/>
        <v>0.74999999999999989</v>
      </c>
      <c r="EH34" s="55">
        <f t="shared" si="234"/>
        <v>0.72999999999999987</v>
      </c>
      <c r="EI34" s="55">
        <f t="shared" si="234"/>
        <v>0.70999999999999985</v>
      </c>
      <c r="EJ34" s="55">
        <f t="shared" si="234"/>
        <v>0.68999999999999984</v>
      </c>
      <c r="EK34" s="55">
        <f t="shared" si="234"/>
        <v>0.66999999999999982</v>
      </c>
      <c r="EL34" s="55">
        <f t="shared" si="234"/>
        <v>0.6499999999999998</v>
      </c>
      <c r="EM34" s="55">
        <f t="shared" si="234"/>
        <v>0.62999999999999978</v>
      </c>
      <c r="EN34" s="55">
        <f t="shared" si="234"/>
        <v>0.60999999999999976</v>
      </c>
      <c r="EO34" s="55">
        <f t="shared" si="234"/>
        <v>0.58999999999999975</v>
      </c>
      <c r="EP34" s="55">
        <f t="shared" si="234"/>
        <v>0.56999999999999973</v>
      </c>
      <c r="ER34" s="55">
        <f t="shared" si="142"/>
        <v>138931.99320000003</v>
      </c>
      <c r="ES34" s="55">
        <f t="shared" si="116"/>
        <v>138931.99320000003</v>
      </c>
      <c r="ET34" s="59">
        <f t="shared" ref="ET34:ET54" si="235">+ES34*3.3058</f>
        <v>459281.38312056009</v>
      </c>
      <c r="EU34" s="55">
        <f t="shared" ref="EU34:EU54" si="236">+ES34*GN34</f>
        <v>134764.03340400002</v>
      </c>
      <c r="EV34" s="59">
        <f t="shared" ref="EV34:EV54" si="237">+EU34*3.3058</f>
        <v>445502.94162694324</v>
      </c>
      <c r="EW34" s="55">
        <f t="shared" ref="EW34:EW54" si="238">+ES34*GO34</f>
        <v>131985.39354000002</v>
      </c>
      <c r="EX34" s="59">
        <f t="shared" ref="EX34:EX54" si="239">+EW34*3.3058</f>
        <v>436317.31396453205</v>
      </c>
      <c r="EY34" s="55">
        <f t="shared" ref="EY34:EY54" si="240">+ES34*GP34</f>
        <v>129206.75367600004</v>
      </c>
      <c r="EZ34" s="59">
        <f t="shared" ref="EZ34:EZ54" si="241">+EY34*3.3058</f>
        <v>427131.68630212091</v>
      </c>
      <c r="FA34" s="57">
        <f t="shared" ref="FA34:FA54" si="242">+ES34*GQ34</f>
        <v>126428.11381200003</v>
      </c>
      <c r="FB34" s="59">
        <f t="shared" ref="FB34:FB54" si="243">+FA34*3.3058</f>
        <v>417946.05863970966</v>
      </c>
      <c r="FC34" s="55">
        <f t="shared" ref="FC34:FC54" si="244">+ES34*GR34</f>
        <v>123649.47394800003</v>
      </c>
      <c r="FD34" s="59">
        <f t="shared" ref="FD34:FD54" si="245">+FC34*3.3058</f>
        <v>408760.43097729853</v>
      </c>
      <c r="FE34" s="57">
        <f t="shared" ref="FE34:FE54" si="246">+ES34*GS34</f>
        <v>120870.83408400002</v>
      </c>
      <c r="FF34" s="59">
        <f t="shared" ref="FF34:FF54" si="247">+FE34*3.3058</f>
        <v>399574.80331488728</v>
      </c>
      <c r="FG34" s="60">
        <f t="shared" ref="FG34:FG54" si="248">+ES34*GT34</f>
        <v>118092.19422000002</v>
      </c>
      <c r="FH34" s="59">
        <f t="shared" ref="FH34:FH54" si="249">+FG34*3.3058</f>
        <v>390389.17565247609</v>
      </c>
      <c r="FI34" s="57">
        <f t="shared" ref="FI34:FI54" si="250">+ES34*GU34</f>
        <v>115313.55435600002</v>
      </c>
      <c r="FJ34" s="59">
        <f t="shared" ref="FJ34:FJ54" si="251">+FI34*3.3058</f>
        <v>381203.54799006489</v>
      </c>
      <c r="FK34" s="55">
        <f t="shared" ref="FK34:FK54" si="252">+ES34*GV34</f>
        <v>112534.91449200001</v>
      </c>
      <c r="FL34" s="59">
        <f t="shared" ref="FL34:FL54" si="253">+FK34*3.3058</f>
        <v>372017.92032765364</v>
      </c>
      <c r="FM34" s="60">
        <f t="shared" ref="FM34:FM54" si="254">+ES34*GW34</f>
        <v>109756.27462800001</v>
      </c>
      <c r="FN34" s="59">
        <f t="shared" ref="FN34:FN54" si="255">+FM34*3.3058</f>
        <v>362832.29266524245</v>
      </c>
      <c r="FO34" s="60">
        <f t="shared" ref="FO34:FO54" si="256">+ES34*GX34</f>
        <v>106977.634764</v>
      </c>
      <c r="FP34" s="59">
        <f t="shared" ref="FP34:FP54" si="257">+FO34*3.3058</f>
        <v>353646.6650028312</v>
      </c>
      <c r="FQ34" s="60">
        <f t="shared" ref="FQ34:FQ54" si="258">+ES34*GY34</f>
        <v>104198.99490000001</v>
      </c>
      <c r="FR34" s="59">
        <f t="shared" ref="FR34:FR54" si="259">+FQ34*3.3058</f>
        <v>344461.03734042001</v>
      </c>
      <c r="FS34" s="55">
        <f t="shared" ref="FS34:FS54" si="260">+ES34*GZ34</f>
        <v>101420.35503600001</v>
      </c>
      <c r="FT34" s="59">
        <f t="shared" ref="FT34:FT54" si="261">+FS34*3.3058</f>
        <v>335275.40967800881</v>
      </c>
      <c r="FU34" s="60">
        <f t="shared" ref="FU34:FU54" si="262">+ES34*HA34</f>
        <v>98641.715171999997</v>
      </c>
      <c r="FV34" s="59">
        <f t="shared" ref="FV34:FV54" si="263">+FU34*3.3058</f>
        <v>326089.78201559762</v>
      </c>
      <c r="FW34" s="60">
        <f t="shared" ref="FW34:FW54" si="264">+ES34*HB34</f>
        <v>95863.075307999999</v>
      </c>
      <c r="FX34" s="59">
        <f t="shared" ref="FX34:FX54" si="265">+FW34*3.3058</f>
        <v>316904.15435318643</v>
      </c>
      <c r="FY34" s="60">
        <f t="shared" ref="FY34:FY54" si="266">+ES34*HC34</f>
        <v>93084.435443999988</v>
      </c>
      <c r="FZ34" s="59">
        <f t="shared" ref="FZ34:FZ54" si="267">+FY34*3.3058</f>
        <v>307718.52669077518</v>
      </c>
      <c r="GA34" s="60">
        <f t="shared" ref="GA34:GA54" si="268">+ES34*HD34</f>
        <v>90305.795579999991</v>
      </c>
      <c r="GB34" s="59">
        <f t="shared" ref="GB34:GB54" si="269">+GA34*3.3058</f>
        <v>298532.89902836399</v>
      </c>
      <c r="GC34" s="55">
        <f t="shared" ref="GC34:GC54" si="270">+ES34*HE34</f>
        <v>87527.155715999979</v>
      </c>
      <c r="GD34" s="59">
        <f t="shared" ref="GD34:GD54" si="271">+GC34*3.3058</f>
        <v>289347.27136595274</v>
      </c>
      <c r="GE34" s="60">
        <f t="shared" ref="GE34:GE54" si="272">+ES34*HF34</f>
        <v>84748.515851999982</v>
      </c>
      <c r="GF34" s="59">
        <f t="shared" ref="GF34:GF54" si="273">+GE34*3.3058</f>
        <v>280161.64370354154</v>
      </c>
      <c r="GG34" s="60">
        <f t="shared" ref="GG34:GG54" si="274">+ES34*HG34</f>
        <v>81969.875987999985</v>
      </c>
      <c r="GH34" s="59">
        <f t="shared" ref="GH34:GH54" si="275">+GG34*3.3058</f>
        <v>270976.01604113035</v>
      </c>
      <c r="GI34" s="55">
        <f t="shared" ref="GI34:GI54" si="276">+ES34*HH34</f>
        <v>79191.236123999974</v>
      </c>
      <c r="GJ34" s="59">
        <f t="shared" ref="GJ34:GJ54" si="277">+GI34*3.3058</f>
        <v>261790.38837871913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78">+GP34-0.02</f>
        <v>0.91</v>
      </c>
      <c r="GR34" s="55">
        <f t="shared" si="278"/>
        <v>0.89</v>
      </c>
      <c r="GS34" s="55">
        <f t="shared" si="278"/>
        <v>0.87</v>
      </c>
      <c r="GT34" s="55">
        <f t="shared" si="278"/>
        <v>0.85</v>
      </c>
      <c r="GU34" s="55">
        <f t="shared" si="278"/>
        <v>0.83</v>
      </c>
      <c r="GV34" s="55">
        <f t="shared" si="278"/>
        <v>0.80999999999999994</v>
      </c>
      <c r="GW34" s="55">
        <f t="shared" si="278"/>
        <v>0.78999999999999992</v>
      </c>
      <c r="GX34" s="55">
        <f t="shared" si="278"/>
        <v>0.76999999999999991</v>
      </c>
      <c r="GY34" s="55">
        <f t="shared" si="278"/>
        <v>0.74999999999999989</v>
      </c>
      <c r="GZ34" s="55">
        <f t="shared" si="278"/>
        <v>0.72999999999999987</v>
      </c>
      <c r="HA34" s="55">
        <f t="shared" si="278"/>
        <v>0.70999999999999985</v>
      </c>
      <c r="HB34" s="55">
        <f t="shared" si="278"/>
        <v>0.68999999999999984</v>
      </c>
      <c r="HC34" s="55">
        <f t="shared" si="278"/>
        <v>0.66999999999999982</v>
      </c>
      <c r="HD34" s="55">
        <f t="shared" si="278"/>
        <v>0.6499999999999998</v>
      </c>
      <c r="HE34" s="55">
        <f t="shared" si="278"/>
        <v>0.62999999999999978</v>
      </c>
      <c r="HF34" s="55">
        <f t="shared" si="278"/>
        <v>0.60999999999999976</v>
      </c>
      <c r="HG34" s="55">
        <f t="shared" si="278"/>
        <v>0.58999999999999975</v>
      </c>
      <c r="HH34" s="55">
        <f t="shared" si="278"/>
        <v>0.56999999999999973</v>
      </c>
    </row>
    <row r="35" spans="1:216" x14ac:dyDescent="0.3">
      <c r="A35" s="2">
        <v>2</v>
      </c>
      <c r="C35" s="38" t="s">
        <v>13</v>
      </c>
      <c r="D35" s="42">
        <f>TRUNC(139213.415750505,-1)</f>
        <v>139210</v>
      </c>
      <c r="E35" s="71">
        <f t="shared" si="148"/>
        <v>460200</v>
      </c>
      <c r="H35" s="55">
        <f t="shared" si="61"/>
        <v>506220.00000000006</v>
      </c>
      <c r="I35" s="55">
        <f t="shared" si="62"/>
        <v>506220.00000000006</v>
      </c>
      <c r="J35" s="59">
        <f t="shared" si="63"/>
        <v>1673462.0760000001</v>
      </c>
      <c r="K35" s="55">
        <f t="shared" si="149"/>
        <v>491033.4</v>
      </c>
      <c r="L35" s="59">
        <f t="shared" si="150"/>
        <v>1623258.2137200001</v>
      </c>
      <c r="M35" s="55">
        <f t="shared" si="151"/>
        <v>480909.00000000006</v>
      </c>
      <c r="N35" s="59">
        <f t="shared" si="152"/>
        <v>1589788.9722000002</v>
      </c>
      <c r="O35" s="55">
        <f t="shared" si="153"/>
        <v>470784.60000000009</v>
      </c>
      <c r="P35" s="59">
        <f t="shared" si="154"/>
        <v>1556319.7306800003</v>
      </c>
      <c r="Q35" s="57">
        <f t="shared" si="155"/>
        <v>460660.20000000007</v>
      </c>
      <c r="R35" s="59">
        <f t="shared" si="156"/>
        <v>1522850.4891600003</v>
      </c>
      <c r="S35" s="55">
        <f t="shared" si="157"/>
        <v>450535.80000000005</v>
      </c>
      <c r="T35" s="59">
        <f t="shared" si="158"/>
        <v>1489381.2476400002</v>
      </c>
      <c r="U35" s="57">
        <f t="shared" si="159"/>
        <v>440411.4</v>
      </c>
      <c r="V35" s="59">
        <f t="shared" si="160"/>
        <v>1455912.00612</v>
      </c>
      <c r="W35" s="60">
        <f t="shared" si="161"/>
        <v>430287.00000000006</v>
      </c>
      <c r="X35" s="59">
        <f t="shared" si="162"/>
        <v>1422442.7646000001</v>
      </c>
      <c r="Y35" s="57">
        <f t="shared" si="163"/>
        <v>420162.60000000003</v>
      </c>
      <c r="Z35" s="59">
        <f t="shared" si="164"/>
        <v>1388973.5230800002</v>
      </c>
      <c r="AA35" s="55">
        <f t="shared" si="165"/>
        <v>410038.2</v>
      </c>
      <c r="AB35" s="59">
        <f t="shared" si="166"/>
        <v>1355504.28156</v>
      </c>
      <c r="AC35" s="60">
        <f t="shared" si="167"/>
        <v>399913.8</v>
      </c>
      <c r="AD35" s="59">
        <f t="shared" si="168"/>
        <v>1322035.0400399999</v>
      </c>
      <c r="AE35" s="60">
        <f t="shared" si="169"/>
        <v>389789.4</v>
      </c>
      <c r="AF35" s="59">
        <f t="shared" si="170"/>
        <v>1288565.7985200002</v>
      </c>
      <c r="AG35" s="60">
        <f t="shared" si="171"/>
        <v>379665</v>
      </c>
      <c r="AH35" s="59">
        <f t="shared" si="172"/>
        <v>1255096.557</v>
      </c>
      <c r="AI35" s="55">
        <f t="shared" si="173"/>
        <v>369540.6</v>
      </c>
      <c r="AJ35" s="59">
        <f t="shared" si="174"/>
        <v>1221627.3154799999</v>
      </c>
      <c r="AK35" s="60">
        <f t="shared" si="175"/>
        <v>359416.19999999995</v>
      </c>
      <c r="AL35" s="59">
        <f t="shared" si="176"/>
        <v>1188158.07396</v>
      </c>
      <c r="AM35" s="60">
        <f t="shared" si="177"/>
        <v>349291.79999999993</v>
      </c>
      <c r="AN35" s="59">
        <f t="shared" si="178"/>
        <v>1154688.8324399998</v>
      </c>
      <c r="AO35" s="60">
        <f t="shared" si="179"/>
        <v>339167.39999999997</v>
      </c>
      <c r="AP35" s="59">
        <f t="shared" si="180"/>
        <v>1121219.5909199999</v>
      </c>
      <c r="AQ35" s="60">
        <f t="shared" si="181"/>
        <v>329042.99999999994</v>
      </c>
      <c r="AR35" s="59">
        <f t="shared" si="182"/>
        <v>1087750.3493999997</v>
      </c>
      <c r="AS35" s="55">
        <f t="shared" si="183"/>
        <v>318918.59999999992</v>
      </c>
      <c r="AT35" s="59">
        <f t="shared" si="184"/>
        <v>1054281.1078799998</v>
      </c>
      <c r="AU35" s="60">
        <f t="shared" si="185"/>
        <v>308794.1999999999</v>
      </c>
      <c r="AV35" s="59">
        <f t="shared" si="186"/>
        <v>1020811.8663599996</v>
      </c>
      <c r="AW35" s="60">
        <f t="shared" si="187"/>
        <v>298669.79999999993</v>
      </c>
      <c r="AX35" s="59">
        <f t="shared" si="188"/>
        <v>987342.62483999983</v>
      </c>
      <c r="AY35" s="55">
        <f t="shared" si="189"/>
        <v>288545.39999999991</v>
      </c>
      <c r="AZ35" s="59">
        <f t="shared" si="190"/>
        <v>953873.38331999967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3"/>
        <v>0.91</v>
      </c>
      <c r="BH35" s="55">
        <f t="shared" si="143"/>
        <v>0.89</v>
      </c>
      <c r="BI35" s="55">
        <f t="shared" si="143"/>
        <v>0.87</v>
      </c>
      <c r="BJ35" s="55">
        <f t="shared" si="143"/>
        <v>0.85</v>
      </c>
      <c r="BK35" s="55">
        <f t="shared" si="143"/>
        <v>0.83</v>
      </c>
      <c r="BL35" s="55">
        <f t="shared" si="143"/>
        <v>0.80999999999999994</v>
      </c>
      <c r="BM35" s="55">
        <f t="shared" si="143"/>
        <v>0.78999999999999992</v>
      </c>
      <c r="BN35" s="55">
        <f t="shared" si="143"/>
        <v>0.76999999999999991</v>
      </c>
      <c r="BO35" s="55">
        <f t="shared" si="143"/>
        <v>0.74999999999999989</v>
      </c>
      <c r="BP35" s="55">
        <f t="shared" si="143"/>
        <v>0.72999999999999987</v>
      </c>
      <c r="BQ35" s="55">
        <f t="shared" si="143"/>
        <v>0.70999999999999985</v>
      </c>
      <c r="BR35" s="55">
        <f t="shared" si="143"/>
        <v>0.68999999999999984</v>
      </c>
      <c r="BS35" s="55">
        <f t="shared" si="143"/>
        <v>0.66999999999999982</v>
      </c>
      <c r="BT35" s="55">
        <f t="shared" si="143"/>
        <v>0.6499999999999998</v>
      </c>
      <c r="BU35" s="55">
        <f t="shared" si="143"/>
        <v>0.62999999999999978</v>
      </c>
      <c r="BV35" s="55">
        <f t="shared" si="143"/>
        <v>0.60999999999999976</v>
      </c>
      <c r="BW35" s="55">
        <f t="shared" si="143"/>
        <v>0.58999999999999975</v>
      </c>
      <c r="BX35" s="55">
        <f t="shared" si="143"/>
        <v>0.56999999999999973</v>
      </c>
      <c r="BZ35" s="55">
        <f t="shared" si="88"/>
        <v>460660.20000000007</v>
      </c>
      <c r="CA35" s="55">
        <f t="shared" si="89"/>
        <v>460660.20000000007</v>
      </c>
      <c r="CB35" s="59">
        <f t="shared" si="191"/>
        <v>1522850.4891600003</v>
      </c>
      <c r="CC35" s="55">
        <f t="shared" si="192"/>
        <v>446840.39400000003</v>
      </c>
      <c r="CD35" s="59">
        <f t="shared" si="193"/>
        <v>1477164.9744852001</v>
      </c>
      <c r="CE35" s="55">
        <f t="shared" si="194"/>
        <v>437627.19000000006</v>
      </c>
      <c r="CF35" s="59">
        <f t="shared" si="195"/>
        <v>1446707.9647020001</v>
      </c>
      <c r="CG35" s="55">
        <f t="shared" si="196"/>
        <v>428413.98600000009</v>
      </c>
      <c r="CH35" s="59">
        <f t="shared" si="197"/>
        <v>1416250.9549188004</v>
      </c>
      <c r="CI35" s="57">
        <f t="shared" si="198"/>
        <v>419200.78200000006</v>
      </c>
      <c r="CJ35" s="59">
        <f t="shared" si="199"/>
        <v>1385793.9451356002</v>
      </c>
      <c r="CK35" s="55">
        <f t="shared" si="200"/>
        <v>409987.5780000001</v>
      </c>
      <c r="CL35" s="59">
        <f t="shared" si="201"/>
        <v>1355336.9353524004</v>
      </c>
      <c r="CM35" s="57">
        <f t="shared" si="202"/>
        <v>400774.37400000007</v>
      </c>
      <c r="CN35" s="59">
        <f t="shared" si="203"/>
        <v>1324879.9255692002</v>
      </c>
      <c r="CO35" s="60">
        <f t="shared" si="204"/>
        <v>391561.17000000004</v>
      </c>
      <c r="CP35" s="59">
        <f t="shared" si="205"/>
        <v>1294422.9157860002</v>
      </c>
      <c r="CQ35" s="57">
        <f t="shared" si="206"/>
        <v>382347.96600000001</v>
      </c>
      <c r="CR35" s="59">
        <f t="shared" si="207"/>
        <v>1263965.9060028</v>
      </c>
      <c r="CS35" s="55">
        <f t="shared" si="208"/>
        <v>373134.76200000005</v>
      </c>
      <c r="CT35" s="59">
        <f t="shared" si="209"/>
        <v>1233508.8962196002</v>
      </c>
      <c r="CU35" s="60">
        <f t="shared" si="210"/>
        <v>363921.55800000002</v>
      </c>
      <c r="CV35" s="59">
        <f t="shared" si="211"/>
        <v>1203051.8864364</v>
      </c>
      <c r="CW35" s="60">
        <f t="shared" si="212"/>
        <v>354708.35399999999</v>
      </c>
      <c r="CX35" s="59">
        <f t="shared" si="213"/>
        <v>1172594.8766532</v>
      </c>
      <c r="CY35" s="60">
        <f t="shared" si="214"/>
        <v>345495.15</v>
      </c>
      <c r="CZ35" s="59">
        <f t="shared" si="215"/>
        <v>1142137.86687</v>
      </c>
      <c r="DA35" s="55">
        <f t="shared" si="216"/>
        <v>336281.946</v>
      </c>
      <c r="DB35" s="59">
        <f t="shared" si="217"/>
        <v>1111680.8570868</v>
      </c>
      <c r="DC35" s="60">
        <f t="shared" si="218"/>
        <v>327068.74199999997</v>
      </c>
      <c r="DD35" s="59">
        <f t="shared" si="219"/>
        <v>1081223.8473035998</v>
      </c>
      <c r="DE35" s="60">
        <f t="shared" si="220"/>
        <v>317855.538</v>
      </c>
      <c r="DF35" s="59">
        <f t="shared" si="221"/>
        <v>1050766.8375204001</v>
      </c>
      <c r="DG35" s="60">
        <f t="shared" si="222"/>
        <v>308642.33399999997</v>
      </c>
      <c r="DH35" s="59">
        <f t="shared" si="223"/>
        <v>1020309.8277372</v>
      </c>
      <c r="DI35" s="60">
        <f t="shared" si="224"/>
        <v>299429.12999999995</v>
      </c>
      <c r="DJ35" s="59">
        <f t="shared" si="225"/>
        <v>989852.81795399985</v>
      </c>
      <c r="DK35" s="55">
        <f t="shared" si="226"/>
        <v>290215.92599999992</v>
      </c>
      <c r="DL35" s="59">
        <f t="shared" si="227"/>
        <v>959395.80817079975</v>
      </c>
      <c r="DM35" s="60">
        <f t="shared" si="228"/>
        <v>281002.72199999995</v>
      </c>
      <c r="DN35" s="59">
        <f t="shared" si="229"/>
        <v>928938.79838759988</v>
      </c>
      <c r="DO35" s="60">
        <f t="shared" si="230"/>
        <v>271789.51799999992</v>
      </c>
      <c r="DP35" s="59">
        <f t="shared" si="231"/>
        <v>898481.78860439977</v>
      </c>
      <c r="DQ35" s="55">
        <f t="shared" si="232"/>
        <v>262576.3139999999</v>
      </c>
      <c r="DR35" s="59">
        <f t="shared" si="233"/>
        <v>868024.77882119967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4"/>
        <v>0.91</v>
      </c>
      <c r="DZ35" s="55">
        <f t="shared" si="234"/>
        <v>0.89</v>
      </c>
      <c r="EA35" s="55">
        <f t="shared" si="234"/>
        <v>0.87</v>
      </c>
      <c r="EB35" s="55">
        <f t="shared" si="234"/>
        <v>0.85</v>
      </c>
      <c r="EC35" s="55">
        <f t="shared" si="234"/>
        <v>0.83</v>
      </c>
      <c r="ED35" s="55">
        <f t="shared" si="234"/>
        <v>0.80999999999999994</v>
      </c>
      <c r="EE35" s="55">
        <f t="shared" si="234"/>
        <v>0.78999999999999992</v>
      </c>
      <c r="EF35" s="55">
        <f t="shared" si="234"/>
        <v>0.76999999999999991</v>
      </c>
      <c r="EG35" s="55">
        <f t="shared" si="234"/>
        <v>0.74999999999999989</v>
      </c>
      <c r="EH35" s="55">
        <f t="shared" si="234"/>
        <v>0.72999999999999987</v>
      </c>
      <c r="EI35" s="55">
        <f t="shared" si="234"/>
        <v>0.70999999999999985</v>
      </c>
      <c r="EJ35" s="55">
        <f t="shared" si="234"/>
        <v>0.68999999999999984</v>
      </c>
      <c r="EK35" s="55">
        <f t="shared" si="234"/>
        <v>0.66999999999999982</v>
      </c>
      <c r="EL35" s="55">
        <f t="shared" si="234"/>
        <v>0.6499999999999998</v>
      </c>
      <c r="EM35" s="55">
        <f t="shared" si="234"/>
        <v>0.62999999999999978</v>
      </c>
      <c r="EN35" s="55">
        <f t="shared" si="234"/>
        <v>0.60999999999999976</v>
      </c>
      <c r="EO35" s="55">
        <f t="shared" si="234"/>
        <v>0.58999999999999975</v>
      </c>
      <c r="EP35" s="55">
        <f t="shared" si="234"/>
        <v>0.56999999999999973</v>
      </c>
      <c r="ER35" s="55">
        <f t="shared" si="142"/>
        <v>419200.78200000006</v>
      </c>
      <c r="ES35" s="55">
        <f t="shared" si="116"/>
        <v>419200.78200000006</v>
      </c>
      <c r="ET35" s="59">
        <f t="shared" si="235"/>
        <v>1385793.9451356002</v>
      </c>
      <c r="EU35" s="55">
        <f t="shared" si="236"/>
        <v>406624.75854000007</v>
      </c>
      <c r="EV35" s="59">
        <f t="shared" si="237"/>
        <v>1344220.1267815323</v>
      </c>
      <c r="EW35" s="55">
        <f t="shared" si="238"/>
        <v>398240.74290000007</v>
      </c>
      <c r="EX35" s="59">
        <f t="shared" si="239"/>
        <v>1316504.2478788202</v>
      </c>
      <c r="EY35" s="55">
        <f t="shared" si="240"/>
        <v>389856.72726000007</v>
      </c>
      <c r="EZ35" s="59">
        <f t="shared" si="241"/>
        <v>1288788.3689761083</v>
      </c>
      <c r="FA35" s="57">
        <f t="shared" si="242"/>
        <v>381472.71162000007</v>
      </c>
      <c r="FB35" s="59">
        <f t="shared" si="243"/>
        <v>1261072.4900733964</v>
      </c>
      <c r="FC35" s="55">
        <f t="shared" si="244"/>
        <v>373088.69598000008</v>
      </c>
      <c r="FD35" s="59">
        <f t="shared" si="245"/>
        <v>1233356.6111706842</v>
      </c>
      <c r="FE35" s="57">
        <f t="shared" si="246"/>
        <v>364704.68034000008</v>
      </c>
      <c r="FF35" s="59">
        <f t="shared" si="247"/>
        <v>1205640.7322679723</v>
      </c>
      <c r="FG35" s="60">
        <f t="shared" si="248"/>
        <v>356320.66470000002</v>
      </c>
      <c r="FH35" s="59">
        <f t="shared" si="249"/>
        <v>1177924.8533652602</v>
      </c>
      <c r="FI35" s="57">
        <f t="shared" si="250"/>
        <v>347936.64906000003</v>
      </c>
      <c r="FJ35" s="59">
        <f t="shared" si="251"/>
        <v>1150208.974462548</v>
      </c>
      <c r="FK35" s="55">
        <f t="shared" si="252"/>
        <v>339552.63342000003</v>
      </c>
      <c r="FL35" s="59">
        <f t="shared" si="253"/>
        <v>1122493.0955598361</v>
      </c>
      <c r="FM35" s="60">
        <f t="shared" si="254"/>
        <v>331168.61778000003</v>
      </c>
      <c r="FN35" s="59">
        <f t="shared" si="255"/>
        <v>1094777.2166571242</v>
      </c>
      <c r="FO35" s="60">
        <f t="shared" si="256"/>
        <v>322784.60214000003</v>
      </c>
      <c r="FP35" s="59">
        <f t="shared" si="257"/>
        <v>1067061.3377544121</v>
      </c>
      <c r="FQ35" s="60">
        <f t="shared" si="258"/>
        <v>314400.58649999998</v>
      </c>
      <c r="FR35" s="59">
        <f t="shared" si="259"/>
        <v>1039345.4588517</v>
      </c>
      <c r="FS35" s="55">
        <f t="shared" si="260"/>
        <v>306016.57085999998</v>
      </c>
      <c r="FT35" s="59">
        <f t="shared" si="261"/>
        <v>1011629.5799489879</v>
      </c>
      <c r="FU35" s="60">
        <f t="shared" si="262"/>
        <v>297632.55521999998</v>
      </c>
      <c r="FV35" s="59">
        <f t="shared" si="263"/>
        <v>983913.70104627591</v>
      </c>
      <c r="FW35" s="60">
        <f t="shared" si="264"/>
        <v>289248.53957999998</v>
      </c>
      <c r="FX35" s="59">
        <f t="shared" si="265"/>
        <v>956197.822143564</v>
      </c>
      <c r="FY35" s="60">
        <f t="shared" si="266"/>
        <v>280864.52393999998</v>
      </c>
      <c r="FZ35" s="59">
        <f t="shared" si="267"/>
        <v>928481.94324085198</v>
      </c>
      <c r="GA35" s="60">
        <f t="shared" si="268"/>
        <v>272480.50829999999</v>
      </c>
      <c r="GB35" s="59">
        <f t="shared" si="269"/>
        <v>900766.06433813996</v>
      </c>
      <c r="GC35" s="55">
        <f t="shared" si="270"/>
        <v>264096.49265999993</v>
      </c>
      <c r="GD35" s="59">
        <f t="shared" si="271"/>
        <v>873050.18543542782</v>
      </c>
      <c r="GE35" s="60">
        <f t="shared" si="272"/>
        <v>255712.47701999993</v>
      </c>
      <c r="GF35" s="59">
        <f t="shared" si="273"/>
        <v>845334.3065327158</v>
      </c>
      <c r="GG35" s="60">
        <f t="shared" si="274"/>
        <v>247328.46137999994</v>
      </c>
      <c r="GH35" s="59">
        <f t="shared" si="275"/>
        <v>817618.42763000377</v>
      </c>
      <c r="GI35" s="55">
        <f t="shared" si="276"/>
        <v>238944.44573999994</v>
      </c>
      <c r="GJ35" s="59">
        <f t="shared" si="277"/>
        <v>789902.54872729175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78"/>
        <v>0.91</v>
      </c>
      <c r="GR35" s="55">
        <f t="shared" si="278"/>
        <v>0.89</v>
      </c>
      <c r="GS35" s="55">
        <f t="shared" si="278"/>
        <v>0.87</v>
      </c>
      <c r="GT35" s="55">
        <f t="shared" si="278"/>
        <v>0.85</v>
      </c>
      <c r="GU35" s="55">
        <f t="shared" si="278"/>
        <v>0.83</v>
      </c>
      <c r="GV35" s="55">
        <f t="shared" si="278"/>
        <v>0.80999999999999994</v>
      </c>
      <c r="GW35" s="55">
        <f t="shared" si="278"/>
        <v>0.78999999999999992</v>
      </c>
      <c r="GX35" s="55">
        <f t="shared" si="278"/>
        <v>0.76999999999999991</v>
      </c>
      <c r="GY35" s="55">
        <f t="shared" si="278"/>
        <v>0.74999999999999989</v>
      </c>
      <c r="GZ35" s="55">
        <f t="shared" si="278"/>
        <v>0.72999999999999987</v>
      </c>
      <c r="HA35" s="55">
        <f t="shared" si="278"/>
        <v>0.70999999999999985</v>
      </c>
      <c r="HB35" s="55">
        <f t="shared" si="278"/>
        <v>0.68999999999999984</v>
      </c>
      <c r="HC35" s="55">
        <f t="shared" si="278"/>
        <v>0.66999999999999982</v>
      </c>
      <c r="HD35" s="55">
        <f t="shared" si="278"/>
        <v>0.6499999999999998</v>
      </c>
      <c r="HE35" s="55">
        <f t="shared" si="278"/>
        <v>0.62999999999999978</v>
      </c>
      <c r="HF35" s="55">
        <f t="shared" si="278"/>
        <v>0.60999999999999976</v>
      </c>
      <c r="HG35" s="55">
        <f t="shared" si="278"/>
        <v>0.58999999999999975</v>
      </c>
      <c r="HH35" s="55">
        <f t="shared" si="278"/>
        <v>0.56999999999999973</v>
      </c>
    </row>
    <row r="36" spans="1:216" x14ac:dyDescent="0.3">
      <c r="A36" s="2">
        <v>3</v>
      </c>
      <c r="C36" s="38" t="s">
        <v>14</v>
      </c>
      <c r="D36" s="42">
        <f>TRUNC(6373.53735696657,-1)</f>
        <v>6370</v>
      </c>
      <c r="E36" s="71">
        <f t="shared" si="148"/>
        <v>21050</v>
      </c>
      <c r="H36" s="55">
        <f t="shared" si="61"/>
        <v>23155.000000000004</v>
      </c>
      <c r="I36" s="55">
        <f t="shared" si="62"/>
        <v>23155.000000000004</v>
      </c>
      <c r="J36" s="59">
        <f t="shared" si="63"/>
        <v>76545.799000000014</v>
      </c>
      <c r="K36" s="55">
        <f t="shared" si="149"/>
        <v>22460.350000000002</v>
      </c>
      <c r="L36" s="59">
        <f t="shared" si="150"/>
        <v>74249.425030000013</v>
      </c>
      <c r="M36" s="55">
        <f t="shared" si="151"/>
        <v>21997.250000000004</v>
      </c>
      <c r="N36" s="59">
        <f t="shared" si="152"/>
        <v>72718.509050000008</v>
      </c>
      <c r="O36" s="55">
        <f t="shared" si="153"/>
        <v>21534.150000000005</v>
      </c>
      <c r="P36" s="59">
        <f t="shared" si="154"/>
        <v>71187.593070000017</v>
      </c>
      <c r="Q36" s="57">
        <f t="shared" si="155"/>
        <v>21071.050000000003</v>
      </c>
      <c r="R36" s="59">
        <f t="shared" si="156"/>
        <v>69656.677090000012</v>
      </c>
      <c r="S36" s="55">
        <f t="shared" si="157"/>
        <v>20607.950000000004</v>
      </c>
      <c r="T36" s="59">
        <f t="shared" si="158"/>
        <v>68125.761110000021</v>
      </c>
      <c r="U36" s="57">
        <f t="shared" si="159"/>
        <v>20144.850000000002</v>
      </c>
      <c r="V36" s="59">
        <f t="shared" si="160"/>
        <v>66594.845130000002</v>
      </c>
      <c r="W36" s="60">
        <f t="shared" si="161"/>
        <v>19681.750000000004</v>
      </c>
      <c r="X36" s="59">
        <f t="shared" si="162"/>
        <v>65063.929150000011</v>
      </c>
      <c r="Y36" s="57">
        <f t="shared" si="163"/>
        <v>19218.650000000001</v>
      </c>
      <c r="Z36" s="59">
        <f t="shared" si="164"/>
        <v>63533.013170000006</v>
      </c>
      <c r="AA36" s="55">
        <f t="shared" si="165"/>
        <v>18755.550000000003</v>
      </c>
      <c r="AB36" s="59">
        <f t="shared" si="166"/>
        <v>62002.097190000008</v>
      </c>
      <c r="AC36" s="60">
        <f t="shared" si="167"/>
        <v>18292.45</v>
      </c>
      <c r="AD36" s="59">
        <f t="shared" si="168"/>
        <v>60471.181210000002</v>
      </c>
      <c r="AE36" s="60">
        <f t="shared" si="169"/>
        <v>17829.350000000002</v>
      </c>
      <c r="AF36" s="59">
        <f t="shared" si="170"/>
        <v>58940.265230000012</v>
      </c>
      <c r="AG36" s="60">
        <f t="shared" si="171"/>
        <v>17366.25</v>
      </c>
      <c r="AH36" s="59">
        <f t="shared" si="172"/>
        <v>57409.349249999999</v>
      </c>
      <c r="AI36" s="55">
        <f t="shared" si="173"/>
        <v>16903.150000000001</v>
      </c>
      <c r="AJ36" s="59">
        <f t="shared" si="174"/>
        <v>55878.433270000009</v>
      </c>
      <c r="AK36" s="60">
        <f t="shared" si="175"/>
        <v>16440.05</v>
      </c>
      <c r="AL36" s="59">
        <f t="shared" si="176"/>
        <v>54347.517289999996</v>
      </c>
      <c r="AM36" s="60">
        <f t="shared" si="177"/>
        <v>15976.949999999999</v>
      </c>
      <c r="AN36" s="59">
        <f t="shared" si="178"/>
        <v>52816.601309999998</v>
      </c>
      <c r="AO36" s="60">
        <f t="shared" si="179"/>
        <v>15513.849999999999</v>
      </c>
      <c r="AP36" s="59">
        <f t="shared" si="180"/>
        <v>51285.685329999993</v>
      </c>
      <c r="AQ36" s="60">
        <f t="shared" si="181"/>
        <v>15050.749999999998</v>
      </c>
      <c r="AR36" s="59">
        <f t="shared" si="182"/>
        <v>49754.769349999995</v>
      </c>
      <c r="AS36" s="55">
        <f t="shared" si="183"/>
        <v>14587.649999999998</v>
      </c>
      <c r="AT36" s="59">
        <f t="shared" si="184"/>
        <v>48223.853369999997</v>
      </c>
      <c r="AU36" s="60">
        <f t="shared" si="185"/>
        <v>14124.549999999997</v>
      </c>
      <c r="AV36" s="59">
        <f t="shared" si="186"/>
        <v>46692.937389999992</v>
      </c>
      <c r="AW36" s="60">
        <f t="shared" si="187"/>
        <v>13661.449999999997</v>
      </c>
      <c r="AX36" s="59">
        <f t="shared" si="188"/>
        <v>45162.021409999994</v>
      </c>
      <c r="AY36" s="55">
        <f t="shared" si="189"/>
        <v>13198.349999999995</v>
      </c>
      <c r="AZ36" s="59">
        <f t="shared" si="190"/>
        <v>43631.105429999981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3"/>
        <v>0.91</v>
      </c>
      <c r="BH36" s="55">
        <f t="shared" si="143"/>
        <v>0.89</v>
      </c>
      <c r="BI36" s="55">
        <f t="shared" si="143"/>
        <v>0.87</v>
      </c>
      <c r="BJ36" s="55">
        <f t="shared" si="143"/>
        <v>0.85</v>
      </c>
      <c r="BK36" s="55">
        <f t="shared" si="143"/>
        <v>0.83</v>
      </c>
      <c r="BL36" s="55">
        <f t="shared" si="143"/>
        <v>0.80999999999999994</v>
      </c>
      <c r="BM36" s="55">
        <f t="shared" si="143"/>
        <v>0.78999999999999992</v>
      </c>
      <c r="BN36" s="55">
        <f t="shared" si="143"/>
        <v>0.76999999999999991</v>
      </c>
      <c r="BO36" s="55">
        <f t="shared" si="143"/>
        <v>0.74999999999999989</v>
      </c>
      <c r="BP36" s="55">
        <f t="shared" si="143"/>
        <v>0.72999999999999987</v>
      </c>
      <c r="BQ36" s="55">
        <f t="shared" si="143"/>
        <v>0.70999999999999985</v>
      </c>
      <c r="BR36" s="55">
        <f t="shared" si="143"/>
        <v>0.68999999999999984</v>
      </c>
      <c r="BS36" s="55">
        <f t="shared" si="143"/>
        <v>0.66999999999999982</v>
      </c>
      <c r="BT36" s="55">
        <f t="shared" si="143"/>
        <v>0.6499999999999998</v>
      </c>
      <c r="BU36" s="55">
        <f t="shared" si="143"/>
        <v>0.62999999999999978</v>
      </c>
      <c r="BV36" s="55">
        <f t="shared" si="143"/>
        <v>0.60999999999999976</v>
      </c>
      <c r="BW36" s="55">
        <f t="shared" si="143"/>
        <v>0.58999999999999975</v>
      </c>
      <c r="BX36" s="55">
        <f t="shared" si="143"/>
        <v>0.56999999999999973</v>
      </c>
      <c r="BZ36" s="55">
        <f t="shared" si="88"/>
        <v>21071.050000000003</v>
      </c>
      <c r="CA36" s="55">
        <f t="shared" si="89"/>
        <v>21071.050000000003</v>
      </c>
      <c r="CB36" s="59">
        <f t="shared" si="191"/>
        <v>69656.677090000012</v>
      </c>
      <c r="CC36" s="55">
        <f t="shared" si="192"/>
        <v>20438.918500000003</v>
      </c>
      <c r="CD36" s="59">
        <f t="shared" si="193"/>
        <v>67566.976777300006</v>
      </c>
      <c r="CE36" s="55">
        <f t="shared" si="194"/>
        <v>20017.497500000001</v>
      </c>
      <c r="CF36" s="59">
        <f t="shared" si="195"/>
        <v>66173.843235500011</v>
      </c>
      <c r="CG36" s="55">
        <f t="shared" si="196"/>
        <v>19596.076500000003</v>
      </c>
      <c r="CH36" s="59">
        <f t="shared" si="197"/>
        <v>64780.70969370001</v>
      </c>
      <c r="CI36" s="57">
        <f t="shared" si="198"/>
        <v>19174.655500000004</v>
      </c>
      <c r="CJ36" s="59">
        <f t="shared" si="199"/>
        <v>63387.576151900015</v>
      </c>
      <c r="CK36" s="55">
        <f t="shared" si="200"/>
        <v>18753.234500000002</v>
      </c>
      <c r="CL36" s="59">
        <f t="shared" si="201"/>
        <v>61994.442610100006</v>
      </c>
      <c r="CM36" s="57">
        <f t="shared" si="202"/>
        <v>18331.813500000004</v>
      </c>
      <c r="CN36" s="59">
        <f t="shared" si="203"/>
        <v>60601.309068300012</v>
      </c>
      <c r="CO36" s="60">
        <f t="shared" si="204"/>
        <v>17910.392500000002</v>
      </c>
      <c r="CP36" s="59">
        <f t="shared" si="205"/>
        <v>59208.17552650001</v>
      </c>
      <c r="CQ36" s="57">
        <f t="shared" si="206"/>
        <v>17488.971500000003</v>
      </c>
      <c r="CR36" s="59">
        <f t="shared" si="207"/>
        <v>57815.041984700016</v>
      </c>
      <c r="CS36" s="55">
        <f t="shared" si="208"/>
        <v>17067.550500000001</v>
      </c>
      <c r="CT36" s="59">
        <f t="shared" si="209"/>
        <v>56421.908442900007</v>
      </c>
      <c r="CU36" s="60">
        <f t="shared" si="210"/>
        <v>16646.129499999999</v>
      </c>
      <c r="CV36" s="59">
        <f t="shared" si="211"/>
        <v>55028.774901099998</v>
      </c>
      <c r="CW36" s="60">
        <f t="shared" si="212"/>
        <v>16224.708500000001</v>
      </c>
      <c r="CX36" s="59">
        <f t="shared" si="213"/>
        <v>53635.641359300003</v>
      </c>
      <c r="CY36" s="60">
        <f t="shared" si="214"/>
        <v>15803.2875</v>
      </c>
      <c r="CZ36" s="59">
        <f t="shared" si="215"/>
        <v>52242.507817500002</v>
      </c>
      <c r="DA36" s="55">
        <f t="shared" si="216"/>
        <v>15381.8665</v>
      </c>
      <c r="DB36" s="59">
        <f t="shared" si="217"/>
        <v>50849.3742757</v>
      </c>
      <c r="DC36" s="60">
        <f t="shared" si="218"/>
        <v>14960.4455</v>
      </c>
      <c r="DD36" s="59">
        <f t="shared" si="219"/>
        <v>49456.240733899998</v>
      </c>
      <c r="DE36" s="60">
        <f t="shared" si="220"/>
        <v>14539.024499999998</v>
      </c>
      <c r="DF36" s="59">
        <f t="shared" si="221"/>
        <v>48063.107192099997</v>
      </c>
      <c r="DG36" s="60">
        <f t="shared" si="222"/>
        <v>14117.603499999997</v>
      </c>
      <c r="DH36" s="59">
        <f t="shared" si="223"/>
        <v>46669.973650299995</v>
      </c>
      <c r="DI36" s="60">
        <f t="shared" si="224"/>
        <v>13696.182499999997</v>
      </c>
      <c r="DJ36" s="59">
        <f t="shared" si="225"/>
        <v>45276.840108499993</v>
      </c>
      <c r="DK36" s="55">
        <f t="shared" si="226"/>
        <v>13274.761499999997</v>
      </c>
      <c r="DL36" s="59">
        <f t="shared" si="227"/>
        <v>43883.706566699992</v>
      </c>
      <c r="DM36" s="60">
        <f t="shared" si="228"/>
        <v>12853.340499999997</v>
      </c>
      <c r="DN36" s="59">
        <f t="shared" si="229"/>
        <v>42490.57302489999</v>
      </c>
      <c r="DO36" s="60">
        <f t="shared" si="230"/>
        <v>12431.919499999996</v>
      </c>
      <c r="DP36" s="59">
        <f t="shared" si="231"/>
        <v>41097.439483099988</v>
      </c>
      <c r="DQ36" s="55">
        <f t="shared" si="232"/>
        <v>12010.498499999996</v>
      </c>
      <c r="DR36" s="59">
        <f t="shared" si="233"/>
        <v>39704.305941299986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4"/>
        <v>0.91</v>
      </c>
      <c r="DZ36" s="55">
        <f t="shared" si="234"/>
        <v>0.89</v>
      </c>
      <c r="EA36" s="55">
        <f t="shared" si="234"/>
        <v>0.87</v>
      </c>
      <c r="EB36" s="55">
        <f t="shared" si="234"/>
        <v>0.85</v>
      </c>
      <c r="EC36" s="55">
        <f t="shared" si="234"/>
        <v>0.83</v>
      </c>
      <c r="ED36" s="55">
        <f t="shared" si="234"/>
        <v>0.80999999999999994</v>
      </c>
      <c r="EE36" s="55">
        <f t="shared" si="234"/>
        <v>0.78999999999999992</v>
      </c>
      <c r="EF36" s="55">
        <f t="shared" si="234"/>
        <v>0.76999999999999991</v>
      </c>
      <c r="EG36" s="55">
        <f t="shared" si="234"/>
        <v>0.74999999999999989</v>
      </c>
      <c r="EH36" s="55">
        <f t="shared" si="234"/>
        <v>0.72999999999999987</v>
      </c>
      <c r="EI36" s="55">
        <f t="shared" si="234"/>
        <v>0.70999999999999985</v>
      </c>
      <c r="EJ36" s="55">
        <f t="shared" si="234"/>
        <v>0.68999999999999984</v>
      </c>
      <c r="EK36" s="55">
        <f t="shared" si="234"/>
        <v>0.66999999999999982</v>
      </c>
      <c r="EL36" s="55">
        <f t="shared" si="234"/>
        <v>0.6499999999999998</v>
      </c>
      <c r="EM36" s="55">
        <f t="shared" si="234"/>
        <v>0.62999999999999978</v>
      </c>
      <c r="EN36" s="55">
        <f t="shared" si="234"/>
        <v>0.60999999999999976</v>
      </c>
      <c r="EO36" s="55">
        <f t="shared" si="234"/>
        <v>0.58999999999999975</v>
      </c>
      <c r="EP36" s="55">
        <f t="shared" si="234"/>
        <v>0.56999999999999973</v>
      </c>
      <c r="ER36" s="55">
        <f t="shared" si="142"/>
        <v>19174.655500000004</v>
      </c>
      <c r="ES36" s="55">
        <f t="shared" si="116"/>
        <v>19174.655500000004</v>
      </c>
      <c r="ET36" s="59">
        <f t="shared" si="235"/>
        <v>63387.576151900015</v>
      </c>
      <c r="EU36" s="55">
        <f t="shared" si="236"/>
        <v>18599.415835000003</v>
      </c>
      <c r="EV36" s="59">
        <f t="shared" si="237"/>
        <v>61485.94886734301</v>
      </c>
      <c r="EW36" s="55">
        <f t="shared" si="238"/>
        <v>18215.922725000004</v>
      </c>
      <c r="EX36" s="59">
        <f t="shared" si="239"/>
        <v>60218.197344305016</v>
      </c>
      <c r="EY36" s="55">
        <f t="shared" si="240"/>
        <v>17832.429615000005</v>
      </c>
      <c r="EZ36" s="59">
        <f t="shared" si="241"/>
        <v>58950.445821267014</v>
      </c>
      <c r="FA36" s="57">
        <f t="shared" si="242"/>
        <v>17448.936505000005</v>
      </c>
      <c r="FB36" s="59">
        <f t="shared" si="243"/>
        <v>57682.69429822902</v>
      </c>
      <c r="FC36" s="55">
        <f t="shared" si="244"/>
        <v>17065.443395000006</v>
      </c>
      <c r="FD36" s="59">
        <f t="shared" si="245"/>
        <v>56414.942775191019</v>
      </c>
      <c r="FE36" s="57">
        <f t="shared" si="246"/>
        <v>16681.950285000003</v>
      </c>
      <c r="FF36" s="59">
        <f t="shared" si="247"/>
        <v>55147.19125215301</v>
      </c>
      <c r="FG36" s="60">
        <f t="shared" si="248"/>
        <v>16298.457175000003</v>
      </c>
      <c r="FH36" s="59">
        <f t="shared" si="249"/>
        <v>53879.439729115009</v>
      </c>
      <c r="FI36" s="57">
        <f t="shared" si="250"/>
        <v>15914.964065000004</v>
      </c>
      <c r="FJ36" s="59">
        <f t="shared" si="251"/>
        <v>52611.688206077015</v>
      </c>
      <c r="FK36" s="55">
        <f t="shared" si="252"/>
        <v>15531.470955000003</v>
      </c>
      <c r="FL36" s="59">
        <f t="shared" si="253"/>
        <v>51343.936683039006</v>
      </c>
      <c r="FM36" s="60">
        <f t="shared" si="254"/>
        <v>15147.977845000001</v>
      </c>
      <c r="FN36" s="59">
        <f t="shared" si="255"/>
        <v>50076.185160001005</v>
      </c>
      <c r="FO36" s="60">
        <f t="shared" si="256"/>
        <v>14764.484735000002</v>
      </c>
      <c r="FP36" s="59">
        <f t="shared" si="257"/>
        <v>48808.433636963004</v>
      </c>
      <c r="FQ36" s="60">
        <f t="shared" si="258"/>
        <v>14380.991625000001</v>
      </c>
      <c r="FR36" s="59">
        <f t="shared" si="259"/>
        <v>47540.682113925002</v>
      </c>
      <c r="FS36" s="55">
        <f t="shared" si="260"/>
        <v>13997.498515000001</v>
      </c>
      <c r="FT36" s="59">
        <f t="shared" si="261"/>
        <v>46272.930590887008</v>
      </c>
      <c r="FU36" s="60">
        <f t="shared" si="262"/>
        <v>13614.005405</v>
      </c>
      <c r="FV36" s="59">
        <f t="shared" si="263"/>
        <v>45005.179067849</v>
      </c>
      <c r="FW36" s="60">
        <f t="shared" si="264"/>
        <v>13230.512295</v>
      </c>
      <c r="FX36" s="59">
        <f t="shared" si="265"/>
        <v>43737.427544811006</v>
      </c>
      <c r="FY36" s="60">
        <f t="shared" si="266"/>
        <v>12847.019184999999</v>
      </c>
      <c r="FZ36" s="59">
        <f t="shared" si="267"/>
        <v>42469.676021772997</v>
      </c>
      <c r="GA36" s="60">
        <f t="shared" si="268"/>
        <v>12463.526075</v>
      </c>
      <c r="GB36" s="59">
        <f t="shared" si="269"/>
        <v>41201.924498735003</v>
      </c>
      <c r="GC36" s="55">
        <f t="shared" si="270"/>
        <v>12080.032964999999</v>
      </c>
      <c r="GD36" s="59">
        <f t="shared" si="271"/>
        <v>39934.172975696994</v>
      </c>
      <c r="GE36" s="60">
        <f t="shared" si="272"/>
        <v>11696.539854999997</v>
      </c>
      <c r="GF36" s="59">
        <f t="shared" si="273"/>
        <v>38666.421452658993</v>
      </c>
      <c r="GG36" s="60">
        <f t="shared" si="274"/>
        <v>11313.046744999998</v>
      </c>
      <c r="GH36" s="59">
        <f t="shared" si="275"/>
        <v>37398.669929620992</v>
      </c>
      <c r="GI36" s="55">
        <f t="shared" si="276"/>
        <v>10929.553634999997</v>
      </c>
      <c r="GJ36" s="59">
        <f t="shared" si="277"/>
        <v>36130.91840658299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78"/>
        <v>0.91</v>
      </c>
      <c r="GR36" s="55">
        <f t="shared" si="278"/>
        <v>0.89</v>
      </c>
      <c r="GS36" s="55">
        <f t="shared" si="278"/>
        <v>0.87</v>
      </c>
      <c r="GT36" s="55">
        <f t="shared" si="278"/>
        <v>0.85</v>
      </c>
      <c r="GU36" s="55">
        <f t="shared" si="278"/>
        <v>0.83</v>
      </c>
      <c r="GV36" s="55">
        <f t="shared" si="278"/>
        <v>0.80999999999999994</v>
      </c>
      <c r="GW36" s="55">
        <f t="shared" si="278"/>
        <v>0.78999999999999992</v>
      </c>
      <c r="GX36" s="55">
        <f t="shared" si="278"/>
        <v>0.76999999999999991</v>
      </c>
      <c r="GY36" s="55">
        <f t="shared" si="278"/>
        <v>0.74999999999999989</v>
      </c>
      <c r="GZ36" s="55">
        <f t="shared" si="278"/>
        <v>0.72999999999999987</v>
      </c>
      <c r="HA36" s="55">
        <f t="shared" si="278"/>
        <v>0.70999999999999985</v>
      </c>
      <c r="HB36" s="55">
        <f t="shared" si="278"/>
        <v>0.68999999999999984</v>
      </c>
      <c r="HC36" s="55">
        <f t="shared" si="278"/>
        <v>0.66999999999999982</v>
      </c>
      <c r="HD36" s="55">
        <f t="shared" si="278"/>
        <v>0.6499999999999998</v>
      </c>
      <c r="HE36" s="55">
        <f t="shared" si="278"/>
        <v>0.62999999999999978</v>
      </c>
      <c r="HF36" s="55">
        <f t="shared" si="278"/>
        <v>0.60999999999999976</v>
      </c>
      <c r="HG36" s="55">
        <f t="shared" si="278"/>
        <v>0.58999999999999975</v>
      </c>
      <c r="HH36" s="55">
        <f t="shared" si="278"/>
        <v>0.56999999999999973</v>
      </c>
    </row>
    <row r="37" spans="1:216" x14ac:dyDescent="0.3">
      <c r="A37" s="2">
        <v>4</v>
      </c>
      <c r="C37" s="38" t="s">
        <v>16</v>
      </c>
      <c r="D37" s="42">
        <f>TRUNC(39576.4597262733,-1)</f>
        <v>39570</v>
      </c>
      <c r="E37" s="71">
        <f t="shared" si="148"/>
        <v>130810</v>
      </c>
      <c r="H37" s="55">
        <f t="shared" si="61"/>
        <v>143891</v>
      </c>
      <c r="I37" s="55">
        <f t="shared" si="62"/>
        <v>143891</v>
      </c>
      <c r="J37" s="59">
        <f t="shared" si="63"/>
        <v>475674.86780000001</v>
      </c>
      <c r="K37" s="55">
        <f t="shared" si="149"/>
        <v>139574.26999999999</v>
      </c>
      <c r="L37" s="59">
        <f t="shared" si="150"/>
        <v>461404.621766</v>
      </c>
      <c r="M37" s="55">
        <f t="shared" si="151"/>
        <v>136696.44999999998</v>
      </c>
      <c r="N37" s="59">
        <f t="shared" si="152"/>
        <v>451891.12440999993</v>
      </c>
      <c r="O37" s="55">
        <f t="shared" si="153"/>
        <v>133818.63</v>
      </c>
      <c r="P37" s="59">
        <f t="shared" si="154"/>
        <v>442377.62705400004</v>
      </c>
      <c r="Q37" s="57">
        <f t="shared" si="155"/>
        <v>130940.81</v>
      </c>
      <c r="R37" s="59">
        <f t="shared" si="156"/>
        <v>432864.12969799998</v>
      </c>
      <c r="S37" s="55">
        <f t="shared" si="157"/>
        <v>128062.99</v>
      </c>
      <c r="T37" s="59">
        <f t="shared" si="158"/>
        <v>423350.63234200003</v>
      </c>
      <c r="U37" s="57">
        <f t="shared" si="159"/>
        <v>125185.17</v>
      </c>
      <c r="V37" s="59">
        <f t="shared" si="160"/>
        <v>413837.13498600002</v>
      </c>
      <c r="W37" s="60">
        <f t="shared" si="161"/>
        <v>122307.34999999999</v>
      </c>
      <c r="X37" s="59">
        <f t="shared" si="162"/>
        <v>404323.63762999995</v>
      </c>
      <c r="Y37" s="57">
        <f t="shared" si="163"/>
        <v>119429.53</v>
      </c>
      <c r="Z37" s="59">
        <f t="shared" si="164"/>
        <v>394810.140274</v>
      </c>
      <c r="AA37" s="55">
        <f t="shared" si="165"/>
        <v>116551.70999999999</v>
      </c>
      <c r="AB37" s="59">
        <f t="shared" si="166"/>
        <v>385296.642918</v>
      </c>
      <c r="AC37" s="60">
        <f t="shared" si="167"/>
        <v>113673.88999999998</v>
      </c>
      <c r="AD37" s="59">
        <f t="shared" si="168"/>
        <v>375783.14556199993</v>
      </c>
      <c r="AE37" s="60">
        <f t="shared" si="169"/>
        <v>110796.06999999999</v>
      </c>
      <c r="AF37" s="59">
        <f t="shared" si="170"/>
        <v>366269.64820599998</v>
      </c>
      <c r="AG37" s="60">
        <f t="shared" si="171"/>
        <v>107918.24999999999</v>
      </c>
      <c r="AH37" s="59">
        <f t="shared" si="172"/>
        <v>356756.15084999998</v>
      </c>
      <c r="AI37" s="55">
        <f t="shared" si="173"/>
        <v>105040.42999999998</v>
      </c>
      <c r="AJ37" s="59">
        <f t="shared" si="174"/>
        <v>347242.65349399991</v>
      </c>
      <c r="AK37" s="60">
        <f t="shared" si="175"/>
        <v>102162.60999999999</v>
      </c>
      <c r="AL37" s="59">
        <f t="shared" si="176"/>
        <v>337729.15613799996</v>
      </c>
      <c r="AM37" s="60">
        <f t="shared" si="177"/>
        <v>99284.789999999979</v>
      </c>
      <c r="AN37" s="59">
        <f t="shared" si="178"/>
        <v>328215.65878199995</v>
      </c>
      <c r="AO37" s="60">
        <f t="shared" si="179"/>
        <v>96406.969999999972</v>
      </c>
      <c r="AP37" s="59">
        <f t="shared" si="180"/>
        <v>318702.16142599989</v>
      </c>
      <c r="AQ37" s="60">
        <f t="shared" si="181"/>
        <v>93529.149999999965</v>
      </c>
      <c r="AR37" s="59">
        <f t="shared" si="182"/>
        <v>309188.66406999988</v>
      </c>
      <c r="AS37" s="55">
        <f t="shared" si="183"/>
        <v>90651.329999999973</v>
      </c>
      <c r="AT37" s="59">
        <f t="shared" si="184"/>
        <v>299675.16671399993</v>
      </c>
      <c r="AU37" s="60">
        <f t="shared" si="185"/>
        <v>87773.509999999966</v>
      </c>
      <c r="AV37" s="59">
        <f t="shared" si="186"/>
        <v>290161.66935799987</v>
      </c>
      <c r="AW37" s="60">
        <f t="shared" si="187"/>
        <v>84895.689999999959</v>
      </c>
      <c r="AX37" s="59">
        <f t="shared" si="188"/>
        <v>280648.17200199986</v>
      </c>
      <c r="AY37" s="55">
        <f t="shared" si="189"/>
        <v>82017.869999999966</v>
      </c>
      <c r="AZ37" s="59">
        <f t="shared" si="190"/>
        <v>271134.67464599991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3"/>
        <v>0.91</v>
      </c>
      <c r="BH37" s="55">
        <f t="shared" si="143"/>
        <v>0.89</v>
      </c>
      <c r="BI37" s="55">
        <f t="shared" si="143"/>
        <v>0.87</v>
      </c>
      <c r="BJ37" s="55">
        <f t="shared" si="143"/>
        <v>0.85</v>
      </c>
      <c r="BK37" s="55">
        <f t="shared" si="143"/>
        <v>0.83</v>
      </c>
      <c r="BL37" s="55">
        <f t="shared" si="143"/>
        <v>0.80999999999999994</v>
      </c>
      <c r="BM37" s="55">
        <f t="shared" si="143"/>
        <v>0.78999999999999992</v>
      </c>
      <c r="BN37" s="55">
        <f t="shared" si="143"/>
        <v>0.76999999999999991</v>
      </c>
      <c r="BO37" s="55">
        <f t="shared" si="143"/>
        <v>0.74999999999999989</v>
      </c>
      <c r="BP37" s="55">
        <f t="shared" si="143"/>
        <v>0.72999999999999987</v>
      </c>
      <c r="BQ37" s="55">
        <f t="shared" si="143"/>
        <v>0.70999999999999985</v>
      </c>
      <c r="BR37" s="55">
        <f t="shared" si="143"/>
        <v>0.68999999999999984</v>
      </c>
      <c r="BS37" s="55">
        <f t="shared" si="143"/>
        <v>0.66999999999999982</v>
      </c>
      <c r="BT37" s="55">
        <f t="shared" si="143"/>
        <v>0.6499999999999998</v>
      </c>
      <c r="BU37" s="55">
        <f t="shared" si="143"/>
        <v>0.62999999999999978</v>
      </c>
      <c r="BV37" s="55">
        <f t="shared" si="143"/>
        <v>0.60999999999999976</v>
      </c>
      <c r="BW37" s="55">
        <f t="shared" si="143"/>
        <v>0.58999999999999975</v>
      </c>
      <c r="BX37" s="55">
        <f t="shared" si="143"/>
        <v>0.56999999999999973</v>
      </c>
      <c r="BZ37" s="55">
        <f t="shared" si="88"/>
        <v>130940.81</v>
      </c>
      <c r="CA37" s="55">
        <f t="shared" si="89"/>
        <v>130940.81</v>
      </c>
      <c r="CB37" s="59">
        <f t="shared" si="191"/>
        <v>432864.12969799998</v>
      </c>
      <c r="CC37" s="55">
        <f t="shared" si="192"/>
        <v>127012.5857</v>
      </c>
      <c r="CD37" s="59">
        <f t="shared" si="193"/>
        <v>419878.20580706</v>
      </c>
      <c r="CE37" s="55">
        <f t="shared" si="194"/>
        <v>124393.76949999999</v>
      </c>
      <c r="CF37" s="59">
        <f t="shared" si="195"/>
        <v>411220.9232131</v>
      </c>
      <c r="CG37" s="55">
        <f t="shared" si="196"/>
        <v>121774.95330000001</v>
      </c>
      <c r="CH37" s="59">
        <f t="shared" si="197"/>
        <v>402563.64061914006</v>
      </c>
      <c r="CI37" s="57">
        <f t="shared" si="198"/>
        <v>119156.13710000001</v>
      </c>
      <c r="CJ37" s="59">
        <f t="shared" si="199"/>
        <v>393906.35802518006</v>
      </c>
      <c r="CK37" s="55">
        <f t="shared" si="200"/>
        <v>116537.32090000001</v>
      </c>
      <c r="CL37" s="59">
        <f t="shared" si="201"/>
        <v>385249.07543122</v>
      </c>
      <c r="CM37" s="57">
        <f t="shared" si="202"/>
        <v>113918.50469999999</v>
      </c>
      <c r="CN37" s="59">
        <f t="shared" si="203"/>
        <v>376591.79283726</v>
      </c>
      <c r="CO37" s="60">
        <f t="shared" si="204"/>
        <v>111299.68849999999</v>
      </c>
      <c r="CP37" s="59">
        <f t="shared" si="205"/>
        <v>367934.5102433</v>
      </c>
      <c r="CQ37" s="57">
        <f t="shared" si="206"/>
        <v>108680.87229999999</v>
      </c>
      <c r="CR37" s="59">
        <f t="shared" si="207"/>
        <v>359277.22764933994</v>
      </c>
      <c r="CS37" s="55">
        <f t="shared" si="208"/>
        <v>106062.05609999999</v>
      </c>
      <c r="CT37" s="59">
        <f t="shared" si="209"/>
        <v>350619.94505537994</v>
      </c>
      <c r="CU37" s="60">
        <f t="shared" si="210"/>
        <v>103443.23989999999</v>
      </c>
      <c r="CV37" s="59">
        <f t="shared" si="211"/>
        <v>341962.66246141994</v>
      </c>
      <c r="CW37" s="60">
        <f t="shared" si="212"/>
        <v>100824.42369999998</v>
      </c>
      <c r="CX37" s="59">
        <f t="shared" si="213"/>
        <v>333305.37986745994</v>
      </c>
      <c r="CY37" s="60">
        <f t="shared" si="214"/>
        <v>98205.607499999984</v>
      </c>
      <c r="CZ37" s="59">
        <f t="shared" si="215"/>
        <v>324648.09727349994</v>
      </c>
      <c r="DA37" s="55">
        <f t="shared" si="216"/>
        <v>95586.791299999983</v>
      </c>
      <c r="DB37" s="59">
        <f t="shared" si="217"/>
        <v>315990.81467953994</v>
      </c>
      <c r="DC37" s="60">
        <f t="shared" si="218"/>
        <v>92967.975099999981</v>
      </c>
      <c r="DD37" s="59">
        <f t="shared" si="219"/>
        <v>307333.53208557994</v>
      </c>
      <c r="DE37" s="60">
        <f t="shared" si="220"/>
        <v>90349.15889999998</v>
      </c>
      <c r="DF37" s="59">
        <f t="shared" si="221"/>
        <v>298676.24949161994</v>
      </c>
      <c r="DG37" s="60">
        <f t="shared" si="222"/>
        <v>87730.342699999979</v>
      </c>
      <c r="DH37" s="59">
        <f t="shared" si="223"/>
        <v>290018.96689765994</v>
      </c>
      <c r="DI37" s="60">
        <f t="shared" si="224"/>
        <v>85111.526499999978</v>
      </c>
      <c r="DJ37" s="59">
        <f t="shared" si="225"/>
        <v>281361.68430369993</v>
      </c>
      <c r="DK37" s="55">
        <f t="shared" si="226"/>
        <v>82492.710299999977</v>
      </c>
      <c r="DL37" s="59">
        <f t="shared" si="227"/>
        <v>272704.40170973993</v>
      </c>
      <c r="DM37" s="60">
        <f t="shared" si="228"/>
        <v>79873.894099999961</v>
      </c>
      <c r="DN37" s="59">
        <f t="shared" si="229"/>
        <v>264047.11911577987</v>
      </c>
      <c r="DO37" s="60">
        <f t="shared" si="230"/>
        <v>77255.07789999996</v>
      </c>
      <c r="DP37" s="59">
        <f t="shared" si="231"/>
        <v>255389.83652181987</v>
      </c>
      <c r="DQ37" s="55">
        <f t="shared" si="232"/>
        <v>74636.261699999959</v>
      </c>
      <c r="DR37" s="59">
        <f t="shared" si="233"/>
        <v>246732.55392785987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4"/>
        <v>0.91</v>
      </c>
      <c r="DZ37" s="55">
        <f t="shared" si="234"/>
        <v>0.89</v>
      </c>
      <c r="EA37" s="55">
        <f t="shared" si="234"/>
        <v>0.87</v>
      </c>
      <c r="EB37" s="55">
        <f t="shared" si="234"/>
        <v>0.85</v>
      </c>
      <c r="EC37" s="55">
        <f t="shared" si="234"/>
        <v>0.83</v>
      </c>
      <c r="ED37" s="55">
        <f t="shared" si="234"/>
        <v>0.80999999999999994</v>
      </c>
      <c r="EE37" s="55">
        <f t="shared" si="234"/>
        <v>0.78999999999999992</v>
      </c>
      <c r="EF37" s="55">
        <f t="shared" si="234"/>
        <v>0.76999999999999991</v>
      </c>
      <c r="EG37" s="55">
        <f t="shared" si="234"/>
        <v>0.74999999999999989</v>
      </c>
      <c r="EH37" s="55">
        <f t="shared" si="234"/>
        <v>0.72999999999999987</v>
      </c>
      <c r="EI37" s="55">
        <f t="shared" si="234"/>
        <v>0.70999999999999985</v>
      </c>
      <c r="EJ37" s="55">
        <f t="shared" si="234"/>
        <v>0.68999999999999984</v>
      </c>
      <c r="EK37" s="55">
        <f t="shared" si="234"/>
        <v>0.66999999999999982</v>
      </c>
      <c r="EL37" s="55">
        <f t="shared" si="234"/>
        <v>0.6499999999999998</v>
      </c>
      <c r="EM37" s="55">
        <f t="shared" si="234"/>
        <v>0.62999999999999978</v>
      </c>
      <c r="EN37" s="55">
        <f t="shared" si="234"/>
        <v>0.60999999999999976</v>
      </c>
      <c r="EO37" s="55">
        <f t="shared" si="234"/>
        <v>0.58999999999999975</v>
      </c>
      <c r="EP37" s="55">
        <f t="shared" si="234"/>
        <v>0.56999999999999973</v>
      </c>
      <c r="ER37" s="55">
        <f t="shared" si="142"/>
        <v>119156.13710000001</v>
      </c>
      <c r="ES37" s="55">
        <f t="shared" si="116"/>
        <v>119156.13710000001</v>
      </c>
      <c r="ET37" s="59">
        <f t="shared" si="235"/>
        <v>393906.35802518006</v>
      </c>
      <c r="EU37" s="55">
        <f t="shared" si="236"/>
        <v>115581.452987</v>
      </c>
      <c r="EV37" s="59">
        <f t="shared" si="237"/>
        <v>382089.16728442459</v>
      </c>
      <c r="EW37" s="55">
        <f t="shared" si="238"/>
        <v>113198.330245</v>
      </c>
      <c r="EX37" s="59">
        <f t="shared" si="239"/>
        <v>374211.040123921</v>
      </c>
      <c r="EY37" s="55">
        <f t="shared" si="240"/>
        <v>110815.20750300001</v>
      </c>
      <c r="EZ37" s="59">
        <f t="shared" si="241"/>
        <v>366332.91296341748</v>
      </c>
      <c r="FA37" s="57">
        <f t="shared" si="242"/>
        <v>108432.08476100001</v>
      </c>
      <c r="FB37" s="59">
        <f t="shared" si="243"/>
        <v>358454.78580291383</v>
      </c>
      <c r="FC37" s="55">
        <f t="shared" si="244"/>
        <v>106048.96201900001</v>
      </c>
      <c r="FD37" s="59">
        <f t="shared" si="245"/>
        <v>350576.65864241024</v>
      </c>
      <c r="FE37" s="57">
        <f t="shared" si="246"/>
        <v>103665.83927700001</v>
      </c>
      <c r="FF37" s="59">
        <f t="shared" si="247"/>
        <v>342698.53148190666</v>
      </c>
      <c r="FG37" s="60">
        <f t="shared" si="248"/>
        <v>101282.716535</v>
      </c>
      <c r="FH37" s="59">
        <f t="shared" si="249"/>
        <v>334820.40432140301</v>
      </c>
      <c r="FI37" s="57">
        <f t="shared" si="250"/>
        <v>98899.593793000007</v>
      </c>
      <c r="FJ37" s="59">
        <f t="shared" si="251"/>
        <v>326942.27716089942</v>
      </c>
      <c r="FK37" s="55">
        <f t="shared" si="252"/>
        <v>96516.471051</v>
      </c>
      <c r="FL37" s="59">
        <f t="shared" si="253"/>
        <v>319064.15000039584</v>
      </c>
      <c r="FM37" s="60">
        <f t="shared" si="254"/>
        <v>94133.348308999994</v>
      </c>
      <c r="FN37" s="59">
        <f t="shared" si="255"/>
        <v>311186.02283989219</v>
      </c>
      <c r="FO37" s="60">
        <f t="shared" si="256"/>
        <v>91750.225567000001</v>
      </c>
      <c r="FP37" s="59">
        <f t="shared" si="257"/>
        <v>303307.8956793886</v>
      </c>
      <c r="FQ37" s="60">
        <f t="shared" si="258"/>
        <v>89367.102824999994</v>
      </c>
      <c r="FR37" s="59">
        <f t="shared" si="259"/>
        <v>295429.76851888502</v>
      </c>
      <c r="FS37" s="55">
        <f t="shared" si="260"/>
        <v>86983.980082999988</v>
      </c>
      <c r="FT37" s="59">
        <f t="shared" si="261"/>
        <v>287551.64135838137</v>
      </c>
      <c r="FU37" s="60">
        <f t="shared" si="262"/>
        <v>84600.857340999981</v>
      </c>
      <c r="FV37" s="59">
        <f t="shared" si="263"/>
        <v>279673.51419787772</v>
      </c>
      <c r="FW37" s="60">
        <f t="shared" si="264"/>
        <v>82217.734598999989</v>
      </c>
      <c r="FX37" s="59">
        <f t="shared" si="265"/>
        <v>271795.3870373742</v>
      </c>
      <c r="FY37" s="60">
        <f t="shared" si="266"/>
        <v>79834.611856999982</v>
      </c>
      <c r="FZ37" s="59">
        <f t="shared" si="267"/>
        <v>263917.25987687055</v>
      </c>
      <c r="GA37" s="60">
        <f t="shared" si="268"/>
        <v>77451.489114999975</v>
      </c>
      <c r="GB37" s="59">
        <f t="shared" si="269"/>
        <v>256039.13271636693</v>
      </c>
      <c r="GC37" s="55">
        <f t="shared" si="270"/>
        <v>75068.366372999983</v>
      </c>
      <c r="GD37" s="59">
        <f t="shared" si="271"/>
        <v>248161.00555586335</v>
      </c>
      <c r="GE37" s="60">
        <f t="shared" si="272"/>
        <v>72685.243630999976</v>
      </c>
      <c r="GF37" s="59">
        <f t="shared" si="273"/>
        <v>240282.87839535973</v>
      </c>
      <c r="GG37" s="60">
        <f t="shared" si="274"/>
        <v>70302.120888999969</v>
      </c>
      <c r="GH37" s="59">
        <f t="shared" si="275"/>
        <v>232404.75123485611</v>
      </c>
      <c r="GI37" s="55">
        <f t="shared" si="276"/>
        <v>67918.998146999977</v>
      </c>
      <c r="GJ37" s="59">
        <f t="shared" si="277"/>
        <v>224526.62407435253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78"/>
        <v>0.91</v>
      </c>
      <c r="GR37" s="55">
        <f t="shared" si="278"/>
        <v>0.89</v>
      </c>
      <c r="GS37" s="55">
        <f t="shared" si="278"/>
        <v>0.87</v>
      </c>
      <c r="GT37" s="55">
        <f t="shared" si="278"/>
        <v>0.85</v>
      </c>
      <c r="GU37" s="55">
        <f t="shared" si="278"/>
        <v>0.83</v>
      </c>
      <c r="GV37" s="55">
        <f t="shared" si="278"/>
        <v>0.80999999999999994</v>
      </c>
      <c r="GW37" s="55">
        <f t="shared" si="278"/>
        <v>0.78999999999999992</v>
      </c>
      <c r="GX37" s="55">
        <f t="shared" si="278"/>
        <v>0.76999999999999991</v>
      </c>
      <c r="GY37" s="55">
        <f t="shared" si="278"/>
        <v>0.74999999999999989</v>
      </c>
      <c r="GZ37" s="55">
        <f t="shared" si="278"/>
        <v>0.72999999999999987</v>
      </c>
      <c r="HA37" s="55">
        <f t="shared" si="278"/>
        <v>0.70999999999999985</v>
      </c>
      <c r="HB37" s="55">
        <f t="shared" si="278"/>
        <v>0.68999999999999984</v>
      </c>
      <c r="HC37" s="55">
        <f t="shared" si="278"/>
        <v>0.66999999999999982</v>
      </c>
      <c r="HD37" s="55">
        <f t="shared" si="278"/>
        <v>0.6499999999999998</v>
      </c>
      <c r="HE37" s="55">
        <f t="shared" si="278"/>
        <v>0.62999999999999978</v>
      </c>
      <c r="HF37" s="55">
        <f t="shared" si="278"/>
        <v>0.60999999999999976</v>
      </c>
      <c r="HG37" s="55">
        <f t="shared" si="278"/>
        <v>0.58999999999999975</v>
      </c>
      <c r="HH37" s="55">
        <f t="shared" si="278"/>
        <v>0.56999999999999973</v>
      </c>
    </row>
    <row r="38" spans="1:216" x14ac:dyDescent="0.3">
      <c r="A38" s="2">
        <v>5</v>
      </c>
      <c r="C38" s="38" t="s">
        <v>17</v>
      </c>
      <c r="D38" s="42">
        <f>TRUNC(37738.166704061,-1)</f>
        <v>37730</v>
      </c>
      <c r="E38" s="71">
        <f t="shared" si="148"/>
        <v>124720</v>
      </c>
      <c r="H38" s="55">
        <f t="shared" si="61"/>
        <v>137192</v>
      </c>
      <c r="I38" s="55">
        <f t="shared" si="62"/>
        <v>137192</v>
      </c>
      <c r="J38" s="59">
        <f t="shared" si="63"/>
        <v>453529.31359999999</v>
      </c>
      <c r="K38" s="55">
        <f t="shared" si="149"/>
        <v>133076.24</v>
      </c>
      <c r="L38" s="59">
        <f t="shared" si="150"/>
        <v>439923.43419199996</v>
      </c>
      <c r="M38" s="55">
        <f t="shared" si="151"/>
        <v>130332.4</v>
      </c>
      <c r="N38" s="59">
        <f t="shared" si="152"/>
        <v>430852.84791999997</v>
      </c>
      <c r="O38" s="55">
        <f t="shared" si="153"/>
        <v>127588.56000000001</v>
      </c>
      <c r="P38" s="59">
        <f t="shared" si="154"/>
        <v>421782.26164800004</v>
      </c>
      <c r="Q38" s="57">
        <f t="shared" si="155"/>
        <v>124844.72</v>
      </c>
      <c r="R38" s="59">
        <f t="shared" si="156"/>
        <v>412711.675376</v>
      </c>
      <c r="S38" s="55">
        <f t="shared" si="157"/>
        <v>122100.88</v>
      </c>
      <c r="T38" s="59">
        <f t="shared" si="158"/>
        <v>403641.08910400001</v>
      </c>
      <c r="U38" s="57">
        <f t="shared" si="159"/>
        <v>119357.04</v>
      </c>
      <c r="V38" s="59">
        <f t="shared" si="160"/>
        <v>394570.50283199997</v>
      </c>
      <c r="W38" s="60">
        <f t="shared" si="161"/>
        <v>116613.2</v>
      </c>
      <c r="X38" s="59">
        <f t="shared" si="162"/>
        <v>385499.91655999998</v>
      </c>
      <c r="Y38" s="57">
        <f t="shared" si="163"/>
        <v>113869.36</v>
      </c>
      <c r="Z38" s="59">
        <f t="shared" si="164"/>
        <v>376429.330288</v>
      </c>
      <c r="AA38" s="55">
        <f t="shared" si="165"/>
        <v>111125.51999999999</v>
      </c>
      <c r="AB38" s="59">
        <f t="shared" si="166"/>
        <v>367358.74401599995</v>
      </c>
      <c r="AC38" s="60">
        <f t="shared" si="167"/>
        <v>108381.68</v>
      </c>
      <c r="AD38" s="59">
        <f t="shared" si="168"/>
        <v>358288.15774399997</v>
      </c>
      <c r="AE38" s="60">
        <f t="shared" si="169"/>
        <v>105637.83999999998</v>
      </c>
      <c r="AF38" s="59">
        <f t="shared" si="170"/>
        <v>349217.57147199992</v>
      </c>
      <c r="AG38" s="60">
        <f t="shared" si="171"/>
        <v>102893.99999999999</v>
      </c>
      <c r="AH38" s="59">
        <f t="shared" si="172"/>
        <v>340146.98519999994</v>
      </c>
      <c r="AI38" s="55">
        <f t="shared" si="173"/>
        <v>100150.15999999999</v>
      </c>
      <c r="AJ38" s="59">
        <f t="shared" si="174"/>
        <v>331076.39892799995</v>
      </c>
      <c r="AK38" s="60">
        <f t="shared" si="175"/>
        <v>97406.319999999978</v>
      </c>
      <c r="AL38" s="59">
        <f t="shared" si="176"/>
        <v>322005.81265599991</v>
      </c>
      <c r="AM38" s="60">
        <f t="shared" si="177"/>
        <v>94662.479999999981</v>
      </c>
      <c r="AN38" s="59">
        <f t="shared" si="178"/>
        <v>312935.22638399992</v>
      </c>
      <c r="AO38" s="60">
        <f t="shared" si="179"/>
        <v>91918.63999999997</v>
      </c>
      <c r="AP38" s="59">
        <f t="shared" si="180"/>
        <v>303864.64011199994</v>
      </c>
      <c r="AQ38" s="60">
        <f t="shared" si="181"/>
        <v>89174.799999999974</v>
      </c>
      <c r="AR38" s="59">
        <f t="shared" si="182"/>
        <v>294794.05383999989</v>
      </c>
      <c r="AS38" s="55">
        <f t="shared" si="183"/>
        <v>86430.959999999977</v>
      </c>
      <c r="AT38" s="59">
        <f t="shared" si="184"/>
        <v>285723.46756799991</v>
      </c>
      <c r="AU38" s="60">
        <f t="shared" si="185"/>
        <v>83687.119999999966</v>
      </c>
      <c r="AV38" s="59">
        <f t="shared" si="186"/>
        <v>276652.88129599992</v>
      </c>
      <c r="AW38" s="60">
        <f t="shared" si="187"/>
        <v>80943.27999999997</v>
      </c>
      <c r="AX38" s="59">
        <f t="shared" si="188"/>
        <v>267582.29502399993</v>
      </c>
      <c r="AY38" s="55">
        <f t="shared" si="189"/>
        <v>78199.439999999959</v>
      </c>
      <c r="AZ38" s="59">
        <f t="shared" si="190"/>
        <v>258511.70875199986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3"/>
        <v>0.91</v>
      </c>
      <c r="BH38" s="55">
        <f t="shared" si="143"/>
        <v>0.89</v>
      </c>
      <c r="BI38" s="55">
        <f t="shared" si="143"/>
        <v>0.87</v>
      </c>
      <c r="BJ38" s="55">
        <f t="shared" si="143"/>
        <v>0.85</v>
      </c>
      <c r="BK38" s="55">
        <f t="shared" si="143"/>
        <v>0.83</v>
      </c>
      <c r="BL38" s="55">
        <f t="shared" si="143"/>
        <v>0.80999999999999994</v>
      </c>
      <c r="BM38" s="55">
        <f t="shared" si="143"/>
        <v>0.78999999999999992</v>
      </c>
      <c r="BN38" s="55">
        <f t="shared" si="143"/>
        <v>0.76999999999999991</v>
      </c>
      <c r="BO38" s="55">
        <f t="shared" si="143"/>
        <v>0.74999999999999989</v>
      </c>
      <c r="BP38" s="55">
        <f t="shared" si="143"/>
        <v>0.72999999999999987</v>
      </c>
      <c r="BQ38" s="55">
        <f t="shared" si="143"/>
        <v>0.70999999999999985</v>
      </c>
      <c r="BR38" s="55">
        <f t="shared" si="143"/>
        <v>0.68999999999999984</v>
      </c>
      <c r="BS38" s="55">
        <f t="shared" si="143"/>
        <v>0.66999999999999982</v>
      </c>
      <c r="BT38" s="55">
        <f t="shared" si="143"/>
        <v>0.6499999999999998</v>
      </c>
      <c r="BU38" s="55">
        <f t="shared" si="143"/>
        <v>0.62999999999999978</v>
      </c>
      <c r="BV38" s="55">
        <f t="shared" si="143"/>
        <v>0.60999999999999976</v>
      </c>
      <c r="BW38" s="55">
        <f t="shared" si="143"/>
        <v>0.58999999999999975</v>
      </c>
      <c r="BX38" s="55">
        <f t="shared" si="143"/>
        <v>0.56999999999999973</v>
      </c>
      <c r="BZ38" s="55">
        <f t="shared" si="88"/>
        <v>124844.72</v>
      </c>
      <c r="CA38" s="55">
        <f t="shared" si="89"/>
        <v>124844.72</v>
      </c>
      <c r="CB38" s="59">
        <f t="shared" si="191"/>
        <v>412711.675376</v>
      </c>
      <c r="CC38" s="55">
        <f t="shared" si="192"/>
        <v>121099.3784</v>
      </c>
      <c r="CD38" s="59">
        <f t="shared" si="193"/>
        <v>400330.32511472004</v>
      </c>
      <c r="CE38" s="55">
        <f t="shared" si="194"/>
        <v>118602.484</v>
      </c>
      <c r="CF38" s="59">
        <f t="shared" si="195"/>
        <v>392076.09160719998</v>
      </c>
      <c r="CG38" s="55">
        <f t="shared" si="196"/>
        <v>116105.58960000001</v>
      </c>
      <c r="CH38" s="59">
        <f t="shared" si="197"/>
        <v>383821.85809968004</v>
      </c>
      <c r="CI38" s="57">
        <f t="shared" si="198"/>
        <v>113608.6952</v>
      </c>
      <c r="CJ38" s="59">
        <f t="shared" si="199"/>
        <v>375567.62459215999</v>
      </c>
      <c r="CK38" s="55">
        <f t="shared" si="200"/>
        <v>111111.8008</v>
      </c>
      <c r="CL38" s="59">
        <f t="shared" si="201"/>
        <v>367313.39108464</v>
      </c>
      <c r="CM38" s="57">
        <f t="shared" si="202"/>
        <v>108614.90640000001</v>
      </c>
      <c r="CN38" s="59">
        <f t="shared" si="203"/>
        <v>359059.15757712006</v>
      </c>
      <c r="CO38" s="60">
        <f t="shared" si="204"/>
        <v>106118.012</v>
      </c>
      <c r="CP38" s="59">
        <f t="shared" si="205"/>
        <v>350804.92406960001</v>
      </c>
      <c r="CQ38" s="57">
        <f t="shared" si="206"/>
        <v>103621.1176</v>
      </c>
      <c r="CR38" s="59">
        <f t="shared" si="207"/>
        <v>342550.69056208001</v>
      </c>
      <c r="CS38" s="55">
        <f t="shared" si="208"/>
        <v>101124.22319999999</v>
      </c>
      <c r="CT38" s="59">
        <f t="shared" si="209"/>
        <v>334296.45705455996</v>
      </c>
      <c r="CU38" s="60">
        <f t="shared" si="210"/>
        <v>98627.328799999988</v>
      </c>
      <c r="CV38" s="59">
        <f t="shared" si="211"/>
        <v>326042.22354703996</v>
      </c>
      <c r="CW38" s="60">
        <f t="shared" si="212"/>
        <v>96130.434399999984</v>
      </c>
      <c r="CX38" s="59">
        <f t="shared" si="213"/>
        <v>317787.99003951997</v>
      </c>
      <c r="CY38" s="60">
        <f t="shared" si="214"/>
        <v>93633.54</v>
      </c>
      <c r="CZ38" s="59">
        <f t="shared" si="215"/>
        <v>309533.75653199997</v>
      </c>
      <c r="DA38" s="55">
        <f t="shared" si="216"/>
        <v>91136.645599999989</v>
      </c>
      <c r="DB38" s="59">
        <f t="shared" si="217"/>
        <v>301279.52302447997</v>
      </c>
      <c r="DC38" s="60">
        <f t="shared" si="218"/>
        <v>88639.751199999984</v>
      </c>
      <c r="DD38" s="59">
        <f t="shared" si="219"/>
        <v>293025.28951695998</v>
      </c>
      <c r="DE38" s="60">
        <f t="shared" si="220"/>
        <v>86142.85679999998</v>
      </c>
      <c r="DF38" s="59">
        <f t="shared" si="221"/>
        <v>284771.05600943993</v>
      </c>
      <c r="DG38" s="60">
        <f t="shared" si="222"/>
        <v>83645.962399999975</v>
      </c>
      <c r="DH38" s="59">
        <f t="shared" si="223"/>
        <v>276516.82250191993</v>
      </c>
      <c r="DI38" s="60">
        <f t="shared" si="224"/>
        <v>81149.06799999997</v>
      </c>
      <c r="DJ38" s="59">
        <f t="shared" si="225"/>
        <v>268262.58899439994</v>
      </c>
      <c r="DK38" s="55">
        <f t="shared" si="226"/>
        <v>78652.17359999998</v>
      </c>
      <c r="DL38" s="59">
        <f t="shared" si="227"/>
        <v>260008.35548687994</v>
      </c>
      <c r="DM38" s="60">
        <f t="shared" si="228"/>
        <v>76155.279199999975</v>
      </c>
      <c r="DN38" s="59">
        <f t="shared" si="229"/>
        <v>251754.12197935992</v>
      </c>
      <c r="DO38" s="60">
        <f t="shared" si="230"/>
        <v>73658.384799999971</v>
      </c>
      <c r="DP38" s="59">
        <f t="shared" si="231"/>
        <v>243499.88847183992</v>
      </c>
      <c r="DQ38" s="55">
        <f t="shared" si="232"/>
        <v>71161.490399999966</v>
      </c>
      <c r="DR38" s="59">
        <f t="shared" si="233"/>
        <v>235245.6549643199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4"/>
        <v>0.91</v>
      </c>
      <c r="DZ38" s="55">
        <f t="shared" si="234"/>
        <v>0.89</v>
      </c>
      <c r="EA38" s="55">
        <f t="shared" si="234"/>
        <v>0.87</v>
      </c>
      <c r="EB38" s="55">
        <f t="shared" si="234"/>
        <v>0.85</v>
      </c>
      <c r="EC38" s="55">
        <f t="shared" si="234"/>
        <v>0.83</v>
      </c>
      <c r="ED38" s="55">
        <f t="shared" si="234"/>
        <v>0.80999999999999994</v>
      </c>
      <c r="EE38" s="55">
        <f t="shared" si="234"/>
        <v>0.78999999999999992</v>
      </c>
      <c r="EF38" s="55">
        <f t="shared" si="234"/>
        <v>0.76999999999999991</v>
      </c>
      <c r="EG38" s="55">
        <f t="shared" si="234"/>
        <v>0.74999999999999989</v>
      </c>
      <c r="EH38" s="55">
        <f t="shared" si="234"/>
        <v>0.72999999999999987</v>
      </c>
      <c r="EI38" s="55">
        <f t="shared" si="234"/>
        <v>0.70999999999999985</v>
      </c>
      <c r="EJ38" s="55">
        <f t="shared" si="234"/>
        <v>0.68999999999999984</v>
      </c>
      <c r="EK38" s="55">
        <f t="shared" si="234"/>
        <v>0.66999999999999982</v>
      </c>
      <c r="EL38" s="55">
        <f t="shared" si="234"/>
        <v>0.6499999999999998</v>
      </c>
      <c r="EM38" s="55">
        <f t="shared" si="234"/>
        <v>0.62999999999999978</v>
      </c>
      <c r="EN38" s="55">
        <f t="shared" si="234"/>
        <v>0.60999999999999976</v>
      </c>
      <c r="EO38" s="55">
        <f t="shared" si="234"/>
        <v>0.58999999999999975</v>
      </c>
      <c r="EP38" s="55">
        <f t="shared" si="234"/>
        <v>0.56999999999999973</v>
      </c>
      <c r="ER38" s="55">
        <f t="shared" si="142"/>
        <v>113608.6952</v>
      </c>
      <c r="ES38" s="55">
        <f t="shared" si="116"/>
        <v>113608.6952</v>
      </c>
      <c r="ET38" s="59">
        <f t="shared" si="235"/>
        <v>375567.62459215999</v>
      </c>
      <c r="EU38" s="55">
        <f t="shared" si="236"/>
        <v>110200.43434399999</v>
      </c>
      <c r="EV38" s="59">
        <f t="shared" si="237"/>
        <v>364300.59585439519</v>
      </c>
      <c r="EW38" s="55">
        <f t="shared" si="238"/>
        <v>107928.26044</v>
      </c>
      <c r="EX38" s="59">
        <f t="shared" si="239"/>
        <v>356789.24336255202</v>
      </c>
      <c r="EY38" s="55">
        <f t="shared" si="240"/>
        <v>105656.086536</v>
      </c>
      <c r="EZ38" s="59">
        <f t="shared" si="241"/>
        <v>349277.8908707088</v>
      </c>
      <c r="FA38" s="57">
        <f t="shared" si="242"/>
        <v>103383.91263200001</v>
      </c>
      <c r="FB38" s="59">
        <f t="shared" si="243"/>
        <v>341766.53837886563</v>
      </c>
      <c r="FC38" s="55">
        <f t="shared" si="244"/>
        <v>101111.738728</v>
      </c>
      <c r="FD38" s="59">
        <f t="shared" si="245"/>
        <v>334255.18588702241</v>
      </c>
      <c r="FE38" s="57">
        <f t="shared" si="246"/>
        <v>98839.564824000001</v>
      </c>
      <c r="FF38" s="59">
        <f t="shared" si="247"/>
        <v>326743.83339517919</v>
      </c>
      <c r="FG38" s="60">
        <f t="shared" si="248"/>
        <v>96567.390920000005</v>
      </c>
      <c r="FH38" s="59">
        <f t="shared" si="249"/>
        <v>319232.48090333602</v>
      </c>
      <c r="FI38" s="57">
        <f t="shared" si="250"/>
        <v>94295.217015999995</v>
      </c>
      <c r="FJ38" s="59">
        <f t="shared" si="251"/>
        <v>311721.1284114928</v>
      </c>
      <c r="FK38" s="55">
        <f t="shared" si="252"/>
        <v>92023.043111999999</v>
      </c>
      <c r="FL38" s="59">
        <f t="shared" si="253"/>
        <v>304209.77591964963</v>
      </c>
      <c r="FM38" s="60">
        <f t="shared" si="254"/>
        <v>89750.869207999989</v>
      </c>
      <c r="FN38" s="59">
        <f t="shared" si="255"/>
        <v>296698.42342780635</v>
      </c>
      <c r="FO38" s="60">
        <f t="shared" si="256"/>
        <v>87478.695303999993</v>
      </c>
      <c r="FP38" s="59">
        <f t="shared" si="257"/>
        <v>289187.07093596319</v>
      </c>
      <c r="FQ38" s="60">
        <f t="shared" si="258"/>
        <v>85206.521399999983</v>
      </c>
      <c r="FR38" s="59">
        <f t="shared" si="259"/>
        <v>281675.71844411996</v>
      </c>
      <c r="FS38" s="55">
        <f t="shared" si="260"/>
        <v>82934.347495999988</v>
      </c>
      <c r="FT38" s="59">
        <f t="shared" si="261"/>
        <v>274164.36595227674</v>
      </c>
      <c r="FU38" s="60">
        <f t="shared" si="262"/>
        <v>80662.173591999992</v>
      </c>
      <c r="FV38" s="59">
        <f t="shared" si="263"/>
        <v>266653.01346043358</v>
      </c>
      <c r="FW38" s="60">
        <f t="shared" si="264"/>
        <v>78389.999687999982</v>
      </c>
      <c r="FX38" s="59">
        <f t="shared" si="265"/>
        <v>259141.66096859035</v>
      </c>
      <c r="FY38" s="60">
        <f t="shared" si="266"/>
        <v>76117.825783999986</v>
      </c>
      <c r="FZ38" s="59">
        <f t="shared" si="267"/>
        <v>251630.30847674716</v>
      </c>
      <c r="GA38" s="60">
        <f t="shared" si="268"/>
        <v>73845.651879999976</v>
      </c>
      <c r="GB38" s="59">
        <f t="shared" si="269"/>
        <v>244118.95598490394</v>
      </c>
      <c r="GC38" s="55">
        <f t="shared" si="270"/>
        <v>71573.47797599998</v>
      </c>
      <c r="GD38" s="59">
        <f t="shared" si="271"/>
        <v>236607.60349306074</v>
      </c>
      <c r="GE38" s="60">
        <f t="shared" si="272"/>
        <v>69301.30407199997</v>
      </c>
      <c r="GF38" s="59">
        <f t="shared" si="273"/>
        <v>229096.25100121752</v>
      </c>
      <c r="GG38" s="60">
        <f t="shared" si="274"/>
        <v>67029.130167999974</v>
      </c>
      <c r="GH38" s="59">
        <f t="shared" si="275"/>
        <v>221584.89850937432</v>
      </c>
      <c r="GI38" s="55">
        <f t="shared" si="276"/>
        <v>64756.956263999971</v>
      </c>
      <c r="GJ38" s="59">
        <f t="shared" si="277"/>
        <v>214073.5460175311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78"/>
        <v>0.91</v>
      </c>
      <c r="GR38" s="55">
        <f t="shared" si="278"/>
        <v>0.89</v>
      </c>
      <c r="GS38" s="55">
        <f t="shared" si="278"/>
        <v>0.87</v>
      </c>
      <c r="GT38" s="55">
        <f t="shared" si="278"/>
        <v>0.85</v>
      </c>
      <c r="GU38" s="55">
        <f t="shared" si="278"/>
        <v>0.83</v>
      </c>
      <c r="GV38" s="55">
        <f t="shared" si="278"/>
        <v>0.80999999999999994</v>
      </c>
      <c r="GW38" s="55">
        <f t="shared" si="278"/>
        <v>0.78999999999999992</v>
      </c>
      <c r="GX38" s="55">
        <f t="shared" si="278"/>
        <v>0.76999999999999991</v>
      </c>
      <c r="GY38" s="55">
        <f t="shared" si="278"/>
        <v>0.74999999999999989</v>
      </c>
      <c r="GZ38" s="55">
        <f t="shared" si="278"/>
        <v>0.72999999999999987</v>
      </c>
      <c r="HA38" s="55">
        <f t="shared" si="278"/>
        <v>0.70999999999999985</v>
      </c>
      <c r="HB38" s="55">
        <f t="shared" si="278"/>
        <v>0.68999999999999984</v>
      </c>
      <c r="HC38" s="55">
        <f t="shared" si="278"/>
        <v>0.66999999999999982</v>
      </c>
      <c r="HD38" s="55">
        <f t="shared" si="278"/>
        <v>0.6499999999999998</v>
      </c>
      <c r="HE38" s="55">
        <f t="shared" si="278"/>
        <v>0.62999999999999978</v>
      </c>
      <c r="HF38" s="55">
        <f t="shared" si="278"/>
        <v>0.60999999999999976</v>
      </c>
      <c r="HG38" s="55">
        <f t="shared" si="278"/>
        <v>0.58999999999999975</v>
      </c>
      <c r="HH38" s="55">
        <f t="shared" si="278"/>
        <v>0.56999999999999973</v>
      </c>
    </row>
    <row r="39" spans="1:216" x14ac:dyDescent="0.3">
      <c r="A39" s="2">
        <v>6</v>
      </c>
      <c r="C39" s="38" t="s">
        <v>18</v>
      </c>
      <c r="D39" s="42">
        <f>TRUNC(4221.56652456809,-1)</f>
        <v>4220</v>
      </c>
      <c r="E39" s="71">
        <f t="shared" si="148"/>
        <v>13950</v>
      </c>
      <c r="H39" s="55">
        <f t="shared" si="61"/>
        <v>15345.000000000002</v>
      </c>
      <c r="I39" s="55">
        <f t="shared" si="62"/>
        <v>15345.000000000002</v>
      </c>
      <c r="J39" s="59">
        <f t="shared" si="63"/>
        <v>50727.501000000004</v>
      </c>
      <c r="K39" s="55">
        <f t="shared" si="149"/>
        <v>14884.650000000001</v>
      </c>
      <c r="L39" s="59">
        <f t="shared" si="150"/>
        <v>49205.675970000004</v>
      </c>
      <c r="M39" s="55">
        <f t="shared" si="151"/>
        <v>14577.750000000002</v>
      </c>
      <c r="N39" s="59">
        <f t="shared" si="152"/>
        <v>48191.125950000009</v>
      </c>
      <c r="O39" s="55">
        <f t="shared" si="153"/>
        <v>14270.850000000002</v>
      </c>
      <c r="P39" s="59">
        <f t="shared" si="154"/>
        <v>47176.575930000006</v>
      </c>
      <c r="Q39" s="57">
        <f t="shared" si="155"/>
        <v>13963.950000000003</v>
      </c>
      <c r="R39" s="59">
        <f t="shared" si="156"/>
        <v>46162.025910000011</v>
      </c>
      <c r="S39" s="55">
        <f t="shared" si="157"/>
        <v>13657.050000000001</v>
      </c>
      <c r="T39" s="59">
        <f t="shared" si="158"/>
        <v>45147.475890000002</v>
      </c>
      <c r="U39" s="57">
        <f t="shared" si="159"/>
        <v>13350.150000000001</v>
      </c>
      <c r="V39" s="59">
        <f t="shared" si="160"/>
        <v>44132.925870000006</v>
      </c>
      <c r="W39" s="60">
        <f t="shared" si="161"/>
        <v>13043.250000000002</v>
      </c>
      <c r="X39" s="59">
        <f t="shared" si="162"/>
        <v>43118.375850000004</v>
      </c>
      <c r="Y39" s="57">
        <f t="shared" si="163"/>
        <v>12736.35</v>
      </c>
      <c r="Z39" s="59">
        <f t="shared" si="164"/>
        <v>42103.825830000002</v>
      </c>
      <c r="AA39" s="55">
        <f t="shared" si="165"/>
        <v>12429.45</v>
      </c>
      <c r="AB39" s="59">
        <f t="shared" si="166"/>
        <v>41089.275810000006</v>
      </c>
      <c r="AC39" s="60">
        <f t="shared" si="167"/>
        <v>12122.550000000001</v>
      </c>
      <c r="AD39" s="59">
        <f t="shared" si="168"/>
        <v>40074.725790000004</v>
      </c>
      <c r="AE39" s="60">
        <f t="shared" si="169"/>
        <v>11815.65</v>
      </c>
      <c r="AF39" s="59">
        <f t="shared" si="170"/>
        <v>39060.175770000002</v>
      </c>
      <c r="AG39" s="60">
        <f t="shared" si="171"/>
        <v>11508.75</v>
      </c>
      <c r="AH39" s="59">
        <f t="shared" si="172"/>
        <v>38045.625749999999</v>
      </c>
      <c r="AI39" s="55">
        <f t="shared" si="173"/>
        <v>11201.849999999999</v>
      </c>
      <c r="AJ39" s="59">
        <f t="shared" si="174"/>
        <v>37031.075729999997</v>
      </c>
      <c r="AK39" s="60">
        <f t="shared" si="175"/>
        <v>10894.949999999999</v>
      </c>
      <c r="AL39" s="59">
        <f t="shared" si="176"/>
        <v>36016.525709999994</v>
      </c>
      <c r="AM39" s="60">
        <f t="shared" si="177"/>
        <v>10588.05</v>
      </c>
      <c r="AN39" s="59">
        <f t="shared" si="178"/>
        <v>35001.975689999999</v>
      </c>
      <c r="AO39" s="60">
        <f t="shared" si="179"/>
        <v>10281.149999999998</v>
      </c>
      <c r="AP39" s="59">
        <f t="shared" si="180"/>
        <v>33987.425669999997</v>
      </c>
      <c r="AQ39" s="60">
        <f t="shared" si="181"/>
        <v>9974.2499999999982</v>
      </c>
      <c r="AR39" s="59">
        <f t="shared" si="182"/>
        <v>32972.875649999994</v>
      </c>
      <c r="AS39" s="55">
        <f t="shared" si="183"/>
        <v>9667.3499999999985</v>
      </c>
      <c r="AT39" s="59">
        <f t="shared" si="184"/>
        <v>31958.325629999996</v>
      </c>
      <c r="AU39" s="60">
        <f t="shared" si="185"/>
        <v>9360.4499999999971</v>
      </c>
      <c r="AV39" s="59">
        <f t="shared" si="186"/>
        <v>30943.77560999999</v>
      </c>
      <c r="AW39" s="60">
        <f t="shared" si="187"/>
        <v>9053.5499999999975</v>
      </c>
      <c r="AX39" s="59">
        <f t="shared" si="188"/>
        <v>29929.225589999991</v>
      </c>
      <c r="AY39" s="55">
        <f t="shared" si="189"/>
        <v>8746.649999999996</v>
      </c>
      <c r="AZ39" s="59">
        <f t="shared" si="190"/>
        <v>28914.675569999989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3"/>
        <v>0.91</v>
      </c>
      <c r="BH39" s="55">
        <f t="shared" si="143"/>
        <v>0.89</v>
      </c>
      <c r="BI39" s="55">
        <f t="shared" si="143"/>
        <v>0.87</v>
      </c>
      <c r="BJ39" s="55">
        <f t="shared" si="143"/>
        <v>0.85</v>
      </c>
      <c r="BK39" s="55">
        <f t="shared" si="143"/>
        <v>0.83</v>
      </c>
      <c r="BL39" s="55">
        <f t="shared" si="143"/>
        <v>0.80999999999999994</v>
      </c>
      <c r="BM39" s="55">
        <f t="shared" si="143"/>
        <v>0.78999999999999992</v>
      </c>
      <c r="BN39" s="55">
        <f t="shared" si="143"/>
        <v>0.76999999999999991</v>
      </c>
      <c r="BO39" s="55">
        <f t="shared" si="143"/>
        <v>0.74999999999999989</v>
      </c>
      <c r="BP39" s="55">
        <f t="shared" si="143"/>
        <v>0.72999999999999987</v>
      </c>
      <c r="BQ39" s="55">
        <f t="shared" si="143"/>
        <v>0.70999999999999985</v>
      </c>
      <c r="BR39" s="55">
        <f t="shared" si="143"/>
        <v>0.68999999999999984</v>
      </c>
      <c r="BS39" s="55">
        <f t="shared" si="143"/>
        <v>0.66999999999999982</v>
      </c>
      <c r="BT39" s="55">
        <f t="shared" si="143"/>
        <v>0.6499999999999998</v>
      </c>
      <c r="BU39" s="55">
        <f t="shared" si="143"/>
        <v>0.62999999999999978</v>
      </c>
      <c r="BV39" s="55">
        <f t="shared" si="143"/>
        <v>0.60999999999999976</v>
      </c>
      <c r="BW39" s="55">
        <f t="shared" si="143"/>
        <v>0.58999999999999975</v>
      </c>
      <c r="BX39" s="55">
        <f t="shared" si="143"/>
        <v>0.56999999999999973</v>
      </c>
      <c r="BZ39" s="55">
        <f t="shared" si="88"/>
        <v>13963.950000000003</v>
      </c>
      <c r="CA39" s="55">
        <f t="shared" si="89"/>
        <v>13963.950000000003</v>
      </c>
      <c r="CB39" s="59">
        <f t="shared" si="191"/>
        <v>46162.025910000011</v>
      </c>
      <c r="CC39" s="55">
        <f t="shared" si="192"/>
        <v>13545.031500000003</v>
      </c>
      <c r="CD39" s="59">
        <f t="shared" si="193"/>
        <v>44777.165132700007</v>
      </c>
      <c r="CE39" s="55">
        <f t="shared" si="194"/>
        <v>13265.752500000002</v>
      </c>
      <c r="CF39" s="59">
        <f t="shared" si="195"/>
        <v>43853.924614500007</v>
      </c>
      <c r="CG39" s="55">
        <f t="shared" si="196"/>
        <v>12986.473500000004</v>
      </c>
      <c r="CH39" s="59">
        <f t="shared" si="197"/>
        <v>42930.684096300014</v>
      </c>
      <c r="CI39" s="57">
        <f t="shared" si="198"/>
        <v>12707.194500000003</v>
      </c>
      <c r="CJ39" s="59">
        <f t="shared" si="199"/>
        <v>42007.443578100014</v>
      </c>
      <c r="CK39" s="55">
        <f t="shared" si="200"/>
        <v>12427.915500000003</v>
      </c>
      <c r="CL39" s="59">
        <f t="shared" si="201"/>
        <v>41084.203059900014</v>
      </c>
      <c r="CM39" s="57">
        <f t="shared" si="202"/>
        <v>12148.636500000002</v>
      </c>
      <c r="CN39" s="59">
        <f t="shared" si="203"/>
        <v>40160.962541700006</v>
      </c>
      <c r="CO39" s="60">
        <f t="shared" si="204"/>
        <v>11869.357500000002</v>
      </c>
      <c r="CP39" s="59">
        <f t="shared" si="205"/>
        <v>39237.722023500006</v>
      </c>
      <c r="CQ39" s="57">
        <f t="shared" si="206"/>
        <v>11590.078500000001</v>
      </c>
      <c r="CR39" s="59">
        <f t="shared" si="207"/>
        <v>38314.481505300006</v>
      </c>
      <c r="CS39" s="55">
        <f t="shared" si="208"/>
        <v>11310.799500000001</v>
      </c>
      <c r="CT39" s="59">
        <f t="shared" si="209"/>
        <v>37391.240987100005</v>
      </c>
      <c r="CU39" s="60">
        <f t="shared" si="210"/>
        <v>11031.520500000001</v>
      </c>
      <c r="CV39" s="59">
        <f t="shared" si="211"/>
        <v>36468.000468900005</v>
      </c>
      <c r="CW39" s="60">
        <f t="shared" si="212"/>
        <v>10752.2415</v>
      </c>
      <c r="CX39" s="59">
        <f t="shared" si="213"/>
        <v>35544.759950699998</v>
      </c>
      <c r="CY39" s="60">
        <f t="shared" si="214"/>
        <v>10472.9625</v>
      </c>
      <c r="CZ39" s="59">
        <f t="shared" si="215"/>
        <v>34621.519432499997</v>
      </c>
      <c r="DA39" s="55">
        <f t="shared" si="216"/>
        <v>10193.683499999999</v>
      </c>
      <c r="DB39" s="59">
        <f t="shared" si="217"/>
        <v>33698.278914299997</v>
      </c>
      <c r="DC39" s="60">
        <f t="shared" si="218"/>
        <v>9914.4045000000006</v>
      </c>
      <c r="DD39" s="59">
        <f t="shared" si="219"/>
        <v>32775.038396100004</v>
      </c>
      <c r="DE39" s="60">
        <f t="shared" si="220"/>
        <v>9635.1255000000001</v>
      </c>
      <c r="DF39" s="59">
        <f t="shared" si="221"/>
        <v>31851.7978779</v>
      </c>
      <c r="DG39" s="60">
        <f t="shared" si="222"/>
        <v>9355.8464999999997</v>
      </c>
      <c r="DH39" s="59">
        <f t="shared" si="223"/>
        <v>30928.5573597</v>
      </c>
      <c r="DI39" s="60">
        <f t="shared" si="224"/>
        <v>9076.5674999999992</v>
      </c>
      <c r="DJ39" s="59">
        <f t="shared" si="225"/>
        <v>30005.316841499996</v>
      </c>
      <c r="DK39" s="55">
        <f t="shared" si="226"/>
        <v>8797.2884999999987</v>
      </c>
      <c r="DL39" s="59">
        <f t="shared" si="227"/>
        <v>29082.076323299996</v>
      </c>
      <c r="DM39" s="60">
        <f t="shared" si="228"/>
        <v>8518.0094999999983</v>
      </c>
      <c r="DN39" s="59">
        <f t="shared" si="229"/>
        <v>28158.835805099996</v>
      </c>
      <c r="DO39" s="60">
        <f t="shared" si="230"/>
        <v>8238.7304999999978</v>
      </c>
      <c r="DP39" s="59">
        <f t="shared" si="231"/>
        <v>27235.595286899992</v>
      </c>
      <c r="DQ39" s="55">
        <f t="shared" si="232"/>
        <v>7959.4514999999974</v>
      </c>
      <c r="DR39" s="59">
        <f t="shared" si="233"/>
        <v>26312.354768699992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4"/>
        <v>0.91</v>
      </c>
      <c r="DZ39" s="55">
        <f t="shared" si="234"/>
        <v>0.89</v>
      </c>
      <c r="EA39" s="55">
        <f t="shared" si="234"/>
        <v>0.87</v>
      </c>
      <c r="EB39" s="55">
        <f t="shared" si="234"/>
        <v>0.85</v>
      </c>
      <c r="EC39" s="55">
        <f t="shared" si="234"/>
        <v>0.83</v>
      </c>
      <c r="ED39" s="55">
        <f t="shared" si="234"/>
        <v>0.80999999999999994</v>
      </c>
      <c r="EE39" s="55">
        <f t="shared" si="234"/>
        <v>0.78999999999999992</v>
      </c>
      <c r="EF39" s="55">
        <f t="shared" si="234"/>
        <v>0.76999999999999991</v>
      </c>
      <c r="EG39" s="55">
        <f t="shared" si="234"/>
        <v>0.74999999999999989</v>
      </c>
      <c r="EH39" s="55">
        <f t="shared" si="234"/>
        <v>0.72999999999999987</v>
      </c>
      <c r="EI39" s="55">
        <f t="shared" si="234"/>
        <v>0.70999999999999985</v>
      </c>
      <c r="EJ39" s="55">
        <f t="shared" si="234"/>
        <v>0.68999999999999984</v>
      </c>
      <c r="EK39" s="55">
        <f t="shared" si="234"/>
        <v>0.66999999999999982</v>
      </c>
      <c r="EL39" s="55">
        <f t="shared" si="234"/>
        <v>0.6499999999999998</v>
      </c>
      <c r="EM39" s="55">
        <f t="shared" si="234"/>
        <v>0.62999999999999978</v>
      </c>
      <c r="EN39" s="55">
        <f t="shared" si="234"/>
        <v>0.60999999999999976</v>
      </c>
      <c r="EO39" s="55">
        <f t="shared" si="234"/>
        <v>0.58999999999999975</v>
      </c>
      <c r="EP39" s="55">
        <f t="shared" si="234"/>
        <v>0.56999999999999973</v>
      </c>
      <c r="ER39" s="55">
        <f t="shared" si="142"/>
        <v>12707.194500000003</v>
      </c>
      <c r="ES39" s="55">
        <f t="shared" si="116"/>
        <v>12707.194500000003</v>
      </c>
      <c r="ET39" s="59">
        <f t="shared" si="235"/>
        <v>42007.443578100014</v>
      </c>
      <c r="EU39" s="55">
        <f t="shared" si="236"/>
        <v>12325.978665000002</v>
      </c>
      <c r="EV39" s="59">
        <f t="shared" si="237"/>
        <v>40747.22027075701</v>
      </c>
      <c r="EW39" s="55">
        <f t="shared" si="238"/>
        <v>12071.834775000003</v>
      </c>
      <c r="EX39" s="59">
        <f t="shared" si="239"/>
        <v>39907.071399195011</v>
      </c>
      <c r="EY39" s="55">
        <f t="shared" si="240"/>
        <v>11817.690885000004</v>
      </c>
      <c r="EZ39" s="59">
        <f t="shared" si="241"/>
        <v>39066.922527633011</v>
      </c>
      <c r="FA39" s="57">
        <f t="shared" si="242"/>
        <v>11563.546995000004</v>
      </c>
      <c r="FB39" s="59">
        <f t="shared" si="243"/>
        <v>38226.773656071018</v>
      </c>
      <c r="FC39" s="55">
        <f t="shared" si="244"/>
        <v>11309.403105000003</v>
      </c>
      <c r="FD39" s="59">
        <f t="shared" si="245"/>
        <v>37386.624784509011</v>
      </c>
      <c r="FE39" s="57">
        <f t="shared" si="246"/>
        <v>11055.259215000002</v>
      </c>
      <c r="FF39" s="59">
        <f t="shared" si="247"/>
        <v>36546.475912947004</v>
      </c>
      <c r="FG39" s="60">
        <f t="shared" si="248"/>
        <v>10801.115325000002</v>
      </c>
      <c r="FH39" s="59">
        <f t="shared" si="249"/>
        <v>35706.327041385011</v>
      </c>
      <c r="FI39" s="57">
        <f t="shared" si="250"/>
        <v>10546.971435000001</v>
      </c>
      <c r="FJ39" s="59">
        <f t="shared" si="251"/>
        <v>34866.178169823004</v>
      </c>
      <c r="FK39" s="55">
        <f t="shared" si="252"/>
        <v>10292.827545000002</v>
      </c>
      <c r="FL39" s="59">
        <f t="shared" si="253"/>
        <v>34026.029298261004</v>
      </c>
      <c r="FM39" s="60">
        <f t="shared" si="254"/>
        <v>10038.683655000001</v>
      </c>
      <c r="FN39" s="59">
        <f t="shared" si="255"/>
        <v>33185.880426699005</v>
      </c>
      <c r="FO39" s="60">
        <f t="shared" si="256"/>
        <v>9784.5397650000014</v>
      </c>
      <c r="FP39" s="59">
        <f t="shared" si="257"/>
        <v>32345.731555137005</v>
      </c>
      <c r="FQ39" s="60">
        <f t="shared" si="258"/>
        <v>9530.3958750000002</v>
      </c>
      <c r="FR39" s="59">
        <f t="shared" si="259"/>
        <v>31505.582683575001</v>
      </c>
      <c r="FS39" s="55">
        <f t="shared" si="260"/>
        <v>9276.2519850000008</v>
      </c>
      <c r="FT39" s="59">
        <f t="shared" si="261"/>
        <v>30665.433812013005</v>
      </c>
      <c r="FU39" s="60">
        <f t="shared" si="262"/>
        <v>9022.1080949999996</v>
      </c>
      <c r="FV39" s="59">
        <f t="shared" si="263"/>
        <v>29825.284940450998</v>
      </c>
      <c r="FW39" s="60">
        <f t="shared" si="264"/>
        <v>8767.9642050000002</v>
      </c>
      <c r="FX39" s="59">
        <f t="shared" si="265"/>
        <v>28985.136068889002</v>
      </c>
      <c r="FY39" s="60">
        <f t="shared" si="266"/>
        <v>8513.820314999999</v>
      </c>
      <c r="FZ39" s="59">
        <f t="shared" si="267"/>
        <v>28144.987197326998</v>
      </c>
      <c r="GA39" s="60">
        <f t="shared" si="268"/>
        <v>8259.6764249999997</v>
      </c>
      <c r="GB39" s="59">
        <f t="shared" si="269"/>
        <v>27304.838325764998</v>
      </c>
      <c r="GC39" s="55">
        <f t="shared" si="270"/>
        <v>8005.5325349999994</v>
      </c>
      <c r="GD39" s="59">
        <f t="shared" si="271"/>
        <v>26464.689454202999</v>
      </c>
      <c r="GE39" s="60">
        <f t="shared" si="272"/>
        <v>7751.3886449999991</v>
      </c>
      <c r="GF39" s="59">
        <f t="shared" si="273"/>
        <v>25624.540582640999</v>
      </c>
      <c r="GG39" s="60">
        <f t="shared" si="274"/>
        <v>7497.2447549999988</v>
      </c>
      <c r="GH39" s="59">
        <f t="shared" si="275"/>
        <v>24784.391711078995</v>
      </c>
      <c r="GI39" s="55">
        <f t="shared" si="276"/>
        <v>7243.1008649999985</v>
      </c>
      <c r="GJ39" s="59">
        <f t="shared" si="277"/>
        <v>23944.242839516995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78"/>
        <v>0.91</v>
      </c>
      <c r="GR39" s="55">
        <f t="shared" si="278"/>
        <v>0.89</v>
      </c>
      <c r="GS39" s="55">
        <f t="shared" si="278"/>
        <v>0.87</v>
      </c>
      <c r="GT39" s="55">
        <f t="shared" si="278"/>
        <v>0.85</v>
      </c>
      <c r="GU39" s="55">
        <f t="shared" si="278"/>
        <v>0.83</v>
      </c>
      <c r="GV39" s="55">
        <f t="shared" si="278"/>
        <v>0.80999999999999994</v>
      </c>
      <c r="GW39" s="55">
        <f t="shared" si="278"/>
        <v>0.78999999999999992</v>
      </c>
      <c r="GX39" s="55">
        <f t="shared" si="278"/>
        <v>0.76999999999999991</v>
      </c>
      <c r="GY39" s="55">
        <f t="shared" si="278"/>
        <v>0.74999999999999989</v>
      </c>
      <c r="GZ39" s="55">
        <f t="shared" si="278"/>
        <v>0.72999999999999987</v>
      </c>
      <c r="HA39" s="55">
        <f t="shared" si="278"/>
        <v>0.70999999999999985</v>
      </c>
      <c r="HB39" s="55">
        <f t="shared" si="278"/>
        <v>0.68999999999999984</v>
      </c>
      <c r="HC39" s="55">
        <f t="shared" si="278"/>
        <v>0.66999999999999982</v>
      </c>
      <c r="HD39" s="55">
        <f t="shared" si="278"/>
        <v>0.6499999999999998</v>
      </c>
      <c r="HE39" s="55">
        <f t="shared" si="278"/>
        <v>0.62999999999999978</v>
      </c>
      <c r="HF39" s="55">
        <f t="shared" si="278"/>
        <v>0.60999999999999976</v>
      </c>
      <c r="HG39" s="55">
        <f t="shared" si="278"/>
        <v>0.58999999999999975</v>
      </c>
      <c r="HH39" s="55">
        <f t="shared" si="278"/>
        <v>0.56999999999999973</v>
      </c>
    </row>
    <row r="40" spans="1:216" x14ac:dyDescent="0.3">
      <c r="A40" s="2">
        <v>7</v>
      </c>
      <c r="C40" s="38" t="s">
        <v>19</v>
      </c>
      <c r="D40" s="42">
        <f>TRUNC(45550.6672649764,-1)</f>
        <v>45550</v>
      </c>
      <c r="E40" s="71">
        <f t="shared" si="148"/>
        <v>150570</v>
      </c>
      <c r="H40" s="55">
        <f t="shared" si="61"/>
        <v>165627</v>
      </c>
      <c r="I40" s="55">
        <f t="shared" si="62"/>
        <v>165627</v>
      </c>
      <c r="J40" s="59">
        <f t="shared" si="63"/>
        <v>547529.73660000006</v>
      </c>
      <c r="K40" s="55">
        <f t="shared" si="149"/>
        <v>160658.19</v>
      </c>
      <c r="L40" s="59">
        <f t="shared" si="150"/>
        <v>531103.84450200002</v>
      </c>
      <c r="M40" s="55">
        <f t="shared" si="151"/>
        <v>157345.65</v>
      </c>
      <c r="N40" s="59">
        <f t="shared" si="152"/>
        <v>520153.24976999999</v>
      </c>
      <c r="O40" s="55">
        <f t="shared" si="153"/>
        <v>154033.11000000002</v>
      </c>
      <c r="P40" s="59">
        <f t="shared" si="154"/>
        <v>509202.65503800008</v>
      </c>
      <c r="Q40" s="57">
        <f t="shared" si="155"/>
        <v>150720.57</v>
      </c>
      <c r="R40" s="59">
        <f t="shared" si="156"/>
        <v>498252.06030600006</v>
      </c>
      <c r="S40" s="55">
        <f t="shared" si="157"/>
        <v>147408.03</v>
      </c>
      <c r="T40" s="59">
        <f t="shared" si="158"/>
        <v>487301.46557400003</v>
      </c>
      <c r="U40" s="57">
        <f t="shared" si="159"/>
        <v>144095.49</v>
      </c>
      <c r="V40" s="59">
        <f t="shared" si="160"/>
        <v>476350.870842</v>
      </c>
      <c r="W40" s="60">
        <f t="shared" si="161"/>
        <v>140782.94999999998</v>
      </c>
      <c r="X40" s="59">
        <f t="shared" si="162"/>
        <v>465400.27610999998</v>
      </c>
      <c r="Y40" s="57">
        <f t="shared" si="163"/>
        <v>137470.41</v>
      </c>
      <c r="Z40" s="59">
        <f t="shared" si="164"/>
        <v>454449.68137800001</v>
      </c>
      <c r="AA40" s="55">
        <f t="shared" si="165"/>
        <v>134157.87</v>
      </c>
      <c r="AB40" s="59">
        <f t="shared" si="166"/>
        <v>443499.08664599998</v>
      </c>
      <c r="AC40" s="60">
        <f t="shared" si="167"/>
        <v>130845.32999999999</v>
      </c>
      <c r="AD40" s="59">
        <f t="shared" si="168"/>
        <v>432548.49191399995</v>
      </c>
      <c r="AE40" s="60">
        <f t="shared" si="169"/>
        <v>127532.78999999998</v>
      </c>
      <c r="AF40" s="59">
        <f t="shared" si="170"/>
        <v>421597.89718199993</v>
      </c>
      <c r="AG40" s="60">
        <f t="shared" si="171"/>
        <v>124220.24999999999</v>
      </c>
      <c r="AH40" s="59">
        <f t="shared" si="172"/>
        <v>410647.30244999996</v>
      </c>
      <c r="AI40" s="55">
        <f t="shared" si="173"/>
        <v>120907.70999999998</v>
      </c>
      <c r="AJ40" s="59">
        <f t="shared" si="174"/>
        <v>399696.70771799993</v>
      </c>
      <c r="AK40" s="60">
        <f t="shared" si="175"/>
        <v>117595.16999999997</v>
      </c>
      <c r="AL40" s="59">
        <f t="shared" si="176"/>
        <v>388746.11298599991</v>
      </c>
      <c r="AM40" s="60">
        <f t="shared" si="177"/>
        <v>114282.62999999998</v>
      </c>
      <c r="AN40" s="59">
        <f t="shared" si="178"/>
        <v>377795.51825399994</v>
      </c>
      <c r="AO40" s="60">
        <f t="shared" si="179"/>
        <v>110970.08999999997</v>
      </c>
      <c r="AP40" s="59">
        <f t="shared" si="180"/>
        <v>366844.92352199991</v>
      </c>
      <c r="AQ40" s="60">
        <f t="shared" si="181"/>
        <v>107657.54999999997</v>
      </c>
      <c r="AR40" s="59">
        <f t="shared" si="182"/>
        <v>355894.32878999994</v>
      </c>
      <c r="AS40" s="55">
        <f t="shared" si="183"/>
        <v>104345.00999999997</v>
      </c>
      <c r="AT40" s="59">
        <f t="shared" si="184"/>
        <v>344943.73405799991</v>
      </c>
      <c r="AU40" s="60">
        <f t="shared" si="185"/>
        <v>101032.46999999996</v>
      </c>
      <c r="AV40" s="59">
        <f t="shared" si="186"/>
        <v>333993.13932599989</v>
      </c>
      <c r="AW40" s="60">
        <f t="shared" si="187"/>
        <v>97719.929999999964</v>
      </c>
      <c r="AX40" s="59">
        <f t="shared" si="188"/>
        <v>323042.54459399986</v>
      </c>
      <c r="AY40" s="55">
        <f t="shared" si="189"/>
        <v>94407.389999999956</v>
      </c>
      <c r="AZ40" s="59">
        <f t="shared" si="190"/>
        <v>312091.94986199983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3"/>
        <v>0.91</v>
      </c>
      <c r="BH40" s="55">
        <f t="shared" si="143"/>
        <v>0.89</v>
      </c>
      <c r="BI40" s="55">
        <f t="shared" si="143"/>
        <v>0.87</v>
      </c>
      <c r="BJ40" s="55">
        <f t="shared" si="143"/>
        <v>0.85</v>
      </c>
      <c r="BK40" s="55">
        <f t="shared" si="143"/>
        <v>0.83</v>
      </c>
      <c r="BL40" s="55">
        <f t="shared" si="143"/>
        <v>0.80999999999999994</v>
      </c>
      <c r="BM40" s="55">
        <f t="shared" si="143"/>
        <v>0.78999999999999992</v>
      </c>
      <c r="BN40" s="55">
        <f t="shared" si="143"/>
        <v>0.76999999999999991</v>
      </c>
      <c r="BO40" s="55">
        <f t="shared" si="143"/>
        <v>0.74999999999999989</v>
      </c>
      <c r="BP40" s="55">
        <f t="shared" si="143"/>
        <v>0.72999999999999987</v>
      </c>
      <c r="BQ40" s="55">
        <f t="shared" si="143"/>
        <v>0.70999999999999985</v>
      </c>
      <c r="BR40" s="55">
        <f t="shared" si="143"/>
        <v>0.68999999999999984</v>
      </c>
      <c r="BS40" s="55">
        <f t="shared" si="143"/>
        <v>0.66999999999999982</v>
      </c>
      <c r="BT40" s="55">
        <f t="shared" si="143"/>
        <v>0.6499999999999998</v>
      </c>
      <c r="BU40" s="55">
        <f t="shared" si="143"/>
        <v>0.62999999999999978</v>
      </c>
      <c r="BV40" s="55">
        <f t="shared" si="143"/>
        <v>0.60999999999999976</v>
      </c>
      <c r="BW40" s="55">
        <f t="shared" si="143"/>
        <v>0.58999999999999975</v>
      </c>
      <c r="BX40" s="55">
        <f t="shared" si="143"/>
        <v>0.56999999999999973</v>
      </c>
      <c r="BZ40" s="55">
        <f t="shared" si="88"/>
        <v>150720.57</v>
      </c>
      <c r="CA40" s="55">
        <f t="shared" si="89"/>
        <v>150720.57</v>
      </c>
      <c r="CB40" s="59">
        <f t="shared" si="191"/>
        <v>498252.06030600006</v>
      </c>
      <c r="CC40" s="55">
        <f t="shared" si="192"/>
        <v>146198.9529</v>
      </c>
      <c r="CD40" s="59">
        <f t="shared" si="193"/>
        <v>483304.49849682004</v>
      </c>
      <c r="CE40" s="55">
        <f t="shared" si="194"/>
        <v>143184.54149999999</v>
      </c>
      <c r="CF40" s="59">
        <f t="shared" si="195"/>
        <v>473339.4572907</v>
      </c>
      <c r="CG40" s="55">
        <f t="shared" si="196"/>
        <v>140170.13010000001</v>
      </c>
      <c r="CH40" s="59">
        <f t="shared" si="197"/>
        <v>463374.41608458007</v>
      </c>
      <c r="CI40" s="57">
        <f t="shared" si="198"/>
        <v>137155.7187</v>
      </c>
      <c r="CJ40" s="59">
        <f t="shared" si="199"/>
        <v>453409.37487846002</v>
      </c>
      <c r="CK40" s="55">
        <f t="shared" si="200"/>
        <v>134141.30730000001</v>
      </c>
      <c r="CL40" s="59">
        <f t="shared" si="201"/>
        <v>443444.33367234009</v>
      </c>
      <c r="CM40" s="57">
        <f t="shared" si="202"/>
        <v>131126.8959</v>
      </c>
      <c r="CN40" s="59">
        <f t="shared" si="203"/>
        <v>433479.29246622004</v>
      </c>
      <c r="CO40" s="60">
        <f t="shared" si="204"/>
        <v>128112.48450000001</v>
      </c>
      <c r="CP40" s="59">
        <f t="shared" si="205"/>
        <v>423514.25126010005</v>
      </c>
      <c r="CQ40" s="57">
        <f t="shared" si="206"/>
        <v>125098.07309999999</v>
      </c>
      <c r="CR40" s="59">
        <f t="shared" si="207"/>
        <v>413549.21005398</v>
      </c>
      <c r="CS40" s="55">
        <f t="shared" si="208"/>
        <v>122083.6617</v>
      </c>
      <c r="CT40" s="59">
        <f t="shared" si="209"/>
        <v>403584.16884786001</v>
      </c>
      <c r="CU40" s="60">
        <f t="shared" si="210"/>
        <v>119069.2503</v>
      </c>
      <c r="CV40" s="59">
        <f t="shared" si="211"/>
        <v>393619.12764174002</v>
      </c>
      <c r="CW40" s="60">
        <f t="shared" si="212"/>
        <v>116054.83889999999</v>
      </c>
      <c r="CX40" s="59">
        <f t="shared" si="213"/>
        <v>383654.08643561997</v>
      </c>
      <c r="CY40" s="60">
        <f t="shared" si="214"/>
        <v>113040.42749999999</v>
      </c>
      <c r="CZ40" s="59">
        <f t="shared" si="215"/>
        <v>373689.04522949998</v>
      </c>
      <c r="DA40" s="55">
        <f t="shared" si="216"/>
        <v>110026.01609999998</v>
      </c>
      <c r="DB40" s="59">
        <f t="shared" si="217"/>
        <v>363724.00402337994</v>
      </c>
      <c r="DC40" s="60">
        <f t="shared" si="218"/>
        <v>107011.60469999998</v>
      </c>
      <c r="DD40" s="59">
        <f t="shared" si="219"/>
        <v>353758.96281725995</v>
      </c>
      <c r="DE40" s="60">
        <f t="shared" si="220"/>
        <v>103997.19329999998</v>
      </c>
      <c r="DF40" s="59">
        <f t="shared" si="221"/>
        <v>343793.92161113996</v>
      </c>
      <c r="DG40" s="60">
        <f t="shared" si="222"/>
        <v>100982.78189999997</v>
      </c>
      <c r="DH40" s="59">
        <f t="shared" si="223"/>
        <v>333828.88040501991</v>
      </c>
      <c r="DI40" s="60">
        <f t="shared" si="224"/>
        <v>97968.370499999975</v>
      </c>
      <c r="DJ40" s="59">
        <f t="shared" si="225"/>
        <v>323863.83919889992</v>
      </c>
      <c r="DK40" s="55">
        <f t="shared" si="226"/>
        <v>94953.959099999978</v>
      </c>
      <c r="DL40" s="59">
        <f t="shared" si="227"/>
        <v>313898.79799277993</v>
      </c>
      <c r="DM40" s="60">
        <f t="shared" si="228"/>
        <v>91939.547699999966</v>
      </c>
      <c r="DN40" s="59">
        <f t="shared" si="229"/>
        <v>303933.75678665988</v>
      </c>
      <c r="DO40" s="60">
        <f t="shared" si="230"/>
        <v>88925.136299999969</v>
      </c>
      <c r="DP40" s="59">
        <f t="shared" si="231"/>
        <v>293968.71558053989</v>
      </c>
      <c r="DQ40" s="55">
        <f t="shared" si="232"/>
        <v>85910.724899999957</v>
      </c>
      <c r="DR40" s="59">
        <f t="shared" si="233"/>
        <v>284003.67437441985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4"/>
        <v>0.91</v>
      </c>
      <c r="DZ40" s="55">
        <f t="shared" si="234"/>
        <v>0.89</v>
      </c>
      <c r="EA40" s="55">
        <f t="shared" si="234"/>
        <v>0.87</v>
      </c>
      <c r="EB40" s="55">
        <f t="shared" si="234"/>
        <v>0.85</v>
      </c>
      <c r="EC40" s="55">
        <f t="shared" si="234"/>
        <v>0.83</v>
      </c>
      <c r="ED40" s="55">
        <f t="shared" si="234"/>
        <v>0.80999999999999994</v>
      </c>
      <c r="EE40" s="55">
        <f t="shared" si="234"/>
        <v>0.78999999999999992</v>
      </c>
      <c r="EF40" s="55">
        <f t="shared" si="234"/>
        <v>0.76999999999999991</v>
      </c>
      <c r="EG40" s="55">
        <f t="shared" si="234"/>
        <v>0.74999999999999989</v>
      </c>
      <c r="EH40" s="55">
        <f t="shared" si="234"/>
        <v>0.72999999999999987</v>
      </c>
      <c r="EI40" s="55">
        <f t="shared" si="234"/>
        <v>0.70999999999999985</v>
      </c>
      <c r="EJ40" s="55">
        <f t="shared" si="234"/>
        <v>0.68999999999999984</v>
      </c>
      <c r="EK40" s="55">
        <f t="shared" si="234"/>
        <v>0.66999999999999982</v>
      </c>
      <c r="EL40" s="55">
        <f t="shared" si="234"/>
        <v>0.6499999999999998</v>
      </c>
      <c r="EM40" s="55">
        <f t="shared" si="234"/>
        <v>0.62999999999999978</v>
      </c>
      <c r="EN40" s="55">
        <f t="shared" si="234"/>
        <v>0.60999999999999976</v>
      </c>
      <c r="EO40" s="55">
        <f t="shared" si="234"/>
        <v>0.58999999999999975</v>
      </c>
      <c r="EP40" s="55">
        <f t="shared" si="234"/>
        <v>0.56999999999999973</v>
      </c>
      <c r="ER40" s="55">
        <f t="shared" si="142"/>
        <v>137155.7187</v>
      </c>
      <c r="ES40" s="55">
        <f t="shared" si="116"/>
        <v>137155.7187</v>
      </c>
      <c r="ET40" s="59">
        <f t="shared" si="235"/>
        <v>453409.37487846002</v>
      </c>
      <c r="EU40" s="55">
        <f t="shared" si="236"/>
        <v>133041.047139</v>
      </c>
      <c r="EV40" s="59">
        <f t="shared" si="237"/>
        <v>439807.0936321062</v>
      </c>
      <c r="EW40" s="55">
        <f t="shared" si="238"/>
        <v>130297.93276499999</v>
      </c>
      <c r="EX40" s="59">
        <f t="shared" si="239"/>
        <v>430738.90613453696</v>
      </c>
      <c r="EY40" s="55">
        <f t="shared" si="240"/>
        <v>127554.81839100001</v>
      </c>
      <c r="EZ40" s="59">
        <f t="shared" si="241"/>
        <v>421670.71863696782</v>
      </c>
      <c r="FA40" s="57">
        <f t="shared" si="242"/>
        <v>124811.704017</v>
      </c>
      <c r="FB40" s="59">
        <f t="shared" si="243"/>
        <v>412602.53113939858</v>
      </c>
      <c r="FC40" s="55">
        <f t="shared" si="244"/>
        <v>122068.589643</v>
      </c>
      <c r="FD40" s="59">
        <f t="shared" si="245"/>
        <v>403534.34364182939</v>
      </c>
      <c r="FE40" s="57">
        <f t="shared" si="246"/>
        <v>119325.475269</v>
      </c>
      <c r="FF40" s="59">
        <f t="shared" si="247"/>
        <v>394466.1561442602</v>
      </c>
      <c r="FG40" s="60">
        <f t="shared" si="248"/>
        <v>116582.36089499999</v>
      </c>
      <c r="FH40" s="59">
        <f t="shared" si="249"/>
        <v>385397.96864669101</v>
      </c>
      <c r="FI40" s="57">
        <f t="shared" si="250"/>
        <v>113839.24652099999</v>
      </c>
      <c r="FJ40" s="59">
        <f t="shared" si="251"/>
        <v>376329.78114912182</v>
      </c>
      <c r="FK40" s="55">
        <f t="shared" si="252"/>
        <v>111096.132147</v>
      </c>
      <c r="FL40" s="59">
        <f t="shared" si="253"/>
        <v>367261.59365155257</v>
      </c>
      <c r="FM40" s="60">
        <f t="shared" si="254"/>
        <v>108353.01777299999</v>
      </c>
      <c r="FN40" s="59">
        <f t="shared" si="255"/>
        <v>358193.40615398338</v>
      </c>
      <c r="FO40" s="60">
        <f t="shared" si="256"/>
        <v>105609.90339899999</v>
      </c>
      <c r="FP40" s="59">
        <f t="shared" si="257"/>
        <v>349125.21865641419</v>
      </c>
      <c r="FQ40" s="60">
        <f t="shared" si="258"/>
        <v>102866.78902499998</v>
      </c>
      <c r="FR40" s="59">
        <f t="shared" si="259"/>
        <v>340057.03115884494</v>
      </c>
      <c r="FS40" s="55">
        <f t="shared" si="260"/>
        <v>100123.67465099998</v>
      </c>
      <c r="FT40" s="59">
        <f t="shared" si="261"/>
        <v>330988.84366127575</v>
      </c>
      <c r="FU40" s="60">
        <f t="shared" si="262"/>
        <v>97380.560276999982</v>
      </c>
      <c r="FV40" s="59">
        <f t="shared" si="263"/>
        <v>321920.65616370656</v>
      </c>
      <c r="FW40" s="60">
        <f t="shared" si="264"/>
        <v>94637.445902999971</v>
      </c>
      <c r="FX40" s="59">
        <f t="shared" si="265"/>
        <v>312852.46866613731</v>
      </c>
      <c r="FY40" s="60">
        <f t="shared" si="266"/>
        <v>91894.331528999974</v>
      </c>
      <c r="FZ40" s="59">
        <f t="shared" si="267"/>
        <v>303784.28116856812</v>
      </c>
      <c r="GA40" s="60">
        <f t="shared" si="268"/>
        <v>89151.217154999977</v>
      </c>
      <c r="GB40" s="59">
        <f t="shared" si="269"/>
        <v>294716.09367099893</v>
      </c>
      <c r="GC40" s="55">
        <f t="shared" si="270"/>
        <v>86408.102780999965</v>
      </c>
      <c r="GD40" s="59">
        <f t="shared" si="271"/>
        <v>285647.90617342968</v>
      </c>
      <c r="GE40" s="60">
        <f t="shared" si="272"/>
        <v>83664.988406999968</v>
      </c>
      <c r="GF40" s="59">
        <f t="shared" si="273"/>
        <v>276579.71867586049</v>
      </c>
      <c r="GG40" s="60">
        <f t="shared" si="274"/>
        <v>80921.874032999971</v>
      </c>
      <c r="GH40" s="59">
        <f t="shared" si="275"/>
        <v>267511.5311782913</v>
      </c>
      <c r="GI40" s="55">
        <f t="shared" si="276"/>
        <v>78178.759658999959</v>
      </c>
      <c r="GJ40" s="59">
        <f t="shared" si="277"/>
        <v>258443.34368072206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78"/>
        <v>0.91</v>
      </c>
      <c r="GR40" s="55">
        <f t="shared" si="278"/>
        <v>0.89</v>
      </c>
      <c r="GS40" s="55">
        <f t="shared" si="278"/>
        <v>0.87</v>
      </c>
      <c r="GT40" s="55">
        <f t="shared" si="278"/>
        <v>0.85</v>
      </c>
      <c r="GU40" s="55">
        <f t="shared" si="278"/>
        <v>0.83</v>
      </c>
      <c r="GV40" s="55">
        <f t="shared" si="278"/>
        <v>0.80999999999999994</v>
      </c>
      <c r="GW40" s="55">
        <f t="shared" si="278"/>
        <v>0.78999999999999992</v>
      </c>
      <c r="GX40" s="55">
        <f t="shared" si="278"/>
        <v>0.76999999999999991</v>
      </c>
      <c r="GY40" s="55">
        <f t="shared" si="278"/>
        <v>0.74999999999999989</v>
      </c>
      <c r="GZ40" s="55">
        <f t="shared" si="278"/>
        <v>0.72999999999999987</v>
      </c>
      <c r="HA40" s="55">
        <f t="shared" si="278"/>
        <v>0.70999999999999985</v>
      </c>
      <c r="HB40" s="55">
        <f t="shared" si="278"/>
        <v>0.68999999999999984</v>
      </c>
      <c r="HC40" s="55">
        <f t="shared" si="278"/>
        <v>0.66999999999999982</v>
      </c>
      <c r="HD40" s="55">
        <f t="shared" si="278"/>
        <v>0.6499999999999998</v>
      </c>
      <c r="HE40" s="55">
        <f t="shared" si="278"/>
        <v>0.62999999999999978</v>
      </c>
      <c r="HF40" s="55">
        <f t="shared" si="278"/>
        <v>0.60999999999999976</v>
      </c>
      <c r="HG40" s="55">
        <f t="shared" si="278"/>
        <v>0.58999999999999975</v>
      </c>
      <c r="HH40" s="55">
        <f t="shared" si="278"/>
        <v>0.56999999999999973</v>
      </c>
    </row>
    <row r="41" spans="1:216" x14ac:dyDescent="0.3">
      <c r="A41" s="2">
        <v>8</v>
      </c>
      <c r="C41" s="38" t="s">
        <v>20</v>
      </c>
      <c r="D41" s="42">
        <f>TRUNC(11867.3749158626,-1)</f>
        <v>11860</v>
      </c>
      <c r="E41" s="71">
        <f t="shared" si="148"/>
        <v>39200</v>
      </c>
      <c r="H41" s="55">
        <f t="shared" si="61"/>
        <v>43120</v>
      </c>
      <c r="I41" s="55">
        <f t="shared" si="62"/>
        <v>43120</v>
      </c>
      <c r="J41" s="59">
        <f t="shared" si="63"/>
        <v>142546.09599999999</v>
      </c>
      <c r="K41" s="55">
        <f t="shared" si="149"/>
        <v>41826.400000000001</v>
      </c>
      <c r="L41" s="59">
        <f t="shared" si="150"/>
        <v>138269.71312</v>
      </c>
      <c r="M41" s="55">
        <f t="shared" si="151"/>
        <v>40964</v>
      </c>
      <c r="N41" s="59">
        <f t="shared" si="152"/>
        <v>135418.79120000001</v>
      </c>
      <c r="O41" s="55">
        <f t="shared" si="153"/>
        <v>40101.599999999999</v>
      </c>
      <c r="P41" s="59">
        <f t="shared" si="154"/>
        <v>132567.86927999998</v>
      </c>
      <c r="Q41" s="57">
        <f t="shared" si="155"/>
        <v>39239.200000000004</v>
      </c>
      <c r="R41" s="59">
        <f t="shared" si="156"/>
        <v>129716.94736000002</v>
      </c>
      <c r="S41" s="55">
        <f t="shared" si="157"/>
        <v>38376.800000000003</v>
      </c>
      <c r="T41" s="59">
        <f t="shared" si="158"/>
        <v>126866.02544000001</v>
      </c>
      <c r="U41" s="57">
        <f t="shared" si="159"/>
        <v>37514.400000000001</v>
      </c>
      <c r="V41" s="59">
        <f t="shared" si="160"/>
        <v>124015.10352</v>
      </c>
      <c r="W41" s="60">
        <f t="shared" si="161"/>
        <v>36652</v>
      </c>
      <c r="X41" s="59">
        <f t="shared" si="162"/>
        <v>121164.1816</v>
      </c>
      <c r="Y41" s="57">
        <f t="shared" si="163"/>
        <v>35789.599999999999</v>
      </c>
      <c r="Z41" s="59">
        <f t="shared" si="164"/>
        <v>118313.25968</v>
      </c>
      <c r="AA41" s="55">
        <f t="shared" si="165"/>
        <v>34927.199999999997</v>
      </c>
      <c r="AB41" s="59">
        <f t="shared" si="166"/>
        <v>115462.33775999999</v>
      </c>
      <c r="AC41" s="60">
        <f t="shared" si="167"/>
        <v>34064.799999999996</v>
      </c>
      <c r="AD41" s="59">
        <f t="shared" si="168"/>
        <v>112611.41583999999</v>
      </c>
      <c r="AE41" s="60">
        <f t="shared" si="169"/>
        <v>33202.399999999994</v>
      </c>
      <c r="AF41" s="59">
        <f t="shared" si="170"/>
        <v>109760.49391999998</v>
      </c>
      <c r="AG41" s="60">
        <f t="shared" si="171"/>
        <v>32339.999999999996</v>
      </c>
      <c r="AH41" s="59">
        <f t="shared" si="172"/>
        <v>106909.57199999999</v>
      </c>
      <c r="AI41" s="55">
        <f t="shared" si="173"/>
        <v>31477.599999999995</v>
      </c>
      <c r="AJ41" s="59">
        <f t="shared" si="174"/>
        <v>104058.65007999999</v>
      </c>
      <c r="AK41" s="60">
        <f t="shared" si="175"/>
        <v>30615.199999999993</v>
      </c>
      <c r="AL41" s="59">
        <f t="shared" si="176"/>
        <v>101207.72815999998</v>
      </c>
      <c r="AM41" s="60">
        <f t="shared" si="177"/>
        <v>29752.799999999992</v>
      </c>
      <c r="AN41" s="59">
        <f t="shared" si="178"/>
        <v>98356.806239999976</v>
      </c>
      <c r="AO41" s="60">
        <f t="shared" si="179"/>
        <v>28890.399999999991</v>
      </c>
      <c r="AP41" s="59">
        <f t="shared" si="180"/>
        <v>95505.884319999968</v>
      </c>
      <c r="AQ41" s="60">
        <f t="shared" si="181"/>
        <v>28027.999999999993</v>
      </c>
      <c r="AR41" s="59">
        <f t="shared" si="182"/>
        <v>92654.962399999975</v>
      </c>
      <c r="AS41" s="55">
        <f t="shared" si="183"/>
        <v>27165.599999999991</v>
      </c>
      <c r="AT41" s="59">
        <f t="shared" si="184"/>
        <v>89804.040479999967</v>
      </c>
      <c r="AU41" s="60">
        <f t="shared" si="185"/>
        <v>26303.19999999999</v>
      </c>
      <c r="AV41" s="59">
        <f t="shared" si="186"/>
        <v>86953.118559999974</v>
      </c>
      <c r="AW41" s="60">
        <f t="shared" si="187"/>
        <v>25440.799999999988</v>
      </c>
      <c r="AX41" s="59">
        <f t="shared" si="188"/>
        <v>84102.196639999966</v>
      </c>
      <c r="AY41" s="55">
        <f t="shared" si="189"/>
        <v>24578.399999999987</v>
      </c>
      <c r="AZ41" s="59">
        <f t="shared" si="190"/>
        <v>81251.274719999958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3"/>
        <v>0.91</v>
      </c>
      <c r="BH41" s="55">
        <f t="shared" si="143"/>
        <v>0.89</v>
      </c>
      <c r="BI41" s="55">
        <f t="shared" si="143"/>
        <v>0.87</v>
      </c>
      <c r="BJ41" s="55">
        <f t="shared" si="143"/>
        <v>0.85</v>
      </c>
      <c r="BK41" s="55">
        <f t="shared" si="143"/>
        <v>0.83</v>
      </c>
      <c r="BL41" s="55">
        <f t="shared" si="143"/>
        <v>0.80999999999999994</v>
      </c>
      <c r="BM41" s="55">
        <f t="shared" si="143"/>
        <v>0.78999999999999992</v>
      </c>
      <c r="BN41" s="55">
        <f t="shared" si="143"/>
        <v>0.76999999999999991</v>
      </c>
      <c r="BO41" s="55">
        <f t="shared" si="143"/>
        <v>0.74999999999999989</v>
      </c>
      <c r="BP41" s="55">
        <f t="shared" si="143"/>
        <v>0.72999999999999987</v>
      </c>
      <c r="BQ41" s="55">
        <f t="shared" si="143"/>
        <v>0.70999999999999985</v>
      </c>
      <c r="BR41" s="55">
        <f t="shared" si="143"/>
        <v>0.68999999999999984</v>
      </c>
      <c r="BS41" s="55">
        <f t="shared" si="143"/>
        <v>0.66999999999999982</v>
      </c>
      <c r="BT41" s="55">
        <f t="shared" si="143"/>
        <v>0.6499999999999998</v>
      </c>
      <c r="BU41" s="55">
        <f t="shared" si="143"/>
        <v>0.62999999999999978</v>
      </c>
      <c r="BV41" s="55">
        <f t="shared" si="143"/>
        <v>0.60999999999999976</v>
      </c>
      <c r="BW41" s="55">
        <f t="shared" si="143"/>
        <v>0.58999999999999975</v>
      </c>
      <c r="BX41" s="55">
        <f t="shared" si="143"/>
        <v>0.56999999999999973</v>
      </c>
      <c r="BZ41" s="55">
        <f t="shared" si="88"/>
        <v>39239.200000000004</v>
      </c>
      <c r="CA41" s="55">
        <f t="shared" si="89"/>
        <v>39239.200000000004</v>
      </c>
      <c r="CB41" s="59">
        <f t="shared" si="191"/>
        <v>129716.94736000002</v>
      </c>
      <c r="CC41" s="55">
        <f t="shared" si="192"/>
        <v>38062.024000000005</v>
      </c>
      <c r="CD41" s="59">
        <f t="shared" si="193"/>
        <v>125825.43893920002</v>
      </c>
      <c r="CE41" s="55">
        <f t="shared" si="194"/>
        <v>37277.240000000005</v>
      </c>
      <c r="CF41" s="59">
        <f t="shared" si="195"/>
        <v>123231.09999200002</v>
      </c>
      <c r="CG41" s="55">
        <f t="shared" si="196"/>
        <v>36492.456000000006</v>
      </c>
      <c r="CH41" s="59">
        <f t="shared" si="197"/>
        <v>120636.76104480002</v>
      </c>
      <c r="CI41" s="57">
        <f t="shared" si="198"/>
        <v>35707.672000000006</v>
      </c>
      <c r="CJ41" s="59">
        <f t="shared" si="199"/>
        <v>118042.42209760002</v>
      </c>
      <c r="CK41" s="55">
        <f t="shared" si="200"/>
        <v>34922.888000000006</v>
      </c>
      <c r="CL41" s="59">
        <f t="shared" si="201"/>
        <v>115448.08315040002</v>
      </c>
      <c r="CM41" s="57">
        <f t="shared" si="202"/>
        <v>34138.104000000007</v>
      </c>
      <c r="CN41" s="59">
        <f t="shared" si="203"/>
        <v>112853.74420320003</v>
      </c>
      <c r="CO41" s="60">
        <f t="shared" si="204"/>
        <v>33353.32</v>
      </c>
      <c r="CP41" s="59">
        <f t="shared" si="205"/>
        <v>110259.405256</v>
      </c>
      <c r="CQ41" s="57">
        <f t="shared" si="206"/>
        <v>32568.536000000004</v>
      </c>
      <c r="CR41" s="59">
        <f t="shared" si="207"/>
        <v>107665.06630880001</v>
      </c>
      <c r="CS41" s="55">
        <f t="shared" si="208"/>
        <v>31783.752</v>
      </c>
      <c r="CT41" s="59">
        <f t="shared" si="209"/>
        <v>105070.7273616</v>
      </c>
      <c r="CU41" s="60">
        <f t="shared" si="210"/>
        <v>30998.968000000001</v>
      </c>
      <c r="CV41" s="59">
        <f t="shared" si="211"/>
        <v>102476.3884144</v>
      </c>
      <c r="CW41" s="60">
        <f t="shared" si="212"/>
        <v>30214.184000000001</v>
      </c>
      <c r="CX41" s="59">
        <f t="shared" si="213"/>
        <v>99882.049467200006</v>
      </c>
      <c r="CY41" s="60">
        <f t="shared" si="214"/>
        <v>29429.399999999998</v>
      </c>
      <c r="CZ41" s="59">
        <f t="shared" si="215"/>
        <v>97287.710519999993</v>
      </c>
      <c r="DA41" s="55">
        <f t="shared" si="216"/>
        <v>28644.615999999998</v>
      </c>
      <c r="DB41" s="59">
        <f t="shared" si="217"/>
        <v>94693.371572799995</v>
      </c>
      <c r="DC41" s="60">
        <f t="shared" si="218"/>
        <v>27859.831999999999</v>
      </c>
      <c r="DD41" s="59">
        <f t="shared" si="219"/>
        <v>92099.032625599997</v>
      </c>
      <c r="DE41" s="60">
        <f t="shared" si="220"/>
        <v>27075.047999999995</v>
      </c>
      <c r="DF41" s="59">
        <f t="shared" si="221"/>
        <v>89504.693678399984</v>
      </c>
      <c r="DG41" s="60">
        <f t="shared" si="222"/>
        <v>26290.263999999996</v>
      </c>
      <c r="DH41" s="59">
        <f t="shared" si="223"/>
        <v>86910.354731199986</v>
      </c>
      <c r="DI41" s="60">
        <f t="shared" si="224"/>
        <v>25505.479999999996</v>
      </c>
      <c r="DJ41" s="59">
        <f t="shared" si="225"/>
        <v>84316.015783999988</v>
      </c>
      <c r="DK41" s="55">
        <f t="shared" si="226"/>
        <v>24720.695999999993</v>
      </c>
      <c r="DL41" s="59">
        <f t="shared" si="227"/>
        <v>81721.676836799976</v>
      </c>
      <c r="DM41" s="60">
        <f t="shared" si="228"/>
        <v>23935.911999999993</v>
      </c>
      <c r="DN41" s="59">
        <f t="shared" si="229"/>
        <v>79127.337889599978</v>
      </c>
      <c r="DO41" s="60">
        <f t="shared" si="230"/>
        <v>23151.127999999993</v>
      </c>
      <c r="DP41" s="59">
        <f t="shared" si="231"/>
        <v>76532.99894239998</v>
      </c>
      <c r="DQ41" s="55">
        <f t="shared" si="232"/>
        <v>22366.34399999999</v>
      </c>
      <c r="DR41" s="59">
        <f t="shared" si="233"/>
        <v>73938.659995199967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4"/>
        <v>0.91</v>
      </c>
      <c r="DZ41" s="55">
        <f t="shared" si="234"/>
        <v>0.89</v>
      </c>
      <c r="EA41" s="55">
        <f t="shared" si="234"/>
        <v>0.87</v>
      </c>
      <c r="EB41" s="55">
        <f t="shared" si="234"/>
        <v>0.85</v>
      </c>
      <c r="EC41" s="55">
        <f t="shared" si="234"/>
        <v>0.83</v>
      </c>
      <c r="ED41" s="55">
        <f t="shared" si="234"/>
        <v>0.80999999999999994</v>
      </c>
      <c r="EE41" s="55">
        <f t="shared" si="234"/>
        <v>0.78999999999999992</v>
      </c>
      <c r="EF41" s="55">
        <f t="shared" si="234"/>
        <v>0.76999999999999991</v>
      </c>
      <c r="EG41" s="55">
        <f t="shared" si="234"/>
        <v>0.74999999999999989</v>
      </c>
      <c r="EH41" s="55">
        <f t="shared" si="234"/>
        <v>0.72999999999999987</v>
      </c>
      <c r="EI41" s="55">
        <f t="shared" si="234"/>
        <v>0.70999999999999985</v>
      </c>
      <c r="EJ41" s="55">
        <f t="shared" si="234"/>
        <v>0.68999999999999984</v>
      </c>
      <c r="EK41" s="55">
        <f t="shared" si="234"/>
        <v>0.66999999999999982</v>
      </c>
      <c r="EL41" s="55">
        <f t="shared" si="234"/>
        <v>0.6499999999999998</v>
      </c>
      <c r="EM41" s="55">
        <f t="shared" si="234"/>
        <v>0.62999999999999978</v>
      </c>
      <c r="EN41" s="55">
        <f t="shared" si="234"/>
        <v>0.60999999999999976</v>
      </c>
      <c r="EO41" s="55">
        <f t="shared" si="234"/>
        <v>0.58999999999999975</v>
      </c>
      <c r="EP41" s="55">
        <f t="shared" si="234"/>
        <v>0.56999999999999973</v>
      </c>
      <c r="ER41" s="55">
        <f t="shared" si="142"/>
        <v>35707.672000000006</v>
      </c>
      <c r="ES41" s="55">
        <f t="shared" si="116"/>
        <v>35707.672000000006</v>
      </c>
      <c r="ET41" s="59">
        <f t="shared" si="235"/>
        <v>118042.42209760002</v>
      </c>
      <c r="EU41" s="55">
        <f t="shared" si="236"/>
        <v>34636.441840000007</v>
      </c>
      <c r="EV41" s="59">
        <f t="shared" si="237"/>
        <v>114501.14943467203</v>
      </c>
      <c r="EW41" s="55">
        <f t="shared" si="238"/>
        <v>33922.288400000005</v>
      </c>
      <c r="EX41" s="59">
        <f t="shared" si="239"/>
        <v>112140.30099272002</v>
      </c>
      <c r="EY41" s="55">
        <f t="shared" si="240"/>
        <v>33208.13496000001</v>
      </c>
      <c r="EZ41" s="59">
        <f t="shared" si="241"/>
        <v>109779.45255076804</v>
      </c>
      <c r="FA41" s="57">
        <f t="shared" si="242"/>
        <v>32493.981520000005</v>
      </c>
      <c r="FB41" s="59">
        <f t="shared" si="243"/>
        <v>107418.60410881601</v>
      </c>
      <c r="FC41" s="55">
        <f t="shared" si="244"/>
        <v>31779.828080000007</v>
      </c>
      <c r="FD41" s="59">
        <f t="shared" si="245"/>
        <v>105057.75566686402</v>
      </c>
      <c r="FE41" s="57">
        <f t="shared" si="246"/>
        <v>31065.674640000005</v>
      </c>
      <c r="FF41" s="59">
        <f t="shared" si="247"/>
        <v>102696.90722491202</v>
      </c>
      <c r="FG41" s="60">
        <f t="shared" si="248"/>
        <v>30351.521200000003</v>
      </c>
      <c r="FH41" s="59">
        <f t="shared" si="249"/>
        <v>100336.05878296001</v>
      </c>
      <c r="FI41" s="57">
        <f t="shared" si="250"/>
        <v>29637.367760000005</v>
      </c>
      <c r="FJ41" s="59">
        <f t="shared" si="251"/>
        <v>97975.210341008016</v>
      </c>
      <c r="FK41" s="55">
        <f t="shared" si="252"/>
        <v>28923.214320000003</v>
      </c>
      <c r="FL41" s="59">
        <f t="shared" si="253"/>
        <v>95614.361899056006</v>
      </c>
      <c r="FM41" s="60">
        <f t="shared" si="254"/>
        <v>28209.060880000001</v>
      </c>
      <c r="FN41" s="59">
        <f t="shared" si="255"/>
        <v>93253.513457104011</v>
      </c>
      <c r="FO41" s="60">
        <f t="shared" si="256"/>
        <v>27494.907440000003</v>
      </c>
      <c r="FP41" s="59">
        <f t="shared" si="257"/>
        <v>90892.665015152015</v>
      </c>
      <c r="FQ41" s="60">
        <f t="shared" si="258"/>
        <v>26780.754000000001</v>
      </c>
      <c r="FR41" s="59">
        <f t="shared" si="259"/>
        <v>88531.816573200005</v>
      </c>
      <c r="FS41" s="55">
        <f t="shared" si="260"/>
        <v>26066.600559999999</v>
      </c>
      <c r="FT41" s="59">
        <f t="shared" si="261"/>
        <v>86170.968131247995</v>
      </c>
      <c r="FU41" s="60">
        <f t="shared" si="262"/>
        <v>25352.447120000001</v>
      </c>
      <c r="FV41" s="59">
        <f t="shared" si="263"/>
        <v>83810.119689296</v>
      </c>
      <c r="FW41" s="60">
        <f t="shared" si="264"/>
        <v>24638.293679999999</v>
      </c>
      <c r="FX41" s="59">
        <f t="shared" si="265"/>
        <v>81449.271247344004</v>
      </c>
      <c r="FY41" s="60">
        <f t="shared" si="266"/>
        <v>23924.140239999997</v>
      </c>
      <c r="FZ41" s="59">
        <f t="shared" si="267"/>
        <v>79088.422805391994</v>
      </c>
      <c r="GA41" s="60">
        <f t="shared" si="268"/>
        <v>23209.986799999995</v>
      </c>
      <c r="GB41" s="59">
        <f t="shared" si="269"/>
        <v>76727.574363439984</v>
      </c>
      <c r="GC41" s="55">
        <f t="shared" si="270"/>
        <v>22495.833359999997</v>
      </c>
      <c r="GD41" s="59">
        <f t="shared" si="271"/>
        <v>74366.725921487989</v>
      </c>
      <c r="GE41" s="60">
        <f t="shared" si="272"/>
        <v>21781.679919999995</v>
      </c>
      <c r="GF41" s="59">
        <f t="shared" si="273"/>
        <v>72005.877479535979</v>
      </c>
      <c r="GG41" s="60">
        <f t="shared" si="274"/>
        <v>21067.526479999993</v>
      </c>
      <c r="GH41" s="59">
        <f t="shared" si="275"/>
        <v>69645.029037583983</v>
      </c>
      <c r="GI41" s="55">
        <f t="shared" si="276"/>
        <v>20353.373039999995</v>
      </c>
      <c r="GJ41" s="59">
        <f t="shared" si="277"/>
        <v>67284.180595631988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78"/>
        <v>0.91</v>
      </c>
      <c r="GR41" s="55">
        <f t="shared" si="278"/>
        <v>0.89</v>
      </c>
      <c r="GS41" s="55">
        <f t="shared" si="278"/>
        <v>0.87</v>
      </c>
      <c r="GT41" s="55">
        <f t="shared" si="278"/>
        <v>0.85</v>
      </c>
      <c r="GU41" s="55">
        <f t="shared" si="278"/>
        <v>0.83</v>
      </c>
      <c r="GV41" s="55">
        <f t="shared" si="278"/>
        <v>0.80999999999999994</v>
      </c>
      <c r="GW41" s="55">
        <f t="shared" si="278"/>
        <v>0.78999999999999992</v>
      </c>
      <c r="GX41" s="55">
        <f t="shared" si="278"/>
        <v>0.76999999999999991</v>
      </c>
      <c r="GY41" s="55">
        <f t="shared" si="278"/>
        <v>0.74999999999999989</v>
      </c>
      <c r="GZ41" s="55">
        <f t="shared" si="278"/>
        <v>0.72999999999999987</v>
      </c>
      <c r="HA41" s="55">
        <f t="shared" si="278"/>
        <v>0.70999999999999985</v>
      </c>
      <c r="HB41" s="55">
        <f t="shared" si="278"/>
        <v>0.68999999999999984</v>
      </c>
      <c r="HC41" s="55">
        <f t="shared" si="278"/>
        <v>0.66999999999999982</v>
      </c>
      <c r="HD41" s="55">
        <f t="shared" si="278"/>
        <v>0.6499999999999998</v>
      </c>
      <c r="HE41" s="55">
        <f t="shared" si="278"/>
        <v>0.62999999999999978</v>
      </c>
      <c r="HF41" s="55">
        <f t="shared" si="278"/>
        <v>0.60999999999999976</v>
      </c>
      <c r="HG41" s="55">
        <f t="shared" si="278"/>
        <v>0.58999999999999975</v>
      </c>
      <c r="HH41" s="55">
        <f t="shared" si="278"/>
        <v>0.56999999999999973</v>
      </c>
    </row>
    <row r="42" spans="1:216" x14ac:dyDescent="0.3">
      <c r="A42" s="2">
        <v>9</v>
      </c>
      <c r="C42" s="38" t="s">
        <v>21</v>
      </c>
      <c r="D42" s="42">
        <f>TRUNC(47378.9636526812,-1)</f>
        <v>47370</v>
      </c>
      <c r="E42" s="71">
        <f t="shared" si="148"/>
        <v>156590</v>
      </c>
      <c r="H42" s="55">
        <f t="shared" si="61"/>
        <v>172249</v>
      </c>
      <c r="I42" s="55">
        <f t="shared" si="62"/>
        <v>172249</v>
      </c>
      <c r="J42" s="59">
        <f t="shared" si="63"/>
        <v>569420.74419999996</v>
      </c>
      <c r="K42" s="55">
        <f t="shared" si="149"/>
        <v>167081.53</v>
      </c>
      <c r="L42" s="59">
        <f t="shared" si="150"/>
        <v>552338.12187400006</v>
      </c>
      <c r="M42" s="55">
        <f t="shared" si="151"/>
        <v>163636.54999999999</v>
      </c>
      <c r="N42" s="59">
        <f t="shared" si="152"/>
        <v>540949.70698999998</v>
      </c>
      <c r="O42" s="55">
        <f t="shared" si="153"/>
        <v>160191.57</v>
      </c>
      <c r="P42" s="59">
        <f t="shared" si="154"/>
        <v>529561.29210600001</v>
      </c>
      <c r="Q42" s="57">
        <f t="shared" si="155"/>
        <v>156746.59</v>
      </c>
      <c r="R42" s="59">
        <f t="shared" si="156"/>
        <v>518172.87722199998</v>
      </c>
      <c r="S42" s="55">
        <f t="shared" si="157"/>
        <v>153301.61000000002</v>
      </c>
      <c r="T42" s="59">
        <f t="shared" si="158"/>
        <v>506784.46233800007</v>
      </c>
      <c r="U42" s="57">
        <f t="shared" si="159"/>
        <v>149856.63</v>
      </c>
      <c r="V42" s="59">
        <f t="shared" si="160"/>
        <v>495396.04745400004</v>
      </c>
      <c r="W42" s="60">
        <f t="shared" si="161"/>
        <v>146411.65</v>
      </c>
      <c r="X42" s="59">
        <f t="shared" si="162"/>
        <v>484007.63257000002</v>
      </c>
      <c r="Y42" s="57">
        <f t="shared" si="163"/>
        <v>142966.66999999998</v>
      </c>
      <c r="Z42" s="59">
        <f t="shared" si="164"/>
        <v>472619.21768599993</v>
      </c>
      <c r="AA42" s="55">
        <f t="shared" si="165"/>
        <v>139521.69</v>
      </c>
      <c r="AB42" s="59">
        <f t="shared" si="166"/>
        <v>461230.80280200002</v>
      </c>
      <c r="AC42" s="60">
        <f t="shared" si="167"/>
        <v>136076.71</v>
      </c>
      <c r="AD42" s="59">
        <f t="shared" si="168"/>
        <v>449842.38791799999</v>
      </c>
      <c r="AE42" s="60">
        <f t="shared" si="169"/>
        <v>132631.72999999998</v>
      </c>
      <c r="AF42" s="59">
        <f t="shared" si="170"/>
        <v>438453.97303399997</v>
      </c>
      <c r="AG42" s="60">
        <f t="shared" si="171"/>
        <v>129186.74999999999</v>
      </c>
      <c r="AH42" s="59">
        <f t="shared" si="172"/>
        <v>427065.55814999994</v>
      </c>
      <c r="AI42" s="55">
        <f t="shared" si="173"/>
        <v>125741.76999999997</v>
      </c>
      <c r="AJ42" s="59">
        <f t="shared" si="174"/>
        <v>415677.14326599991</v>
      </c>
      <c r="AK42" s="60">
        <f t="shared" si="175"/>
        <v>122296.78999999998</v>
      </c>
      <c r="AL42" s="59">
        <f t="shared" si="176"/>
        <v>404288.72838199994</v>
      </c>
      <c r="AM42" s="60">
        <f t="shared" si="177"/>
        <v>118851.80999999997</v>
      </c>
      <c r="AN42" s="59">
        <f t="shared" si="178"/>
        <v>392900.31349799992</v>
      </c>
      <c r="AO42" s="60">
        <f t="shared" si="179"/>
        <v>115406.82999999997</v>
      </c>
      <c r="AP42" s="59">
        <f t="shared" si="180"/>
        <v>381511.89861399989</v>
      </c>
      <c r="AQ42" s="60">
        <f t="shared" si="181"/>
        <v>111961.84999999996</v>
      </c>
      <c r="AR42" s="59">
        <f t="shared" si="182"/>
        <v>370123.48372999986</v>
      </c>
      <c r="AS42" s="55">
        <f t="shared" si="183"/>
        <v>108516.86999999997</v>
      </c>
      <c r="AT42" s="59">
        <f t="shared" si="184"/>
        <v>358735.06884599989</v>
      </c>
      <c r="AU42" s="60">
        <f t="shared" si="185"/>
        <v>105071.88999999996</v>
      </c>
      <c r="AV42" s="59">
        <f t="shared" si="186"/>
        <v>347346.65396199987</v>
      </c>
      <c r="AW42" s="60">
        <f t="shared" si="187"/>
        <v>101626.90999999996</v>
      </c>
      <c r="AX42" s="59">
        <f t="shared" si="188"/>
        <v>335958.2390779999</v>
      </c>
      <c r="AY42" s="55">
        <f t="shared" si="189"/>
        <v>98181.929999999949</v>
      </c>
      <c r="AZ42" s="59">
        <f t="shared" si="190"/>
        <v>324569.82419399981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3"/>
        <v>0.91</v>
      </c>
      <c r="BH42" s="55">
        <f t="shared" si="143"/>
        <v>0.89</v>
      </c>
      <c r="BI42" s="55">
        <f t="shared" si="143"/>
        <v>0.87</v>
      </c>
      <c r="BJ42" s="55">
        <f t="shared" si="143"/>
        <v>0.85</v>
      </c>
      <c r="BK42" s="55">
        <f t="shared" si="143"/>
        <v>0.83</v>
      </c>
      <c r="BL42" s="55">
        <f t="shared" si="143"/>
        <v>0.80999999999999994</v>
      </c>
      <c r="BM42" s="55">
        <f t="shared" si="143"/>
        <v>0.78999999999999992</v>
      </c>
      <c r="BN42" s="55">
        <f t="shared" si="143"/>
        <v>0.76999999999999991</v>
      </c>
      <c r="BO42" s="55">
        <f t="shared" si="143"/>
        <v>0.74999999999999989</v>
      </c>
      <c r="BP42" s="55">
        <f t="shared" si="143"/>
        <v>0.72999999999999987</v>
      </c>
      <c r="BQ42" s="55">
        <f t="shared" si="143"/>
        <v>0.70999999999999985</v>
      </c>
      <c r="BR42" s="55">
        <f t="shared" si="143"/>
        <v>0.68999999999999984</v>
      </c>
      <c r="BS42" s="55">
        <f t="shared" si="143"/>
        <v>0.66999999999999982</v>
      </c>
      <c r="BT42" s="55">
        <f t="shared" si="143"/>
        <v>0.6499999999999998</v>
      </c>
      <c r="BU42" s="55">
        <f t="shared" si="143"/>
        <v>0.62999999999999978</v>
      </c>
      <c r="BV42" s="55">
        <f t="shared" si="143"/>
        <v>0.60999999999999976</v>
      </c>
      <c r="BW42" s="55">
        <f t="shared" si="143"/>
        <v>0.58999999999999975</v>
      </c>
      <c r="BX42" s="55">
        <f t="shared" si="143"/>
        <v>0.56999999999999973</v>
      </c>
      <c r="BZ42" s="55">
        <f t="shared" si="88"/>
        <v>156746.59</v>
      </c>
      <c r="CA42" s="55">
        <f t="shared" si="89"/>
        <v>156746.59</v>
      </c>
      <c r="CB42" s="59">
        <f t="shared" si="191"/>
        <v>518172.87722199998</v>
      </c>
      <c r="CC42" s="55">
        <f t="shared" si="192"/>
        <v>152044.1923</v>
      </c>
      <c r="CD42" s="59">
        <f t="shared" si="193"/>
        <v>502627.69090534002</v>
      </c>
      <c r="CE42" s="55">
        <f t="shared" si="194"/>
        <v>148909.2605</v>
      </c>
      <c r="CF42" s="59">
        <f t="shared" si="195"/>
        <v>492264.23336090002</v>
      </c>
      <c r="CG42" s="55">
        <f t="shared" si="196"/>
        <v>145774.32870000001</v>
      </c>
      <c r="CH42" s="59">
        <f t="shared" si="197"/>
        <v>481900.77581646002</v>
      </c>
      <c r="CI42" s="57">
        <f t="shared" si="198"/>
        <v>142639.39689999999</v>
      </c>
      <c r="CJ42" s="59">
        <f t="shared" si="199"/>
        <v>471537.31827201997</v>
      </c>
      <c r="CK42" s="55">
        <f t="shared" si="200"/>
        <v>139504.4651</v>
      </c>
      <c r="CL42" s="59">
        <f t="shared" si="201"/>
        <v>461173.86072758003</v>
      </c>
      <c r="CM42" s="57">
        <f t="shared" si="202"/>
        <v>136369.53330000001</v>
      </c>
      <c r="CN42" s="59">
        <f t="shared" si="203"/>
        <v>450810.40318314004</v>
      </c>
      <c r="CO42" s="60">
        <f t="shared" si="204"/>
        <v>133234.60149999999</v>
      </c>
      <c r="CP42" s="59">
        <f t="shared" si="205"/>
        <v>440446.94563869998</v>
      </c>
      <c r="CQ42" s="57">
        <f t="shared" si="206"/>
        <v>130099.66969999998</v>
      </c>
      <c r="CR42" s="59">
        <f t="shared" si="207"/>
        <v>430083.48809425998</v>
      </c>
      <c r="CS42" s="55">
        <f t="shared" si="208"/>
        <v>126964.73789999999</v>
      </c>
      <c r="CT42" s="59">
        <f t="shared" si="209"/>
        <v>419720.03054981999</v>
      </c>
      <c r="CU42" s="60">
        <f t="shared" si="210"/>
        <v>123829.80609999999</v>
      </c>
      <c r="CV42" s="59">
        <f t="shared" si="211"/>
        <v>409356.57300537999</v>
      </c>
      <c r="CW42" s="60">
        <f t="shared" si="212"/>
        <v>120694.87429999998</v>
      </c>
      <c r="CX42" s="59">
        <f t="shared" si="213"/>
        <v>398993.11546093994</v>
      </c>
      <c r="CY42" s="60">
        <f t="shared" si="214"/>
        <v>117559.94249999998</v>
      </c>
      <c r="CZ42" s="59">
        <f t="shared" si="215"/>
        <v>388629.65791649994</v>
      </c>
      <c r="DA42" s="55">
        <f t="shared" si="216"/>
        <v>114425.01069999998</v>
      </c>
      <c r="DB42" s="59">
        <f t="shared" si="217"/>
        <v>378266.20037205995</v>
      </c>
      <c r="DC42" s="60">
        <f t="shared" si="218"/>
        <v>111290.07889999998</v>
      </c>
      <c r="DD42" s="59">
        <f t="shared" si="219"/>
        <v>367902.74282761995</v>
      </c>
      <c r="DE42" s="60">
        <f t="shared" si="220"/>
        <v>108155.14709999997</v>
      </c>
      <c r="DF42" s="59">
        <f t="shared" si="221"/>
        <v>357539.2852831799</v>
      </c>
      <c r="DG42" s="60">
        <f t="shared" si="222"/>
        <v>105020.21529999997</v>
      </c>
      <c r="DH42" s="59">
        <f t="shared" si="223"/>
        <v>347175.8277387399</v>
      </c>
      <c r="DI42" s="60">
        <f t="shared" si="224"/>
        <v>101885.28349999996</v>
      </c>
      <c r="DJ42" s="59">
        <f t="shared" si="225"/>
        <v>336812.3701942999</v>
      </c>
      <c r="DK42" s="55">
        <f t="shared" si="226"/>
        <v>98750.35169999997</v>
      </c>
      <c r="DL42" s="59">
        <f t="shared" si="227"/>
        <v>326448.91264985991</v>
      </c>
      <c r="DM42" s="60">
        <f t="shared" si="228"/>
        <v>95615.419899999964</v>
      </c>
      <c r="DN42" s="59">
        <f t="shared" si="229"/>
        <v>316085.45510541991</v>
      </c>
      <c r="DO42" s="60">
        <f t="shared" si="230"/>
        <v>92480.488099999959</v>
      </c>
      <c r="DP42" s="59">
        <f t="shared" si="231"/>
        <v>305721.99756097986</v>
      </c>
      <c r="DQ42" s="55">
        <f t="shared" si="232"/>
        <v>89345.556299999953</v>
      </c>
      <c r="DR42" s="59">
        <f t="shared" si="233"/>
        <v>295358.54001653986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4"/>
        <v>0.91</v>
      </c>
      <c r="DZ42" s="55">
        <f t="shared" si="234"/>
        <v>0.89</v>
      </c>
      <c r="EA42" s="55">
        <f t="shared" si="234"/>
        <v>0.87</v>
      </c>
      <c r="EB42" s="55">
        <f t="shared" si="234"/>
        <v>0.85</v>
      </c>
      <c r="EC42" s="55">
        <f t="shared" si="234"/>
        <v>0.83</v>
      </c>
      <c r="ED42" s="55">
        <f t="shared" si="234"/>
        <v>0.80999999999999994</v>
      </c>
      <c r="EE42" s="55">
        <f t="shared" si="234"/>
        <v>0.78999999999999992</v>
      </c>
      <c r="EF42" s="55">
        <f t="shared" si="234"/>
        <v>0.76999999999999991</v>
      </c>
      <c r="EG42" s="55">
        <f t="shared" si="234"/>
        <v>0.74999999999999989</v>
      </c>
      <c r="EH42" s="55">
        <f t="shared" si="234"/>
        <v>0.72999999999999987</v>
      </c>
      <c r="EI42" s="55">
        <f t="shared" si="234"/>
        <v>0.70999999999999985</v>
      </c>
      <c r="EJ42" s="55">
        <f t="shared" si="234"/>
        <v>0.68999999999999984</v>
      </c>
      <c r="EK42" s="55">
        <f t="shared" si="234"/>
        <v>0.66999999999999982</v>
      </c>
      <c r="EL42" s="55">
        <f t="shared" si="234"/>
        <v>0.6499999999999998</v>
      </c>
      <c r="EM42" s="55">
        <f t="shared" si="234"/>
        <v>0.62999999999999978</v>
      </c>
      <c r="EN42" s="55">
        <f t="shared" si="234"/>
        <v>0.60999999999999976</v>
      </c>
      <c r="EO42" s="55">
        <f t="shared" si="234"/>
        <v>0.58999999999999975</v>
      </c>
      <c r="EP42" s="55">
        <f t="shared" si="234"/>
        <v>0.56999999999999973</v>
      </c>
      <c r="ER42" s="55">
        <f t="shared" si="142"/>
        <v>142639.39689999999</v>
      </c>
      <c r="ES42" s="55">
        <f t="shared" si="116"/>
        <v>142639.39689999999</v>
      </c>
      <c r="ET42" s="59">
        <f t="shared" si="235"/>
        <v>471537.31827201997</v>
      </c>
      <c r="EU42" s="55">
        <f t="shared" si="236"/>
        <v>138360.214993</v>
      </c>
      <c r="EV42" s="59">
        <f t="shared" si="237"/>
        <v>457391.19872385939</v>
      </c>
      <c r="EW42" s="55">
        <f t="shared" si="238"/>
        <v>135507.42705499998</v>
      </c>
      <c r="EX42" s="59">
        <f t="shared" si="239"/>
        <v>447960.45235841896</v>
      </c>
      <c r="EY42" s="55">
        <f t="shared" si="240"/>
        <v>132654.63911700001</v>
      </c>
      <c r="EZ42" s="59">
        <f t="shared" si="241"/>
        <v>438529.70599297865</v>
      </c>
      <c r="FA42" s="57">
        <f t="shared" si="242"/>
        <v>129801.851179</v>
      </c>
      <c r="FB42" s="59">
        <f t="shared" si="243"/>
        <v>429098.95962753822</v>
      </c>
      <c r="FC42" s="55">
        <f t="shared" si="244"/>
        <v>126949.063241</v>
      </c>
      <c r="FD42" s="59">
        <f t="shared" si="245"/>
        <v>419668.21326209779</v>
      </c>
      <c r="FE42" s="57">
        <f t="shared" si="246"/>
        <v>124096.27530299999</v>
      </c>
      <c r="FF42" s="59">
        <f t="shared" si="247"/>
        <v>410237.46689665737</v>
      </c>
      <c r="FG42" s="60">
        <f t="shared" si="248"/>
        <v>121243.48736499999</v>
      </c>
      <c r="FH42" s="59">
        <f t="shared" si="249"/>
        <v>400806.720531217</v>
      </c>
      <c r="FI42" s="57">
        <f t="shared" si="250"/>
        <v>118390.69942699999</v>
      </c>
      <c r="FJ42" s="59">
        <f t="shared" si="251"/>
        <v>391375.97416577657</v>
      </c>
      <c r="FK42" s="55">
        <f t="shared" si="252"/>
        <v>115537.91148899999</v>
      </c>
      <c r="FL42" s="59">
        <f t="shared" si="253"/>
        <v>381945.2278003362</v>
      </c>
      <c r="FM42" s="60">
        <f t="shared" si="254"/>
        <v>112685.12355099998</v>
      </c>
      <c r="FN42" s="59">
        <f t="shared" si="255"/>
        <v>372514.48143489577</v>
      </c>
      <c r="FO42" s="60">
        <f t="shared" si="256"/>
        <v>109832.33561299997</v>
      </c>
      <c r="FP42" s="59">
        <f t="shared" si="257"/>
        <v>363083.73506945535</v>
      </c>
      <c r="FQ42" s="60">
        <f t="shared" si="258"/>
        <v>106979.54767499998</v>
      </c>
      <c r="FR42" s="59">
        <f t="shared" si="259"/>
        <v>353652.98870401492</v>
      </c>
      <c r="FS42" s="55">
        <f t="shared" si="260"/>
        <v>104126.75973699997</v>
      </c>
      <c r="FT42" s="59">
        <f t="shared" si="261"/>
        <v>344222.24233857449</v>
      </c>
      <c r="FU42" s="60">
        <f t="shared" si="262"/>
        <v>101273.97179899998</v>
      </c>
      <c r="FV42" s="59">
        <f t="shared" si="263"/>
        <v>334791.49597313412</v>
      </c>
      <c r="FW42" s="60">
        <f t="shared" si="264"/>
        <v>98421.183860999969</v>
      </c>
      <c r="FX42" s="59">
        <f t="shared" si="265"/>
        <v>325360.74960769369</v>
      </c>
      <c r="FY42" s="60">
        <f t="shared" si="266"/>
        <v>95568.395922999975</v>
      </c>
      <c r="FZ42" s="59">
        <f t="shared" si="267"/>
        <v>315930.00324225333</v>
      </c>
      <c r="GA42" s="60">
        <f t="shared" si="268"/>
        <v>92715.607984999966</v>
      </c>
      <c r="GB42" s="59">
        <f t="shared" si="269"/>
        <v>306499.2568768129</v>
      </c>
      <c r="GC42" s="55">
        <f t="shared" si="270"/>
        <v>89862.820046999957</v>
      </c>
      <c r="GD42" s="59">
        <f t="shared" si="271"/>
        <v>297068.51051137247</v>
      </c>
      <c r="GE42" s="60">
        <f t="shared" si="272"/>
        <v>87010.032108999963</v>
      </c>
      <c r="GF42" s="59">
        <f t="shared" si="273"/>
        <v>287637.7641459321</v>
      </c>
      <c r="GG42" s="60">
        <f t="shared" si="274"/>
        <v>84157.244170999955</v>
      </c>
      <c r="GH42" s="59">
        <f t="shared" si="275"/>
        <v>278207.01778049167</v>
      </c>
      <c r="GI42" s="55">
        <f t="shared" si="276"/>
        <v>81304.456232999961</v>
      </c>
      <c r="GJ42" s="59">
        <f t="shared" si="277"/>
        <v>268776.27141505125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78"/>
        <v>0.91</v>
      </c>
      <c r="GR42" s="55">
        <f t="shared" si="278"/>
        <v>0.89</v>
      </c>
      <c r="GS42" s="55">
        <f t="shared" si="278"/>
        <v>0.87</v>
      </c>
      <c r="GT42" s="55">
        <f t="shared" si="278"/>
        <v>0.85</v>
      </c>
      <c r="GU42" s="55">
        <f t="shared" si="278"/>
        <v>0.83</v>
      </c>
      <c r="GV42" s="55">
        <f t="shared" si="278"/>
        <v>0.80999999999999994</v>
      </c>
      <c r="GW42" s="55">
        <f t="shared" si="278"/>
        <v>0.78999999999999992</v>
      </c>
      <c r="GX42" s="55">
        <f t="shared" si="278"/>
        <v>0.76999999999999991</v>
      </c>
      <c r="GY42" s="55">
        <f t="shared" si="278"/>
        <v>0.74999999999999989</v>
      </c>
      <c r="GZ42" s="55">
        <f t="shared" si="278"/>
        <v>0.72999999999999987</v>
      </c>
      <c r="HA42" s="55">
        <f t="shared" si="278"/>
        <v>0.70999999999999985</v>
      </c>
      <c r="HB42" s="55">
        <f t="shared" si="278"/>
        <v>0.68999999999999984</v>
      </c>
      <c r="HC42" s="55">
        <f t="shared" si="278"/>
        <v>0.66999999999999982</v>
      </c>
      <c r="HD42" s="55">
        <f t="shared" si="278"/>
        <v>0.6499999999999998</v>
      </c>
      <c r="HE42" s="55">
        <f t="shared" si="278"/>
        <v>0.62999999999999978</v>
      </c>
      <c r="HF42" s="55">
        <f t="shared" si="278"/>
        <v>0.60999999999999976</v>
      </c>
      <c r="HG42" s="55">
        <f t="shared" si="278"/>
        <v>0.58999999999999975</v>
      </c>
      <c r="HH42" s="55">
        <f t="shared" si="278"/>
        <v>0.56999999999999973</v>
      </c>
    </row>
    <row r="43" spans="1:216" x14ac:dyDescent="0.3">
      <c r="A43" s="2">
        <v>10</v>
      </c>
      <c r="C43" s="38" t="s">
        <v>22</v>
      </c>
      <c r="D43" s="42">
        <f>TRUNC(12660.2797846085,-1)</f>
        <v>12660</v>
      </c>
      <c r="E43" s="71">
        <f t="shared" si="148"/>
        <v>41850</v>
      </c>
      <c r="H43" s="55">
        <f t="shared" si="61"/>
        <v>46035.000000000007</v>
      </c>
      <c r="I43" s="55">
        <f t="shared" si="62"/>
        <v>46035.000000000007</v>
      </c>
      <c r="J43" s="59">
        <f t="shared" si="63"/>
        <v>152182.50300000003</v>
      </c>
      <c r="K43" s="55">
        <f t="shared" si="149"/>
        <v>44653.950000000004</v>
      </c>
      <c r="L43" s="59">
        <f t="shared" si="150"/>
        <v>147617.02791</v>
      </c>
      <c r="M43" s="55">
        <f t="shared" si="151"/>
        <v>43733.250000000007</v>
      </c>
      <c r="N43" s="59">
        <f t="shared" si="152"/>
        <v>144573.37785000002</v>
      </c>
      <c r="O43" s="55">
        <f t="shared" si="153"/>
        <v>42812.55000000001</v>
      </c>
      <c r="P43" s="59">
        <f t="shared" si="154"/>
        <v>141529.72779000003</v>
      </c>
      <c r="Q43" s="57">
        <f t="shared" si="155"/>
        <v>41891.850000000006</v>
      </c>
      <c r="R43" s="59">
        <f t="shared" si="156"/>
        <v>138486.07773000002</v>
      </c>
      <c r="S43" s="55">
        <f t="shared" si="157"/>
        <v>40971.150000000009</v>
      </c>
      <c r="T43" s="59">
        <f t="shared" si="158"/>
        <v>135442.42767000003</v>
      </c>
      <c r="U43" s="57">
        <f t="shared" si="159"/>
        <v>40050.450000000004</v>
      </c>
      <c r="V43" s="59">
        <f t="shared" si="160"/>
        <v>132398.77761000002</v>
      </c>
      <c r="W43" s="60">
        <f t="shared" si="161"/>
        <v>39129.750000000007</v>
      </c>
      <c r="X43" s="59">
        <f t="shared" si="162"/>
        <v>129355.12755000003</v>
      </c>
      <c r="Y43" s="57">
        <f t="shared" si="163"/>
        <v>38209.050000000003</v>
      </c>
      <c r="Z43" s="59">
        <f t="shared" si="164"/>
        <v>126311.47749000002</v>
      </c>
      <c r="AA43" s="55">
        <f t="shared" si="165"/>
        <v>37288.350000000006</v>
      </c>
      <c r="AB43" s="59">
        <f t="shared" si="166"/>
        <v>123267.82743000002</v>
      </c>
      <c r="AC43" s="60">
        <f t="shared" si="167"/>
        <v>36367.65</v>
      </c>
      <c r="AD43" s="59">
        <f t="shared" si="168"/>
        <v>120224.17737</v>
      </c>
      <c r="AE43" s="60">
        <f t="shared" si="169"/>
        <v>35446.950000000004</v>
      </c>
      <c r="AF43" s="59">
        <f t="shared" si="170"/>
        <v>117180.52731000002</v>
      </c>
      <c r="AG43" s="60">
        <f t="shared" si="171"/>
        <v>34526.25</v>
      </c>
      <c r="AH43" s="59">
        <f t="shared" si="172"/>
        <v>114136.87725000001</v>
      </c>
      <c r="AI43" s="55">
        <f t="shared" si="173"/>
        <v>33605.550000000003</v>
      </c>
      <c r="AJ43" s="59">
        <f t="shared" si="174"/>
        <v>111093.22719000001</v>
      </c>
      <c r="AK43" s="60">
        <f t="shared" si="175"/>
        <v>32684.85</v>
      </c>
      <c r="AL43" s="59">
        <f t="shared" si="176"/>
        <v>108049.57712999999</v>
      </c>
      <c r="AM43" s="60">
        <f t="shared" si="177"/>
        <v>31764.149999999998</v>
      </c>
      <c r="AN43" s="59">
        <f t="shared" si="178"/>
        <v>105005.92706999999</v>
      </c>
      <c r="AO43" s="60">
        <f t="shared" si="179"/>
        <v>30843.449999999997</v>
      </c>
      <c r="AP43" s="59">
        <f t="shared" si="180"/>
        <v>101962.27700999999</v>
      </c>
      <c r="AQ43" s="60">
        <f t="shared" si="181"/>
        <v>29922.749999999996</v>
      </c>
      <c r="AR43" s="59">
        <f t="shared" si="182"/>
        <v>98918.626949999991</v>
      </c>
      <c r="AS43" s="55">
        <f t="shared" si="183"/>
        <v>29002.049999999996</v>
      </c>
      <c r="AT43" s="59">
        <f t="shared" si="184"/>
        <v>95874.976889999991</v>
      </c>
      <c r="AU43" s="60">
        <f t="shared" si="185"/>
        <v>28081.349999999995</v>
      </c>
      <c r="AV43" s="59">
        <f t="shared" si="186"/>
        <v>92831.326829999991</v>
      </c>
      <c r="AW43" s="60">
        <f t="shared" si="187"/>
        <v>27160.649999999994</v>
      </c>
      <c r="AX43" s="59">
        <f t="shared" si="188"/>
        <v>89787.676769999976</v>
      </c>
      <c r="AY43" s="55">
        <f t="shared" si="189"/>
        <v>26239.949999999993</v>
      </c>
      <c r="AZ43" s="59">
        <f t="shared" si="190"/>
        <v>86744.026709999976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3"/>
        <v>0.91</v>
      </c>
      <c r="BH43" s="55">
        <f t="shared" si="143"/>
        <v>0.89</v>
      </c>
      <c r="BI43" s="55">
        <f t="shared" si="143"/>
        <v>0.87</v>
      </c>
      <c r="BJ43" s="55">
        <f t="shared" si="143"/>
        <v>0.85</v>
      </c>
      <c r="BK43" s="55">
        <f t="shared" si="143"/>
        <v>0.83</v>
      </c>
      <c r="BL43" s="55">
        <f t="shared" si="143"/>
        <v>0.80999999999999994</v>
      </c>
      <c r="BM43" s="55">
        <f t="shared" si="143"/>
        <v>0.78999999999999992</v>
      </c>
      <c r="BN43" s="55">
        <f t="shared" si="143"/>
        <v>0.76999999999999991</v>
      </c>
      <c r="BO43" s="55">
        <f t="shared" si="143"/>
        <v>0.74999999999999989</v>
      </c>
      <c r="BP43" s="55">
        <f t="shared" si="143"/>
        <v>0.72999999999999987</v>
      </c>
      <c r="BQ43" s="55">
        <f t="shared" si="143"/>
        <v>0.70999999999999985</v>
      </c>
      <c r="BR43" s="55">
        <f t="shared" si="143"/>
        <v>0.68999999999999984</v>
      </c>
      <c r="BS43" s="55">
        <f t="shared" si="143"/>
        <v>0.66999999999999982</v>
      </c>
      <c r="BT43" s="55">
        <f t="shared" si="143"/>
        <v>0.6499999999999998</v>
      </c>
      <c r="BU43" s="55">
        <f t="shared" si="143"/>
        <v>0.62999999999999978</v>
      </c>
      <c r="BV43" s="55">
        <f t="shared" si="143"/>
        <v>0.60999999999999976</v>
      </c>
      <c r="BW43" s="55">
        <f t="shared" si="143"/>
        <v>0.58999999999999975</v>
      </c>
      <c r="BX43" s="55">
        <f t="shared" si="143"/>
        <v>0.56999999999999973</v>
      </c>
      <c r="BZ43" s="55">
        <f t="shared" si="88"/>
        <v>41891.850000000006</v>
      </c>
      <c r="CA43" s="55">
        <f t="shared" si="89"/>
        <v>41891.850000000006</v>
      </c>
      <c r="CB43" s="59">
        <f t="shared" si="191"/>
        <v>138486.07773000002</v>
      </c>
      <c r="CC43" s="55">
        <f t="shared" si="192"/>
        <v>40635.094500000007</v>
      </c>
      <c r="CD43" s="59">
        <f t="shared" si="193"/>
        <v>134331.49539810003</v>
      </c>
      <c r="CE43" s="55">
        <f t="shared" si="194"/>
        <v>39797.257500000007</v>
      </c>
      <c r="CF43" s="59">
        <f t="shared" si="195"/>
        <v>131561.77384350004</v>
      </c>
      <c r="CG43" s="55">
        <f t="shared" si="196"/>
        <v>38959.420500000007</v>
      </c>
      <c r="CH43" s="59">
        <f t="shared" si="197"/>
        <v>128792.05228890003</v>
      </c>
      <c r="CI43" s="57">
        <f t="shared" si="198"/>
        <v>38121.583500000008</v>
      </c>
      <c r="CJ43" s="59">
        <f t="shared" si="199"/>
        <v>126022.33073430003</v>
      </c>
      <c r="CK43" s="55">
        <f t="shared" si="200"/>
        <v>37283.746500000008</v>
      </c>
      <c r="CL43" s="59">
        <f t="shared" si="201"/>
        <v>123252.60917970003</v>
      </c>
      <c r="CM43" s="57">
        <f t="shared" si="202"/>
        <v>36445.909500000002</v>
      </c>
      <c r="CN43" s="59">
        <f t="shared" si="203"/>
        <v>120482.8876251</v>
      </c>
      <c r="CO43" s="60">
        <f t="shared" si="204"/>
        <v>35608.072500000002</v>
      </c>
      <c r="CP43" s="59">
        <f t="shared" si="205"/>
        <v>117713.16607050001</v>
      </c>
      <c r="CQ43" s="57">
        <f t="shared" si="206"/>
        <v>34770.235500000003</v>
      </c>
      <c r="CR43" s="59">
        <f t="shared" si="207"/>
        <v>114943.44451590002</v>
      </c>
      <c r="CS43" s="55">
        <f t="shared" si="208"/>
        <v>33932.398500000003</v>
      </c>
      <c r="CT43" s="59">
        <f t="shared" si="209"/>
        <v>112173.72296130001</v>
      </c>
      <c r="CU43" s="60">
        <f t="shared" si="210"/>
        <v>33094.561500000003</v>
      </c>
      <c r="CV43" s="59">
        <f t="shared" si="211"/>
        <v>109404.00140670002</v>
      </c>
      <c r="CW43" s="60">
        <f t="shared" si="212"/>
        <v>32256.7245</v>
      </c>
      <c r="CX43" s="59">
        <f t="shared" si="213"/>
        <v>106634.27985210001</v>
      </c>
      <c r="CY43" s="60">
        <f t="shared" si="214"/>
        <v>31418.887500000001</v>
      </c>
      <c r="CZ43" s="59">
        <f t="shared" si="215"/>
        <v>103864.5582975</v>
      </c>
      <c r="DA43" s="55">
        <f t="shared" si="216"/>
        <v>30581.050499999998</v>
      </c>
      <c r="DB43" s="59">
        <f t="shared" si="217"/>
        <v>101094.83674289999</v>
      </c>
      <c r="DC43" s="60">
        <f t="shared" si="218"/>
        <v>29743.213499999998</v>
      </c>
      <c r="DD43" s="59">
        <f t="shared" si="219"/>
        <v>98325.115188299998</v>
      </c>
      <c r="DE43" s="60">
        <f t="shared" si="220"/>
        <v>28905.376499999998</v>
      </c>
      <c r="DF43" s="59">
        <f t="shared" si="221"/>
        <v>95555.39363369999</v>
      </c>
      <c r="DG43" s="60">
        <f t="shared" si="222"/>
        <v>28067.539499999995</v>
      </c>
      <c r="DH43" s="59">
        <f t="shared" si="223"/>
        <v>92785.672079099983</v>
      </c>
      <c r="DI43" s="60">
        <f t="shared" si="224"/>
        <v>27229.702499999996</v>
      </c>
      <c r="DJ43" s="59">
        <f t="shared" si="225"/>
        <v>90015.950524499989</v>
      </c>
      <c r="DK43" s="55">
        <f t="shared" si="226"/>
        <v>26391.865499999996</v>
      </c>
      <c r="DL43" s="59">
        <f t="shared" si="227"/>
        <v>87246.228969899996</v>
      </c>
      <c r="DM43" s="60">
        <f t="shared" si="228"/>
        <v>25554.028499999993</v>
      </c>
      <c r="DN43" s="59">
        <f t="shared" si="229"/>
        <v>84476.507415299973</v>
      </c>
      <c r="DO43" s="60">
        <f t="shared" si="230"/>
        <v>24716.191499999994</v>
      </c>
      <c r="DP43" s="59">
        <f t="shared" si="231"/>
        <v>81706.78586069998</v>
      </c>
      <c r="DQ43" s="55">
        <f t="shared" si="232"/>
        <v>23878.35449999999</v>
      </c>
      <c r="DR43" s="59">
        <f t="shared" si="233"/>
        <v>78937.064306099972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4"/>
        <v>0.91</v>
      </c>
      <c r="DZ43" s="55">
        <f t="shared" si="234"/>
        <v>0.89</v>
      </c>
      <c r="EA43" s="55">
        <f t="shared" si="234"/>
        <v>0.87</v>
      </c>
      <c r="EB43" s="55">
        <f t="shared" si="234"/>
        <v>0.85</v>
      </c>
      <c r="EC43" s="55">
        <f t="shared" si="234"/>
        <v>0.83</v>
      </c>
      <c r="ED43" s="55">
        <f t="shared" si="234"/>
        <v>0.80999999999999994</v>
      </c>
      <c r="EE43" s="55">
        <f t="shared" si="234"/>
        <v>0.78999999999999992</v>
      </c>
      <c r="EF43" s="55">
        <f t="shared" si="234"/>
        <v>0.76999999999999991</v>
      </c>
      <c r="EG43" s="55">
        <f t="shared" si="234"/>
        <v>0.74999999999999989</v>
      </c>
      <c r="EH43" s="55">
        <f t="shared" si="234"/>
        <v>0.72999999999999987</v>
      </c>
      <c r="EI43" s="55">
        <f t="shared" si="234"/>
        <v>0.70999999999999985</v>
      </c>
      <c r="EJ43" s="55">
        <f t="shared" si="234"/>
        <v>0.68999999999999984</v>
      </c>
      <c r="EK43" s="55">
        <f t="shared" si="234"/>
        <v>0.66999999999999982</v>
      </c>
      <c r="EL43" s="55">
        <f t="shared" si="234"/>
        <v>0.6499999999999998</v>
      </c>
      <c r="EM43" s="55">
        <f t="shared" si="234"/>
        <v>0.62999999999999978</v>
      </c>
      <c r="EN43" s="55">
        <f t="shared" si="234"/>
        <v>0.60999999999999976</v>
      </c>
      <c r="EO43" s="55">
        <f t="shared" si="234"/>
        <v>0.58999999999999975</v>
      </c>
      <c r="EP43" s="55">
        <f t="shared" si="234"/>
        <v>0.56999999999999973</v>
      </c>
      <c r="ER43" s="55">
        <f t="shared" si="142"/>
        <v>38121.583500000008</v>
      </c>
      <c r="ES43" s="55">
        <f t="shared" si="116"/>
        <v>38121.583500000008</v>
      </c>
      <c r="ET43" s="59">
        <f t="shared" si="235"/>
        <v>126022.33073430003</v>
      </c>
      <c r="EU43" s="55">
        <f t="shared" si="236"/>
        <v>36977.935995000007</v>
      </c>
      <c r="EV43" s="59">
        <f t="shared" si="237"/>
        <v>122241.66081227103</v>
      </c>
      <c r="EW43" s="55">
        <f t="shared" si="238"/>
        <v>36215.504325000009</v>
      </c>
      <c r="EX43" s="59">
        <f t="shared" si="239"/>
        <v>119721.21419758504</v>
      </c>
      <c r="EY43" s="55">
        <f t="shared" si="240"/>
        <v>35453.072655000011</v>
      </c>
      <c r="EZ43" s="59">
        <f t="shared" si="241"/>
        <v>117200.76758289903</v>
      </c>
      <c r="FA43" s="57">
        <f t="shared" si="242"/>
        <v>34690.640985000005</v>
      </c>
      <c r="FB43" s="59">
        <f t="shared" si="243"/>
        <v>114680.32096821303</v>
      </c>
      <c r="FC43" s="55">
        <f t="shared" si="244"/>
        <v>33928.209315000007</v>
      </c>
      <c r="FD43" s="59">
        <f t="shared" si="245"/>
        <v>112159.87435352703</v>
      </c>
      <c r="FE43" s="57">
        <f t="shared" si="246"/>
        <v>33165.777645000009</v>
      </c>
      <c r="FF43" s="59">
        <f t="shared" si="247"/>
        <v>109639.42773884103</v>
      </c>
      <c r="FG43" s="60">
        <f t="shared" si="248"/>
        <v>32403.345975000007</v>
      </c>
      <c r="FH43" s="59">
        <f t="shared" si="249"/>
        <v>107118.98112415503</v>
      </c>
      <c r="FI43" s="57">
        <f t="shared" si="250"/>
        <v>31640.914305000006</v>
      </c>
      <c r="FJ43" s="59">
        <f t="shared" si="251"/>
        <v>104598.53450946903</v>
      </c>
      <c r="FK43" s="55">
        <f t="shared" si="252"/>
        <v>30878.482635000004</v>
      </c>
      <c r="FL43" s="59">
        <f t="shared" si="253"/>
        <v>102078.08789478302</v>
      </c>
      <c r="FM43" s="60">
        <f t="shared" si="254"/>
        <v>30116.050965000002</v>
      </c>
      <c r="FN43" s="59">
        <f t="shared" si="255"/>
        <v>99557.641280097014</v>
      </c>
      <c r="FO43" s="60">
        <f t="shared" si="256"/>
        <v>29353.619295000004</v>
      </c>
      <c r="FP43" s="59">
        <f t="shared" si="257"/>
        <v>97037.194665411022</v>
      </c>
      <c r="FQ43" s="60">
        <f t="shared" si="258"/>
        <v>28591.187625000002</v>
      </c>
      <c r="FR43" s="59">
        <f t="shared" si="259"/>
        <v>94516.748050725015</v>
      </c>
      <c r="FS43" s="55">
        <f t="shared" si="260"/>
        <v>27828.755955000001</v>
      </c>
      <c r="FT43" s="59">
        <f t="shared" si="261"/>
        <v>91996.301436039008</v>
      </c>
      <c r="FU43" s="60">
        <f t="shared" si="262"/>
        <v>27066.324284999999</v>
      </c>
      <c r="FV43" s="59">
        <f t="shared" si="263"/>
        <v>89475.854821353001</v>
      </c>
      <c r="FW43" s="60">
        <f t="shared" si="264"/>
        <v>26303.892615000001</v>
      </c>
      <c r="FX43" s="59">
        <f t="shared" si="265"/>
        <v>86955.408206667009</v>
      </c>
      <c r="FY43" s="60">
        <f t="shared" si="266"/>
        <v>25541.460944999999</v>
      </c>
      <c r="FZ43" s="59">
        <f t="shared" si="267"/>
        <v>84434.961591981002</v>
      </c>
      <c r="GA43" s="60">
        <f t="shared" si="268"/>
        <v>24779.029274999997</v>
      </c>
      <c r="GB43" s="59">
        <f t="shared" si="269"/>
        <v>81914.514977294995</v>
      </c>
      <c r="GC43" s="55">
        <f t="shared" si="270"/>
        <v>24016.597604999995</v>
      </c>
      <c r="GD43" s="59">
        <f t="shared" si="271"/>
        <v>79394.068362608989</v>
      </c>
      <c r="GE43" s="60">
        <f t="shared" si="272"/>
        <v>23254.165934999997</v>
      </c>
      <c r="GF43" s="59">
        <f t="shared" si="273"/>
        <v>76873.621747922996</v>
      </c>
      <c r="GG43" s="60">
        <f t="shared" si="274"/>
        <v>22491.734264999996</v>
      </c>
      <c r="GH43" s="59">
        <f t="shared" si="275"/>
        <v>74353.175133236989</v>
      </c>
      <c r="GI43" s="55">
        <f t="shared" si="276"/>
        <v>21729.302594999994</v>
      </c>
      <c r="GJ43" s="59">
        <f t="shared" si="277"/>
        <v>71832.728518550983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78"/>
        <v>0.91</v>
      </c>
      <c r="GR43" s="55">
        <f t="shared" si="278"/>
        <v>0.89</v>
      </c>
      <c r="GS43" s="55">
        <f t="shared" si="278"/>
        <v>0.87</v>
      </c>
      <c r="GT43" s="55">
        <f t="shared" si="278"/>
        <v>0.85</v>
      </c>
      <c r="GU43" s="55">
        <f t="shared" si="278"/>
        <v>0.83</v>
      </c>
      <c r="GV43" s="55">
        <f t="shared" si="278"/>
        <v>0.80999999999999994</v>
      </c>
      <c r="GW43" s="55">
        <f t="shared" si="278"/>
        <v>0.78999999999999992</v>
      </c>
      <c r="GX43" s="55">
        <f t="shared" si="278"/>
        <v>0.76999999999999991</v>
      </c>
      <c r="GY43" s="55">
        <f t="shared" si="278"/>
        <v>0.74999999999999989</v>
      </c>
      <c r="GZ43" s="55">
        <f t="shared" si="278"/>
        <v>0.72999999999999987</v>
      </c>
      <c r="HA43" s="55">
        <f t="shared" si="278"/>
        <v>0.70999999999999985</v>
      </c>
      <c r="HB43" s="55">
        <f t="shared" si="278"/>
        <v>0.68999999999999984</v>
      </c>
      <c r="HC43" s="55">
        <f t="shared" si="278"/>
        <v>0.66999999999999982</v>
      </c>
      <c r="HD43" s="55">
        <f t="shared" si="278"/>
        <v>0.6499999999999998</v>
      </c>
      <c r="HE43" s="55">
        <f t="shared" si="278"/>
        <v>0.62999999999999978</v>
      </c>
      <c r="HF43" s="55">
        <f t="shared" si="278"/>
        <v>0.60999999999999976</v>
      </c>
      <c r="HG43" s="55">
        <f t="shared" si="278"/>
        <v>0.58999999999999975</v>
      </c>
      <c r="HH43" s="55">
        <f t="shared" si="278"/>
        <v>0.56999999999999973</v>
      </c>
    </row>
    <row r="44" spans="1:216" x14ac:dyDescent="0.3">
      <c r="A44" s="2">
        <v>11</v>
      </c>
      <c r="C44" s="38" t="s">
        <v>157</v>
      </c>
      <c r="D44" s="42">
        <f>TRUNC(75862.1539151896+9119.71954229302,-1)</f>
        <v>84980</v>
      </c>
      <c r="E44" s="71">
        <f t="shared" si="148"/>
        <v>280920</v>
      </c>
      <c r="F44" s="2" t="s">
        <v>315</v>
      </c>
      <c r="H44" s="55">
        <f t="shared" si="61"/>
        <v>309012</v>
      </c>
      <c r="I44" s="55">
        <f t="shared" si="62"/>
        <v>309012</v>
      </c>
      <c r="J44" s="59">
        <f t="shared" si="63"/>
        <v>1021531.8696</v>
      </c>
      <c r="K44" s="55">
        <f t="shared" si="149"/>
        <v>299741.64</v>
      </c>
      <c r="L44" s="59">
        <f t="shared" si="150"/>
        <v>990885.91351200012</v>
      </c>
      <c r="M44" s="55">
        <f t="shared" si="151"/>
        <v>293561.39999999997</v>
      </c>
      <c r="N44" s="59">
        <f t="shared" si="152"/>
        <v>970455.27611999994</v>
      </c>
      <c r="O44" s="55">
        <f t="shared" si="153"/>
        <v>287381.16000000003</v>
      </c>
      <c r="P44" s="59">
        <f t="shared" si="154"/>
        <v>950024.63872800011</v>
      </c>
      <c r="Q44" s="57">
        <f t="shared" si="155"/>
        <v>281200.92</v>
      </c>
      <c r="R44" s="59">
        <f t="shared" si="156"/>
        <v>929594.00133599993</v>
      </c>
      <c r="S44" s="55">
        <f t="shared" si="157"/>
        <v>275020.68</v>
      </c>
      <c r="T44" s="59">
        <f t="shared" si="158"/>
        <v>909163.36394399998</v>
      </c>
      <c r="U44" s="57">
        <f t="shared" si="159"/>
        <v>268840.44</v>
      </c>
      <c r="V44" s="59">
        <f t="shared" si="160"/>
        <v>888732.72655200004</v>
      </c>
      <c r="W44" s="60">
        <f t="shared" si="161"/>
        <v>262660.2</v>
      </c>
      <c r="X44" s="59">
        <f t="shared" si="162"/>
        <v>868302.08916000009</v>
      </c>
      <c r="Y44" s="57">
        <f t="shared" si="163"/>
        <v>256479.96</v>
      </c>
      <c r="Z44" s="59">
        <f t="shared" si="164"/>
        <v>847871.45176800003</v>
      </c>
      <c r="AA44" s="55">
        <f t="shared" si="165"/>
        <v>250299.71999999997</v>
      </c>
      <c r="AB44" s="59">
        <f t="shared" si="166"/>
        <v>827440.81437599997</v>
      </c>
      <c r="AC44" s="60">
        <f t="shared" si="167"/>
        <v>244119.47999999998</v>
      </c>
      <c r="AD44" s="59">
        <f t="shared" si="168"/>
        <v>807010.1769839999</v>
      </c>
      <c r="AE44" s="60">
        <f t="shared" si="169"/>
        <v>237939.23999999996</v>
      </c>
      <c r="AF44" s="59">
        <f t="shared" si="170"/>
        <v>786579.53959199984</v>
      </c>
      <c r="AG44" s="60">
        <f t="shared" si="171"/>
        <v>231758.99999999997</v>
      </c>
      <c r="AH44" s="59">
        <f t="shared" si="172"/>
        <v>766148.90219999989</v>
      </c>
      <c r="AI44" s="55">
        <f t="shared" si="173"/>
        <v>225578.75999999995</v>
      </c>
      <c r="AJ44" s="59">
        <f t="shared" si="174"/>
        <v>745718.26480799983</v>
      </c>
      <c r="AK44" s="60">
        <f t="shared" si="175"/>
        <v>219398.51999999996</v>
      </c>
      <c r="AL44" s="59">
        <f t="shared" si="176"/>
        <v>725287.62741599989</v>
      </c>
      <c r="AM44" s="60">
        <f t="shared" si="177"/>
        <v>213218.27999999994</v>
      </c>
      <c r="AN44" s="59">
        <f t="shared" si="178"/>
        <v>704856.99002399982</v>
      </c>
      <c r="AO44" s="60">
        <f t="shared" si="179"/>
        <v>207038.03999999995</v>
      </c>
      <c r="AP44" s="59">
        <f t="shared" si="180"/>
        <v>684426.35263199988</v>
      </c>
      <c r="AQ44" s="60">
        <f t="shared" si="181"/>
        <v>200857.79999999993</v>
      </c>
      <c r="AR44" s="59">
        <f t="shared" si="182"/>
        <v>663995.71523999982</v>
      </c>
      <c r="AS44" s="55">
        <f t="shared" si="183"/>
        <v>194677.55999999994</v>
      </c>
      <c r="AT44" s="59">
        <f t="shared" si="184"/>
        <v>643565.07784799987</v>
      </c>
      <c r="AU44" s="60">
        <f t="shared" si="185"/>
        <v>188497.31999999992</v>
      </c>
      <c r="AV44" s="59">
        <f t="shared" si="186"/>
        <v>623134.44045599969</v>
      </c>
      <c r="AW44" s="60">
        <f t="shared" si="187"/>
        <v>182317.07999999993</v>
      </c>
      <c r="AX44" s="59">
        <f t="shared" si="188"/>
        <v>602703.80306399975</v>
      </c>
      <c r="AY44" s="55">
        <f t="shared" si="189"/>
        <v>176136.83999999991</v>
      </c>
      <c r="AZ44" s="59">
        <f t="shared" si="190"/>
        <v>582273.16567199968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3"/>
        <v>0.91</v>
      </c>
      <c r="BH44" s="55">
        <f t="shared" si="143"/>
        <v>0.89</v>
      </c>
      <c r="BI44" s="55">
        <f t="shared" si="143"/>
        <v>0.87</v>
      </c>
      <c r="BJ44" s="55">
        <f t="shared" si="143"/>
        <v>0.85</v>
      </c>
      <c r="BK44" s="55">
        <f t="shared" si="143"/>
        <v>0.83</v>
      </c>
      <c r="BL44" s="55">
        <f t="shared" si="143"/>
        <v>0.80999999999999994</v>
      </c>
      <c r="BM44" s="55">
        <f t="shared" si="143"/>
        <v>0.78999999999999992</v>
      </c>
      <c r="BN44" s="55">
        <f t="shared" si="143"/>
        <v>0.76999999999999991</v>
      </c>
      <c r="BO44" s="55">
        <f t="shared" si="143"/>
        <v>0.74999999999999989</v>
      </c>
      <c r="BP44" s="55">
        <f t="shared" si="143"/>
        <v>0.72999999999999987</v>
      </c>
      <c r="BQ44" s="55">
        <f t="shared" si="143"/>
        <v>0.70999999999999985</v>
      </c>
      <c r="BR44" s="55">
        <f t="shared" si="143"/>
        <v>0.68999999999999984</v>
      </c>
      <c r="BS44" s="55">
        <f t="shared" si="143"/>
        <v>0.66999999999999982</v>
      </c>
      <c r="BT44" s="55">
        <f t="shared" si="143"/>
        <v>0.6499999999999998</v>
      </c>
      <c r="BU44" s="55">
        <f t="shared" si="143"/>
        <v>0.62999999999999978</v>
      </c>
      <c r="BV44" s="55">
        <f t="shared" si="143"/>
        <v>0.60999999999999976</v>
      </c>
      <c r="BW44" s="55">
        <f t="shared" si="143"/>
        <v>0.58999999999999975</v>
      </c>
      <c r="BX44" s="55">
        <f t="shared" si="143"/>
        <v>0.56999999999999973</v>
      </c>
      <c r="BZ44" s="55">
        <f t="shared" si="88"/>
        <v>281200.92</v>
      </c>
      <c r="CA44" s="55">
        <f t="shared" si="89"/>
        <v>281200.92</v>
      </c>
      <c r="CB44" s="59">
        <f t="shared" si="191"/>
        <v>929594.00133599993</v>
      </c>
      <c r="CC44" s="55">
        <f t="shared" si="192"/>
        <v>272764.89239999995</v>
      </c>
      <c r="CD44" s="59">
        <f t="shared" si="193"/>
        <v>901706.18129591981</v>
      </c>
      <c r="CE44" s="55">
        <f t="shared" si="194"/>
        <v>267140.87399999995</v>
      </c>
      <c r="CF44" s="59">
        <f t="shared" si="195"/>
        <v>883114.30126919982</v>
      </c>
      <c r="CG44" s="55">
        <f t="shared" si="196"/>
        <v>261516.85560000001</v>
      </c>
      <c r="CH44" s="59">
        <f t="shared" si="197"/>
        <v>864522.42124248005</v>
      </c>
      <c r="CI44" s="57">
        <f t="shared" si="198"/>
        <v>255892.83719999998</v>
      </c>
      <c r="CJ44" s="59">
        <f t="shared" si="199"/>
        <v>845930.54121575993</v>
      </c>
      <c r="CK44" s="55">
        <f t="shared" si="200"/>
        <v>250268.81879999998</v>
      </c>
      <c r="CL44" s="59">
        <f t="shared" si="201"/>
        <v>827338.66118903994</v>
      </c>
      <c r="CM44" s="57">
        <f t="shared" si="202"/>
        <v>244644.80039999998</v>
      </c>
      <c r="CN44" s="59">
        <f t="shared" si="203"/>
        <v>808746.78116231994</v>
      </c>
      <c r="CO44" s="60">
        <f t="shared" si="204"/>
        <v>239020.78199999998</v>
      </c>
      <c r="CP44" s="59">
        <f t="shared" si="205"/>
        <v>790154.90113559994</v>
      </c>
      <c r="CQ44" s="57">
        <f t="shared" si="206"/>
        <v>233396.76359999998</v>
      </c>
      <c r="CR44" s="59">
        <f t="shared" si="207"/>
        <v>771563.02110887994</v>
      </c>
      <c r="CS44" s="55">
        <f t="shared" si="208"/>
        <v>227772.74519999998</v>
      </c>
      <c r="CT44" s="59">
        <f t="shared" si="209"/>
        <v>752971.14108215994</v>
      </c>
      <c r="CU44" s="60">
        <f t="shared" si="210"/>
        <v>222148.72679999997</v>
      </c>
      <c r="CV44" s="59">
        <f t="shared" si="211"/>
        <v>734379.26105543994</v>
      </c>
      <c r="CW44" s="60">
        <f t="shared" si="212"/>
        <v>216524.70839999997</v>
      </c>
      <c r="CX44" s="59">
        <f t="shared" si="213"/>
        <v>715787.38102871994</v>
      </c>
      <c r="CY44" s="60">
        <f t="shared" si="214"/>
        <v>210900.68999999994</v>
      </c>
      <c r="CZ44" s="59">
        <f t="shared" si="215"/>
        <v>697195.50100199983</v>
      </c>
      <c r="DA44" s="55">
        <f t="shared" si="216"/>
        <v>205276.67159999994</v>
      </c>
      <c r="DB44" s="59">
        <f t="shared" si="217"/>
        <v>678603.62097527983</v>
      </c>
      <c r="DC44" s="60">
        <f t="shared" si="218"/>
        <v>199652.65319999994</v>
      </c>
      <c r="DD44" s="59">
        <f t="shared" si="219"/>
        <v>660011.74094855983</v>
      </c>
      <c r="DE44" s="60">
        <f t="shared" si="220"/>
        <v>194028.63479999994</v>
      </c>
      <c r="DF44" s="59">
        <f t="shared" si="221"/>
        <v>641419.86092183983</v>
      </c>
      <c r="DG44" s="60">
        <f t="shared" si="222"/>
        <v>188404.61639999994</v>
      </c>
      <c r="DH44" s="59">
        <f t="shared" si="223"/>
        <v>622827.98089511984</v>
      </c>
      <c r="DI44" s="60">
        <f t="shared" si="224"/>
        <v>182780.59799999994</v>
      </c>
      <c r="DJ44" s="59">
        <f t="shared" si="225"/>
        <v>604236.10086839984</v>
      </c>
      <c r="DK44" s="55">
        <f t="shared" si="226"/>
        <v>177156.57959999994</v>
      </c>
      <c r="DL44" s="59">
        <f t="shared" si="227"/>
        <v>585644.22084167984</v>
      </c>
      <c r="DM44" s="60">
        <f t="shared" si="228"/>
        <v>171532.56119999994</v>
      </c>
      <c r="DN44" s="59">
        <f t="shared" si="229"/>
        <v>567052.34081495984</v>
      </c>
      <c r="DO44" s="60">
        <f t="shared" si="230"/>
        <v>165908.54279999991</v>
      </c>
      <c r="DP44" s="59">
        <f t="shared" si="231"/>
        <v>548460.46078823972</v>
      </c>
      <c r="DQ44" s="55">
        <f t="shared" si="232"/>
        <v>160284.52439999991</v>
      </c>
      <c r="DR44" s="59">
        <f t="shared" si="233"/>
        <v>529868.58076151973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4"/>
        <v>0.91</v>
      </c>
      <c r="DZ44" s="55">
        <f t="shared" si="234"/>
        <v>0.89</v>
      </c>
      <c r="EA44" s="55">
        <f t="shared" si="234"/>
        <v>0.87</v>
      </c>
      <c r="EB44" s="55">
        <f t="shared" si="234"/>
        <v>0.85</v>
      </c>
      <c r="EC44" s="55">
        <f t="shared" si="234"/>
        <v>0.83</v>
      </c>
      <c r="ED44" s="55">
        <f t="shared" si="234"/>
        <v>0.80999999999999994</v>
      </c>
      <c r="EE44" s="55">
        <f t="shared" si="234"/>
        <v>0.78999999999999992</v>
      </c>
      <c r="EF44" s="55">
        <f t="shared" si="234"/>
        <v>0.76999999999999991</v>
      </c>
      <c r="EG44" s="55">
        <f t="shared" si="234"/>
        <v>0.74999999999999989</v>
      </c>
      <c r="EH44" s="55">
        <f t="shared" si="234"/>
        <v>0.72999999999999987</v>
      </c>
      <c r="EI44" s="55">
        <f t="shared" si="234"/>
        <v>0.70999999999999985</v>
      </c>
      <c r="EJ44" s="55">
        <f t="shared" si="234"/>
        <v>0.68999999999999984</v>
      </c>
      <c r="EK44" s="55">
        <f t="shared" si="234"/>
        <v>0.66999999999999982</v>
      </c>
      <c r="EL44" s="55">
        <f t="shared" si="234"/>
        <v>0.6499999999999998</v>
      </c>
      <c r="EM44" s="55">
        <f t="shared" si="234"/>
        <v>0.62999999999999978</v>
      </c>
      <c r="EN44" s="55">
        <f t="shared" si="234"/>
        <v>0.60999999999999976</v>
      </c>
      <c r="EO44" s="55">
        <f t="shared" si="234"/>
        <v>0.58999999999999975</v>
      </c>
      <c r="EP44" s="55">
        <f t="shared" si="234"/>
        <v>0.56999999999999973</v>
      </c>
      <c r="ER44" s="55">
        <f t="shared" si="142"/>
        <v>255892.83719999998</v>
      </c>
      <c r="ES44" s="55">
        <f t="shared" si="116"/>
        <v>255892.83719999998</v>
      </c>
      <c r="ET44" s="59">
        <f t="shared" si="235"/>
        <v>845930.54121575993</v>
      </c>
      <c r="EU44" s="55">
        <f t="shared" si="236"/>
        <v>248216.05208399997</v>
      </c>
      <c r="EV44" s="59">
        <f t="shared" si="237"/>
        <v>820552.62497928715</v>
      </c>
      <c r="EW44" s="55">
        <f t="shared" si="238"/>
        <v>243098.19533999998</v>
      </c>
      <c r="EX44" s="59">
        <f t="shared" si="239"/>
        <v>803634.01415497193</v>
      </c>
      <c r="EY44" s="55">
        <f t="shared" si="240"/>
        <v>237980.33859599999</v>
      </c>
      <c r="EZ44" s="59">
        <f t="shared" si="241"/>
        <v>786715.40333065682</v>
      </c>
      <c r="FA44" s="57">
        <f t="shared" si="242"/>
        <v>232862.481852</v>
      </c>
      <c r="FB44" s="59">
        <f t="shared" si="243"/>
        <v>769796.79250634159</v>
      </c>
      <c r="FC44" s="55">
        <f t="shared" si="244"/>
        <v>227744.62510799998</v>
      </c>
      <c r="FD44" s="59">
        <f t="shared" si="245"/>
        <v>752878.18168202636</v>
      </c>
      <c r="FE44" s="57">
        <f t="shared" si="246"/>
        <v>222626.76836399999</v>
      </c>
      <c r="FF44" s="59">
        <f t="shared" si="247"/>
        <v>735959.57085771114</v>
      </c>
      <c r="FG44" s="60">
        <f t="shared" si="248"/>
        <v>217508.91161999997</v>
      </c>
      <c r="FH44" s="59">
        <f t="shared" si="249"/>
        <v>719040.96003339591</v>
      </c>
      <c r="FI44" s="57">
        <f t="shared" si="250"/>
        <v>212391.05487599998</v>
      </c>
      <c r="FJ44" s="59">
        <f t="shared" si="251"/>
        <v>702122.3492090808</v>
      </c>
      <c r="FK44" s="55">
        <f t="shared" si="252"/>
        <v>207273.19813199996</v>
      </c>
      <c r="FL44" s="59">
        <f t="shared" si="253"/>
        <v>685203.73838476546</v>
      </c>
      <c r="FM44" s="60">
        <f t="shared" si="254"/>
        <v>202155.34138799997</v>
      </c>
      <c r="FN44" s="59">
        <f t="shared" si="255"/>
        <v>668285.12756045035</v>
      </c>
      <c r="FO44" s="60">
        <f t="shared" si="256"/>
        <v>197037.48464399995</v>
      </c>
      <c r="FP44" s="59">
        <f t="shared" si="257"/>
        <v>651366.516736135</v>
      </c>
      <c r="FQ44" s="60">
        <f t="shared" si="258"/>
        <v>191919.62789999996</v>
      </c>
      <c r="FR44" s="59">
        <f t="shared" si="259"/>
        <v>634447.90591181989</v>
      </c>
      <c r="FS44" s="55">
        <f t="shared" si="260"/>
        <v>186801.77115599994</v>
      </c>
      <c r="FT44" s="59">
        <f t="shared" si="261"/>
        <v>617529.29508750467</v>
      </c>
      <c r="FU44" s="60">
        <f t="shared" si="262"/>
        <v>181683.91441199995</v>
      </c>
      <c r="FV44" s="59">
        <f t="shared" si="263"/>
        <v>600610.68426318944</v>
      </c>
      <c r="FW44" s="60">
        <f t="shared" si="264"/>
        <v>176566.05766799994</v>
      </c>
      <c r="FX44" s="59">
        <f t="shared" si="265"/>
        <v>583692.07343887421</v>
      </c>
      <c r="FY44" s="60">
        <f t="shared" si="266"/>
        <v>171448.20092399995</v>
      </c>
      <c r="FZ44" s="59">
        <f t="shared" si="267"/>
        <v>566773.46261455899</v>
      </c>
      <c r="GA44" s="60">
        <f t="shared" si="268"/>
        <v>166330.34417999993</v>
      </c>
      <c r="GB44" s="59">
        <f t="shared" si="269"/>
        <v>549854.85179024376</v>
      </c>
      <c r="GC44" s="55">
        <f t="shared" si="270"/>
        <v>161212.48743599994</v>
      </c>
      <c r="GD44" s="59">
        <f t="shared" si="271"/>
        <v>532936.24096592865</v>
      </c>
      <c r="GE44" s="60">
        <f t="shared" si="272"/>
        <v>156094.63069199992</v>
      </c>
      <c r="GF44" s="59">
        <f t="shared" si="273"/>
        <v>516017.63014161336</v>
      </c>
      <c r="GG44" s="60">
        <f t="shared" si="274"/>
        <v>150976.77394799993</v>
      </c>
      <c r="GH44" s="59">
        <f t="shared" si="275"/>
        <v>499099.0193172982</v>
      </c>
      <c r="GI44" s="55">
        <f t="shared" si="276"/>
        <v>145858.91720399991</v>
      </c>
      <c r="GJ44" s="59">
        <f t="shared" si="277"/>
        <v>482180.40849298291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78"/>
        <v>0.91</v>
      </c>
      <c r="GR44" s="55">
        <f t="shared" si="278"/>
        <v>0.89</v>
      </c>
      <c r="GS44" s="55">
        <f t="shared" si="278"/>
        <v>0.87</v>
      </c>
      <c r="GT44" s="55">
        <f t="shared" si="278"/>
        <v>0.85</v>
      </c>
      <c r="GU44" s="55">
        <f t="shared" si="278"/>
        <v>0.83</v>
      </c>
      <c r="GV44" s="55">
        <f t="shared" si="278"/>
        <v>0.80999999999999994</v>
      </c>
      <c r="GW44" s="55">
        <f t="shared" si="278"/>
        <v>0.78999999999999992</v>
      </c>
      <c r="GX44" s="55">
        <f t="shared" si="278"/>
        <v>0.76999999999999991</v>
      </c>
      <c r="GY44" s="55">
        <f t="shared" si="278"/>
        <v>0.74999999999999989</v>
      </c>
      <c r="GZ44" s="55">
        <f t="shared" si="278"/>
        <v>0.72999999999999987</v>
      </c>
      <c r="HA44" s="55">
        <f t="shared" si="278"/>
        <v>0.70999999999999985</v>
      </c>
      <c r="HB44" s="55">
        <f t="shared" si="278"/>
        <v>0.68999999999999984</v>
      </c>
      <c r="HC44" s="55">
        <f t="shared" si="278"/>
        <v>0.66999999999999982</v>
      </c>
      <c r="HD44" s="55">
        <f t="shared" si="278"/>
        <v>0.6499999999999998</v>
      </c>
      <c r="HE44" s="55">
        <f t="shared" si="278"/>
        <v>0.62999999999999978</v>
      </c>
      <c r="HF44" s="55">
        <f t="shared" si="278"/>
        <v>0.60999999999999976</v>
      </c>
      <c r="HG44" s="55">
        <f t="shared" si="278"/>
        <v>0.58999999999999975</v>
      </c>
      <c r="HH44" s="55">
        <f t="shared" si="278"/>
        <v>0.56999999999999973</v>
      </c>
    </row>
    <row r="45" spans="1:216" x14ac:dyDescent="0.3">
      <c r="A45" s="2">
        <v>12</v>
      </c>
      <c r="C45" s="38" t="s">
        <v>23</v>
      </c>
      <c r="D45" s="42">
        <f>TRUNC(19397.9537805699,-1)</f>
        <v>19390</v>
      </c>
      <c r="E45" s="71">
        <f t="shared" si="148"/>
        <v>64090</v>
      </c>
      <c r="H45" s="55">
        <f t="shared" si="61"/>
        <v>70499</v>
      </c>
      <c r="I45" s="55">
        <f t="shared" si="62"/>
        <v>70499</v>
      </c>
      <c r="J45" s="59">
        <f t="shared" si="63"/>
        <v>233055.59419999999</v>
      </c>
      <c r="K45" s="55">
        <f t="shared" si="149"/>
        <v>68384.03</v>
      </c>
      <c r="L45" s="59">
        <f t="shared" si="150"/>
        <v>226063.926374</v>
      </c>
      <c r="M45" s="55">
        <f t="shared" si="151"/>
        <v>66974.05</v>
      </c>
      <c r="N45" s="59">
        <f t="shared" si="152"/>
        <v>221402.81449000002</v>
      </c>
      <c r="O45" s="55">
        <f t="shared" si="153"/>
        <v>65564.070000000007</v>
      </c>
      <c r="P45" s="59">
        <f t="shared" si="154"/>
        <v>216741.70260600004</v>
      </c>
      <c r="Q45" s="57">
        <f t="shared" si="155"/>
        <v>64154.090000000004</v>
      </c>
      <c r="R45" s="59">
        <f t="shared" si="156"/>
        <v>212080.59072200002</v>
      </c>
      <c r="S45" s="55">
        <f t="shared" si="157"/>
        <v>62744.11</v>
      </c>
      <c r="T45" s="59">
        <f t="shared" si="158"/>
        <v>207419.47883800001</v>
      </c>
      <c r="U45" s="57">
        <f t="shared" si="159"/>
        <v>61334.13</v>
      </c>
      <c r="V45" s="59">
        <f t="shared" si="160"/>
        <v>202758.366954</v>
      </c>
      <c r="W45" s="60">
        <f t="shared" si="161"/>
        <v>59924.15</v>
      </c>
      <c r="X45" s="59">
        <f t="shared" si="162"/>
        <v>198097.25507000001</v>
      </c>
      <c r="Y45" s="57">
        <f t="shared" si="163"/>
        <v>58514.17</v>
      </c>
      <c r="Z45" s="59">
        <f t="shared" si="164"/>
        <v>193436.143186</v>
      </c>
      <c r="AA45" s="55">
        <f t="shared" si="165"/>
        <v>57104.189999999995</v>
      </c>
      <c r="AB45" s="59">
        <f t="shared" si="166"/>
        <v>188775.03130199999</v>
      </c>
      <c r="AC45" s="60">
        <f t="shared" si="167"/>
        <v>55694.209999999992</v>
      </c>
      <c r="AD45" s="59">
        <f t="shared" si="168"/>
        <v>184113.91941799998</v>
      </c>
      <c r="AE45" s="60">
        <f t="shared" si="169"/>
        <v>54284.229999999996</v>
      </c>
      <c r="AF45" s="59">
        <f t="shared" si="170"/>
        <v>179452.80753399999</v>
      </c>
      <c r="AG45" s="60">
        <f t="shared" si="171"/>
        <v>52874.249999999993</v>
      </c>
      <c r="AH45" s="59">
        <f t="shared" si="172"/>
        <v>174791.69564999998</v>
      </c>
      <c r="AI45" s="55">
        <f t="shared" si="173"/>
        <v>51464.26999999999</v>
      </c>
      <c r="AJ45" s="59">
        <f t="shared" si="174"/>
        <v>170130.58376599997</v>
      </c>
      <c r="AK45" s="60">
        <f t="shared" si="175"/>
        <v>50054.289999999986</v>
      </c>
      <c r="AL45" s="59">
        <f t="shared" si="176"/>
        <v>165469.47188199995</v>
      </c>
      <c r="AM45" s="60">
        <f t="shared" si="177"/>
        <v>48644.30999999999</v>
      </c>
      <c r="AN45" s="59">
        <f t="shared" si="178"/>
        <v>160808.35999799997</v>
      </c>
      <c r="AO45" s="60">
        <f t="shared" si="179"/>
        <v>47234.329999999987</v>
      </c>
      <c r="AP45" s="59">
        <f t="shared" si="180"/>
        <v>156147.24811399996</v>
      </c>
      <c r="AQ45" s="60">
        <f t="shared" si="181"/>
        <v>45824.349999999984</v>
      </c>
      <c r="AR45" s="59">
        <f t="shared" si="182"/>
        <v>151486.13622999995</v>
      </c>
      <c r="AS45" s="55">
        <f t="shared" si="183"/>
        <v>44414.369999999988</v>
      </c>
      <c r="AT45" s="59">
        <f t="shared" si="184"/>
        <v>146825.02434599996</v>
      </c>
      <c r="AU45" s="60">
        <f t="shared" si="185"/>
        <v>43004.389999999985</v>
      </c>
      <c r="AV45" s="59">
        <f t="shared" si="186"/>
        <v>142163.91246199995</v>
      </c>
      <c r="AW45" s="60">
        <f t="shared" si="187"/>
        <v>41594.409999999982</v>
      </c>
      <c r="AX45" s="59">
        <f t="shared" si="188"/>
        <v>137502.80057799994</v>
      </c>
      <c r="AY45" s="55">
        <f t="shared" si="189"/>
        <v>40184.429999999978</v>
      </c>
      <c r="AZ45" s="59">
        <f t="shared" si="190"/>
        <v>132841.68869399992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3"/>
        <v>0.91</v>
      </c>
      <c r="BH45" s="55">
        <f t="shared" si="143"/>
        <v>0.89</v>
      </c>
      <c r="BI45" s="55">
        <f t="shared" si="143"/>
        <v>0.87</v>
      </c>
      <c r="BJ45" s="55">
        <f t="shared" ref="BJ45:BX45" si="279">+BI45-0.02</f>
        <v>0.85</v>
      </c>
      <c r="BK45" s="55">
        <f t="shared" si="279"/>
        <v>0.83</v>
      </c>
      <c r="BL45" s="55">
        <f t="shared" si="279"/>
        <v>0.80999999999999994</v>
      </c>
      <c r="BM45" s="55">
        <f t="shared" si="279"/>
        <v>0.78999999999999992</v>
      </c>
      <c r="BN45" s="55">
        <f t="shared" si="279"/>
        <v>0.76999999999999991</v>
      </c>
      <c r="BO45" s="55">
        <f t="shared" si="279"/>
        <v>0.74999999999999989</v>
      </c>
      <c r="BP45" s="55">
        <f t="shared" si="279"/>
        <v>0.72999999999999987</v>
      </c>
      <c r="BQ45" s="55">
        <f t="shared" si="279"/>
        <v>0.70999999999999985</v>
      </c>
      <c r="BR45" s="55">
        <f t="shared" si="279"/>
        <v>0.68999999999999984</v>
      </c>
      <c r="BS45" s="55">
        <f t="shared" si="279"/>
        <v>0.66999999999999982</v>
      </c>
      <c r="BT45" s="55">
        <f t="shared" si="279"/>
        <v>0.6499999999999998</v>
      </c>
      <c r="BU45" s="55">
        <f t="shared" si="279"/>
        <v>0.62999999999999978</v>
      </c>
      <c r="BV45" s="55">
        <f t="shared" si="279"/>
        <v>0.60999999999999976</v>
      </c>
      <c r="BW45" s="55">
        <f t="shared" si="279"/>
        <v>0.58999999999999975</v>
      </c>
      <c r="BX45" s="55">
        <f t="shared" si="279"/>
        <v>0.56999999999999973</v>
      </c>
      <c r="BZ45" s="55">
        <f t="shared" si="88"/>
        <v>64154.090000000004</v>
      </c>
      <c r="CA45" s="55">
        <f t="shared" si="89"/>
        <v>64154.090000000004</v>
      </c>
      <c r="CB45" s="59">
        <f t="shared" si="191"/>
        <v>212080.59072200002</v>
      </c>
      <c r="CC45" s="55">
        <f t="shared" si="192"/>
        <v>62229.467300000004</v>
      </c>
      <c r="CD45" s="59">
        <f t="shared" si="193"/>
        <v>205718.17300034003</v>
      </c>
      <c r="CE45" s="55">
        <f t="shared" si="194"/>
        <v>60946.385500000004</v>
      </c>
      <c r="CF45" s="59">
        <f t="shared" si="195"/>
        <v>201476.56118590001</v>
      </c>
      <c r="CG45" s="55">
        <f t="shared" si="196"/>
        <v>59663.303700000004</v>
      </c>
      <c r="CH45" s="59">
        <f t="shared" si="197"/>
        <v>197234.94937146001</v>
      </c>
      <c r="CI45" s="57">
        <f t="shared" si="198"/>
        <v>58380.221900000004</v>
      </c>
      <c r="CJ45" s="59">
        <f t="shared" si="199"/>
        <v>192993.33755702002</v>
      </c>
      <c r="CK45" s="55">
        <f t="shared" si="200"/>
        <v>57097.140100000004</v>
      </c>
      <c r="CL45" s="59">
        <f t="shared" si="201"/>
        <v>188751.72574258002</v>
      </c>
      <c r="CM45" s="57">
        <f t="shared" si="202"/>
        <v>55814.058300000004</v>
      </c>
      <c r="CN45" s="59">
        <f t="shared" si="203"/>
        <v>184510.11392814002</v>
      </c>
      <c r="CO45" s="60">
        <f t="shared" si="204"/>
        <v>54530.976500000004</v>
      </c>
      <c r="CP45" s="59">
        <f t="shared" si="205"/>
        <v>180268.50211370003</v>
      </c>
      <c r="CQ45" s="57">
        <f t="shared" si="206"/>
        <v>53247.894699999997</v>
      </c>
      <c r="CR45" s="59">
        <f t="shared" si="207"/>
        <v>176026.89029926001</v>
      </c>
      <c r="CS45" s="55">
        <f t="shared" si="208"/>
        <v>51964.812899999997</v>
      </c>
      <c r="CT45" s="59">
        <f t="shared" si="209"/>
        <v>171785.27848481998</v>
      </c>
      <c r="CU45" s="60">
        <f t="shared" si="210"/>
        <v>50681.731099999997</v>
      </c>
      <c r="CV45" s="59">
        <f t="shared" si="211"/>
        <v>167543.66667037999</v>
      </c>
      <c r="CW45" s="60">
        <f t="shared" si="212"/>
        <v>49398.649299999997</v>
      </c>
      <c r="CX45" s="59">
        <f t="shared" si="213"/>
        <v>163302.05485593999</v>
      </c>
      <c r="CY45" s="60">
        <f t="shared" si="214"/>
        <v>48115.567499999997</v>
      </c>
      <c r="CZ45" s="59">
        <f t="shared" si="215"/>
        <v>159060.4430415</v>
      </c>
      <c r="DA45" s="55">
        <f t="shared" si="216"/>
        <v>46832.485699999997</v>
      </c>
      <c r="DB45" s="59">
        <f t="shared" si="217"/>
        <v>154818.83122706</v>
      </c>
      <c r="DC45" s="60">
        <f t="shared" si="218"/>
        <v>45549.40389999999</v>
      </c>
      <c r="DD45" s="59">
        <f t="shared" si="219"/>
        <v>150577.21941261998</v>
      </c>
      <c r="DE45" s="60">
        <f t="shared" si="220"/>
        <v>44266.32209999999</v>
      </c>
      <c r="DF45" s="59">
        <f t="shared" si="221"/>
        <v>146335.60759817998</v>
      </c>
      <c r="DG45" s="60">
        <f t="shared" si="222"/>
        <v>42983.24029999999</v>
      </c>
      <c r="DH45" s="59">
        <f t="shared" si="223"/>
        <v>142093.99578373999</v>
      </c>
      <c r="DI45" s="60">
        <f t="shared" si="224"/>
        <v>41700.15849999999</v>
      </c>
      <c r="DJ45" s="59">
        <f t="shared" si="225"/>
        <v>137852.38396929996</v>
      </c>
      <c r="DK45" s="55">
        <f t="shared" si="226"/>
        <v>40417.076699999991</v>
      </c>
      <c r="DL45" s="59">
        <f t="shared" si="227"/>
        <v>133610.77215485997</v>
      </c>
      <c r="DM45" s="60">
        <f t="shared" si="228"/>
        <v>39133.994899999991</v>
      </c>
      <c r="DN45" s="59">
        <f t="shared" si="229"/>
        <v>129369.16034041997</v>
      </c>
      <c r="DO45" s="60">
        <f t="shared" si="230"/>
        <v>37850.913099999983</v>
      </c>
      <c r="DP45" s="59">
        <f t="shared" si="231"/>
        <v>125127.54852597995</v>
      </c>
      <c r="DQ45" s="55">
        <f t="shared" si="232"/>
        <v>36567.831299999983</v>
      </c>
      <c r="DR45" s="59">
        <f t="shared" si="233"/>
        <v>120885.93671153995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4"/>
        <v>0.91</v>
      </c>
      <c r="DZ45" s="55">
        <f t="shared" si="234"/>
        <v>0.89</v>
      </c>
      <c r="EA45" s="55">
        <f t="shared" si="234"/>
        <v>0.87</v>
      </c>
      <c r="EB45" s="55">
        <f t="shared" si="234"/>
        <v>0.85</v>
      </c>
      <c r="EC45" s="55">
        <f t="shared" si="234"/>
        <v>0.83</v>
      </c>
      <c r="ED45" s="55">
        <f t="shared" si="234"/>
        <v>0.80999999999999994</v>
      </c>
      <c r="EE45" s="55">
        <f t="shared" si="234"/>
        <v>0.78999999999999992</v>
      </c>
      <c r="EF45" s="55">
        <f t="shared" si="234"/>
        <v>0.76999999999999991</v>
      </c>
      <c r="EG45" s="55">
        <f t="shared" si="234"/>
        <v>0.74999999999999989</v>
      </c>
      <c r="EH45" s="55">
        <f t="shared" si="234"/>
        <v>0.72999999999999987</v>
      </c>
      <c r="EI45" s="55">
        <f t="shared" si="234"/>
        <v>0.70999999999999985</v>
      </c>
      <c r="EJ45" s="55">
        <f t="shared" si="234"/>
        <v>0.68999999999999984</v>
      </c>
      <c r="EK45" s="55">
        <f t="shared" si="234"/>
        <v>0.66999999999999982</v>
      </c>
      <c r="EL45" s="55">
        <f t="shared" si="234"/>
        <v>0.6499999999999998</v>
      </c>
      <c r="EM45" s="55">
        <f t="shared" si="234"/>
        <v>0.62999999999999978</v>
      </c>
      <c r="EN45" s="55">
        <f t="shared" si="234"/>
        <v>0.60999999999999976</v>
      </c>
      <c r="EO45" s="55">
        <f t="shared" si="234"/>
        <v>0.58999999999999975</v>
      </c>
      <c r="EP45" s="55">
        <f t="shared" si="234"/>
        <v>0.56999999999999973</v>
      </c>
      <c r="ER45" s="55">
        <f t="shared" si="142"/>
        <v>58380.221900000004</v>
      </c>
      <c r="ES45" s="55">
        <f t="shared" si="116"/>
        <v>58380.221900000004</v>
      </c>
      <c r="ET45" s="59">
        <f t="shared" si="235"/>
        <v>192993.33755702002</v>
      </c>
      <c r="EU45" s="55">
        <f t="shared" si="236"/>
        <v>56628.815243000005</v>
      </c>
      <c r="EV45" s="59">
        <f t="shared" si="237"/>
        <v>187203.53743030943</v>
      </c>
      <c r="EW45" s="55">
        <f t="shared" si="238"/>
        <v>55461.210805000002</v>
      </c>
      <c r="EX45" s="59">
        <f t="shared" si="239"/>
        <v>183343.67067916901</v>
      </c>
      <c r="EY45" s="55">
        <f t="shared" si="240"/>
        <v>54293.606367000008</v>
      </c>
      <c r="EZ45" s="59">
        <f t="shared" si="241"/>
        <v>179483.80392802862</v>
      </c>
      <c r="FA45" s="57">
        <f t="shared" si="242"/>
        <v>53126.001929000005</v>
      </c>
      <c r="FB45" s="59">
        <f t="shared" si="243"/>
        <v>175623.93717688823</v>
      </c>
      <c r="FC45" s="55">
        <f t="shared" si="244"/>
        <v>51958.397491000003</v>
      </c>
      <c r="FD45" s="59">
        <f t="shared" si="245"/>
        <v>171764.07042574781</v>
      </c>
      <c r="FE45" s="57">
        <f t="shared" si="246"/>
        <v>50790.793053000001</v>
      </c>
      <c r="FF45" s="59">
        <f t="shared" si="247"/>
        <v>167904.20367460742</v>
      </c>
      <c r="FG45" s="60">
        <f t="shared" si="248"/>
        <v>49623.188614999999</v>
      </c>
      <c r="FH45" s="59">
        <f t="shared" si="249"/>
        <v>164044.336923467</v>
      </c>
      <c r="FI45" s="57">
        <f t="shared" si="250"/>
        <v>48455.584177000004</v>
      </c>
      <c r="FJ45" s="59">
        <f t="shared" si="251"/>
        <v>160184.4701723266</v>
      </c>
      <c r="FK45" s="55">
        <f t="shared" si="252"/>
        <v>47287.979739000002</v>
      </c>
      <c r="FL45" s="59">
        <f t="shared" si="253"/>
        <v>156324.60342118621</v>
      </c>
      <c r="FM45" s="60">
        <f t="shared" si="254"/>
        <v>46120.375301</v>
      </c>
      <c r="FN45" s="59">
        <f t="shared" si="255"/>
        <v>152464.73667004579</v>
      </c>
      <c r="FO45" s="60">
        <f t="shared" si="256"/>
        <v>44952.770862999998</v>
      </c>
      <c r="FP45" s="59">
        <f t="shared" si="257"/>
        <v>148604.8699189054</v>
      </c>
      <c r="FQ45" s="60">
        <f t="shared" si="258"/>
        <v>43785.166424999996</v>
      </c>
      <c r="FR45" s="59">
        <f t="shared" si="259"/>
        <v>144745.00316776498</v>
      </c>
      <c r="FS45" s="55">
        <f t="shared" si="260"/>
        <v>42617.561986999994</v>
      </c>
      <c r="FT45" s="59">
        <f t="shared" si="261"/>
        <v>140885.13641662459</v>
      </c>
      <c r="FU45" s="60">
        <f t="shared" si="262"/>
        <v>41449.957548999992</v>
      </c>
      <c r="FV45" s="59">
        <f t="shared" si="263"/>
        <v>137025.26966548417</v>
      </c>
      <c r="FW45" s="60">
        <f t="shared" si="264"/>
        <v>40282.353110999997</v>
      </c>
      <c r="FX45" s="59">
        <f t="shared" si="265"/>
        <v>133165.40291434378</v>
      </c>
      <c r="FY45" s="60">
        <f t="shared" si="266"/>
        <v>39114.748672999995</v>
      </c>
      <c r="FZ45" s="59">
        <f t="shared" si="267"/>
        <v>129305.53616320339</v>
      </c>
      <c r="GA45" s="60">
        <f t="shared" si="268"/>
        <v>37947.144234999992</v>
      </c>
      <c r="GB45" s="59">
        <f t="shared" si="269"/>
        <v>125445.66941206298</v>
      </c>
      <c r="GC45" s="55">
        <f t="shared" si="270"/>
        <v>36779.53979699999</v>
      </c>
      <c r="GD45" s="59">
        <f t="shared" si="271"/>
        <v>121585.80266092256</v>
      </c>
      <c r="GE45" s="60">
        <f t="shared" si="272"/>
        <v>35611.935358999988</v>
      </c>
      <c r="GF45" s="59">
        <f t="shared" si="273"/>
        <v>117725.93590978216</v>
      </c>
      <c r="GG45" s="60">
        <f t="shared" si="274"/>
        <v>34444.330920999986</v>
      </c>
      <c r="GH45" s="59">
        <f t="shared" si="275"/>
        <v>113866.06915864175</v>
      </c>
      <c r="GI45" s="55">
        <f t="shared" si="276"/>
        <v>33276.726482999984</v>
      </c>
      <c r="GJ45" s="59">
        <f t="shared" si="277"/>
        <v>110006.20240750135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78"/>
        <v>0.91</v>
      </c>
      <c r="GR45" s="55">
        <f t="shared" si="278"/>
        <v>0.89</v>
      </c>
      <c r="GS45" s="55">
        <f t="shared" si="278"/>
        <v>0.87</v>
      </c>
      <c r="GT45" s="55">
        <f t="shared" si="278"/>
        <v>0.85</v>
      </c>
      <c r="GU45" s="55">
        <f t="shared" si="278"/>
        <v>0.83</v>
      </c>
      <c r="GV45" s="55">
        <f t="shared" si="278"/>
        <v>0.80999999999999994</v>
      </c>
      <c r="GW45" s="55">
        <f t="shared" si="278"/>
        <v>0.78999999999999992</v>
      </c>
      <c r="GX45" s="55">
        <f t="shared" si="278"/>
        <v>0.76999999999999991</v>
      </c>
      <c r="GY45" s="55">
        <f t="shared" si="278"/>
        <v>0.74999999999999989</v>
      </c>
      <c r="GZ45" s="55">
        <f t="shared" si="278"/>
        <v>0.72999999999999987</v>
      </c>
      <c r="HA45" s="55">
        <f t="shared" si="278"/>
        <v>0.70999999999999985</v>
      </c>
      <c r="HB45" s="55">
        <f t="shared" si="278"/>
        <v>0.68999999999999984</v>
      </c>
      <c r="HC45" s="55">
        <f t="shared" si="278"/>
        <v>0.66999999999999982</v>
      </c>
      <c r="HD45" s="55">
        <f t="shared" si="278"/>
        <v>0.6499999999999998</v>
      </c>
      <c r="HE45" s="55">
        <f t="shared" si="278"/>
        <v>0.62999999999999978</v>
      </c>
      <c r="HF45" s="55">
        <f t="shared" si="278"/>
        <v>0.60999999999999976</v>
      </c>
      <c r="HG45" s="55">
        <f t="shared" si="278"/>
        <v>0.58999999999999975</v>
      </c>
      <c r="HH45" s="55">
        <f t="shared" si="278"/>
        <v>0.56999999999999973</v>
      </c>
    </row>
    <row r="46" spans="1:216" x14ac:dyDescent="0.3">
      <c r="A46" s="2">
        <v>13</v>
      </c>
      <c r="C46" s="38" t="s">
        <v>24</v>
      </c>
      <c r="D46" s="42">
        <f>TRUNC(6364.11330491362,-1)</f>
        <v>6360</v>
      </c>
      <c r="E46" s="71">
        <f t="shared" si="148"/>
        <v>21020</v>
      </c>
      <c r="H46" s="55">
        <f t="shared" si="61"/>
        <v>23122.000000000004</v>
      </c>
      <c r="I46" s="55">
        <f t="shared" si="62"/>
        <v>23122.000000000004</v>
      </c>
      <c r="J46" s="59">
        <f t="shared" si="63"/>
        <v>76436.707600000009</v>
      </c>
      <c r="K46" s="55">
        <f t="shared" si="149"/>
        <v>22428.340000000004</v>
      </c>
      <c r="L46" s="59">
        <f t="shared" si="150"/>
        <v>74143.606372000009</v>
      </c>
      <c r="M46" s="55">
        <f t="shared" si="151"/>
        <v>21965.9</v>
      </c>
      <c r="N46" s="59">
        <f t="shared" si="152"/>
        <v>72614.872220000005</v>
      </c>
      <c r="O46" s="55">
        <f t="shared" si="153"/>
        <v>21503.460000000003</v>
      </c>
      <c r="P46" s="59">
        <f t="shared" si="154"/>
        <v>71086.138068000015</v>
      </c>
      <c r="Q46" s="57">
        <f t="shared" si="155"/>
        <v>21041.020000000004</v>
      </c>
      <c r="R46" s="59">
        <f t="shared" si="156"/>
        <v>69557.40391600001</v>
      </c>
      <c r="S46" s="55">
        <f t="shared" si="157"/>
        <v>20578.580000000002</v>
      </c>
      <c r="T46" s="59">
        <f t="shared" si="158"/>
        <v>68028.669764000006</v>
      </c>
      <c r="U46" s="57">
        <f t="shared" si="159"/>
        <v>20116.140000000003</v>
      </c>
      <c r="V46" s="59">
        <f t="shared" si="160"/>
        <v>66499.935612000016</v>
      </c>
      <c r="W46" s="60">
        <f t="shared" si="161"/>
        <v>19653.700000000004</v>
      </c>
      <c r="X46" s="59">
        <f t="shared" si="162"/>
        <v>64971.201460000018</v>
      </c>
      <c r="Y46" s="57">
        <f t="shared" si="163"/>
        <v>19191.260000000002</v>
      </c>
      <c r="Z46" s="59">
        <f t="shared" si="164"/>
        <v>63442.467308000007</v>
      </c>
      <c r="AA46" s="55">
        <f t="shared" si="165"/>
        <v>18728.820000000003</v>
      </c>
      <c r="AB46" s="59">
        <f t="shared" si="166"/>
        <v>61913.733156000009</v>
      </c>
      <c r="AC46" s="60">
        <f t="shared" si="167"/>
        <v>18266.38</v>
      </c>
      <c r="AD46" s="59">
        <f t="shared" si="168"/>
        <v>60384.999004000005</v>
      </c>
      <c r="AE46" s="60">
        <f t="shared" si="169"/>
        <v>17803.940000000002</v>
      </c>
      <c r="AF46" s="59">
        <f t="shared" si="170"/>
        <v>58856.264852000008</v>
      </c>
      <c r="AG46" s="60">
        <f t="shared" si="171"/>
        <v>17341.5</v>
      </c>
      <c r="AH46" s="59">
        <f t="shared" si="172"/>
        <v>57327.530700000003</v>
      </c>
      <c r="AI46" s="55">
        <f t="shared" si="173"/>
        <v>16879.060000000001</v>
      </c>
      <c r="AJ46" s="59">
        <f t="shared" si="174"/>
        <v>55798.796548000006</v>
      </c>
      <c r="AK46" s="60">
        <f t="shared" si="175"/>
        <v>16416.62</v>
      </c>
      <c r="AL46" s="59">
        <f t="shared" si="176"/>
        <v>54270.062396000001</v>
      </c>
      <c r="AM46" s="60">
        <f t="shared" si="177"/>
        <v>15954.179999999998</v>
      </c>
      <c r="AN46" s="59">
        <f t="shared" si="178"/>
        <v>52741.328243999997</v>
      </c>
      <c r="AO46" s="60">
        <f t="shared" si="179"/>
        <v>15491.739999999998</v>
      </c>
      <c r="AP46" s="59">
        <f t="shared" si="180"/>
        <v>51212.594091999992</v>
      </c>
      <c r="AQ46" s="60">
        <f t="shared" si="181"/>
        <v>15029.299999999997</v>
      </c>
      <c r="AR46" s="59">
        <f t="shared" si="182"/>
        <v>49683.859939999995</v>
      </c>
      <c r="AS46" s="55">
        <f t="shared" si="183"/>
        <v>14566.859999999997</v>
      </c>
      <c r="AT46" s="59">
        <f t="shared" si="184"/>
        <v>48155.12578799999</v>
      </c>
      <c r="AU46" s="60">
        <f t="shared" si="185"/>
        <v>14104.419999999996</v>
      </c>
      <c r="AV46" s="59">
        <f t="shared" si="186"/>
        <v>46626.391635999986</v>
      </c>
      <c r="AW46" s="60">
        <f t="shared" si="187"/>
        <v>13641.979999999996</v>
      </c>
      <c r="AX46" s="59">
        <f t="shared" si="188"/>
        <v>45097.657483999988</v>
      </c>
      <c r="AY46" s="55">
        <f t="shared" si="189"/>
        <v>13179.539999999995</v>
      </c>
      <c r="AZ46" s="59">
        <f t="shared" si="190"/>
        <v>43568.923331999984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0">+BF46-0.02</f>
        <v>0.91</v>
      </c>
      <c r="BH46" s="55">
        <f t="shared" si="280"/>
        <v>0.89</v>
      </c>
      <c r="BI46" s="55">
        <f t="shared" si="280"/>
        <v>0.87</v>
      </c>
      <c r="BJ46" s="55">
        <f t="shared" si="280"/>
        <v>0.85</v>
      </c>
      <c r="BK46" s="55">
        <f t="shared" si="280"/>
        <v>0.83</v>
      </c>
      <c r="BL46" s="55">
        <f t="shared" si="280"/>
        <v>0.80999999999999994</v>
      </c>
      <c r="BM46" s="55">
        <f t="shared" si="280"/>
        <v>0.78999999999999992</v>
      </c>
      <c r="BN46" s="55">
        <f t="shared" si="280"/>
        <v>0.76999999999999991</v>
      </c>
      <c r="BO46" s="55">
        <f t="shared" si="280"/>
        <v>0.74999999999999989</v>
      </c>
      <c r="BP46" s="55">
        <f t="shared" si="280"/>
        <v>0.72999999999999987</v>
      </c>
      <c r="BQ46" s="55">
        <f t="shared" si="280"/>
        <v>0.70999999999999985</v>
      </c>
      <c r="BR46" s="55">
        <f t="shared" si="280"/>
        <v>0.68999999999999984</v>
      </c>
      <c r="BS46" s="55">
        <f t="shared" si="280"/>
        <v>0.66999999999999982</v>
      </c>
      <c r="BT46" s="55">
        <f t="shared" si="280"/>
        <v>0.6499999999999998</v>
      </c>
      <c r="BU46" s="55">
        <f t="shared" si="280"/>
        <v>0.62999999999999978</v>
      </c>
      <c r="BV46" s="55">
        <f t="shared" si="280"/>
        <v>0.60999999999999976</v>
      </c>
      <c r="BW46" s="55">
        <f t="shared" si="280"/>
        <v>0.58999999999999975</v>
      </c>
      <c r="BX46" s="55">
        <f t="shared" si="280"/>
        <v>0.56999999999999973</v>
      </c>
      <c r="BZ46" s="55">
        <f t="shared" si="88"/>
        <v>21041.020000000004</v>
      </c>
      <c r="CA46" s="55">
        <f t="shared" si="89"/>
        <v>21041.020000000004</v>
      </c>
      <c r="CB46" s="59">
        <f t="shared" si="191"/>
        <v>69557.40391600001</v>
      </c>
      <c r="CC46" s="55">
        <f t="shared" si="192"/>
        <v>20409.789400000005</v>
      </c>
      <c r="CD46" s="59">
        <f t="shared" si="193"/>
        <v>67470.681798520018</v>
      </c>
      <c r="CE46" s="55">
        <f t="shared" si="194"/>
        <v>19988.969000000005</v>
      </c>
      <c r="CF46" s="59">
        <f t="shared" si="195"/>
        <v>66079.533720200023</v>
      </c>
      <c r="CG46" s="55">
        <f t="shared" si="196"/>
        <v>19568.148600000004</v>
      </c>
      <c r="CH46" s="59">
        <f t="shared" si="197"/>
        <v>64688.385641880013</v>
      </c>
      <c r="CI46" s="57">
        <f t="shared" si="198"/>
        <v>19147.328200000004</v>
      </c>
      <c r="CJ46" s="59">
        <f t="shared" si="199"/>
        <v>63297.237563560011</v>
      </c>
      <c r="CK46" s="55">
        <f t="shared" si="200"/>
        <v>18726.507800000003</v>
      </c>
      <c r="CL46" s="59">
        <f t="shared" si="201"/>
        <v>61906.089485240009</v>
      </c>
      <c r="CM46" s="57">
        <f t="shared" si="202"/>
        <v>18305.687400000003</v>
      </c>
      <c r="CN46" s="59">
        <f t="shared" si="203"/>
        <v>60514.941406920007</v>
      </c>
      <c r="CO46" s="60">
        <f t="shared" si="204"/>
        <v>17884.867000000002</v>
      </c>
      <c r="CP46" s="59">
        <f t="shared" si="205"/>
        <v>59123.793328600004</v>
      </c>
      <c r="CQ46" s="57">
        <f t="shared" si="206"/>
        <v>17464.046600000001</v>
      </c>
      <c r="CR46" s="59">
        <f t="shared" si="207"/>
        <v>57732.645250280009</v>
      </c>
      <c r="CS46" s="55">
        <f t="shared" si="208"/>
        <v>17043.226200000001</v>
      </c>
      <c r="CT46" s="59">
        <f t="shared" si="209"/>
        <v>56341.497171960007</v>
      </c>
      <c r="CU46" s="60">
        <f t="shared" si="210"/>
        <v>16622.4058</v>
      </c>
      <c r="CV46" s="59">
        <f t="shared" si="211"/>
        <v>54950.349093640005</v>
      </c>
      <c r="CW46" s="60">
        <f t="shared" si="212"/>
        <v>16201.585400000002</v>
      </c>
      <c r="CX46" s="59">
        <f t="shared" si="213"/>
        <v>53559.20101532001</v>
      </c>
      <c r="CY46" s="60">
        <f t="shared" si="214"/>
        <v>15780.765000000001</v>
      </c>
      <c r="CZ46" s="59">
        <f t="shared" si="215"/>
        <v>52168.052937000008</v>
      </c>
      <c r="DA46" s="55">
        <f t="shared" si="216"/>
        <v>15359.944600000001</v>
      </c>
      <c r="DB46" s="59">
        <f t="shared" si="217"/>
        <v>50776.904858680005</v>
      </c>
      <c r="DC46" s="60">
        <f t="shared" si="218"/>
        <v>14939.1242</v>
      </c>
      <c r="DD46" s="59">
        <f t="shared" si="219"/>
        <v>49385.756780360003</v>
      </c>
      <c r="DE46" s="60">
        <f t="shared" si="220"/>
        <v>14518.3038</v>
      </c>
      <c r="DF46" s="59">
        <f t="shared" si="221"/>
        <v>47994.608702040001</v>
      </c>
      <c r="DG46" s="60">
        <f t="shared" si="222"/>
        <v>14097.483399999999</v>
      </c>
      <c r="DH46" s="59">
        <f t="shared" si="223"/>
        <v>46603.460623719999</v>
      </c>
      <c r="DI46" s="60">
        <f t="shared" si="224"/>
        <v>13676.662999999999</v>
      </c>
      <c r="DJ46" s="59">
        <f t="shared" si="225"/>
        <v>45212.312545399996</v>
      </c>
      <c r="DK46" s="55">
        <f t="shared" si="226"/>
        <v>13255.842599999998</v>
      </c>
      <c r="DL46" s="59">
        <f t="shared" si="227"/>
        <v>43821.164467079994</v>
      </c>
      <c r="DM46" s="60">
        <f t="shared" si="228"/>
        <v>12835.022199999998</v>
      </c>
      <c r="DN46" s="59">
        <f t="shared" si="229"/>
        <v>42430.016388759992</v>
      </c>
      <c r="DO46" s="60">
        <f t="shared" si="230"/>
        <v>12414.201799999997</v>
      </c>
      <c r="DP46" s="59">
        <f t="shared" si="231"/>
        <v>41038.86831043999</v>
      </c>
      <c r="DQ46" s="55">
        <f t="shared" si="232"/>
        <v>11993.381399999997</v>
      </c>
      <c r="DR46" s="59">
        <f t="shared" si="233"/>
        <v>39647.720232119987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4"/>
        <v>0.91</v>
      </c>
      <c r="DZ46" s="55">
        <f t="shared" si="234"/>
        <v>0.89</v>
      </c>
      <c r="EA46" s="55">
        <f t="shared" si="234"/>
        <v>0.87</v>
      </c>
      <c r="EB46" s="55">
        <f t="shared" si="234"/>
        <v>0.85</v>
      </c>
      <c r="EC46" s="55">
        <f t="shared" si="234"/>
        <v>0.83</v>
      </c>
      <c r="ED46" s="55">
        <f t="shared" si="234"/>
        <v>0.80999999999999994</v>
      </c>
      <c r="EE46" s="55">
        <f t="shared" si="234"/>
        <v>0.78999999999999992</v>
      </c>
      <c r="EF46" s="55">
        <f t="shared" si="234"/>
        <v>0.76999999999999991</v>
      </c>
      <c r="EG46" s="55">
        <f t="shared" si="234"/>
        <v>0.74999999999999989</v>
      </c>
      <c r="EH46" s="55">
        <f t="shared" si="234"/>
        <v>0.72999999999999987</v>
      </c>
      <c r="EI46" s="55">
        <f t="shared" si="234"/>
        <v>0.70999999999999985</v>
      </c>
      <c r="EJ46" s="55">
        <f t="shared" si="234"/>
        <v>0.68999999999999984</v>
      </c>
      <c r="EK46" s="55">
        <f t="shared" si="234"/>
        <v>0.66999999999999982</v>
      </c>
      <c r="EL46" s="55">
        <f t="shared" si="234"/>
        <v>0.6499999999999998</v>
      </c>
      <c r="EM46" s="55">
        <f t="shared" si="234"/>
        <v>0.62999999999999978</v>
      </c>
      <c r="EN46" s="55">
        <f t="shared" si="234"/>
        <v>0.60999999999999976</v>
      </c>
      <c r="EO46" s="55">
        <f t="shared" si="234"/>
        <v>0.58999999999999975</v>
      </c>
      <c r="EP46" s="55">
        <f t="shared" si="234"/>
        <v>0.56999999999999973</v>
      </c>
      <c r="ER46" s="55">
        <f t="shared" si="142"/>
        <v>19147.328200000004</v>
      </c>
      <c r="ES46" s="55">
        <f t="shared" si="116"/>
        <v>19147.328200000004</v>
      </c>
      <c r="ET46" s="59">
        <f t="shared" si="235"/>
        <v>63297.237563560011</v>
      </c>
      <c r="EU46" s="55">
        <f t="shared" si="236"/>
        <v>18572.908354000003</v>
      </c>
      <c r="EV46" s="59">
        <f t="shared" si="237"/>
        <v>61398.320436653208</v>
      </c>
      <c r="EW46" s="55">
        <f t="shared" si="238"/>
        <v>18189.961790000001</v>
      </c>
      <c r="EX46" s="59">
        <f t="shared" si="239"/>
        <v>60132.375685382009</v>
      </c>
      <c r="EY46" s="55">
        <f t="shared" si="240"/>
        <v>17807.015226000003</v>
      </c>
      <c r="EZ46" s="59">
        <f t="shared" si="241"/>
        <v>58866.430934110809</v>
      </c>
      <c r="FA46" s="57">
        <f t="shared" si="242"/>
        <v>17424.068662000005</v>
      </c>
      <c r="FB46" s="59">
        <f t="shared" si="243"/>
        <v>57600.486182839617</v>
      </c>
      <c r="FC46" s="55">
        <f t="shared" si="244"/>
        <v>17041.122098000003</v>
      </c>
      <c r="FD46" s="59">
        <f t="shared" si="245"/>
        <v>56334.54143156841</v>
      </c>
      <c r="FE46" s="57">
        <f t="shared" si="246"/>
        <v>16658.175534000002</v>
      </c>
      <c r="FF46" s="59">
        <f t="shared" si="247"/>
        <v>55068.596680297211</v>
      </c>
      <c r="FG46" s="60">
        <f t="shared" si="248"/>
        <v>16275.228970000002</v>
      </c>
      <c r="FH46" s="59">
        <f t="shared" si="249"/>
        <v>53802.651929026011</v>
      </c>
      <c r="FI46" s="57">
        <f t="shared" si="250"/>
        <v>15892.282406000002</v>
      </c>
      <c r="FJ46" s="59">
        <f t="shared" si="251"/>
        <v>52536.707177754804</v>
      </c>
      <c r="FK46" s="55">
        <f t="shared" si="252"/>
        <v>15509.335842000002</v>
      </c>
      <c r="FL46" s="59">
        <f t="shared" si="253"/>
        <v>51270.762426483605</v>
      </c>
      <c r="FM46" s="60">
        <f t="shared" si="254"/>
        <v>15126.389278000001</v>
      </c>
      <c r="FN46" s="59">
        <f t="shared" si="255"/>
        <v>50004.817675212405</v>
      </c>
      <c r="FO46" s="60">
        <f t="shared" si="256"/>
        <v>14743.442714000001</v>
      </c>
      <c r="FP46" s="59">
        <f t="shared" si="257"/>
        <v>48738.872923941206</v>
      </c>
      <c r="FQ46" s="60">
        <f t="shared" si="258"/>
        <v>14360.496150000001</v>
      </c>
      <c r="FR46" s="59">
        <f t="shared" si="259"/>
        <v>47472.928172670006</v>
      </c>
      <c r="FS46" s="55">
        <f t="shared" si="260"/>
        <v>13977.549586000001</v>
      </c>
      <c r="FT46" s="59">
        <f t="shared" si="261"/>
        <v>46206.983421398807</v>
      </c>
      <c r="FU46" s="60">
        <f t="shared" si="262"/>
        <v>13594.603021999999</v>
      </c>
      <c r="FV46" s="59">
        <f t="shared" si="263"/>
        <v>44941.0386701276</v>
      </c>
      <c r="FW46" s="60">
        <f t="shared" si="264"/>
        <v>13211.656457999999</v>
      </c>
      <c r="FX46" s="59">
        <f t="shared" si="265"/>
        <v>43675.093918856401</v>
      </c>
      <c r="FY46" s="60">
        <f t="shared" si="266"/>
        <v>12828.709894</v>
      </c>
      <c r="FZ46" s="59">
        <f t="shared" si="267"/>
        <v>42409.149167585201</v>
      </c>
      <c r="GA46" s="60">
        <f t="shared" si="268"/>
        <v>12445.763329999998</v>
      </c>
      <c r="GB46" s="59">
        <f t="shared" si="269"/>
        <v>41143.204416313994</v>
      </c>
      <c r="GC46" s="55">
        <f t="shared" si="270"/>
        <v>12062.816765999998</v>
      </c>
      <c r="GD46" s="59">
        <f t="shared" si="271"/>
        <v>39877.259665042795</v>
      </c>
      <c r="GE46" s="60">
        <f t="shared" si="272"/>
        <v>11679.870201999998</v>
      </c>
      <c r="GF46" s="59">
        <f t="shared" si="273"/>
        <v>38611.314913771595</v>
      </c>
      <c r="GG46" s="60">
        <f t="shared" si="274"/>
        <v>11296.923637999997</v>
      </c>
      <c r="GH46" s="59">
        <f t="shared" si="275"/>
        <v>37345.370162500389</v>
      </c>
      <c r="GI46" s="55">
        <f t="shared" si="276"/>
        <v>10913.977073999997</v>
      </c>
      <c r="GJ46" s="59">
        <f t="shared" si="277"/>
        <v>36079.425411229189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78"/>
        <v>0.91</v>
      </c>
      <c r="GR46" s="55">
        <f t="shared" si="278"/>
        <v>0.89</v>
      </c>
      <c r="GS46" s="55">
        <f t="shared" si="278"/>
        <v>0.87</v>
      </c>
      <c r="GT46" s="55">
        <f t="shared" si="278"/>
        <v>0.85</v>
      </c>
      <c r="GU46" s="55">
        <f t="shared" si="278"/>
        <v>0.83</v>
      </c>
      <c r="GV46" s="55">
        <f t="shared" si="278"/>
        <v>0.80999999999999994</v>
      </c>
      <c r="GW46" s="55">
        <f t="shared" si="278"/>
        <v>0.78999999999999992</v>
      </c>
      <c r="GX46" s="55">
        <f t="shared" si="278"/>
        <v>0.76999999999999991</v>
      </c>
      <c r="GY46" s="55">
        <f t="shared" si="278"/>
        <v>0.74999999999999989</v>
      </c>
      <c r="GZ46" s="55">
        <f t="shared" si="278"/>
        <v>0.72999999999999987</v>
      </c>
      <c r="HA46" s="55">
        <f t="shared" si="278"/>
        <v>0.70999999999999985</v>
      </c>
      <c r="HB46" s="55">
        <f t="shared" si="278"/>
        <v>0.68999999999999984</v>
      </c>
      <c r="HC46" s="55">
        <f t="shared" si="278"/>
        <v>0.66999999999999982</v>
      </c>
      <c r="HD46" s="55">
        <f t="shared" si="278"/>
        <v>0.6499999999999998</v>
      </c>
      <c r="HE46" s="55">
        <f t="shared" si="278"/>
        <v>0.62999999999999978</v>
      </c>
      <c r="HF46" s="55">
        <f t="shared" si="278"/>
        <v>0.60999999999999976</v>
      </c>
      <c r="HG46" s="55">
        <f t="shared" si="278"/>
        <v>0.58999999999999975</v>
      </c>
      <c r="HH46" s="55">
        <f t="shared" si="278"/>
        <v>0.56999999999999973</v>
      </c>
    </row>
    <row r="47" spans="1:216" x14ac:dyDescent="0.3">
      <c r="A47" s="2">
        <v>14</v>
      </c>
      <c r="C47" s="38" t="s">
        <v>25</v>
      </c>
      <c r="D47" s="42">
        <f>TRUNC(39404.3926407898,-1)</f>
        <v>39400</v>
      </c>
      <c r="E47" s="71">
        <f t="shared" si="148"/>
        <v>130240</v>
      </c>
      <c r="H47" s="55">
        <f t="shared" si="61"/>
        <v>143264</v>
      </c>
      <c r="I47" s="55">
        <f t="shared" si="62"/>
        <v>143264</v>
      </c>
      <c r="J47" s="59">
        <f t="shared" si="63"/>
        <v>473602.1312</v>
      </c>
      <c r="K47" s="55">
        <f t="shared" si="149"/>
        <v>138966.07999999999</v>
      </c>
      <c r="L47" s="59">
        <f t="shared" si="150"/>
        <v>459394.06726399995</v>
      </c>
      <c r="M47" s="55">
        <f t="shared" si="151"/>
        <v>136100.79999999999</v>
      </c>
      <c r="N47" s="59">
        <f t="shared" si="152"/>
        <v>449922.02463999996</v>
      </c>
      <c r="O47" s="55">
        <f t="shared" si="153"/>
        <v>133235.52000000002</v>
      </c>
      <c r="P47" s="59">
        <f t="shared" si="154"/>
        <v>440449.98201600008</v>
      </c>
      <c r="Q47" s="57">
        <f t="shared" si="155"/>
        <v>130370.24000000001</v>
      </c>
      <c r="R47" s="59">
        <f t="shared" si="156"/>
        <v>430977.93939200003</v>
      </c>
      <c r="S47" s="55">
        <f t="shared" si="157"/>
        <v>127504.96000000001</v>
      </c>
      <c r="T47" s="59">
        <f t="shared" si="158"/>
        <v>421505.89676800004</v>
      </c>
      <c r="U47" s="57">
        <f t="shared" si="159"/>
        <v>124639.67999999999</v>
      </c>
      <c r="V47" s="59">
        <f t="shared" si="160"/>
        <v>412033.85414399998</v>
      </c>
      <c r="W47" s="60">
        <f t="shared" si="161"/>
        <v>121774.39999999999</v>
      </c>
      <c r="X47" s="59">
        <f t="shared" si="162"/>
        <v>402561.81151999999</v>
      </c>
      <c r="Y47" s="57">
        <f t="shared" si="163"/>
        <v>118909.12</v>
      </c>
      <c r="Z47" s="59">
        <f t="shared" si="164"/>
        <v>393089.76889599999</v>
      </c>
      <c r="AA47" s="55">
        <f t="shared" si="165"/>
        <v>116043.84</v>
      </c>
      <c r="AB47" s="59">
        <f t="shared" si="166"/>
        <v>383617.726272</v>
      </c>
      <c r="AC47" s="60">
        <f t="shared" si="167"/>
        <v>113178.55999999998</v>
      </c>
      <c r="AD47" s="59">
        <f t="shared" si="168"/>
        <v>374145.68364799995</v>
      </c>
      <c r="AE47" s="60">
        <f t="shared" si="169"/>
        <v>110313.27999999998</v>
      </c>
      <c r="AF47" s="59">
        <f t="shared" si="170"/>
        <v>364673.64102399995</v>
      </c>
      <c r="AG47" s="60">
        <f t="shared" si="171"/>
        <v>107447.99999999999</v>
      </c>
      <c r="AH47" s="59">
        <f t="shared" si="172"/>
        <v>355201.59839999996</v>
      </c>
      <c r="AI47" s="55">
        <f t="shared" si="173"/>
        <v>104582.71999999999</v>
      </c>
      <c r="AJ47" s="59">
        <f t="shared" si="174"/>
        <v>345729.55577599996</v>
      </c>
      <c r="AK47" s="60">
        <f t="shared" si="175"/>
        <v>101717.43999999997</v>
      </c>
      <c r="AL47" s="59">
        <f t="shared" si="176"/>
        <v>336257.51315199991</v>
      </c>
      <c r="AM47" s="60">
        <f t="shared" si="177"/>
        <v>98852.159999999974</v>
      </c>
      <c r="AN47" s="59">
        <f t="shared" si="178"/>
        <v>326785.47052799992</v>
      </c>
      <c r="AO47" s="60">
        <f t="shared" si="179"/>
        <v>95986.879999999976</v>
      </c>
      <c r="AP47" s="59">
        <f t="shared" si="180"/>
        <v>317313.42790399992</v>
      </c>
      <c r="AQ47" s="60">
        <f t="shared" si="181"/>
        <v>93121.599999999977</v>
      </c>
      <c r="AR47" s="59">
        <f t="shared" si="182"/>
        <v>307841.38527999993</v>
      </c>
      <c r="AS47" s="55">
        <f t="shared" si="183"/>
        <v>90256.319999999963</v>
      </c>
      <c r="AT47" s="59">
        <f t="shared" si="184"/>
        <v>298369.34265599988</v>
      </c>
      <c r="AU47" s="60">
        <f t="shared" si="185"/>
        <v>87391.039999999964</v>
      </c>
      <c r="AV47" s="59">
        <f t="shared" si="186"/>
        <v>288897.30003199988</v>
      </c>
      <c r="AW47" s="60">
        <f t="shared" si="187"/>
        <v>84525.759999999966</v>
      </c>
      <c r="AX47" s="59">
        <f t="shared" si="188"/>
        <v>279425.25740799989</v>
      </c>
      <c r="AY47" s="55">
        <f t="shared" si="189"/>
        <v>81660.479999999967</v>
      </c>
      <c r="AZ47" s="59">
        <f t="shared" si="190"/>
        <v>269953.21478399989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0"/>
        <v>0.91</v>
      </c>
      <c r="BH47" s="55">
        <f t="shared" si="280"/>
        <v>0.89</v>
      </c>
      <c r="BI47" s="55">
        <f t="shared" si="280"/>
        <v>0.87</v>
      </c>
      <c r="BJ47" s="55">
        <f t="shared" si="280"/>
        <v>0.85</v>
      </c>
      <c r="BK47" s="55">
        <f t="shared" si="280"/>
        <v>0.83</v>
      </c>
      <c r="BL47" s="55">
        <f t="shared" si="280"/>
        <v>0.80999999999999994</v>
      </c>
      <c r="BM47" s="55">
        <f t="shared" si="280"/>
        <v>0.78999999999999992</v>
      </c>
      <c r="BN47" s="55">
        <f t="shared" si="280"/>
        <v>0.76999999999999991</v>
      </c>
      <c r="BO47" s="55">
        <f t="shared" si="280"/>
        <v>0.74999999999999989</v>
      </c>
      <c r="BP47" s="55">
        <f t="shared" si="280"/>
        <v>0.72999999999999987</v>
      </c>
      <c r="BQ47" s="55">
        <f t="shared" si="280"/>
        <v>0.70999999999999985</v>
      </c>
      <c r="BR47" s="55">
        <f t="shared" si="280"/>
        <v>0.68999999999999984</v>
      </c>
      <c r="BS47" s="55">
        <f t="shared" si="280"/>
        <v>0.66999999999999982</v>
      </c>
      <c r="BT47" s="55">
        <f t="shared" si="280"/>
        <v>0.6499999999999998</v>
      </c>
      <c r="BU47" s="55">
        <f t="shared" si="280"/>
        <v>0.62999999999999978</v>
      </c>
      <c r="BV47" s="55">
        <f t="shared" si="280"/>
        <v>0.60999999999999976</v>
      </c>
      <c r="BW47" s="55">
        <f t="shared" si="280"/>
        <v>0.58999999999999975</v>
      </c>
      <c r="BX47" s="55">
        <f t="shared" si="280"/>
        <v>0.56999999999999973</v>
      </c>
      <c r="BZ47" s="55">
        <f t="shared" si="88"/>
        <v>130370.24000000001</v>
      </c>
      <c r="CA47" s="55">
        <f t="shared" si="89"/>
        <v>130370.24000000001</v>
      </c>
      <c r="CB47" s="59">
        <f t="shared" si="191"/>
        <v>430977.93939200003</v>
      </c>
      <c r="CC47" s="55">
        <f t="shared" si="192"/>
        <v>126459.13280000001</v>
      </c>
      <c r="CD47" s="59">
        <f t="shared" si="193"/>
        <v>418048.60121024004</v>
      </c>
      <c r="CE47" s="55">
        <f t="shared" si="194"/>
        <v>123851.728</v>
      </c>
      <c r="CF47" s="59">
        <f t="shared" si="195"/>
        <v>409429.04242240003</v>
      </c>
      <c r="CG47" s="55">
        <f t="shared" si="196"/>
        <v>121244.32320000001</v>
      </c>
      <c r="CH47" s="59">
        <f t="shared" si="197"/>
        <v>400809.48363456008</v>
      </c>
      <c r="CI47" s="57">
        <f t="shared" si="198"/>
        <v>118636.91840000001</v>
      </c>
      <c r="CJ47" s="59">
        <f t="shared" si="199"/>
        <v>392189.92484672007</v>
      </c>
      <c r="CK47" s="55">
        <f t="shared" si="200"/>
        <v>116029.51360000001</v>
      </c>
      <c r="CL47" s="59">
        <f t="shared" si="201"/>
        <v>383570.36605888006</v>
      </c>
      <c r="CM47" s="57">
        <f t="shared" si="202"/>
        <v>113422.1088</v>
      </c>
      <c r="CN47" s="59">
        <f t="shared" si="203"/>
        <v>374950.80727103999</v>
      </c>
      <c r="CO47" s="60">
        <f t="shared" si="204"/>
        <v>110814.704</v>
      </c>
      <c r="CP47" s="59">
        <f t="shared" si="205"/>
        <v>366331.24848319998</v>
      </c>
      <c r="CQ47" s="57">
        <f t="shared" si="206"/>
        <v>108207.29919999999</v>
      </c>
      <c r="CR47" s="59">
        <f t="shared" si="207"/>
        <v>357711.68969535996</v>
      </c>
      <c r="CS47" s="55">
        <f t="shared" si="208"/>
        <v>105599.89439999999</v>
      </c>
      <c r="CT47" s="59">
        <f t="shared" si="209"/>
        <v>349092.13090751995</v>
      </c>
      <c r="CU47" s="60">
        <f t="shared" si="210"/>
        <v>102992.4896</v>
      </c>
      <c r="CV47" s="59">
        <f t="shared" si="211"/>
        <v>340472.57211968</v>
      </c>
      <c r="CW47" s="60">
        <f t="shared" si="212"/>
        <v>100385.0848</v>
      </c>
      <c r="CX47" s="59">
        <f t="shared" si="213"/>
        <v>331853.01333183999</v>
      </c>
      <c r="CY47" s="60">
        <f t="shared" si="214"/>
        <v>97777.68</v>
      </c>
      <c r="CZ47" s="59">
        <f t="shared" si="215"/>
        <v>323233.45454399998</v>
      </c>
      <c r="DA47" s="55">
        <f t="shared" si="216"/>
        <v>95170.275199999989</v>
      </c>
      <c r="DB47" s="59">
        <f t="shared" si="217"/>
        <v>314613.89575615997</v>
      </c>
      <c r="DC47" s="60">
        <f t="shared" si="218"/>
        <v>92562.870399999985</v>
      </c>
      <c r="DD47" s="59">
        <f t="shared" si="219"/>
        <v>305994.33696831996</v>
      </c>
      <c r="DE47" s="60">
        <f t="shared" si="220"/>
        <v>89955.465599999981</v>
      </c>
      <c r="DF47" s="59">
        <f t="shared" si="221"/>
        <v>297374.77818047995</v>
      </c>
      <c r="DG47" s="60">
        <f t="shared" si="222"/>
        <v>87348.060799999977</v>
      </c>
      <c r="DH47" s="59">
        <f t="shared" si="223"/>
        <v>288755.21939263993</v>
      </c>
      <c r="DI47" s="60">
        <f t="shared" si="224"/>
        <v>84740.655999999974</v>
      </c>
      <c r="DJ47" s="59">
        <f t="shared" si="225"/>
        <v>280135.66060479992</v>
      </c>
      <c r="DK47" s="55">
        <f t="shared" si="226"/>
        <v>82133.25119999997</v>
      </c>
      <c r="DL47" s="59">
        <f t="shared" si="227"/>
        <v>271516.10181695991</v>
      </c>
      <c r="DM47" s="60">
        <f t="shared" si="228"/>
        <v>79525.846399999966</v>
      </c>
      <c r="DN47" s="59">
        <f t="shared" si="229"/>
        <v>262896.5430291199</v>
      </c>
      <c r="DO47" s="60">
        <f t="shared" si="230"/>
        <v>76918.441599999976</v>
      </c>
      <c r="DP47" s="59">
        <f t="shared" si="231"/>
        <v>254276.98424127992</v>
      </c>
      <c r="DQ47" s="55">
        <f t="shared" si="232"/>
        <v>74311.036799999973</v>
      </c>
      <c r="DR47" s="59">
        <f t="shared" si="233"/>
        <v>245657.42545343991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4"/>
        <v>0.91</v>
      </c>
      <c r="DZ47" s="55">
        <f t="shared" si="234"/>
        <v>0.89</v>
      </c>
      <c r="EA47" s="55">
        <f t="shared" si="234"/>
        <v>0.87</v>
      </c>
      <c r="EB47" s="55">
        <f t="shared" si="234"/>
        <v>0.85</v>
      </c>
      <c r="EC47" s="55">
        <f t="shared" si="234"/>
        <v>0.83</v>
      </c>
      <c r="ED47" s="55">
        <f t="shared" si="234"/>
        <v>0.80999999999999994</v>
      </c>
      <c r="EE47" s="55">
        <f t="shared" si="234"/>
        <v>0.78999999999999992</v>
      </c>
      <c r="EF47" s="55">
        <f t="shared" si="234"/>
        <v>0.76999999999999991</v>
      </c>
      <c r="EG47" s="55">
        <f t="shared" si="234"/>
        <v>0.74999999999999989</v>
      </c>
      <c r="EH47" s="55">
        <f t="shared" si="234"/>
        <v>0.72999999999999987</v>
      </c>
      <c r="EI47" s="55">
        <f t="shared" si="234"/>
        <v>0.70999999999999985</v>
      </c>
      <c r="EJ47" s="55">
        <f t="shared" si="234"/>
        <v>0.68999999999999984</v>
      </c>
      <c r="EK47" s="55">
        <f t="shared" si="234"/>
        <v>0.66999999999999982</v>
      </c>
      <c r="EL47" s="55">
        <f t="shared" si="234"/>
        <v>0.6499999999999998</v>
      </c>
      <c r="EM47" s="55">
        <f t="shared" si="234"/>
        <v>0.62999999999999978</v>
      </c>
      <c r="EN47" s="55">
        <f t="shared" si="234"/>
        <v>0.60999999999999976</v>
      </c>
      <c r="EO47" s="55">
        <f t="shared" si="234"/>
        <v>0.58999999999999975</v>
      </c>
      <c r="EP47" s="55">
        <f t="shared" si="234"/>
        <v>0.56999999999999973</v>
      </c>
      <c r="ER47" s="55">
        <f t="shared" si="142"/>
        <v>118636.91840000001</v>
      </c>
      <c r="ES47" s="55">
        <f t="shared" si="116"/>
        <v>118636.91840000001</v>
      </c>
      <c r="ET47" s="59">
        <f t="shared" si="235"/>
        <v>392189.92484672007</v>
      </c>
      <c r="EU47" s="55">
        <f t="shared" si="236"/>
        <v>115077.81084800001</v>
      </c>
      <c r="EV47" s="59">
        <f t="shared" si="237"/>
        <v>380424.22710131842</v>
      </c>
      <c r="EW47" s="55">
        <f t="shared" si="238"/>
        <v>112705.07248</v>
      </c>
      <c r="EX47" s="59">
        <f t="shared" si="239"/>
        <v>372580.42860438401</v>
      </c>
      <c r="EY47" s="55">
        <f t="shared" si="240"/>
        <v>110332.33411200001</v>
      </c>
      <c r="EZ47" s="59">
        <f t="shared" si="241"/>
        <v>364736.63010744966</v>
      </c>
      <c r="FA47" s="57">
        <f t="shared" si="242"/>
        <v>107959.59574400001</v>
      </c>
      <c r="FB47" s="59">
        <f t="shared" si="243"/>
        <v>356892.83161051525</v>
      </c>
      <c r="FC47" s="55">
        <f t="shared" si="244"/>
        <v>105586.85737600001</v>
      </c>
      <c r="FD47" s="59">
        <f t="shared" si="245"/>
        <v>349049.03311358084</v>
      </c>
      <c r="FE47" s="57">
        <f t="shared" si="246"/>
        <v>103214.11900800001</v>
      </c>
      <c r="FF47" s="59">
        <f t="shared" si="247"/>
        <v>341205.23461664643</v>
      </c>
      <c r="FG47" s="60">
        <f t="shared" si="248"/>
        <v>100841.38064</v>
      </c>
      <c r="FH47" s="59">
        <f t="shared" si="249"/>
        <v>333361.43611971202</v>
      </c>
      <c r="FI47" s="57">
        <f t="shared" si="250"/>
        <v>98468.642271999997</v>
      </c>
      <c r="FJ47" s="59">
        <f t="shared" si="251"/>
        <v>325517.63762277761</v>
      </c>
      <c r="FK47" s="55">
        <f t="shared" si="252"/>
        <v>96095.903904000006</v>
      </c>
      <c r="FL47" s="59">
        <f t="shared" si="253"/>
        <v>317673.83912584325</v>
      </c>
      <c r="FM47" s="60">
        <f t="shared" si="254"/>
        <v>93723.165536</v>
      </c>
      <c r="FN47" s="59">
        <f t="shared" si="255"/>
        <v>309830.04062890878</v>
      </c>
      <c r="FO47" s="60">
        <f t="shared" si="256"/>
        <v>91350.427167999995</v>
      </c>
      <c r="FP47" s="59">
        <f t="shared" si="257"/>
        <v>301986.24213197437</v>
      </c>
      <c r="FQ47" s="60">
        <f t="shared" si="258"/>
        <v>88977.688799999989</v>
      </c>
      <c r="FR47" s="59">
        <f t="shared" si="259"/>
        <v>294142.44363503996</v>
      </c>
      <c r="FS47" s="55">
        <f t="shared" si="260"/>
        <v>86604.950431999998</v>
      </c>
      <c r="FT47" s="59">
        <f t="shared" si="261"/>
        <v>286298.64513810561</v>
      </c>
      <c r="FU47" s="60">
        <f t="shared" si="262"/>
        <v>84232.212063999992</v>
      </c>
      <c r="FV47" s="59">
        <f t="shared" si="263"/>
        <v>278454.8466411712</v>
      </c>
      <c r="FW47" s="60">
        <f t="shared" si="264"/>
        <v>81859.473695999986</v>
      </c>
      <c r="FX47" s="59">
        <f t="shared" si="265"/>
        <v>270611.04814423679</v>
      </c>
      <c r="FY47" s="60">
        <f t="shared" si="266"/>
        <v>79486.735327999981</v>
      </c>
      <c r="FZ47" s="59">
        <f t="shared" si="267"/>
        <v>262767.24964730232</v>
      </c>
      <c r="GA47" s="60">
        <f t="shared" si="268"/>
        <v>77113.996959999989</v>
      </c>
      <c r="GB47" s="59">
        <f t="shared" si="269"/>
        <v>254923.45115036797</v>
      </c>
      <c r="GC47" s="55">
        <f t="shared" si="270"/>
        <v>74741.258591999984</v>
      </c>
      <c r="GD47" s="59">
        <f t="shared" si="271"/>
        <v>247079.65265343356</v>
      </c>
      <c r="GE47" s="60">
        <f t="shared" si="272"/>
        <v>72368.520223999978</v>
      </c>
      <c r="GF47" s="59">
        <f t="shared" si="273"/>
        <v>239235.85415649915</v>
      </c>
      <c r="GG47" s="60">
        <f t="shared" si="274"/>
        <v>69995.781855999972</v>
      </c>
      <c r="GH47" s="59">
        <f t="shared" si="275"/>
        <v>231392.05565956471</v>
      </c>
      <c r="GI47" s="55">
        <f t="shared" si="276"/>
        <v>67623.043487999967</v>
      </c>
      <c r="GJ47" s="59">
        <f t="shared" si="277"/>
        <v>223548.2571626303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78"/>
        <v>0.91</v>
      </c>
      <c r="GR47" s="55">
        <f t="shared" si="278"/>
        <v>0.89</v>
      </c>
      <c r="GS47" s="55">
        <f t="shared" si="278"/>
        <v>0.87</v>
      </c>
      <c r="GT47" s="55">
        <f t="shared" si="278"/>
        <v>0.85</v>
      </c>
      <c r="GU47" s="55">
        <f t="shared" si="278"/>
        <v>0.83</v>
      </c>
      <c r="GV47" s="55">
        <f t="shared" si="278"/>
        <v>0.80999999999999994</v>
      </c>
      <c r="GW47" s="55">
        <f t="shared" si="278"/>
        <v>0.78999999999999992</v>
      </c>
      <c r="GX47" s="55">
        <f t="shared" si="278"/>
        <v>0.76999999999999991</v>
      </c>
      <c r="GY47" s="55">
        <f t="shared" si="278"/>
        <v>0.74999999999999989</v>
      </c>
      <c r="GZ47" s="55">
        <f t="shared" si="278"/>
        <v>0.72999999999999987</v>
      </c>
      <c r="HA47" s="55">
        <f t="shared" si="278"/>
        <v>0.70999999999999985</v>
      </c>
      <c r="HB47" s="55">
        <f t="shared" si="278"/>
        <v>0.68999999999999984</v>
      </c>
      <c r="HC47" s="55">
        <f t="shared" si="278"/>
        <v>0.66999999999999982</v>
      </c>
      <c r="HD47" s="55">
        <f t="shared" si="278"/>
        <v>0.6499999999999998</v>
      </c>
      <c r="HE47" s="55">
        <f t="shared" si="278"/>
        <v>0.62999999999999978</v>
      </c>
      <c r="HF47" s="55">
        <f t="shared" si="278"/>
        <v>0.60999999999999976</v>
      </c>
      <c r="HG47" s="55">
        <f t="shared" si="278"/>
        <v>0.58999999999999975</v>
      </c>
      <c r="HH47" s="55">
        <f t="shared" si="278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71">
        <f t="shared" si="148"/>
        <v>0</v>
      </c>
      <c r="H48" s="55">
        <f t="shared" si="61"/>
        <v>0</v>
      </c>
      <c r="I48" s="55">
        <f t="shared" si="62"/>
        <v>0</v>
      </c>
      <c r="J48" s="59">
        <f t="shared" si="63"/>
        <v>0</v>
      </c>
      <c r="K48" s="55">
        <f t="shared" si="149"/>
        <v>0</v>
      </c>
      <c r="L48" s="59">
        <f t="shared" si="150"/>
        <v>0</v>
      </c>
      <c r="M48" s="55">
        <f t="shared" si="151"/>
        <v>0</v>
      </c>
      <c r="N48" s="59">
        <f t="shared" si="152"/>
        <v>0</v>
      </c>
      <c r="O48" s="55">
        <f t="shared" si="153"/>
        <v>0</v>
      </c>
      <c r="P48" s="59">
        <f t="shared" si="154"/>
        <v>0</v>
      </c>
      <c r="Q48" s="57">
        <f t="shared" si="155"/>
        <v>0</v>
      </c>
      <c r="R48" s="59">
        <f t="shared" si="156"/>
        <v>0</v>
      </c>
      <c r="S48" s="55">
        <f t="shared" si="157"/>
        <v>0</v>
      </c>
      <c r="T48" s="59">
        <f t="shared" si="158"/>
        <v>0</v>
      </c>
      <c r="U48" s="57">
        <f t="shared" si="159"/>
        <v>0</v>
      </c>
      <c r="V48" s="59">
        <f t="shared" si="160"/>
        <v>0</v>
      </c>
      <c r="W48" s="60">
        <f t="shared" si="161"/>
        <v>0</v>
      </c>
      <c r="X48" s="59">
        <f t="shared" si="162"/>
        <v>0</v>
      </c>
      <c r="Y48" s="57">
        <f t="shared" si="163"/>
        <v>0</v>
      </c>
      <c r="Z48" s="59">
        <f t="shared" si="164"/>
        <v>0</v>
      </c>
      <c r="AA48" s="55">
        <f t="shared" si="165"/>
        <v>0</v>
      </c>
      <c r="AB48" s="59">
        <f t="shared" si="166"/>
        <v>0</v>
      </c>
      <c r="AC48" s="60">
        <f t="shared" si="167"/>
        <v>0</v>
      </c>
      <c r="AD48" s="59">
        <f t="shared" si="168"/>
        <v>0</v>
      </c>
      <c r="AE48" s="60">
        <f t="shared" si="169"/>
        <v>0</v>
      </c>
      <c r="AF48" s="59">
        <f t="shared" si="170"/>
        <v>0</v>
      </c>
      <c r="AG48" s="60">
        <f t="shared" si="171"/>
        <v>0</v>
      </c>
      <c r="AH48" s="59">
        <f t="shared" si="172"/>
        <v>0</v>
      </c>
      <c r="AI48" s="55">
        <f t="shared" si="173"/>
        <v>0</v>
      </c>
      <c r="AJ48" s="59">
        <f t="shared" si="174"/>
        <v>0</v>
      </c>
      <c r="AK48" s="60">
        <f t="shared" si="175"/>
        <v>0</v>
      </c>
      <c r="AL48" s="59">
        <f t="shared" si="176"/>
        <v>0</v>
      </c>
      <c r="AM48" s="60">
        <f t="shared" si="177"/>
        <v>0</v>
      </c>
      <c r="AN48" s="59">
        <f t="shared" si="178"/>
        <v>0</v>
      </c>
      <c r="AO48" s="60">
        <f t="shared" si="179"/>
        <v>0</v>
      </c>
      <c r="AP48" s="59">
        <f t="shared" si="180"/>
        <v>0</v>
      </c>
      <c r="AQ48" s="60">
        <f t="shared" si="181"/>
        <v>0</v>
      </c>
      <c r="AR48" s="59">
        <f t="shared" si="182"/>
        <v>0</v>
      </c>
      <c r="AS48" s="55">
        <f t="shared" si="183"/>
        <v>0</v>
      </c>
      <c r="AT48" s="59">
        <f t="shared" si="184"/>
        <v>0</v>
      </c>
      <c r="AU48" s="60">
        <f t="shared" si="185"/>
        <v>0</v>
      </c>
      <c r="AV48" s="59">
        <f t="shared" si="186"/>
        <v>0</v>
      </c>
      <c r="AW48" s="60">
        <f t="shared" si="187"/>
        <v>0</v>
      </c>
      <c r="AX48" s="59">
        <f t="shared" si="188"/>
        <v>0</v>
      </c>
      <c r="AY48" s="55">
        <f t="shared" si="189"/>
        <v>0</v>
      </c>
      <c r="AZ48" s="59">
        <f t="shared" si="190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0"/>
        <v>0.91</v>
      </c>
      <c r="BH48" s="55">
        <f t="shared" si="280"/>
        <v>0.89</v>
      </c>
      <c r="BI48" s="55">
        <f t="shared" si="280"/>
        <v>0.87</v>
      </c>
      <c r="BJ48" s="55">
        <f t="shared" si="280"/>
        <v>0.85</v>
      </c>
      <c r="BK48" s="55">
        <f t="shared" si="280"/>
        <v>0.83</v>
      </c>
      <c r="BL48" s="55">
        <f t="shared" si="280"/>
        <v>0.80999999999999994</v>
      </c>
      <c r="BM48" s="55">
        <f t="shared" si="280"/>
        <v>0.78999999999999992</v>
      </c>
      <c r="BN48" s="55">
        <f t="shared" si="280"/>
        <v>0.76999999999999991</v>
      </c>
      <c r="BO48" s="55">
        <f t="shared" si="280"/>
        <v>0.74999999999999989</v>
      </c>
      <c r="BP48" s="55">
        <f t="shared" si="280"/>
        <v>0.72999999999999987</v>
      </c>
      <c r="BQ48" s="55">
        <f t="shared" si="280"/>
        <v>0.70999999999999985</v>
      </c>
      <c r="BR48" s="55">
        <f t="shared" si="280"/>
        <v>0.68999999999999984</v>
      </c>
      <c r="BS48" s="55">
        <f t="shared" si="280"/>
        <v>0.66999999999999982</v>
      </c>
      <c r="BT48" s="55">
        <f t="shared" si="280"/>
        <v>0.6499999999999998</v>
      </c>
      <c r="BU48" s="55">
        <f t="shared" si="280"/>
        <v>0.62999999999999978</v>
      </c>
      <c r="BV48" s="55">
        <f t="shared" si="280"/>
        <v>0.60999999999999976</v>
      </c>
      <c r="BW48" s="55">
        <f t="shared" si="280"/>
        <v>0.58999999999999975</v>
      </c>
      <c r="BX48" s="55">
        <f t="shared" si="280"/>
        <v>0.56999999999999973</v>
      </c>
      <c r="BZ48" s="55">
        <f t="shared" si="88"/>
        <v>0</v>
      </c>
      <c r="CA48" s="55">
        <f t="shared" si="89"/>
        <v>0</v>
      </c>
      <c r="CB48" s="59">
        <f t="shared" si="191"/>
        <v>0</v>
      </c>
      <c r="CC48" s="55">
        <f t="shared" si="192"/>
        <v>0</v>
      </c>
      <c r="CD48" s="59">
        <f t="shared" si="193"/>
        <v>0</v>
      </c>
      <c r="CE48" s="55">
        <f t="shared" si="194"/>
        <v>0</v>
      </c>
      <c r="CF48" s="59">
        <f t="shared" si="195"/>
        <v>0</v>
      </c>
      <c r="CG48" s="55">
        <f t="shared" si="196"/>
        <v>0</v>
      </c>
      <c r="CH48" s="59">
        <f t="shared" si="197"/>
        <v>0</v>
      </c>
      <c r="CI48" s="57">
        <f t="shared" si="198"/>
        <v>0</v>
      </c>
      <c r="CJ48" s="59">
        <f t="shared" si="199"/>
        <v>0</v>
      </c>
      <c r="CK48" s="55">
        <f t="shared" si="200"/>
        <v>0</v>
      </c>
      <c r="CL48" s="59">
        <f t="shared" si="201"/>
        <v>0</v>
      </c>
      <c r="CM48" s="57">
        <f t="shared" si="202"/>
        <v>0</v>
      </c>
      <c r="CN48" s="59">
        <f t="shared" si="203"/>
        <v>0</v>
      </c>
      <c r="CO48" s="60">
        <f t="shared" si="204"/>
        <v>0</v>
      </c>
      <c r="CP48" s="59">
        <f t="shared" si="205"/>
        <v>0</v>
      </c>
      <c r="CQ48" s="57">
        <f t="shared" si="206"/>
        <v>0</v>
      </c>
      <c r="CR48" s="59">
        <f t="shared" si="207"/>
        <v>0</v>
      </c>
      <c r="CS48" s="55">
        <f t="shared" si="208"/>
        <v>0</v>
      </c>
      <c r="CT48" s="59">
        <f t="shared" si="209"/>
        <v>0</v>
      </c>
      <c r="CU48" s="60">
        <f t="shared" si="210"/>
        <v>0</v>
      </c>
      <c r="CV48" s="59">
        <f t="shared" si="211"/>
        <v>0</v>
      </c>
      <c r="CW48" s="60">
        <f t="shared" si="212"/>
        <v>0</v>
      </c>
      <c r="CX48" s="59">
        <f t="shared" si="213"/>
        <v>0</v>
      </c>
      <c r="CY48" s="60">
        <f t="shared" si="214"/>
        <v>0</v>
      </c>
      <c r="CZ48" s="59">
        <f t="shared" si="215"/>
        <v>0</v>
      </c>
      <c r="DA48" s="55">
        <f t="shared" si="216"/>
        <v>0</v>
      </c>
      <c r="DB48" s="59">
        <f t="shared" si="217"/>
        <v>0</v>
      </c>
      <c r="DC48" s="60">
        <f t="shared" si="218"/>
        <v>0</v>
      </c>
      <c r="DD48" s="59">
        <f t="shared" si="219"/>
        <v>0</v>
      </c>
      <c r="DE48" s="60">
        <f t="shared" si="220"/>
        <v>0</v>
      </c>
      <c r="DF48" s="59">
        <f t="shared" si="221"/>
        <v>0</v>
      </c>
      <c r="DG48" s="60">
        <f t="shared" si="222"/>
        <v>0</v>
      </c>
      <c r="DH48" s="59">
        <f t="shared" si="223"/>
        <v>0</v>
      </c>
      <c r="DI48" s="60">
        <f t="shared" si="224"/>
        <v>0</v>
      </c>
      <c r="DJ48" s="59">
        <f t="shared" si="225"/>
        <v>0</v>
      </c>
      <c r="DK48" s="55">
        <f t="shared" si="226"/>
        <v>0</v>
      </c>
      <c r="DL48" s="59">
        <f t="shared" si="227"/>
        <v>0</v>
      </c>
      <c r="DM48" s="60">
        <f t="shared" si="228"/>
        <v>0</v>
      </c>
      <c r="DN48" s="59">
        <f t="shared" si="229"/>
        <v>0</v>
      </c>
      <c r="DO48" s="60">
        <f t="shared" si="230"/>
        <v>0</v>
      </c>
      <c r="DP48" s="59">
        <f t="shared" si="231"/>
        <v>0</v>
      </c>
      <c r="DQ48" s="55">
        <f t="shared" si="232"/>
        <v>0</v>
      </c>
      <c r="DR48" s="59">
        <f t="shared" si="233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4"/>
        <v>0.91</v>
      </c>
      <c r="DZ48" s="55">
        <f t="shared" si="234"/>
        <v>0.89</v>
      </c>
      <c r="EA48" s="55">
        <f t="shared" si="234"/>
        <v>0.87</v>
      </c>
      <c r="EB48" s="55">
        <f t="shared" ref="EB48:EP48" si="281">+EA48-0.02</f>
        <v>0.85</v>
      </c>
      <c r="EC48" s="55">
        <f t="shared" si="281"/>
        <v>0.83</v>
      </c>
      <c r="ED48" s="55">
        <f t="shared" si="281"/>
        <v>0.80999999999999994</v>
      </c>
      <c r="EE48" s="55">
        <f t="shared" si="281"/>
        <v>0.78999999999999992</v>
      </c>
      <c r="EF48" s="55">
        <f t="shared" si="281"/>
        <v>0.76999999999999991</v>
      </c>
      <c r="EG48" s="55">
        <f t="shared" si="281"/>
        <v>0.74999999999999989</v>
      </c>
      <c r="EH48" s="55">
        <f t="shared" si="281"/>
        <v>0.72999999999999987</v>
      </c>
      <c r="EI48" s="55">
        <f t="shared" si="281"/>
        <v>0.70999999999999985</v>
      </c>
      <c r="EJ48" s="55">
        <f t="shared" si="281"/>
        <v>0.68999999999999984</v>
      </c>
      <c r="EK48" s="55">
        <f t="shared" si="281"/>
        <v>0.66999999999999982</v>
      </c>
      <c r="EL48" s="55">
        <f t="shared" si="281"/>
        <v>0.6499999999999998</v>
      </c>
      <c r="EM48" s="55">
        <f t="shared" si="281"/>
        <v>0.62999999999999978</v>
      </c>
      <c r="EN48" s="55">
        <f t="shared" si="281"/>
        <v>0.60999999999999976</v>
      </c>
      <c r="EO48" s="55">
        <f t="shared" si="281"/>
        <v>0.58999999999999975</v>
      </c>
      <c r="EP48" s="55">
        <f t="shared" si="281"/>
        <v>0.56999999999999973</v>
      </c>
      <c r="ER48" s="55">
        <f t="shared" si="142"/>
        <v>0</v>
      </c>
      <c r="ES48" s="55">
        <f t="shared" si="116"/>
        <v>0</v>
      </c>
      <c r="ET48" s="59">
        <f t="shared" si="235"/>
        <v>0</v>
      </c>
      <c r="EU48" s="55">
        <f t="shared" si="236"/>
        <v>0</v>
      </c>
      <c r="EV48" s="59">
        <f t="shared" si="237"/>
        <v>0</v>
      </c>
      <c r="EW48" s="55">
        <f t="shared" si="238"/>
        <v>0</v>
      </c>
      <c r="EX48" s="59">
        <f t="shared" si="239"/>
        <v>0</v>
      </c>
      <c r="EY48" s="55">
        <f t="shared" si="240"/>
        <v>0</v>
      </c>
      <c r="EZ48" s="59">
        <f t="shared" si="241"/>
        <v>0</v>
      </c>
      <c r="FA48" s="57">
        <f t="shared" si="242"/>
        <v>0</v>
      </c>
      <c r="FB48" s="59">
        <f t="shared" si="243"/>
        <v>0</v>
      </c>
      <c r="FC48" s="55">
        <f t="shared" si="244"/>
        <v>0</v>
      </c>
      <c r="FD48" s="59">
        <f t="shared" si="245"/>
        <v>0</v>
      </c>
      <c r="FE48" s="57">
        <f t="shared" si="246"/>
        <v>0</v>
      </c>
      <c r="FF48" s="59">
        <f t="shared" si="247"/>
        <v>0</v>
      </c>
      <c r="FG48" s="60">
        <f t="shared" si="248"/>
        <v>0</v>
      </c>
      <c r="FH48" s="59">
        <f t="shared" si="249"/>
        <v>0</v>
      </c>
      <c r="FI48" s="57">
        <f t="shared" si="250"/>
        <v>0</v>
      </c>
      <c r="FJ48" s="59">
        <f t="shared" si="251"/>
        <v>0</v>
      </c>
      <c r="FK48" s="55">
        <f t="shared" si="252"/>
        <v>0</v>
      </c>
      <c r="FL48" s="59">
        <f t="shared" si="253"/>
        <v>0</v>
      </c>
      <c r="FM48" s="60">
        <f t="shared" si="254"/>
        <v>0</v>
      </c>
      <c r="FN48" s="59">
        <f t="shared" si="255"/>
        <v>0</v>
      </c>
      <c r="FO48" s="60">
        <f t="shared" si="256"/>
        <v>0</v>
      </c>
      <c r="FP48" s="59">
        <f t="shared" si="257"/>
        <v>0</v>
      </c>
      <c r="FQ48" s="60">
        <f t="shared" si="258"/>
        <v>0</v>
      </c>
      <c r="FR48" s="59">
        <f t="shared" si="259"/>
        <v>0</v>
      </c>
      <c r="FS48" s="55">
        <f t="shared" si="260"/>
        <v>0</v>
      </c>
      <c r="FT48" s="59">
        <f t="shared" si="261"/>
        <v>0</v>
      </c>
      <c r="FU48" s="60">
        <f t="shared" si="262"/>
        <v>0</v>
      </c>
      <c r="FV48" s="59">
        <f t="shared" si="263"/>
        <v>0</v>
      </c>
      <c r="FW48" s="60">
        <f t="shared" si="264"/>
        <v>0</v>
      </c>
      <c r="FX48" s="59">
        <f t="shared" si="265"/>
        <v>0</v>
      </c>
      <c r="FY48" s="60">
        <f t="shared" si="266"/>
        <v>0</v>
      </c>
      <c r="FZ48" s="59">
        <f t="shared" si="267"/>
        <v>0</v>
      </c>
      <c r="GA48" s="60">
        <f t="shared" si="268"/>
        <v>0</v>
      </c>
      <c r="GB48" s="59">
        <f t="shared" si="269"/>
        <v>0</v>
      </c>
      <c r="GC48" s="55">
        <f t="shared" si="270"/>
        <v>0</v>
      </c>
      <c r="GD48" s="59">
        <f t="shared" si="271"/>
        <v>0</v>
      </c>
      <c r="GE48" s="60">
        <f t="shared" si="272"/>
        <v>0</v>
      </c>
      <c r="GF48" s="59">
        <f t="shared" si="273"/>
        <v>0</v>
      </c>
      <c r="GG48" s="60">
        <f t="shared" si="274"/>
        <v>0</v>
      </c>
      <c r="GH48" s="59">
        <f t="shared" si="275"/>
        <v>0</v>
      </c>
      <c r="GI48" s="55">
        <f t="shared" si="276"/>
        <v>0</v>
      </c>
      <c r="GJ48" s="59">
        <f t="shared" si="277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78"/>
        <v>0.91</v>
      </c>
      <c r="GR48" s="55">
        <f t="shared" si="278"/>
        <v>0.89</v>
      </c>
      <c r="GS48" s="55">
        <f t="shared" si="278"/>
        <v>0.87</v>
      </c>
      <c r="GT48" s="55">
        <f t="shared" ref="GT48:HH48" si="282">+GS48-0.02</f>
        <v>0.85</v>
      </c>
      <c r="GU48" s="55">
        <f t="shared" si="282"/>
        <v>0.83</v>
      </c>
      <c r="GV48" s="55">
        <f t="shared" si="282"/>
        <v>0.80999999999999994</v>
      </c>
      <c r="GW48" s="55">
        <f t="shared" si="282"/>
        <v>0.78999999999999992</v>
      </c>
      <c r="GX48" s="55">
        <f t="shared" si="282"/>
        <v>0.76999999999999991</v>
      </c>
      <c r="GY48" s="55">
        <f t="shared" si="282"/>
        <v>0.74999999999999989</v>
      </c>
      <c r="GZ48" s="55">
        <f t="shared" si="282"/>
        <v>0.72999999999999987</v>
      </c>
      <c r="HA48" s="55">
        <f t="shared" si="282"/>
        <v>0.70999999999999985</v>
      </c>
      <c r="HB48" s="55">
        <f t="shared" si="282"/>
        <v>0.68999999999999984</v>
      </c>
      <c r="HC48" s="55">
        <f t="shared" si="282"/>
        <v>0.66999999999999982</v>
      </c>
      <c r="HD48" s="55">
        <f t="shared" si="282"/>
        <v>0.6499999999999998</v>
      </c>
      <c r="HE48" s="55">
        <f t="shared" si="282"/>
        <v>0.62999999999999978</v>
      </c>
      <c r="HF48" s="55">
        <f t="shared" si="282"/>
        <v>0.60999999999999976</v>
      </c>
      <c r="HG48" s="55">
        <f t="shared" si="282"/>
        <v>0.58999999999999975</v>
      </c>
      <c r="HH48" s="55">
        <f t="shared" si="282"/>
        <v>0.56999999999999973</v>
      </c>
    </row>
    <row r="49" spans="1:216" x14ac:dyDescent="0.3">
      <c r="A49" s="2">
        <v>16</v>
      </c>
      <c r="C49" s="38" t="s">
        <v>146</v>
      </c>
      <c r="D49" s="42">
        <f>TRUNC(1209.74870989455,-1)</f>
        <v>1200</v>
      </c>
      <c r="E49" s="71">
        <f t="shared" si="148"/>
        <v>3960</v>
      </c>
      <c r="H49" s="55">
        <f t="shared" si="61"/>
        <v>4356</v>
      </c>
      <c r="I49" s="55">
        <f t="shared" si="62"/>
        <v>4356</v>
      </c>
      <c r="J49" s="59">
        <f t="shared" si="63"/>
        <v>14400.0648</v>
      </c>
      <c r="K49" s="55">
        <f t="shared" si="149"/>
        <v>4225.32</v>
      </c>
      <c r="L49" s="59">
        <f t="shared" si="150"/>
        <v>13968.062855999999</v>
      </c>
      <c r="M49" s="55">
        <f t="shared" si="151"/>
        <v>4138.2</v>
      </c>
      <c r="N49" s="59">
        <f t="shared" si="152"/>
        <v>13680.06156</v>
      </c>
      <c r="O49" s="55">
        <f t="shared" si="153"/>
        <v>4051.0800000000004</v>
      </c>
      <c r="P49" s="59">
        <f t="shared" si="154"/>
        <v>13392.060264000002</v>
      </c>
      <c r="Q49" s="57">
        <f t="shared" si="155"/>
        <v>3963.96</v>
      </c>
      <c r="R49" s="59">
        <f t="shared" si="156"/>
        <v>13104.058968000001</v>
      </c>
      <c r="S49" s="55">
        <f t="shared" si="157"/>
        <v>3876.84</v>
      </c>
      <c r="T49" s="59">
        <f t="shared" si="158"/>
        <v>12816.057672000001</v>
      </c>
      <c r="U49" s="57">
        <f t="shared" si="159"/>
        <v>3789.72</v>
      </c>
      <c r="V49" s="59">
        <f t="shared" si="160"/>
        <v>12528.056376</v>
      </c>
      <c r="W49" s="60">
        <f t="shared" si="161"/>
        <v>3702.6</v>
      </c>
      <c r="X49" s="59">
        <f t="shared" si="162"/>
        <v>12240.05508</v>
      </c>
      <c r="Y49" s="57">
        <f t="shared" si="163"/>
        <v>3615.48</v>
      </c>
      <c r="Z49" s="59">
        <f t="shared" si="164"/>
        <v>11952.053784</v>
      </c>
      <c r="AA49" s="55">
        <f t="shared" si="165"/>
        <v>3528.3599999999997</v>
      </c>
      <c r="AB49" s="59">
        <f t="shared" si="166"/>
        <v>11664.052487999999</v>
      </c>
      <c r="AC49" s="60">
        <f t="shared" si="167"/>
        <v>3441.24</v>
      </c>
      <c r="AD49" s="59">
        <f t="shared" si="168"/>
        <v>11376.051191999999</v>
      </c>
      <c r="AE49" s="60">
        <f t="shared" si="169"/>
        <v>3354.1199999999994</v>
      </c>
      <c r="AF49" s="59">
        <f t="shared" si="170"/>
        <v>11088.049895999999</v>
      </c>
      <c r="AG49" s="60">
        <f t="shared" si="171"/>
        <v>3266.9999999999995</v>
      </c>
      <c r="AH49" s="59">
        <f t="shared" si="172"/>
        <v>10800.048599999998</v>
      </c>
      <c r="AI49" s="55">
        <f t="shared" si="173"/>
        <v>3179.8799999999997</v>
      </c>
      <c r="AJ49" s="59">
        <f t="shared" si="174"/>
        <v>10512.047304</v>
      </c>
      <c r="AK49" s="60">
        <f t="shared" si="175"/>
        <v>3092.7599999999993</v>
      </c>
      <c r="AL49" s="59">
        <f t="shared" si="176"/>
        <v>10224.046007999998</v>
      </c>
      <c r="AM49" s="60">
        <f t="shared" si="177"/>
        <v>3005.6399999999994</v>
      </c>
      <c r="AN49" s="59">
        <f t="shared" si="178"/>
        <v>9936.044711999999</v>
      </c>
      <c r="AO49" s="60">
        <f t="shared" si="179"/>
        <v>2918.5199999999991</v>
      </c>
      <c r="AP49" s="59">
        <f t="shared" si="180"/>
        <v>9648.0434159999968</v>
      </c>
      <c r="AQ49" s="60">
        <f t="shared" si="181"/>
        <v>2831.3999999999992</v>
      </c>
      <c r="AR49" s="59">
        <f t="shared" si="182"/>
        <v>9360.0421199999982</v>
      </c>
      <c r="AS49" s="55">
        <f t="shared" si="183"/>
        <v>2744.2799999999988</v>
      </c>
      <c r="AT49" s="59">
        <f t="shared" si="184"/>
        <v>9072.0408239999961</v>
      </c>
      <c r="AU49" s="60">
        <f t="shared" si="185"/>
        <v>2657.1599999999989</v>
      </c>
      <c r="AV49" s="59">
        <f t="shared" si="186"/>
        <v>8784.0395279999975</v>
      </c>
      <c r="AW49" s="60">
        <f t="shared" si="187"/>
        <v>2570.0399999999991</v>
      </c>
      <c r="AX49" s="59">
        <f t="shared" si="188"/>
        <v>8496.0382319999972</v>
      </c>
      <c r="AY49" s="55">
        <f t="shared" si="189"/>
        <v>2482.9199999999987</v>
      </c>
      <c r="AZ49" s="59">
        <f t="shared" si="190"/>
        <v>8208.0369359999968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0"/>
        <v>0.91</v>
      </c>
      <c r="BH49" s="55">
        <f t="shared" si="280"/>
        <v>0.89</v>
      </c>
      <c r="BI49" s="55">
        <f t="shared" si="280"/>
        <v>0.87</v>
      </c>
      <c r="BJ49" s="55">
        <f t="shared" si="280"/>
        <v>0.85</v>
      </c>
      <c r="BK49" s="55">
        <f t="shared" si="280"/>
        <v>0.83</v>
      </c>
      <c r="BL49" s="55">
        <f t="shared" si="280"/>
        <v>0.80999999999999994</v>
      </c>
      <c r="BM49" s="55">
        <f t="shared" si="280"/>
        <v>0.78999999999999992</v>
      </c>
      <c r="BN49" s="55">
        <f t="shared" si="280"/>
        <v>0.76999999999999991</v>
      </c>
      <c r="BO49" s="55">
        <f t="shared" si="280"/>
        <v>0.74999999999999989</v>
      </c>
      <c r="BP49" s="55">
        <f t="shared" si="280"/>
        <v>0.72999999999999987</v>
      </c>
      <c r="BQ49" s="55">
        <f t="shared" si="280"/>
        <v>0.70999999999999985</v>
      </c>
      <c r="BR49" s="55">
        <f t="shared" si="280"/>
        <v>0.68999999999999984</v>
      </c>
      <c r="BS49" s="55">
        <f t="shared" si="280"/>
        <v>0.66999999999999982</v>
      </c>
      <c r="BT49" s="55">
        <f t="shared" si="280"/>
        <v>0.6499999999999998</v>
      </c>
      <c r="BU49" s="55">
        <f t="shared" si="280"/>
        <v>0.62999999999999978</v>
      </c>
      <c r="BV49" s="55">
        <f t="shared" si="280"/>
        <v>0.60999999999999976</v>
      </c>
      <c r="BW49" s="55">
        <f t="shared" si="280"/>
        <v>0.58999999999999975</v>
      </c>
      <c r="BX49" s="55">
        <f t="shared" si="280"/>
        <v>0.56999999999999973</v>
      </c>
      <c r="BZ49" s="55">
        <f t="shared" si="88"/>
        <v>3963.96</v>
      </c>
      <c r="CA49" s="55">
        <f t="shared" si="89"/>
        <v>3963.96</v>
      </c>
      <c r="CB49" s="59">
        <f t="shared" si="191"/>
        <v>13104.058968000001</v>
      </c>
      <c r="CC49" s="55">
        <f t="shared" si="192"/>
        <v>3845.0412000000001</v>
      </c>
      <c r="CD49" s="59">
        <f t="shared" si="193"/>
        <v>12710.93719896</v>
      </c>
      <c r="CE49" s="55">
        <f t="shared" si="194"/>
        <v>3765.7619999999997</v>
      </c>
      <c r="CF49" s="59">
        <f t="shared" si="195"/>
        <v>12448.8560196</v>
      </c>
      <c r="CG49" s="55">
        <f t="shared" si="196"/>
        <v>3686.4828000000002</v>
      </c>
      <c r="CH49" s="59">
        <f t="shared" si="197"/>
        <v>12186.774840240001</v>
      </c>
      <c r="CI49" s="57">
        <f t="shared" si="198"/>
        <v>3607.2036000000003</v>
      </c>
      <c r="CJ49" s="59">
        <f t="shared" si="199"/>
        <v>11924.693660880001</v>
      </c>
      <c r="CK49" s="55">
        <f t="shared" si="200"/>
        <v>3527.9243999999999</v>
      </c>
      <c r="CL49" s="59">
        <f t="shared" si="201"/>
        <v>11662.61248152</v>
      </c>
      <c r="CM49" s="57">
        <f t="shared" si="202"/>
        <v>3448.6451999999999</v>
      </c>
      <c r="CN49" s="59">
        <f t="shared" si="203"/>
        <v>11400.53130216</v>
      </c>
      <c r="CO49" s="60">
        <f t="shared" si="204"/>
        <v>3369.366</v>
      </c>
      <c r="CP49" s="59">
        <f t="shared" si="205"/>
        <v>11138.450122800001</v>
      </c>
      <c r="CQ49" s="57">
        <f t="shared" si="206"/>
        <v>3290.0868</v>
      </c>
      <c r="CR49" s="59">
        <f t="shared" si="207"/>
        <v>10876.36894344</v>
      </c>
      <c r="CS49" s="55">
        <f t="shared" si="208"/>
        <v>3210.8075999999996</v>
      </c>
      <c r="CT49" s="59">
        <f t="shared" si="209"/>
        <v>10614.28776408</v>
      </c>
      <c r="CU49" s="60">
        <f t="shared" si="210"/>
        <v>3131.5283999999997</v>
      </c>
      <c r="CV49" s="59">
        <f t="shared" si="211"/>
        <v>10352.206584719999</v>
      </c>
      <c r="CW49" s="60">
        <f t="shared" si="212"/>
        <v>3052.2491999999997</v>
      </c>
      <c r="CX49" s="59">
        <f t="shared" si="213"/>
        <v>10090.125405359999</v>
      </c>
      <c r="CY49" s="60">
        <f t="shared" si="214"/>
        <v>2972.97</v>
      </c>
      <c r="CZ49" s="59">
        <f t="shared" si="215"/>
        <v>9828.044226</v>
      </c>
      <c r="DA49" s="55">
        <f t="shared" si="216"/>
        <v>2893.6907999999994</v>
      </c>
      <c r="DB49" s="59">
        <f t="shared" si="217"/>
        <v>9565.9630466399976</v>
      </c>
      <c r="DC49" s="60">
        <f t="shared" si="218"/>
        <v>2814.4115999999995</v>
      </c>
      <c r="DD49" s="59">
        <f t="shared" si="219"/>
        <v>9303.8818672799989</v>
      </c>
      <c r="DE49" s="60">
        <f t="shared" si="220"/>
        <v>2735.1323999999995</v>
      </c>
      <c r="DF49" s="59">
        <f t="shared" si="221"/>
        <v>9041.8006879199984</v>
      </c>
      <c r="DG49" s="60">
        <f t="shared" si="222"/>
        <v>2655.8531999999991</v>
      </c>
      <c r="DH49" s="59">
        <f t="shared" si="223"/>
        <v>8779.7195085599978</v>
      </c>
      <c r="DI49" s="60">
        <f t="shared" si="224"/>
        <v>2576.5739999999992</v>
      </c>
      <c r="DJ49" s="59">
        <f t="shared" si="225"/>
        <v>8517.6383291999973</v>
      </c>
      <c r="DK49" s="55">
        <f t="shared" si="226"/>
        <v>2497.2947999999992</v>
      </c>
      <c r="DL49" s="59">
        <f t="shared" si="227"/>
        <v>8255.5571498399968</v>
      </c>
      <c r="DM49" s="60">
        <f t="shared" si="228"/>
        <v>2418.0155999999993</v>
      </c>
      <c r="DN49" s="59">
        <f t="shared" si="229"/>
        <v>7993.4759704799981</v>
      </c>
      <c r="DO49" s="60">
        <f t="shared" si="230"/>
        <v>2338.7363999999989</v>
      </c>
      <c r="DP49" s="59">
        <f t="shared" si="231"/>
        <v>7731.3947911199966</v>
      </c>
      <c r="DQ49" s="55">
        <f t="shared" si="232"/>
        <v>2259.4571999999989</v>
      </c>
      <c r="DR49" s="59">
        <f t="shared" si="233"/>
        <v>7469.313611759997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3">+DX49-0.02</f>
        <v>0.91</v>
      </c>
      <c r="DZ49" s="55">
        <f t="shared" si="283"/>
        <v>0.89</v>
      </c>
      <c r="EA49" s="55">
        <f t="shared" si="283"/>
        <v>0.87</v>
      </c>
      <c r="EB49" s="55">
        <f t="shared" si="283"/>
        <v>0.85</v>
      </c>
      <c r="EC49" s="55">
        <f t="shared" si="283"/>
        <v>0.83</v>
      </c>
      <c r="ED49" s="55">
        <f t="shared" si="283"/>
        <v>0.80999999999999994</v>
      </c>
      <c r="EE49" s="55">
        <f t="shared" si="283"/>
        <v>0.78999999999999992</v>
      </c>
      <c r="EF49" s="55">
        <f t="shared" si="283"/>
        <v>0.76999999999999991</v>
      </c>
      <c r="EG49" s="55">
        <f t="shared" si="283"/>
        <v>0.74999999999999989</v>
      </c>
      <c r="EH49" s="55">
        <f t="shared" si="283"/>
        <v>0.72999999999999987</v>
      </c>
      <c r="EI49" s="55">
        <f t="shared" si="283"/>
        <v>0.70999999999999985</v>
      </c>
      <c r="EJ49" s="55">
        <f t="shared" si="283"/>
        <v>0.68999999999999984</v>
      </c>
      <c r="EK49" s="55">
        <f t="shared" si="283"/>
        <v>0.66999999999999982</v>
      </c>
      <c r="EL49" s="55">
        <f t="shared" si="283"/>
        <v>0.6499999999999998</v>
      </c>
      <c r="EM49" s="55">
        <f t="shared" si="283"/>
        <v>0.62999999999999978</v>
      </c>
      <c r="EN49" s="55">
        <f t="shared" si="283"/>
        <v>0.60999999999999976</v>
      </c>
      <c r="EO49" s="55">
        <f t="shared" si="283"/>
        <v>0.58999999999999975</v>
      </c>
      <c r="EP49" s="55">
        <f t="shared" si="283"/>
        <v>0.56999999999999973</v>
      </c>
      <c r="ER49" s="55">
        <f t="shared" si="142"/>
        <v>3607.2036000000003</v>
      </c>
      <c r="ES49" s="55">
        <f t="shared" si="116"/>
        <v>3607.2036000000003</v>
      </c>
      <c r="ET49" s="59">
        <f t="shared" si="235"/>
        <v>11924.693660880001</v>
      </c>
      <c r="EU49" s="55">
        <f t="shared" si="236"/>
        <v>3498.9874920000002</v>
      </c>
      <c r="EV49" s="59">
        <f t="shared" si="237"/>
        <v>11566.9528510536</v>
      </c>
      <c r="EW49" s="55">
        <f t="shared" si="238"/>
        <v>3426.8434200000002</v>
      </c>
      <c r="EX49" s="59">
        <f t="shared" si="239"/>
        <v>11328.458977836</v>
      </c>
      <c r="EY49" s="55">
        <f t="shared" si="240"/>
        <v>3354.6993480000006</v>
      </c>
      <c r="EZ49" s="59">
        <f t="shared" si="241"/>
        <v>11089.965104618403</v>
      </c>
      <c r="FA49" s="57">
        <f t="shared" si="242"/>
        <v>3282.5552760000005</v>
      </c>
      <c r="FB49" s="59">
        <f t="shared" si="243"/>
        <v>10851.471231400801</v>
      </c>
      <c r="FC49" s="55">
        <f t="shared" si="244"/>
        <v>3210.4112040000005</v>
      </c>
      <c r="FD49" s="59">
        <f t="shared" si="245"/>
        <v>10612.977358183201</v>
      </c>
      <c r="FE49" s="57">
        <f t="shared" si="246"/>
        <v>3138.2671320000004</v>
      </c>
      <c r="FF49" s="59">
        <f t="shared" si="247"/>
        <v>10374.483484965602</v>
      </c>
      <c r="FG49" s="60">
        <f t="shared" si="248"/>
        <v>3066.1230600000004</v>
      </c>
      <c r="FH49" s="59">
        <f t="shared" si="249"/>
        <v>10135.989611748002</v>
      </c>
      <c r="FI49" s="57">
        <f t="shared" si="250"/>
        <v>2993.9789880000003</v>
      </c>
      <c r="FJ49" s="59">
        <f t="shared" si="251"/>
        <v>9897.4957385304006</v>
      </c>
      <c r="FK49" s="55">
        <f t="shared" si="252"/>
        <v>2921.8349159999998</v>
      </c>
      <c r="FL49" s="59">
        <f t="shared" si="253"/>
        <v>9659.0018653127991</v>
      </c>
      <c r="FM49" s="60">
        <f t="shared" si="254"/>
        <v>2849.6908439999997</v>
      </c>
      <c r="FN49" s="59">
        <f t="shared" si="255"/>
        <v>9420.5079920951994</v>
      </c>
      <c r="FO49" s="60">
        <f t="shared" si="256"/>
        <v>2777.5467719999997</v>
      </c>
      <c r="FP49" s="59">
        <f t="shared" si="257"/>
        <v>9182.0141188775997</v>
      </c>
      <c r="FQ49" s="60">
        <f t="shared" si="258"/>
        <v>2705.4026999999996</v>
      </c>
      <c r="FR49" s="59">
        <f t="shared" si="259"/>
        <v>8943.5202456599982</v>
      </c>
      <c r="FS49" s="55">
        <f t="shared" si="260"/>
        <v>2633.2586279999996</v>
      </c>
      <c r="FT49" s="59">
        <f t="shared" si="261"/>
        <v>8705.0263724423985</v>
      </c>
      <c r="FU49" s="60">
        <f t="shared" si="262"/>
        <v>2561.1145559999995</v>
      </c>
      <c r="FV49" s="59">
        <f t="shared" si="263"/>
        <v>8466.5324992247988</v>
      </c>
      <c r="FW49" s="60">
        <f t="shared" si="264"/>
        <v>2488.9704839999995</v>
      </c>
      <c r="FX49" s="59">
        <f t="shared" si="265"/>
        <v>8228.0386260071991</v>
      </c>
      <c r="FY49" s="60">
        <f t="shared" si="266"/>
        <v>2416.8264119999994</v>
      </c>
      <c r="FZ49" s="59">
        <f t="shared" si="267"/>
        <v>7989.5447527895985</v>
      </c>
      <c r="GA49" s="60">
        <f t="shared" si="268"/>
        <v>2344.6823399999994</v>
      </c>
      <c r="GB49" s="59">
        <f t="shared" si="269"/>
        <v>7751.0508795719979</v>
      </c>
      <c r="GC49" s="55">
        <f t="shared" si="270"/>
        <v>2272.5382679999993</v>
      </c>
      <c r="GD49" s="59">
        <f t="shared" si="271"/>
        <v>7512.5570063543983</v>
      </c>
      <c r="GE49" s="60">
        <f t="shared" si="272"/>
        <v>2200.3941959999993</v>
      </c>
      <c r="GF49" s="59">
        <f t="shared" si="273"/>
        <v>7274.0631331367977</v>
      </c>
      <c r="GG49" s="60">
        <f t="shared" si="274"/>
        <v>2128.2501239999992</v>
      </c>
      <c r="GH49" s="59">
        <f t="shared" si="275"/>
        <v>7035.569259919198</v>
      </c>
      <c r="GI49" s="55">
        <f t="shared" si="276"/>
        <v>2056.1060519999992</v>
      </c>
      <c r="GJ49" s="59">
        <f t="shared" si="277"/>
        <v>6797.0753867015974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84">+GP49-0.02</f>
        <v>0.91</v>
      </c>
      <c r="GR49" s="55">
        <f t="shared" si="284"/>
        <v>0.89</v>
      </c>
      <c r="GS49" s="55">
        <f t="shared" si="284"/>
        <v>0.87</v>
      </c>
      <c r="GT49" s="55">
        <f t="shared" si="284"/>
        <v>0.85</v>
      </c>
      <c r="GU49" s="55">
        <f t="shared" si="284"/>
        <v>0.83</v>
      </c>
      <c r="GV49" s="55">
        <f t="shared" si="284"/>
        <v>0.80999999999999994</v>
      </c>
      <c r="GW49" s="55">
        <f t="shared" si="284"/>
        <v>0.78999999999999992</v>
      </c>
      <c r="GX49" s="55">
        <f t="shared" si="284"/>
        <v>0.76999999999999991</v>
      </c>
      <c r="GY49" s="55">
        <f t="shared" si="284"/>
        <v>0.74999999999999989</v>
      </c>
      <c r="GZ49" s="55">
        <f t="shared" si="284"/>
        <v>0.72999999999999987</v>
      </c>
      <c r="HA49" s="55">
        <f t="shared" si="284"/>
        <v>0.70999999999999985</v>
      </c>
      <c r="HB49" s="55">
        <f t="shared" si="284"/>
        <v>0.68999999999999984</v>
      </c>
      <c r="HC49" s="55">
        <f t="shared" si="284"/>
        <v>0.66999999999999982</v>
      </c>
      <c r="HD49" s="55">
        <f t="shared" si="284"/>
        <v>0.6499999999999998</v>
      </c>
      <c r="HE49" s="55">
        <f t="shared" si="284"/>
        <v>0.62999999999999978</v>
      </c>
      <c r="HF49" s="55">
        <f t="shared" si="284"/>
        <v>0.60999999999999976</v>
      </c>
      <c r="HG49" s="55">
        <f t="shared" si="284"/>
        <v>0.58999999999999975</v>
      </c>
      <c r="HH49" s="55">
        <f t="shared" si="284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71">
        <f t="shared" si="148"/>
        <v>0</v>
      </c>
      <c r="H50" s="55">
        <f t="shared" si="61"/>
        <v>0</v>
      </c>
      <c r="I50" s="55">
        <f t="shared" si="62"/>
        <v>0</v>
      </c>
      <c r="J50" s="59">
        <f t="shared" si="63"/>
        <v>0</v>
      </c>
      <c r="K50" s="55">
        <f t="shared" si="149"/>
        <v>0</v>
      </c>
      <c r="L50" s="59">
        <f t="shared" si="150"/>
        <v>0</v>
      </c>
      <c r="M50" s="55">
        <f t="shared" si="151"/>
        <v>0</v>
      </c>
      <c r="N50" s="59">
        <f t="shared" si="152"/>
        <v>0</v>
      </c>
      <c r="O50" s="55">
        <f t="shared" si="153"/>
        <v>0</v>
      </c>
      <c r="P50" s="59">
        <f t="shared" si="154"/>
        <v>0</v>
      </c>
      <c r="Q50" s="57">
        <f t="shared" si="155"/>
        <v>0</v>
      </c>
      <c r="R50" s="59">
        <f t="shared" si="156"/>
        <v>0</v>
      </c>
      <c r="S50" s="55">
        <f t="shared" si="157"/>
        <v>0</v>
      </c>
      <c r="T50" s="59">
        <f t="shared" si="158"/>
        <v>0</v>
      </c>
      <c r="U50" s="57">
        <f t="shared" si="159"/>
        <v>0</v>
      </c>
      <c r="V50" s="59">
        <f t="shared" si="160"/>
        <v>0</v>
      </c>
      <c r="W50" s="60">
        <f t="shared" si="161"/>
        <v>0</v>
      </c>
      <c r="X50" s="59">
        <f t="shared" si="162"/>
        <v>0</v>
      </c>
      <c r="Y50" s="57">
        <f t="shared" si="163"/>
        <v>0</v>
      </c>
      <c r="Z50" s="59">
        <f t="shared" si="164"/>
        <v>0</v>
      </c>
      <c r="AA50" s="55">
        <f t="shared" si="165"/>
        <v>0</v>
      </c>
      <c r="AB50" s="59">
        <f t="shared" si="166"/>
        <v>0</v>
      </c>
      <c r="AC50" s="60">
        <f t="shared" si="167"/>
        <v>0</v>
      </c>
      <c r="AD50" s="59">
        <f t="shared" si="168"/>
        <v>0</v>
      </c>
      <c r="AE50" s="60">
        <f t="shared" si="169"/>
        <v>0</v>
      </c>
      <c r="AF50" s="59">
        <f t="shared" si="170"/>
        <v>0</v>
      </c>
      <c r="AG50" s="60">
        <f t="shared" si="171"/>
        <v>0</v>
      </c>
      <c r="AH50" s="59">
        <f t="shared" si="172"/>
        <v>0</v>
      </c>
      <c r="AI50" s="55">
        <f t="shared" si="173"/>
        <v>0</v>
      </c>
      <c r="AJ50" s="59">
        <f t="shared" si="174"/>
        <v>0</v>
      </c>
      <c r="AK50" s="60">
        <f t="shared" si="175"/>
        <v>0</v>
      </c>
      <c r="AL50" s="59">
        <f t="shared" si="176"/>
        <v>0</v>
      </c>
      <c r="AM50" s="60">
        <f t="shared" si="177"/>
        <v>0</v>
      </c>
      <c r="AN50" s="59">
        <f t="shared" si="178"/>
        <v>0</v>
      </c>
      <c r="AO50" s="60">
        <f t="shared" si="179"/>
        <v>0</v>
      </c>
      <c r="AP50" s="59">
        <f t="shared" si="180"/>
        <v>0</v>
      </c>
      <c r="AQ50" s="60">
        <f t="shared" si="181"/>
        <v>0</v>
      </c>
      <c r="AR50" s="59">
        <f t="shared" si="182"/>
        <v>0</v>
      </c>
      <c r="AS50" s="55">
        <f t="shared" si="183"/>
        <v>0</v>
      </c>
      <c r="AT50" s="59">
        <f t="shared" si="184"/>
        <v>0</v>
      </c>
      <c r="AU50" s="60">
        <f t="shared" si="185"/>
        <v>0</v>
      </c>
      <c r="AV50" s="59">
        <f t="shared" si="186"/>
        <v>0</v>
      </c>
      <c r="AW50" s="60">
        <f t="shared" si="187"/>
        <v>0</v>
      </c>
      <c r="AX50" s="59">
        <f t="shared" si="188"/>
        <v>0</v>
      </c>
      <c r="AY50" s="55">
        <f t="shared" si="189"/>
        <v>0</v>
      </c>
      <c r="AZ50" s="59">
        <f t="shared" si="190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0"/>
        <v>0.91</v>
      </c>
      <c r="BH50" s="55">
        <f t="shared" si="280"/>
        <v>0.89</v>
      </c>
      <c r="BI50" s="55">
        <f t="shared" si="280"/>
        <v>0.87</v>
      </c>
      <c r="BJ50" s="55">
        <f t="shared" si="280"/>
        <v>0.85</v>
      </c>
      <c r="BK50" s="55">
        <f t="shared" si="280"/>
        <v>0.83</v>
      </c>
      <c r="BL50" s="55">
        <f t="shared" si="280"/>
        <v>0.80999999999999994</v>
      </c>
      <c r="BM50" s="55">
        <f t="shared" si="280"/>
        <v>0.78999999999999992</v>
      </c>
      <c r="BN50" s="55">
        <f t="shared" si="280"/>
        <v>0.76999999999999991</v>
      </c>
      <c r="BO50" s="55">
        <f t="shared" si="280"/>
        <v>0.74999999999999989</v>
      </c>
      <c r="BP50" s="55">
        <f t="shared" si="280"/>
        <v>0.72999999999999987</v>
      </c>
      <c r="BQ50" s="55">
        <f t="shared" si="280"/>
        <v>0.70999999999999985</v>
      </c>
      <c r="BR50" s="55">
        <f t="shared" si="280"/>
        <v>0.68999999999999984</v>
      </c>
      <c r="BS50" s="55">
        <f t="shared" si="280"/>
        <v>0.66999999999999982</v>
      </c>
      <c r="BT50" s="55">
        <f t="shared" si="280"/>
        <v>0.6499999999999998</v>
      </c>
      <c r="BU50" s="55">
        <f t="shared" si="280"/>
        <v>0.62999999999999978</v>
      </c>
      <c r="BV50" s="55">
        <f t="shared" si="280"/>
        <v>0.60999999999999976</v>
      </c>
      <c r="BW50" s="55">
        <f t="shared" si="280"/>
        <v>0.58999999999999975</v>
      </c>
      <c r="BX50" s="55">
        <f t="shared" si="280"/>
        <v>0.56999999999999973</v>
      </c>
      <c r="BZ50" s="55">
        <f t="shared" si="88"/>
        <v>0</v>
      </c>
      <c r="CA50" s="55">
        <f t="shared" si="89"/>
        <v>0</v>
      </c>
      <c r="CB50" s="59">
        <f t="shared" si="191"/>
        <v>0</v>
      </c>
      <c r="CC50" s="55">
        <f t="shared" si="192"/>
        <v>0</v>
      </c>
      <c r="CD50" s="59">
        <f t="shared" si="193"/>
        <v>0</v>
      </c>
      <c r="CE50" s="55">
        <f t="shared" si="194"/>
        <v>0</v>
      </c>
      <c r="CF50" s="59">
        <f t="shared" si="195"/>
        <v>0</v>
      </c>
      <c r="CG50" s="55">
        <f t="shared" si="196"/>
        <v>0</v>
      </c>
      <c r="CH50" s="59">
        <f t="shared" si="197"/>
        <v>0</v>
      </c>
      <c r="CI50" s="57">
        <f t="shared" si="198"/>
        <v>0</v>
      </c>
      <c r="CJ50" s="59">
        <f t="shared" si="199"/>
        <v>0</v>
      </c>
      <c r="CK50" s="55">
        <f t="shared" si="200"/>
        <v>0</v>
      </c>
      <c r="CL50" s="59">
        <f t="shared" si="201"/>
        <v>0</v>
      </c>
      <c r="CM50" s="57">
        <f t="shared" si="202"/>
        <v>0</v>
      </c>
      <c r="CN50" s="59">
        <f t="shared" si="203"/>
        <v>0</v>
      </c>
      <c r="CO50" s="60">
        <f t="shared" si="204"/>
        <v>0</v>
      </c>
      <c r="CP50" s="59">
        <f t="shared" si="205"/>
        <v>0</v>
      </c>
      <c r="CQ50" s="57">
        <f t="shared" si="206"/>
        <v>0</v>
      </c>
      <c r="CR50" s="59">
        <f t="shared" si="207"/>
        <v>0</v>
      </c>
      <c r="CS50" s="55">
        <f t="shared" si="208"/>
        <v>0</v>
      </c>
      <c r="CT50" s="59">
        <f t="shared" si="209"/>
        <v>0</v>
      </c>
      <c r="CU50" s="60">
        <f t="shared" si="210"/>
        <v>0</v>
      </c>
      <c r="CV50" s="59">
        <f t="shared" si="211"/>
        <v>0</v>
      </c>
      <c r="CW50" s="60">
        <f t="shared" si="212"/>
        <v>0</v>
      </c>
      <c r="CX50" s="59">
        <f t="shared" si="213"/>
        <v>0</v>
      </c>
      <c r="CY50" s="60">
        <f t="shared" si="214"/>
        <v>0</v>
      </c>
      <c r="CZ50" s="59">
        <f t="shared" si="215"/>
        <v>0</v>
      </c>
      <c r="DA50" s="55">
        <f t="shared" si="216"/>
        <v>0</v>
      </c>
      <c r="DB50" s="59">
        <f t="shared" si="217"/>
        <v>0</v>
      </c>
      <c r="DC50" s="60">
        <f t="shared" si="218"/>
        <v>0</v>
      </c>
      <c r="DD50" s="59">
        <f t="shared" si="219"/>
        <v>0</v>
      </c>
      <c r="DE50" s="60">
        <f t="shared" si="220"/>
        <v>0</v>
      </c>
      <c r="DF50" s="59">
        <f t="shared" si="221"/>
        <v>0</v>
      </c>
      <c r="DG50" s="60">
        <f t="shared" si="222"/>
        <v>0</v>
      </c>
      <c r="DH50" s="59">
        <f t="shared" si="223"/>
        <v>0</v>
      </c>
      <c r="DI50" s="60">
        <f t="shared" si="224"/>
        <v>0</v>
      </c>
      <c r="DJ50" s="59">
        <f t="shared" si="225"/>
        <v>0</v>
      </c>
      <c r="DK50" s="55">
        <f t="shared" si="226"/>
        <v>0</v>
      </c>
      <c r="DL50" s="59">
        <f t="shared" si="227"/>
        <v>0</v>
      </c>
      <c r="DM50" s="60">
        <f t="shared" si="228"/>
        <v>0</v>
      </c>
      <c r="DN50" s="59">
        <f t="shared" si="229"/>
        <v>0</v>
      </c>
      <c r="DO50" s="60">
        <f t="shared" si="230"/>
        <v>0</v>
      </c>
      <c r="DP50" s="59">
        <f t="shared" si="231"/>
        <v>0</v>
      </c>
      <c r="DQ50" s="55">
        <f t="shared" si="232"/>
        <v>0</v>
      </c>
      <c r="DR50" s="59">
        <f t="shared" si="233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3"/>
        <v>0.91</v>
      </c>
      <c r="DZ50" s="55">
        <f t="shared" si="283"/>
        <v>0.89</v>
      </c>
      <c r="EA50" s="55">
        <f t="shared" si="283"/>
        <v>0.87</v>
      </c>
      <c r="EB50" s="55">
        <f t="shared" si="283"/>
        <v>0.85</v>
      </c>
      <c r="EC50" s="55">
        <f t="shared" si="283"/>
        <v>0.83</v>
      </c>
      <c r="ED50" s="55">
        <f t="shared" si="283"/>
        <v>0.80999999999999994</v>
      </c>
      <c r="EE50" s="55">
        <f t="shared" si="283"/>
        <v>0.78999999999999992</v>
      </c>
      <c r="EF50" s="55">
        <f t="shared" si="283"/>
        <v>0.76999999999999991</v>
      </c>
      <c r="EG50" s="55">
        <f t="shared" si="283"/>
        <v>0.74999999999999989</v>
      </c>
      <c r="EH50" s="55">
        <f t="shared" si="283"/>
        <v>0.72999999999999987</v>
      </c>
      <c r="EI50" s="55">
        <f t="shared" si="283"/>
        <v>0.70999999999999985</v>
      </c>
      <c r="EJ50" s="55">
        <f t="shared" si="283"/>
        <v>0.68999999999999984</v>
      </c>
      <c r="EK50" s="55">
        <f t="shared" si="283"/>
        <v>0.66999999999999982</v>
      </c>
      <c r="EL50" s="55">
        <f t="shared" si="283"/>
        <v>0.6499999999999998</v>
      </c>
      <c r="EM50" s="55">
        <f t="shared" si="283"/>
        <v>0.62999999999999978</v>
      </c>
      <c r="EN50" s="55">
        <f t="shared" si="283"/>
        <v>0.60999999999999976</v>
      </c>
      <c r="EO50" s="55">
        <f t="shared" si="283"/>
        <v>0.58999999999999975</v>
      </c>
      <c r="EP50" s="55">
        <f t="shared" si="283"/>
        <v>0.56999999999999973</v>
      </c>
      <c r="ER50" s="55">
        <f t="shared" si="142"/>
        <v>0</v>
      </c>
      <c r="ES50" s="55">
        <f t="shared" si="116"/>
        <v>0</v>
      </c>
      <c r="ET50" s="59">
        <f t="shared" si="235"/>
        <v>0</v>
      </c>
      <c r="EU50" s="55">
        <f t="shared" si="236"/>
        <v>0</v>
      </c>
      <c r="EV50" s="59">
        <f t="shared" si="237"/>
        <v>0</v>
      </c>
      <c r="EW50" s="55">
        <f t="shared" si="238"/>
        <v>0</v>
      </c>
      <c r="EX50" s="59">
        <f t="shared" si="239"/>
        <v>0</v>
      </c>
      <c r="EY50" s="55">
        <f t="shared" si="240"/>
        <v>0</v>
      </c>
      <c r="EZ50" s="59">
        <f t="shared" si="241"/>
        <v>0</v>
      </c>
      <c r="FA50" s="57">
        <f t="shared" si="242"/>
        <v>0</v>
      </c>
      <c r="FB50" s="59">
        <f t="shared" si="243"/>
        <v>0</v>
      </c>
      <c r="FC50" s="55">
        <f t="shared" si="244"/>
        <v>0</v>
      </c>
      <c r="FD50" s="59">
        <f t="shared" si="245"/>
        <v>0</v>
      </c>
      <c r="FE50" s="57">
        <f t="shared" si="246"/>
        <v>0</v>
      </c>
      <c r="FF50" s="59">
        <f t="shared" si="247"/>
        <v>0</v>
      </c>
      <c r="FG50" s="60">
        <f t="shared" si="248"/>
        <v>0</v>
      </c>
      <c r="FH50" s="59">
        <f t="shared" si="249"/>
        <v>0</v>
      </c>
      <c r="FI50" s="57">
        <f t="shared" si="250"/>
        <v>0</v>
      </c>
      <c r="FJ50" s="59">
        <f t="shared" si="251"/>
        <v>0</v>
      </c>
      <c r="FK50" s="55">
        <f t="shared" si="252"/>
        <v>0</v>
      </c>
      <c r="FL50" s="59">
        <f t="shared" si="253"/>
        <v>0</v>
      </c>
      <c r="FM50" s="60">
        <f t="shared" si="254"/>
        <v>0</v>
      </c>
      <c r="FN50" s="59">
        <f t="shared" si="255"/>
        <v>0</v>
      </c>
      <c r="FO50" s="60">
        <f t="shared" si="256"/>
        <v>0</v>
      </c>
      <c r="FP50" s="59">
        <f t="shared" si="257"/>
        <v>0</v>
      </c>
      <c r="FQ50" s="60">
        <f t="shared" si="258"/>
        <v>0</v>
      </c>
      <c r="FR50" s="59">
        <f t="shared" si="259"/>
        <v>0</v>
      </c>
      <c r="FS50" s="55">
        <f t="shared" si="260"/>
        <v>0</v>
      </c>
      <c r="FT50" s="59">
        <f t="shared" si="261"/>
        <v>0</v>
      </c>
      <c r="FU50" s="60">
        <f t="shared" si="262"/>
        <v>0</v>
      </c>
      <c r="FV50" s="59">
        <f t="shared" si="263"/>
        <v>0</v>
      </c>
      <c r="FW50" s="60">
        <f t="shared" si="264"/>
        <v>0</v>
      </c>
      <c r="FX50" s="59">
        <f t="shared" si="265"/>
        <v>0</v>
      </c>
      <c r="FY50" s="60">
        <f t="shared" si="266"/>
        <v>0</v>
      </c>
      <c r="FZ50" s="59">
        <f t="shared" si="267"/>
        <v>0</v>
      </c>
      <c r="GA50" s="60">
        <f t="shared" si="268"/>
        <v>0</v>
      </c>
      <c r="GB50" s="59">
        <f t="shared" si="269"/>
        <v>0</v>
      </c>
      <c r="GC50" s="55">
        <f t="shared" si="270"/>
        <v>0</v>
      </c>
      <c r="GD50" s="59">
        <f t="shared" si="271"/>
        <v>0</v>
      </c>
      <c r="GE50" s="60">
        <f t="shared" si="272"/>
        <v>0</v>
      </c>
      <c r="GF50" s="59">
        <f t="shared" si="273"/>
        <v>0</v>
      </c>
      <c r="GG50" s="60">
        <f t="shared" si="274"/>
        <v>0</v>
      </c>
      <c r="GH50" s="59">
        <f t="shared" si="275"/>
        <v>0</v>
      </c>
      <c r="GI50" s="55">
        <f t="shared" si="276"/>
        <v>0</v>
      </c>
      <c r="GJ50" s="59">
        <f t="shared" si="277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4"/>
        <v>0.91</v>
      </c>
      <c r="GR50" s="55">
        <f t="shared" si="284"/>
        <v>0.89</v>
      </c>
      <c r="GS50" s="55">
        <f t="shared" si="284"/>
        <v>0.87</v>
      </c>
      <c r="GT50" s="55">
        <f t="shared" si="284"/>
        <v>0.85</v>
      </c>
      <c r="GU50" s="55">
        <f t="shared" si="284"/>
        <v>0.83</v>
      </c>
      <c r="GV50" s="55">
        <f t="shared" si="284"/>
        <v>0.80999999999999994</v>
      </c>
      <c r="GW50" s="55">
        <f t="shared" si="284"/>
        <v>0.78999999999999992</v>
      </c>
      <c r="GX50" s="55">
        <f t="shared" si="284"/>
        <v>0.76999999999999991</v>
      </c>
      <c r="GY50" s="55">
        <f t="shared" si="284"/>
        <v>0.74999999999999989</v>
      </c>
      <c r="GZ50" s="55">
        <f t="shared" si="284"/>
        <v>0.72999999999999987</v>
      </c>
      <c r="HA50" s="55">
        <f t="shared" si="284"/>
        <v>0.70999999999999985</v>
      </c>
      <c r="HB50" s="55">
        <f t="shared" si="284"/>
        <v>0.68999999999999984</v>
      </c>
      <c r="HC50" s="55">
        <f t="shared" si="284"/>
        <v>0.66999999999999982</v>
      </c>
      <c r="HD50" s="55">
        <f t="shared" si="284"/>
        <v>0.6499999999999998</v>
      </c>
      <c r="HE50" s="55">
        <f t="shared" si="284"/>
        <v>0.62999999999999978</v>
      </c>
      <c r="HF50" s="55">
        <f t="shared" si="284"/>
        <v>0.60999999999999976</v>
      </c>
      <c r="HG50" s="55">
        <f t="shared" si="284"/>
        <v>0.58999999999999975</v>
      </c>
      <c r="HH50" s="55">
        <f t="shared" si="284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71">
        <f t="shared" si="148"/>
        <v>0</v>
      </c>
      <c r="H51" s="55">
        <f t="shared" si="61"/>
        <v>0</v>
      </c>
      <c r="I51" s="55">
        <f t="shared" si="62"/>
        <v>0</v>
      </c>
      <c r="J51" s="59">
        <f t="shared" si="63"/>
        <v>0</v>
      </c>
      <c r="K51" s="55">
        <f t="shared" si="149"/>
        <v>0</v>
      </c>
      <c r="L51" s="59">
        <f t="shared" si="150"/>
        <v>0</v>
      </c>
      <c r="M51" s="55">
        <f t="shared" si="151"/>
        <v>0</v>
      </c>
      <c r="N51" s="59">
        <f t="shared" si="152"/>
        <v>0</v>
      </c>
      <c r="O51" s="55">
        <f t="shared" si="153"/>
        <v>0</v>
      </c>
      <c r="P51" s="59">
        <f t="shared" si="154"/>
        <v>0</v>
      </c>
      <c r="Q51" s="57">
        <f t="shared" si="155"/>
        <v>0</v>
      </c>
      <c r="R51" s="59">
        <f t="shared" si="156"/>
        <v>0</v>
      </c>
      <c r="S51" s="55">
        <f t="shared" si="157"/>
        <v>0</v>
      </c>
      <c r="T51" s="59">
        <f t="shared" si="158"/>
        <v>0</v>
      </c>
      <c r="U51" s="57">
        <f t="shared" si="159"/>
        <v>0</v>
      </c>
      <c r="V51" s="59">
        <f t="shared" si="160"/>
        <v>0</v>
      </c>
      <c r="W51" s="60">
        <f t="shared" si="161"/>
        <v>0</v>
      </c>
      <c r="X51" s="59">
        <f t="shared" si="162"/>
        <v>0</v>
      </c>
      <c r="Y51" s="57">
        <f t="shared" si="163"/>
        <v>0</v>
      </c>
      <c r="Z51" s="59">
        <f t="shared" si="164"/>
        <v>0</v>
      </c>
      <c r="AA51" s="55">
        <f t="shared" si="165"/>
        <v>0</v>
      </c>
      <c r="AB51" s="59">
        <f t="shared" si="166"/>
        <v>0</v>
      </c>
      <c r="AC51" s="60">
        <f t="shared" si="167"/>
        <v>0</v>
      </c>
      <c r="AD51" s="59">
        <f t="shared" si="168"/>
        <v>0</v>
      </c>
      <c r="AE51" s="60">
        <f t="shared" si="169"/>
        <v>0</v>
      </c>
      <c r="AF51" s="59">
        <f t="shared" si="170"/>
        <v>0</v>
      </c>
      <c r="AG51" s="60">
        <f t="shared" si="171"/>
        <v>0</v>
      </c>
      <c r="AH51" s="59">
        <f t="shared" si="172"/>
        <v>0</v>
      </c>
      <c r="AI51" s="55">
        <f t="shared" si="173"/>
        <v>0</v>
      </c>
      <c r="AJ51" s="59">
        <f t="shared" si="174"/>
        <v>0</v>
      </c>
      <c r="AK51" s="60">
        <f t="shared" si="175"/>
        <v>0</v>
      </c>
      <c r="AL51" s="59">
        <f t="shared" si="176"/>
        <v>0</v>
      </c>
      <c r="AM51" s="60">
        <f t="shared" si="177"/>
        <v>0</v>
      </c>
      <c r="AN51" s="59">
        <f t="shared" si="178"/>
        <v>0</v>
      </c>
      <c r="AO51" s="60">
        <f t="shared" si="179"/>
        <v>0</v>
      </c>
      <c r="AP51" s="59">
        <f t="shared" si="180"/>
        <v>0</v>
      </c>
      <c r="AQ51" s="60">
        <f t="shared" si="181"/>
        <v>0</v>
      </c>
      <c r="AR51" s="59">
        <f t="shared" si="182"/>
        <v>0</v>
      </c>
      <c r="AS51" s="55">
        <f t="shared" si="183"/>
        <v>0</v>
      </c>
      <c r="AT51" s="59">
        <f t="shared" si="184"/>
        <v>0</v>
      </c>
      <c r="AU51" s="60">
        <f t="shared" si="185"/>
        <v>0</v>
      </c>
      <c r="AV51" s="59">
        <f t="shared" si="186"/>
        <v>0</v>
      </c>
      <c r="AW51" s="60">
        <f t="shared" si="187"/>
        <v>0</v>
      </c>
      <c r="AX51" s="59">
        <f t="shared" si="188"/>
        <v>0</v>
      </c>
      <c r="AY51" s="55">
        <f t="shared" si="189"/>
        <v>0</v>
      </c>
      <c r="AZ51" s="59">
        <f t="shared" si="190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0"/>
        <v>0.91</v>
      </c>
      <c r="BH51" s="55">
        <f t="shared" si="280"/>
        <v>0.89</v>
      </c>
      <c r="BI51" s="55">
        <f t="shared" si="280"/>
        <v>0.87</v>
      </c>
      <c r="BJ51" s="55">
        <f t="shared" si="280"/>
        <v>0.85</v>
      </c>
      <c r="BK51" s="55">
        <f t="shared" si="280"/>
        <v>0.83</v>
      </c>
      <c r="BL51" s="55">
        <f t="shared" si="280"/>
        <v>0.80999999999999994</v>
      </c>
      <c r="BM51" s="55">
        <f t="shared" si="280"/>
        <v>0.78999999999999992</v>
      </c>
      <c r="BN51" s="55">
        <f t="shared" si="280"/>
        <v>0.76999999999999991</v>
      </c>
      <c r="BO51" s="55">
        <f t="shared" si="280"/>
        <v>0.74999999999999989</v>
      </c>
      <c r="BP51" s="55">
        <f t="shared" si="280"/>
        <v>0.72999999999999987</v>
      </c>
      <c r="BQ51" s="55">
        <f t="shared" si="280"/>
        <v>0.70999999999999985</v>
      </c>
      <c r="BR51" s="55">
        <f t="shared" si="280"/>
        <v>0.68999999999999984</v>
      </c>
      <c r="BS51" s="55">
        <f t="shared" si="280"/>
        <v>0.66999999999999982</v>
      </c>
      <c r="BT51" s="55">
        <f t="shared" si="280"/>
        <v>0.6499999999999998</v>
      </c>
      <c r="BU51" s="55">
        <f t="shared" si="280"/>
        <v>0.62999999999999978</v>
      </c>
      <c r="BV51" s="55">
        <f t="shared" si="280"/>
        <v>0.60999999999999976</v>
      </c>
      <c r="BW51" s="55">
        <f t="shared" si="280"/>
        <v>0.58999999999999975</v>
      </c>
      <c r="BX51" s="55">
        <f t="shared" si="280"/>
        <v>0.56999999999999973</v>
      </c>
      <c r="BZ51" s="55">
        <f t="shared" si="88"/>
        <v>0</v>
      </c>
      <c r="CA51" s="55">
        <f t="shared" si="89"/>
        <v>0</v>
      </c>
      <c r="CB51" s="59">
        <f t="shared" si="191"/>
        <v>0</v>
      </c>
      <c r="CC51" s="55">
        <f t="shared" si="192"/>
        <v>0</v>
      </c>
      <c r="CD51" s="59">
        <f t="shared" si="193"/>
        <v>0</v>
      </c>
      <c r="CE51" s="55">
        <f t="shared" si="194"/>
        <v>0</v>
      </c>
      <c r="CF51" s="59">
        <f t="shared" si="195"/>
        <v>0</v>
      </c>
      <c r="CG51" s="55">
        <f t="shared" si="196"/>
        <v>0</v>
      </c>
      <c r="CH51" s="59">
        <f t="shared" si="197"/>
        <v>0</v>
      </c>
      <c r="CI51" s="57">
        <f t="shared" si="198"/>
        <v>0</v>
      </c>
      <c r="CJ51" s="59">
        <f t="shared" si="199"/>
        <v>0</v>
      </c>
      <c r="CK51" s="55">
        <f t="shared" si="200"/>
        <v>0</v>
      </c>
      <c r="CL51" s="59">
        <f t="shared" si="201"/>
        <v>0</v>
      </c>
      <c r="CM51" s="57">
        <f t="shared" si="202"/>
        <v>0</v>
      </c>
      <c r="CN51" s="59">
        <f t="shared" si="203"/>
        <v>0</v>
      </c>
      <c r="CO51" s="60">
        <f t="shared" si="204"/>
        <v>0</v>
      </c>
      <c r="CP51" s="59">
        <f t="shared" si="205"/>
        <v>0</v>
      </c>
      <c r="CQ51" s="57">
        <f t="shared" si="206"/>
        <v>0</v>
      </c>
      <c r="CR51" s="59">
        <f t="shared" si="207"/>
        <v>0</v>
      </c>
      <c r="CS51" s="55">
        <f t="shared" si="208"/>
        <v>0</v>
      </c>
      <c r="CT51" s="59">
        <f t="shared" si="209"/>
        <v>0</v>
      </c>
      <c r="CU51" s="60">
        <f t="shared" si="210"/>
        <v>0</v>
      </c>
      <c r="CV51" s="59">
        <f t="shared" si="211"/>
        <v>0</v>
      </c>
      <c r="CW51" s="60">
        <f t="shared" si="212"/>
        <v>0</v>
      </c>
      <c r="CX51" s="59">
        <f t="shared" si="213"/>
        <v>0</v>
      </c>
      <c r="CY51" s="60">
        <f t="shared" si="214"/>
        <v>0</v>
      </c>
      <c r="CZ51" s="59">
        <f t="shared" si="215"/>
        <v>0</v>
      </c>
      <c r="DA51" s="55">
        <f t="shared" si="216"/>
        <v>0</v>
      </c>
      <c r="DB51" s="59">
        <f t="shared" si="217"/>
        <v>0</v>
      </c>
      <c r="DC51" s="60">
        <f t="shared" si="218"/>
        <v>0</v>
      </c>
      <c r="DD51" s="59">
        <f t="shared" si="219"/>
        <v>0</v>
      </c>
      <c r="DE51" s="60">
        <f t="shared" si="220"/>
        <v>0</v>
      </c>
      <c r="DF51" s="59">
        <f t="shared" si="221"/>
        <v>0</v>
      </c>
      <c r="DG51" s="60">
        <f t="shared" si="222"/>
        <v>0</v>
      </c>
      <c r="DH51" s="59">
        <f t="shared" si="223"/>
        <v>0</v>
      </c>
      <c r="DI51" s="60">
        <f t="shared" si="224"/>
        <v>0</v>
      </c>
      <c r="DJ51" s="59">
        <f t="shared" si="225"/>
        <v>0</v>
      </c>
      <c r="DK51" s="55">
        <f t="shared" si="226"/>
        <v>0</v>
      </c>
      <c r="DL51" s="59">
        <f t="shared" si="227"/>
        <v>0</v>
      </c>
      <c r="DM51" s="60">
        <f t="shared" si="228"/>
        <v>0</v>
      </c>
      <c r="DN51" s="59">
        <f t="shared" si="229"/>
        <v>0</v>
      </c>
      <c r="DO51" s="60">
        <f t="shared" si="230"/>
        <v>0</v>
      </c>
      <c r="DP51" s="59">
        <f t="shared" si="231"/>
        <v>0</v>
      </c>
      <c r="DQ51" s="55">
        <f t="shared" si="232"/>
        <v>0</v>
      </c>
      <c r="DR51" s="59">
        <f t="shared" si="233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3"/>
        <v>0.91</v>
      </c>
      <c r="DZ51" s="55">
        <f t="shared" si="283"/>
        <v>0.89</v>
      </c>
      <c r="EA51" s="55">
        <f t="shared" si="283"/>
        <v>0.87</v>
      </c>
      <c r="EB51" s="55">
        <f t="shared" si="283"/>
        <v>0.85</v>
      </c>
      <c r="EC51" s="55">
        <f t="shared" si="283"/>
        <v>0.83</v>
      </c>
      <c r="ED51" s="55">
        <f t="shared" si="283"/>
        <v>0.80999999999999994</v>
      </c>
      <c r="EE51" s="55">
        <f t="shared" si="283"/>
        <v>0.78999999999999992</v>
      </c>
      <c r="EF51" s="55">
        <f t="shared" si="283"/>
        <v>0.76999999999999991</v>
      </c>
      <c r="EG51" s="55">
        <f t="shared" si="283"/>
        <v>0.74999999999999989</v>
      </c>
      <c r="EH51" s="55">
        <f t="shared" si="283"/>
        <v>0.72999999999999987</v>
      </c>
      <c r="EI51" s="55">
        <f t="shared" si="283"/>
        <v>0.70999999999999985</v>
      </c>
      <c r="EJ51" s="55">
        <f t="shared" si="283"/>
        <v>0.68999999999999984</v>
      </c>
      <c r="EK51" s="55">
        <f t="shared" si="283"/>
        <v>0.66999999999999982</v>
      </c>
      <c r="EL51" s="55">
        <f t="shared" si="283"/>
        <v>0.6499999999999998</v>
      </c>
      <c r="EM51" s="55">
        <f t="shared" si="283"/>
        <v>0.62999999999999978</v>
      </c>
      <c r="EN51" s="55">
        <f t="shared" si="283"/>
        <v>0.60999999999999976</v>
      </c>
      <c r="EO51" s="55">
        <f t="shared" si="283"/>
        <v>0.58999999999999975</v>
      </c>
      <c r="EP51" s="55">
        <f t="shared" si="283"/>
        <v>0.56999999999999973</v>
      </c>
      <c r="ER51" s="55">
        <f t="shared" si="142"/>
        <v>0</v>
      </c>
      <c r="ES51" s="55">
        <f t="shared" si="116"/>
        <v>0</v>
      </c>
      <c r="ET51" s="59">
        <f t="shared" si="235"/>
        <v>0</v>
      </c>
      <c r="EU51" s="55">
        <f t="shared" si="236"/>
        <v>0</v>
      </c>
      <c r="EV51" s="59">
        <f t="shared" si="237"/>
        <v>0</v>
      </c>
      <c r="EW51" s="55">
        <f t="shared" si="238"/>
        <v>0</v>
      </c>
      <c r="EX51" s="59">
        <f t="shared" si="239"/>
        <v>0</v>
      </c>
      <c r="EY51" s="55">
        <f t="shared" si="240"/>
        <v>0</v>
      </c>
      <c r="EZ51" s="59">
        <f t="shared" si="241"/>
        <v>0</v>
      </c>
      <c r="FA51" s="57">
        <f t="shared" si="242"/>
        <v>0</v>
      </c>
      <c r="FB51" s="59">
        <f t="shared" si="243"/>
        <v>0</v>
      </c>
      <c r="FC51" s="55">
        <f t="shared" si="244"/>
        <v>0</v>
      </c>
      <c r="FD51" s="59">
        <f t="shared" si="245"/>
        <v>0</v>
      </c>
      <c r="FE51" s="57">
        <f t="shared" si="246"/>
        <v>0</v>
      </c>
      <c r="FF51" s="59">
        <f t="shared" si="247"/>
        <v>0</v>
      </c>
      <c r="FG51" s="60">
        <f t="shared" si="248"/>
        <v>0</v>
      </c>
      <c r="FH51" s="59">
        <f t="shared" si="249"/>
        <v>0</v>
      </c>
      <c r="FI51" s="57">
        <f t="shared" si="250"/>
        <v>0</v>
      </c>
      <c r="FJ51" s="59">
        <f t="shared" si="251"/>
        <v>0</v>
      </c>
      <c r="FK51" s="55">
        <f t="shared" si="252"/>
        <v>0</v>
      </c>
      <c r="FL51" s="59">
        <f t="shared" si="253"/>
        <v>0</v>
      </c>
      <c r="FM51" s="60">
        <f t="shared" si="254"/>
        <v>0</v>
      </c>
      <c r="FN51" s="59">
        <f t="shared" si="255"/>
        <v>0</v>
      </c>
      <c r="FO51" s="60">
        <f t="shared" si="256"/>
        <v>0</v>
      </c>
      <c r="FP51" s="59">
        <f t="shared" si="257"/>
        <v>0</v>
      </c>
      <c r="FQ51" s="60">
        <f t="shared" si="258"/>
        <v>0</v>
      </c>
      <c r="FR51" s="59">
        <f t="shared" si="259"/>
        <v>0</v>
      </c>
      <c r="FS51" s="55">
        <f t="shared" si="260"/>
        <v>0</v>
      </c>
      <c r="FT51" s="59">
        <f t="shared" si="261"/>
        <v>0</v>
      </c>
      <c r="FU51" s="60">
        <f t="shared" si="262"/>
        <v>0</v>
      </c>
      <c r="FV51" s="59">
        <f t="shared" si="263"/>
        <v>0</v>
      </c>
      <c r="FW51" s="60">
        <f t="shared" si="264"/>
        <v>0</v>
      </c>
      <c r="FX51" s="59">
        <f t="shared" si="265"/>
        <v>0</v>
      </c>
      <c r="FY51" s="60">
        <f t="shared" si="266"/>
        <v>0</v>
      </c>
      <c r="FZ51" s="59">
        <f t="shared" si="267"/>
        <v>0</v>
      </c>
      <c r="GA51" s="60">
        <f t="shared" si="268"/>
        <v>0</v>
      </c>
      <c r="GB51" s="59">
        <f t="shared" si="269"/>
        <v>0</v>
      </c>
      <c r="GC51" s="55">
        <f t="shared" si="270"/>
        <v>0</v>
      </c>
      <c r="GD51" s="59">
        <f t="shared" si="271"/>
        <v>0</v>
      </c>
      <c r="GE51" s="60">
        <f t="shared" si="272"/>
        <v>0</v>
      </c>
      <c r="GF51" s="59">
        <f t="shared" si="273"/>
        <v>0</v>
      </c>
      <c r="GG51" s="60">
        <f t="shared" si="274"/>
        <v>0</v>
      </c>
      <c r="GH51" s="59">
        <f t="shared" si="275"/>
        <v>0</v>
      </c>
      <c r="GI51" s="55">
        <f t="shared" si="276"/>
        <v>0</v>
      </c>
      <c r="GJ51" s="59">
        <f t="shared" si="277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4"/>
        <v>0.91</v>
      </c>
      <c r="GR51" s="55">
        <f t="shared" si="284"/>
        <v>0.89</v>
      </c>
      <c r="GS51" s="55">
        <f t="shared" si="284"/>
        <v>0.87</v>
      </c>
      <c r="GT51" s="55">
        <f t="shared" si="284"/>
        <v>0.85</v>
      </c>
      <c r="GU51" s="55">
        <f t="shared" si="284"/>
        <v>0.83</v>
      </c>
      <c r="GV51" s="55">
        <f t="shared" si="284"/>
        <v>0.80999999999999994</v>
      </c>
      <c r="GW51" s="55">
        <f t="shared" si="284"/>
        <v>0.78999999999999992</v>
      </c>
      <c r="GX51" s="55">
        <f t="shared" si="284"/>
        <v>0.76999999999999991</v>
      </c>
      <c r="GY51" s="55">
        <f t="shared" si="284"/>
        <v>0.74999999999999989</v>
      </c>
      <c r="GZ51" s="55">
        <f t="shared" si="284"/>
        <v>0.72999999999999987</v>
      </c>
      <c r="HA51" s="55">
        <f t="shared" si="284"/>
        <v>0.70999999999999985</v>
      </c>
      <c r="HB51" s="55">
        <f t="shared" si="284"/>
        <v>0.68999999999999984</v>
      </c>
      <c r="HC51" s="55">
        <f t="shared" si="284"/>
        <v>0.66999999999999982</v>
      </c>
      <c r="HD51" s="55">
        <f t="shared" si="284"/>
        <v>0.6499999999999998</v>
      </c>
      <c r="HE51" s="55">
        <f t="shared" si="284"/>
        <v>0.62999999999999978</v>
      </c>
      <c r="HF51" s="55">
        <f t="shared" si="284"/>
        <v>0.60999999999999976</v>
      </c>
      <c r="HG51" s="55">
        <f t="shared" si="284"/>
        <v>0.58999999999999975</v>
      </c>
      <c r="HH51" s="55">
        <f t="shared" si="284"/>
        <v>0.56999999999999973</v>
      </c>
    </row>
    <row r="52" spans="1:216" x14ac:dyDescent="0.3">
      <c r="A52" s="2">
        <v>19</v>
      </c>
      <c r="C52" s="38" t="s">
        <v>26</v>
      </c>
      <c r="D52" s="42">
        <f>TRUNC(539.195198564057+3433.49652232443+8301.78056989006+1310.74938299304,-1)</f>
        <v>13580</v>
      </c>
      <c r="E52" s="71">
        <f t="shared" si="148"/>
        <v>44890</v>
      </c>
      <c r="F52" s="2" t="s">
        <v>316</v>
      </c>
      <c r="H52" s="55">
        <f t="shared" si="61"/>
        <v>49379.000000000007</v>
      </c>
      <c r="I52" s="55">
        <f t="shared" si="62"/>
        <v>49379.000000000007</v>
      </c>
      <c r="J52" s="59">
        <f t="shared" si="63"/>
        <v>163237.09820000004</v>
      </c>
      <c r="K52" s="55">
        <f t="shared" si="149"/>
        <v>47897.630000000005</v>
      </c>
      <c r="L52" s="59">
        <f t="shared" si="150"/>
        <v>158339.98525400003</v>
      </c>
      <c r="M52" s="55">
        <f t="shared" si="151"/>
        <v>46910.05</v>
      </c>
      <c r="N52" s="59">
        <f t="shared" si="152"/>
        <v>155075.24329000001</v>
      </c>
      <c r="O52" s="55">
        <f t="shared" si="153"/>
        <v>45922.470000000008</v>
      </c>
      <c r="P52" s="59">
        <f t="shared" si="154"/>
        <v>151810.50132600003</v>
      </c>
      <c r="Q52" s="57">
        <f t="shared" si="155"/>
        <v>44934.890000000007</v>
      </c>
      <c r="R52" s="59">
        <f t="shared" si="156"/>
        <v>148545.75936200001</v>
      </c>
      <c r="S52" s="55">
        <f t="shared" si="157"/>
        <v>43947.310000000005</v>
      </c>
      <c r="T52" s="59">
        <f t="shared" si="158"/>
        <v>145281.01739800003</v>
      </c>
      <c r="U52" s="57">
        <f t="shared" si="159"/>
        <v>42959.73</v>
      </c>
      <c r="V52" s="59">
        <f t="shared" si="160"/>
        <v>142016.27543400001</v>
      </c>
      <c r="W52" s="60">
        <f t="shared" si="161"/>
        <v>41972.15</v>
      </c>
      <c r="X52" s="59">
        <f t="shared" si="162"/>
        <v>138751.53346999999</v>
      </c>
      <c r="Y52" s="57">
        <f t="shared" si="163"/>
        <v>40984.570000000007</v>
      </c>
      <c r="Z52" s="59">
        <f t="shared" si="164"/>
        <v>135486.79150600004</v>
      </c>
      <c r="AA52" s="55">
        <f t="shared" si="165"/>
        <v>39996.990000000005</v>
      </c>
      <c r="AB52" s="59">
        <f t="shared" si="166"/>
        <v>132222.04954200002</v>
      </c>
      <c r="AC52" s="60">
        <f t="shared" si="167"/>
        <v>39009.410000000003</v>
      </c>
      <c r="AD52" s="59">
        <f t="shared" si="168"/>
        <v>128957.30757800001</v>
      </c>
      <c r="AE52" s="60">
        <f t="shared" si="169"/>
        <v>38021.83</v>
      </c>
      <c r="AF52" s="59">
        <f t="shared" si="170"/>
        <v>125692.56561400001</v>
      </c>
      <c r="AG52" s="60">
        <f t="shared" si="171"/>
        <v>37034.25</v>
      </c>
      <c r="AH52" s="59">
        <f t="shared" si="172"/>
        <v>122427.82365000001</v>
      </c>
      <c r="AI52" s="55">
        <f t="shared" si="173"/>
        <v>36046.67</v>
      </c>
      <c r="AJ52" s="59">
        <f t="shared" si="174"/>
        <v>119163.08168599999</v>
      </c>
      <c r="AK52" s="60">
        <f t="shared" si="175"/>
        <v>35059.089999999997</v>
      </c>
      <c r="AL52" s="59">
        <f t="shared" si="176"/>
        <v>115898.33972199999</v>
      </c>
      <c r="AM52" s="60">
        <f t="shared" si="177"/>
        <v>34071.509999999995</v>
      </c>
      <c r="AN52" s="59">
        <f t="shared" si="178"/>
        <v>112633.59775799999</v>
      </c>
      <c r="AO52" s="60">
        <f t="shared" si="179"/>
        <v>33083.929999999993</v>
      </c>
      <c r="AP52" s="59">
        <f t="shared" si="180"/>
        <v>109368.85579399997</v>
      </c>
      <c r="AQ52" s="60">
        <f t="shared" si="181"/>
        <v>32096.349999999995</v>
      </c>
      <c r="AR52" s="59">
        <f t="shared" si="182"/>
        <v>106104.11382999999</v>
      </c>
      <c r="AS52" s="55">
        <f t="shared" si="183"/>
        <v>31108.769999999993</v>
      </c>
      <c r="AT52" s="59">
        <f t="shared" si="184"/>
        <v>102839.37186599999</v>
      </c>
      <c r="AU52" s="60">
        <f t="shared" si="185"/>
        <v>30121.189999999991</v>
      </c>
      <c r="AV52" s="59">
        <f t="shared" si="186"/>
        <v>99574.629901999971</v>
      </c>
      <c r="AW52" s="60">
        <f t="shared" si="187"/>
        <v>29133.609999999993</v>
      </c>
      <c r="AX52" s="59">
        <f t="shared" si="188"/>
        <v>96309.887937999985</v>
      </c>
      <c r="AY52" s="55">
        <f t="shared" si="189"/>
        <v>28146.029999999992</v>
      </c>
      <c r="AZ52" s="59">
        <f t="shared" si="190"/>
        <v>93045.14597399997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0"/>
        <v>0.91</v>
      </c>
      <c r="BH52" s="55">
        <f t="shared" si="280"/>
        <v>0.89</v>
      </c>
      <c r="BI52" s="55">
        <f t="shared" si="280"/>
        <v>0.87</v>
      </c>
      <c r="BJ52" s="55">
        <f t="shared" si="280"/>
        <v>0.85</v>
      </c>
      <c r="BK52" s="55">
        <f t="shared" si="280"/>
        <v>0.83</v>
      </c>
      <c r="BL52" s="55">
        <f t="shared" si="280"/>
        <v>0.80999999999999994</v>
      </c>
      <c r="BM52" s="55">
        <f t="shared" si="280"/>
        <v>0.78999999999999992</v>
      </c>
      <c r="BN52" s="55">
        <f t="shared" si="280"/>
        <v>0.76999999999999991</v>
      </c>
      <c r="BO52" s="55">
        <f t="shared" si="280"/>
        <v>0.74999999999999989</v>
      </c>
      <c r="BP52" s="55">
        <f t="shared" si="280"/>
        <v>0.72999999999999987</v>
      </c>
      <c r="BQ52" s="55">
        <f t="shared" si="280"/>
        <v>0.70999999999999985</v>
      </c>
      <c r="BR52" s="55">
        <f t="shared" si="280"/>
        <v>0.68999999999999984</v>
      </c>
      <c r="BS52" s="55">
        <f t="shared" si="280"/>
        <v>0.66999999999999982</v>
      </c>
      <c r="BT52" s="55">
        <f t="shared" si="280"/>
        <v>0.6499999999999998</v>
      </c>
      <c r="BU52" s="55">
        <f t="shared" si="280"/>
        <v>0.62999999999999978</v>
      </c>
      <c r="BV52" s="55">
        <f t="shared" si="280"/>
        <v>0.60999999999999976</v>
      </c>
      <c r="BW52" s="55">
        <f t="shared" si="280"/>
        <v>0.58999999999999975</v>
      </c>
      <c r="BX52" s="55">
        <f t="shared" si="280"/>
        <v>0.56999999999999973</v>
      </c>
      <c r="BZ52" s="55">
        <f t="shared" si="88"/>
        <v>44934.890000000007</v>
      </c>
      <c r="CA52" s="55">
        <f t="shared" si="89"/>
        <v>44934.890000000007</v>
      </c>
      <c r="CB52" s="59">
        <f t="shared" si="191"/>
        <v>148545.75936200001</v>
      </c>
      <c r="CC52" s="55">
        <f t="shared" si="192"/>
        <v>43586.843300000008</v>
      </c>
      <c r="CD52" s="59">
        <f t="shared" si="193"/>
        <v>144089.38658114002</v>
      </c>
      <c r="CE52" s="55">
        <f t="shared" si="194"/>
        <v>42688.145500000006</v>
      </c>
      <c r="CF52" s="59">
        <f t="shared" si="195"/>
        <v>141118.47139390002</v>
      </c>
      <c r="CG52" s="55">
        <f t="shared" si="196"/>
        <v>41789.447700000012</v>
      </c>
      <c r="CH52" s="59">
        <f t="shared" si="197"/>
        <v>138147.55620666005</v>
      </c>
      <c r="CI52" s="57">
        <f t="shared" si="198"/>
        <v>40890.74990000001</v>
      </c>
      <c r="CJ52" s="59">
        <f t="shared" si="199"/>
        <v>135176.64101942003</v>
      </c>
      <c r="CK52" s="55">
        <f t="shared" si="200"/>
        <v>39992.052100000008</v>
      </c>
      <c r="CL52" s="59">
        <f t="shared" si="201"/>
        <v>132205.72583218003</v>
      </c>
      <c r="CM52" s="57">
        <f t="shared" si="202"/>
        <v>39093.354300000006</v>
      </c>
      <c r="CN52" s="59">
        <f t="shared" si="203"/>
        <v>129234.81064494002</v>
      </c>
      <c r="CO52" s="60">
        <f t="shared" si="204"/>
        <v>38194.656500000005</v>
      </c>
      <c r="CP52" s="59">
        <f t="shared" si="205"/>
        <v>126263.89545770001</v>
      </c>
      <c r="CQ52" s="57">
        <f t="shared" si="206"/>
        <v>37295.958700000003</v>
      </c>
      <c r="CR52" s="59">
        <f t="shared" si="207"/>
        <v>123292.98027046002</v>
      </c>
      <c r="CS52" s="55">
        <f t="shared" si="208"/>
        <v>36397.260900000001</v>
      </c>
      <c r="CT52" s="59">
        <f t="shared" si="209"/>
        <v>120322.06508322</v>
      </c>
      <c r="CU52" s="60">
        <f t="shared" si="210"/>
        <v>35498.563099999999</v>
      </c>
      <c r="CV52" s="59">
        <f t="shared" si="211"/>
        <v>117351.14989597999</v>
      </c>
      <c r="CW52" s="60">
        <f t="shared" si="212"/>
        <v>34599.865299999998</v>
      </c>
      <c r="CX52" s="59">
        <f t="shared" si="213"/>
        <v>114380.23470874</v>
      </c>
      <c r="CY52" s="60">
        <f t="shared" si="214"/>
        <v>33701.167500000003</v>
      </c>
      <c r="CZ52" s="59">
        <f t="shared" si="215"/>
        <v>111409.31952150002</v>
      </c>
      <c r="DA52" s="55">
        <f t="shared" si="216"/>
        <v>32802.469700000001</v>
      </c>
      <c r="DB52" s="59">
        <f t="shared" si="217"/>
        <v>108438.40433426001</v>
      </c>
      <c r="DC52" s="60">
        <f t="shared" si="218"/>
        <v>31903.7719</v>
      </c>
      <c r="DD52" s="59">
        <f t="shared" si="219"/>
        <v>105467.48914701999</v>
      </c>
      <c r="DE52" s="60">
        <f t="shared" si="220"/>
        <v>31005.074099999998</v>
      </c>
      <c r="DF52" s="59">
        <f t="shared" si="221"/>
        <v>102496.57395978</v>
      </c>
      <c r="DG52" s="60">
        <f t="shared" si="222"/>
        <v>30106.376299999996</v>
      </c>
      <c r="DH52" s="59">
        <f t="shared" si="223"/>
        <v>99525.658772539988</v>
      </c>
      <c r="DI52" s="60">
        <f t="shared" si="224"/>
        <v>29207.678499999995</v>
      </c>
      <c r="DJ52" s="59">
        <f t="shared" si="225"/>
        <v>96554.743585299977</v>
      </c>
      <c r="DK52" s="55">
        <f t="shared" si="226"/>
        <v>28308.980699999993</v>
      </c>
      <c r="DL52" s="59">
        <f t="shared" si="227"/>
        <v>93583.828398059981</v>
      </c>
      <c r="DM52" s="60">
        <f t="shared" si="228"/>
        <v>27410.282899999995</v>
      </c>
      <c r="DN52" s="59">
        <f t="shared" si="229"/>
        <v>90612.913210819985</v>
      </c>
      <c r="DO52" s="60">
        <f t="shared" si="230"/>
        <v>26511.585099999993</v>
      </c>
      <c r="DP52" s="59">
        <f t="shared" si="231"/>
        <v>87641.998023579974</v>
      </c>
      <c r="DQ52" s="55">
        <f t="shared" si="232"/>
        <v>25612.887299999991</v>
      </c>
      <c r="DR52" s="59">
        <f t="shared" si="233"/>
        <v>84671.082836339978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3"/>
        <v>0.91</v>
      </c>
      <c r="DZ52" s="55">
        <f t="shared" si="283"/>
        <v>0.89</v>
      </c>
      <c r="EA52" s="55">
        <f t="shared" si="283"/>
        <v>0.87</v>
      </c>
      <c r="EB52" s="55">
        <f t="shared" si="283"/>
        <v>0.85</v>
      </c>
      <c r="EC52" s="55">
        <f t="shared" si="283"/>
        <v>0.83</v>
      </c>
      <c r="ED52" s="55">
        <f t="shared" si="283"/>
        <v>0.80999999999999994</v>
      </c>
      <c r="EE52" s="55">
        <f t="shared" si="283"/>
        <v>0.78999999999999992</v>
      </c>
      <c r="EF52" s="55">
        <f t="shared" si="283"/>
        <v>0.76999999999999991</v>
      </c>
      <c r="EG52" s="55">
        <f t="shared" si="283"/>
        <v>0.74999999999999989</v>
      </c>
      <c r="EH52" s="55">
        <f t="shared" si="283"/>
        <v>0.72999999999999987</v>
      </c>
      <c r="EI52" s="55">
        <f t="shared" si="283"/>
        <v>0.70999999999999985</v>
      </c>
      <c r="EJ52" s="55">
        <f t="shared" si="283"/>
        <v>0.68999999999999984</v>
      </c>
      <c r="EK52" s="55">
        <f t="shared" si="283"/>
        <v>0.66999999999999982</v>
      </c>
      <c r="EL52" s="55">
        <f t="shared" si="283"/>
        <v>0.6499999999999998</v>
      </c>
      <c r="EM52" s="55">
        <f t="shared" si="283"/>
        <v>0.62999999999999978</v>
      </c>
      <c r="EN52" s="55">
        <f t="shared" si="283"/>
        <v>0.60999999999999976</v>
      </c>
      <c r="EO52" s="55">
        <f t="shared" si="283"/>
        <v>0.58999999999999975</v>
      </c>
      <c r="EP52" s="55">
        <f t="shared" si="283"/>
        <v>0.56999999999999973</v>
      </c>
      <c r="ER52" s="55">
        <f t="shared" si="142"/>
        <v>40890.74990000001</v>
      </c>
      <c r="ES52" s="55">
        <f t="shared" si="116"/>
        <v>40890.74990000001</v>
      </c>
      <c r="ET52" s="59">
        <f t="shared" si="235"/>
        <v>135176.64101942003</v>
      </c>
      <c r="EU52" s="55">
        <f t="shared" si="236"/>
        <v>39664.027403000007</v>
      </c>
      <c r="EV52" s="59">
        <f t="shared" si="237"/>
        <v>131121.34178883742</v>
      </c>
      <c r="EW52" s="55">
        <f t="shared" si="238"/>
        <v>38846.212405000006</v>
      </c>
      <c r="EX52" s="59">
        <f t="shared" si="239"/>
        <v>128417.80896844903</v>
      </c>
      <c r="EY52" s="55">
        <f t="shared" si="240"/>
        <v>38028.397407000011</v>
      </c>
      <c r="EZ52" s="59">
        <f t="shared" si="241"/>
        <v>125714.27614806064</v>
      </c>
      <c r="FA52" s="57">
        <f t="shared" si="242"/>
        <v>37210.58240900001</v>
      </c>
      <c r="FB52" s="59">
        <f t="shared" si="243"/>
        <v>123010.74332767223</v>
      </c>
      <c r="FC52" s="55">
        <f t="shared" si="244"/>
        <v>36392.767411000008</v>
      </c>
      <c r="FD52" s="59">
        <f t="shared" si="245"/>
        <v>120307.21050728383</v>
      </c>
      <c r="FE52" s="57">
        <f t="shared" si="246"/>
        <v>35574.952413000006</v>
      </c>
      <c r="FF52" s="59">
        <f t="shared" si="247"/>
        <v>117603.67768689542</v>
      </c>
      <c r="FG52" s="60">
        <f t="shared" si="248"/>
        <v>34757.137415000005</v>
      </c>
      <c r="FH52" s="59">
        <f t="shared" si="249"/>
        <v>114900.14486650702</v>
      </c>
      <c r="FI52" s="57">
        <f t="shared" si="250"/>
        <v>33939.322417000003</v>
      </c>
      <c r="FJ52" s="59">
        <f t="shared" si="251"/>
        <v>112196.61204611861</v>
      </c>
      <c r="FK52" s="55">
        <f t="shared" si="252"/>
        <v>33121.507419000009</v>
      </c>
      <c r="FL52" s="59">
        <f t="shared" si="253"/>
        <v>109493.07922573024</v>
      </c>
      <c r="FM52" s="60">
        <f t="shared" si="254"/>
        <v>32303.692421000003</v>
      </c>
      <c r="FN52" s="59">
        <f t="shared" si="255"/>
        <v>106789.54640534181</v>
      </c>
      <c r="FO52" s="60">
        <f t="shared" si="256"/>
        <v>31485.877423000005</v>
      </c>
      <c r="FP52" s="59">
        <f t="shared" si="257"/>
        <v>104086.01358495343</v>
      </c>
      <c r="FQ52" s="60">
        <f t="shared" si="258"/>
        <v>30668.062425000004</v>
      </c>
      <c r="FR52" s="59">
        <f t="shared" si="259"/>
        <v>101382.48076456501</v>
      </c>
      <c r="FS52" s="55">
        <f t="shared" si="260"/>
        <v>29850.247427000002</v>
      </c>
      <c r="FT52" s="59">
        <f t="shared" si="261"/>
        <v>98678.947944176616</v>
      </c>
      <c r="FU52" s="60">
        <f t="shared" si="262"/>
        <v>29032.432429</v>
      </c>
      <c r="FV52" s="59">
        <f t="shared" si="263"/>
        <v>95975.415123788203</v>
      </c>
      <c r="FW52" s="60">
        <f t="shared" si="264"/>
        <v>28214.617430999999</v>
      </c>
      <c r="FX52" s="59">
        <f t="shared" si="265"/>
        <v>93271.882303399805</v>
      </c>
      <c r="FY52" s="60">
        <f t="shared" si="266"/>
        <v>27396.802433000001</v>
      </c>
      <c r="FZ52" s="59">
        <f t="shared" si="267"/>
        <v>90568.349483011407</v>
      </c>
      <c r="GA52" s="60">
        <f t="shared" si="268"/>
        <v>26578.987434999999</v>
      </c>
      <c r="GB52" s="59">
        <f t="shared" si="269"/>
        <v>87864.816662622994</v>
      </c>
      <c r="GC52" s="55">
        <f t="shared" si="270"/>
        <v>25761.172436999997</v>
      </c>
      <c r="GD52" s="59">
        <f t="shared" si="271"/>
        <v>85161.283842234596</v>
      </c>
      <c r="GE52" s="60">
        <f t="shared" si="272"/>
        <v>24943.357438999996</v>
      </c>
      <c r="GF52" s="59">
        <f t="shared" si="273"/>
        <v>82457.751021846183</v>
      </c>
      <c r="GG52" s="60">
        <f t="shared" si="274"/>
        <v>24125.542440999994</v>
      </c>
      <c r="GH52" s="59">
        <f t="shared" si="275"/>
        <v>79754.218201457785</v>
      </c>
      <c r="GI52" s="55">
        <f t="shared" si="276"/>
        <v>23307.727442999996</v>
      </c>
      <c r="GJ52" s="59">
        <f t="shared" si="277"/>
        <v>77050.685381069386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4"/>
        <v>0.91</v>
      </c>
      <c r="GR52" s="55">
        <f t="shared" si="284"/>
        <v>0.89</v>
      </c>
      <c r="GS52" s="55">
        <f t="shared" si="284"/>
        <v>0.87</v>
      </c>
      <c r="GT52" s="55">
        <f t="shared" si="284"/>
        <v>0.85</v>
      </c>
      <c r="GU52" s="55">
        <f t="shared" si="284"/>
        <v>0.83</v>
      </c>
      <c r="GV52" s="55">
        <f t="shared" si="284"/>
        <v>0.80999999999999994</v>
      </c>
      <c r="GW52" s="55">
        <f t="shared" si="284"/>
        <v>0.78999999999999992</v>
      </c>
      <c r="GX52" s="55">
        <f t="shared" si="284"/>
        <v>0.76999999999999991</v>
      </c>
      <c r="GY52" s="55">
        <f t="shared" si="284"/>
        <v>0.74999999999999989</v>
      </c>
      <c r="GZ52" s="55">
        <f t="shared" si="284"/>
        <v>0.72999999999999987</v>
      </c>
      <c r="HA52" s="55">
        <f t="shared" si="284"/>
        <v>0.70999999999999985</v>
      </c>
      <c r="HB52" s="55">
        <f t="shared" si="284"/>
        <v>0.68999999999999984</v>
      </c>
      <c r="HC52" s="55">
        <f t="shared" si="284"/>
        <v>0.66999999999999982</v>
      </c>
      <c r="HD52" s="55">
        <f t="shared" si="284"/>
        <v>0.6499999999999998</v>
      </c>
      <c r="HE52" s="55">
        <f t="shared" si="284"/>
        <v>0.62999999999999978</v>
      </c>
      <c r="HF52" s="55">
        <f t="shared" si="284"/>
        <v>0.60999999999999976</v>
      </c>
      <c r="HG52" s="55">
        <f t="shared" si="284"/>
        <v>0.58999999999999975</v>
      </c>
      <c r="HH52" s="55">
        <f t="shared" si="284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TRUNC(100469.822750729,-1)</f>
        <v>100460</v>
      </c>
      <c r="E53" s="72">
        <f t="shared" si="148"/>
        <v>332100</v>
      </c>
      <c r="H53" s="55">
        <f t="shared" si="61"/>
        <v>365310.00000000006</v>
      </c>
      <c r="I53" s="55">
        <f t="shared" si="62"/>
        <v>365310.00000000006</v>
      </c>
      <c r="J53" s="59">
        <f t="shared" si="63"/>
        <v>1207641.7980000002</v>
      </c>
      <c r="K53" s="55">
        <f t="shared" si="149"/>
        <v>354350.70000000007</v>
      </c>
      <c r="L53" s="59">
        <f t="shared" si="150"/>
        <v>1171412.5440600002</v>
      </c>
      <c r="M53" s="55">
        <f t="shared" si="151"/>
        <v>347044.50000000006</v>
      </c>
      <c r="N53" s="59">
        <f t="shared" si="152"/>
        <v>1147259.7081000002</v>
      </c>
      <c r="O53" s="55">
        <f t="shared" si="153"/>
        <v>339738.30000000005</v>
      </c>
      <c r="P53" s="59">
        <f t="shared" si="154"/>
        <v>1123106.8721400001</v>
      </c>
      <c r="Q53" s="57">
        <f t="shared" si="155"/>
        <v>332432.10000000009</v>
      </c>
      <c r="R53" s="59">
        <f t="shared" si="156"/>
        <v>1098954.0361800003</v>
      </c>
      <c r="S53" s="55">
        <f t="shared" si="157"/>
        <v>325125.90000000008</v>
      </c>
      <c r="T53" s="59">
        <f t="shared" si="158"/>
        <v>1074801.2002200002</v>
      </c>
      <c r="U53" s="57">
        <f t="shared" si="159"/>
        <v>317819.70000000007</v>
      </c>
      <c r="V53" s="59">
        <f t="shared" si="160"/>
        <v>1050648.3642600002</v>
      </c>
      <c r="W53" s="60">
        <f t="shared" si="161"/>
        <v>310513.50000000006</v>
      </c>
      <c r="X53" s="59">
        <f t="shared" si="162"/>
        <v>1026495.5283000002</v>
      </c>
      <c r="Y53" s="57">
        <f t="shared" si="163"/>
        <v>303207.30000000005</v>
      </c>
      <c r="Z53" s="59">
        <f t="shared" si="164"/>
        <v>1002342.6923400002</v>
      </c>
      <c r="AA53" s="55">
        <f t="shared" si="165"/>
        <v>295901.10000000003</v>
      </c>
      <c r="AB53" s="59">
        <f t="shared" si="166"/>
        <v>978189.85638000013</v>
      </c>
      <c r="AC53" s="60">
        <f t="shared" si="167"/>
        <v>288594.90000000002</v>
      </c>
      <c r="AD53" s="59">
        <f t="shared" si="168"/>
        <v>954037.02042000007</v>
      </c>
      <c r="AE53" s="60">
        <f t="shared" si="169"/>
        <v>281288.7</v>
      </c>
      <c r="AF53" s="59">
        <f t="shared" si="170"/>
        <v>929884.18446000002</v>
      </c>
      <c r="AG53" s="60">
        <f t="shared" si="171"/>
        <v>273982.5</v>
      </c>
      <c r="AH53" s="59">
        <f t="shared" si="172"/>
        <v>905731.34849999996</v>
      </c>
      <c r="AI53" s="55">
        <f t="shared" si="173"/>
        <v>266676.3</v>
      </c>
      <c r="AJ53" s="59">
        <f t="shared" si="174"/>
        <v>881578.51254000003</v>
      </c>
      <c r="AK53" s="60">
        <f t="shared" si="175"/>
        <v>259370.09999999998</v>
      </c>
      <c r="AL53" s="59">
        <f t="shared" si="176"/>
        <v>857425.67657999997</v>
      </c>
      <c r="AM53" s="60">
        <f t="shared" si="177"/>
        <v>252063.9</v>
      </c>
      <c r="AN53" s="59">
        <f t="shared" si="178"/>
        <v>833272.84062000003</v>
      </c>
      <c r="AO53" s="60">
        <f t="shared" si="179"/>
        <v>244757.69999999998</v>
      </c>
      <c r="AP53" s="59">
        <f t="shared" si="180"/>
        <v>809120.00465999998</v>
      </c>
      <c r="AQ53" s="60">
        <f t="shared" si="181"/>
        <v>237451.49999999997</v>
      </c>
      <c r="AR53" s="59">
        <f t="shared" si="182"/>
        <v>784967.16869999992</v>
      </c>
      <c r="AS53" s="55">
        <f t="shared" si="183"/>
        <v>230145.29999999996</v>
      </c>
      <c r="AT53" s="59">
        <f t="shared" si="184"/>
        <v>760814.33273999987</v>
      </c>
      <c r="AU53" s="60">
        <f t="shared" si="185"/>
        <v>222839.09999999995</v>
      </c>
      <c r="AV53" s="59">
        <f t="shared" si="186"/>
        <v>736661.49677999981</v>
      </c>
      <c r="AW53" s="60">
        <f t="shared" si="187"/>
        <v>215532.89999999994</v>
      </c>
      <c r="AX53" s="59">
        <f t="shared" si="188"/>
        <v>712508.66081999976</v>
      </c>
      <c r="AY53" s="55">
        <f t="shared" si="189"/>
        <v>208226.69999999992</v>
      </c>
      <c r="AZ53" s="59">
        <f t="shared" si="190"/>
        <v>688355.82485999982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0"/>
        <v>0.91</v>
      </c>
      <c r="BH53" s="55">
        <f t="shared" si="280"/>
        <v>0.89</v>
      </c>
      <c r="BI53" s="55">
        <f t="shared" si="280"/>
        <v>0.87</v>
      </c>
      <c r="BJ53" s="55">
        <f t="shared" si="280"/>
        <v>0.85</v>
      </c>
      <c r="BK53" s="55">
        <f t="shared" si="280"/>
        <v>0.83</v>
      </c>
      <c r="BL53" s="55">
        <f t="shared" si="280"/>
        <v>0.80999999999999994</v>
      </c>
      <c r="BM53" s="55">
        <f t="shared" si="280"/>
        <v>0.78999999999999992</v>
      </c>
      <c r="BN53" s="55">
        <f t="shared" si="280"/>
        <v>0.76999999999999991</v>
      </c>
      <c r="BO53" s="55">
        <f t="shared" si="280"/>
        <v>0.74999999999999989</v>
      </c>
      <c r="BP53" s="55">
        <f t="shared" si="280"/>
        <v>0.72999999999999987</v>
      </c>
      <c r="BQ53" s="55">
        <f t="shared" si="280"/>
        <v>0.70999999999999985</v>
      </c>
      <c r="BR53" s="55">
        <f t="shared" si="280"/>
        <v>0.68999999999999984</v>
      </c>
      <c r="BS53" s="55">
        <f t="shared" si="280"/>
        <v>0.66999999999999982</v>
      </c>
      <c r="BT53" s="55">
        <f t="shared" si="280"/>
        <v>0.6499999999999998</v>
      </c>
      <c r="BU53" s="55">
        <f t="shared" si="280"/>
        <v>0.62999999999999978</v>
      </c>
      <c r="BV53" s="55">
        <f t="shared" si="280"/>
        <v>0.60999999999999976</v>
      </c>
      <c r="BW53" s="55">
        <f t="shared" si="280"/>
        <v>0.58999999999999975</v>
      </c>
      <c r="BX53" s="55">
        <f t="shared" si="280"/>
        <v>0.56999999999999973</v>
      </c>
      <c r="BZ53" s="55">
        <f t="shared" si="88"/>
        <v>332432.10000000009</v>
      </c>
      <c r="CA53" s="55">
        <f t="shared" si="89"/>
        <v>332432.10000000009</v>
      </c>
      <c r="CB53" s="59">
        <f t="shared" si="191"/>
        <v>1098954.0361800003</v>
      </c>
      <c r="CC53" s="55">
        <f t="shared" si="192"/>
        <v>322459.1370000001</v>
      </c>
      <c r="CD53" s="59">
        <f t="shared" si="193"/>
        <v>1065985.4150946003</v>
      </c>
      <c r="CE53" s="55">
        <f t="shared" si="194"/>
        <v>315810.49500000005</v>
      </c>
      <c r="CF53" s="59">
        <f t="shared" si="195"/>
        <v>1044006.3343710002</v>
      </c>
      <c r="CG53" s="55">
        <f t="shared" si="196"/>
        <v>309161.85300000012</v>
      </c>
      <c r="CH53" s="59">
        <f t="shared" si="197"/>
        <v>1022027.2536474004</v>
      </c>
      <c r="CI53" s="57">
        <f t="shared" si="198"/>
        <v>302513.21100000007</v>
      </c>
      <c r="CJ53" s="59">
        <f t="shared" si="199"/>
        <v>1000048.1729238003</v>
      </c>
      <c r="CK53" s="55">
        <f t="shared" si="200"/>
        <v>295864.56900000008</v>
      </c>
      <c r="CL53" s="59">
        <f t="shared" si="201"/>
        <v>978069.09220020031</v>
      </c>
      <c r="CM53" s="57">
        <f t="shared" si="202"/>
        <v>289215.92700000008</v>
      </c>
      <c r="CN53" s="59">
        <f t="shared" si="203"/>
        <v>956090.01147660031</v>
      </c>
      <c r="CO53" s="60">
        <f t="shared" si="204"/>
        <v>282567.28500000009</v>
      </c>
      <c r="CP53" s="59">
        <f t="shared" si="205"/>
        <v>934110.93075300031</v>
      </c>
      <c r="CQ53" s="57">
        <f t="shared" si="206"/>
        <v>275918.64300000004</v>
      </c>
      <c r="CR53" s="59">
        <f t="shared" si="207"/>
        <v>912131.8500294002</v>
      </c>
      <c r="CS53" s="55">
        <f t="shared" si="208"/>
        <v>269270.00100000005</v>
      </c>
      <c r="CT53" s="59">
        <f t="shared" si="209"/>
        <v>890152.7693058002</v>
      </c>
      <c r="CU53" s="60">
        <f t="shared" si="210"/>
        <v>262621.35900000005</v>
      </c>
      <c r="CV53" s="59">
        <f t="shared" si="211"/>
        <v>868173.68858220021</v>
      </c>
      <c r="CW53" s="60">
        <f t="shared" si="212"/>
        <v>255972.71700000003</v>
      </c>
      <c r="CX53" s="59">
        <f t="shared" si="213"/>
        <v>846194.60785860009</v>
      </c>
      <c r="CY53" s="60">
        <f t="shared" si="214"/>
        <v>249324.07500000004</v>
      </c>
      <c r="CZ53" s="59">
        <f t="shared" si="215"/>
        <v>824215.5271350001</v>
      </c>
      <c r="DA53" s="55">
        <f t="shared" si="216"/>
        <v>242675.43300000002</v>
      </c>
      <c r="DB53" s="59">
        <f t="shared" si="217"/>
        <v>802236.4464114001</v>
      </c>
      <c r="DC53" s="60">
        <f t="shared" si="218"/>
        <v>236026.79100000003</v>
      </c>
      <c r="DD53" s="59">
        <f t="shared" si="219"/>
        <v>780257.36568780011</v>
      </c>
      <c r="DE53" s="60">
        <f t="shared" si="220"/>
        <v>229378.149</v>
      </c>
      <c r="DF53" s="59">
        <f t="shared" si="221"/>
        <v>758278.28496419999</v>
      </c>
      <c r="DG53" s="60">
        <f t="shared" si="222"/>
        <v>222729.50700000001</v>
      </c>
      <c r="DH53" s="59">
        <f t="shared" si="223"/>
        <v>736299.20424060011</v>
      </c>
      <c r="DI53" s="60">
        <f t="shared" si="224"/>
        <v>216080.86499999999</v>
      </c>
      <c r="DJ53" s="59">
        <f t="shared" si="225"/>
        <v>714320.123517</v>
      </c>
      <c r="DK53" s="55">
        <f t="shared" si="226"/>
        <v>209432.223</v>
      </c>
      <c r="DL53" s="59">
        <f t="shared" si="227"/>
        <v>692341.0427934</v>
      </c>
      <c r="DM53" s="60">
        <f t="shared" si="228"/>
        <v>202783.58099999998</v>
      </c>
      <c r="DN53" s="59">
        <f t="shared" si="229"/>
        <v>670361.96206979989</v>
      </c>
      <c r="DO53" s="60">
        <f t="shared" si="230"/>
        <v>196134.93899999998</v>
      </c>
      <c r="DP53" s="59">
        <f t="shared" si="231"/>
        <v>648382.88134620001</v>
      </c>
      <c r="DQ53" s="55">
        <f t="shared" si="232"/>
        <v>189486.29699999996</v>
      </c>
      <c r="DR53" s="59">
        <f t="shared" si="233"/>
        <v>626403.8006225999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3"/>
        <v>0.91</v>
      </c>
      <c r="DZ53" s="55">
        <f t="shared" si="283"/>
        <v>0.89</v>
      </c>
      <c r="EA53" s="55">
        <f t="shared" si="283"/>
        <v>0.87</v>
      </c>
      <c r="EB53" s="55">
        <f t="shared" si="283"/>
        <v>0.85</v>
      </c>
      <c r="EC53" s="55">
        <f t="shared" si="283"/>
        <v>0.83</v>
      </c>
      <c r="ED53" s="55">
        <f t="shared" si="283"/>
        <v>0.80999999999999994</v>
      </c>
      <c r="EE53" s="55">
        <f t="shared" si="283"/>
        <v>0.78999999999999992</v>
      </c>
      <c r="EF53" s="55">
        <f t="shared" si="283"/>
        <v>0.76999999999999991</v>
      </c>
      <c r="EG53" s="55">
        <f t="shared" si="283"/>
        <v>0.74999999999999989</v>
      </c>
      <c r="EH53" s="55">
        <f t="shared" si="283"/>
        <v>0.72999999999999987</v>
      </c>
      <c r="EI53" s="55">
        <f t="shared" si="283"/>
        <v>0.70999999999999985</v>
      </c>
      <c r="EJ53" s="55">
        <f t="shared" si="283"/>
        <v>0.68999999999999984</v>
      </c>
      <c r="EK53" s="55">
        <f t="shared" si="283"/>
        <v>0.66999999999999982</v>
      </c>
      <c r="EL53" s="55">
        <f t="shared" si="283"/>
        <v>0.6499999999999998</v>
      </c>
      <c r="EM53" s="55">
        <f t="shared" si="283"/>
        <v>0.62999999999999978</v>
      </c>
      <c r="EN53" s="55">
        <f t="shared" si="283"/>
        <v>0.60999999999999976</v>
      </c>
      <c r="EO53" s="55">
        <f t="shared" si="283"/>
        <v>0.58999999999999975</v>
      </c>
      <c r="EP53" s="55">
        <f t="shared" si="283"/>
        <v>0.56999999999999973</v>
      </c>
      <c r="ER53" s="55">
        <f t="shared" si="142"/>
        <v>302513.21100000007</v>
      </c>
      <c r="ES53" s="55">
        <f t="shared" si="116"/>
        <v>302513.21100000007</v>
      </c>
      <c r="ET53" s="59">
        <f t="shared" si="235"/>
        <v>1000048.1729238003</v>
      </c>
      <c r="EU53" s="55">
        <f t="shared" si="236"/>
        <v>293437.81467000005</v>
      </c>
      <c r="EV53" s="59">
        <f t="shared" si="237"/>
        <v>970046.72773608624</v>
      </c>
      <c r="EW53" s="55">
        <f t="shared" si="238"/>
        <v>287387.55045000004</v>
      </c>
      <c r="EX53" s="59">
        <f t="shared" si="239"/>
        <v>950045.76427761011</v>
      </c>
      <c r="EY53" s="55">
        <f t="shared" si="240"/>
        <v>281337.28623000009</v>
      </c>
      <c r="EZ53" s="59">
        <f t="shared" si="241"/>
        <v>930044.80081913434</v>
      </c>
      <c r="FA53" s="57">
        <f t="shared" si="242"/>
        <v>275287.02201000007</v>
      </c>
      <c r="FB53" s="59">
        <f t="shared" si="243"/>
        <v>910043.83736065822</v>
      </c>
      <c r="FC53" s="55">
        <f t="shared" si="244"/>
        <v>269236.75779000006</v>
      </c>
      <c r="FD53" s="59">
        <f t="shared" si="245"/>
        <v>890042.87390218221</v>
      </c>
      <c r="FE53" s="57">
        <f t="shared" si="246"/>
        <v>263186.49357000005</v>
      </c>
      <c r="FF53" s="59">
        <f t="shared" si="247"/>
        <v>870041.91044370621</v>
      </c>
      <c r="FG53" s="60">
        <f t="shared" si="248"/>
        <v>257136.22935000004</v>
      </c>
      <c r="FH53" s="59">
        <f t="shared" si="249"/>
        <v>850040.9469852302</v>
      </c>
      <c r="FI53" s="57">
        <f t="shared" si="250"/>
        <v>251085.96513000006</v>
      </c>
      <c r="FJ53" s="59">
        <f t="shared" si="251"/>
        <v>830039.98352675419</v>
      </c>
      <c r="FK53" s="55">
        <f t="shared" si="252"/>
        <v>245035.70091000004</v>
      </c>
      <c r="FL53" s="59">
        <f t="shared" si="253"/>
        <v>810039.02006827819</v>
      </c>
      <c r="FM53" s="60">
        <f t="shared" si="254"/>
        <v>238985.43669000003</v>
      </c>
      <c r="FN53" s="59">
        <f t="shared" si="255"/>
        <v>790038.05660980206</v>
      </c>
      <c r="FO53" s="60">
        <f t="shared" si="256"/>
        <v>232935.17247000002</v>
      </c>
      <c r="FP53" s="59">
        <f t="shared" si="257"/>
        <v>770037.09315132606</v>
      </c>
      <c r="FQ53" s="60">
        <f t="shared" si="258"/>
        <v>226884.90825000001</v>
      </c>
      <c r="FR53" s="59">
        <f t="shared" si="259"/>
        <v>750036.12969285005</v>
      </c>
      <c r="FS53" s="55">
        <f t="shared" si="260"/>
        <v>220834.64403000002</v>
      </c>
      <c r="FT53" s="59">
        <f t="shared" si="261"/>
        <v>730035.16623437405</v>
      </c>
      <c r="FU53" s="60">
        <f t="shared" si="262"/>
        <v>214784.37981000001</v>
      </c>
      <c r="FV53" s="59">
        <f t="shared" si="263"/>
        <v>710034.20277589804</v>
      </c>
      <c r="FW53" s="60">
        <f t="shared" si="264"/>
        <v>208734.11559</v>
      </c>
      <c r="FX53" s="59">
        <f t="shared" si="265"/>
        <v>690033.23931742203</v>
      </c>
      <c r="FY53" s="60">
        <f t="shared" si="266"/>
        <v>202683.85136999999</v>
      </c>
      <c r="FZ53" s="59">
        <f t="shared" si="267"/>
        <v>670032.27585894603</v>
      </c>
      <c r="GA53" s="60">
        <f t="shared" si="268"/>
        <v>196633.58714999998</v>
      </c>
      <c r="GB53" s="59">
        <f t="shared" si="269"/>
        <v>650031.31240046991</v>
      </c>
      <c r="GC53" s="55">
        <f t="shared" si="270"/>
        <v>190583.32292999997</v>
      </c>
      <c r="GD53" s="59">
        <f t="shared" si="271"/>
        <v>630030.3489419939</v>
      </c>
      <c r="GE53" s="60">
        <f t="shared" si="272"/>
        <v>184533.05870999998</v>
      </c>
      <c r="GF53" s="59">
        <f t="shared" si="273"/>
        <v>610029.38548351801</v>
      </c>
      <c r="GG53" s="60">
        <f t="shared" si="274"/>
        <v>178482.79448999997</v>
      </c>
      <c r="GH53" s="59">
        <f t="shared" si="275"/>
        <v>590028.42202504189</v>
      </c>
      <c r="GI53" s="55">
        <f t="shared" si="276"/>
        <v>172432.53026999996</v>
      </c>
      <c r="GJ53" s="59">
        <f t="shared" si="277"/>
        <v>570027.45856656588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4"/>
        <v>0.91</v>
      </c>
      <c r="GR53" s="55">
        <f t="shared" si="284"/>
        <v>0.89</v>
      </c>
      <c r="GS53" s="55">
        <f t="shared" si="284"/>
        <v>0.87</v>
      </c>
      <c r="GT53" s="55">
        <f t="shared" si="284"/>
        <v>0.85</v>
      </c>
      <c r="GU53" s="55">
        <f t="shared" si="284"/>
        <v>0.83</v>
      </c>
      <c r="GV53" s="55">
        <f t="shared" si="284"/>
        <v>0.80999999999999994</v>
      </c>
      <c r="GW53" s="55">
        <f t="shared" si="284"/>
        <v>0.78999999999999992</v>
      </c>
      <c r="GX53" s="55">
        <f t="shared" si="284"/>
        <v>0.76999999999999991</v>
      </c>
      <c r="GY53" s="55">
        <f t="shared" si="284"/>
        <v>0.74999999999999989</v>
      </c>
      <c r="GZ53" s="55">
        <f t="shared" si="284"/>
        <v>0.72999999999999987</v>
      </c>
      <c r="HA53" s="55">
        <f t="shared" si="284"/>
        <v>0.70999999999999985</v>
      </c>
      <c r="HB53" s="55">
        <f t="shared" si="284"/>
        <v>0.68999999999999984</v>
      </c>
      <c r="HC53" s="55">
        <f t="shared" si="284"/>
        <v>0.66999999999999982</v>
      </c>
      <c r="HD53" s="55">
        <f t="shared" si="284"/>
        <v>0.6499999999999998</v>
      </c>
      <c r="HE53" s="55">
        <f t="shared" si="284"/>
        <v>0.62999999999999978</v>
      </c>
      <c r="HF53" s="55">
        <f t="shared" si="284"/>
        <v>0.60999999999999976</v>
      </c>
      <c r="HG53" s="55">
        <f t="shared" si="284"/>
        <v>0.58999999999999975</v>
      </c>
      <c r="HH53" s="55">
        <f t="shared" si="284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656050</v>
      </c>
      <c r="E54" s="39">
        <f>SUM(E34:E53)</f>
        <v>2168680</v>
      </c>
      <c r="H54" s="55">
        <f t="shared" si="61"/>
        <v>2385548</v>
      </c>
      <c r="I54" s="55">
        <f t="shared" si="62"/>
        <v>2385548</v>
      </c>
      <c r="J54" s="59">
        <f t="shared" si="63"/>
        <v>7886144.5784</v>
      </c>
      <c r="K54" s="55">
        <f t="shared" si="149"/>
        <v>2313981.56</v>
      </c>
      <c r="L54" s="59">
        <f t="shared" si="150"/>
        <v>7649560.2410480008</v>
      </c>
      <c r="M54" s="55">
        <f t="shared" si="151"/>
        <v>2266270.6</v>
      </c>
      <c r="N54" s="59">
        <f t="shared" si="152"/>
        <v>7491837.3494800003</v>
      </c>
      <c r="O54" s="55">
        <f t="shared" si="153"/>
        <v>2218559.64</v>
      </c>
      <c r="P54" s="59">
        <f t="shared" si="154"/>
        <v>7334114.4579120008</v>
      </c>
      <c r="Q54" s="57">
        <f t="shared" si="155"/>
        <v>2170848.6800000002</v>
      </c>
      <c r="R54" s="59">
        <f t="shared" si="156"/>
        <v>7176391.5663440004</v>
      </c>
      <c r="S54" s="55">
        <f t="shared" si="157"/>
        <v>2123137.7200000002</v>
      </c>
      <c r="T54" s="59">
        <f t="shared" si="158"/>
        <v>7018668.6747760009</v>
      </c>
      <c r="U54" s="57">
        <f t="shared" si="159"/>
        <v>2075426.76</v>
      </c>
      <c r="V54" s="59">
        <f t="shared" si="160"/>
        <v>6860945.7832080005</v>
      </c>
      <c r="W54" s="60">
        <f t="shared" si="161"/>
        <v>2027715.8</v>
      </c>
      <c r="X54" s="59">
        <f t="shared" si="162"/>
        <v>6703222.89164</v>
      </c>
      <c r="Y54" s="57">
        <f t="shared" si="163"/>
        <v>1980004.8399999999</v>
      </c>
      <c r="Z54" s="59">
        <f t="shared" si="164"/>
        <v>6545500.0000719996</v>
      </c>
      <c r="AA54" s="55">
        <f t="shared" si="165"/>
        <v>1932293.88</v>
      </c>
      <c r="AB54" s="59">
        <f t="shared" si="166"/>
        <v>6387777.1085040001</v>
      </c>
      <c r="AC54" s="60">
        <f t="shared" si="167"/>
        <v>1884582.92</v>
      </c>
      <c r="AD54" s="59">
        <f t="shared" si="168"/>
        <v>6230054.2169359997</v>
      </c>
      <c r="AE54" s="60">
        <f t="shared" si="169"/>
        <v>1836871.9599999997</v>
      </c>
      <c r="AF54" s="59">
        <f t="shared" si="170"/>
        <v>6072331.3253679993</v>
      </c>
      <c r="AG54" s="60">
        <f t="shared" si="171"/>
        <v>1789160.9999999998</v>
      </c>
      <c r="AH54" s="59">
        <f t="shared" si="172"/>
        <v>5914608.4337999998</v>
      </c>
      <c r="AI54" s="55">
        <f t="shared" si="173"/>
        <v>1741450.0399999998</v>
      </c>
      <c r="AJ54" s="59">
        <f t="shared" si="174"/>
        <v>5756885.5422319993</v>
      </c>
      <c r="AK54" s="60">
        <f t="shared" si="175"/>
        <v>1693739.0799999996</v>
      </c>
      <c r="AL54" s="59">
        <f t="shared" si="176"/>
        <v>5599162.6506639989</v>
      </c>
      <c r="AM54" s="60">
        <f t="shared" si="177"/>
        <v>1646028.1199999996</v>
      </c>
      <c r="AN54" s="59">
        <f t="shared" si="178"/>
        <v>5441439.7590959994</v>
      </c>
      <c r="AO54" s="60">
        <f t="shared" si="179"/>
        <v>1598317.1599999995</v>
      </c>
      <c r="AP54" s="59">
        <f t="shared" si="180"/>
        <v>5283716.8675279981</v>
      </c>
      <c r="AQ54" s="60">
        <f t="shared" si="181"/>
        <v>1550606.1999999995</v>
      </c>
      <c r="AR54" s="59">
        <f t="shared" si="182"/>
        <v>5125993.9759599986</v>
      </c>
      <c r="AS54" s="55">
        <f t="shared" si="183"/>
        <v>1502895.2399999995</v>
      </c>
      <c r="AT54" s="59">
        <f t="shared" si="184"/>
        <v>4968271.0843919981</v>
      </c>
      <c r="AU54" s="60">
        <f t="shared" si="185"/>
        <v>1455184.2799999993</v>
      </c>
      <c r="AV54" s="59">
        <f t="shared" si="186"/>
        <v>4810548.1928239977</v>
      </c>
      <c r="AW54" s="60">
        <f t="shared" si="187"/>
        <v>1407473.3199999994</v>
      </c>
      <c r="AX54" s="59">
        <f t="shared" si="188"/>
        <v>4652825.3012559982</v>
      </c>
      <c r="AY54" s="55">
        <f t="shared" si="189"/>
        <v>1359762.3599999994</v>
      </c>
      <c r="AZ54" s="59">
        <f t="shared" si="190"/>
        <v>4495102.4096879978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0"/>
        <v>0.91</v>
      </c>
      <c r="BH54" s="55">
        <f t="shared" si="280"/>
        <v>0.89</v>
      </c>
      <c r="BI54" s="55">
        <f t="shared" si="280"/>
        <v>0.87</v>
      </c>
      <c r="BJ54" s="55">
        <f t="shared" si="280"/>
        <v>0.85</v>
      </c>
      <c r="BK54" s="55">
        <f t="shared" si="280"/>
        <v>0.83</v>
      </c>
      <c r="BL54" s="55">
        <f t="shared" si="280"/>
        <v>0.80999999999999994</v>
      </c>
      <c r="BM54" s="55">
        <f t="shared" si="280"/>
        <v>0.78999999999999992</v>
      </c>
      <c r="BN54" s="55">
        <f t="shared" si="280"/>
        <v>0.76999999999999991</v>
      </c>
      <c r="BO54" s="55">
        <f t="shared" si="280"/>
        <v>0.74999999999999989</v>
      </c>
      <c r="BP54" s="55">
        <f t="shared" si="280"/>
        <v>0.72999999999999987</v>
      </c>
      <c r="BQ54" s="55">
        <f t="shared" si="280"/>
        <v>0.70999999999999985</v>
      </c>
      <c r="BR54" s="55">
        <f t="shared" si="280"/>
        <v>0.68999999999999984</v>
      </c>
      <c r="BS54" s="55">
        <f t="shared" si="280"/>
        <v>0.66999999999999982</v>
      </c>
      <c r="BT54" s="55">
        <f t="shared" si="280"/>
        <v>0.6499999999999998</v>
      </c>
      <c r="BU54" s="55">
        <f t="shared" si="280"/>
        <v>0.62999999999999978</v>
      </c>
      <c r="BV54" s="55">
        <f t="shared" si="280"/>
        <v>0.60999999999999976</v>
      </c>
      <c r="BW54" s="55">
        <f t="shared" si="280"/>
        <v>0.58999999999999975</v>
      </c>
      <c r="BX54" s="55">
        <f t="shared" si="280"/>
        <v>0.56999999999999973</v>
      </c>
      <c r="BZ54" s="55">
        <f t="shared" si="88"/>
        <v>2170848.6800000002</v>
      </c>
      <c r="CA54" s="55">
        <f t="shared" si="89"/>
        <v>2170848.6800000002</v>
      </c>
      <c r="CB54" s="59">
        <f t="shared" si="191"/>
        <v>7176391.5663440004</v>
      </c>
      <c r="CC54" s="55">
        <f t="shared" si="192"/>
        <v>2105723.2196</v>
      </c>
      <c r="CD54" s="59">
        <f t="shared" si="193"/>
        <v>6961099.8193536801</v>
      </c>
      <c r="CE54" s="55">
        <f t="shared" si="194"/>
        <v>2062306.246</v>
      </c>
      <c r="CF54" s="59">
        <f t="shared" si="195"/>
        <v>6817571.9880268006</v>
      </c>
      <c r="CG54" s="55">
        <f t="shared" si="196"/>
        <v>2018889.2724000004</v>
      </c>
      <c r="CH54" s="59">
        <f t="shared" si="197"/>
        <v>6674044.156699921</v>
      </c>
      <c r="CI54" s="57">
        <f t="shared" si="198"/>
        <v>1975472.2988000002</v>
      </c>
      <c r="CJ54" s="59">
        <f t="shared" si="199"/>
        <v>6530516.3253730405</v>
      </c>
      <c r="CK54" s="55">
        <f t="shared" si="200"/>
        <v>1932055.3252000001</v>
      </c>
      <c r="CL54" s="59">
        <f t="shared" si="201"/>
        <v>6386988.49404616</v>
      </c>
      <c r="CM54" s="57">
        <f t="shared" si="202"/>
        <v>1888638.3516000002</v>
      </c>
      <c r="CN54" s="59">
        <f t="shared" si="203"/>
        <v>6243460.6627192805</v>
      </c>
      <c r="CO54" s="60">
        <f t="shared" si="204"/>
        <v>1845221.378</v>
      </c>
      <c r="CP54" s="59">
        <f t="shared" si="205"/>
        <v>6099932.8313924</v>
      </c>
      <c r="CQ54" s="57">
        <f t="shared" si="206"/>
        <v>1801804.4044000001</v>
      </c>
      <c r="CR54" s="59">
        <f t="shared" si="207"/>
        <v>5956405.0000655204</v>
      </c>
      <c r="CS54" s="55">
        <f t="shared" si="208"/>
        <v>1758387.4308</v>
      </c>
      <c r="CT54" s="59">
        <f t="shared" si="209"/>
        <v>5812877.1687386399</v>
      </c>
      <c r="CU54" s="60">
        <f t="shared" si="210"/>
        <v>1714970.4572000001</v>
      </c>
      <c r="CV54" s="59">
        <f t="shared" si="211"/>
        <v>5669349.3374117604</v>
      </c>
      <c r="CW54" s="60">
        <f t="shared" si="212"/>
        <v>1671553.4835999999</v>
      </c>
      <c r="CX54" s="59">
        <f t="shared" si="213"/>
        <v>5525821.5060848799</v>
      </c>
      <c r="CY54" s="60">
        <f t="shared" si="214"/>
        <v>1628136.5099999998</v>
      </c>
      <c r="CZ54" s="59">
        <f t="shared" si="215"/>
        <v>5382293.6747579994</v>
      </c>
      <c r="DA54" s="55">
        <f t="shared" si="216"/>
        <v>1584719.5363999999</v>
      </c>
      <c r="DB54" s="59">
        <f t="shared" si="217"/>
        <v>5238765.8434311198</v>
      </c>
      <c r="DC54" s="60">
        <f t="shared" si="218"/>
        <v>1541302.5627999997</v>
      </c>
      <c r="DD54" s="59">
        <f t="shared" si="219"/>
        <v>5095238.0121042393</v>
      </c>
      <c r="DE54" s="60">
        <f t="shared" si="220"/>
        <v>1497885.5891999998</v>
      </c>
      <c r="DF54" s="59">
        <f t="shared" si="221"/>
        <v>4951710.1807773598</v>
      </c>
      <c r="DG54" s="60">
        <f t="shared" si="222"/>
        <v>1454468.6155999997</v>
      </c>
      <c r="DH54" s="59">
        <f t="shared" si="223"/>
        <v>4808182.3494504793</v>
      </c>
      <c r="DI54" s="60">
        <f t="shared" si="224"/>
        <v>1411051.6419999998</v>
      </c>
      <c r="DJ54" s="59">
        <f t="shared" si="225"/>
        <v>4664654.5181235997</v>
      </c>
      <c r="DK54" s="55">
        <f t="shared" si="226"/>
        <v>1367634.6683999996</v>
      </c>
      <c r="DL54" s="59">
        <f t="shared" si="227"/>
        <v>4521126.6867967192</v>
      </c>
      <c r="DM54" s="60">
        <f t="shared" si="228"/>
        <v>1324217.6947999997</v>
      </c>
      <c r="DN54" s="59">
        <f t="shared" si="229"/>
        <v>4377598.8554698387</v>
      </c>
      <c r="DO54" s="60">
        <f t="shared" si="230"/>
        <v>1280800.7211999996</v>
      </c>
      <c r="DP54" s="59">
        <f t="shared" si="231"/>
        <v>4234071.0241429582</v>
      </c>
      <c r="DQ54" s="55">
        <f t="shared" si="232"/>
        <v>1237383.7475999994</v>
      </c>
      <c r="DR54" s="59">
        <f t="shared" si="233"/>
        <v>4090543.1928160782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3"/>
        <v>0.91</v>
      </c>
      <c r="DZ54" s="55">
        <f t="shared" si="283"/>
        <v>0.89</v>
      </c>
      <c r="EA54" s="55">
        <f t="shared" si="283"/>
        <v>0.87</v>
      </c>
      <c r="EB54" s="55">
        <f t="shared" si="283"/>
        <v>0.85</v>
      </c>
      <c r="EC54" s="55">
        <f t="shared" si="283"/>
        <v>0.83</v>
      </c>
      <c r="ED54" s="55">
        <f t="shared" si="283"/>
        <v>0.80999999999999994</v>
      </c>
      <c r="EE54" s="55">
        <f t="shared" si="283"/>
        <v>0.78999999999999992</v>
      </c>
      <c r="EF54" s="55">
        <f t="shared" si="283"/>
        <v>0.76999999999999991</v>
      </c>
      <c r="EG54" s="55">
        <f t="shared" si="283"/>
        <v>0.74999999999999989</v>
      </c>
      <c r="EH54" s="55">
        <f t="shared" si="283"/>
        <v>0.72999999999999987</v>
      </c>
      <c r="EI54" s="55">
        <f t="shared" si="283"/>
        <v>0.70999999999999985</v>
      </c>
      <c r="EJ54" s="55">
        <f t="shared" si="283"/>
        <v>0.68999999999999984</v>
      </c>
      <c r="EK54" s="55">
        <f t="shared" si="283"/>
        <v>0.66999999999999982</v>
      </c>
      <c r="EL54" s="55">
        <f t="shared" si="283"/>
        <v>0.6499999999999998</v>
      </c>
      <c r="EM54" s="55">
        <f t="shared" si="283"/>
        <v>0.62999999999999978</v>
      </c>
      <c r="EN54" s="55">
        <f t="shared" si="283"/>
        <v>0.60999999999999976</v>
      </c>
      <c r="EO54" s="55">
        <f t="shared" si="283"/>
        <v>0.58999999999999975</v>
      </c>
      <c r="EP54" s="55">
        <f t="shared" si="283"/>
        <v>0.56999999999999973</v>
      </c>
      <c r="ER54" s="55">
        <f t="shared" si="142"/>
        <v>1975472.2988000002</v>
      </c>
      <c r="ES54" s="55">
        <f t="shared" si="116"/>
        <v>1975472.2988000002</v>
      </c>
      <c r="ET54" s="59">
        <f t="shared" si="235"/>
        <v>6530516.3253730405</v>
      </c>
      <c r="EU54" s="55">
        <f t="shared" si="236"/>
        <v>1916208.1298360003</v>
      </c>
      <c r="EV54" s="59">
        <f t="shared" si="237"/>
        <v>6334600.83561185</v>
      </c>
      <c r="EW54" s="55">
        <f t="shared" si="238"/>
        <v>1876698.6838600002</v>
      </c>
      <c r="EX54" s="59">
        <f t="shared" si="239"/>
        <v>6203990.5091043888</v>
      </c>
      <c r="EY54" s="55">
        <f t="shared" si="240"/>
        <v>1837189.2378840004</v>
      </c>
      <c r="EZ54" s="59">
        <f t="shared" si="241"/>
        <v>6073380.1825969284</v>
      </c>
      <c r="FA54" s="57">
        <f t="shared" si="242"/>
        <v>1797679.7919080004</v>
      </c>
      <c r="FB54" s="59">
        <f t="shared" si="243"/>
        <v>5942769.8560894681</v>
      </c>
      <c r="FC54" s="55">
        <f t="shared" si="244"/>
        <v>1758170.3459320003</v>
      </c>
      <c r="FD54" s="59">
        <f t="shared" si="245"/>
        <v>5812159.5295820069</v>
      </c>
      <c r="FE54" s="57">
        <f t="shared" si="246"/>
        <v>1718660.8999560003</v>
      </c>
      <c r="FF54" s="59">
        <f t="shared" si="247"/>
        <v>5681549.2030745456</v>
      </c>
      <c r="FG54" s="60">
        <f t="shared" si="248"/>
        <v>1679151.4539800002</v>
      </c>
      <c r="FH54" s="59">
        <f t="shared" si="249"/>
        <v>5550938.8765670853</v>
      </c>
      <c r="FI54" s="57">
        <f t="shared" si="250"/>
        <v>1639642.0080040002</v>
      </c>
      <c r="FJ54" s="59">
        <f t="shared" si="251"/>
        <v>5420328.550059624</v>
      </c>
      <c r="FK54" s="55">
        <f t="shared" si="252"/>
        <v>1600132.5620280001</v>
      </c>
      <c r="FL54" s="59">
        <f t="shared" si="253"/>
        <v>5289718.2235521628</v>
      </c>
      <c r="FM54" s="60">
        <f t="shared" si="254"/>
        <v>1560623.1160520001</v>
      </c>
      <c r="FN54" s="59">
        <f t="shared" si="255"/>
        <v>5159107.8970447024</v>
      </c>
      <c r="FO54" s="60">
        <f t="shared" si="256"/>
        <v>1521113.670076</v>
      </c>
      <c r="FP54" s="59">
        <f t="shared" si="257"/>
        <v>5028497.5705372412</v>
      </c>
      <c r="FQ54" s="60">
        <f t="shared" si="258"/>
        <v>1481604.2241</v>
      </c>
      <c r="FR54" s="59">
        <f t="shared" si="259"/>
        <v>4897887.2440297799</v>
      </c>
      <c r="FS54" s="55">
        <f t="shared" si="260"/>
        <v>1442094.7781239999</v>
      </c>
      <c r="FT54" s="59">
        <f t="shared" si="261"/>
        <v>4767276.9175223187</v>
      </c>
      <c r="FU54" s="60">
        <f t="shared" si="262"/>
        <v>1402585.3321479999</v>
      </c>
      <c r="FV54" s="59">
        <f t="shared" si="263"/>
        <v>4636666.5910148583</v>
      </c>
      <c r="FW54" s="60">
        <f t="shared" si="264"/>
        <v>1363075.8861719999</v>
      </c>
      <c r="FX54" s="59">
        <f t="shared" si="265"/>
        <v>4506056.2645073971</v>
      </c>
      <c r="FY54" s="60">
        <f t="shared" si="266"/>
        <v>1323566.4401959998</v>
      </c>
      <c r="FZ54" s="59">
        <f t="shared" si="267"/>
        <v>4375445.9379999358</v>
      </c>
      <c r="GA54" s="60">
        <f t="shared" si="268"/>
        <v>1284056.9942199998</v>
      </c>
      <c r="GB54" s="59">
        <f t="shared" si="269"/>
        <v>4244835.6114924755</v>
      </c>
      <c r="GC54" s="55">
        <f t="shared" si="270"/>
        <v>1244547.5482439997</v>
      </c>
      <c r="GD54" s="59">
        <f t="shared" si="271"/>
        <v>4114225.2849850142</v>
      </c>
      <c r="GE54" s="60">
        <f t="shared" si="272"/>
        <v>1205038.1022679997</v>
      </c>
      <c r="GF54" s="59">
        <f t="shared" si="273"/>
        <v>3983614.9584775534</v>
      </c>
      <c r="GG54" s="60">
        <f t="shared" si="274"/>
        <v>1165528.6562919996</v>
      </c>
      <c r="GH54" s="59">
        <f t="shared" si="275"/>
        <v>3853004.6319700927</v>
      </c>
      <c r="GI54" s="55">
        <f t="shared" si="276"/>
        <v>1126019.2103159996</v>
      </c>
      <c r="GJ54" s="59">
        <f t="shared" si="277"/>
        <v>3722394.3054626314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4"/>
        <v>0.91</v>
      </c>
      <c r="GR54" s="55">
        <f t="shared" si="284"/>
        <v>0.89</v>
      </c>
      <c r="GS54" s="55">
        <f t="shared" si="284"/>
        <v>0.87</v>
      </c>
      <c r="GT54" s="55">
        <f t="shared" si="284"/>
        <v>0.85</v>
      </c>
      <c r="GU54" s="55">
        <f t="shared" si="284"/>
        <v>0.83</v>
      </c>
      <c r="GV54" s="55">
        <f t="shared" si="284"/>
        <v>0.80999999999999994</v>
      </c>
      <c r="GW54" s="55">
        <f t="shared" si="284"/>
        <v>0.78999999999999992</v>
      </c>
      <c r="GX54" s="55">
        <f t="shared" si="284"/>
        <v>0.76999999999999991</v>
      </c>
      <c r="GY54" s="55">
        <f t="shared" si="284"/>
        <v>0.74999999999999989</v>
      </c>
      <c r="GZ54" s="55">
        <f t="shared" si="284"/>
        <v>0.72999999999999987</v>
      </c>
      <c r="HA54" s="55">
        <f t="shared" si="284"/>
        <v>0.70999999999999985</v>
      </c>
      <c r="HB54" s="55">
        <f t="shared" si="284"/>
        <v>0.68999999999999984</v>
      </c>
      <c r="HC54" s="55">
        <f t="shared" si="284"/>
        <v>0.66999999999999982</v>
      </c>
      <c r="HD54" s="55">
        <f t="shared" si="284"/>
        <v>0.6499999999999998</v>
      </c>
      <c r="HE54" s="55">
        <f t="shared" si="284"/>
        <v>0.62999999999999978</v>
      </c>
      <c r="HF54" s="55">
        <f t="shared" si="284"/>
        <v>0.60999999999999976</v>
      </c>
      <c r="HG54" s="55">
        <f t="shared" si="284"/>
        <v>0.58999999999999975</v>
      </c>
      <c r="HH54" s="55">
        <f t="shared" si="284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85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86">+DW55-0.02</f>
        <v>0.91</v>
      </c>
      <c r="DY55" s="61">
        <f t="shared" si="286"/>
        <v>0.89</v>
      </c>
      <c r="DZ55" s="61">
        <f t="shared" si="286"/>
        <v>0.87</v>
      </c>
      <c r="EA55" s="61">
        <f t="shared" si="286"/>
        <v>0.85</v>
      </c>
      <c r="EB55" s="61">
        <f t="shared" si="286"/>
        <v>0.83</v>
      </c>
      <c r="EC55" s="61">
        <f t="shared" si="286"/>
        <v>0.80999999999999994</v>
      </c>
      <c r="ED55" s="61">
        <f t="shared" si="286"/>
        <v>0.78999999999999992</v>
      </c>
      <c r="EE55" s="61">
        <f t="shared" si="286"/>
        <v>0.76999999999999991</v>
      </c>
      <c r="EF55" s="61">
        <f t="shared" si="286"/>
        <v>0.74999999999999989</v>
      </c>
      <c r="EG55" s="61">
        <f t="shared" si="286"/>
        <v>0.72999999999999987</v>
      </c>
      <c r="EH55" s="61">
        <f t="shared" si="286"/>
        <v>0.70999999999999985</v>
      </c>
      <c r="EI55" s="61">
        <f t="shared" si="286"/>
        <v>0.68999999999999984</v>
      </c>
      <c r="EJ55" s="61">
        <f t="shared" si="286"/>
        <v>0.66999999999999982</v>
      </c>
      <c r="EK55" s="61">
        <f t="shared" si="286"/>
        <v>0.6499999999999998</v>
      </c>
      <c r="EL55" s="61">
        <f t="shared" si="286"/>
        <v>0.62999999999999978</v>
      </c>
      <c r="EM55" s="61">
        <f t="shared" si="286"/>
        <v>0.60999999999999976</v>
      </c>
      <c r="EN55" s="61">
        <f t="shared" si="286"/>
        <v>0.58999999999999975</v>
      </c>
      <c r="EO55" s="61">
        <f t="shared" si="286"/>
        <v>0.56999999999999973</v>
      </c>
      <c r="EQ55" s="61">
        <f t="shared" ref="EQ55:EQ56" si="287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88">+GO55-0.02</f>
        <v>0.91</v>
      </c>
      <c r="GQ55" s="61">
        <f t="shared" si="288"/>
        <v>0.89</v>
      </c>
      <c r="GR55" s="61">
        <f t="shared" si="288"/>
        <v>0.87</v>
      </c>
      <c r="GS55" s="61">
        <f t="shared" si="288"/>
        <v>0.85</v>
      </c>
      <c r="GT55" s="61">
        <f t="shared" si="288"/>
        <v>0.83</v>
      </c>
      <c r="GU55" s="61">
        <f t="shared" si="288"/>
        <v>0.80999999999999994</v>
      </c>
      <c r="GV55" s="61">
        <f t="shared" si="288"/>
        <v>0.78999999999999992</v>
      </c>
      <c r="GW55" s="61">
        <f t="shared" si="288"/>
        <v>0.76999999999999991</v>
      </c>
      <c r="GX55" s="61">
        <f t="shared" si="288"/>
        <v>0.74999999999999989</v>
      </c>
      <c r="GY55" s="61">
        <f t="shared" si="288"/>
        <v>0.72999999999999987</v>
      </c>
      <c r="GZ55" s="61">
        <f t="shared" si="288"/>
        <v>0.70999999999999985</v>
      </c>
      <c r="HA55" s="61">
        <f t="shared" si="288"/>
        <v>0.68999999999999984</v>
      </c>
      <c r="HB55" s="61">
        <f t="shared" si="288"/>
        <v>0.66999999999999982</v>
      </c>
      <c r="HC55" s="61">
        <f t="shared" si="288"/>
        <v>0.6499999999999998</v>
      </c>
      <c r="HD55" s="61">
        <f t="shared" si="288"/>
        <v>0.62999999999999978</v>
      </c>
      <c r="HE55" s="61">
        <f t="shared" si="288"/>
        <v>0.60999999999999976</v>
      </c>
      <c r="HF55" s="61">
        <f t="shared" si="288"/>
        <v>0.58999999999999975</v>
      </c>
      <c r="HG55" s="61">
        <f t="shared" si="288"/>
        <v>0.56999999999999973</v>
      </c>
    </row>
    <row r="56" spans="1:216" s="64" customFormat="1" ht="17.25" thickBot="1" x14ac:dyDescent="0.35">
      <c r="B56" s="64" t="s">
        <v>295</v>
      </c>
      <c r="C56" s="64" t="s">
        <v>296</v>
      </c>
      <c r="D56" s="65" t="s">
        <v>293</v>
      </c>
      <c r="E56" s="65" t="s">
        <v>155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85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86"/>
        <v>0.91</v>
      </c>
      <c r="DY56" s="61">
        <f t="shared" si="286"/>
        <v>0.89</v>
      </c>
      <c r="DZ56" s="61">
        <f t="shared" si="286"/>
        <v>0.87</v>
      </c>
      <c r="EA56" s="61">
        <f t="shared" si="286"/>
        <v>0.85</v>
      </c>
      <c r="EB56" s="61">
        <f t="shared" si="286"/>
        <v>0.83</v>
      </c>
      <c r="EC56" s="61">
        <f t="shared" si="286"/>
        <v>0.80999999999999994</v>
      </c>
      <c r="ED56" s="61">
        <f t="shared" si="286"/>
        <v>0.78999999999999992</v>
      </c>
      <c r="EE56" s="61">
        <f t="shared" si="286"/>
        <v>0.76999999999999991</v>
      </c>
      <c r="EF56" s="61">
        <f t="shared" si="286"/>
        <v>0.74999999999999989</v>
      </c>
      <c r="EG56" s="61">
        <f t="shared" si="286"/>
        <v>0.72999999999999987</v>
      </c>
      <c r="EH56" s="61">
        <f t="shared" si="286"/>
        <v>0.70999999999999985</v>
      </c>
      <c r="EI56" s="61">
        <f t="shared" si="286"/>
        <v>0.68999999999999984</v>
      </c>
      <c r="EJ56" s="61">
        <f t="shared" si="286"/>
        <v>0.66999999999999982</v>
      </c>
      <c r="EK56" s="61">
        <f t="shared" si="286"/>
        <v>0.6499999999999998</v>
      </c>
      <c r="EL56" s="61">
        <f t="shared" si="286"/>
        <v>0.62999999999999978</v>
      </c>
      <c r="EM56" s="61">
        <f t="shared" si="286"/>
        <v>0.60999999999999976</v>
      </c>
      <c r="EN56" s="61">
        <f t="shared" si="286"/>
        <v>0.58999999999999975</v>
      </c>
      <c r="EO56" s="61">
        <f t="shared" si="286"/>
        <v>0.56999999999999973</v>
      </c>
      <c r="EQ56" s="61">
        <f t="shared" si="287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88"/>
        <v>0.91</v>
      </c>
      <c r="GQ56" s="61">
        <f t="shared" si="288"/>
        <v>0.89</v>
      </c>
      <c r="GR56" s="61">
        <f t="shared" si="288"/>
        <v>0.87</v>
      </c>
      <c r="GS56" s="61">
        <f t="shared" si="288"/>
        <v>0.85</v>
      </c>
      <c r="GT56" s="61">
        <f t="shared" si="288"/>
        <v>0.83</v>
      </c>
      <c r="GU56" s="61">
        <f t="shared" si="288"/>
        <v>0.80999999999999994</v>
      </c>
      <c r="GV56" s="61">
        <f t="shared" si="288"/>
        <v>0.78999999999999992</v>
      </c>
      <c r="GW56" s="61">
        <f t="shared" si="288"/>
        <v>0.76999999999999991</v>
      </c>
      <c r="GX56" s="61">
        <f t="shared" si="288"/>
        <v>0.74999999999999989</v>
      </c>
      <c r="GY56" s="61">
        <f t="shared" si="288"/>
        <v>0.72999999999999987</v>
      </c>
      <c r="GZ56" s="61">
        <f t="shared" si="288"/>
        <v>0.70999999999999985</v>
      </c>
      <c r="HA56" s="61">
        <f t="shared" si="288"/>
        <v>0.68999999999999984</v>
      </c>
      <c r="HB56" s="61">
        <f t="shared" si="288"/>
        <v>0.66999999999999982</v>
      </c>
      <c r="HC56" s="61">
        <f t="shared" si="288"/>
        <v>0.6499999999999998</v>
      </c>
      <c r="HD56" s="61">
        <f t="shared" si="288"/>
        <v>0.62999999999999978</v>
      </c>
      <c r="HE56" s="61">
        <f t="shared" si="288"/>
        <v>0.60999999999999976</v>
      </c>
      <c r="HF56" s="61">
        <f t="shared" si="288"/>
        <v>0.58999999999999975</v>
      </c>
      <c r="HG56" s="61">
        <f t="shared" si="288"/>
        <v>0.56999999999999973</v>
      </c>
    </row>
    <row r="57" spans="1:216" x14ac:dyDescent="0.3">
      <c r="A57" s="2">
        <v>1</v>
      </c>
      <c r="C57" s="38" t="s">
        <v>27</v>
      </c>
      <c r="D57" s="40">
        <f>TRUNC(89802.2910029168,-1)</f>
        <v>89800</v>
      </c>
      <c r="E57" s="70">
        <f>TRUNC(+D57*3.3058,-1)</f>
        <v>296860</v>
      </c>
      <c r="H57" s="55">
        <f t="shared" si="61"/>
        <v>326546</v>
      </c>
      <c r="I57" s="55">
        <f t="shared" si="62"/>
        <v>326546</v>
      </c>
      <c r="J57" s="59">
        <f t="shared" si="63"/>
        <v>1079495.7668000001</v>
      </c>
      <c r="K57" s="55">
        <f t="shared" ref="K57:K60" si="289">+I57*BD57</f>
        <v>316749.62</v>
      </c>
      <c r="L57" s="59">
        <f t="shared" ref="L57:L60" si="290">+K57*3.3058</f>
        <v>1047110.893796</v>
      </c>
      <c r="M57" s="55">
        <f t="shared" ref="M57:M60" si="291">+I57*BE57</f>
        <v>310218.7</v>
      </c>
      <c r="N57" s="59">
        <f t="shared" ref="N57:N60" si="292">+M57*3.3058</f>
        <v>1025520.97846</v>
      </c>
      <c r="O57" s="55">
        <f>+I57*BF57</f>
        <v>303687.78000000003</v>
      </c>
      <c r="P57" s="59">
        <f t="shared" ref="P57:P60" si="293">+O57*3.3058</f>
        <v>1003931.0631240001</v>
      </c>
      <c r="Q57" s="57">
        <f>+I57*BG57</f>
        <v>297156.86</v>
      </c>
      <c r="R57" s="59">
        <f t="shared" ref="R57:R60" si="294">+Q57*3.3058</f>
        <v>982341.14778799994</v>
      </c>
      <c r="S57" s="55">
        <f>+I57*BH57</f>
        <v>290625.94</v>
      </c>
      <c r="T57" s="59">
        <f t="shared" ref="T57:T60" si="295">+S57*3.3058</f>
        <v>960751.23245200003</v>
      </c>
      <c r="U57" s="57">
        <f>+I57*BI57</f>
        <v>284095.02</v>
      </c>
      <c r="V57" s="59">
        <f t="shared" ref="V57:V60" si="296">+U57*3.3058</f>
        <v>939161.31711600011</v>
      </c>
      <c r="W57" s="60">
        <f>+I57*BJ57</f>
        <v>277564.09999999998</v>
      </c>
      <c r="X57" s="59">
        <f t="shared" ref="X57:X60" si="297">+W57*3.3058</f>
        <v>917571.40177999996</v>
      </c>
      <c r="Y57" s="57">
        <f>+I57*BK57</f>
        <v>271033.18</v>
      </c>
      <c r="Z57" s="59">
        <f t="shared" ref="Z57:Z60" si="298">+Y57*3.3058</f>
        <v>895981.48644400004</v>
      </c>
      <c r="AA57" s="55">
        <f>+I57*BL57</f>
        <v>264502.26</v>
      </c>
      <c r="AB57" s="59">
        <f t="shared" ref="AB57:AB60" si="299">+AA57*3.3058</f>
        <v>874391.571108</v>
      </c>
      <c r="AC57" s="60">
        <f>+I57*BM57</f>
        <v>257971.33999999997</v>
      </c>
      <c r="AD57" s="59">
        <f t="shared" ref="AD57:AD60" si="300">+AC57*3.3058</f>
        <v>852801.65577199985</v>
      </c>
      <c r="AE57" s="60">
        <f>+I57*BN57</f>
        <v>251440.41999999998</v>
      </c>
      <c r="AF57" s="59">
        <f t="shared" ref="AF57:AF60" si="301">+AE57*3.3058</f>
        <v>831211.74043599993</v>
      </c>
      <c r="AG57" s="60">
        <f>+I57*BO57</f>
        <v>244909.49999999997</v>
      </c>
      <c r="AH57" s="59">
        <f t="shared" ref="AH57:AH60" si="302">+AG57*3.3058</f>
        <v>809621.8250999999</v>
      </c>
      <c r="AI57" s="55">
        <f>+I57*BP57</f>
        <v>238378.57999999996</v>
      </c>
      <c r="AJ57" s="59">
        <f t="shared" ref="AJ57:AJ60" si="303">+AI57*3.3058</f>
        <v>788031.90976399987</v>
      </c>
      <c r="AK57" s="60">
        <f>+I57*BQ57</f>
        <v>231847.65999999995</v>
      </c>
      <c r="AL57" s="59">
        <f t="shared" ref="AL57:AL60" si="304">+AK57*3.3058</f>
        <v>766441.99442799983</v>
      </c>
      <c r="AM57" s="60">
        <f>+I57*BR57</f>
        <v>225316.73999999993</v>
      </c>
      <c r="AN57" s="59">
        <f t="shared" ref="AN57:AN60" si="305">+AM57*3.3058</f>
        <v>744852.0790919998</v>
      </c>
      <c r="AO57" s="60">
        <f>+I57*BS57</f>
        <v>218785.81999999995</v>
      </c>
      <c r="AP57" s="59">
        <f t="shared" ref="AP57:AP60" si="306">+AO57*3.3058</f>
        <v>723262.16375599988</v>
      </c>
      <c r="AQ57" s="60">
        <f>+I57*BT57</f>
        <v>212254.89999999994</v>
      </c>
      <c r="AR57" s="59">
        <f t="shared" ref="AR57:AR60" si="307">+AQ57*3.3058</f>
        <v>701672.24841999984</v>
      </c>
      <c r="AS57" s="55">
        <f>+I57*BU57</f>
        <v>205723.97999999992</v>
      </c>
      <c r="AT57" s="59">
        <f t="shared" ref="AT57:AT60" si="308">+AS57*3.3058</f>
        <v>680082.33308399981</v>
      </c>
      <c r="AU57" s="60">
        <f>+I57*BV57</f>
        <v>199193.05999999991</v>
      </c>
      <c r="AV57" s="59">
        <f t="shared" ref="AV57:AV60" si="309">+AU57*3.3058</f>
        <v>658492.41774799977</v>
      </c>
      <c r="AW57" s="60">
        <f>+I57*BW57</f>
        <v>192662.13999999993</v>
      </c>
      <c r="AX57" s="59">
        <f t="shared" ref="AX57:AX60" si="310">+AW57*3.3058</f>
        <v>636902.50241199974</v>
      </c>
      <c r="AY57" s="55">
        <f>+I57*BX57</f>
        <v>186131.21999999991</v>
      </c>
      <c r="AZ57" s="59">
        <f t="shared" ref="AZ57:AZ60" si="311">+AY57*3.3058</f>
        <v>615312.58707599971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2">+BF57-0.02</f>
        <v>0.91</v>
      </c>
      <c r="BH57" s="55">
        <f t="shared" si="312"/>
        <v>0.89</v>
      </c>
      <c r="BI57" s="55">
        <f t="shared" si="312"/>
        <v>0.87</v>
      </c>
      <c r="BJ57" s="55">
        <f t="shared" si="312"/>
        <v>0.85</v>
      </c>
      <c r="BK57" s="55">
        <f t="shared" si="312"/>
        <v>0.83</v>
      </c>
      <c r="BL57" s="55">
        <f t="shared" si="312"/>
        <v>0.80999999999999994</v>
      </c>
      <c r="BM57" s="55">
        <f t="shared" si="312"/>
        <v>0.78999999999999992</v>
      </c>
      <c r="BN57" s="55">
        <f t="shared" si="312"/>
        <v>0.76999999999999991</v>
      </c>
      <c r="BO57" s="55">
        <f t="shared" si="312"/>
        <v>0.74999999999999989</v>
      </c>
      <c r="BP57" s="55">
        <f t="shared" si="312"/>
        <v>0.72999999999999987</v>
      </c>
      <c r="BQ57" s="55">
        <f t="shared" si="312"/>
        <v>0.70999999999999985</v>
      </c>
      <c r="BR57" s="55">
        <f t="shared" si="312"/>
        <v>0.68999999999999984</v>
      </c>
      <c r="BS57" s="55">
        <f t="shared" si="312"/>
        <v>0.66999999999999982</v>
      </c>
      <c r="BT57" s="55">
        <f t="shared" si="312"/>
        <v>0.6499999999999998</v>
      </c>
      <c r="BU57" s="55">
        <f t="shared" si="312"/>
        <v>0.62999999999999978</v>
      </c>
      <c r="BV57" s="55">
        <f t="shared" si="312"/>
        <v>0.60999999999999976</v>
      </c>
      <c r="BW57" s="55">
        <f t="shared" si="312"/>
        <v>0.58999999999999975</v>
      </c>
      <c r="BX57" s="55">
        <f t="shared" si="312"/>
        <v>0.56999999999999973</v>
      </c>
      <c r="BZ57" s="55">
        <f t="shared" si="88"/>
        <v>297156.86</v>
      </c>
      <c r="CA57" s="55">
        <f t="shared" si="89"/>
        <v>297156.86</v>
      </c>
      <c r="CB57" s="59">
        <f t="shared" ref="CB57:CB60" si="313">+CA57*3.3058</f>
        <v>982341.14778799994</v>
      </c>
      <c r="CC57" s="55">
        <f t="shared" ref="CC57:CC60" si="314">+CA57*DV57</f>
        <v>288242.15419999999</v>
      </c>
      <c r="CD57" s="59">
        <f t="shared" ref="CD57:CD60" si="315">+CC57*3.3058</f>
        <v>952870.91335436003</v>
      </c>
      <c r="CE57" s="55">
        <f t="shared" ref="CE57:CE60" si="316">+CA57*DW57</f>
        <v>282299.01699999999</v>
      </c>
      <c r="CF57" s="59">
        <f t="shared" ref="CF57:CF60" si="317">+CE57*3.3058</f>
        <v>933224.09039859998</v>
      </c>
      <c r="CG57" s="55">
        <f>+CA57*DX57</f>
        <v>276355.8798</v>
      </c>
      <c r="CH57" s="59">
        <f t="shared" ref="CH57:CH60" si="318">+CG57*3.3058</f>
        <v>913577.26744284004</v>
      </c>
      <c r="CI57" s="57">
        <f>+CA57*DY57</f>
        <v>270412.7426</v>
      </c>
      <c r="CJ57" s="59">
        <f t="shared" ref="CJ57:CJ60" si="319">+CI57*3.3058</f>
        <v>893930.44448707998</v>
      </c>
      <c r="CK57" s="55">
        <f>+CA57*DZ57</f>
        <v>264469.6054</v>
      </c>
      <c r="CL57" s="59">
        <f t="shared" ref="CL57:CL60" si="320">+CK57*3.3058</f>
        <v>874283.62153132004</v>
      </c>
      <c r="CM57" s="57">
        <f>+CA57*EA57</f>
        <v>258526.46819999997</v>
      </c>
      <c r="CN57" s="59">
        <f t="shared" ref="CN57:CN60" si="321">+CM57*3.3058</f>
        <v>854636.79857555998</v>
      </c>
      <c r="CO57" s="60">
        <f>+CA57*EB57</f>
        <v>252583.33099999998</v>
      </c>
      <c r="CP57" s="59">
        <f t="shared" ref="CP57:CP60" si="322">+CO57*3.3058</f>
        <v>834989.97561979992</v>
      </c>
      <c r="CQ57" s="57">
        <f>+CA57*EC57</f>
        <v>246640.19379999998</v>
      </c>
      <c r="CR57" s="59">
        <f t="shared" ref="CR57:CR60" si="323">+CQ57*3.3058</f>
        <v>815343.15266403998</v>
      </c>
      <c r="CS57" s="55">
        <f>+CA57*ED57</f>
        <v>240697.05659999998</v>
      </c>
      <c r="CT57" s="59">
        <f t="shared" ref="CT57:CT60" si="324">+CS57*3.3058</f>
        <v>795696.32970827993</v>
      </c>
      <c r="CU57" s="60">
        <f>+CA57*EE57</f>
        <v>234753.91939999996</v>
      </c>
      <c r="CV57" s="59">
        <f t="shared" ref="CV57:CV60" si="325">+CU57*3.3058</f>
        <v>776049.50675251987</v>
      </c>
      <c r="CW57" s="60">
        <f>+CA57*EF57</f>
        <v>228810.78219999996</v>
      </c>
      <c r="CX57" s="59">
        <f t="shared" ref="CX57:CX60" si="326">+CW57*3.3058</f>
        <v>756402.68379675993</v>
      </c>
      <c r="CY57" s="60">
        <f>+CA57*EG57</f>
        <v>222867.64499999996</v>
      </c>
      <c r="CZ57" s="59">
        <f t="shared" ref="CZ57:CZ60" si="327">+CY57*3.3058</f>
        <v>736755.86084099987</v>
      </c>
      <c r="DA57" s="55">
        <f>+CA57*EH57</f>
        <v>216924.50779999996</v>
      </c>
      <c r="DB57" s="59">
        <f t="shared" ref="DB57:DB60" si="328">+DA57*3.3058</f>
        <v>717109.03788523993</v>
      </c>
      <c r="DC57" s="60">
        <f>+CA57*EI57</f>
        <v>210981.37059999994</v>
      </c>
      <c r="DD57" s="59">
        <f t="shared" ref="DD57:DD60" si="329">+DC57*3.3058</f>
        <v>697462.21492947976</v>
      </c>
      <c r="DE57" s="60">
        <f>+CA57*EJ57</f>
        <v>205038.23339999994</v>
      </c>
      <c r="DF57" s="59">
        <f t="shared" ref="DF57:DF60" si="330">+DE57*3.3058</f>
        <v>677815.39197371982</v>
      </c>
      <c r="DG57" s="60">
        <f>+CA57*EK57</f>
        <v>199095.09619999994</v>
      </c>
      <c r="DH57" s="59">
        <f t="shared" ref="DH57:DH60" si="331">+DG57*3.3058</f>
        <v>658168.56901795988</v>
      </c>
      <c r="DI57" s="60">
        <f>+CA57*EL57</f>
        <v>193151.95899999994</v>
      </c>
      <c r="DJ57" s="59">
        <f t="shared" ref="DJ57:DJ60" si="332">+DI57*3.3058</f>
        <v>638521.74606219982</v>
      </c>
      <c r="DK57" s="55">
        <f>+CA57*EM57</f>
        <v>187208.82179999992</v>
      </c>
      <c r="DL57" s="59">
        <f t="shared" ref="DL57:DL60" si="333">+DK57*3.3058</f>
        <v>618874.92310643976</v>
      </c>
      <c r="DM57" s="60">
        <f>+CA57*EN57</f>
        <v>181265.68459999992</v>
      </c>
      <c r="DN57" s="59">
        <f t="shared" ref="DN57:DN60" si="334">+DM57*3.3058</f>
        <v>599228.1001506797</v>
      </c>
      <c r="DO57" s="60">
        <f>+CA57*EO57</f>
        <v>175322.54739999992</v>
      </c>
      <c r="DP57" s="59">
        <f t="shared" ref="DP57:DP60" si="335">+DO57*3.3058</f>
        <v>579581.27719491976</v>
      </c>
      <c r="DQ57" s="55">
        <f>+CA57*EP57</f>
        <v>169379.41019999993</v>
      </c>
      <c r="DR57" s="59">
        <f t="shared" ref="DR57:DR60" si="336">+DQ57*3.3058</f>
        <v>559934.45423915982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3"/>
        <v>0.91</v>
      </c>
      <c r="DZ57" s="55">
        <f t="shared" si="283"/>
        <v>0.89</v>
      </c>
      <c r="EA57" s="55">
        <f t="shared" si="283"/>
        <v>0.87</v>
      </c>
      <c r="EB57" s="55">
        <f t="shared" si="283"/>
        <v>0.85</v>
      </c>
      <c r="EC57" s="55">
        <f t="shared" si="283"/>
        <v>0.83</v>
      </c>
      <c r="ED57" s="55">
        <f t="shared" si="283"/>
        <v>0.80999999999999994</v>
      </c>
      <c r="EE57" s="55">
        <f t="shared" si="283"/>
        <v>0.78999999999999992</v>
      </c>
      <c r="EF57" s="55">
        <f t="shared" si="283"/>
        <v>0.76999999999999991</v>
      </c>
      <c r="EG57" s="55">
        <f t="shared" si="283"/>
        <v>0.74999999999999989</v>
      </c>
      <c r="EH57" s="55">
        <f t="shared" si="283"/>
        <v>0.72999999999999987</v>
      </c>
      <c r="EI57" s="55">
        <f t="shared" si="283"/>
        <v>0.70999999999999985</v>
      </c>
      <c r="EJ57" s="55">
        <f t="shared" si="283"/>
        <v>0.68999999999999984</v>
      </c>
      <c r="EK57" s="55">
        <f t="shared" si="283"/>
        <v>0.66999999999999982</v>
      </c>
      <c r="EL57" s="55">
        <f t="shared" si="283"/>
        <v>0.6499999999999998</v>
      </c>
      <c r="EM57" s="55">
        <f t="shared" si="283"/>
        <v>0.62999999999999978</v>
      </c>
      <c r="EN57" s="55">
        <f t="shared" si="283"/>
        <v>0.60999999999999976</v>
      </c>
      <c r="EO57" s="55">
        <f t="shared" si="283"/>
        <v>0.58999999999999975</v>
      </c>
      <c r="EP57" s="55">
        <f t="shared" si="283"/>
        <v>0.56999999999999973</v>
      </c>
      <c r="ER57" s="55">
        <f t="shared" si="142"/>
        <v>270412.7426</v>
      </c>
      <c r="ES57" s="55">
        <f t="shared" si="116"/>
        <v>270412.7426</v>
      </c>
      <c r="ET57" s="59">
        <f t="shared" ref="ET57:ET60" si="337">+ES57*3.3058</f>
        <v>893930.44448707998</v>
      </c>
      <c r="EU57" s="55">
        <f t="shared" ref="EU57:EU60" si="338">+ES57*GN57</f>
        <v>262300.36032199999</v>
      </c>
      <c r="EV57" s="59">
        <f t="shared" ref="EV57:EV60" si="339">+EU57*3.3058</f>
        <v>867112.53115246759</v>
      </c>
      <c r="EW57" s="55">
        <f t="shared" ref="EW57:EW60" si="340">+ES57*GO57</f>
        <v>256892.10546999998</v>
      </c>
      <c r="EX57" s="59">
        <f t="shared" ref="EX57:EX60" si="341">+EW57*3.3058</f>
        <v>849233.922262726</v>
      </c>
      <c r="EY57" s="55">
        <f>+ES57*GP57</f>
        <v>251483.850618</v>
      </c>
      <c r="EZ57" s="59">
        <f t="shared" ref="EZ57:EZ60" si="342">+EY57*3.3058</f>
        <v>831355.31337298441</v>
      </c>
      <c r="FA57" s="57">
        <f>+ES57*GQ57</f>
        <v>246075.59576600001</v>
      </c>
      <c r="FB57" s="59">
        <f t="shared" ref="FB57:FB60" si="343">+FA57*3.3058</f>
        <v>813476.70448324282</v>
      </c>
      <c r="FC57" s="55">
        <f>+ES57*GR57</f>
        <v>240667.340914</v>
      </c>
      <c r="FD57" s="59">
        <f t="shared" ref="FD57:FD60" si="344">+FC57*3.3058</f>
        <v>795598.09559350123</v>
      </c>
      <c r="FE57" s="57">
        <f>+ES57*GS57</f>
        <v>235259.08606199999</v>
      </c>
      <c r="FF57" s="59">
        <f t="shared" ref="FF57:FF60" si="345">+FE57*3.3058</f>
        <v>777719.48670375952</v>
      </c>
      <c r="FG57" s="60">
        <f>+ES57*GT57</f>
        <v>229850.83121</v>
      </c>
      <c r="FH57" s="59">
        <f t="shared" ref="FH57:FH60" si="346">+FG57*3.3058</f>
        <v>759840.87781401805</v>
      </c>
      <c r="FI57" s="57">
        <f>+ES57*GU57</f>
        <v>224442.57635799999</v>
      </c>
      <c r="FJ57" s="59">
        <f t="shared" ref="FJ57:FJ60" si="347">+FI57*3.3058</f>
        <v>741962.26892427634</v>
      </c>
      <c r="FK57" s="55">
        <f>+ES57*GV57</f>
        <v>219034.32150599998</v>
      </c>
      <c r="FL57" s="59">
        <f t="shared" ref="FL57:FL60" si="348">+FK57*3.3058</f>
        <v>724083.66003453475</v>
      </c>
      <c r="FM57" s="60">
        <f>+ES57*GW57</f>
        <v>213626.06665399997</v>
      </c>
      <c r="FN57" s="59">
        <f t="shared" ref="FN57:FN60" si="349">+FM57*3.3058</f>
        <v>706205.05114479305</v>
      </c>
      <c r="FO57" s="60">
        <f>+ES57*GX57</f>
        <v>208217.81180199998</v>
      </c>
      <c r="FP57" s="59">
        <f t="shared" ref="FP57:FP60" si="350">+FO57*3.3058</f>
        <v>688326.44225505157</v>
      </c>
      <c r="FQ57" s="60">
        <f>+ES57*GY57</f>
        <v>202809.55694999997</v>
      </c>
      <c r="FR57" s="59">
        <f t="shared" ref="FR57:FR60" si="351">+FQ57*3.3058</f>
        <v>670447.83336530987</v>
      </c>
      <c r="FS57" s="55">
        <f>+ES57*GZ57</f>
        <v>197401.30209799996</v>
      </c>
      <c r="FT57" s="59">
        <f t="shared" ref="FT57:FT60" si="352">+FS57*3.3058</f>
        <v>652569.22447556828</v>
      </c>
      <c r="FU57" s="60">
        <f>+ES57*HA57</f>
        <v>191993.04724599997</v>
      </c>
      <c r="FV57" s="59">
        <f t="shared" ref="FV57:FV60" si="353">+FU57*3.3058</f>
        <v>634690.61558582669</v>
      </c>
      <c r="FW57" s="60">
        <f>+ES57*HB57</f>
        <v>186584.79239399996</v>
      </c>
      <c r="FX57" s="59">
        <f t="shared" ref="FX57:FX60" si="354">+FW57*3.3058</f>
        <v>616812.0066960851</v>
      </c>
      <c r="FY57" s="60">
        <f>+ES57*HC57</f>
        <v>181176.53754199995</v>
      </c>
      <c r="FZ57" s="59">
        <f t="shared" ref="FZ57:FZ60" si="355">+FY57*3.3058</f>
        <v>598933.39780634339</v>
      </c>
      <c r="GA57" s="60">
        <f>+ES57*HD57</f>
        <v>175768.28268999993</v>
      </c>
      <c r="GB57" s="59">
        <f t="shared" ref="GB57:GB60" si="356">+GA57*3.3058</f>
        <v>581054.7889166018</v>
      </c>
      <c r="GC57" s="55">
        <f>+ES57*HE57</f>
        <v>170360.02783799995</v>
      </c>
      <c r="GD57" s="59">
        <f t="shared" ref="GD57:GD60" si="357">+GC57*3.3058</f>
        <v>563176.18002686021</v>
      </c>
      <c r="GE57" s="60">
        <f>+ES57*HF57</f>
        <v>164951.77298599994</v>
      </c>
      <c r="GF57" s="59">
        <f t="shared" ref="GF57:GF60" si="358">+GE57*3.3058</f>
        <v>545297.57113711862</v>
      </c>
      <c r="GG57" s="60">
        <f>+ES57*HG57</f>
        <v>159543.51813399993</v>
      </c>
      <c r="GH57" s="59">
        <f t="shared" ref="GH57:GH60" si="359">+GG57*3.3058</f>
        <v>527418.96224737691</v>
      </c>
      <c r="GI57" s="55">
        <f>+ES57*HH57</f>
        <v>154135.26328199991</v>
      </c>
      <c r="GJ57" s="59">
        <f t="shared" ref="GJ57:GJ60" si="360">+GI57*3.3058</f>
        <v>509540.35335763532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4"/>
        <v>0.91</v>
      </c>
      <c r="GR57" s="55">
        <f t="shared" si="284"/>
        <v>0.89</v>
      </c>
      <c r="GS57" s="55">
        <f t="shared" si="284"/>
        <v>0.87</v>
      </c>
      <c r="GT57" s="55">
        <f t="shared" si="284"/>
        <v>0.85</v>
      </c>
      <c r="GU57" s="55">
        <f t="shared" si="284"/>
        <v>0.83</v>
      </c>
      <c r="GV57" s="55">
        <f t="shared" si="284"/>
        <v>0.80999999999999994</v>
      </c>
      <c r="GW57" s="55">
        <f t="shared" si="284"/>
        <v>0.78999999999999992</v>
      </c>
      <c r="GX57" s="55">
        <f t="shared" si="284"/>
        <v>0.76999999999999991</v>
      </c>
      <c r="GY57" s="55">
        <f t="shared" si="284"/>
        <v>0.74999999999999989</v>
      </c>
      <c r="GZ57" s="55">
        <f t="shared" si="284"/>
        <v>0.72999999999999987</v>
      </c>
      <c r="HA57" s="55">
        <f t="shared" si="284"/>
        <v>0.70999999999999985</v>
      </c>
      <c r="HB57" s="55">
        <f t="shared" si="284"/>
        <v>0.68999999999999984</v>
      </c>
      <c r="HC57" s="55">
        <f t="shared" si="284"/>
        <v>0.66999999999999982</v>
      </c>
      <c r="HD57" s="55">
        <f t="shared" si="284"/>
        <v>0.6499999999999998</v>
      </c>
      <c r="HE57" s="55">
        <f t="shared" si="284"/>
        <v>0.62999999999999978</v>
      </c>
      <c r="HF57" s="55">
        <f t="shared" si="284"/>
        <v>0.60999999999999976</v>
      </c>
      <c r="HG57" s="55">
        <f t="shared" si="284"/>
        <v>0.58999999999999975</v>
      </c>
      <c r="HH57" s="55">
        <f t="shared" si="284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61"/>
        <v>0</v>
      </c>
      <c r="I58" s="55">
        <f t="shared" si="62"/>
        <v>0</v>
      </c>
      <c r="J58" s="59">
        <f t="shared" si="63"/>
        <v>0</v>
      </c>
      <c r="K58" s="55">
        <f t="shared" si="289"/>
        <v>0</v>
      </c>
      <c r="L58" s="59">
        <f t="shared" si="290"/>
        <v>0</v>
      </c>
      <c r="M58" s="55">
        <f t="shared" si="291"/>
        <v>0</v>
      </c>
      <c r="N58" s="59">
        <f t="shared" si="292"/>
        <v>0</v>
      </c>
      <c r="O58" s="55">
        <f>+I58*BF58</f>
        <v>0</v>
      </c>
      <c r="P58" s="59">
        <f t="shared" si="293"/>
        <v>0</v>
      </c>
      <c r="Q58" s="57">
        <f>+I58*BG58</f>
        <v>0</v>
      </c>
      <c r="R58" s="59">
        <f t="shared" si="294"/>
        <v>0</v>
      </c>
      <c r="S58" s="55">
        <f>+I58*BH58</f>
        <v>0</v>
      </c>
      <c r="T58" s="59">
        <f t="shared" si="295"/>
        <v>0</v>
      </c>
      <c r="U58" s="57">
        <f>+I58*BI58</f>
        <v>0</v>
      </c>
      <c r="V58" s="59">
        <f t="shared" si="296"/>
        <v>0</v>
      </c>
      <c r="W58" s="60">
        <f>+I58*BJ58</f>
        <v>0</v>
      </c>
      <c r="X58" s="59">
        <f t="shared" si="297"/>
        <v>0</v>
      </c>
      <c r="Y58" s="57">
        <f>+I58*BK58</f>
        <v>0</v>
      </c>
      <c r="Z58" s="59">
        <f t="shared" si="298"/>
        <v>0</v>
      </c>
      <c r="AA58" s="55">
        <f>+I58*BL58</f>
        <v>0</v>
      </c>
      <c r="AB58" s="59">
        <f t="shared" si="299"/>
        <v>0</v>
      </c>
      <c r="AC58" s="60">
        <f>+I58*BM58</f>
        <v>0</v>
      </c>
      <c r="AD58" s="59">
        <f t="shared" si="300"/>
        <v>0</v>
      </c>
      <c r="AE58" s="60">
        <f>+I58*BN58</f>
        <v>0</v>
      </c>
      <c r="AF58" s="59">
        <f t="shared" si="301"/>
        <v>0</v>
      </c>
      <c r="AG58" s="60">
        <f>+I58*BO58</f>
        <v>0</v>
      </c>
      <c r="AH58" s="59">
        <f t="shared" si="302"/>
        <v>0</v>
      </c>
      <c r="AI58" s="55">
        <f>+I58*BP58</f>
        <v>0</v>
      </c>
      <c r="AJ58" s="59">
        <f t="shared" si="303"/>
        <v>0</v>
      </c>
      <c r="AK58" s="60">
        <f>+I58*BQ58</f>
        <v>0</v>
      </c>
      <c r="AL58" s="59">
        <f t="shared" si="304"/>
        <v>0</v>
      </c>
      <c r="AM58" s="60">
        <f>+I58*BR58</f>
        <v>0</v>
      </c>
      <c r="AN58" s="59">
        <f t="shared" si="305"/>
        <v>0</v>
      </c>
      <c r="AO58" s="60">
        <f>+I58*BS58</f>
        <v>0</v>
      </c>
      <c r="AP58" s="59">
        <f t="shared" si="306"/>
        <v>0</v>
      </c>
      <c r="AQ58" s="60">
        <f>+I58*BT58</f>
        <v>0</v>
      </c>
      <c r="AR58" s="59">
        <f t="shared" si="307"/>
        <v>0</v>
      </c>
      <c r="AS58" s="55">
        <f>+I58*BU58</f>
        <v>0</v>
      </c>
      <c r="AT58" s="59">
        <f t="shared" si="308"/>
        <v>0</v>
      </c>
      <c r="AU58" s="60">
        <f>+I58*BV58</f>
        <v>0</v>
      </c>
      <c r="AV58" s="59">
        <f t="shared" si="309"/>
        <v>0</v>
      </c>
      <c r="AW58" s="60">
        <f>+I58*BW58</f>
        <v>0</v>
      </c>
      <c r="AX58" s="59">
        <f t="shared" si="310"/>
        <v>0</v>
      </c>
      <c r="AY58" s="55">
        <f>+I58*BX58</f>
        <v>0</v>
      </c>
      <c r="AZ58" s="59">
        <f t="shared" si="311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2"/>
        <v>0.91</v>
      </c>
      <c r="BH58" s="55">
        <f t="shared" si="312"/>
        <v>0.89</v>
      </c>
      <c r="BI58" s="55">
        <f t="shared" si="312"/>
        <v>0.87</v>
      </c>
      <c r="BJ58" s="55">
        <f t="shared" si="312"/>
        <v>0.85</v>
      </c>
      <c r="BK58" s="55">
        <f t="shared" si="312"/>
        <v>0.83</v>
      </c>
      <c r="BL58" s="55">
        <f t="shared" si="312"/>
        <v>0.80999999999999994</v>
      </c>
      <c r="BM58" s="55">
        <f t="shared" si="312"/>
        <v>0.78999999999999992</v>
      </c>
      <c r="BN58" s="55">
        <f t="shared" si="312"/>
        <v>0.76999999999999991</v>
      </c>
      <c r="BO58" s="55">
        <f t="shared" si="312"/>
        <v>0.74999999999999989</v>
      </c>
      <c r="BP58" s="55">
        <f t="shared" si="312"/>
        <v>0.72999999999999987</v>
      </c>
      <c r="BQ58" s="55">
        <f t="shared" si="312"/>
        <v>0.70999999999999985</v>
      </c>
      <c r="BR58" s="55">
        <f t="shared" si="312"/>
        <v>0.68999999999999984</v>
      </c>
      <c r="BS58" s="55">
        <f t="shared" si="312"/>
        <v>0.66999999999999982</v>
      </c>
      <c r="BT58" s="55">
        <f t="shared" si="312"/>
        <v>0.6499999999999998</v>
      </c>
      <c r="BU58" s="55">
        <f t="shared" si="312"/>
        <v>0.62999999999999978</v>
      </c>
      <c r="BV58" s="55">
        <f t="shared" si="312"/>
        <v>0.60999999999999976</v>
      </c>
      <c r="BW58" s="55">
        <f t="shared" si="312"/>
        <v>0.58999999999999975</v>
      </c>
      <c r="BX58" s="55">
        <f t="shared" si="312"/>
        <v>0.56999999999999973</v>
      </c>
      <c r="BZ58" s="55">
        <f t="shared" si="88"/>
        <v>0</v>
      </c>
      <c r="CA58" s="55">
        <f t="shared" si="89"/>
        <v>0</v>
      </c>
      <c r="CB58" s="59">
        <f t="shared" si="313"/>
        <v>0</v>
      </c>
      <c r="CC58" s="55">
        <f t="shared" si="314"/>
        <v>0</v>
      </c>
      <c r="CD58" s="59">
        <f t="shared" si="315"/>
        <v>0</v>
      </c>
      <c r="CE58" s="55">
        <f t="shared" si="316"/>
        <v>0</v>
      </c>
      <c r="CF58" s="59">
        <f t="shared" si="317"/>
        <v>0</v>
      </c>
      <c r="CG58" s="55">
        <f>+CA58*DX58</f>
        <v>0</v>
      </c>
      <c r="CH58" s="59">
        <f t="shared" si="318"/>
        <v>0</v>
      </c>
      <c r="CI58" s="57">
        <f>+CA58*DY58</f>
        <v>0</v>
      </c>
      <c r="CJ58" s="59">
        <f t="shared" si="319"/>
        <v>0</v>
      </c>
      <c r="CK58" s="55">
        <f>+CA58*DZ58</f>
        <v>0</v>
      </c>
      <c r="CL58" s="59">
        <f t="shared" si="320"/>
        <v>0</v>
      </c>
      <c r="CM58" s="57">
        <f>+CA58*EA58</f>
        <v>0</v>
      </c>
      <c r="CN58" s="59">
        <f t="shared" si="321"/>
        <v>0</v>
      </c>
      <c r="CO58" s="60">
        <f>+CA58*EB58</f>
        <v>0</v>
      </c>
      <c r="CP58" s="59">
        <f t="shared" si="322"/>
        <v>0</v>
      </c>
      <c r="CQ58" s="57">
        <f>+CA58*EC58</f>
        <v>0</v>
      </c>
      <c r="CR58" s="59">
        <f t="shared" si="323"/>
        <v>0</v>
      </c>
      <c r="CS58" s="55">
        <f>+CA58*ED58</f>
        <v>0</v>
      </c>
      <c r="CT58" s="59">
        <f t="shared" si="324"/>
        <v>0</v>
      </c>
      <c r="CU58" s="60">
        <f>+CA58*EE58</f>
        <v>0</v>
      </c>
      <c r="CV58" s="59">
        <f t="shared" si="325"/>
        <v>0</v>
      </c>
      <c r="CW58" s="60">
        <f>+CA58*EF58</f>
        <v>0</v>
      </c>
      <c r="CX58" s="59">
        <f t="shared" si="326"/>
        <v>0</v>
      </c>
      <c r="CY58" s="60">
        <f>+CA58*EG58</f>
        <v>0</v>
      </c>
      <c r="CZ58" s="59">
        <f t="shared" si="327"/>
        <v>0</v>
      </c>
      <c r="DA58" s="55">
        <f>+CA58*EH58</f>
        <v>0</v>
      </c>
      <c r="DB58" s="59">
        <f t="shared" si="328"/>
        <v>0</v>
      </c>
      <c r="DC58" s="60">
        <f>+CA58*EI58</f>
        <v>0</v>
      </c>
      <c r="DD58" s="59">
        <f t="shared" si="329"/>
        <v>0</v>
      </c>
      <c r="DE58" s="60">
        <f>+CA58*EJ58</f>
        <v>0</v>
      </c>
      <c r="DF58" s="59">
        <f t="shared" si="330"/>
        <v>0</v>
      </c>
      <c r="DG58" s="60">
        <f>+CA58*EK58</f>
        <v>0</v>
      </c>
      <c r="DH58" s="59">
        <f t="shared" si="331"/>
        <v>0</v>
      </c>
      <c r="DI58" s="60">
        <f>+CA58*EL58</f>
        <v>0</v>
      </c>
      <c r="DJ58" s="59">
        <f t="shared" si="332"/>
        <v>0</v>
      </c>
      <c r="DK58" s="55">
        <f>+CA58*EM58</f>
        <v>0</v>
      </c>
      <c r="DL58" s="59">
        <f t="shared" si="333"/>
        <v>0</v>
      </c>
      <c r="DM58" s="60">
        <f>+CA58*EN58</f>
        <v>0</v>
      </c>
      <c r="DN58" s="59">
        <f t="shared" si="334"/>
        <v>0</v>
      </c>
      <c r="DO58" s="60">
        <f>+CA58*EO58</f>
        <v>0</v>
      </c>
      <c r="DP58" s="59">
        <f t="shared" si="335"/>
        <v>0</v>
      </c>
      <c r="DQ58" s="55">
        <f>+CA58*EP58</f>
        <v>0</v>
      </c>
      <c r="DR58" s="59">
        <f t="shared" si="336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3"/>
        <v>0.91</v>
      </c>
      <c r="DZ58" s="55">
        <f t="shared" si="283"/>
        <v>0.89</v>
      </c>
      <c r="EA58" s="55">
        <f t="shared" si="283"/>
        <v>0.87</v>
      </c>
      <c r="EB58" s="55">
        <f t="shared" si="283"/>
        <v>0.85</v>
      </c>
      <c r="EC58" s="55">
        <f t="shared" si="283"/>
        <v>0.83</v>
      </c>
      <c r="ED58" s="55">
        <f t="shared" si="283"/>
        <v>0.80999999999999994</v>
      </c>
      <c r="EE58" s="55">
        <f t="shared" si="283"/>
        <v>0.78999999999999992</v>
      </c>
      <c r="EF58" s="55">
        <f t="shared" si="283"/>
        <v>0.76999999999999991</v>
      </c>
      <c r="EG58" s="55">
        <f t="shared" si="283"/>
        <v>0.74999999999999989</v>
      </c>
      <c r="EH58" s="55">
        <f t="shared" si="283"/>
        <v>0.72999999999999987</v>
      </c>
      <c r="EI58" s="55">
        <f t="shared" si="283"/>
        <v>0.70999999999999985</v>
      </c>
      <c r="EJ58" s="55">
        <f t="shared" si="283"/>
        <v>0.68999999999999984</v>
      </c>
      <c r="EK58" s="55">
        <f t="shared" si="283"/>
        <v>0.66999999999999982</v>
      </c>
      <c r="EL58" s="55">
        <f t="shared" si="283"/>
        <v>0.6499999999999998</v>
      </c>
      <c r="EM58" s="55">
        <f t="shared" si="283"/>
        <v>0.62999999999999978</v>
      </c>
      <c r="EN58" s="55">
        <f t="shared" si="283"/>
        <v>0.60999999999999976</v>
      </c>
      <c r="EO58" s="55">
        <f t="shared" si="283"/>
        <v>0.58999999999999975</v>
      </c>
      <c r="EP58" s="55">
        <f t="shared" si="283"/>
        <v>0.56999999999999973</v>
      </c>
      <c r="ER58" s="55">
        <f t="shared" si="142"/>
        <v>0</v>
      </c>
      <c r="ES58" s="55">
        <f t="shared" si="116"/>
        <v>0</v>
      </c>
      <c r="ET58" s="59">
        <f t="shared" si="337"/>
        <v>0</v>
      </c>
      <c r="EU58" s="55">
        <f t="shared" si="338"/>
        <v>0</v>
      </c>
      <c r="EV58" s="59">
        <f t="shared" si="339"/>
        <v>0</v>
      </c>
      <c r="EW58" s="55">
        <f t="shared" si="340"/>
        <v>0</v>
      </c>
      <c r="EX58" s="59">
        <f t="shared" si="341"/>
        <v>0</v>
      </c>
      <c r="EY58" s="55">
        <f>+ES58*GP58</f>
        <v>0</v>
      </c>
      <c r="EZ58" s="59">
        <f t="shared" si="342"/>
        <v>0</v>
      </c>
      <c r="FA58" s="57">
        <f>+ES58*GQ58</f>
        <v>0</v>
      </c>
      <c r="FB58" s="59">
        <f t="shared" si="343"/>
        <v>0</v>
      </c>
      <c r="FC58" s="55">
        <f>+ES58*GR58</f>
        <v>0</v>
      </c>
      <c r="FD58" s="59">
        <f t="shared" si="344"/>
        <v>0</v>
      </c>
      <c r="FE58" s="57">
        <f>+ES58*GS58</f>
        <v>0</v>
      </c>
      <c r="FF58" s="59">
        <f t="shared" si="345"/>
        <v>0</v>
      </c>
      <c r="FG58" s="60">
        <f>+ES58*GT58</f>
        <v>0</v>
      </c>
      <c r="FH58" s="59">
        <f t="shared" si="346"/>
        <v>0</v>
      </c>
      <c r="FI58" s="57">
        <f>+ES58*GU58</f>
        <v>0</v>
      </c>
      <c r="FJ58" s="59">
        <f t="shared" si="347"/>
        <v>0</v>
      </c>
      <c r="FK58" s="55">
        <f>+ES58*GV58</f>
        <v>0</v>
      </c>
      <c r="FL58" s="59">
        <f t="shared" si="348"/>
        <v>0</v>
      </c>
      <c r="FM58" s="60">
        <f>+ES58*GW58</f>
        <v>0</v>
      </c>
      <c r="FN58" s="59">
        <f t="shared" si="349"/>
        <v>0</v>
      </c>
      <c r="FO58" s="60">
        <f>+ES58*GX58</f>
        <v>0</v>
      </c>
      <c r="FP58" s="59">
        <f t="shared" si="350"/>
        <v>0</v>
      </c>
      <c r="FQ58" s="60">
        <f>+ES58*GY58</f>
        <v>0</v>
      </c>
      <c r="FR58" s="59">
        <f t="shared" si="351"/>
        <v>0</v>
      </c>
      <c r="FS58" s="55">
        <f>+ES58*GZ58</f>
        <v>0</v>
      </c>
      <c r="FT58" s="59">
        <f t="shared" si="352"/>
        <v>0</v>
      </c>
      <c r="FU58" s="60">
        <f>+ES58*HA58</f>
        <v>0</v>
      </c>
      <c r="FV58" s="59">
        <f t="shared" si="353"/>
        <v>0</v>
      </c>
      <c r="FW58" s="60">
        <f>+ES58*HB58</f>
        <v>0</v>
      </c>
      <c r="FX58" s="59">
        <f t="shared" si="354"/>
        <v>0</v>
      </c>
      <c r="FY58" s="60">
        <f>+ES58*HC58</f>
        <v>0</v>
      </c>
      <c r="FZ58" s="59">
        <f t="shared" si="355"/>
        <v>0</v>
      </c>
      <c r="GA58" s="60">
        <f>+ES58*HD58</f>
        <v>0</v>
      </c>
      <c r="GB58" s="59">
        <f t="shared" si="356"/>
        <v>0</v>
      </c>
      <c r="GC58" s="55">
        <f>+ES58*HE58</f>
        <v>0</v>
      </c>
      <c r="GD58" s="59">
        <f t="shared" si="357"/>
        <v>0</v>
      </c>
      <c r="GE58" s="60">
        <f>+ES58*HF58</f>
        <v>0</v>
      </c>
      <c r="GF58" s="59">
        <f t="shared" si="358"/>
        <v>0</v>
      </c>
      <c r="GG58" s="60">
        <f>+ES58*HG58</f>
        <v>0</v>
      </c>
      <c r="GH58" s="59">
        <f t="shared" si="359"/>
        <v>0</v>
      </c>
      <c r="GI58" s="55">
        <f>+ES58*HH58</f>
        <v>0</v>
      </c>
      <c r="GJ58" s="59">
        <f t="shared" si="360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4"/>
        <v>0.91</v>
      </c>
      <c r="GR58" s="55">
        <f t="shared" si="284"/>
        <v>0.89</v>
      </c>
      <c r="GS58" s="55">
        <f t="shared" si="284"/>
        <v>0.87</v>
      </c>
      <c r="GT58" s="55">
        <f t="shared" si="284"/>
        <v>0.85</v>
      </c>
      <c r="GU58" s="55">
        <f t="shared" si="284"/>
        <v>0.83</v>
      </c>
      <c r="GV58" s="55">
        <f t="shared" si="284"/>
        <v>0.80999999999999994</v>
      </c>
      <c r="GW58" s="55">
        <f t="shared" si="284"/>
        <v>0.78999999999999992</v>
      </c>
      <c r="GX58" s="55">
        <f t="shared" si="284"/>
        <v>0.76999999999999991</v>
      </c>
      <c r="GY58" s="55">
        <f t="shared" si="284"/>
        <v>0.74999999999999989</v>
      </c>
      <c r="GZ58" s="55">
        <f t="shared" si="284"/>
        <v>0.72999999999999987</v>
      </c>
      <c r="HA58" s="55">
        <f t="shared" si="284"/>
        <v>0.70999999999999985</v>
      </c>
      <c r="HB58" s="55">
        <f t="shared" si="284"/>
        <v>0.68999999999999984</v>
      </c>
      <c r="HC58" s="55">
        <f t="shared" si="284"/>
        <v>0.66999999999999982</v>
      </c>
      <c r="HD58" s="55">
        <f t="shared" si="284"/>
        <v>0.6499999999999998</v>
      </c>
      <c r="HE58" s="55">
        <f t="shared" si="284"/>
        <v>0.62999999999999978</v>
      </c>
      <c r="HF58" s="55">
        <f t="shared" si="284"/>
        <v>0.60999999999999976</v>
      </c>
      <c r="HG58" s="55">
        <f t="shared" si="284"/>
        <v>0.58999999999999975</v>
      </c>
      <c r="HH58" s="55">
        <f t="shared" si="284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72">
        <f>TRUNC(+D59*3.3058,-1)</f>
        <v>0</v>
      </c>
      <c r="H59" s="55">
        <f t="shared" si="61"/>
        <v>0</v>
      </c>
      <c r="I59" s="55">
        <f t="shared" si="62"/>
        <v>0</v>
      </c>
      <c r="J59" s="59">
        <f t="shared" si="63"/>
        <v>0</v>
      </c>
      <c r="K59" s="55">
        <f t="shared" si="289"/>
        <v>0</v>
      </c>
      <c r="L59" s="59">
        <f t="shared" si="290"/>
        <v>0</v>
      </c>
      <c r="M59" s="55">
        <f t="shared" si="291"/>
        <v>0</v>
      </c>
      <c r="N59" s="59">
        <f t="shared" si="292"/>
        <v>0</v>
      </c>
      <c r="O59" s="55">
        <f>+I59*BF59</f>
        <v>0</v>
      </c>
      <c r="P59" s="59">
        <f t="shared" si="293"/>
        <v>0</v>
      </c>
      <c r="Q59" s="57">
        <f>+I59*BG59</f>
        <v>0</v>
      </c>
      <c r="R59" s="59">
        <f t="shared" si="294"/>
        <v>0</v>
      </c>
      <c r="S59" s="55">
        <f>+I59*BH59</f>
        <v>0</v>
      </c>
      <c r="T59" s="59">
        <f t="shared" si="295"/>
        <v>0</v>
      </c>
      <c r="U59" s="57">
        <f>+I59*BI59</f>
        <v>0</v>
      </c>
      <c r="V59" s="59">
        <f t="shared" si="296"/>
        <v>0</v>
      </c>
      <c r="W59" s="60">
        <f>+I59*BJ59</f>
        <v>0</v>
      </c>
      <c r="X59" s="59">
        <f t="shared" si="297"/>
        <v>0</v>
      </c>
      <c r="Y59" s="57">
        <f>+I59*BK59</f>
        <v>0</v>
      </c>
      <c r="Z59" s="59">
        <f t="shared" si="298"/>
        <v>0</v>
      </c>
      <c r="AA59" s="55">
        <f>+I59*BL59</f>
        <v>0</v>
      </c>
      <c r="AB59" s="59">
        <f t="shared" si="299"/>
        <v>0</v>
      </c>
      <c r="AC59" s="60">
        <f>+I59*BM59</f>
        <v>0</v>
      </c>
      <c r="AD59" s="59">
        <f t="shared" si="300"/>
        <v>0</v>
      </c>
      <c r="AE59" s="60">
        <f>+I59*BN59</f>
        <v>0</v>
      </c>
      <c r="AF59" s="59">
        <f t="shared" si="301"/>
        <v>0</v>
      </c>
      <c r="AG59" s="60">
        <f>+I59*BO59</f>
        <v>0</v>
      </c>
      <c r="AH59" s="59">
        <f t="shared" si="302"/>
        <v>0</v>
      </c>
      <c r="AI59" s="55">
        <f>+I59*BP59</f>
        <v>0</v>
      </c>
      <c r="AJ59" s="59">
        <f t="shared" si="303"/>
        <v>0</v>
      </c>
      <c r="AK59" s="60">
        <f>+I59*BQ59</f>
        <v>0</v>
      </c>
      <c r="AL59" s="59">
        <f t="shared" si="304"/>
        <v>0</v>
      </c>
      <c r="AM59" s="60">
        <f>+I59*BR59</f>
        <v>0</v>
      </c>
      <c r="AN59" s="59">
        <f t="shared" si="305"/>
        <v>0</v>
      </c>
      <c r="AO59" s="60">
        <f>+I59*BS59</f>
        <v>0</v>
      </c>
      <c r="AP59" s="59">
        <f t="shared" si="306"/>
        <v>0</v>
      </c>
      <c r="AQ59" s="60">
        <f>+I59*BT59</f>
        <v>0</v>
      </c>
      <c r="AR59" s="59">
        <f t="shared" si="307"/>
        <v>0</v>
      </c>
      <c r="AS59" s="55">
        <f>+I59*BU59</f>
        <v>0</v>
      </c>
      <c r="AT59" s="59">
        <f t="shared" si="308"/>
        <v>0</v>
      </c>
      <c r="AU59" s="60">
        <f>+I59*BV59</f>
        <v>0</v>
      </c>
      <c r="AV59" s="59">
        <f t="shared" si="309"/>
        <v>0</v>
      </c>
      <c r="AW59" s="60">
        <f>+I59*BW59</f>
        <v>0</v>
      </c>
      <c r="AX59" s="59">
        <f t="shared" si="310"/>
        <v>0</v>
      </c>
      <c r="AY59" s="55">
        <f>+I59*BX59</f>
        <v>0</v>
      </c>
      <c r="AZ59" s="59">
        <f t="shared" si="311"/>
        <v>0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2"/>
        <v>0.91</v>
      </c>
      <c r="BH59" s="55">
        <f t="shared" si="312"/>
        <v>0.89</v>
      </c>
      <c r="BI59" s="55">
        <f t="shared" si="312"/>
        <v>0.87</v>
      </c>
      <c r="BJ59" s="55">
        <f t="shared" si="312"/>
        <v>0.85</v>
      </c>
      <c r="BK59" s="55">
        <f t="shared" si="312"/>
        <v>0.83</v>
      </c>
      <c r="BL59" s="55">
        <f t="shared" si="312"/>
        <v>0.80999999999999994</v>
      </c>
      <c r="BM59" s="55">
        <f t="shared" si="312"/>
        <v>0.78999999999999992</v>
      </c>
      <c r="BN59" s="55">
        <f t="shared" si="312"/>
        <v>0.76999999999999991</v>
      </c>
      <c r="BO59" s="55">
        <f t="shared" si="312"/>
        <v>0.74999999999999989</v>
      </c>
      <c r="BP59" s="55">
        <f t="shared" si="312"/>
        <v>0.72999999999999987</v>
      </c>
      <c r="BQ59" s="55">
        <f t="shared" si="312"/>
        <v>0.70999999999999985</v>
      </c>
      <c r="BR59" s="55">
        <f t="shared" si="312"/>
        <v>0.68999999999999984</v>
      </c>
      <c r="BS59" s="55">
        <f t="shared" si="312"/>
        <v>0.66999999999999982</v>
      </c>
      <c r="BT59" s="55">
        <f t="shared" si="312"/>
        <v>0.6499999999999998</v>
      </c>
      <c r="BU59" s="55">
        <f t="shared" si="312"/>
        <v>0.62999999999999978</v>
      </c>
      <c r="BV59" s="55">
        <f t="shared" si="312"/>
        <v>0.60999999999999976</v>
      </c>
      <c r="BW59" s="55">
        <f t="shared" si="312"/>
        <v>0.58999999999999975</v>
      </c>
      <c r="BX59" s="55">
        <f t="shared" si="312"/>
        <v>0.56999999999999973</v>
      </c>
      <c r="BZ59" s="55">
        <f t="shared" si="88"/>
        <v>0</v>
      </c>
      <c r="CA59" s="55">
        <f t="shared" si="89"/>
        <v>0</v>
      </c>
      <c r="CB59" s="59">
        <f t="shared" si="313"/>
        <v>0</v>
      </c>
      <c r="CC59" s="55">
        <f t="shared" si="314"/>
        <v>0</v>
      </c>
      <c r="CD59" s="59">
        <f t="shared" si="315"/>
        <v>0</v>
      </c>
      <c r="CE59" s="55">
        <f t="shared" si="316"/>
        <v>0</v>
      </c>
      <c r="CF59" s="59">
        <f t="shared" si="317"/>
        <v>0</v>
      </c>
      <c r="CG59" s="55">
        <f>+CA59*DX59</f>
        <v>0</v>
      </c>
      <c r="CH59" s="59">
        <f t="shared" si="318"/>
        <v>0</v>
      </c>
      <c r="CI59" s="57">
        <f>+CA59*DY59</f>
        <v>0</v>
      </c>
      <c r="CJ59" s="59">
        <f t="shared" si="319"/>
        <v>0</v>
      </c>
      <c r="CK59" s="55">
        <f>+CA59*DZ59</f>
        <v>0</v>
      </c>
      <c r="CL59" s="59">
        <f t="shared" si="320"/>
        <v>0</v>
      </c>
      <c r="CM59" s="57">
        <f>+CA59*EA59</f>
        <v>0</v>
      </c>
      <c r="CN59" s="59">
        <f t="shared" si="321"/>
        <v>0</v>
      </c>
      <c r="CO59" s="60">
        <f>+CA59*EB59</f>
        <v>0</v>
      </c>
      <c r="CP59" s="59">
        <f t="shared" si="322"/>
        <v>0</v>
      </c>
      <c r="CQ59" s="57">
        <f>+CA59*EC59</f>
        <v>0</v>
      </c>
      <c r="CR59" s="59">
        <f t="shared" si="323"/>
        <v>0</v>
      </c>
      <c r="CS59" s="55">
        <f>+CA59*ED59</f>
        <v>0</v>
      </c>
      <c r="CT59" s="59">
        <f t="shared" si="324"/>
        <v>0</v>
      </c>
      <c r="CU59" s="60">
        <f>+CA59*EE59</f>
        <v>0</v>
      </c>
      <c r="CV59" s="59">
        <f t="shared" si="325"/>
        <v>0</v>
      </c>
      <c r="CW59" s="60">
        <f>+CA59*EF59</f>
        <v>0</v>
      </c>
      <c r="CX59" s="59">
        <f t="shared" si="326"/>
        <v>0</v>
      </c>
      <c r="CY59" s="60">
        <f>+CA59*EG59</f>
        <v>0</v>
      </c>
      <c r="CZ59" s="59">
        <f t="shared" si="327"/>
        <v>0</v>
      </c>
      <c r="DA59" s="55">
        <f>+CA59*EH59</f>
        <v>0</v>
      </c>
      <c r="DB59" s="59">
        <f t="shared" si="328"/>
        <v>0</v>
      </c>
      <c r="DC59" s="60">
        <f>+CA59*EI59</f>
        <v>0</v>
      </c>
      <c r="DD59" s="59">
        <f t="shared" si="329"/>
        <v>0</v>
      </c>
      <c r="DE59" s="60">
        <f>+CA59*EJ59</f>
        <v>0</v>
      </c>
      <c r="DF59" s="59">
        <f t="shared" si="330"/>
        <v>0</v>
      </c>
      <c r="DG59" s="60">
        <f>+CA59*EK59</f>
        <v>0</v>
      </c>
      <c r="DH59" s="59">
        <f t="shared" si="331"/>
        <v>0</v>
      </c>
      <c r="DI59" s="60">
        <f>+CA59*EL59</f>
        <v>0</v>
      </c>
      <c r="DJ59" s="59">
        <f t="shared" si="332"/>
        <v>0</v>
      </c>
      <c r="DK59" s="55">
        <f>+CA59*EM59</f>
        <v>0</v>
      </c>
      <c r="DL59" s="59">
        <f t="shared" si="333"/>
        <v>0</v>
      </c>
      <c r="DM59" s="60">
        <f>+CA59*EN59</f>
        <v>0</v>
      </c>
      <c r="DN59" s="59">
        <f t="shared" si="334"/>
        <v>0</v>
      </c>
      <c r="DO59" s="60">
        <f>+CA59*EO59</f>
        <v>0</v>
      </c>
      <c r="DP59" s="59">
        <f t="shared" si="335"/>
        <v>0</v>
      </c>
      <c r="DQ59" s="55">
        <f>+CA59*EP59</f>
        <v>0</v>
      </c>
      <c r="DR59" s="59">
        <f t="shared" si="336"/>
        <v>0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3"/>
        <v>0.91</v>
      </c>
      <c r="DZ59" s="55">
        <f t="shared" si="283"/>
        <v>0.89</v>
      </c>
      <c r="EA59" s="55">
        <f t="shared" si="283"/>
        <v>0.87</v>
      </c>
      <c r="EB59" s="55">
        <f t="shared" si="283"/>
        <v>0.85</v>
      </c>
      <c r="EC59" s="55">
        <f t="shared" si="283"/>
        <v>0.83</v>
      </c>
      <c r="ED59" s="55">
        <f t="shared" si="283"/>
        <v>0.80999999999999994</v>
      </c>
      <c r="EE59" s="55">
        <f t="shared" si="283"/>
        <v>0.78999999999999992</v>
      </c>
      <c r="EF59" s="55">
        <f t="shared" si="283"/>
        <v>0.76999999999999991</v>
      </c>
      <c r="EG59" s="55">
        <f t="shared" si="283"/>
        <v>0.74999999999999989</v>
      </c>
      <c r="EH59" s="55">
        <f t="shared" si="283"/>
        <v>0.72999999999999987</v>
      </c>
      <c r="EI59" s="55">
        <f t="shared" si="283"/>
        <v>0.70999999999999985</v>
      </c>
      <c r="EJ59" s="55">
        <f t="shared" si="283"/>
        <v>0.68999999999999984</v>
      </c>
      <c r="EK59" s="55">
        <f t="shared" si="283"/>
        <v>0.66999999999999982</v>
      </c>
      <c r="EL59" s="55">
        <f t="shared" si="283"/>
        <v>0.6499999999999998</v>
      </c>
      <c r="EM59" s="55">
        <f t="shared" si="283"/>
        <v>0.62999999999999978</v>
      </c>
      <c r="EN59" s="55">
        <f t="shared" si="283"/>
        <v>0.60999999999999976</v>
      </c>
      <c r="EO59" s="55">
        <f t="shared" si="283"/>
        <v>0.58999999999999975</v>
      </c>
      <c r="EP59" s="55">
        <f t="shared" si="283"/>
        <v>0.56999999999999973</v>
      </c>
      <c r="ER59" s="55">
        <f t="shared" si="142"/>
        <v>0</v>
      </c>
      <c r="ES59" s="55">
        <f t="shared" si="116"/>
        <v>0</v>
      </c>
      <c r="ET59" s="59">
        <f t="shared" si="337"/>
        <v>0</v>
      </c>
      <c r="EU59" s="55">
        <f t="shared" si="338"/>
        <v>0</v>
      </c>
      <c r="EV59" s="59">
        <f t="shared" si="339"/>
        <v>0</v>
      </c>
      <c r="EW59" s="55">
        <f t="shared" si="340"/>
        <v>0</v>
      </c>
      <c r="EX59" s="59">
        <f t="shared" si="341"/>
        <v>0</v>
      </c>
      <c r="EY59" s="55">
        <f>+ES59*GP59</f>
        <v>0</v>
      </c>
      <c r="EZ59" s="59">
        <f t="shared" si="342"/>
        <v>0</v>
      </c>
      <c r="FA59" s="57">
        <f>+ES59*GQ59</f>
        <v>0</v>
      </c>
      <c r="FB59" s="59">
        <f t="shared" si="343"/>
        <v>0</v>
      </c>
      <c r="FC59" s="55">
        <f>+ES59*GR59</f>
        <v>0</v>
      </c>
      <c r="FD59" s="59">
        <f t="shared" si="344"/>
        <v>0</v>
      </c>
      <c r="FE59" s="57">
        <f>+ES59*GS59</f>
        <v>0</v>
      </c>
      <c r="FF59" s="59">
        <f t="shared" si="345"/>
        <v>0</v>
      </c>
      <c r="FG59" s="60">
        <f>+ES59*GT59</f>
        <v>0</v>
      </c>
      <c r="FH59" s="59">
        <f t="shared" si="346"/>
        <v>0</v>
      </c>
      <c r="FI59" s="57">
        <f>+ES59*GU59</f>
        <v>0</v>
      </c>
      <c r="FJ59" s="59">
        <f t="shared" si="347"/>
        <v>0</v>
      </c>
      <c r="FK59" s="55">
        <f>+ES59*GV59</f>
        <v>0</v>
      </c>
      <c r="FL59" s="59">
        <f t="shared" si="348"/>
        <v>0</v>
      </c>
      <c r="FM59" s="60">
        <f>+ES59*GW59</f>
        <v>0</v>
      </c>
      <c r="FN59" s="59">
        <f t="shared" si="349"/>
        <v>0</v>
      </c>
      <c r="FO59" s="60">
        <f>+ES59*GX59</f>
        <v>0</v>
      </c>
      <c r="FP59" s="59">
        <f t="shared" si="350"/>
        <v>0</v>
      </c>
      <c r="FQ59" s="60">
        <f>+ES59*GY59</f>
        <v>0</v>
      </c>
      <c r="FR59" s="59">
        <f t="shared" si="351"/>
        <v>0</v>
      </c>
      <c r="FS59" s="55">
        <f>+ES59*GZ59</f>
        <v>0</v>
      </c>
      <c r="FT59" s="59">
        <f t="shared" si="352"/>
        <v>0</v>
      </c>
      <c r="FU59" s="60">
        <f>+ES59*HA59</f>
        <v>0</v>
      </c>
      <c r="FV59" s="59">
        <f t="shared" si="353"/>
        <v>0</v>
      </c>
      <c r="FW59" s="60">
        <f>+ES59*HB59</f>
        <v>0</v>
      </c>
      <c r="FX59" s="59">
        <f t="shared" si="354"/>
        <v>0</v>
      </c>
      <c r="FY59" s="60">
        <f>+ES59*HC59</f>
        <v>0</v>
      </c>
      <c r="FZ59" s="59">
        <f t="shared" si="355"/>
        <v>0</v>
      </c>
      <c r="GA59" s="60">
        <f>+ES59*HD59</f>
        <v>0</v>
      </c>
      <c r="GB59" s="59">
        <f t="shared" si="356"/>
        <v>0</v>
      </c>
      <c r="GC59" s="55">
        <f>+ES59*HE59</f>
        <v>0</v>
      </c>
      <c r="GD59" s="59">
        <f t="shared" si="357"/>
        <v>0</v>
      </c>
      <c r="GE59" s="60">
        <f>+ES59*HF59</f>
        <v>0</v>
      </c>
      <c r="GF59" s="59">
        <f t="shared" si="358"/>
        <v>0</v>
      </c>
      <c r="GG59" s="60">
        <f>+ES59*HG59</f>
        <v>0</v>
      </c>
      <c r="GH59" s="59">
        <f t="shared" si="359"/>
        <v>0</v>
      </c>
      <c r="GI59" s="55">
        <f>+ES59*HH59</f>
        <v>0</v>
      </c>
      <c r="GJ59" s="59">
        <f t="shared" si="360"/>
        <v>0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4"/>
        <v>0.91</v>
      </c>
      <c r="GR59" s="55">
        <f t="shared" si="284"/>
        <v>0.89</v>
      </c>
      <c r="GS59" s="55">
        <f t="shared" si="284"/>
        <v>0.87</v>
      </c>
      <c r="GT59" s="55">
        <f t="shared" si="284"/>
        <v>0.85</v>
      </c>
      <c r="GU59" s="55">
        <f t="shared" si="284"/>
        <v>0.83</v>
      </c>
      <c r="GV59" s="55">
        <f t="shared" si="284"/>
        <v>0.80999999999999994</v>
      </c>
      <c r="GW59" s="55">
        <f t="shared" si="284"/>
        <v>0.78999999999999992</v>
      </c>
      <c r="GX59" s="55">
        <f t="shared" si="284"/>
        <v>0.76999999999999991</v>
      </c>
      <c r="GY59" s="55">
        <f t="shared" si="284"/>
        <v>0.74999999999999989</v>
      </c>
      <c r="GZ59" s="55">
        <f t="shared" si="284"/>
        <v>0.72999999999999987</v>
      </c>
      <c r="HA59" s="55">
        <f t="shared" si="284"/>
        <v>0.70999999999999985</v>
      </c>
      <c r="HB59" s="55">
        <f t="shared" si="284"/>
        <v>0.68999999999999984</v>
      </c>
      <c r="HC59" s="55">
        <f t="shared" si="284"/>
        <v>0.66999999999999982</v>
      </c>
      <c r="HD59" s="55">
        <f t="shared" si="284"/>
        <v>0.6499999999999998</v>
      </c>
      <c r="HE59" s="55">
        <f t="shared" si="284"/>
        <v>0.62999999999999978</v>
      </c>
      <c r="HF59" s="55">
        <f t="shared" si="284"/>
        <v>0.60999999999999976</v>
      </c>
      <c r="HG59" s="55">
        <f t="shared" si="284"/>
        <v>0.58999999999999975</v>
      </c>
      <c r="HH59" s="55">
        <f t="shared" si="284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89800</v>
      </c>
      <c r="E60" s="73">
        <f>SUM(E57:E59)</f>
        <v>296860</v>
      </c>
      <c r="H60" s="55">
        <f t="shared" si="61"/>
        <v>326546</v>
      </c>
      <c r="I60" s="55">
        <f t="shared" si="62"/>
        <v>326546</v>
      </c>
      <c r="J60" s="59">
        <f t="shared" si="63"/>
        <v>1079495.7668000001</v>
      </c>
      <c r="K60" s="55">
        <f t="shared" si="289"/>
        <v>316749.62</v>
      </c>
      <c r="L60" s="59">
        <f t="shared" si="290"/>
        <v>1047110.893796</v>
      </c>
      <c r="M60" s="55">
        <f t="shared" si="291"/>
        <v>310218.7</v>
      </c>
      <c r="N60" s="59">
        <f t="shared" si="292"/>
        <v>1025520.97846</v>
      </c>
      <c r="O60" s="55">
        <f>+I60*BF60</f>
        <v>303687.78000000003</v>
      </c>
      <c r="P60" s="59">
        <f t="shared" si="293"/>
        <v>1003931.0631240001</v>
      </c>
      <c r="Q60" s="57">
        <f>+I60*BG60</f>
        <v>297156.86</v>
      </c>
      <c r="R60" s="59">
        <f t="shared" si="294"/>
        <v>982341.14778799994</v>
      </c>
      <c r="S60" s="55">
        <f>+I60*BH60</f>
        <v>290625.94</v>
      </c>
      <c r="T60" s="59">
        <f t="shared" si="295"/>
        <v>960751.23245200003</v>
      </c>
      <c r="U60" s="57">
        <f>+I60*BI60</f>
        <v>284095.02</v>
      </c>
      <c r="V60" s="59">
        <f t="shared" si="296"/>
        <v>939161.31711600011</v>
      </c>
      <c r="W60" s="60">
        <f>+I60*BJ60</f>
        <v>277564.09999999998</v>
      </c>
      <c r="X60" s="59">
        <f t="shared" si="297"/>
        <v>917571.40177999996</v>
      </c>
      <c r="Y60" s="57">
        <f>+I60*BK60</f>
        <v>271033.18</v>
      </c>
      <c r="Z60" s="59">
        <f t="shared" si="298"/>
        <v>895981.48644400004</v>
      </c>
      <c r="AA60" s="55">
        <f>+I60*BL60</f>
        <v>264502.26</v>
      </c>
      <c r="AB60" s="59">
        <f t="shared" si="299"/>
        <v>874391.571108</v>
      </c>
      <c r="AC60" s="60">
        <f>+I60*BM60</f>
        <v>257971.33999999997</v>
      </c>
      <c r="AD60" s="59">
        <f t="shared" si="300"/>
        <v>852801.65577199985</v>
      </c>
      <c r="AE60" s="60">
        <f>+I60*BN60</f>
        <v>251440.41999999998</v>
      </c>
      <c r="AF60" s="59">
        <f t="shared" si="301"/>
        <v>831211.74043599993</v>
      </c>
      <c r="AG60" s="60">
        <f>+I60*BO60</f>
        <v>244909.49999999997</v>
      </c>
      <c r="AH60" s="59">
        <f t="shared" si="302"/>
        <v>809621.8250999999</v>
      </c>
      <c r="AI60" s="55">
        <f>+I60*BP60</f>
        <v>238378.57999999996</v>
      </c>
      <c r="AJ60" s="59">
        <f t="shared" si="303"/>
        <v>788031.90976399987</v>
      </c>
      <c r="AK60" s="60">
        <f>+I60*BQ60</f>
        <v>231847.65999999995</v>
      </c>
      <c r="AL60" s="59">
        <f t="shared" si="304"/>
        <v>766441.99442799983</v>
      </c>
      <c r="AM60" s="60">
        <f>+I60*BR60</f>
        <v>225316.73999999993</v>
      </c>
      <c r="AN60" s="59">
        <f t="shared" si="305"/>
        <v>744852.0790919998</v>
      </c>
      <c r="AO60" s="60">
        <f>+I60*BS60</f>
        <v>218785.81999999995</v>
      </c>
      <c r="AP60" s="59">
        <f t="shared" si="306"/>
        <v>723262.16375599988</v>
      </c>
      <c r="AQ60" s="60">
        <f>+I60*BT60</f>
        <v>212254.89999999994</v>
      </c>
      <c r="AR60" s="59">
        <f t="shared" si="307"/>
        <v>701672.24841999984</v>
      </c>
      <c r="AS60" s="55">
        <f>+I60*BU60</f>
        <v>205723.97999999992</v>
      </c>
      <c r="AT60" s="59">
        <f t="shared" si="308"/>
        <v>680082.33308399981</v>
      </c>
      <c r="AU60" s="60">
        <f>+I60*BV60</f>
        <v>199193.05999999991</v>
      </c>
      <c r="AV60" s="59">
        <f t="shared" si="309"/>
        <v>658492.41774799977</v>
      </c>
      <c r="AW60" s="60">
        <f>+I60*BW60</f>
        <v>192662.13999999993</v>
      </c>
      <c r="AX60" s="59">
        <f t="shared" si="310"/>
        <v>636902.50241199974</v>
      </c>
      <c r="AY60" s="55">
        <f>+I60*BX60</f>
        <v>186131.21999999991</v>
      </c>
      <c r="AZ60" s="59">
        <f t="shared" si="311"/>
        <v>615312.58707599971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2"/>
        <v>0.91</v>
      </c>
      <c r="BH60" s="55">
        <f t="shared" si="312"/>
        <v>0.89</v>
      </c>
      <c r="BI60" s="55">
        <f t="shared" si="312"/>
        <v>0.87</v>
      </c>
      <c r="BJ60" s="55">
        <f t="shared" si="312"/>
        <v>0.85</v>
      </c>
      <c r="BK60" s="55">
        <f t="shared" si="312"/>
        <v>0.83</v>
      </c>
      <c r="BL60" s="55">
        <f t="shared" si="312"/>
        <v>0.80999999999999994</v>
      </c>
      <c r="BM60" s="55">
        <f t="shared" si="312"/>
        <v>0.78999999999999992</v>
      </c>
      <c r="BN60" s="55">
        <f t="shared" si="312"/>
        <v>0.76999999999999991</v>
      </c>
      <c r="BO60" s="55">
        <f t="shared" si="312"/>
        <v>0.74999999999999989</v>
      </c>
      <c r="BP60" s="55">
        <f t="shared" si="312"/>
        <v>0.72999999999999987</v>
      </c>
      <c r="BQ60" s="55">
        <f t="shared" si="312"/>
        <v>0.70999999999999985</v>
      </c>
      <c r="BR60" s="55">
        <f t="shared" si="312"/>
        <v>0.68999999999999984</v>
      </c>
      <c r="BS60" s="55">
        <f t="shared" si="312"/>
        <v>0.66999999999999982</v>
      </c>
      <c r="BT60" s="55">
        <f t="shared" si="312"/>
        <v>0.6499999999999998</v>
      </c>
      <c r="BU60" s="55">
        <f t="shared" si="312"/>
        <v>0.62999999999999978</v>
      </c>
      <c r="BV60" s="55">
        <f t="shared" si="312"/>
        <v>0.60999999999999976</v>
      </c>
      <c r="BW60" s="55">
        <f t="shared" si="312"/>
        <v>0.58999999999999975</v>
      </c>
      <c r="BX60" s="55">
        <f t="shared" si="312"/>
        <v>0.56999999999999973</v>
      </c>
      <c r="BZ60" s="55">
        <f t="shared" si="88"/>
        <v>297156.86</v>
      </c>
      <c r="CA60" s="55">
        <f t="shared" si="89"/>
        <v>297156.86</v>
      </c>
      <c r="CB60" s="59">
        <f t="shared" si="313"/>
        <v>982341.14778799994</v>
      </c>
      <c r="CC60" s="55">
        <f t="shared" si="314"/>
        <v>288242.15419999999</v>
      </c>
      <c r="CD60" s="59">
        <f t="shared" si="315"/>
        <v>952870.91335436003</v>
      </c>
      <c r="CE60" s="55">
        <f t="shared" si="316"/>
        <v>282299.01699999999</v>
      </c>
      <c r="CF60" s="59">
        <f t="shared" si="317"/>
        <v>933224.09039859998</v>
      </c>
      <c r="CG60" s="55">
        <f>+CA60*DX60</f>
        <v>276355.8798</v>
      </c>
      <c r="CH60" s="59">
        <f t="shared" si="318"/>
        <v>913577.26744284004</v>
      </c>
      <c r="CI60" s="57">
        <f>+CA60*DY60</f>
        <v>270412.7426</v>
      </c>
      <c r="CJ60" s="59">
        <f t="shared" si="319"/>
        <v>893930.44448707998</v>
      </c>
      <c r="CK60" s="55">
        <f>+CA60*DZ60</f>
        <v>264469.6054</v>
      </c>
      <c r="CL60" s="59">
        <f t="shared" si="320"/>
        <v>874283.62153132004</v>
      </c>
      <c r="CM60" s="57">
        <f>+CA60*EA60</f>
        <v>258526.46819999997</v>
      </c>
      <c r="CN60" s="59">
        <f t="shared" si="321"/>
        <v>854636.79857555998</v>
      </c>
      <c r="CO60" s="60">
        <f>+CA60*EB60</f>
        <v>252583.33099999998</v>
      </c>
      <c r="CP60" s="59">
        <f t="shared" si="322"/>
        <v>834989.97561979992</v>
      </c>
      <c r="CQ60" s="57">
        <f>+CA60*EC60</f>
        <v>246640.19379999998</v>
      </c>
      <c r="CR60" s="59">
        <f t="shared" si="323"/>
        <v>815343.15266403998</v>
      </c>
      <c r="CS60" s="55">
        <f>+CA60*ED60</f>
        <v>240697.05659999998</v>
      </c>
      <c r="CT60" s="59">
        <f t="shared" si="324"/>
        <v>795696.32970827993</v>
      </c>
      <c r="CU60" s="60">
        <f>+CA60*EE60</f>
        <v>234753.91939999996</v>
      </c>
      <c r="CV60" s="59">
        <f t="shared" si="325"/>
        <v>776049.50675251987</v>
      </c>
      <c r="CW60" s="60">
        <f>+CA60*EF60</f>
        <v>228810.78219999996</v>
      </c>
      <c r="CX60" s="59">
        <f t="shared" si="326"/>
        <v>756402.68379675993</v>
      </c>
      <c r="CY60" s="60">
        <f>+CA60*EG60</f>
        <v>222867.64499999996</v>
      </c>
      <c r="CZ60" s="59">
        <f t="shared" si="327"/>
        <v>736755.86084099987</v>
      </c>
      <c r="DA60" s="55">
        <f>+CA60*EH60</f>
        <v>216924.50779999996</v>
      </c>
      <c r="DB60" s="59">
        <f t="shared" si="328"/>
        <v>717109.03788523993</v>
      </c>
      <c r="DC60" s="60">
        <f>+CA60*EI60</f>
        <v>210981.37059999994</v>
      </c>
      <c r="DD60" s="59">
        <f t="shared" si="329"/>
        <v>697462.21492947976</v>
      </c>
      <c r="DE60" s="60">
        <f>+CA60*EJ60</f>
        <v>205038.23339999994</v>
      </c>
      <c r="DF60" s="59">
        <f t="shared" si="330"/>
        <v>677815.39197371982</v>
      </c>
      <c r="DG60" s="60">
        <f>+CA60*EK60</f>
        <v>199095.09619999994</v>
      </c>
      <c r="DH60" s="59">
        <f t="shared" si="331"/>
        <v>658168.56901795988</v>
      </c>
      <c r="DI60" s="60">
        <f>+CA60*EL60</f>
        <v>193151.95899999994</v>
      </c>
      <c r="DJ60" s="59">
        <f t="shared" si="332"/>
        <v>638521.74606219982</v>
      </c>
      <c r="DK60" s="55">
        <f>+CA60*EM60</f>
        <v>187208.82179999992</v>
      </c>
      <c r="DL60" s="59">
        <f t="shared" si="333"/>
        <v>618874.92310643976</v>
      </c>
      <c r="DM60" s="60">
        <f>+CA60*EN60</f>
        <v>181265.68459999992</v>
      </c>
      <c r="DN60" s="59">
        <f t="shared" si="334"/>
        <v>599228.1001506797</v>
      </c>
      <c r="DO60" s="60">
        <f>+CA60*EO60</f>
        <v>175322.54739999992</v>
      </c>
      <c r="DP60" s="59">
        <f t="shared" si="335"/>
        <v>579581.27719491976</v>
      </c>
      <c r="DQ60" s="55">
        <f>+CA60*EP60</f>
        <v>169379.41019999993</v>
      </c>
      <c r="DR60" s="59">
        <f t="shared" si="336"/>
        <v>559934.45423915982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3"/>
        <v>0.91</v>
      </c>
      <c r="DZ60" s="55">
        <f t="shared" si="283"/>
        <v>0.89</v>
      </c>
      <c r="EA60" s="55">
        <f t="shared" si="283"/>
        <v>0.87</v>
      </c>
      <c r="EB60" s="55">
        <f t="shared" si="283"/>
        <v>0.85</v>
      </c>
      <c r="EC60" s="55">
        <f t="shared" si="283"/>
        <v>0.83</v>
      </c>
      <c r="ED60" s="55">
        <f t="shared" si="283"/>
        <v>0.80999999999999994</v>
      </c>
      <c r="EE60" s="55">
        <f t="shared" si="283"/>
        <v>0.78999999999999992</v>
      </c>
      <c r="EF60" s="55">
        <f t="shared" si="283"/>
        <v>0.76999999999999991</v>
      </c>
      <c r="EG60" s="55">
        <f t="shared" si="283"/>
        <v>0.74999999999999989</v>
      </c>
      <c r="EH60" s="55">
        <f t="shared" si="283"/>
        <v>0.72999999999999987</v>
      </c>
      <c r="EI60" s="55">
        <f t="shared" si="283"/>
        <v>0.70999999999999985</v>
      </c>
      <c r="EJ60" s="55">
        <f t="shared" si="283"/>
        <v>0.68999999999999984</v>
      </c>
      <c r="EK60" s="55">
        <f t="shared" si="283"/>
        <v>0.66999999999999982</v>
      </c>
      <c r="EL60" s="55">
        <f t="shared" si="283"/>
        <v>0.6499999999999998</v>
      </c>
      <c r="EM60" s="55">
        <f t="shared" si="283"/>
        <v>0.62999999999999978</v>
      </c>
      <c r="EN60" s="55">
        <f t="shared" si="283"/>
        <v>0.60999999999999976</v>
      </c>
      <c r="EO60" s="55">
        <f t="shared" si="283"/>
        <v>0.58999999999999975</v>
      </c>
      <c r="EP60" s="55">
        <f t="shared" si="283"/>
        <v>0.56999999999999973</v>
      </c>
      <c r="ER60" s="55">
        <f t="shared" si="142"/>
        <v>270412.7426</v>
      </c>
      <c r="ES60" s="55">
        <f t="shared" si="116"/>
        <v>270412.7426</v>
      </c>
      <c r="ET60" s="59">
        <f t="shared" si="337"/>
        <v>893930.44448707998</v>
      </c>
      <c r="EU60" s="55">
        <f t="shared" si="338"/>
        <v>262300.36032199999</v>
      </c>
      <c r="EV60" s="59">
        <f t="shared" si="339"/>
        <v>867112.53115246759</v>
      </c>
      <c r="EW60" s="55">
        <f t="shared" si="340"/>
        <v>256892.10546999998</v>
      </c>
      <c r="EX60" s="59">
        <f t="shared" si="341"/>
        <v>849233.922262726</v>
      </c>
      <c r="EY60" s="55">
        <f>+ES60*GP60</f>
        <v>251483.850618</v>
      </c>
      <c r="EZ60" s="59">
        <f t="shared" si="342"/>
        <v>831355.31337298441</v>
      </c>
      <c r="FA60" s="57">
        <f>+ES60*GQ60</f>
        <v>246075.59576600001</v>
      </c>
      <c r="FB60" s="59">
        <f t="shared" si="343"/>
        <v>813476.70448324282</v>
      </c>
      <c r="FC60" s="55">
        <f>+ES60*GR60</f>
        <v>240667.340914</v>
      </c>
      <c r="FD60" s="59">
        <f t="shared" si="344"/>
        <v>795598.09559350123</v>
      </c>
      <c r="FE60" s="57">
        <f>+ES60*GS60</f>
        <v>235259.08606199999</v>
      </c>
      <c r="FF60" s="59">
        <f t="shared" si="345"/>
        <v>777719.48670375952</v>
      </c>
      <c r="FG60" s="60">
        <f>+ES60*GT60</f>
        <v>229850.83121</v>
      </c>
      <c r="FH60" s="59">
        <f t="shared" si="346"/>
        <v>759840.87781401805</v>
      </c>
      <c r="FI60" s="57">
        <f>+ES60*GU60</f>
        <v>224442.57635799999</v>
      </c>
      <c r="FJ60" s="59">
        <f t="shared" si="347"/>
        <v>741962.26892427634</v>
      </c>
      <c r="FK60" s="55">
        <f>+ES60*GV60</f>
        <v>219034.32150599998</v>
      </c>
      <c r="FL60" s="59">
        <f t="shared" si="348"/>
        <v>724083.66003453475</v>
      </c>
      <c r="FM60" s="60">
        <f>+ES60*GW60</f>
        <v>213626.06665399997</v>
      </c>
      <c r="FN60" s="59">
        <f t="shared" si="349"/>
        <v>706205.05114479305</v>
      </c>
      <c r="FO60" s="60">
        <f>+ES60*GX60</f>
        <v>208217.81180199998</v>
      </c>
      <c r="FP60" s="59">
        <f t="shared" si="350"/>
        <v>688326.44225505157</v>
      </c>
      <c r="FQ60" s="60">
        <f>+ES60*GY60</f>
        <v>202809.55694999997</v>
      </c>
      <c r="FR60" s="59">
        <f t="shared" si="351"/>
        <v>670447.83336530987</v>
      </c>
      <c r="FS60" s="55">
        <f>+ES60*GZ60</f>
        <v>197401.30209799996</v>
      </c>
      <c r="FT60" s="59">
        <f t="shared" si="352"/>
        <v>652569.22447556828</v>
      </c>
      <c r="FU60" s="60">
        <f>+ES60*HA60</f>
        <v>191993.04724599997</v>
      </c>
      <c r="FV60" s="59">
        <f t="shared" si="353"/>
        <v>634690.61558582669</v>
      </c>
      <c r="FW60" s="60">
        <f>+ES60*HB60</f>
        <v>186584.79239399996</v>
      </c>
      <c r="FX60" s="59">
        <f t="shared" si="354"/>
        <v>616812.0066960851</v>
      </c>
      <c r="FY60" s="60">
        <f>+ES60*HC60</f>
        <v>181176.53754199995</v>
      </c>
      <c r="FZ60" s="59">
        <f t="shared" si="355"/>
        <v>598933.39780634339</v>
      </c>
      <c r="GA60" s="60">
        <f>+ES60*HD60</f>
        <v>175768.28268999993</v>
      </c>
      <c r="GB60" s="59">
        <f t="shared" si="356"/>
        <v>581054.7889166018</v>
      </c>
      <c r="GC60" s="55">
        <f>+ES60*HE60</f>
        <v>170360.02783799995</v>
      </c>
      <c r="GD60" s="59">
        <f t="shared" si="357"/>
        <v>563176.18002686021</v>
      </c>
      <c r="GE60" s="60">
        <f>+ES60*HF60</f>
        <v>164951.77298599994</v>
      </c>
      <c r="GF60" s="59">
        <f t="shared" si="358"/>
        <v>545297.57113711862</v>
      </c>
      <c r="GG60" s="60">
        <f>+ES60*HG60</f>
        <v>159543.51813399993</v>
      </c>
      <c r="GH60" s="59">
        <f t="shared" si="359"/>
        <v>527418.96224737691</v>
      </c>
      <c r="GI60" s="55">
        <f>+ES60*HH60</f>
        <v>154135.26328199991</v>
      </c>
      <c r="GJ60" s="59">
        <f t="shared" si="360"/>
        <v>509540.35335763532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4"/>
        <v>0.91</v>
      </c>
      <c r="GR60" s="55">
        <f t="shared" si="284"/>
        <v>0.89</v>
      </c>
      <c r="GS60" s="55">
        <f t="shared" si="284"/>
        <v>0.87</v>
      </c>
      <c r="GT60" s="55">
        <f t="shared" si="284"/>
        <v>0.85</v>
      </c>
      <c r="GU60" s="55">
        <f t="shared" si="284"/>
        <v>0.83</v>
      </c>
      <c r="GV60" s="55">
        <f t="shared" si="284"/>
        <v>0.80999999999999994</v>
      </c>
      <c r="GW60" s="55">
        <f t="shared" si="284"/>
        <v>0.78999999999999992</v>
      </c>
      <c r="GX60" s="55">
        <f t="shared" si="284"/>
        <v>0.76999999999999991</v>
      </c>
      <c r="GY60" s="55">
        <f t="shared" si="284"/>
        <v>0.74999999999999989</v>
      </c>
      <c r="GZ60" s="55">
        <f t="shared" si="284"/>
        <v>0.72999999999999987</v>
      </c>
      <c r="HA60" s="55">
        <f t="shared" si="284"/>
        <v>0.70999999999999985</v>
      </c>
      <c r="HB60" s="55">
        <f t="shared" si="284"/>
        <v>0.68999999999999984</v>
      </c>
      <c r="HC60" s="55">
        <f t="shared" si="284"/>
        <v>0.66999999999999982</v>
      </c>
      <c r="HD60" s="55">
        <f t="shared" si="284"/>
        <v>0.6499999999999998</v>
      </c>
      <c r="HE60" s="55">
        <f t="shared" si="284"/>
        <v>0.62999999999999978</v>
      </c>
      <c r="HF60" s="55">
        <f t="shared" si="284"/>
        <v>0.60999999999999976</v>
      </c>
      <c r="HG60" s="55">
        <f t="shared" si="284"/>
        <v>0.58999999999999975</v>
      </c>
      <c r="HH60" s="55">
        <f t="shared" si="284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1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2">+DW61-0.02</f>
        <v>0.91</v>
      </c>
      <c r="DY61" s="61">
        <f t="shared" si="362"/>
        <v>0.89</v>
      </c>
      <c r="DZ61" s="61">
        <f t="shared" si="362"/>
        <v>0.87</v>
      </c>
      <c r="EA61" s="61">
        <f t="shared" si="362"/>
        <v>0.85</v>
      </c>
      <c r="EB61" s="61">
        <f t="shared" si="362"/>
        <v>0.83</v>
      </c>
      <c r="EC61" s="61">
        <f t="shared" si="362"/>
        <v>0.80999999999999994</v>
      </c>
      <c r="ED61" s="61">
        <f t="shared" si="362"/>
        <v>0.78999999999999992</v>
      </c>
      <c r="EE61" s="61">
        <f t="shared" si="362"/>
        <v>0.76999999999999991</v>
      </c>
      <c r="EF61" s="61">
        <f t="shared" si="362"/>
        <v>0.74999999999999989</v>
      </c>
      <c r="EG61" s="61">
        <f t="shared" si="362"/>
        <v>0.72999999999999987</v>
      </c>
      <c r="EH61" s="61">
        <f t="shared" si="362"/>
        <v>0.70999999999999985</v>
      </c>
      <c r="EI61" s="61">
        <f t="shared" si="362"/>
        <v>0.68999999999999984</v>
      </c>
      <c r="EJ61" s="61">
        <f t="shared" si="362"/>
        <v>0.66999999999999982</v>
      </c>
      <c r="EK61" s="61">
        <f t="shared" si="362"/>
        <v>0.6499999999999998</v>
      </c>
      <c r="EL61" s="61">
        <f t="shared" si="362"/>
        <v>0.62999999999999978</v>
      </c>
      <c r="EM61" s="61">
        <f t="shared" si="362"/>
        <v>0.60999999999999976</v>
      </c>
      <c r="EN61" s="61">
        <f t="shared" si="362"/>
        <v>0.58999999999999975</v>
      </c>
      <c r="EO61" s="61">
        <f t="shared" si="362"/>
        <v>0.56999999999999973</v>
      </c>
      <c r="EQ61" s="61">
        <f t="shared" ref="EQ61:EQ62" si="363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64">+GO61-0.02</f>
        <v>0.91</v>
      </c>
      <c r="GQ61" s="61">
        <f t="shared" si="364"/>
        <v>0.89</v>
      </c>
      <c r="GR61" s="61">
        <f t="shared" si="364"/>
        <v>0.87</v>
      </c>
      <c r="GS61" s="61">
        <f t="shared" si="364"/>
        <v>0.85</v>
      </c>
      <c r="GT61" s="61">
        <f t="shared" si="364"/>
        <v>0.83</v>
      </c>
      <c r="GU61" s="61">
        <f t="shared" si="364"/>
        <v>0.80999999999999994</v>
      </c>
      <c r="GV61" s="61">
        <f t="shared" si="364"/>
        <v>0.78999999999999992</v>
      </c>
      <c r="GW61" s="61">
        <f t="shared" si="364"/>
        <v>0.76999999999999991</v>
      </c>
      <c r="GX61" s="61">
        <f t="shared" si="364"/>
        <v>0.74999999999999989</v>
      </c>
      <c r="GY61" s="61">
        <f t="shared" si="364"/>
        <v>0.72999999999999987</v>
      </c>
      <c r="GZ61" s="61">
        <f t="shared" si="364"/>
        <v>0.70999999999999985</v>
      </c>
      <c r="HA61" s="61">
        <f t="shared" si="364"/>
        <v>0.68999999999999984</v>
      </c>
      <c r="HB61" s="61">
        <f t="shared" si="364"/>
        <v>0.66999999999999982</v>
      </c>
      <c r="HC61" s="61">
        <f t="shared" si="364"/>
        <v>0.6499999999999998</v>
      </c>
      <c r="HD61" s="61">
        <f t="shared" si="364"/>
        <v>0.62999999999999978</v>
      </c>
      <c r="HE61" s="61">
        <f t="shared" si="364"/>
        <v>0.60999999999999976</v>
      </c>
      <c r="HF61" s="61">
        <f t="shared" si="364"/>
        <v>0.58999999999999975</v>
      </c>
      <c r="HG61" s="61">
        <f t="shared" si="364"/>
        <v>0.56999999999999973</v>
      </c>
    </row>
    <row r="62" spans="1:216" s="64" customFormat="1" ht="17.25" thickBot="1" x14ac:dyDescent="0.35">
      <c r="B62" s="64" t="s">
        <v>297</v>
      </c>
      <c r="C62" s="64" t="s">
        <v>298</v>
      </c>
      <c r="D62" s="65" t="s">
        <v>272</v>
      </c>
      <c r="E62" s="65" t="s">
        <v>155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1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2"/>
        <v>0.91</v>
      </c>
      <c r="DY62" s="61">
        <f t="shared" si="362"/>
        <v>0.89</v>
      </c>
      <c r="DZ62" s="61">
        <f t="shared" si="362"/>
        <v>0.87</v>
      </c>
      <c r="EA62" s="61">
        <f t="shared" si="362"/>
        <v>0.85</v>
      </c>
      <c r="EB62" s="61">
        <f t="shared" si="362"/>
        <v>0.83</v>
      </c>
      <c r="EC62" s="61">
        <f t="shared" si="362"/>
        <v>0.80999999999999994</v>
      </c>
      <c r="ED62" s="61">
        <f t="shared" si="362"/>
        <v>0.78999999999999992</v>
      </c>
      <c r="EE62" s="61">
        <f t="shared" si="362"/>
        <v>0.76999999999999991</v>
      </c>
      <c r="EF62" s="61">
        <f t="shared" si="362"/>
        <v>0.74999999999999989</v>
      </c>
      <c r="EG62" s="61">
        <f t="shared" si="362"/>
        <v>0.72999999999999987</v>
      </c>
      <c r="EH62" s="61">
        <f t="shared" si="362"/>
        <v>0.70999999999999985</v>
      </c>
      <c r="EI62" s="61">
        <f t="shared" si="362"/>
        <v>0.68999999999999984</v>
      </c>
      <c r="EJ62" s="61">
        <f t="shared" si="362"/>
        <v>0.66999999999999982</v>
      </c>
      <c r="EK62" s="61">
        <f t="shared" si="362"/>
        <v>0.6499999999999998</v>
      </c>
      <c r="EL62" s="61">
        <f t="shared" si="362"/>
        <v>0.62999999999999978</v>
      </c>
      <c r="EM62" s="61">
        <f t="shared" si="362"/>
        <v>0.60999999999999976</v>
      </c>
      <c r="EN62" s="61">
        <f t="shared" si="362"/>
        <v>0.58999999999999975</v>
      </c>
      <c r="EO62" s="61">
        <f t="shared" si="362"/>
        <v>0.56999999999999973</v>
      </c>
      <c r="EQ62" s="61">
        <f t="shared" si="363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64"/>
        <v>0.91</v>
      </c>
      <c r="GQ62" s="61">
        <f t="shared" si="364"/>
        <v>0.89</v>
      </c>
      <c r="GR62" s="61">
        <f t="shared" si="364"/>
        <v>0.87</v>
      </c>
      <c r="GS62" s="61">
        <f t="shared" si="364"/>
        <v>0.85</v>
      </c>
      <c r="GT62" s="61">
        <f t="shared" si="364"/>
        <v>0.83</v>
      </c>
      <c r="GU62" s="61">
        <f t="shared" si="364"/>
        <v>0.80999999999999994</v>
      </c>
      <c r="GV62" s="61">
        <f t="shared" si="364"/>
        <v>0.78999999999999992</v>
      </c>
      <c r="GW62" s="61">
        <f t="shared" si="364"/>
        <v>0.76999999999999991</v>
      </c>
      <c r="GX62" s="61">
        <f t="shared" si="364"/>
        <v>0.74999999999999989</v>
      </c>
      <c r="GY62" s="61">
        <f t="shared" si="364"/>
        <v>0.72999999999999987</v>
      </c>
      <c r="GZ62" s="61">
        <f t="shared" si="364"/>
        <v>0.70999999999999985</v>
      </c>
      <c r="HA62" s="61">
        <f t="shared" si="364"/>
        <v>0.68999999999999984</v>
      </c>
      <c r="HB62" s="61">
        <f t="shared" si="364"/>
        <v>0.66999999999999982</v>
      </c>
      <c r="HC62" s="61">
        <f t="shared" si="364"/>
        <v>0.6499999999999998</v>
      </c>
      <c r="HD62" s="61">
        <f t="shared" si="364"/>
        <v>0.62999999999999978</v>
      </c>
      <c r="HE62" s="61">
        <f t="shared" si="364"/>
        <v>0.60999999999999976</v>
      </c>
      <c r="HF62" s="61">
        <f t="shared" si="364"/>
        <v>0.58999999999999975</v>
      </c>
      <c r="HG62" s="61">
        <f t="shared" si="364"/>
        <v>0.56999999999999973</v>
      </c>
    </row>
    <row r="63" spans="1:216" x14ac:dyDescent="0.3">
      <c r="A63" s="2">
        <v>1</v>
      </c>
      <c r="C63" s="38" t="s">
        <v>30</v>
      </c>
      <c r="D63" s="40">
        <f>TRUNC(9819.97756338344,-1)</f>
        <v>9810</v>
      </c>
      <c r="E63" s="70">
        <f t="shared" ref="E63:E88" si="365">TRUNC(+D63*3.3058,-1)</f>
        <v>32420</v>
      </c>
      <c r="H63" s="55">
        <f t="shared" si="61"/>
        <v>35662</v>
      </c>
      <c r="I63" s="55">
        <f t="shared" si="62"/>
        <v>35662</v>
      </c>
      <c r="J63" s="59">
        <f t="shared" si="63"/>
        <v>117891.4396</v>
      </c>
      <c r="K63" s="55">
        <f t="shared" ref="K63:K89" si="366">+I63*BD63</f>
        <v>34592.14</v>
      </c>
      <c r="L63" s="59">
        <f t="shared" ref="L63:L89" si="367">+K63*3.3058</f>
        <v>114354.696412</v>
      </c>
      <c r="M63" s="55">
        <f t="shared" ref="M63:M89" si="368">+I63*BE63</f>
        <v>33878.9</v>
      </c>
      <c r="N63" s="59">
        <f t="shared" ref="N63:N89" si="369">+M63*3.3058</f>
        <v>111996.86762</v>
      </c>
      <c r="O63" s="55">
        <f t="shared" ref="O63:O89" si="370">+I63*BF63</f>
        <v>33165.660000000003</v>
      </c>
      <c r="P63" s="59">
        <f t="shared" ref="P63:P89" si="371">+O63*3.3058</f>
        <v>109639.03882800002</v>
      </c>
      <c r="Q63" s="57">
        <f t="shared" ref="Q63:Q89" si="372">+I63*BG63</f>
        <v>32452.420000000002</v>
      </c>
      <c r="R63" s="59">
        <f t="shared" ref="R63:R89" si="373">+Q63*3.3058</f>
        <v>107281.210036</v>
      </c>
      <c r="S63" s="55">
        <f t="shared" ref="S63:S89" si="374">+I63*BH63</f>
        <v>31739.18</v>
      </c>
      <c r="T63" s="59">
        <f t="shared" ref="T63:T89" si="375">+S63*3.3058</f>
        <v>104923.381244</v>
      </c>
      <c r="U63" s="57">
        <f t="shared" ref="U63:U89" si="376">+I63*BI63</f>
        <v>31025.94</v>
      </c>
      <c r="V63" s="59">
        <f t="shared" ref="V63:V89" si="377">+U63*3.3058</f>
        <v>102565.552452</v>
      </c>
      <c r="W63" s="60">
        <f t="shared" ref="W63:W89" si="378">+I63*BJ63</f>
        <v>30312.7</v>
      </c>
      <c r="X63" s="59">
        <f t="shared" ref="X63:X89" si="379">+W63*3.3058</f>
        <v>100207.72366</v>
      </c>
      <c r="Y63" s="57">
        <f t="shared" ref="Y63:Y89" si="380">+I63*BK63</f>
        <v>29599.46</v>
      </c>
      <c r="Z63" s="59">
        <f t="shared" ref="Z63:Z89" si="381">+Y63*3.3058</f>
        <v>97849.894868000003</v>
      </c>
      <c r="AA63" s="55">
        <f t="shared" ref="AA63:AA89" si="382">+I63*BL63</f>
        <v>28886.219999999998</v>
      </c>
      <c r="AB63" s="59">
        <f t="shared" ref="AB63:AB89" si="383">+AA63*3.3058</f>
        <v>95492.066075999988</v>
      </c>
      <c r="AC63" s="60">
        <f t="shared" ref="AC63:AC89" si="384">+I63*BM63</f>
        <v>28172.979999999996</v>
      </c>
      <c r="AD63" s="59">
        <f t="shared" ref="AD63:AD89" si="385">+AC63*3.3058</f>
        <v>93134.237283999988</v>
      </c>
      <c r="AE63" s="60">
        <f t="shared" ref="AE63:AE89" si="386">+I63*BN63</f>
        <v>27459.739999999998</v>
      </c>
      <c r="AF63" s="59">
        <f t="shared" ref="AF63:AF89" si="387">+AE63*3.3058</f>
        <v>90776.408492000002</v>
      </c>
      <c r="AG63" s="60">
        <f t="shared" ref="AG63:AG89" si="388">+I63*BO63</f>
        <v>26746.499999999996</v>
      </c>
      <c r="AH63" s="59">
        <f t="shared" ref="AH63:AH89" si="389">+AG63*3.3058</f>
        <v>88418.579699999987</v>
      </c>
      <c r="AI63" s="55">
        <f t="shared" ref="AI63:AI89" si="390">+I63*BP63</f>
        <v>26033.259999999995</v>
      </c>
      <c r="AJ63" s="59">
        <f t="shared" ref="AJ63:AJ89" si="391">+AI63*3.3058</f>
        <v>86060.750907999987</v>
      </c>
      <c r="AK63" s="60">
        <f t="shared" ref="AK63:AK89" si="392">+I63*BQ63</f>
        <v>25320.019999999993</v>
      </c>
      <c r="AL63" s="59">
        <f t="shared" ref="AL63:AL89" si="393">+AK63*3.3058</f>
        <v>83702.922115999972</v>
      </c>
      <c r="AM63" s="60">
        <f t="shared" ref="AM63:AM89" si="394">+I63*BR63</f>
        <v>24606.779999999995</v>
      </c>
      <c r="AN63" s="59">
        <f t="shared" ref="AN63:AN89" si="395">+AM63*3.3058</f>
        <v>81345.093323999987</v>
      </c>
      <c r="AO63" s="60">
        <f t="shared" ref="AO63:AO89" si="396">+I63*BS63</f>
        <v>23893.539999999994</v>
      </c>
      <c r="AP63" s="59">
        <f t="shared" ref="AP63:AP89" si="397">+AO63*3.3058</f>
        <v>78987.264531999987</v>
      </c>
      <c r="AQ63" s="60">
        <f t="shared" ref="AQ63:AQ89" si="398">+I63*BT63</f>
        <v>23180.299999999992</v>
      </c>
      <c r="AR63" s="59">
        <f t="shared" ref="AR63:AR89" si="399">+AQ63*3.3058</f>
        <v>76629.435739999972</v>
      </c>
      <c r="AS63" s="55">
        <f t="shared" ref="AS63:AS89" si="400">+I63*BU63</f>
        <v>22467.059999999994</v>
      </c>
      <c r="AT63" s="59">
        <f t="shared" ref="AT63:AT89" si="401">+AS63*3.3058</f>
        <v>74271.606947999986</v>
      </c>
      <c r="AU63" s="60">
        <f t="shared" ref="AU63:AU89" si="402">+I63*BV63</f>
        <v>21753.819999999992</v>
      </c>
      <c r="AV63" s="59">
        <f t="shared" ref="AV63:AV89" si="403">+AU63*3.3058</f>
        <v>71913.778155999971</v>
      </c>
      <c r="AW63" s="60">
        <f t="shared" ref="AW63:AW89" si="404">+I63*BW63</f>
        <v>21040.579999999991</v>
      </c>
      <c r="AX63" s="59">
        <f t="shared" ref="AX63:AX89" si="405">+AW63*3.3058</f>
        <v>69555.949363999971</v>
      </c>
      <c r="AY63" s="55">
        <f t="shared" ref="AY63:AY89" si="406">+I63*BX63</f>
        <v>20327.339999999989</v>
      </c>
      <c r="AZ63" s="59">
        <f t="shared" ref="AZ63:AZ89" si="407">+AY63*3.3058</f>
        <v>67198.120571999971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08">+BF63-0.02</f>
        <v>0.91</v>
      </c>
      <c r="BH63" s="55">
        <f t="shared" si="408"/>
        <v>0.89</v>
      </c>
      <c r="BI63" s="55">
        <f t="shared" si="408"/>
        <v>0.87</v>
      </c>
      <c r="BJ63" s="55">
        <f t="shared" si="408"/>
        <v>0.85</v>
      </c>
      <c r="BK63" s="55">
        <f t="shared" si="408"/>
        <v>0.83</v>
      </c>
      <c r="BL63" s="55">
        <f t="shared" si="408"/>
        <v>0.80999999999999994</v>
      </c>
      <c r="BM63" s="55">
        <f t="shared" si="408"/>
        <v>0.78999999999999992</v>
      </c>
      <c r="BN63" s="55">
        <f t="shared" si="408"/>
        <v>0.76999999999999991</v>
      </c>
      <c r="BO63" s="55">
        <f t="shared" si="408"/>
        <v>0.74999999999999989</v>
      </c>
      <c r="BP63" s="55">
        <f t="shared" si="408"/>
        <v>0.72999999999999987</v>
      </c>
      <c r="BQ63" s="55">
        <f t="shared" si="408"/>
        <v>0.70999999999999985</v>
      </c>
      <c r="BR63" s="55">
        <f t="shared" si="408"/>
        <v>0.68999999999999984</v>
      </c>
      <c r="BS63" s="55">
        <f t="shared" si="408"/>
        <v>0.66999999999999982</v>
      </c>
      <c r="BT63" s="55">
        <f t="shared" si="408"/>
        <v>0.6499999999999998</v>
      </c>
      <c r="BU63" s="55">
        <f t="shared" si="408"/>
        <v>0.62999999999999978</v>
      </c>
      <c r="BV63" s="55">
        <f t="shared" si="408"/>
        <v>0.60999999999999976</v>
      </c>
      <c r="BW63" s="55">
        <f t="shared" si="408"/>
        <v>0.58999999999999975</v>
      </c>
      <c r="BX63" s="55">
        <f t="shared" si="408"/>
        <v>0.56999999999999973</v>
      </c>
      <c r="BZ63" s="55">
        <f t="shared" si="88"/>
        <v>32452.420000000002</v>
      </c>
      <c r="CA63" s="55">
        <f t="shared" si="89"/>
        <v>32452.420000000002</v>
      </c>
      <c r="CB63" s="59">
        <f t="shared" ref="CB63:CB89" si="409">+CA63*3.3058</f>
        <v>107281.210036</v>
      </c>
      <c r="CC63" s="55">
        <f t="shared" ref="CC63:CC89" si="410">+CA63*DV63</f>
        <v>31478.847400000002</v>
      </c>
      <c r="CD63" s="59">
        <f t="shared" ref="CD63:CD89" si="411">+CC63*3.3058</f>
        <v>104062.77373492</v>
      </c>
      <c r="CE63" s="55">
        <f t="shared" ref="CE63:CE89" si="412">+CA63*DW63</f>
        <v>30829.798999999999</v>
      </c>
      <c r="CF63" s="59">
        <f t="shared" ref="CF63:CF89" si="413">+CE63*3.3058</f>
        <v>101917.1495342</v>
      </c>
      <c r="CG63" s="55">
        <f t="shared" ref="CG63:CG89" si="414">+CA63*DX63</f>
        <v>30180.750600000003</v>
      </c>
      <c r="CH63" s="59">
        <f t="shared" ref="CH63:CH89" si="415">+CG63*3.3058</f>
        <v>99771.525333480007</v>
      </c>
      <c r="CI63" s="57">
        <f t="shared" ref="CI63:CI89" si="416">+CA63*DY63</f>
        <v>29531.702200000003</v>
      </c>
      <c r="CJ63" s="59">
        <f t="shared" ref="CJ63:CJ89" si="417">+CI63*3.3058</f>
        <v>97625.901132760016</v>
      </c>
      <c r="CK63" s="55">
        <f t="shared" ref="CK63:CK89" si="418">+CA63*DZ63</f>
        <v>28882.653800000004</v>
      </c>
      <c r="CL63" s="59">
        <f t="shared" ref="CL63:CL89" si="419">+CK63*3.3058</f>
        <v>95480.276932040011</v>
      </c>
      <c r="CM63" s="57">
        <f t="shared" ref="CM63:CM89" si="420">+CA63*EA63</f>
        <v>28233.6054</v>
      </c>
      <c r="CN63" s="59">
        <f t="shared" ref="CN63:CN89" si="421">+CM63*3.3058</f>
        <v>93334.652731320006</v>
      </c>
      <c r="CO63" s="60">
        <f t="shared" ref="CO63:CO89" si="422">+CA63*EB63</f>
        <v>27584.557000000001</v>
      </c>
      <c r="CP63" s="59">
        <f t="shared" ref="CP63:CP89" si="423">+CO63*3.3058</f>
        <v>91189.028530600001</v>
      </c>
      <c r="CQ63" s="57">
        <f t="shared" ref="CQ63:CQ89" si="424">+CA63*EC63</f>
        <v>26935.508600000001</v>
      </c>
      <c r="CR63" s="59">
        <f t="shared" ref="CR63:CR89" si="425">+CQ63*3.3058</f>
        <v>89043.40432988001</v>
      </c>
      <c r="CS63" s="55">
        <f t="shared" ref="CS63:CS89" si="426">+CA63*ED63</f>
        <v>26286.460200000001</v>
      </c>
      <c r="CT63" s="59">
        <f t="shared" ref="CT63:CT89" si="427">+CS63*3.3058</f>
        <v>86897.780129160004</v>
      </c>
      <c r="CU63" s="60">
        <f t="shared" ref="CU63:CU89" si="428">+CA63*EE63</f>
        <v>25637.411799999998</v>
      </c>
      <c r="CV63" s="59">
        <f t="shared" ref="CV63:CV89" si="429">+CU63*3.3058</f>
        <v>84752.155928439999</v>
      </c>
      <c r="CW63" s="60">
        <f t="shared" ref="CW63:CW89" si="430">+CA63*EF63</f>
        <v>24988.363399999998</v>
      </c>
      <c r="CX63" s="59">
        <f t="shared" ref="CX63:CX89" si="431">+CW63*3.3058</f>
        <v>82606.531727719994</v>
      </c>
      <c r="CY63" s="60">
        <f t="shared" ref="CY63:CY89" si="432">+CA63*EG63</f>
        <v>24339.314999999999</v>
      </c>
      <c r="CZ63" s="59">
        <f t="shared" ref="CZ63:CZ89" si="433">+CY63*3.3058</f>
        <v>80460.907527000003</v>
      </c>
      <c r="DA63" s="55">
        <f t="shared" ref="DA63:DA89" si="434">+CA63*EH63</f>
        <v>23690.266599999999</v>
      </c>
      <c r="DB63" s="59">
        <f t="shared" ref="DB63:DB89" si="435">+DA63*3.3058</f>
        <v>78315.283326279998</v>
      </c>
      <c r="DC63" s="60">
        <f t="shared" ref="DC63:DC89" si="436">+CA63*EI63</f>
        <v>23041.218199999996</v>
      </c>
      <c r="DD63" s="59">
        <f t="shared" ref="DD63:DD89" si="437">+DC63*3.3058</f>
        <v>76169.659125559992</v>
      </c>
      <c r="DE63" s="60">
        <f t="shared" ref="DE63:DE89" si="438">+CA63*EJ63</f>
        <v>22392.169799999996</v>
      </c>
      <c r="DF63" s="59">
        <f t="shared" ref="DF63:DF89" si="439">+DE63*3.3058</f>
        <v>74024.034924839987</v>
      </c>
      <c r="DG63" s="60">
        <f t="shared" ref="DG63:DG89" si="440">+CA63*EK63</f>
        <v>21743.121399999996</v>
      </c>
      <c r="DH63" s="59">
        <f t="shared" ref="DH63:DH89" si="441">+DG63*3.3058</f>
        <v>71878.410724119996</v>
      </c>
      <c r="DI63" s="60">
        <f t="shared" ref="DI63:DI89" si="442">+CA63*EL63</f>
        <v>21094.072999999993</v>
      </c>
      <c r="DJ63" s="59">
        <f t="shared" ref="DJ63:DJ89" si="443">+DI63*3.3058</f>
        <v>69732.786523399976</v>
      </c>
      <c r="DK63" s="55">
        <f t="shared" ref="DK63:DK89" si="444">+CA63*EM63</f>
        <v>20445.024599999993</v>
      </c>
      <c r="DL63" s="59">
        <f t="shared" ref="DL63:DL89" si="445">+DK63*3.3058</f>
        <v>67587.162322679986</v>
      </c>
      <c r="DM63" s="60">
        <f t="shared" ref="DM63:DM89" si="446">+CA63*EN63</f>
        <v>19795.976199999994</v>
      </c>
      <c r="DN63" s="59">
        <f t="shared" ref="DN63:DN89" si="447">+DM63*3.3058</f>
        <v>65441.53812195998</v>
      </c>
      <c r="DO63" s="60">
        <f t="shared" ref="DO63:DO89" si="448">+CA63*EO63</f>
        <v>19146.927799999994</v>
      </c>
      <c r="DP63" s="59">
        <f t="shared" ref="DP63:DP89" si="449">+DO63*3.3058</f>
        <v>63295.913921239982</v>
      </c>
      <c r="DQ63" s="55">
        <f t="shared" ref="DQ63:DQ89" si="450">+CA63*EP63</f>
        <v>18497.879399999991</v>
      </c>
      <c r="DR63" s="59">
        <f t="shared" ref="DR63:DR89" si="451">+DQ63*3.3058</f>
        <v>61150.28972051997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3"/>
        <v>0.91</v>
      </c>
      <c r="DZ63" s="55">
        <f t="shared" si="283"/>
        <v>0.89</v>
      </c>
      <c r="EA63" s="55">
        <f t="shared" si="283"/>
        <v>0.87</v>
      </c>
      <c r="EB63" s="55">
        <f t="shared" ref="EB63:EP63" si="452">+EA63-0.02</f>
        <v>0.85</v>
      </c>
      <c r="EC63" s="55">
        <f t="shared" si="452"/>
        <v>0.83</v>
      </c>
      <c r="ED63" s="55">
        <f t="shared" si="452"/>
        <v>0.80999999999999994</v>
      </c>
      <c r="EE63" s="55">
        <f t="shared" si="452"/>
        <v>0.78999999999999992</v>
      </c>
      <c r="EF63" s="55">
        <f t="shared" si="452"/>
        <v>0.76999999999999991</v>
      </c>
      <c r="EG63" s="55">
        <f t="shared" si="452"/>
        <v>0.74999999999999989</v>
      </c>
      <c r="EH63" s="55">
        <f t="shared" si="452"/>
        <v>0.72999999999999987</v>
      </c>
      <c r="EI63" s="55">
        <f t="shared" si="452"/>
        <v>0.70999999999999985</v>
      </c>
      <c r="EJ63" s="55">
        <f t="shared" si="452"/>
        <v>0.68999999999999984</v>
      </c>
      <c r="EK63" s="55">
        <f t="shared" si="452"/>
        <v>0.66999999999999982</v>
      </c>
      <c r="EL63" s="55">
        <f t="shared" si="452"/>
        <v>0.6499999999999998</v>
      </c>
      <c r="EM63" s="55">
        <f t="shared" si="452"/>
        <v>0.62999999999999978</v>
      </c>
      <c r="EN63" s="55">
        <f t="shared" si="452"/>
        <v>0.60999999999999976</v>
      </c>
      <c r="EO63" s="55">
        <f t="shared" si="452"/>
        <v>0.58999999999999975</v>
      </c>
      <c r="EP63" s="55">
        <f t="shared" si="452"/>
        <v>0.56999999999999973</v>
      </c>
      <c r="ER63" s="55">
        <f t="shared" si="142"/>
        <v>29531.702200000003</v>
      </c>
      <c r="ES63" s="55">
        <f t="shared" si="116"/>
        <v>29531.702200000003</v>
      </c>
      <c r="ET63" s="59">
        <f t="shared" ref="ET63:ET89" si="453">+ES63*3.3058</f>
        <v>97625.901132760016</v>
      </c>
      <c r="EU63" s="55">
        <f t="shared" ref="EU63:EU89" si="454">+ES63*GN63</f>
        <v>28645.751134000002</v>
      </c>
      <c r="EV63" s="59">
        <f t="shared" ref="EV63:EV89" si="455">+EU63*3.3058</f>
        <v>94697.124098777203</v>
      </c>
      <c r="EW63" s="55">
        <f t="shared" ref="EW63:EW89" si="456">+ES63*GO63</f>
        <v>28055.117090000003</v>
      </c>
      <c r="EX63" s="59">
        <f t="shared" ref="EX63:EX89" si="457">+EW63*3.3058</f>
        <v>92744.606076122014</v>
      </c>
      <c r="EY63" s="55">
        <f t="shared" ref="EY63:EY89" si="458">+ES63*GP63</f>
        <v>27464.483046000005</v>
      </c>
      <c r="EZ63" s="59">
        <f t="shared" ref="EZ63:EZ89" si="459">+EY63*3.3058</f>
        <v>90792.088053466825</v>
      </c>
      <c r="FA63" s="57">
        <f t="shared" ref="FA63:FA89" si="460">+ES63*GQ63</f>
        <v>26873.849002000003</v>
      </c>
      <c r="FB63" s="59">
        <f t="shared" ref="FB63:FB89" si="461">+FA63*3.3058</f>
        <v>88839.570030811607</v>
      </c>
      <c r="FC63" s="55">
        <f t="shared" ref="FC63:FC89" si="462">+ES63*GR63</f>
        <v>26283.214958000004</v>
      </c>
      <c r="FD63" s="59">
        <f t="shared" ref="FD63:FD89" si="463">+FC63*3.3058</f>
        <v>86887.052008156417</v>
      </c>
      <c r="FE63" s="57">
        <f t="shared" ref="FE63:FE89" si="464">+ES63*GS63</f>
        <v>25692.580914000002</v>
      </c>
      <c r="FF63" s="59">
        <f t="shared" ref="FF63:FF89" si="465">+FE63*3.3058</f>
        <v>84934.533985501213</v>
      </c>
      <c r="FG63" s="60">
        <f t="shared" ref="FG63:FG89" si="466">+ES63*GT63</f>
        <v>25101.946870000003</v>
      </c>
      <c r="FH63" s="59">
        <f t="shared" ref="FH63:FH89" si="467">+FG63*3.3058</f>
        <v>82982.01596284601</v>
      </c>
      <c r="FI63" s="57">
        <f t="shared" ref="FI63:FI89" si="468">+ES63*GU63</f>
        <v>24511.312826000001</v>
      </c>
      <c r="FJ63" s="59">
        <f t="shared" ref="FJ63:FJ89" si="469">+FI63*3.3058</f>
        <v>81029.497940190806</v>
      </c>
      <c r="FK63" s="55">
        <f t="shared" ref="FK63:FK89" si="470">+ES63*GV63</f>
        <v>23920.678782000003</v>
      </c>
      <c r="FL63" s="59">
        <f t="shared" ref="FL63:FL89" si="471">+FK63*3.3058</f>
        <v>79076.979917535617</v>
      </c>
      <c r="FM63" s="60">
        <f t="shared" ref="FM63:FM89" si="472">+ES63*GW63</f>
        <v>23330.044738000001</v>
      </c>
      <c r="FN63" s="59">
        <f t="shared" ref="FN63:FN89" si="473">+FM63*3.3058</f>
        <v>77124.461894880398</v>
      </c>
      <c r="FO63" s="60">
        <f t="shared" ref="FO63:FO89" si="474">+ES63*GX63</f>
        <v>22739.410693999998</v>
      </c>
      <c r="FP63" s="59">
        <f t="shared" ref="FP63:FP89" si="475">+FO63*3.3058</f>
        <v>75171.943872225194</v>
      </c>
      <c r="FQ63" s="60">
        <f t="shared" ref="FQ63:FQ89" si="476">+ES63*GY63</f>
        <v>22148.77665</v>
      </c>
      <c r="FR63" s="59">
        <f t="shared" ref="FR63:FR89" si="477">+FQ63*3.3058</f>
        <v>73219.425849570005</v>
      </c>
      <c r="FS63" s="55">
        <f t="shared" ref="FS63:FS89" si="478">+ES63*GZ63</f>
        <v>21558.142605999998</v>
      </c>
      <c r="FT63" s="59">
        <f t="shared" ref="FT63:FT89" si="479">+FS63*3.3058</f>
        <v>71266.907826914787</v>
      </c>
      <c r="FU63" s="60">
        <f t="shared" ref="FU63:FU89" si="480">+ES63*HA63</f>
        <v>20967.508561999999</v>
      </c>
      <c r="FV63" s="59">
        <f t="shared" ref="FV63:FV89" si="481">+FU63*3.3058</f>
        <v>69314.389804259597</v>
      </c>
      <c r="FW63" s="60">
        <f t="shared" ref="FW63:FW89" si="482">+ES63*HB63</f>
        <v>20376.874517999997</v>
      </c>
      <c r="FX63" s="59">
        <f t="shared" ref="FX63:FX89" si="483">+FW63*3.3058</f>
        <v>67361.871781604394</v>
      </c>
      <c r="FY63" s="60">
        <f t="shared" ref="FY63:FY89" si="484">+ES63*HC63</f>
        <v>19786.240473999998</v>
      </c>
      <c r="FZ63" s="59">
        <f t="shared" ref="FZ63:FZ89" si="485">+FY63*3.3058</f>
        <v>65409.353758949197</v>
      </c>
      <c r="GA63" s="60">
        <f t="shared" ref="GA63:GA89" si="486">+ES63*HD63</f>
        <v>19195.606429999996</v>
      </c>
      <c r="GB63" s="59">
        <f t="shared" ref="GB63:GB89" si="487">+GA63*3.3058</f>
        <v>63456.835736293986</v>
      </c>
      <c r="GC63" s="55">
        <f t="shared" ref="GC63:GC89" si="488">+ES63*HE63</f>
        <v>18604.972385999994</v>
      </c>
      <c r="GD63" s="59">
        <f t="shared" ref="GD63:GD89" si="489">+GC63*3.3058</f>
        <v>61504.317713638782</v>
      </c>
      <c r="GE63" s="60">
        <f t="shared" ref="GE63:GE89" si="490">+ES63*HF63</f>
        <v>18014.338341999995</v>
      </c>
      <c r="GF63" s="59">
        <f t="shared" ref="GF63:GF89" si="491">+GE63*3.3058</f>
        <v>59551.799690983586</v>
      </c>
      <c r="GG63" s="60">
        <f t="shared" ref="GG63:GG89" si="492">+ES63*HG63</f>
        <v>17423.704297999993</v>
      </c>
      <c r="GH63" s="59">
        <f t="shared" ref="GH63:GH89" si="493">+GG63*3.3058</f>
        <v>57599.281668328382</v>
      </c>
      <c r="GI63" s="55">
        <f t="shared" ref="GI63:GI89" si="494">+ES63*HH63</f>
        <v>16833.070253999995</v>
      </c>
      <c r="GJ63" s="59">
        <f t="shared" ref="GJ63:GJ89" si="495">+GI63*3.3058</f>
        <v>55646.763645673185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4"/>
        <v>0.91</v>
      </c>
      <c r="GR63" s="55">
        <f t="shared" si="284"/>
        <v>0.89</v>
      </c>
      <c r="GS63" s="55">
        <f t="shared" si="284"/>
        <v>0.87</v>
      </c>
      <c r="GT63" s="55">
        <f t="shared" ref="GT63:HH63" si="496">+GS63-0.02</f>
        <v>0.85</v>
      </c>
      <c r="GU63" s="55">
        <f t="shared" si="496"/>
        <v>0.83</v>
      </c>
      <c r="GV63" s="55">
        <f t="shared" si="496"/>
        <v>0.80999999999999994</v>
      </c>
      <c r="GW63" s="55">
        <f t="shared" si="496"/>
        <v>0.78999999999999992</v>
      </c>
      <c r="GX63" s="55">
        <f t="shared" si="496"/>
        <v>0.76999999999999991</v>
      </c>
      <c r="GY63" s="55">
        <f t="shared" si="496"/>
        <v>0.74999999999999989</v>
      </c>
      <c r="GZ63" s="55">
        <f t="shared" si="496"/>
        <v>0.72999999999999987</v>
      </c>
      <c r="HA63" s="55">
        <f t="shared" si="496"/>
        <v>0.70999999999999985</v>
      </c>
      <c r="HB63" s="55">
        <f t="shared" si="496"/>
        <v>0.68999999999999984</v>
      </c>
      <c r="HC63" s="55">
        <f t="shared" si="496"/>
        <v>0.66999999999999982</v>
      </c>
      <c r="HD63" s="55">
        <f t="shared" si="496"/>
        <v>0.6499999999999998</v>
      </c>
      <c r="HE63" s="55">
        <f t="shared" si="496"/>
        <v>0.62999999999999978</v>
      </c>
      <c r="HF63" s="55">
        <f t="shared" si="496"/>
        <v>0.60999999999999976</v>
      </c>
      <c r="HG63" s="55">
        <f t="shared" si="496"/>
        <v>0.58999999999999975</v>
      </c>
      <c r="HH63" s="55">
        <f t="shared" si="496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f>TRUNC(2309.86201480817,-1)</f>
        <v>2300</v>
      </c>
      <c r="E64" s="71">
        <f t="shared" si="365"/>
        <v>7600</v>
      </c>
      <c r="H64" s="55">
        <f t="shared" si="61"/>
        <v>8360</v>
      </c>
      <c r="I64" s="55">
        <f t="shared" si="62"/>
        <v>8360</v>
      </c>
      <c r="J64" s="59">
        <f t="shared" si="63"/>
        <v>27636.488000000001</v>
      </c>
      <c r="K64" s="55">
        <f t="shared" si="366"/>
        <v>8109.2</v>
      </c>
      <c r="L64" s="59">
        <f t="shared" si="367"/>
        <v>26807.393359999998</v>
      </c>
      <c r="M64" s="55">
        <f t="shared" si="368"/>
        <v>7942</v>
      </c>
      <c r="N64" s="59">
        <f t="shared" si="369"/>
        <v>26254.6636</v>
      </c>
      <c r="O64" s="55">
        <f t="shared" si="370"/>
        <v>7774.8</v>
      </c>
      <c r="P64" s="59">
        <f t="shared" si="371"/>
        <v>25701.933840000002</v>
      </c>
      <c r="Q64" s="57">
        <f t="shared" si="372"/>
        <v>7607.6</v>
      </c>
      <c r="R64" s="59">
        <f t="shared" si="373"/>
        <v>25149.204080000003</v>
      </c>
      <c r="S64" s="55">
        <f t="shared" si="374"/>
        <v>7440.4000000000005</v>
      </c>
      <c r="T64" s="59">
        <f t="shared" si="375"/>
        <v>24596.474320000001</v>
      </c>
      <c r="U64" s="57">
        <f t="shared" si="376"/>
        <v>7273.2</v>
      </c>
      <c r="V64" s="59">
        <f t="shared" si="377"/>
        <v>24043.744559999999</v>
      </c>
      <c r="W64" s="60">
        <f t="shared" si="378"/>
        <v>7106</v>
      </c>
      <c r="X64" s="59">
        <f t="shared" si="379"/>
        <v>23491.014800000001</v>
      </c>
      <c r="Y64" s="57">
        <f t="shared" si="380"/>
        <v>6938.7999999999993</v>
      </c>
      <c r="Z64" s="59">
        <f t="shared" si="381"/>
        <v>22938.285039999999</v>
      </c>
      <c r="AA64" s="55">
        <f t="shared" si="382"/>
        <v>6771.5999999999995</v>
      </c>
      <c r="AB64" s="59">
        <f t="shared" si="383"/>
        <v>22385.55528</v>
      </c>
      <c r="AC64" s="60">
        <f t="shared" si="384"/>
        <v>6604.4</v>
      </c>
      <c r="AD64" s="59">
        <f t="shared" si="385"/>
        <v>21832.825519999999</v>
      </c>
      <c r="AE64" s="60">
        <f t="shared" si="386"/>
        <v>6437.1999999999989</v>
      </c>
      <c r="AF64" s="59">
        <f t="shared" si="387"/>
        <v>21280.095759999997</v>
      </c>
      <c r="AG64" s="60">
        <f t="shared" si="388"/>
        <v>6269.9999999999991</v>
      </c>
      <c r="AH64" s="59">
        <f t="shared" si="389"/>
        <v>20727.365999999998</v>
      </c>
      <c r="AI64" s="55">
        <f t="shared" si="390"/>
        <v>6102.7999999999993</v>
      </c>
      <c r="AJ64" s="59">
        <f t="shared" si="391"/>
        <v>20174.63624</v>
      </c>
      <c r="AK64" s="60">
        <f t="shared" si="392"/>
        <v>5935.5999999999985</v>
      </c>
      <c r="AL64" s="59">
        <f t="shared" si="393"/>
        <v>19621.906479999994</v>
      </c>
      <c r="AM64" s="60">
        <f t="shared" si="394"/>
        <v>5768.3999999999987</v>
      </c>
      <c r="AN64" s="59">
        <f t="shared" si="395"/>
        <v>19069.176719999996</v>
      </c>
      <c r="AO64" s="60">
        <f t="shared" si="396"/>
        <v>5601.1999999999989</v>
      </c>
      <c r="AP64" s="59">
        <f t="shared" si="397"/>
        <v>18516.446959999997</v>
      </c>
      <c r="AQ64" s="60">
        <f t="shared" si="398"/>
        <v>5433.9999999999982</v>
      </c>
      <c r="AR64" s="59">
        <f t="shared" si="399"/>
        <v>17963.717199999996</v>
      </c>
      <c r="AS64" s="55">
        <f t="shared" si="400"/>
        <v>5266.7999999999984</v>
      </c>
      <c r="AT64" s="59">
        <f t="shared" si="401"/>
        <v>17410.987439999994</v>
      </c>
      <c r="AU64" s="60">
        <f t="shared" si="402"/>
        <v>5099.5999999999976</v>
      </c>
      <c r="AV64" s="59">
        <f t="shared" si="403"/>
        <v>16858.257679999992</v>
      </c>
      <c r="AW64" s="60">
        <f t="shared" si="404"/>
        <v>4932.3999999999978</v>
      </c>
      <c r="AX64" s="59">
        <f t="shared" si="405"/>
        <v>16305.527919999993</v>
      </c>
      <c r="AY64" s="55">
        <f t="shared" si="406"/>
        <v>4765.199999999998</v>
      </c>
      <c r="AZ64" s="59">
        <f t="shared" si="407"/>
        <v>15752.798159999993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08"/>
        <v>0.91</v>
      </c>
      <c r="BH64" s="55">
        <f t="shared" si="408"/>
        <v>0.89</v>
      </c>
      <c r="BI64" s="55">
        <f t="shared" si="408"/>
        <v>0.87</v>
      </c>
      <c r="BJ64" s="55">
        <f t="shared" si="408"/>
        <v>0.85</v>
      </c>
      <c r="BK64" s="55">
        <f t="shared" si="408"/>
        <v>0.83</v>
      </c>
      <c r="BL64" s="55">
        <f t="shared" si="408"/>
        <v>0.80999999999999994</v>
      </c>
      <c r="BM64" s="55">
        <f t="shared" si="408"/>
        <v>0.78999999999999992</v>
      </c>
      <c r="BN64" s="55">
        <f t="shared" si="408"/>
        <v>0.76999999999999991</v>
      </c>
      <c r="BO64" s="55">
        <f t="shared" si="408"/>
        <v>0.74999999999999989</v>
      </c>
      <c r="BP64" s="55">
        <f t="shared" si="408"/>
        <v>0.72999999999999987</v>
      </c>
      <c r="BQ64" s="55">
        <f t="shared" si="408"/>
        <v>0.70999999999999985</v>
      </c>
      <c r="BR64" s="55">
        <f t="shared" si="408"/>
        <v>0.68999999999999984</v>
      </c>
      <c r="BS64" s="55">
        <f t="shared" si="408"/>
        <v>0.66999999999999982</v>
      </c>
      <c r="BT64" s="55">
        <f t="shared" si="408"/>
        <v>0.6499999999999998</v>
      </c>
      <c r="BU64" s="55">
        <f t="shared" si="408"/>
        <v>0.62999999999999978</v>
      </c>
      <c r="BV64" s="55">
        <f t="shared" si="408"/>
        <v>0.60999999999999976</v>
      </c>
      <c r="BW64" s="55">
        <f t="shared" si="408"/>
        <v>0.58999999999999975</v>
      </c>
      <c r="BX64" s="55">
        <f t="shared" si="408"/>
        <v>0.56999999999999973</v>
      </c>
      <c r="BZ64" s="55">
        <f t="shared" si="88"/>
        <v>7607.6</v>
      </c>
      <c r="CA64" s="55">
        <f t="shared" si="89"/>
        <v>7607.6</v>
      </c>
      <c r="CB64" s="59">
        <f t="shared" si="409"/>
        <v>25149.204080000003</v>
      </c>
      <c r="CC64" s="55">
        <f t="shared" si="410"/>
        <v>7379.3720000000003</v>
      </c>
      <c r="CD64" s="59">
        <f t="shared" si="411"/>
        <v>24394.7279576</v>
      </c>
      <c r="CE64" s="55">
        <f t="shared" si="412"/>
        <v>7227.22</v>
      </c>
      <c r="CF64" s="59">
        <f t="shared" si="413"/>
        <v>23891.743876</v>
      </c>
      <c r="CG64" s="55">
        <f t="shared" si="414"/>
        <v>7075.0680000000011</v>
      </c>
      <c r="CH64" s="59">
        <f t="shared" si="415"/>
        <v>23388.759794400004</v>
      </c>
      <c r="CI64" s="57">
        <f t="shared" si="416"/>
        <v>6922.9160000000002</v>
      </c>
      <c r="CJ64" s="59">
        <f t="shared" si="417"/>
        <v>22885.775712800001</v>
      </c>
      <c r="CK64" s="55">
        <f t="shared" si="418"/>
        <v>6770.7640000000001</v>
      </c>
      <c r="CL64" s="59">
        <f t="shared" si="419"/>
        <v>22382.791631200002</v>
      </c>
      <c r="CM64" s="57">
        <f t="shared" si="420"/>
        <v>6618.6120000000001</v>
      </c>
      <c r="CN64" s="59">
        <f t="shared" si="421"/>
        <v>21879.807549600002</v>
      </c>
      <c r="CO64" s="60">
        <f t="shared" si="422"/>
        <v>6466.46</v>
      </c>
      <c r="CP64" s="59">
        <f t="shared" si="423"/>
        <v>21376.823468000002</v>
      </c>
      <c r="CQ64" s="57">
        <f t="shared" si="424"/>
        <v>6314.308</v>
      </c>
      <c r="CR64" s="59">
        <f t="shared" si="425"/>
        <v>20873.839386399999</v>
      </c>
      <c r="CS64" s="55">
        <f t="shared" si="426"/>
        <v>6162.1559999999999</v>
      </c>
      <c r="CT64" s="59">
        <f t="shared" si="427"/>
        <v>20370.855304799999</v>
      </c>
      <c r="CU64" s="60">
        <f t="shared" si="428"/>
        <v>6010.0039999999999</v>
      </c>
      <c r="CV64" s="59">
        <f t="shared" si="429"/>
        <v>19867.8712232</v>
      </c>
      <c r="CW64" s="60">
        <f t="shared" si="430"/>
        <v>5857.8519999999999</v>
      </c>
      <c r="CX64" s="59">
        <f t="shared" si="431"/>
        <v>19364.8871416</v>
      </c>
      <c r="CY64" s="60">
        <f t="shared" si="432"/>
        <v>5705.7</v>
      </c>
      <c r="CZ64" s="59">
        <f t="shared" si="433"/>
        <v>18861.903060000001</v>
      </c>
      <c r="DA64" s="55">
        <f t="shared" si="434"/>
        <v>5553.5479999999989</v>
      </c>
      <c r="DB64" s="59">
        <f t="shared" si="435"/>
        <v>18358.918978399997</v>
      </c>
      <c r="DC64" s="60">
        <f t="shared" si="436"/>
        <v>5401.3959999999988</v>
      </c>
      <c r="DD64" s="59">
        <f t="shared" si="437"/>
        <v>17855.934896799998</v>
      </c>
      <c r="DE64" s="60">
        <f t="shared" si="438"/>
        <v>5249.2439999999988</v>
      </c>
      <c r="DF64" s="59">
        <f t="shared" si="439"/>
        <v>17352.950815199998</v>
      </c>
      <c r="DG64" s="60">
        <f t="shared" si="440"/>
        <v>5097.0919999999987</v>
      </c>
      <c r="DH64" s="59">
        <f t="shared" si="441"/>
        <v>16849.966733599995</v>
      </c>
      <c r="DI64" s="60">
        <f t="shared" si="442"/>
        <v>4944.9399999999987</v>
      </c>
      <c r="DJ64" s="59">
        <f t="shared" si="443"/>
        <v>16346.982651999995</v>
      </c>
      <c r="DK64" s="55">
        <f t="shared" si="444"/>
        <v>4792.7879999999986</v>
      </c>
      <c r="DL64" s="59">
        <f t="shared" si="445"/>
        <v>15843.998570399996</v>
      </c>
      <c r="DM64" s="60">
        <f t="shared" si="446"/>
        <v>4640.6359999999986</v>
      </c>
      <c r="DN64" s="59">
        <f t="shared" si="447"/>
        <v>15341.014488799996</v>
      </c>
      <c r="DO64" s="60">
        <f t="shared" si="448"/>
        <v>4488.4839999999986</v>
      </c>
      <c r="DP64" s="59">
        <f t="shared" si="449"/>
        <v>14838.030407199996</v>
      </c>
      <c r="DQ64" s="55">
        <f t="shared" si="450"/>
        <v>4336.3319999999985</v>
      </c>
      <c r="DR64" s="59">
        <f t="shared" si="451"/>
        <v>14335.046325599995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497">+DX64-0.02</f>
        <v>0.91</v>
      </c>
      <c r="DZ64" s="55">
        <f t="shared" si="497"/>
        <v>0.89</v>
      </c>
      <c r="EA64" s="55">
        <f t="shared" si="497"/>
        <v>0.87</v>
      </c>
      <c r="EB64" s="55">
        <f t="shared" si="497"/>
        <v>0.85</v>
      </c>
      <c r="EC64" s="55">
        <f t="shared" si="497"/>
        <v>0.83</v>
      </c>
      <c r="ED64" s="55">
        <f t="shared" si="497"/>
        <v>0.80999999999999994</v>
      </c>
      <c r="EE64" s="55">
        <f t="shared" si="497"/>
        <v>0.78999999999999992</v>
      </c>
      <c r="EF64" s="55">
        <f t="shared" si="497"/>
        <v>0.76999999999999991</v>
      </c>
      <c r="EG64" s="55">
        <f t="shared" si="497"/>
        <v>0.74999999999999989</v>
      </c>
      <c r="EH64" s="55">
        <f t="shared" si="497"/>
        <v>0.72999999999999987</v>
      </c>
      <c r="EI64" s="55">
        <f t="shared" si="497"/>
        <v>0.70999999999999985</v>
      </c>
      <c r="EJ64" s="55">
        <f t="shared" si="497"/>
        <v>0.68999999999999984</v>
      </c>
      <c r="EK64" s="55">
        <f t="shared" si="497"/>
        <v>0.66999999999999982</v>
      </c>
      <c r="EL64" s="55">
        <f t="shared" si="497"/>
        <v>0.6499999999999998</v>
      </c>
      <c r="EM64" s="55">
        <f t="shared" si="497"/>
        <v>0.62999999999999978</v>
      </c>
      <c r="EN64" s="55">
        <f t="shared" si="497"/>
        <v>0.60999999999999976</v>
      </c>
      <c r="EO64" s="55">
        <f t="shared" si="497"/>
        <v>0.58999999999999975</v>
      </c>
      <c r="EP64" s="55">
        <f t="shared" si="497"/>
        <v>0.56999999999999973</v>
      </c>
      <c r="ER64" s="55">
        <f t="shared" si="142"/>
        <v>6922.9160000000002</v>
      </c>
      <c r="ES64" s="55">
        <f t="shared" si="116"/>
        <v>6922.9160000000002</v>
      </c>
      <c r="ET64" s="59">
        <f t="shared" si="453"/>
        <v>22885.775712800001</v>
      </c>
      <c r="EU64" s="55">
        <f t="shared" si="454"/>
        <v>6715.2285199999997</v>
      </c>
      <c r="EV64" s="59">
        <f t="shared" si="455"/>
        <v>22199.202441416001</v>
      </c>
      <c r="EW64" s="55">
        <f t="shared" si="456"/>
        <v>6576.7701999999999</v>
      </c>
      <c r="EX64" s="59">
        <f t="shared" si="457"/>
        <v>21741.48692716</v>
      </c>
      <c r="EY64" s="55">
        <f t="shared" si="458"/>
        <v>6438.3118800000002</v>
      </c>
      <c r="EZ64" s="59">
        <f t="shared" si="459"/>
        <v>21283.771412904</v>
      </c>
      <c r="FA64" s="57">
        <f t="shared" si="460"/>
        <v>6299.8535600000005</v>
      </c>
      <c r="FB64" s="59">
        <f t="shared" si="461"/>
        <v>20826.055898648003</v>
      </c>
      <c r="FC64" s="55">
        <f t="shared" si="462"/>
        <v>6161.3952399999998</v>
      </c>
      <c r="FD64" s="59">
        <f t="shared" si="463"/>
        <v>20368.340384391999</v>
      </c>
      <c r="FE64" s="57">
        <f t="shared" si="464"/>
        <v>6022.9369200000001</v>
      </c>
      <c r="FF64" s="59">
        <f t="shared" si="465"/>
        <v>19910.624870136002</v>
      </c>
      <c r="FG64" s="60">
        <f t="shared" si="466"/>
        <v>5884.4786000000004</v>
      </c>
      <c r="FH64" s="59">
        <f t="shared" si="467"/>
        <v>19452.909355880001</v>
      </c>
      <c r="FI64" s="57">
        <f t="shared" si="468"/>
        <v>5746.0202799999997</v>
      </c>
      <c r="FJ64" s="59">
        <f t="shared" si="469"/>
        <v>18995.193841624001</v>
      </c>
      <c r="FK64" s="55">
        <f t="shared" si="470"/>
        <v>5607.56196</v>
      </c>
      <c r="FL64" s="59">
        <f t="shared" si="471"/>
        <v>18537.478327368</v>
      </c>
      <c r="FM64" s="60">
        <f t="shared" si="472"/>
        <v>5469.1036399999994</v>
      </c>
      <c r="FN64" s="59">
        <f t="shared" si="473"/>
        <v>18079.762813112</v>
      </c>
      <c r="FO64" s="60">
        <f t="shared" si="474"/>
        <v>5330.6453199999996</v>
      </c>
      <c r="FP64" s="59">
        <f t="shared" si="475"/>
        <v>17622.047298856</v>
      </c>
      <c r="FQ64" s="60">
        <f t="shared" si="476"/>
        <v>5192.186999999999</v>
      </c>
      <c r="FR64" s="59">
        <f t="shared" si="477"/>
        <v>17164.331784599995</v>
      </c>
      <c r="FS64" s="55">
        <f t="shared" si="478"/>
        <v>5053.7286799999993</v>
      </c>
      <c r="FT64" s="59">
        <f t="shared" si="479"/>
        <v>16706.616270343999</v>
      </c>
      <c r="FU64" s="60">
        <f t="shared" si="480"/>
        <v>4915.2703599999995</v>
      </c>
      <c r="FV64" s="59">
        <f t="shared" si="481"/>
        <v>16248.900756087998</v>
      </c>
      <c r="FW64" s="60">
        <f t="shared" si="482"/>
        <v>4776.8120399999989</v>
      </c>
      <c r="FX64" s="59">
        <f t="shared" si="483"/>
        <v>15791.185241831996</v>
      </c>
      <c r="FY64" s="60">
        <f t="shared" si="484"/>
        <v>4638.3537199999992</v>
      </c>
      <c r="FZ64" s="59">
        <f t="shared" si="485"/>
        <v>15333.469727575997</v>
      </c>
      <c r="GA64" s="60">
        <f t="shared" si="486"/>
        <v>4499.8953999999985</v>
      </c>
      <c r="GB64" s="59">
        <f t="shared" si="487"/>
        <v>14875.754213319995</v>
      </c>
      <c r="GC64" s="55">
        <f t="shared" si="488"/>
        <v>4361.4370799999988</v>
      </c>
      <c r="GD64" s="59">
        <f t="shared" si="489"/>
        <v>14418.038699063996</v>
      </c>
      <c r="GE64" s="60">
        <f t="shared" si="490"/>
        <v>4222.9787599999981</v>
      </c>
      <c r="GF64" s="59">
        <f t="shared" si="491"/>
        <v>13960.323184807994</v>
      </c>
      <c r="GG64" s="60">
        <f t="shared" si="492"/>
        <v>4084.5204399999984</v>
      </c>
      <c r="GH64" s="59">
        <f t="shared" si="493"/>
        <v>13502.607670551995</v>
      </c>
      <c r="GI64" s="55">
        <f t="shared" si="494"/>
        <v>3946.0621199999982</v>
      </c>
      <c r="GJ64" s="59">
        <f t="shared" si="495"/>
        <v>13044.892156295995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498">+GP64-0.02</f>
        <v>0.91</v>
      </c>
      <c r="GR64" s="55">
        <f t="shared" si="498"/>
        <v>0.89</v>
      </c>
      <c r="GS64" s="55">
        <f t="shared" si="498"/>
        <v>0.87</v>
      </c>
      <c r="GT64" s="55">
        <f t="shared" si="498"/>
        <v>0.85</v>
      </c>
      <c r="GU64" s="55">
        <f t="shared" si="498"/>
        <v>0.83</v>
      </c>
      <c r="GV64" s="55">
        <f t="shared" si="498"/>
        <v>0.80999999999999994</v>
      </c>
      <c r="GW64" s="55">
        <f t="shared" si="498"/>
        <v>0.78999999999999992</v>
      </c>
      <c r="GX64" s="55">
        <f t="shared" si="498"/>
        <v>0.76999999999999991</v>
      </c>
      <c r="GY64" s="55">
        <f t="shared" si="498"/>
        <v>0.74999999999999989</v>
      </c>
      <c r="GZ64" s="55">
        <f t="shared" si="498"/>
        <v>0.72999999999999987</v>
      </c>
      <c r="HA64" s="55">
        <f t="shared" si="498"/>
        <v>0.70999999999999985</v>
      </c>
      <c r="HB64" s="55">
        <f t="shared" si="498"/>
        <v>0.68999999999999984</v>
      </c>
      <c r="HC64" s="55">
        <f t="shared" si="498"/>
        <v>0.66999999999999982</v>
      </c>
      <c r="HD64" s="55">
        <f t="shared" si="498"/>
        <v>0.6499999999999998</v>
      </c>
      <c r="HE64" s="55">
        <f t="shared" si="498"/>
        <v>0.62999999999999978</v>
      </c>
      <c r="HF64" s="55">
        <f t="shared" si="498"/>
        <v>0.60999999999999976</v>
      </c>
      <c r="HG64" s="55">
        <f t="shared" si="498"/>
        <v>0.58999999999999975</v>
      </c>
      <c r="HH64" s="55">
        <f t="shared" si="498"/>
        <v>0.56999999999999973</v>
      </c>
    </row>
    <row r="65" spans="1:216" x14ac:dyDescent="0.3">
      <c r="A65" s="2">
        <v>3</v>
      </c>
      <c r="C65" s="38" t="s">
        <v>32</v>
      </c>
      <c r="D65" s="42">
        <v>0</v>
      </c>
      <c r="E65" s="71">
        <f t="shared" si="365"/>
        <v>0</v>
      </c>
      <c r="H65" s="55">
        <f t="shared" si="61"/>
        <v>0</v>
      </c>
      <c r="I65" s="55">
        <f t="shared" si="62"/>
        <v>0</v>
      </c>
      <c r="J65" s="59">
        <f t="shared" si="63"/>
        <v>0</v>
      </c>
      <c r="K65" s="55">
        <f t="shared" si="366"/>
        <v>0</v>
      </c>
      <c r="L65" s="59">
        <f t="shared" si="367"/>
        <v>0</v>
      </c>
      <c r="M65" s="55">
        <f t="shared" si="368"/>
        <v>0</v>
      </c>
      <c r="N65" s="59">
        <f t="shared" si="369"/>
        <v>0</v>
      </c>
      <c r="O65" s="55">
        <f t="shared" si="370"/>
        <v>0</v>
      </c>
      <c r="P65" s="59">
        <f t="shared" si="371"/>
        <v>0</v>
      </c>
      <c r="Q65" s="57">
        <f t="shared" si="372"/>
        <v>0</v>
      </c>
      <c r="R65" s="59">
        <f t="shared" si="373"/>
        <v>0</v>
      </c>
      <c r="S65" s="55">
        <f t="shared" si="374"/>
        <v>0</v>
      </c>
      <c r="T65" s="59">
        <f t="shared" si="375"/>
        <v>0</v>
      </c>
      <c r="U65" s="57">
        <f t="shared" si="376"/>
        <v>0</v>
      </c>
      <c r="V65" s="59">
        <f t="shared" si="377"/>
        <v>0</v>
      </c>
      <c r="W65" s="60">
        <f t="shared" si="378"/>
        <v>0</v>
      </c>
      <c r="X65" s="59">
        <f t="shared" si="379"/>
        <v>0</v>
      </c>
      <c r="Y65" s="57">
        <f t="shared" si="380"/>
        <v>0</v>
      </c>
      <c r="Z65" s="59">
        <f t="shared" si="381"/>
        <v>0</v>
      </c>
      <c r="AA65" s="55">
        <f t="shared" si="382"/>
        <v>0</v>
      </c>
      <c r="AB65" s="59">
        <f t="shared" si="383"/>
        <v>0</v>
      </c>
      <c r="AC65" s="60">
        <f t="shared" si="384"/>
        <v>0</v>
      </c>
      <c r="AD65" s="59">
        <f t="shared" si="385"/>
        <v>0</v>
      </c>
      <c r="AE65" s="60">
        <f t="shared" si="386"/>
        <v>0</v>
      </c>
      <c r="AF65" s="59">
        <f t="shared" si="387"/>
        <v>0</v>
      </c>
      <c r="AG65" s="60">
        <f t="shared" si="388"/>
        <v>0</v>
      </c>
      <c r="AH65" s="59">
        <f t="shared" si="389"/>
        <v>0</v>
      </c>
      <c r="AI65" s="55">
        <f t="shared" si="390"/>
        <v>0</v>
      </c>
      <c r="AJ65" s="59">
        <f t="shared" si="391"/>
        <v>0</v>
      </c>
      <c r="AK65" s="60">
        <f t="shared" si="392"/>
        <v>0</v>
      </c>
      <c r="AL65" s="59">
        <f t="shared" si="393"/>
        <v>0</v>
      </c>
      <c r="AM65" s="60">
        <f t="shared" si="394"/>
        <v>0</v>
      </c>
      <c r="AN65" s="59">
        <f t="shared" si="395"/>
        <v>0</v>
      </c>
      <c r="AO65" s="60">
        <f t="shared" si="396"/>
        <v>0</v>
      </c>
      <c r="AP65" s="59">
        <f t="shared" si="397"/>
        <v>0</v>
      </c>
      <c r="AQ65" s="60">
        <f t="shared" si="398"/>
        <v>0</v>
      </c>
      <c r="AR65" s="59">
        <f t="shared" si="399"/>
        <v>0</v>
      </c>
      <c r="AS65" s="55">
        <f t="shared" si="400"/>
        <v>0</v>
      </c>
      <c r="AT65" s="59">
        <f t="shared" si="401"/>
        <v>0</v>
      </c>
      <c r="AU65" s="60">
        <f t="shared" si="402"/>
        <v>0</v>
      </c>
      <c r="AV65" s="59">
        <f t="shared" si="403"/>
        <v>0</v>
      </c>
      <c r="AW65" s="60">
        <f t="shared" si="404"/>
        <v>0</v>
      </c>
      <c r="AX65" s="59">
        <f t="shared" si="405"/>
        <v>0</v>
      </c>
      <c r="AY65" s="55">
        <f t="shared" si="406"/>
        <v>0</v>
      </c>
      <c r="AZ65" s="59">
        <f t="shared" si="407"/>
        <v>0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08"/>
        <v>0.91</v>
      </c>
      <c r="BH65" s="55">
        <f t="shared" si="408"/>
        <v>0.89</v>
      </c>
      <c r="BI65" s="55">
        <f t="shared" si="408"/>
        <v>0.87</v>
      </c>
      <c r="BJ65" s="55">
        <f t="shared" si="408"/>
        <v>0.85</v>
      </c>
      <c r="BK65" s="55">
        <f t="shared" si="408"/>
        <v>0.83</v>
      </c>
      <c r="BL65" s="55">
        <f t="shared" si="408"/>
        <v>0.80999999999999994</v>
      </c>
      <c r="BM65" s="55">
        <f t="shared" si="408"/>
        <v>0.78999999999999992</v>
      </c>
      <c r="BN65" s="55">
        <f t="shared" si="408"/>
        <v>0.76999999999999991</v>
      </c>
      <c r="BO65" s="55">
        <f t="shared" si="408"/>
        <v>0.74999999999999989</v>
      </c>
      <c r="BP65" s="55">
        <f t="shared" si="408"/>
        <v>0.72999999999999987</v>
      </c>
      <c r="BQ65" s="55">
        <f t="shared" si="408"/>
        <v>0.70999999999999985</v>
      </c>
      <c r="BR65" s="55">
        <f t="shared" si="408"/>
        <v>0.68999999999999984</v>
      </c>
      <c r="BS65" s="55">
        <f t="shared" si="408"/>
        <v>0.66999999999999982</v>
      </c>
      <c r="BT65" s="55">
        <f t="shared" si="408"/>
        <v>0.6499999999999998</v>
      </c>
      <c r="BU65" s="55">
        <f t="shared" si="408"/>
        <v>0.62999999999999978</v>
      </c>
      <c r="BV65" s="55">
        <f t="shared" si="408"/>
        <v>0.60999999999999976</v>
      </c>
      <c r="BW65" s="55">
        <f t="shared" si="408"/>
        <v>0.58999999999999975</v>
      </c>
      <c r="BX65" s="55">
        <f t="shared" si="408"/>
        <v>0.56999999999999973</v>
      </c>
      <c r="BZ65" s="55">
        <f t="shared" si="88"/>
        <v>0</v>
      </c>
      <c r="CA65" s="55">
        <f t="shared" si="89"/>
        <v>0</v>
      </c>
      <c r="CB65" s="59">
        <f t="shared" si="409"/>
        <v>0</v>
      </c>
      <c r="CC65" s="55">
        <f t="shared" si="410"/>
        <v>0</v>
      </c>
      <c r="CD65" s="59">
        <f t="shared" si="411"/>
        <v>0</v>
      </c>
      <c r="CE65" s="55">
        <f t="shared" si="412"/>
        <v>0</v>
      </c>
      <c r="CF65" s="59">
        <f t="shared" si="413"/>
        <v>0</v>
      </c>
      <c r="CG65" s="55">
        <f t="shared" si="414"/>
        <v>0</v>
      </c>
      <c r="CH65" s="59">
        <f t="shared" si="415"/>
        <v>0</v>
      </c>
      <c r="CI65" s="57">
        <f t="shared" si="416"/>
        <v>0</v>
      </c>
      <c r="CJ65" s="59">
        <f t="shared" si="417"/>
        <v>0</v>
      </c>
      <c r="CK65" s="55">
        <f t="shared" si="418"/>
        <v>0</v>
      </c>
      <c r="CL65" s="59">
        <f t="shared" si="419"/>
        <v>0</v>
      </c>
      <c r="CM65" s="57">
        <f t="shared" si="420"/>
        <v>0</v>
      </c>
      <c r="CN65" s="59">
        <f t="shared" si="421"/>
        <v>0</v>
      </c>
      <c r="CO65" s="60">
        <f t="shared" si="422"/>
        <v>0</v>
      </c>
      <c r="CP65" s="59">
        <f t="shared" si="423"/>
        <v>0</v>
      </c>
      <c r="CQ65" s="57">
        <f t="shared" si="424"/>
        <v>0</v>
      </c>
      <c r="CR65" s="59">
        <f t="shared" si="425"/>
        <v>0</v>
      </c>
      <c r="CS65" s="55">
        <f t="shared" si="426"/>
        <v>0</v>
      </c>
      <c r="CT65" s="59">
        <f t="shared" si="427"/>
        <v>0</v>
      </c>
      <c r="CU65" s="60">
        <f t="shared" si="428"/>
        <v>0</v>
      </c>
      <c r="CV65" s="59">
        <f t="shared" si="429"/>
        <v>0</v>
      </c>
      <c r="CW65" s="60">
        <f t="shared" si="430"/>
        <v>0</v>
      </c>
      <c r="CX65" s="59">
        <f t="shared" si="431"/>
        <v>0</v>
      </c>
      <c r="CY65" s="60">
        <f t="shared" si="432"/>
        <v>0</v>
      </c>
      <c r="CZ65" s="59">
        <f t="shared" si="433"/>
        <v>0</v>
      </c>
      <c r="DA65" s="55">
        <f t="shared" si="434"/>
        <v>0</v>
      </c>
      <c r="DB65" s="59">
        <f t="shared" si="435"/>
        <v>0</v>
      </c>
      <c r="DC65" s="60">
        <f t="shared" si="436"/>
        <v>0</v>
      </c>
      <c r="DD65" s="59">
        <f t="shared" si="437"/>
        <v>0</v>
      </c>
      <c r="DE65" s="60">
        <f t="shared" si="438"/>
        <v>0</v>
      </c>
      <c r="DF65" s="59">
        <f t="shared" si="439"/>
        <v>0</v>
      </c>
      <c r="DG65" s="60">
        <f t="shared" si="440"/>
        <v>0</v>
      </c>
      <c r="DH65" s="59">
        <f t="shared" si="441"/>
        <v>0</v>
      </c>
      <c r="DI65" s="60">
        <f t="shared" si="442"/>
        <v>0</v>
      </c>
      <c r="DJ65" s="59">
        <f t="shared" si="443"/>
        <v>0</v>
      </c>
      <c r="DK65" s="55">
        <f t="shared" si="444"/>
        <v>0</v>
      </c>
      <c r="DL65" s="59">
        <f t="shared" si="445"/>
        <v>0</v>
      </c>
      <c r="DM65" s="60">
        <f t="shared" si="446"/>
        <v>0</v>
      </c>
      <c r="DN65" s="59">
        <f t="shared" si="447"/>
        <v>0</v>
      </c>
      <c r="DO65" s="60">
        <f t="shared" si="448"/>
        <v>0</v>
      </c>
      <c r="DP65" s="59">
        <f t="shared" si="449"/>
        <v>0</v>
      </c>
      <c r="DQ65" s="55">
        <f t="shared" si="450"/>
        <v>0</v>
      </c>
      <c r="DR65" s="59">
        <f t="shared" si="451"/>
        <v>0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497"/>
        <v>0.91</v>
      </c>
      <c r="DZ65" s="55">
        <f t="shared" si="497"/>
        <v>0.89</v>
      </c>
      <c r="EA65" s="55">
        <f t="shared" si="497"/>
        <v>0.87</v>
      </c>
      <c r="EB65" s="55">
        <f t="shared" si="497"/>
        <v>0.85</v>
      </c>
      <c r="EC65" s="55">
        <f t="shared" si="497"/>
        <v>0.83</v>
      </c>
      <c r="ED65" s="55">
        <f t="shared" si="497"/>
        <v>0.80999999999999994</v>
      </c>
      <c r="EE65" s="55">
        <f t="shared" si="497"/>
        <v>0.78999999999999992</v>
      </c>
      <c r="EF65" s="55">
        <f t="shared" si="497"/>
        <v>0.76999999999999991</v>
      </c>
      <c r="EG65" s="55">
        <f t="shared" si="497"/>
        <v>0.74999999999999989</v>
      </c>
      <c r="EH65" s="55">
        <f t="shared" si="497"/>
        <v>0.72999999999999987</v>
      </c>
      <c r="EI65" s="55">
        <f t="shared" si="497"/>
        <v>0.70999999999999985</v>
      </c>
      <c r="EJ65" s="55">
        <f t="shared" si="497"/>
        <v>0.68999999999999984</v>
      </c>
      <c r="EK65" s="55">
        <f t="shared" si="497"/>
        <v>0.66999999999999982</v>
      </c>
      <c r="EL65" s="55">
        <f t="shared" si="497"/>
        <v>0.6499999999999998</v>
      </c>
      <c r="EM65" s="55">
        <f t="shared" si="497"/>
        <v>0.62999999999999978</v>
      </c>
      <c r="EN65" s="55">
        <f t="shared" si="497"/>
        <v>0.60999999999999976</v>
      </c>
      <c r="EO65" s="55">
        <f t="shared" si="497"/>
        <v>0.58999999999999975</v>
      </c>
      <c r="EP65" s="55">
        <f t="shared" si="497"/>
        <v>0.56999999999999973</v>
      </c>
      <c r="ER65" s="55">
        <f t="shared" si="142"/>
        <v>0</v>
      </c>
      <c r="ES65" s="55">
        <f t="shared" si="116"/>
        <v>0</v>
      </c>
      <c r="ET65" s="59">
        <f t="shared" si="453"/>
        <v>0</v>
      </c>
      <c r="EU65" s="55">
        <f t="shared" si="454"/>
        <v>0</v>
      </c>
      <c r="EV65" s="59">
        <f t="shared" si="455"/>
        <v>0</v>
      </c>
      <c r="EW65" s="55">
        <f t="shared" si="456"/>
        <v>0</v>
      </c>
      <c r="EX65" s="59">
        <f t="shared" si="457"/>
        <v>0</v>
      </c>
      <c r="EY65" s="55">
        <f t="shared" si="458"/>
        <v>0</v>
      </c>
      <c r="EZ65" s="59">
        <f t="shared" si="459"/>
        <v>0</v>
      </c>
      <c r="FA65" s="57">
        <f t="shared" si="460"/>
        <v>0</v>
      </c>
      <c r="FB65" s="59">
        <f t="shared" si="461"/>
        <v>0</v>
      </c>
      <c r="FC65" s="55">
        <f t="shared" si="462"/>
        <v>0</v>
      </c>
      <c r="FD65" s="59">
        <f t="shared" si="463"/>
        <v>0</v>
      </c>
      <c r="FE65" s="57">
        <f t="shared" si="464"/>
        <v>0</v>
      </c>
      <c r="FF65" s="59">
        <f t="shared" si="465"/>
        <v>0</v>
      </c>
      <c r="FG65" s="60">
        <f t="shared" si="466"/>
        <v>0</v>
      </c>
      <c r="FH65" s="59">
        <f t="shared" si="467"/>
        <v>0</v>
      </c>
      <c r="FI65" s="57">
        <f t="shared" si="468"/>
        <v>0</v>
      </c>
      <c r="FJ65" s="59">
        <f t="shared" si="469"/>
        <v>0</v>
      </c>
      <c r="FK65" s="55">
        <f t="shared" si="470"/>
        <v>0</v>
      </c>
      <c r="FL65" s="59">
        <f t="shared" si="471"/>
        <v>0</v>
      </c>
      <c r="FM65" s="60">
        <f t="shared" si="472"/>
        <v>0</v>
      </c>
      <c r="FN65" s="59">
        <f t="shared" si="473"/>
        <v>0</v>
      </c>
      <c r="FO65" s="60">
        <f t="shared" si="474"/>
        <v>0</v>
      </c>
      <c r="FP65" s="59">
        <f t="shared" si="475"/>
        <v>0</v>
      </c>
      <c r="FQ65" s="60">
        <f t="shared" si="476"/>
        <v>0</v>
      </c>
      <c r="FR65" s="59">
        <f t="shared" si="477"/>
        <v>0</v>
      </c>
      <c r="FS65" s="55">
        <f t="shared" si="478"/>
        <v>0</v>
      </c>
      <c r="FT65" s="59">
        <f t="shared" si="479"/>
        <v>0</v>
      </c>
      <c r="FU65" s="60">
        <f t="shared" si="480"/>
        <v>0</v>
      </c>
      <c r="FV65" s="59">
        <f t="shared" si="481"/>
        <v>0</v>
      </c>
      <c r="FW65" s="60">
        <f t="shared" si="482"/>
        <v>0</v>
      </c>
      <c r="FX65" s="59">
        <f t="shared" si="483"/>
        <v>0</v>
      </c>
      <c r="FY65" s="60">
        <f t="shared" si="484"/>
        <v>0</v>
      </c>
      <c r="FZ65" s="59">
        <f t="shared" si="485"/>
        <v>0</v>
      </c>
      <c r="GA65" s="60">
        <f t="shared" si="486"/>
        <v>0</v>
      </c>
      <c r="GB65" s="59">
        <f t="shared" si="487"/>
        <v>0</v>
      </c>
      <c r="GC65" s="55">
        <f t="shared" si="488"/>
        <v>0</v>
      </c>
      <c r="GD65" s="59">
        <f t="shared" si="489"/>
        <v>0</v>
      </c>
      <c r="GE65" s="60">
        <f t="shared" si="490"/>
        <v>0</v>
      </c>
      <c r="GF65" s="59">
        <f t="shared" si="491"/>
        <v>0</v>
      </c>
      <c r="GG65" s="60">
        <f t="shared" si="492"/>
        <v>0</v>
      </c>
      <c r="GH65" s="59">
        <f t="shared" si="493"/>
        <v>0</v>
      </c>
      <c r="GI65" s="55">
        <f t="shared" si="494"/>
        <v>0</v>
      </c>
      <c r="GJ65" s="59">
        <f t="shared" si="495"/>
        <v>0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498"/>
        <v>0.91</v>
      </c>
      <c r="GR65" s="55">
        <f t="shared" si="498"/>
        <v>0.89</v>
      </c>
      <c r="GS65" s="55">
        <f t="shared" si="498"/>
        <v>0.87</v>
      </c>
      <c r="GT65" s="55">
        <f t="shared" si="498"/>
        <v>0.85</v>
      </c>
      <c r="GU65" s="55">
        <f t="shared" si="498"/>
        <v>0.83</v>
      </c>
      <c r="GV65" s="55">
        <f t="shared" si="498"/>
        <v>0.80999999999999994</v>
      </c>
      <c r="GW65" s="55">
        <f t="shared" si="498"/>
        <v>0.78999999999999992</v>
      </c>
      <c r="GX65" s="55">
        <f t="shared" si="498"/>
        <v>0.76999999999999991</v>
      </c>
      <c r="GY65" s="55">
        <f t="shared" si="498"/>
        <v>0.74999999999999989</v>
      </c>
      <c r="GZ65" s="55">
        <f t="shared" si="498"/>
        <v>0.72999999999999987</v>
      </c>
      <c r="HA65" s="55">
        <f t="shared" si="498"/>
        <v>0.70999999999999985</v>
      </c>
      <c r="HB65" s="55">
        <f t="shared" si="498"/>
        <v>0.68999999999999984</v>
      </c>
      <c r="HC65" s="55">
        <f t="shared" si="498"/>
        <v>0.66999999999999982</v>
      </c>
      <c r="HD65" s="55">
        <f t="shared" si="498"/>
        <v>0.6499999999999998</v>
      </c>
      <c r="HE65" s="55">
        <f t="shared" si="498"/>
        <v>0.62999999999999978</v>
      </c>
      <c r="HF65" s="55">
        <f t="shared" si="498"/>
        <v>0.60999999999999976</v>
      </c>
      <c r="HG65" s="55">
        <f t="shared" si="498"/>
        <v>0.58999999999999975</v>
      </c>
      <c r="HH65" s="55">
        <f t="shared" si="498"/>
        <v>0.56999999999999973</v>
      </c>
    </row>
    <row r="66" spans="1:216" x14ac:dyDescent="0.3">
      <c r="A66" s="2">
        <v>4</v>
      </c>
      <c r="C66" s="38" t="s">
        <v>33</v>
      </c>
      <c r="D66" s="42">
        <v>0</v>
      </c>
      <c r="E66" s="71">
        <f t="shared" si="365"/>
        <v>0</v>
      </c>
      <c r="H66" s="55">
        <f t="shared" si="61"/>
        <v>0</v>
      </c>
      <c r="I66" s="55">
        <f t="shared" si="62"/>
        <v>0</v>
      </c>
      <c r="J66" s="59">
        <f t="shared" si="63"/>
        <v>0</v>
      </c>
      <c r="K66" s="55">
        <f t="shared" si="366"/>
        <v>0</v>
      </c>
      <c r="L66" s="59">
        <f t="shared" si="367"/>
        <v>0</v>
      </c>
      <c r="M66" s="55">
        <f t="shared" si="368"/>
        <v>0</v>
      </c>
      <c r="N66" s="59">
        <f t="shared" si="369"/>
        <v>0</v>
      </c>
      <c r="O66" s="55">
        <f t="shared" si="370"/>
        <v>0</v>
      </c>
      <c r="P66" s="59">
        <f t="shared" si="371"/>
        <v>0</v>
      </c>
      <c r="Q66" s="57">
        <f t="shared" si="372"/>
        <v>0</v>
      </c>
      <c r="R66" s="59">
        <f t="shared" si="373"/>
        <v>0</v>
      </c>
      <c r="S66" s="55">
        <f t="shared" si="374"/>
        <v>0</v>
      </c>
      <c r="T66" s="59">
        <f t="shared" si="375"/>
        <v>0</v>
      </c>
      <c r="U66" s="57">
        <f t="shared" si="376"/>
        <v>0</v>
      </c>
      <c r="V66" s="59">
        <f t="shared" si="377"/>
        <v>0</v>
      </c>
      <c r="W66" s="60">
        <f t="shared" si="378"/>
        <v>0</v>
      </c>
      <c r="X66" s="59">
        <f t="shared" si="379"/>
        <v>0</v>
      </c>
      <c r="Y66" s="57">
        <f t="shared" si="380"/>
        <v>0</v>
      </c>
      <c r="Z66" s="59">
        <f t="shared" si="381"/>
        <v>0</v>
      </c>
      <c r="AA66" s="55">
        <f t="shared" si="382"/>
        <v>0</v>
      </c>
      <c r="AB66" s="59">
        <f t="shared" si="383"/>
        <v>0</v>
      </c>
      <c r="AC66" s="60">
        <f t="shared" si="384"/>
        <v>0</v>
      </c>
      <c r="AD66" s="59">
        <f t="shared" si="385"/>
        <v>0</v>
      </c>
      <c r="AE66" s="60">
        <f t="shared" si="386"/>
        <v>0</v>
      </c>
      <c r="AF66" s="59">
        <f t="shared" si="387"/>
        <v>0</v>
      </c>
      <c r="AG66" s="60">
        <f t="shared" si="388"/>
        <v>0</v>
      </c>
      <c r="AH66" s="59">
        <f t="shared" si="389"/>
        <v>0</v>
      </c>
      <c r="AI66" s="55">
        <f t="shared" si="390"/>
        <v>0</v>
      </c>
      <c r="AJ66" s="59">
        <f t="shared" si="391"/>
        <v>0</v>
      </c>
      <c r="AK66" s="60">
        <f t="shared" si="392"/>
        <v>0</v>
      </c>
      <c r="AL66" s="59">
        <f t="shared" si="393"/>
        <v>0</v>
      </c>
      <c r="AM66" s="60">
        <f t="shared" si="394"/>
        <v>0</v>
      </c>
      <c r="AN66" s="59">
        <f t="shared" si="395"/>
        <v>0</v>
      </c>
      <c r="AO66" s="60">
        <f t="shared" si="396"/>
        <v>0</v>
      </c>
      <c r="AP66" s="59">
        <f t="shared" si="397"/>
        <v>0</v>
      </c>
      <c r="AQ66" s="60">
        <f t="shared" si="398"/>
        <v>0</v>
      </c>
      <c r="AR66" s="59">
        <f t="shared" si="399"/>
        <v>0</v>
      </c>
      <c r="AS66" s="55">
        <f t="shared" si="400"/>
        <v>0</v>
      </c>
      <c r="AT66" s="59">
        <f t="shared" si="401"/>
        <v>0</v>
      </c>
      <c r="AU66" s="60">
        <f t="shared" si="402"/>
        <v>0</v>
      </c>
      <c r="AV66" s="59">
        <f t="shared" si="403"/>
        <v>0</v>
      </c>
      <c r="AW66" s="60">
        <f t="shared" si="404"/>
        <v>0</v>
      </c>
      <c r="AX66" s="59">
        <f t="shared" si="405"/>
        <v>0</v>
      </c>
      <c r="AY66" s="55">
        <f t="shared" si="406"/>
        <v>0</v>
      </c>
      <c r="AZ66" s="59">
        <f t="shared" si="407"/>
        <v>0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08"/>
        <v>0.91</v>
      </c>
      <c r="BH66" s="55">
        <f t="shared" si="408"/>
        <v>0.89</v>
      </c>
      <c r="BI66" s="55">
        <f t="shared" si="408"/>
        <v>0.87</v>
      </c>
      <c r="BJ66" s="55">
        <f t="shared" si="408"/>
        <v>0.85</v>
      </c>
      <c r="BK66" s="55">
        <f t="shared" si="408"/>
        <v>0.83</v>
      </c>
      <c r="BL66" s="55">
        <f t="shared" si="408"/>
        <v>0.80999999999999994</v>
      </c>
      <c r="BM66" s="55">
        <f t="shared" si="408"/>
        <v>0.78999999999999992</v>
      </c>
      <c r="BN66" s="55">
        <f t="shared" si="408"/>
        <v>0.76999999999999991</v>
      </c>
      <c r="BO66" s="55">
        <f t="shared" si="408"/>
        <v>0.74999999999999989</v>
      </c>
      <c r="BP66" s="55">
        <f t="shared" si="408"/>
        <v>0.72999999999999987</v>
      </c>
      <c r="BQ66" s="55">
        <f t="shared" si="408"/>
        <v>0.70999999999999985</v>
      </c>
      <c r="BR66" s="55">
        <f t="shared" si="408"/>
        <v>0.68999999999999984</v>
      </c>
      <c r="BS66" s="55">
        <f t="shared" si="408"/>
        <v>0.66999999999999982</v>
      </c>
      <c r="BT66" s="55">
        <f t="shared" si="408"/>
        <v>0.6499999999999998</v>
      </c>
      <c r="BU66" s="55">
        <f t="shared" si="408"/>
        <v>0.62999999999999978</v>
      </c>
      <c r="BV66" s="55">
        <f t="shared" si="408"/>
        <v>0.60999999999999976</v>
      </c>
      <c r="BW66" s="55">
        <f t="shared" si="408"/>
        <v>0.58999999999999975</v>
      </c>
      <c r="BX66" s="55">
        <f t="shared" si="408"/>
        <v>0.56999999999999973</v>
      </c>
      <c r="BZ66" s="55">
        <f t="shared" si="88"/>
        <v>0</v>
      </c>
      <c r="CA66" s="55">
        <f t="shared" si="89"/>
        <v>0</v>
      </c>
      <c r="CB66" s="59">
        <f t="shared" si="409"/>
        <v>0</v>
      </c>
      <c r="CC66" s="55">
        <f t="shared" si="410"/>
        <v>0</v>
      </c>
      <c r="CD66" s="59">
        <f t="shared" si="411"/>
        <v>0</v>
      </c>
      <c r="CE66" s="55">
        <f t="shared" si="412"/>
        <v>0</v>
      </c>
      <c r="CF66" s="59">
        <f t="shared" si="413"/>
        <v>0</v>
      </c>
      <c r="CG66" s="55">
        <f t="shared" si="414"/>
        <v>0</v>
      </c>
      <c r="CH66" s="59">
        <f t="shared" si="415"/>
        <v>0</v>
      </c>
      <c r="CI66" s="57">
        <f t="shared" si="416"/>
        <v>0</v>
      </c>
      <c r="CJ66" s="59">
        <f t="shared" si="417"/>
        <v>0</v>
      </c>
      <c r="CK66" s="55">
        <f t="shared" si="418"/>
        <v>0</v>
      </c>
      <c r="CL66" s="59">
        <f t="shared" si="419"/>
        <v>0</v>
      </c>
      <c r="CM66" s="57">
        <f t="shared" si="420"/>
        <v>0</v>
      </c>
      <c r="CN66" s="59">
        <f t="shared" si="421"/>
        <v>0</v>
      </c>
      <c r="CO66" s="60">
        <f t="shared" si="422"/>
        <v>0</v>
      </c>
      <c r="CP66" s="59">
        <f t="shared" si="423"/>
        <v>0</v>
      </c>
      <c r="CQ66" s="57">
        <f t="shared" si="424"/>
        <v>0</v>
      </c>
      <c r="CR66" s="59">
        <f t="shared" si="425"/>
        <v>0</v>
      </c>
      <c r="CS66" s="55">
        <f t="shared" si="426"/>
        <v>0</v>
      </c>
      <c r="CT66" s="59">
        <f t="shared" si="427"/>
        <v>0</v>
      </c>
      <c r="CU66" s="60">
        <f t="shared" si="428"/>
        <v>0</v>
      </c>
      <c r="CV66" s="59">
        <f t="shared" si="429"/>
        <v>0</v>
      </c>
      <c r="CW66" s="60">
        <f t="shared" si="430"/>
        <v>0</v>
      </c>
      <c r="CX66" s="59">
        <f t="shared" si="431"/>
        <v>0</v>
      </c>
      <c r="CY66" s="60">
        <f t="shared" si="432"/>
        <v>0</v>
      </c>
      <c r="CZ66" s="59">
        <f t="shared" si="433"/>
        <v>0</v>
      </c>
      <c r="DA66" s="55">
        <f t="shared" si="434"/>
        <v>0</v>
      </c>
      <c r="DB66" s="59">
        <f t="shared" si="435"/>
        <v>0</v>
      </c>
      <c r="DC66" s="60">
        <f t="shared" si="436"/>
        <v>0</v>
      </c>
      <c r="DD66" s="59">
        <f t="shared" si="437"/>
        <v>0</v>
      </c>
      <c r="DE66" s="60">
        <f t="shared" si="438"/>
        <v>0</v>
      </c>
      <c r="DF66" s="59">
        <f t="shared" si="439"/>
        <v>0</v>
      </c>
      <c r="DG66" s="60">
        <f t="shared" si="440"/>
        <v>0</v>
      </c>
      <c r="DH66" s="59">
        <f t="shared" si="441"/>
        <v>0</v>
      </c>
      <c r="DI66" s="60">
        <f t="shared" si="442"/>
        <v>0</v>
      </c>
      <c r="DJ66" s="59">
        <f t="shared" si="443"/>
        <v>0</v>
      </c>
      <c r="DK66" s="55">
        <f t="shared" si="444"/>
        <v>0</v>
      </c>
      <c r="DL66" s="59">
        <f t="shared" si="445"/>
        <v>0</v>
      </c>
      <c r="DM66" s="60">
        <f t="shared" si="446"/>
        <v>0</v>
      </c>
      <c r="DN66" s="59">
        <f t="shared" si="447"/>
        <v>0</v>
      </c>
      <c r="DO66" s="60">
        <f t="shared" si="448"/>
        <v>0</v>
      </c>
      <c r="DP66" s="59">
        <f t="shared" si="449"/>
        <v>0</v>
      </c>
      <c r="DQ66" s="55">
        <f t="shared" si="450"/>
        <v>0</v>
      </c>
      <c r="DR66" s="59">
        <f t="shared" si="451"/>
        <v>0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497"/>
        <v>0.91</v>
      </c>
      <c r="DZ66" s="55">
        <f t="shared" si="497"/>
        <v>0.89</v>
      </c>
      <c r="EA66" s="55">
        <f t="shared" si="497"/>
        <v>0.87</v>
      </c>
      <c r="EB66" s="55">
        <f t="shared" si="497"/>
        <v>0.85</v>
      </c>
      <c r="EC66" s="55">
        <f t="shared" si="497"/>
        <v>0.83</v>
      </c>
      <c r="ED66" s="55">
        <f t="shared" si="497"/>
        <v>0.80999999999999994</v>
      </c>
      <c r="EE66" s="55">
        <f t="shared" si="497"/>
        <v>0.78999999999999992</v>
      </c>
      <c r="EF66" s="55">
        <f t="shared" si="497"/>
        <v>0.76999999999999991</v>
      </c>
      <c r="EG66" s="55">
        <f t="shared" si="497"/>
        <v>0.74999999999999989</v>
      </c>
      <c r="EH66" s="55">
        <f t="shared" si="497"/>
        <v>0.72999999999999987</v>
      </c>
      <c r="EI66" s="55">
        <f t="shared" si="497"/>
        <v>0.70999999999999985</v>
      </c>
      <c r="EJ66" s="55">
        <f t="shared" si="497"/>
        <v>0.68999999999999984</v>
      </c>
      <c r="EK66" s="55">
        <f t="shared" si="497"/>
        <v>0.66999999999999982</v>
      </c>
      <c r="EL66" s="55">
        <f t="shared" si="497"/>
        <v>0.6499999999999998</v>
      </c>
      <c r="EM66" s="55">
        <f t="shared" si="497"/>
        <v>0.62999999999999978</v>
      </c>
      <c r="EN66" s="55">
        <f t="shared" si="497"/>
        <v>0.60999999999999976</v>
      </c>
      <c r="EO66" s="55">
        <f t="shared" si="497"/>
        <v>0.58999999999999975</v>
      </c>
      <c r="EP66" s="55">
        <f t="shared" si="497"/>
        <v>0.56999999999999973</v>
      </c>
      <c r="ER66" s="55">
        <f t="shared" si="142"/>
        <v>0</v>
      </c>
      <c r="ES66" s="55">
        <f t="shared" si="116"/>
        <v>0</v>
      </c>
      <c r="ET66" s="59">
        <f t="shared" si="453"/>
        <v>0</v>
      </c>
      <c r="EU66" s="55">
        <f t="shared" si="454"/>
        <v>0</v>
      </c>
      <c r="EV66" s="59">
        <f t="shared" si="455"/>
        <v>0</v>
      </c>
      <c r="EW66" s="55">
        <f t="shared" si="456"/>
        <v>0</v>
      </c>
      <c r="EX66" s="59">
        <f t="shared" si="457"/>
        <v>0</v>
      </c>
      <c r="EY66" s="55">
        <f t="shared" si="458"/>
        <v>0</v>
      </c>
      <c r="EZ66" s="59">
        <f t="shared" si="459"/>
        <v>0</v>
      </c>
      <c r="FA66" s="57">
        <f t="shared" si="460"/>
        <v>0</v>
      </c>
      <c r="FB66" s="59">
        <f t="shared" si="461"/>
        <v>0</v>
      </c>
      <c r="FC66" s="55">
        <f t="shared" si="462"/>
        <v>0</v>
      </c>
      <c r="FD66" s="59">
        <f t="shared" si="463"/>
        <v>0</v>
      </c>
      <c r="FE66" s="57">
        <f t="shared" si="464"/>
        <v>0</v>
      </c>
      <c r="FF66" s="59">
        <f t="shared" si="465"/>
        <v>0</v>
      </c>
      <c r="FG66" s="60">
        <f t="shared" si="466"/>
        <v>0</v>
      </c>
      <c r="FH66" s="59">
        <f t="shared" si="467"/>
        <v>0</v>
      </c>
      <c r="FI66" s="57">
        <f t="shared" si="468"/>
        <v>0</v>
      </c>
      <c r="FJ66" s="59">
        <f t="shared" si="469"/>
        <v>0</v>
      </c>
      <c r="FK66" s="55">
        <f t="shared" si="470"/>
        <v>0</v>
      </c>
      <c r="FL66" s="59">
        <f t="shared" si="471"/>
        <v>0</v>
      </c>
      <c r="FM66" s="60">
        <f t="shared" si="472"/>
        <v>0</v>
      </c>
      <c r="FN66" s="59">
        <f t="shared" si="473"/>
        <v>0</v>
      </c>
      <c r="FO66" s="60">
        <f t="shared" si="474"/>
        <v>0</v>
      </c>
      <c r="FP66" s="59">
        <f t="shared" si="475"/>
        <v>0</v>
      </c>
      <c r="FQ66" s="60">
        <f t="shared" si="476"/>
        <v>0</v>
      </c>
      <c r="FR66" s="59">
        <f t="shared" si="477"/>
        <v>0</v>
      </c>
      <c r="FS66" s="55">
        <f t="shared" si="478"/>
        <v>0</v>
      </c>
      <c r="FT66" s="59">
        <f t="shared" si="479"/>
        <v>0</v>
      </c>
      <c r="FU66" s="60">
        <f t="shared" si="480"/>
        <v>0</v>
      </c>
      <c r="FV66" s="59">
        <f t="shared" si="481"/>
        <v>0</v>
      </c>
      <c r="FW66" s="60">
        <f t="shared" si="482"/>
        <v>0</v>
      </c>
      <c r="FX66" s="59">
        <f t="shared" si="483"/>
        <v>0</v>
      </c>
      <c r="FY66" s="60">
        <f t="shared" si="484"/>
        <v>0</v>
      </c>
      <c r="FZ66" s="59">
        <f t="shared" si="485"/>
        <v>0</v>
      </c>
      <c r="GA66" s="60">
        <f t="shared" si="486"/>
        <v>0</v>
      </c>
      <c r="GB66" s="59">
        <f t="shared" si="487"/>
        <v>0</v>
      </c>
      <c r="GC66" s="55">
        <f t="shared" si="488"/>
        <v>0</v>
      </c>
      <c r="GD66" s="59">
        <f t="shared" si="489"/>
        <v>0</v>
      </c>
      <c r="GE66" s="60">
        <f t="shared" si="490"/>
        <v>0</v>
      </c>
      <c r="GF66" s="59">
        <f t="shared" si="491"/>
        <v>0</v>
      </c>
      <c r="GG66" s="60">
        <f t="shared" si="492"/>
        <v>0</v>
      </c>
      <c r="GH66" s="59">
        <f t="shared" si="493"/>
        <v>0</v>
      </c>
      <c r="GI66" s="55">
        <f t="shared" si="494"/>
        <v>0</v>
      </c>
      <c r="GJ66" s="59">
        <f t="shared" si="495"/>
        <v>0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498"/>
        <v>0.91</v>
      </c>
      <c r="GR66" s="55">
        <f t="shared" si="498"/>
        <v>0.89</v>
      </c>
      <c r="GS66" s="55">
        <f t="shared" si="498"/>
        <v>0.87</v>
      </c>
      <c r="GT66" s="55">
        <f t="shared" si="498"/>
        <v>0.85</v>
      </c>
      <c r="GU66" s="55">
        <f t="shared" si="498"/>
        <v>0.83</v>
      </c>
      <c r="GV66" s="55">
        <f t="shared" si="498"/>
        <v>0.80999999999999994</v>
      </c>
      <c r="GW66" s="55">
        <f t="shared" si="498"/>
        <v>0.78999999999999992</v>
      </c>
      <c r="GX66" s="55">
        <f t="shared" si="498"/>
        <v>0.76999999999999991</v>
      </c>
      <c r="GY66" s="55">
        <f t="shared" si="498"/>
        <v>0.74999999999999989</v>
      </c>
      <c r="GZ66" s="55">
        <f t="shared" si="498"/>
        <v>0.72999999999999987</v>
      </c>
      <c r="HA66" s="55">
        <f t="shared" si="498"/>
        <v>0.70999999999999985</v>
      </c>
      <c r="HB66" s="55">
        <f t="shared" si="498"/>
        <v>0.68999999999999984</v>
      </c>
      <c r="HC66" s="55">
        <f t="shared" si="498"/>
        <v>0.66999999999999982</v>
      </c>
      <c r="HD66" s="55">
        <f t="shared" si="498"/>
        <v>0.6499999999999998</v>
      </c>
      <c r="HE66" s="55">
        <f t="shared" si="498"/>
        <v>0.62999999999999978</v>
      </c>
      <c r="HF66" s="55">
        <f t="shared" si="498"/>
        <v>0.60999999999999976</v>
      </c>
      <c r="HG66" s="55">
        <f t="shared" si="498"/>
        <v>0.58999999999999975</v>
      </c>
      <c r="HH66" s="55">
        <f t="shared" si="498"/>
        <v>0.56999999999999973</v>
      </c>
    </row>
    <row r="67" spans="1:216" x14ac:dyDescent="0.3">
      <c r="A67" s="2">
        <v>5</v>
      </c>
      <c r="C67" s="38" t="s">
        <v>34</v>
      </c>
      <c r="D67" s="42">
        <v>0</v>
      </c>
      <c r="E67" s="71">
        <f t="shared" si="365"/>
        <v>0</v>
      </c>
      <c r="H67" s="55">
        <f t="shared" si="61"/>
        <v>0</v>
      </c>
      <c r="I67" s="55">
        <f t="shared" si="62"/>
        <v>0</v>
      </c>
      <c r="J67" s="59">
        <f t="shared" si="63"/>
        <v>0</v>
      </c>
      <c r="K67" s="55">
        <f t="shared" si="366"/>
        <v>0</v>
      </c>
      <c r="L67" s="59">
        <f t="shared" si="367"/>
        <v>0</v>
      </c>
      <c r="M67" s="55">
        <f t="shared" si="368"/>
        <v>0</v>
      </c>
      <c r="N67" s="59">
        <f t="shared" si="369"/>
        <v>0</v>
      </c>
      <c r="O67" s="55">
        <f t="shared" si="370"/>
        <v>0</v>
      </c>
      <c r="P67" s="59">
        <f t="shared" si="371"/>
        <v>0</v>
      </c>
      <c r="Q67" s="57">
        <f t="shared" si="372"/>
        <v>0</v>
      </c>
      <c r="R67" s="59">
        <f t="shared" si="373"/>
        <v>0</v>
      </c>
      <c r="S67" s="55">
        <f t="shared" si="374"/>
        <v>0</v>
      </c>
      <c r="T67" s="59">
        <f t="shared" si="375"/>
        <v>0</v>
      </c>
      <c r="U67" s="57">
        <f t="shared" si="376"/>
        <v>0</v>
      </c>
      <c r="V67" s="59">
        <f t="shared" si="377"/>
        <v>0</v>
      </c>
      <c r="W67" s="60">
        <f t="shared" si="378"/>
        <v>0</v>
      </c>
      <c r="X67" s="59">
        <f t="shared" si="379"/>
        <v>0</v>
      </c>
      <c r="Y67" s="57">
        <f t="shared" si="380"/>
        <v>0</v>
      </c>
      <c r="Z67" s="59">
        <f t="shared" si="381"/>
        <v>0</v>
      </c>
      <c r="AA67" s="55">
        <f t="shared" si="382"/>
        <v>0</v>
      </c>
      <c r="AB67" s="59">
        <f t="shared" si="383"/>
        <v>0</v>
      </c>
      <c r="AC67" s="60">
        <f t="shared" si="384"/>
        <v>0</v>
      </c>
      <c r="AD67" s="59">
        <f t="shared" si="385"/>
        <v>0</v>
      </c>
      <c r="AE67" s="60">
        <f t="shared" si="386"/>
        <v>0</v>
      </c>
      <c r="AF67" s="59">
        <f t="shared" si="387"/>
        <v>0</v>
      </c>
      <c r="AG67" s="60">
        <f t="shared" si="388"/>
        <v>0</v>
      </c>
      <c r="AH67" s="59">
        <f t="shared" si="389"/>
        <v>0</v>
      </c>
      <c r="AI67" s="55">
        <f t="shared" si="390"/>
        <v>0</v>
      </c>
      <c r="AJ67" s="59">
        <f t="shared" si="391"/>
        <v>0</v>
      </c>
      <c r="AK67" s="60">
        <f t="shared" si="392"/>
        <v>0</v>
      </c>
      <c r="AL67" s="59">
        <f t="shared" si="393"/>
        <v>0</v>
      </c>
      <c r="AM67" s="60">
        <f t="shared" si="394"/>
        <v>0</v>
      </c>
      <c r="AN67" s="59">
        <f t="shared" si="395"/>
        <v>0</v>
      </c>
      <c r="AO67" s="60">
        <f t="shared" si="396"/>
        <v>0</v>
      </c>
      <c r="AP67" s="59">
        <f t="shared" si="397"/>
        <v>0</v>
      </c>
      <c r="AQ67" s="60">
        <f t="shared" si="398"/>
        <v>0</v>
      </c>
      <c r="AR67" s="59">
        <f t="shared" si="399"/>
        <v>0</v>
      </c>
      <c r="AS67" s="55">
        <f t="shared" si="400"/>
        <v>0</v>
      </c>
      <c r="AT67" s="59">
        <f t="shared" si="401"/>
        <v>0</v>
      </c>
      <c r="AU67" s="60">
        <f t="shared" si="402"/>
        <v>0</v>
      </c>
      <c r="AV67" s="59">
        <f t="shared" si="403"/>
        <v>0</v>
      </c>
      <c r="AW67" s="60">
        <f t="shared" si="404"/>
        <v>0</v>
      </c>
      <c r="AX67" s="59">
        <f t="shared" si="405"/>
        <v>0</v>
      </c>
      <c r="AY67" s="55">
        <f t="shared" si="406"/>
        <v>0</v>
      </c>
      <c r="AZ67" s="59">
        <f t="shared" si="407"/>
        <v>0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08"/>
        <v>0.91</v>
      </c>
      <c r="BH67" s="55">
        <f t="shared" si="408"/>
        <v>0.89</v>
      </c>
      <c r="BI67" s="55">
        <f t="shared" si="408"/>
        <v>0.87</v>
      </c>
      <c r="BJ67" s="55">
        <f t="shared" si="408"/>
        <v>0.85</v>
      </c>
      <c r="BK67" s="55">
        <f t="shared" si="408"/>
        <v>0.83</v>
      </c>
      <c r="BL67" s="55">
        <f t="shared" si="408"/>
        <v>0.80999999999999994</v>
      </c>
      <c r="BM67" s="55">
        <f t="shared" si="408"/>
        <v>0.78999999999999992</v>
      </c>
      <c r="BN67" s="55">
        <f t="shared" si="408"/>
        <v>0.76999999999999991</v>
      </c>
      <c r="BO67" s="55">
        <f t="shared" si="408"/>
        <v>0.74999999999999989</v>
      </c>
      <c r="BP67" s="55">
        <f t="shared" si="408"/>
        <v>0.72999999999999987</v>
      </c>
      <c r="BQ67" s="55">
        <f t="shared" si="408"/>
        <v>0.70999999999999985</v>
      </c>
      <c r="BR67" s="55">
        <f t="shared" si="408"/>
        <v>0.68999999999999984</v>
      </c>
      <c r="BS67" s="55">
        <f t="shared" si="408"/>
        <v>0.66999999999999982</v>
      </c>
      <c r="BT67" s="55">
        <f t="shared" si="408"/>
        <v>0.6499999999999998</v>
      </c>
      <c r="BU67" s="55">
        <f t="shared" si="408"/>
        <v>0.62999999999999978</v>
      </c>
      <c r="BV67" s="55">
        <f t="shared" si="408"/>
        <v>0.60999999999999976</v>
      </c>
      <c r="BW67" s="55">
        <f t="shared" si="408"/>
        <v>0.58999999999999975</v>
      </c>
      <c r="BX67" s="55">
        <f t="shared" si="408"/>
        <v>0.56999999999999973</v>
      </c>
      <c r="BZ67" s="55">
        <f t="shared" si="88"/>
        <v>0</v>
      </c>
      <c r="CA67" s="55">
        <f t="shared" si="89"/>
        <v>0</v>
      </c>
      <c r="CB67" s="59">
        <f t="shared" si="409"/>
        <v>0</v>
      </c>
      <c r="CC67" s="55">
        <f t="shared" si="410"/>
        <v>0</v>
      </c>
      <c r="CD67" s="59">
        <f t="shared" si="411"/>
        <v>0</v>
      </c>
      <c r="CE67" s="55">
        <f t="shared" si="412"/>
        <v>0</v>
      </c>
      <c r="CF67" s="59">
        <f t="shared" si="413"/>
        <v>0</v>
      </c>
      <c r="CG67" s="55">
        <f t="shared" si="414"/>
        <v>0</v>
      </c>
      <c r="CH67" s="59">
        <f t="shared" si="415"/>
        <v>0</v>
      </c>
      <c r="CI67" s="57">
        <f t="shared" si="416"/>
        <v>0</v>
      </c>
      <c r="CJ67" s="59">
        <f t="shared" si="417"/>
        <v>0</v>
      </c>
      <c r="CK67" s="55">
        <f t="shared" si="418"/>
        <v>0</v>
      </c>
      <c r="CL67" s="59">
        <f t="shared" si="419"/>
        <v>0</v>
      </c>
      <c r="CM67" s="57">
        <f t="shared" si="420"/>
        <v>0</v>
      </c>
      <c r="CN67" s="59">
        <f t="shared" si="421"/>
        <v>0</v>
      </c>
      <c r="CO67" s="60">
        <f t="shared" si="422"/>
        <v>0</v>
      </c>
      <c r="CP67" s="59">
        <f t="shared" si="423"/>
        <v>0</v>
      </c>
      <c r="CQ67" s="57">
        <f t="shared" si="424"/>
        <v>0</v>
      </c>
      <c r="CR67" s="59">
        <f t="shared" si="425"/>
        <v>0</v>
      </c>
      <c r="CS67" s="55">
        <f t="shared" si="426"/>
        <v>0</v>
      </c>
      <c r="CT67" s="59">
        <f t="shared" si="427"/>
        <v>0</v>
      </c>
      <c r="CU67" s="60">
        <f t="shared" si="428"/>
        <v>0</v>
      </c>
      <c r="CV67" s="59">
        <f t="shared" si="429"/>
        <v>0</v>
      </c>
      <c r="CW67" s="60">
        <f t="shared" si="430"/>
        <v>0</v>
      </c>
      <c r="CX67" s="59">
        <f t="shared" si="431"/>
        <v>0</v>
      </c>
      <c r="CY67" s="60">
        <f t="shared" si="432"/>
        <v>0</v>
      </c>
      <c r="CZ67" s="59">
        <f t="shared" si="433"/>
        <v>0</v>
      </c>
      <c r="DA67" s="55">
        <f t="shared" si="434"/>
        <v>0</v>
      </c>
      <c r="DB67" s="59">
        <f t="shared" si="435"/>
        <v>0</v>
      </c>
      <c r="DC67" s="60">
        <f t="shared" si="436"/>
        <v>0</v>
      </c>
      <c r="DD67" s="59">
        <f t="shared" si="437"/>
        <v>0</v>
      </c>
      <c r="DE67" s="60">
        <f t="shared" si="438"/>
        <v>0</v>
      </c>
      <c r="DF67" s="59">
        <f t="shared" si="439"/>
        <v>0</v>
      </c>
      <c r="DG67" s="60">
        <f t="shared" si="440"/>
        <v>0</v>
      </c>
      <c r="DH67" s="59">
        <f t="shared" si="441"/>
        <v>0</v>
      </c>
      <c r="DI67" s="60">
        <f t="shared" si="442"/>
        <v>0</v>
      </c>
      <c r="DJ67" s="59">
        <f t="shared" si="443"/>
        <v>0</v>
      </c>
      <c r="DK67" s="55">
        <f t="shared" si="444"/>
        <v>0</v>
      </c>
      <c r="DL67" s="59">
        <f t="shared" si="445"/>
        <v>0</v>
      </c>
      <c r="DM67" s="60">
        <f t="shared" si="446"/>
        <v>0</v>
      </c>
      <c r="DN67" s="59">
        <f t="shared" si="447"/>
        <v>0</v>
      </c>
      <c r="DO67" s="60">
        <f t="shared" si="448"/>
        <v>0</v>
      </c>
      <c r="DP67" s="59">
        <f t="shared" si="449"/>
        <v>0</v>
      </c>
      <c r="DQ67" s="55">
        <f t="shared" si="450"/>
        <v>0</v>
      </c>
      <c r="DR67" s="59">
        <f t="shared" si="451"/>
        <v>0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497"/>
        <v>0.91</v>
      </c>
      <c r="DZ67" s="55">
        <f t="shared" si="497"/>
        <v>0.89</v>
      </c>
      <c r="EA67" s="55">
        <f t="shared" si="497"/>
        <v>0.87</v>
      </c>
      <c r="EB67" s="55">
        <f t="shared" si="497"/>
        <v>0.85</v>
      </c>
      <c r="EC67" s="55">
        <f t="shared" si="497"/>
        <v>0.83</v>
      </c>
      <c r="ED67" s="55">
        <f t="shared" si="497"/>
        <v>0.80999999999999994</v>
      </c>
      <c r="EE67" s="55">
        <f t="shared" si="497"/>
        <v>0.78999999999999992</v>
      </c>
      <c r="EF67" s="55">
        <f t="shared" si="497"/>
        <v>0.76999999999999991</v>
      </c>
      <c r="EG67" s="55">
        <f t="shared" si="497"/>
        <v>0.74999999999999989</v>
      </c>
      <c r="EH67" s="55">
        <f t="shared" si="497"/>
        <v>0.72999999999999987</v>
      </c>
      <c r="EI67" s="55">
        <f t="shared" si="497"/>
        <v>0.70999999999999985</v>
      </c>
      <c r="EJ67" s="55">
        <f t="shared" si="497"/>
        <v>0.68999999999999984</v>
      </c>
      <c r="EK67" s="55">
        <f t="shared" si="497"/>
        <v>0.66999999999999982</v>
      </c>
      <c r="EL67" s="55">
        <f t="shared" si="497"/>
        <v>0.6499999999999998</v>
      </c>
      <c r="EM67" s="55">
        <f t="shared" si="497"/>
        <v>0.62999999999999978</v>
      </c>
      <c r="EN67" s="55">
        <f t="shared" si="497"/>
        <v>0.60999999999999976</v>
      </c>
      <c r="EO67" s="55">
        <f t="shared" si="497"/>
        <v>0.58999999999999975</v>
      </c>
      <c r="EP67" s="55">
        <f t="shared" si="497"/>
        <v>0.56999999999999973</v>
      </c>
      <c r="ER67" s="55">
        <f t="shared" si="142"/>
        <v>0</v>
      </c>
      <c r="ES67" s="55">
        <f t="shared" si="116"/>
        <v>0</v>
      </c>
      <c r="ET67" s="59">
        <f t="shared" si="453"/>
        <v>0</v>
      </c>
      <c r="EU67" s="55">
        <f t="shared" si="454"/>
        <v>0</v>
      </c>
      <c r="EV67" s="59">
        <f t="shared" si="455"/>
        <v>0</v>
      </c>
      <c r="EW67" s="55">
        <f t="shared" si="456"/>
        <v>0</v>
      </c>
      <c r="EX67" s="59">
        <f t="shared" si="457"/>
        <v>0</v>
      </c>
      <c r="EY67" s="55">
        <f t="shared" si="458"/>
        <v>0</v>
      </c>
      <c r="EZ67" s="59">
        <f t="shared" si="459"/>
        <v>0</v>
      </c>
      <c r="FA67" s="57">
        <f t="shared" si="460"/>
        <v>0</v>
      </c>
      <c r="FB67" s="59">
        <f t="shared" si="461"/>
        <v>0</v>
      </c>
      <c r="FC67" s="55">
        <f t="shared" si="462"/>
        <v>0</v>
      </c>
      <c r="FD67" s="59">
        <f t="shared" si="463"/>
        <v>0</v>
      </c>
      <c r="FE67" s="57">
        <f t="shared" si="464"/>
        <v>0</v>
      </c>
      <c r="FF67" s="59">
        <f t="shared" si="465"/>
        <v>0</v>
      </c>
      <c r="FG67" s="60">
        <f t="shared" si="466"/>
        <v>0</v>
      </c>
      <c r="FH67" s="59">
        <f t="shared" si="467"/>
        <v>0</v>
      </c>
      <c r="FI67" s="57">
        <f t="shared" si="468"/>
        <v>0</v>
      </c>
      <c r="FJ67" s="59">
        <f t="shared" si="469"/>
        <v>0</v>
      </c>
      <c r="FK67" s="55">
        <f t="shared" si="470"/>
        <v>0</v>
      </c>
      <c r="FL67" s="59">
        <f t="shared" si="471"/>
        <v>0</v>
      </c>
      <c r="FM67" s="60">
        <f t="shared" si="472"/>
        <v>0</v>
      </c>
      <c r="FN67" s="59">
        <f t="shared" si="473"/>
        <v>0</v>
      </c>
      <c r="FO67" s="60">
        <f t="shared" si="474"/>
        <v>0</v>
      </c>
      <c r="FP67" s="59">
        <f t="shared" si="475"/>
        <v>0</v>
      </c>
      <c r="FQ67" s="60">
        <f t="shared" si="476"/>
        <v>0</v>
      </c>
      <c r="FR67" s="59">
        <f t="shared" si="477"/>
        <v>0</v>
      </c>
      <c r="FS67" s="55">
        <f t="shared" si="478"/>
        <v>0</v>
      </c>
      <c r="FT67" s="59">
        <f t="shared" si="479"/>
        <v>0</v>
      </c>
      <c r="FU67" s="60">
        <f t="shared" si="480"/>
        <v>0</v>
      </c>
      <c r="FV67" s="59">
        <f t="shared" si="481"/>
        <v>0</v>
      </c>
      <c r="FW67" s="60">
        <f t="shared" si="482"/>
        <v>0</v>
      </c>
      <c r="FX67" s="59">
        <f t="shared" si="483"/>
        <v>0</v>
      </c>
      <c r="FY67" s="60">
        <f t="shared" si="484"/>
        <v>0</v>
      </c>
      <c r="FZ67" s="59">
        <f t="shared" si="485"/>
        <v>0</v>
      </c>
      <c r="GA67" s="60">
        <f t="shared" si="486"/>
        <v>0</v>
      </c>
      <c r="GB67" s="59">
        <f t="shared" si="487"/>
        <v>0</v>
      </c>
      <c r="GC67" s="55">
        <f t="shared" si="488"/>
        <v>0</v>
      </c>
      <c r="GD67" s="59">
        <f t="shared" si="489"/>
        <v>0</v>
      </c>
      <c r="GE67" s="60">
        <f t="shared" si="490"/>
        <v>0</v>
      </c>
      <c r="GF67" s="59">
        <f t="shared" si="491"/>
        <v>0</v>
      </c>
      <c r="GG67" s="60">
        <f t="shared" si="492"/>
        <v>0</v>
      </c>
      <c r="GH67" s="59">
        <f t="shared" si="493"/>
        <v>0</v>
      </c>
      <c r="GI67" s="55">
        <f t="shared" si="494"/>
        <v>0</v>
      </c>
      <c r="GJ67" s="59">
        <f t="shared" si="495"/>
        <v>0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498"/>
        <v>0.91</v>
      </c>
      <c r="GR67" s="55">
        <f t="shared" si="498"/>
        <v>0.89</v>
      </c>
      <c r="GS67" s="55">
        <f t="shared" si="498"/>
        <v>0.87</v>
      </c>
      <c r="GT67" s="55">
        <f t="shared" si="498"/>
        <v>0.85</v>
      </c>
      <c r="GU67" s="55">
        <f t="shared" si="498"/>
        <v>0.83</v>
      </c>
      <c r="GV67" s="55">
        <f t="shared" si="498"/>
        <v>0.80999999999999994</v>
      </c>
      <c r="GW67" s="55">
        <f t="shared" si="498"/>
        <v>0.78999999999999992</v>
      </c>
      <c r="GX67" s="55">
        <f t="shared" si="498"/>
        <v>0.76999999999999991</v>
      </c>
      <c r="GY67" s="55">
        <f t="shared" si="498"/>
        <v>0.74999999999999989</v>
      </c>
      <c r="GZ67" s="55">
        <f t="shared" si="498"/>
        <v>0.72999999999999987</v>
      </c>
      <c r="HA67" s="55">
        <f t="shared" si="498"/>
        <v>0.70999999999999985</v>
      </c>
      <c r="HB67" s="55">
        <f t="shared" si="498"/>
        <v>0.68999999999999984</v>
      </c>
      <c r="HC67" s="55">
        <f t="shared" si="498"/>
        <v>0.66999999999999982</v>
      </c>
      <c r="HD67" s="55">
        <f t="shared" si="498"/>
        <v>0.6499999999999998</v>
      </c>
      <c r="HE67" s="55">
        <f t="shared" si="498"/>
        <v>0.62999999999999978</v>
      </c>
      <c r="HF67" s="55">
        <f t="shared" si="498"/>
        <v>0.60999999999999976</v>
      </c>
      <c r="HG67" s="55">
        <f t="shared" si="498"/>
        <v>0.58999999999999975</v>
      </c>
      <c r="HH67" s="55">
        <f t="shared" si="498"/>
        <v>0.56999999999999973</v>
      </c>
    </row>
    <row r="68" spans="1:216" x14ac:dyDescent="0.3">
      <c r="A68" s="2">
        <v>6</v>
      </c>
      <c r="C68" s="38" t="s">
        <v>178</v>
      </c>
      <c r="D68" s="42">
        <v>0</v>
      </c>
      <c r="E68" s="71">
        <f t="shared" si="365"/>
        <v>0</v>
      </c>
      <c r="H68" s="55">
        <f t="shared" si="61"/>
        <v>0</v>
      </c>
      <c r="I68" s="55">
        <f t="shared" si="62"/>
        <v>0</v>
      </c>
      <c r="J68" s="59">
        <f t="shared" si="63"/>
        <v>0</v>
      </c>
      <c r="K68" s="55">
        <f t="shared" si="366"/>
        <v>0</v>
      </c>
      <c r="L68" s="59">
        <f t="shared" si="367"/>
        <v>0</v>
      </c>
      <c r="M68" s="55">
        <f t="shared" si="368"/>
        <v>0</v>
      </c>
      <c r="N68" s="59">
        <f t="shared" si="369"/>
        <v>0</v>
      </c>
      <c r="O68" s="55">
        <f t="shared" si="370"/>
        <v>0</v>
      </c>
      <c r="P68" s="59">
        <f t="shared" si="371"/>
        <v>0</v>
      </c>
      <c r="Q68" s="57">
        <f t="shared" si="372"/>
        <v>0</v>
      </c>
      <c r="R68" s="59">
        <f t="shared" si="373"/>
        <v>0</v>
      </c>
      <c r="S68" s="55">
        <f t="shared" si="374"/>
        <v>0</v>
      </c>
      <c r="T68" s="59">
        <f t="shared" si="375"/>
        <v>0</v>
      </c>
      <c r="U68" s="57">
        <f t="shared" si="376"/>
        <v>0</v>
      </c>
      <c r="V68" s="59">
        <f t="shared" si="377"/>
        <v>0</v>
      </c>
      <c r="W68" s="60">
        <f t="shared" si="378"/>
        <v>0</v>
      </c>
      <c r="X68" s="59">
        <f t="shared" si="379"/>
        <v>0</v>
      </c>
      <c r="Y68" s="57">
        <f t="shared" si="380"/>
        <v>0</v>
      </c>
      <c r="Z68" s="59">
        <f t="shared" si="381"/>
        <v>0</v>
      </c>
      <c r="AA68" s="55">
        <f t="shared" si="382"/>
        <v>0</v>
      </c>
      <c r="AB68" s="59">
        <f t="shared" si="383"/>
        <v>0</v>
      </c>
      <c r="AC68" s="60">
        <f t="shared" si="384"/>
        <v>0</v>
      </c>
      <c r="AD68" s="59">
        <f t="shared" si="385"/>
        <v>0</v>
      </c>
      <c r="AE68" s="60">
        <f t="shared" si="386"/>
        <v>0</v>
      </c>
      <c r="AF68" s="59">
        <f t="shared" si="387"/>
        <v>0</v>
      </c>
      <c r="AG68" s="60">
        <f t="shared" si="388"/>
        <v>0</v>
      </c>
      <c r="AH68" s="59">
        <f t="shared" si="389"/>
        <v>0</v>
      </c>
      <c r="AI68" s="55">
        <f t="shared" si="390"/>
        <v>0</v>
      </c>
      <c r="AJ68" s="59">
        <f t="shared" si="391"/>
        <v>0</v>
      </c>
      <c r="AK68" s="60">
        <f t="shared" si="392"/>
        <v>0</v>
      </c>
      <c r="AL68" s="59">
        <f t="shared" si="393"/>
        <v>0</v>
      </c>
      <c r="AM68" s="60">
        <f t="shared" si="394"/>
        <v>0</v>
      </c>
      <c r="AN68" s="59">
        <f t="shared" si="395"/>
        <v>0</v>
      </c>
      <c r="AO68" s="60">
        <f t="shared" si="396"/>
        <v>0</v>
      </c>
      <c r="AP68" s="59">
        <f t="shared" si="397"/>
        <v>0</v>
      </c>
      <c r="AQ68" s="60">
        <f t="shared" si="398"/>
        <v>0</v>
      </c>
      <c r="AR68" s="59">
        <f t="shared" si="399"/>
        <v>0</v>
      </c>
      <c r="AS68" s="55">
        <f t="shared" si="400"/>
        <v>0</v>
      </c>
      <c r="AT68" s="59">
        <f t="shared" si="401"/>
        <v>0</v>
      </c>
      <c r="AU68" s="60">
        <f t="shared" si="402"/>
        <v>0</v>
      </c>
      <c r="AV68" s="59">
        <f t="shared" si="403"/>
        <v>0</v>
      </c>
      <c r="AW68" s="60">
        <f t="shared" si="404"/>
        <v>0</v>
      </c>
      <c r="AX68" s="59">
        <f t="shared" si="405"/>
        <v>0</v>
      </c>
      <c r="AY68" s="55">
        <f t="shared" si="406"/>
        <v>0</v>
      </c>
      <c r="AZ68" s="59">
        <f t="shared" si="407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08"/>
        <v>0.91</v>
      </c>
      <c r="BH68" s="55">
        <f t="shared" si="408"/>
        <v>0.89</v>
      </c>
      <c r="BI68" s="55">
        <f t="shared" si="408"/>
        <v>0.87</v>
      </c>
      <c r="BJ68" s="55">
        <f t="shared" si="408"/>
        <v>0.85</v>
      </c>
      <c r="BK68" s="55">
        <f t="shared" si="408"/>
        <v>0.83</v>
      </c>
      <c r="BL68" s="55">
        <f t="shared" si="408"/>
        <v>0.80999999999999994</v>
      </c>
      <c r="BM68" s="55">
        <f t="shared" si="408"/>
        <v>0.78999999999999992</v>
      </c>
      <c r="BN68" s="55">
        <f t="shared" si="408"/>
        <v>0.76999999999999991</v>
      </c>
      <c r="BO68" s="55">
        <f t="shared" si="408"/>
        <v>0.74999999999999989</v>
      </c>
      <c r="BP68" s="55">
        <f t="shared" si="408"/>
        <v>0.72999999999999987</v>
      </c>
      <c r="BQ68" s="55">
        <f t="shared" si="408"/>
        <v>0.70999999999999985</v>
      </c>
      <c r="BR68" s="55">
        <f t="shared" si="408"/>
        <v>0.68999999999999984</v>
      </c>
      <c r="BS68" s="55">
        <f t="shared" si="408"/>
        <v>0.66999999999999982</v>
      </c>
      <c r="BT68" s="55">
        <f t="shared" si="408"/>
        <v>0.6499999999999998</v>
      </c>
      <c r="BU68" s="55">
        <f t="shared" si="408"/>
        <v>0.62999999999999978</v>
      </c>
      <c r="BV68" s="55">
        <f t="shared" si="408"/>
        <v>0.60999999999999976</v>
      </c>
      <c r="BW68" s="55">
        <f t="shared" si="408"/>
        <v>0.58999999999999975</v>
      </c>
      <c r="BX68" s="55">
        <f t="shared" si="408"/>
        <v>0.56999999999999973</v>
      </c>
      <c r="BZ68" s="55">
        <f t="shared" si="88"/>
        <v>0</v>
      </c>
      <c r="CA68" s="55">
        <f t="shared" si="89"/>
        <v>0</v>
      </c>
      <c r="CB68" s="59">
        <f t="shared" si="409"/>
        <v>0</v>
      </c>
      <c r="CC68" s="55">
        <f t="shared" si="410"/>
        <v>0</v>
      </c>
      <c r="CD68" s="59">
        <f t="shared" si="411"/>
        <v>0</v>
      </c>
      <c r="CE68" s="55">
        <f t="shared" si="412"/>
        <v>0</v>
      </c>
      <c r="CF68" s="59">
        <f t="shared" si="413"/>
        <v>0</v>
      </c>
      <c r="CG68" s="55">
        <f t="shared" si="414"/>
        <v>0</v>
      </c>
      <c r="CH68" s="59">
        <f t="shared" si="415"/>
        <v>0</v>
      </c>
      <c r="CI68" s="57">
        <f t="shared" si="416"/>
        <v>0</v>
      </c>
      <c r="CJ68" s="59">
        <f t="shared" si="417"/>
        <v>0</v>
      </c>
      <c r="CK68" s="55">
        <f t="shared" si="418"/>
        <v>0</v>
      </c>
      <c r="CL68" s="59">
        <f t="shared" si="419"/>
        <v>0</v>
      </c>
      <c r="CM68" s="57">
        <f t="shared" si="420"/>
        <v>0</v>
      </c>
      <c r="CN68" s="59">
        <f t="shared" si="421"/>
        <v>0</v>
      </c>
      <c r="CO68" s="60">
        <f t="shared" si="422"/>
        <v>0</v>
      </c>
      <c r="CP68" s="59">
        <f t="shared" si="423"/>
        <v>0</v>
      </c>
      <c r="CQ68" s="57">
        <f t="shared" si="424"/>
        <v>0</v>
      </c>
      <c r="CR68" s="59">
        <f t="shared" si="425"/>
        <v>0</v>
      </c>
      <c r="CS68" s="55">
        <f t="shared" si="426"/>
        <v>0</v>
      </c>
      <c r="CT68" s="59">
        <f t="shared" si="427"/>
        <v>0</v>
      </c>
      <c r="CU68" s="60">
        <f t="shared" si="428"/>
        <v>0</v>
      </c>
      <c r="CV68" s="59">
        <f t="shared" si="429"/>
        <v>0</v>
      </c>
      <c r="CW68" s="60">
        <f t="shared" si="430"/>
        <v>0</v>
      </c>
      <c r="CX68" s="59">
        <f t="shared" si="431"/>
        <v>0</v>
      </c>
      <c r="CY68" s="60">
        <f t="shared" si="432"/>
        <v>0</v>
      </c>
      <c r="CZ68" s="59">
        <f t="shared" si="433"/>
        <v>0</v>
      </c>
      <c r="DA68" s="55">
        <f t="shared" si="434"/>
        <v>0</v>
      </c>
      <c r="DB68" s="59">
        <f t="shared" si="435"/>
        <v>0</v>
      </c>
      <c r="DC68" s="60">
        <f t="shared" si="436"/>
        <v>0</v>
      </c>
      <c r="DD68" s="59">
        <f t="shared" si="437"/>
        <v>0</v>
      </c>
      <c r="DE68" s="60">
        <f t="shared" si="438"/>
        <v>0</v>
      </c>
      <c r="DF68" s="59">
        <f t="shared" si="439"/>
        <v>0</v>
      </c>
      <c r="DG68" s="60">
        <f t="shared" si="440"/>
        <v>0</v>
      </c>
      <c r="DH68" s="59">
        <f t="shared" si="441"/>
        <v>0</v>
      </c>
      <c r="DI68" s="60">
        <f t="shared" si="442"/>
        <v>0</v>
      </c>
      <c r="DJ68" s="59">
        <f t="shared" si="443"/>
        <v>0</v>
      </c>
      <c r="DK68" s="55">
        <f t="shared" si="444"/>
        <v>0</v>
      </c>
      <c r="DL68" s="59">
        <f t="shared" si="445"/>
        <v>0</v>
      </c>
      <c r="DM68" s="60">
        <f t="shared" si="446"/>
        <v>0</v>
      </c>
      <c r="DN68" s="59">
        <f t="shared" si="447"/>
        <v>0</v>
      </c>
      <c r="DO68" s="60">
        <f t="shared" si="448"/>
        <v>0</v>
      </c>
      <c r="DP68" s="59">
        <f t="shared" si="449"/>
        <v>0</v>
      </c>
      <c r="DQ68" s="55">
        <f t="shared" si="450"/>
        <v>0</v>
      </c>
      <c r="DR68" s="59">
        <f t="shared" si="451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497"/>
        <v>0.91</v>
      </c>
      <c r="DZ68" s="55">
        <f t="shared" si="497"/>
        <v>0.89</v>
      </c>
      <c r="EA68" s="55">
        <f t="shared" si="497"/>
        <v>0.87</v>
      </c>
      <c r="EB68" s="55">
        <f t="shared" si="497"/>
        <v>0.85</v>
      </c>
      <c r="EC68" s="55">
        <f t="shared" si="497"/>
        <v>0.83</v>
      </c>
      <c r="ED68" s="55">
        <f t="shared" si="497"/>
        <v>0.80999999999999994</v>
      </c>
      <c r="EE68" s="55">
        <f t="shared" si="497"/>
        <v>0.78999999999999992</v>
      </c>
      <c r="EF68" s="55">
        <f t="shared" si="497"/>
        <v>0.76999999999999991</v>
      </c>
      <c r="EG68" s="55">
        <f t="shared" si="497"/>
        <v>0.74999999999999989</v>
      </c>
      <c r="EH68" s="55">
        <f t="shared" si="497"/>
        <v>0.72999999999999987</v>
      </c>
      <c r="EI68" s="55">
        <f t="shared" si="497"/>
        <v>0.70999999999999985</v>
      </c>
      <c r="EJ68" s="55">
        <f t="shared" si="497"/>
        <v>0.68999999999999984</v>
      </c>
      <c r="EK68" s="55">
        <f t="shared" si="497"/>
        <v>0.66999999999999982</v>
      </c>
      <c r="EL68" s="55">
        <f t="shared" si="497"/>
        <v>0.6499999999999998</v>
      </c>
      <c r="EM68" s="55">
        <f t="shared" si="497"/>
        <v>0.62999999999999978</v>
      </c>
      <c r="EN68" s="55">
        <f t="shared" si="497"/>
        <v>0.60999999999999976</v>
      </c>
      <c r="EO68" s="55">
        <f t="shared" si="497"/>
        <v>0.58999999999999975</v>
      </c>
      <c r="EP68" s="55">
        <f t="shared" si="497"/>
        <v>0.56999999999999973</v>
      </c>
      <c r="ER68" s="55">
        <f t="shared" si="142"/>
        <v>0</v>
      </c>
      <c r="ES68" s="55">
        <f t="shared" si="116"/>
        <v>0</v>
      </c>
      <c r="ET68" s="59">
        <f t="shared" si="453"/>
        <v>0</v>
      </c>
      <c r="EU68" s="55">
        <f t="shared" si="454"/>
        <v>0</v>
      </c>
      <c r="EV68" s="59">
        <f t="shared" si="455"/>
        <v>0</v>
      </c>
      <c r="EW68" s="55">
        <f t="shared" si="456"/>
        <v>0</v>
      </c>
      <c r="EX68" s="59">
        <f t="shared" si="457"/>
        <v>0</v>
      </c>
      <c r="EY68" s="55">
        <f t="shared" si="458"/>
        <v>0</v>
      </c>
      <c r="EZ68" s="59">
        <f t="shared" si="459"/>
        <v>0</v>
      </c>
      <c r="FA68" s="57">
        <f t="shared" si="460"/>
        <v>0</v>
      </c>
      <c r="FB68" s="59">
        <f t="shared" si="461"/>
        <v>0</v>
      </c>
      <c r="FC68" s="55">
        <f t="shared" si="462"/>
        <v>0</v>
      </c>
      <c r="FD68" s="59">
        <f t="shared" si="463"/>
        <v>0</v>
      </c>
      <c r="FE68" s="57">
        <f t="shared" si="464"/>
        <v>0</v>
      </c>
      <c r="FF68" s="59">
        <f t="shared" si="465"/>
        <v>0</v>
      </c>
      <c r="FG68" s="60">
        <f t="shared" si="466"/>
        <v>0</v>
      </c>
      <c r="FH68" s="59">
        <f t="shared" si="467"/>
        <v>0</v>
      </c>
      <c r="FI68" s="57">
        <f t="shared" si="468"/>
        <v>0</v>
      </c>
      <c r="FJ68" s="59">
        <f t="shared" si="469"/>
        <v>0</v>
      </c>
      <c r="FK68" s="55">
        <f t="shared" si="470"/>
        <v>0</v>
      </c>
      <c r="FL68" s="59">
        <f t="shared" si="471"/>
        <v>0</v>
      </c>
      <c r="FM68" s="60">
        <f t="shared" si="472"/>
        <v>0</v>
      </c>
      <c r="FN68" s="59">
        <f t="shared" si="473"/>
        <v>0</v>
      </c>
      <c r="FO68" s="60">
        <f t="shared" si="474"/>
        <v>0</v>
      </c>
      <c r="FP68" s="59">
        <f t="shared" si="475"/>
        <v>0</v>
      </c>
      <c r="FQ68" s="60">
        <f t="shared" si="476"/>
        <v>0</v>
      </c>
      <c r="FR68" s="59">
        <f t="shared" si="477"/>
        <v>0</v>
      </c>
      <c r="FS68" s="55">
        <f t="shared" si="478"/>
        <v>0</v>
      </c>
      <c r="FT68" s="59">
        <f t="shared" si="479"/>
        <v>0</v>
      </c>
      <c r="FU68" s="60">
        <f t="shared" si="480"/>
        <v>0</v>
      </c>
      <c r="FV68" s="59">
        <f t="shared" si="481"/>
        <v>0</v>
      </c>
      <c r="FW68" s="60">
        <f t="shared" si="482"/>
        <v>0</v>
      </c>
      <c r="FX68" s="59">
        <f t="shared" si="483"/>
        <v>0</v>
      </c>
      <c r="FY68" s="60">
        <f t="shared" si="484"/>
        <v>0</v>
      </c>
      <c r="FZ68" s="59">
        <f t="shared" si="485"/>
        <v>0</v>
      </c>
      <c r="GA68" s="60">
        <f t="shared" si="486"/>
        <v>0</v>
      </c>
      <c r="GB68" s="59">
        <f t="shared" si="487"/>
        <v>0</v>
      </c>
      <c r="GC68" s="55">
        <f t="shared" si="488"/>
        <v>0</v>
      </c>
      <c r="GD68" s="59">
        <f t="shared" si="489"/>
        <v>0</v>
      </c>
      <c r="GE68" s="60">
        <f t="shared" si="490"/>
        <v>0</v>
      </c>
      <c r="GF68" s="59">
        <f t="shared" si="491"/>
        <v>0</v>
      </c>
      <c r="GG68" s="60">
        <f t="shared" si="492"/>
        <v>0</v>
      </c>
      <c r="GH68" s="59">
        <f t="shared" si="493"/>
        <v>0</v>
      </c>
      <c r="GI68" s="55">
        <f t="shared" si="494"/>
        <v>0</v>
      </c>
      <c r="GJ68" s="59">
        <f t="shared" si="495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498"/>
        <v>0.91</v>
      </c>
      <c r="GR68" s="55">
        <f t="shared" si="498"/>
        <v>0.89</v>
      </c>
      <c r="GS68" s="55">
        <f t="shared" si="498"/>
        <v>0.87</v>
      </c>
      <c r="GT68" s="55">
        <f t="shared" si="498"/>
        <v>0.85</v>
      </c>
      <c r="GU68" s="55">
        <f t="shared" si="498"/>
        <v>0.83</v>
      </c>
      <c r="GV68" s="55">
        <f t="shared" si="498"/>
        <v>0.80999999999999994</v>
      </c>
      <c r="GW68" s="55">
        <f t="shared" si="498"/>
        <v>0.78999999999999992</v>
      </c>
      <c r="GX68" s="55">
        <f t="shared" si="498"/>
        <v>0.76999999999999991</v>
      </c>
      <c r="GY68" s="55">
        <f t="shared" si="498"/>
        <v>0.74999999999999989</v>
      </c>
      <c r="GZ68" s="55">
        <f t="shared" si="498"/>
        <v>0.72999999999999987</v>
      </c>
      <c r="HA68" s="55">
        <f t="shared" si="498"/>
        <v>0.70999999999999985</v>
      </c>
      <c r="HB68" s="55">
        <f t="shared" si="498"/>
        <v>0.68999999999999984</v>
      </c>
      <c r="HC68" s="55">
        <f t="shared" si="498"/>
        <v>0.66999999999999982</v>
      </c>
      <c r="HD68" s="55">
        <f t="shared" si="498"/>
        <v>0.6499999999999998</v>
      </c>
      <c r="HE68" s="55">
        <f t="shared" si="498"/>
        <v>0.62999999999999978</v>
      </c>
      <c r="HF68" s="55">
        <f t="shared" si="498"/>
        <v>0.60999999999999976</v>
      </c>
      <c r="HG68" s="55">
        <f t="shared" si="498"/>
        <v>0.58999999999999975</v>
      </c>
      <c r="HH68" s="55">
        <f t="shared" si="498"/>
        <v>0.56999999999999973</v>
      </c>
    </row>
    <row r="69" spans="1:216" x14ac:dyDescent="0.3">
      <c r="A69" s="2">
        <v>7</v>
      </c>
      <c r="C69" s="38" t="s">
        <v>141</v>
      </c>
      <c r="D69" s="42">
        <v>0</v>
      </c>
      <c r="E69" s="71">
        <f t="shared" si="365"/>
        <v>0</v>
      </c>
      <c r="H69" s="55">
        <f t="shared" si="61"/>
        <v>0</v>
      </c>
      <c r="I69" s="55">
        <f t="shared" si="62"/>
        <v>0</v>
      </c>
      <c r="J69" s="59">
        <f t="shared" si="63"/>
        <v>0</v>
      </c>
      <c r="K69" s="55">
        <f t="shared" si="366"/>
        <v>0</v>
      </c>
      <c r="L69" s="59">
        <f t="shared" si="367"/>
        <v>0</v>
      </c>
      <c r="M69" s="55">
        <f t="shared" si="368"/>
        <v>0</v>
      </c>
      <c r="N69" s="59">
        <f t="shared" si="369"/>
        <v>0</v>
      </c>
      <c r="O69" s="55">
        <f t="shared" si="370"/>
        <v>0</v>
      </c>
      <c r="P69" s="59">
        <f t="shared" si="371"/>
        <v>0</v>
      </c>
      <c r="Q69" s="57">
        <f t="shared" si="372"/>
        <v>0</v>
      </c>
      <c r="R69" s="59">
        <f t="shared" si="373"/>
        <v>0</v>
      </c>
      <c r="S69" s="55">
        <f t="shared" si="374"/>
        <v>0</v>
      </c>
      <c r="T69" s="59">
        <f t="shared" si="375"/>
        <v>0</v>
      </c>
      <c r="U69" s="57">
        <f t="shared" si="376"/>
        <v>0</v>
      </c>
      <c r="V69" s="59">
        <f t="shared" si="377"/>
        <v>0</v>
      </c>
      <c r="W69" s="60">
        <f t="shared" si="378"/>
        <v>0</v>
      </c>
      <c r="X69" s="59">
        <f t="shared" si="379"/>
        <v>0</v>
      </c>
      <c r="Y69" s="57">
        <f t="shared" si="380"/>
        <v>0</v>
      </c>
      <c r="Z69" s="59">
        <f t="shared" si="381"/>
        <v>0</v>
      </c>
      <c r="AA69" s="55">
        <f t="shared" si="382"/>
        <v>0</v>
      </c>
      <c r="AB69" s="59">
        <f t="shared" si="383"/>
        <v>0</v>
      </c>
      <c r="AC69" s="60">
        <f t="shared" si="384"/>
        <v>0</v>
      </c>
      <c r="AD69" s="59">
        <f t="shared" si="385"/>
        <v>0</v>
      </c>
      <c r="AE69" s="60">
        <f t="shared" si="386"/>
        <v>0</v>
      </c>
      <c r="AF69" s="59">
        <f t="shared" si="387"/>
        <v>0</v>
      </c>
      <c r="AG69" s="60">
        <f t="shared" si="388"/>
        <v>0</v>
      </c>
      <c r="AH69" s="59">
        <f t="shared" si="389"/>
        <v>0</v>
      </c>
      <c r="AI69" s="55">
        <f t="shared" si="390"/>
        <v>0</v>
      </c>
      <c r="AJ69" s="59">
        <f t="shared" si="391"/>
        <v>0</v>
      </c>
      <c r="AK69" s="60">
        <f t="shared" si="392"/>
        <v>0</v>
      </c>
      <c r="AL69" s="59">
        <f t="shared" si="393"/>
        <v>0</v>
      </c>
      <c r="AM69" s="60">
        <f t="shared" si="394"/>
        <v>0</v>
      </c>
      <c r="AN69" s="59">
        <f t="shared" si="395"/>
        <v>0</v>
      </c>
      <c r="AO69" s="60">
        <f t="shared" si="396"/>
        <v>0</v>
      </c>
      <c r="AP69" s="59">
        <f t="shared" si="397"/>
        <v>0</v>
      </c>
      <c r="AQ69" s="60">
        <f t="shared" si="398"/>
        <v>0</v>
      </c>
      <c r="AR69" s="59">
        <f t="shared" si="399"/>
        <v>0</v>
      </c>
      <c r="AS69" s="55">
        <f t="shared" si="400"/>
        <v>0</v>
      </c>
      <c r="AT69" s="59">
        <f t="shared" si="401"/>
        <v>0</v>
      </c>
      <c r="AU69" s="60">
        <f t="shared" si="402"/>
        <v>0</v>
      </c>
      <c r="AV69" s="59">
        <f t="shared" si="403"/>
        <v>0</v>
      </c>
      <c r="AW69" s="60">
        <f t="shared" si="404"/>
        <v>0</v>
      </c>
      <c r="AX69" s="59">
        <f t="shared" si="405"/>
        <v>0</v>
      </c>
      <c r="AY69" s="55">
        <f t="shared" si="406"/>
        <v>0</v>
      </c>
      <c r="AZ69" s="59">
        <f t="shared" si="407"/>
        <v>0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08"/>
        <v>0.91</v>
      </c>
      <c r="BH69" s="55">
        <f t="shared" si="408"/>
        <v>0.89</v>
      </c>
      <c r="BI69" s="55">
        <f t="shared" si="408"/>
        <v>0.87</v>
      </c>
      <c r="BJ69" s="55">
        <f t="shared" si="408"/>
        <v>0.85</v>
      </c>
      <c r="BK69" s="55">
        <f t="shared" si="408"/>
        <v>0.83</v>
      </c>
      <c r="BL69" s="55">
        <f t="shared" si="408"/>
        <v>0.80999999999999994</v>
      </c>
      <c r="BM69" s="55">
        <f t="shared" si="408"/>
        <v>0.78999999999999992</v>
      </c>
      <c r="BN69" s="55">
        <f t="shared" si="408"/>
        <v>0.76999999999999991</v>
      </c>
      <c r="BO69" s="55">
        <f t="shared" si="408"/>
        <v>0.74999999999999989</v>
      </c>
      <c r="BP69" s="55">
        <f t="shared" si="408"/>
        <v>0.72999999999999987</v>
      </c>
      <c r="BQ69" s="55">
        <f t="shared" si="408"/>
        <v>0.70999999999999985</v>
      </c>
      <c r="BR69" s="55">
        <f t="shared" si="408"/>
        <v>0.68999999999999984</v>
      </c>
      <c r="BS69" s="55">
        <f t="shared" si="408"/>
        <v>0.66999999999999982</v>
      </c>
      <c r="BT69" s="55">
        <f t="shared" si="408"/>
        <v>0.6499999999999998</v>
      </c>
      <c r="BU69" s="55">
        <f t="shared" si="408"/>
        <v>0.62999999999999978</v>
      </c>
      <c r="BV69" s="55">
        <f t="shared" si="408"/>
        <v>0.60999999999999976</v>
      </c>
      <c r="BW69" s="55">
        <f t="shared" si="408"/>
        <v>0.58999999999999975</v>
      </c>
      <c r="BX69" s="55">
        <f t="shared" si="408"/>
        <v>0.56999999999999973</v>
      </c>
      <c r="BZ69" s="55">
        <f t="shared" si="88"/>
        <v>0</v>
      </c>
      <c r="CA69" s="55">
        <f t="shared" si="89"/>
        <v>0</v>
      </c>
      <c r="CB69" s="59">
        <f t="shared" si="409"/>
        <v>0</v>
      </c>
      <c r="CC69" s="55">
        <f t="shared" si="410"/>
        <v>0</v>
      </c>
      <c r="CD69" s="59">
        <f t="shared" si="411"/>
        <v>0</v>
      </c>
      <c r="CE69" s="55">
        <f t="shared" si="412"/>
        <v>0</v>
      </c>
      <c r="CF69" s="59">
        <f t="shared" si="413"/>
        <v>0</v>
      </c>
      <c r="CG69" s="55">
        <f t="shared" si="414"/>
        <v>0</v>
      </c>
      <c r="CH69" s="59">
        <f t="shared" si="415"/>
        <v>0</v>
      </c>
      <c r="CI69" s="57">
        <f t="shared" si="416"/>
        <v>0</v>
      </c>
      <c r="CJ69" s="59">
        <f t="shared" si="417"/>
        <v>0</v>
      </c>
      <c r="CK69" s="55">
        <f t="shared" si="418"/>
        <v>0</v>
      </c>
      <c r="CL69" s="59">
        <f t="shared" si="419"/>
        <v>0</v>
      </c>
      <c r="CM69" s="57">
        <f t="shared" si="420"/>
        <v>0</v>
      </c>
      <c r="CN69" s="59">
        <f t="shared" si="421"/>
        <v>0</v>
      </c>
      <c r="CO69" s="60">
        <f t="shared" si="422"/>
        <v>0</v>
      </c>
      <c r="CP69" s="59">
        <f t="shared" si="423"/>
        <v>0</v>
      </c>
      <c r="CQ69" s="57">
        <f t="shared" si="424"/>
        <v>0</v>
      </c>
      <c r="CR69" s="59">
        <f t="shared" si="425"/>
        <v>0</v>
      </c>
      <c r="CS69" s="55">
        <f t="shared" si="426"/>
        <v>0</v>
      </c>
      <c r="CT69" s="59">
        <f t="shared" si="427"/>
        <v>0</v>
      </c>
      <c r="CU69" s="60">
        <f t="shared" si="428"/>
        <v>0</v>
      </c>
      <c r="CV69" s="59">
        <f t="shared" si="429"/>
        <v>0</v>
      </c>
      <c r="CW69" s="60">
        <f t="shared" si="430"/>
        <v>0</v>
      </c>
      <c r="CX69" s="59">
        <f t="shared" si="431"/>
        <v>0</v>
      </c>
      <c r="CY69" s="60">
        <f t="shared" si="432"/>
        <v>0</v>
      </c>
      <c r="CZ69" s="59">
        <f t="shared" si="433"/>
        <v>0</v>
      </c>
      <c r="DA69" s="55">
        <f t="shared" si="434"/>
        <v>0</v>
      </c>
      <c r="DB69" s="59">
        <f t="shared" si="435"/>
        <v>0</v>
      </c>
      <c r="DC69" s="60">
        <f t="shared" si="436"/>
        <v>0</v>
      </c>
      <c r="DD69" s="59">
        <f t="shared" si="437"/>
        <v>0</v>
      </c>
      <c r="DE69" s="60">
        <f t="shared" si="438"/>
        <v>0</v>
      </c>
      <c r="DF69" s="59">
        <f t="shared" si="439"/>
        <v>0</v>
      </c>
      <c r="DG69" s="60">
        <f t="shared" si="440"/>
        <v>0</v>
      </c>
      <c r="DH69" s="59">
        <f t="shared" si="441"/>
        <v>0</v>
      </c>
      <c r="DI69" s="60">
        <f t="shared" si="442"/>
        <v>0</v>
      </c>
      <c r="DJ69" s="59">
        <f t="shared" si="443"/>
        <v>0</v>
      </c>
      <c r="DK69" s="55">
        <f t="shared" si="444"/>
        <v>0</v>
      </c>
      <c r="DL69" s="59">
        <f t="shared" si="445"/>
        <v>0</v>
      </c>
      <c r="DM69" s="60">
        <f t="shared" si="446"/>
        <v>0</v>
      </c>
      <c r="DN69" s="59">
        <f t="shared" si="447"/>
        <v>0</v>
      </c>
      <c r="DO69" s="60">
        <f t="shared" si="448"/>
        <v>0</v>
      </c>
      <c r="DP69" s="59">
        <f t="shared" si="449"/>
        <v>0</v>
      </c>
      <c r="DQ69" s="55">
        <f t="shared" si="450"/>
        <v>0</v>
      </c>
      <c r="DR69" s="59">
        <f t="shared" si="451"/>
        <v>0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497"/>
        <v>0.91</v>
      </c>
      <c r="DZ69" s="55">
        <f t="shared" si="497"/>
        <v>0.89</v>
      </c>
      <c r="EA69" s="55">
        <f t="shared" si="497"/>
        <v>0.87</v>
      </c>
      <c r="EB69" s="55">
        <f t="shared" si="497"/>
        <v>0.85</v>
      </c>
      <c r="EC69" s="55">
        <f t="shared" si="497"/>
        <v>0.83</v>
      </c>
      <c r="ED69" s="55">
        <f t="shared" si="497"/>
        <v>0.80999999999999994</v>
      </c>
      <c r="EE69" s="55">
        <f t="shared" si="497"/>
        <v>0.78999999999999992</v>
      </c>
      <c r="EF69" s="55">
        <f t="shared" si="497"/>
        <v>0.76999999999999991</v>
      </c>
      <c r="EG69" s="55">
        <f t="shared" si="497"/>
        <v>0.74999999999999989</v>
      </c>
      <c r="EH69" s="55">
        <f t="shared" si="497"/>
        <v>0.72999999999999987</v>
      </c>
      <c r="EI69" s="55">
        <f t="shared" si="497"/>
        <v>0.70999999999999985</v>
      </c>
      <c r="EJ69" s="55">
        <f t="shared" si="497"/>
        <v>0.68999999999999984</v>
      </c>
      <c r="EK69" s="55">
        <f t="shared" si="497"/>
        <v>0.66999999999999982</v>
      </c>
      <c r="EL69" s="55">
        <f t="shared" si="497"/>
        <v>0.6499999999999998</v>
      </c>
      <c r="EM69" s="55">
        <f t="shared" si="497"/>
        <v>0.62999999999999978</v>
      </c>
      <c r="EN69" s="55">
        <f t="shared" si="497"/>
        <v>0.60999999999999976</v>
      </c>
      <c r="EO69" s="55">
        <f t="shared" si="497"/>
        <v>0.58999999999999975</v>
      </c>
      <c r="EP69" s="55">
        <f t="shared" si="497"/>
        <v>0.56999999999999973</v>
      </c>
      <c r="ER69" s="55">
        <f t="shared" si="142"/>
        <v>0</v>
      </c>
      <c r="ES69" s="55">
        <f t="shared" si="116"/>
        <v>0</v>
      </c>
      <c r="ET69" s="59">
        <f t="shared" si="453"/>
        <v>0</v>
      </c>
      <c r="EU69" s="55">
        <f t="shared" si="454"/>
        <v>0</v>
      </c>
      <c r="EV69" s="59">
        <f t="shared" si="455"/>
        <v>0</v>
      </c>
      <c r="EW69" s="55">
        <f t="shared" si="456"/>
        <v>0</v>
      </c>
      <c r="EX69" s="59">
        <f t="shared" si="457"/>
        <v>0</v>
      </c>
      <c r="EY69" s="55">
        <f t="shared" si="458"/>
        <v>0</v>
      </c>
      <c r="EZ69" s="59">
        <f t="shared" si="459"/>
        <v>0</v>
      </c>
      <c r="FA69" s="57">
        <f t="shared" si="460"/>
        <v>0</v>
      </c>
      <c r="FB69" s="59">
        <f t="shared" si="461"/>
        <v>0</v>
      </c>
      <c r="FC69" s="55">
        <f t="shared" si="462"/>
        <v>0</v>
      </c>
      <c r="FD69" s="59">
        <f t="shared" si="463"/>
        <v>0</v>
      </c>
      <c r="FE69" s="57">
        <f t="shared" si="464"/>
        <v>0</v>
      </c>
      <c r="FF69" s="59">
        <f t="shared" si="465"/>
        <v>0</v>
      </c>
      <c r="FG69" s="60">
        <f t="shared" si="466"/>
        <v>0</v>
      </c>
      <c r="FH69" s="59">
        <f t="shared" si="467"/>
        <v>0</v>
      </c>
      <c r="FI69" s="57">
        <f t="shared" si="468"/>
        <v>0</v>
      </c>
      <c r="FJ69" s="59">
        <f t="shared" si="469"/>
        <v>0</v>
      </c>
      <c r="FK69" s="55">
        <f t="shared" si="470"/>
        <v>0</v>
      </c>
      <c r="FL69" s="59">
        <f t="shared" si="471"/>
        <v>0</v>
      </c>
      <c r="FM69" s="60">
        <f t="shared" si="472"/>
        <v>0</v>
      </c>
      <c r="FN69" s="59">
        <f t="shared" si="473"/>
        <v>0</v>
      </c>
      <c r="FO69" s="60">
        <f t="shared" si="474"/>
        <v>0</v>
      </c>
      <c r="FP69" s="59">
        <f t="shared" si="475"/>
        <v>0</v>
      </c>
      <c r="FQ69" s="60">
        <f t="shared" si="476"/>
        <v>0</v>
      </c>
      <c r="FR69" s="59">
        <f t="shared" si="477"/>
        <v>0</v>
      </c>
      <c r="FS69" s="55">
        <f t="shared" si="478"/>
        <v>0</v>
      </c>
      <c r="FT69" s="59">
        <f t="shared" si="479"/>
        <v>0</v>
      </c>
      <c r="FU69" s="60">
        <f t="shared" si="480"/>
        <v>0</v>
      </c>
      <c r="FV69" s="59">
        <f t="shared" si="481"/>
        <v>0</v>
      </c>
      <c r="FW69" s="60">
        <f t="shared" si="482"/>
        <v>0</v>
      </c>
      <c r="FX69" s="59">
        <f t="shared" si="483"/>
        <v>0</v>
      </c>
      <c r="FY69" s="60">
        <f t="shared" si="484"/>
        <v>0</v>
      </c>
      <c r="FZ69" s="59">
        <f t="shared" si="485"/>
        <v>0</v>
      </c>
      <c r="GA69" s="60">
        <f t="shared" si="486"/>
        <v>0</v>
      </c>
      <c r="GB69" s="59">
        <f t="shared" si="487"/>
        <v>0</v>
      </c>
      <c r="GC69" s="55">
        <f t="shared" si="488"/>
        <v>0</v>
      </c>
      <c r="GD69" s="59">
        <f t="shared" si="489"/>
        <v>0</v>
      </c>
      <c r="GE69" s="60">
        <f t="shared" si="490"/>
        <v>0</v>
      </c>
      <c r="GF69" s="59">
        <f t="shared" si="491"/>
        <v>0</v>
      </c>
      <c r="GG69" s="60">
        <f t="shared" si="492"/>
        <v>0</v>
      </c>
      <c r="GH69" s="59">
        <f t="shared" si="493"/>
        <v>0</v>
      </c>
      <c r="GI69" s="55">
        <f t="shared" si="494"/>
        <v>0</v>
      </c>
      <c r="GJ69" s="59">
        <f t="shared" si="495"/>
        <v>0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498"/>
        <v>0.91</v>
      </c>
      <c r="GR69" s="55">
        <f t="shared" si="498"/>
        <v>0.89</v>
      </c>
      <c r="GS69" s="55">
        <f t="shared" si="498"/>
        <v>0.87</v>
      </c>
      <c r="GT69" s="55">
        <f t="shared" si="498"/>
        <v>0.85</v>
      </c>
      <c r="GU69" s="55">
        <f t="shared" si="498"/>
        <v>0.83</v>
      </c>
      <c r="GV69" s="55">
        <f t="shared" si="498"/>
        <v>0.80999999999999994</v>
      </c>
      <c r="GW69" s="55">
        <f t="shared" si="498"/>
        <v>0.78999999999999992</v>
      </c>
      <c r="GX69" s="55">
        <f t="shared" si="498"/>
        <v>0.76999999999999991</v>
      </c>
      <c r="GY69" s="55">
        <f t="shared" si="498"/>
        <v>0.74999999999999989</v>
      </c>
      <c r="GZ69" s="55">
        <f t="shared" si="498"/>
        <v>0.72999999999999987</v>
      </c>
      <c r="HA69" s="55">
        <f t="shared" si="498"/>
        <v>0.70999999999999985</v>
      </c>
      <c r="HB69" s="55">
        <f t="shared" si="498"/>
        <v>0.68999999999999984</v>
      </c>
      <c r="HC69" s="55">
        <f t="shared" si="498"/>
        <v>0.66999999999999982</v>
      </c>
      <c r="HD69" s="55">
        <f t="shared" si="498"/>
        <v>0.6499999999999998</v>
      </c>
      <c r="HE69" s="55">
        <f t="shared" si="498"/>
        <v>0.62999999999999978</v>
      </c>
      <c r="HF69" s="55">
        <f t="shared" si="498"/>
        <v>0.60999999999999976</v>
      </c>
      <c r="HG69" s="55">
        <f t="shared" si="498"/>
        <v>0.58999999999999975</v>
      </c>
      <c r="HH69" s="55">
        <f t="shared" si="498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1">
        <f t="shared" si="365"/>
        <v>0</v>
      </c>
      <c r="H70" s="55">
        <f t="shared" si="61"/>
        <v>0</v>
      </c>
      <c r="I70" s="55">
        <f t="shared" si="62"/>
        <v>0</v>
      </c>
      <c r="J70" s="59">
        <f t="shared" si="63"/>
        <v>0</v>
      </c>
      <c r="K70" s="55">
        <f t="shared" si="366"/>
        <v>0</v>
      </c>
      <c r="L70" s="59">
        <f t="shared" si="367"/>
        <v>0</v>
      </c>
      <c r="M70" s="55">
        <f t="shared" si="368"/>
        <v>0</v>
      </c>
      <c r="N70" s="59">
        <f t="shared" si="369"/>
        <v>0</v>
      </c>
      <c r="O70" s="55">
        <f t="shared" si="370"/>
        <v>0</v>
      </c>
      <c r="P70" s="59">
        <f t="shared" si="371"/>
        <v>0</v>
      </c>
      <c r="Q70" s="57">
        <f t="shared" si="372"/>
        <v>0</v>
      </c>
      <c r="R70" s="59">
        <f t="shared" si="373"/>
        <v>0</v>
      </c>
      <c r="S70" s="55">
        <f t="shared" si="374"/>
        <v>0</v>
      </c>
      <c r="T70" s="59">
        <f t="shared" si="375"/>
        <v>0</v>
      </c>
      <c r="U70" s="57">
        <f t="shared" si="376"/>
        <v>0</v>
      </c>
      <c r="V70" s="59">
        <f t="shared" si="377"/>
        <v>0</v>
      </c>
      <c r="W70" s="60">
        <f t="shared" si="378"/>
        <v>0</v>
      </c>
      <c r="X70" s="59">
        <f t="shared" si="379"/>
        <v>0</v>
      </c>
      <c r="Y70" s="57">
        <f t="shared" si="380"/>
        <v>0</v>
      </c>
      <c r="Z70" s="59">
        <f t="shared" si="381"/>
        <v>0</v>
      </c>
      <c r="AA70" s="55">
        <f t="shared" si="382"/>
        <v>0</v>
      </c>
      <c r="AB70" s="59">
        <f t="shared" si="383"/>
        <v>0</v>
      </c>
      <c r="AC70" s="60">
        <f t="shared" si="384"/>
        <v>0</v>
      </c>
      <c r="AD70" s="59">
        <f t="shared" si="385"/>
        <v>0</v>
      </c>
      <c r="AE70" s="60">
        <f t="shared" si="386"/>
        <v>0</v>
      </c>
      <c r="AF70" s="59">
        <f t="shared" si="387"/>
        <v>0</v>
      </c>
      <c r="AG70" s="60">
        <f t="shared" si="388"/>
        <v>0</v>
      </c>
      <c r="AH70" s="59">
        <f t="shared" si="389"/>
        <v>0</v>
      </c>
      <c r="AI70" s="55">
        <f t="shared" si="390"/>
        <v>0</v>
      </c>
      <c r="AJ70" s="59">
        <f t="shared" si="391"/>
        <v>0</v>
      </c>
      <c r="AK70" s="60">
        <f t="shared" si="392"/>
        <v>0</v>
      </c>
      <c r="AL70" s="59">
        <f t="shared" si="393"/>
        <v>0</v>
      </c>
      <c r="AM70" s="60">
        <f t="shared" si="394"/>
        <v>0</v>
      </c>
      <c r="AN70" s="59">
        <f t="shared" si="395"/>
        <v>0</v>
      </c>
      <c r="AO70" s="60">
        <f t="shared" si="396"/>
        <v>0</v>
      </c>
      <c r="AP70" s="59">
        <f t="shared" si="397"/>
        <v>0</v>
      </c>
      <c r="AQ70" s="60">
        <f t="shared" si="398"/>
        <v>0</v>
      </c>
      <c r="AR70" s="59">
        <f t="shared" si="399"/>
        <v>0</v>
      </c>
      <c r="AS70" s="55">
        <f t="shared" si="400"/>
        <v>0</v>
      </c>
      <c r="AT70" s="59">
        <f t="shared" si="401"/>
        <v>0</v>
      </c>
      <c r="AU70" s="60">
        <f t="shared" si="402"/>
        <v>0</v>
      </c>
      <c r="AV70" s="59">
        <f t="shared" si="403"/>
        <v>0</v>
      </c>
      <c r="AW70" s="60">
        <f t="shared" si="404"/>
        <v>0</v>
      </c>
      <c r="AX70" s="59">
        <f t="shared" si="405"/>
        <v>0</v>
      </c>
      <c r="AY70" s="55">
        <f t="shared" si="406"/>
        <v>0</v>
      </c>
      <c r="AZ70" s="59">
        <f t="shared" si="407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08"/>
        <v>0.91</v>
      </c>
      <c r="BH70" s="55">
        <f t="shared" si="408"/>
        <v>0.89</v>
      </c>
      <c r="BI70" s="55">
        <f t="shared" si="408"/>
        <v>0.87</v>
      </c>
      <c r="BJ70" s="55">
        <f t="shared" si="408"/>
        <v>0.85</v>
      </c>
      <c r="BK70" s="55">
        <f t="shared" si="408"/>
        <v>0.83</v>
      </c>
      <c r="BL70" s="55">
        <f t="shared" si="408"/>
        <v>0.80999999999999994</v>
      </c>
      <c r="BM70" s="55">
        <f t="shared" si="408"/>
        <v>0.78999999999999992</v>
      </c>
      <c r="BN70" s="55">
        <f t="shared" si="408"/>
        <v>0.76999999999999991</v>
      </c>
      <c r="BO70" s="55">
        <f t="shared" si="408"/>
        <v>0.74999999999999989</v>
      </c>
      <c r="BP70" s="55">
        <f t="shared" si="408"/>
        <v>0.72999999999999987</v>
      </c>
      <c r="BQ70" s="55">
        <f t="shared" si="408"/>
        <v>0.70999999999999985</v>
      </c>
      <c r="BR70" s="55">
        <f t="shared" si="408"/>
        <v>0.68999999999999984</v>
      </c>
      <c r="BS70" s="55">
        <f t="shared" si="408"/>
        <v>0.66999999999999982</v>
      </c>
      <c r="BT70" s="55">
        <f t="shared" si="408"/>
        <v>0.6499999999999998</v>
      </c>
      <c r="BU70" s="55">
        <f t="shared" si="408"/>
        <v>0.62999999999999978</v>
      </c>
      <c r="BV70" s="55">
        <f t="shared" si="408"/>
        <v>0.60999999999999976</v>
      </c>
      <c r="BW70" s="55">
        <f t="shared" si="408"/>
        <v>0.58999999999999975</v>
      </c>
      <c r="BX70" s="55">
        <f t="shared" si="408"/>
        <v>0.56999999999999973</v>
      </c>
      <c r="BZ70" s="55">
        <f t="shared" si="88"/>
        <v>0</v>
      </c>
      <c r="CA70" s="55">
        <f t="shared" si="89"/>
        <v>0</v>
      </c>
      <c r="CB70" s="59">
        <f t="shared" si="409"/>
        <v>0</v>
      </c>
      <c r="CC70" s="55">
        <f t="shared" si="410"/>
        <v>0</v>
      </c>
      <c r="CD70" s="59">
        <f t="shared" si="411"/>
        <v>0</v>
      </c>
      <c r="CE70" s="55">
        <f t="shared" si="412"/>
        <v>0</v>
      </c>
      <c r="CF70" s="59">
        <f t="shared" si="413"/>
        <v>0</v>
      </c>
      <c r="CG70" s="55">
        <f t="shared" si="414"/>
        <v>0</v>
      </c>
      <c r="CH70" s="59">
        <f t="shared" si="415"/>
        <v>0</v>
      </c>
      <c r="CI70" s="57">
        <f t="shared" si="416"/>
        <v>0</v>
      </c>
      <c r="CJ70" s="59">
        <f t="shared" si="417"/>
        <v>0</v>
      </c>
      <c r="CK70" s="55">
        <f t="shared" si="418"/>
        <v>0</v>
      </c>
      <c r="CL70" s="59">
        <f t="shared" si="419"/>
        <v>0</v>
      </c>
      <c r="CM70" s="57">
        <f t="shared" si="420"/>
        <v>0</v>
      </c>
      <c r="CN70" s="59">
        <f t="shared" si="421"/>
        <v>0</v>
      </c>
      <c r="CO70" s="60">
        <f t="shared" si="422"/>
        <v>0</v>
      </c>
      <c r="CP70" s="59">
        <f t="shared" si="423"/>
        <v>0</v>
      </c>
      <c r="CQ70" s="57">
        <f t="shared" si="424"/>
        <v>0</v>
      </c>
      <c r="CR70" s="59">
        <f t="shared" si="425"/>
        <v>0</v>
      </c>
      <c r="CS70" s="55">
        <f t="shared" si="426"/>
        <v>0</v>
      </c>
      <c r="CT70" s="59">
        <f t="shared" si="427"/>
        <v>0</v>
      </c>
      <c r="CU70" s="60">
        <f t="shared" si="428"/>
        <v>0</v>
      </c>
      <c r="CV70" s="59">
        <f t="shared" si="429"/>
        <v>0</v>
      </c>
      <c r="CW70" s="60">
        <f t="shared" si="430"/>
        <v>0</v>
      </c>
      <c r="CX70" s="59">
        <f t="shared" si="431"/>
        <v>0</v>
      </c>
      <c r="CY70" s="60">
        <f t="shared" si="432"/>
        <v>0</v>
      </c>
      <c r="CZ70" s="59">
        <f t="shared" si="433"/>
        <v>0</v>
      </c>
      <c r="DA70" s="55">
        <f t="shared" si="434"/>
        <v>0</v>
      </c>
      <c r="DB70" s="59">
        <f t="shared" si="435"/>
        <v>0</v>
      </c>
      <c r="DC70" s="60">
        <f t="shared" si="436"/>
        <v>0</v>
      </c>
      <c r="DD70" s="59">
        <f t="shared" si="437"/>
        <v>0</v>
      </c>
      <c r="DE70" s="60">
        <f t="shared" si="438"/>
        <v>0</v>
      </c>
      <c r="DF70" s="59">
        <f t="shared" si="439"/>
        <v>0</v>
      </c>
      <c r="DG70" s="60">
        <f t="shared" si="440"/>
        <v>0</v>
      </c>
      <c r="DH70" s="59">
        <f t="shared" si="441"/>
        <v>0</v>
      </c>
      <c r="DI70" s="60">
        <f t="shared" si="442"/>
        <v>0</v>
      </c>
      <c r="DJ70" s="59">
        <f t="shared" si="443"/>
        <v>0</v>
      </c>
      <c r="DK70" s="55">
        <f t="shared" si="444"/>
        <v>0</v>
      </c>
      <c r="DL70" s="59">
        <f t="shared" si="445"/>
        <v>0</v>
      </c>
      <c r="DM70" s="60">
        <f t="shared" si="446"/>
        <v>0</v>
      </c>
      <c r="DN70" s="59">
        <f t="shared" si="447"/>
        <v>0</v>
      </c>
      <c r="DO70" s="60">
        <f t="shared" si="448"/>
        <v>0</v>
      </c>
      <c r="DP70" s="59">
        <f t="shared" si="449"/>
        <v>0</v>
      </c>
      <c r="DQ70" s="55">
        <f t="shared" si="450"/>
        <v>0</v>
      </c>
      <c r="DR70" s="59">
        <f t="shared" si="451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497"/>
        <v>0.91</v>
      </c>
      <c r="DZ70" s="55">
        <f t="shared" si="497"/>
        <v>0.89</v>
      </c>
      <c r="EA70" s="55">
        <f t="shared" si="497"/>
        <v>0.87</v>
      </c>
      <c r="EB70" s="55">
        <f t="shared" si="497"/>
        <v>0.85</v>
      </c>
      <c r="EC70" s="55">
        <f t="shared" si="497"/>
        <v>0.83</v>
      </c>
      <c r="ED70" s="55">
        <f t="shared" si="497"/>
        <v>0.80999999999999994</v>
      </c>
      <c r="EE70" s="55">
        <f t="shared" si="497"/>
        <v>0.78999999999999992</v>
      </c>
      <c r="EF70" s="55">
        <f t="shared" si="497"/>
        <v>0.76999999999999991</v>
      </c>
      <c r="EG70" s="55">
        <f t="shared" si="497"/>
        <v>0.74999999999999989</v>
      </c>
      <c r="EH70" s="55">
        <f t="shared" si="497"/>
        <v>0.72999999999999987</v>
      </c>
      <c r="EI70" s="55">
        <f t="shared" si="497"/>
        <v>0.70999999999999985</v>
      </c>
      <c r="EJ70" s="55">
        <f t="shared" si="497"/>
        <v>0.68999999999999984</v>
      </c>
      <c r="EK70" s="55">
        <f t="shared" si="497"/>
        <v>0.66999999999999982</v>
      </c>
      <c r="EL70" s="55">
        <f t="shared" si="497"/>
        <v>0.6499999999999998</v>
      </c>
      <c r="EM70" s="55">
        <f t="shared" si="497"/>
        <v>0.62999999999999978</v>
      </c>
      <c r="EN70" s="55">
        <f t="shared" si="497"/>
        <v>0.60999999999999976</v>
      </c>
      <c r="EO70" s="55">
        <f t="shared" si="497"/>
        <v>0.58999999999999975</v>
      </c>
      <c r="EP70" s="55">
        <f t="shared" si="497"/>
        <v>0.56999999999999973</v>
      </c>
      <c r="ER70" s="55">
        <f t="shared" si="142"/>
        <v>0</v>
      </c>
      <c r="ES70" s="55">
        <f t="shared" si="116"/>
        <v>0</v>
      </c>
      <c r="ET70" s="59">
        <f t="shared" si="453"/>
        <v>0</v>
      </c>
      <c r="EU70" s="55">
        <f t="shared" si="454"/>
        <v>0</v>
      </c>
      <c r="EV70" s="59">
        <f t="shared" si="455"/>
        <v>0</v>
      </c>
      <c r="EW70" s="55">
        <f t="shared" si="456"/>
        <v>0</v>
      </c>
      <c r="EX70" s="59">
        <f t="shared" si="457"/>
        <v>0</v>
      </c>
      <c r="EY70" s="55">
        <f t="shared" si="458"/>
        <v>0</v>
      </c>
      <c r="EZ70" s="59">
        <f t="shared" si="459"/>
        <v>0</v>
      </c>
      <c r="FA70" s="57">
        <f t="shared" si="460"/>
        <v>0</v>
      </c>
      <c r="FB70" s="59">
        <f t="shared" si="461"/>
        <v>0</v>
      </c>
      <c r="FC70" s="55">
        <f t="shared" si="462"/>
        <v>0</v>
      </c>
      <c r="FD70" s="59">
        <f t="shared" si="463"/>
        <v>0</v>
      </c>
      <c r="FE70" s="57">
        <f t="shared" si="464"/>
        <v>0</v>
      </c>
      <c r="FF70" s="59">
        <f t="shared" si="465"/>
        <v>0</v>
      </c>
      <c r="FG70" s="60">
        <f t="shared" si="466"/>
        <v>0</v>
      </c>
      <c r="FH70" s="59">
        <f t="shared" si="467"/>
        <v>0</v>
      </c>
      <c r="FI70" s="57">
        <f t="shared" si="468"/>
        <v>0</v>
      </c>
      <c r="FJ70" s="59">
        <f t="shared" si="469"/>
        <v>0</v>
      </c>
      <c r="FK70" s="55">
        <f t="shared" si="470"/>
        <v>0</v>
      </c>
      <c r="FL70" s="59">
        <f t="shared" si="471"/>
        <v>0</v>
      </c>
      <c r="FM70" s="60">
        <f t="shared" si="472"/>
        <v>0</v>
      </c>
      <c r="FN70" s="59">
        <f t="shared" si="473"/>
        <v>0</v>
      </c>
      <c r="FO70" s="60">
        <f t="shared" si="474"/>
        <v>0</v>
      </c>
      <c r="FP70" s="59">
        <f t="shared" si="475"/>
        <v>0</v>
      </c>
      <c r="FQ70" s="60">
        <f t="shared" si="476"/>
        <v>0</v>
      </c>
      <c r="FR70" s="59">
        <f t="shared" si="477"/>
        <v>0</v>
      </c>
      <c r="FS70" s="55">
        <f t="shared" si="478"/>
        <v>0</v>
      </c>
      <c r="FT70" s="59">
        <f t="shared" si="479"/>
        <v>0</v>
      </c>
      <c r="FU70" s="60">
        <f t="shared" si="480"/>
        <v>0</v>
      </c>
      <c r="FV70" s="59">
        <f t="shared" si="481"/>
        <v>0</v>
      </c>
      <c r="FW70" s="60">
        <f t="shared" si="482"/>
        <v>0</v>
      </c>
      <c r="FX70" s="59">
        <f t="shared" si="483"/>
        <v>0</v>
      </c>
      <c r="FY70" s="60">
        <f t="shared" si="484"/>
        <v>0</v>
      </c>
      <c r="FZ70" s="59">
        <f t="shared" si="485"/>
        <v>0</v>
      </c>
      <c r="GA70" s="60">
        <f t="shared" si="486"/>
        <v>0</v>
      </c>
      <c r="GB70" s="59">
        <f t="shared" si="487"/>
        <v>0</v>
      </c>
      <c r="GC70" s="55">
        <f t="shared" si="488"/>
        <v>0</v>
      </c>
      <c r="GD70" s="59">
        <f t="shared" si="489"/>
        <v>0</v>
      </c>
      <c r="GE70" s="60">
        <f t="shared" si="490"/>
        <v>0</v>
      </c>
      <c r="GF70" s="59">
        <f t="shared" si="491"/>
        <v>0</v>
      </c>
      <c r="GG70" s="60">
        <f t="shared" si="492"/>
        <v>0</v>
      </c>
      <c r="GH70" s="59">
        <f t="shared" si="493"/>
        <v>0</v>
      </c>
      <c r="GI70" s="55">
        <f t="shared" si="494"/>
        <v>0</v>
      </c>
      <c r="GJ70" s="59">
        <f t="shared" si="495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498"/>
        <v>0.91</v>
      </c>
      <c r="GR70" s="55">
        <f t="shared" si="498"/>
        <v>0.89</v>
      </c>
      <c r="GS70" s="55">
        <f t="shared" si="498"/>
        <v>0.87</v>
      </c>
      <c r="GT70" s="55">
        <f t="shared" si="498"/>
        <v>0.85</v>
      </c>
      <c r="GU70" s="55">
        <f t="shared" si="498"/>
        <v>0.83</v>
      </c>
      <c r="GV70" s="55">
        <f t="shared" si="498"/>
        <v>0.80999999999999994</v>
      </c>
      <c r="GW70" s="55">
        <f t="shared" si="498"/>
        <v>0.78999999999999992</v>
      </c>
      <c r="GX70" s="55">
        <f t="shared" si="498"/>
        <v>0.76999999999999991</v>
      </c>
      <c r="GY70" s="55">
        <f t="shared" si="498"/>
        <v>0.74999999999999989</v>
      </c>
      <c r="GZ70" s="55">
        <f t="shared" si="498"/>
        <v>0.72999999999999987</v>
      </c>
      <c r="HA70" s="55">
        <f t="shared" si="498"/>
        <v>0.70999999999999985</v>
      </c>
      <c r="HB70" s="55">
        <f t="shared" si="498"/>
        <v>0.68999999999999984</v>
      </c>
      <c r="HC70" s="55">
        <f t="shared" si="498"/>
        <v>0.66999999999999982</v>
      </c>
      <c r="HD70" s="55">
        <f t="shared" si="498"/>
        <v>0.6499999999999998</v>
      </c>
      <c r="HE70" s="55">
        <f t="shared" si="498"/>
        <v>0.62999999999999978</v>
      </c>
      <c r="HF70" s="55">
        <f t="shared" si="498"/>
        <v>0.60999999999999976</v>
      </c>
      <c r="HG70" s="55">
        <f t="shared" si="498"/>
        <v>0.58999999999999975</v>
      </c>
      <c r="HH70" s="55">
        <f t="shared" si="498"/>
        <v>0.56999999999999973</v>
      </c>
    </row>
    <row r="71" spans="1:216" x14ac:dyDescent="0.3">
      <c r="A71" s="2">
        <v>9</v>
      </c>
      <c r="C71" s="38" t="s">
        <v>154</v>
      </c>
      <c r="D71" s="42">
        <v>0</v>
      </c>
      <c r="E71" s="71">
        <f t="shared" si="365"/>
        <v>0</v>
      </c>
      <c r="H71" s="55">
        <f t="shared" si="61"/>
        <v>0</v>
      </c>
      <c r="I71" s="55">
        <f t="shared" si="62"/>
        <v>0</v>
      </c>
      <c r="J71" s="59">
        <f t="shared" si="63"/>
        <v>0</v>
      </c>
      <c r="K71" s="55">
        <f t="shared" si="366"/>
        <v>0</v>
      </c>
      <c r="L71" s="59">
        <f t="shared" si="367"/>
        <v>0</v>
      </c>
      <c r="M71" s="55">
        <f t="shared" si="368"/>
        <v>0</v>
      </c>
      <c r="N71" s="59">
        <f t="shared" si="369"/>
        <v>0</v>
      </c>
      <c r="O71" s="55">
        <f t="shared" si="370"/>
        <v>0</v>
      </c>
      <c r="P71" s="59">
        <f t="shared" si="371"/>
        <v>0</v>
      </c>
      <c r="Q71" s="57">
        <f t="shared" si="372"/>
        <v>0</v>
      </c>
      <c r="R71" s="59">
        <f t="shared" si="373"/>
        <v>0</v>
      </c>
      <c r="S71" s="55">
        <f t="shared" si="374"/>
        <v>0</v>
      </c>
      <c r="T71" s="59">
        <f t="shared" si="375"/>
        <v>0</v>
      </c>
      <c r="U71" s="57">
        <f t="shared" si="376"/>
        <v>0</v>
      </c>
      <c r="V71" s="59">
        <f t="shared" si="377"/>
        <v>0</v>
      </c>
      <c r="W71" s="60">
        <f t="shared" si="378"/>
        <v>0</v>
      </c>
      <c r="X71" s="59">
        <f t="shared" si="379"/>
        <v>0</v>
      </c>
      <c r="Y71" s="57">
        <f t="shared" si="380"/>
        <v>0</v>
      </c>
      <c r="Z71" s="59">
        <f t="shared" si="381"/>
        <v>0</v>
      </c>
      <c r="AA71" s="55">
        <f t="shared" si="382"/>
        <v>0</v>
      </c>
      <c r="AB71" s="59">
        <f t="shared" si="383"/>
        <v>0</v>
      </c>
      <c r="AC71" s="60">
        <f t="shared" si="384"/>
        <v>0</v>
      </c>
      <c r="AD71" s="59">
        <f t="shared" si="385"/>
        <v>0</v>
      </c>
      <c r="AE71" s="60">
        <f t="shared" si="386"/>
        <v>0</v>
      </c>
      <c r="AF71" s="59">
        <f t="shared" si="387"/>
        <v>0</v>
      </c>
      <c r="AG71" s="60">
        <f t="shared" si="388"/>
        <v>0</v>
      </c>
      <c r="AH71" s="59">
        <f t="shared" si="389"/>
        <v>0</v>
      </c>
      <c r="AI71" s="55">
        <f t="shared" si="390"/>
        <v>0</v>
      </c>
      <c r="AJ71" s="59">
        <f t="shared" si="391"/>
        <v>0</v>
      </c>
      <c r="AK71" s="60">
        <f t="shared" si="392"/>
        <v>0</v>
      </c>
      <c r="AL71" s="59">
        <f t="shared" si="393"/>
        <v>0</v>
      </c>
      <c r="AM71" s="60">
        <f t="shared" si="394"/>
        <v>0</v>
      </c>
      <c r="AN71" s="59">
        <f t="shared" si="395"/>
        <v>0</v>
      </c>
      <c r="AO71" s="60">
        <f t="shared" si="396"/>
        <v>0</v>
      </c>
      <c r="AP71" s="59">
        <f t="shared" si="397"/>
        <v>0</v>
      </c>
      <c r="AQ71" s="60">
        <f t="shared" si="398"/>
        <v>0</v>
      </c>
      <c r="AR71" s="59">
        <f t="shared" si="399"/>
        <v>0</v>
      </c>
      <c r="AS71" s="55">
        <f t="shared" si="400"/>
        <v>0</v>
      </c>
      <c r="AT71" s="59">
        <f t="shared" si="401"/>
        <v>0</v>
      </c>
      <c r="AU71" s="60">
        <f t="shared" si="402"/>
        <v>0</v>
      </c>
      <c r="AV71" s="59">
        <f t="shared" si="403"/>
        <v>0</v>
      </c>
      <c r="AW71" s="60">
        <f t="shared" si="404"/>
        <v>0</v>
      </c>
      <c r="AX71" s="59">
        <f t="shared" si="405"/>
        <v>0</v>
      </c>
      <c r="AY71" s="55">
        <f t="shared" si="406"/>
        <v>0</v>
      </c>
      <c r="AZ71" s="59">
        <f t="shared" si="407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08"/>
        <v>0.91</v>
      </c>
      <c r="BH71" s="55">
        <f t="shared" si="408"/>
        <v>0.89</v>
      </c>
      <c r="BI71" s="55">
        <f t="shared" si="408"/>
        <v>0.87</v>
      </c>
      <c r="BJ71" s="55">
        <f t="shared" si="408"/>
        <v>0.85</v>
      </c>
      <c r="BK71" s="55">
        <f t="shared" si="408"/>
        <v>0.83</v>
      </c>
      <c r="BL71" s="55">
        <f t="shared" si="408"/>
        <v>0.80999999999999994</v>
      </c>
      <c r="BM71" s="55">
        <f t="shared" si="408"/>
        <v>0.78999999999999992</v>
      </c>
      <c r="BN71" s="55">
        <f t="shared" si="408"/>
        <v>0.76999999999999991</v>
      </c>
      <c r="BO71" s="55">
        <f t="shared" si="408"/>
        <v>0.74999999999999989</v>
      </c>
      <c r="BP71" s="55">
        <f t="shared" si="408"/>
        <v>0.72999999999999987</v>
      </c>
      <c r="BQ71" s="55">
        <f t="shared" si="408"/>
        <v>0.70999999999999985</v>
      </c>
      <c r="BR71" s="55">
        <f t="shared" si="408"/>
        <v>0.68999999999999984</v>
      </c>
      <c r="BS71" s="55">
        <f t="shared" si="408"/>
        <v>0.66999999999999982</v>
      </c>
      <c r="BT71" s="55">
        <f t="shared" si="408"/>
        <v>0.6499999999999998</v>
      </c>
      <c r="BU71" s="55">
        <f t="shared" si="408"/>
        <v>0.62999999999999978</v>
      </c>
      <c r="BV71" s="55">
        <f t="shared" si="408"/>
        <v>0.60999999999999976</v>
      </c>
      <c r="BW71" s="55">
        <f t="shared" si="408"/>
        <v>0.58999999999999975</v>
      </c>
      <c r="BX71" s="55">
        <f t="shared" si="408"/>
        <v>0.56999999999999973</v>
      </c>
      <c r="BZ71" s="55">
        <f t="shared" si="88"/>
        <v>0</v>
      </c>
      <c r="CA71" s="55">
        <f t="shared" si="89"/>
        <v>0</v>
      </c>
      <c r="CB71" s="59">
        <f t="shared" si="409"/>
        <v>0</v>
      </c>
      <c r="CC71" s="55">
        <f t="shared" si="410"/>
        <v>0</v>
      </c>
      <c r="CD71" s="59">
        <f t="shared" si="411"/>
        <v>0</v>
      </c>
      <c r="CE71" s="55">
        <f t="shared" si="412"/>
        <v>0</v>
      </c>
      <c r="CF71" s="59">
        <f t="shared" si="413"/>
        <v>0</v>
      </c>
      <c r="CG71" s="55">
        <f t="shared" si="414"/>
        <v>0</v>
      </c>
      <c r="CH71" s="59">
        <f t="shared" si="415"/>
        <v>0</v>
      </c>
      <c r="CI71" s="57">
        <f t="shared" si="416"/>
        <v>0</v>
      </c>
      <c r="CJ71" s="59">
        <f t="shared" si="417"/>
        <v>0</v>
      </c>
      <c r="CK71" s="55">
        <f t="shared" si="418"/>
        <v>0</v>
      </c>
      <c r="CL71" s="59">
        <f t="shared" si="419"/>
        <v>0</v>
      </c>
      <c r="CM71" s="57">
        <f t="shared" si="420"/>
        <v>0</v>
      </c>
      <c r="CN71" s="59">
        <f t="shared" si="421"/>
        <v>0</v>
      </c>
      <c r="CO71" s="60">
        <f t="shared" si="422"/>
        <v>0</v>
      </c>
      <c r="CP71" s="59">
        <f t="shared" si="423"/>
        <v>0</v>
      </c>
      <c r="CQ71" s="57">
        <f t="shared" si="424"/>
        <v>0</v>
      </c>
      <c r="CR71" s="59">
        <f t="shared" si="425"/>
        <v>0</v>
      </c>
      <c r="CS71" s="55">
        <f t="shared" si="426"/>
        <v>0</v>
      </c>
      <c r="CT71" s="59">
        <f t="shared" si="427"/>
        <v>0</v>
      </c>
      <c r="CU71" s="60">
        <f t="shared" si="428"/>
        <v>0</v>
      </c>
      <c r="CV71" s="59">
        <f t="shared" si="429"/>
        <v>0</v>
      </c>
      <c r="CW71" s="60">
        <f t="shared" si="430"/>
        <v>0</v>
      </c>
      <c r="CX71" s="59">
        <f t="shared" si="431"/>
        <v>0</v>
      </c>
      <c r="CY71" s="60">
        <f t="shared" si="432"/>
        <v>0</v>
      </c>
      <c r="CZ71" s="59">
        <f t="shared" si="433"/>
        <v>0</v>
      </c>
      <c r="DA71" s="55">
        <f t="shared" si="434"/>
        <v>0</v>
      </c>
      <c r="DB71" s="59">
        <f t="shared" si="435"/>
        <v>0</v>
      </c>
      <c r="DC71" s="60">
        <f t="shared" si="436"/>
        <v>0</v>
      </c>
      <c r="DD71" s="59">
        <f t="shared" si="437"/>
        <v>0</v>
      </c>
      <c r="DE71" s="60">
        <f t="shared" si="438"/>
        <v>0</v>
      </c>
      <c r="DF71" s="59">
        <f t="shared" si="439"/>
        <v>0</v>
      </c>
      <c r="DG71" s="60">
        <f t="shared" si="440"/>
        <v>0</v>
      </c>
      <c r="DH71" s="59">
        <f t="shared" si="441"/>
        <v>0</v>
      </c>
      <c r="DI71" s="60">
        <f t="shared" si="442"/>
        <v>0</v>
      </c>
      <c r="DJ71" s="59">
        <f t="shared" si="443"/>
        <v>0</v>
      </c>
      <c r="DK71" s="55">
        <f t="shared" si="444"/>
        <v>0</v>
      </c>
      <c r="DL71" s="59">
        <f t="shared" si="445"/>
        <v>0</v>
      </c>
      <c r="DM71" s="60">
        <f t="shared" si="446"/>
        <v>0</v>
      </c>
      <c r="DN71" s="59">
        <f t="shared" si="447"/>
        <v>0</v>
      </c>
      <c r="DO71" s="60">
        <f t="shared" si="448"/>
        <v>0</v>
      </c>
      <c r="DP71" s="59">
        <f t="shared" si="449"/>
        <v>0</v>
      </c>
      <c r="DQ71" s="55">
        <f t="shared" si="450"/>
        <v>0</v>
      </c>
      <c r="DR71" s="59">
        <f t="shared" si="451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497"/>
        <v>0.91</v>
      </c>
      <c r="DZ71" s="55">
        <f t="shared" si="497"/>
        <v>0.89</v>
      </c>
      <c r="EA71" s="55">
        <f t="shared" si="497"/>
        <v>0.87</v>
      </c>
      <c r="EB71" s="55">
        <f t="shared" si="497"/>
        <v>0.85</v>
      </c>
      <c r="EC71" s="55">
        <f t="shared" si="497"/>
        <v>0.83</v>
      </c>
      <c r="ED71" s="55">
        <f t="shared" si="497"/>
        <v>0.80999999999999994</v>
      </c>
      <c r="EE71" s="55">
        <f t="shared" si="497"/>
        <v>0.78999999999999992</v>
      </c>
      <c r="EF71" s="55">
        <f t="shared" si="497"/>
        <v>0.76999999999999991</v>
      </c>
      <c r="EG71" s="55">
        <f t="shared" si="497"/>
        <v>0.74999999999999989</v>
      </c>
      <c r="EH71" s="55">
        <f t="shared" si="497"/>
        <v>0.72999999999999987</v>
      </c>
      <c r="EI71" s="55">
        <f t="shared" si="497"/>
        <v>0.70999999999999985</v>
      </c>
      <c r="EJ71" s="55">
        <f t="shared" si="497"/>
        <v>0.68999999999999984</v>
      </c>
      <c r="EK71" s="55">
        <f t="shared" si="497"/>
        <v>0.66999999999999982</v>
      </c>
      <c r="EL71" s="55">
        <f t="shared" si="497"/>
        <v>0.6499999999999998</v>
      </c>
      <c r="EM71" s="55">
        <f t="shared" si="497"/>
        <v>0.62999999999999978</v>
      </c>
      <c r="EN71" s="55">
        <f t="shared" si="497"/>
        <v>0.60999999999999976</v>
      </c>
      <c r="EO71" s="55">
        <f t="shared" si="497"/>
        <v>0.58999999999999975</v>
      </c>
      <c r="EP71" s="55">
        <f t="shared" si="497"/>
        <v>0.56999999999999973</v>
      </c>
      <c r="ER71" s="55">
        <f t="shared" si="142"/>
        <v>0</v>
      </c>
      <c r="ES71" s="55">
        <f t="shared" si="116"/>
        <v>0</v>
      </c>
      <c r="ET71" s="59">
        <f t="shared" si="453"/>
        <v>0</v>
      </c>
      <c r="EU71" s="55">
        <f t="shared" si="454"/>
        <v>0</v>
      </c>
      <c r="EV71" s="59">
        <f t="shared" si="455"/>
        <v>0</v>
      </c>
      <c r="EW71" s="55">
        <f t="shared" si="456"/>
        <v>0</v>
      </c>
      <c r="EX71" s="59">
        <f t="shared" si="457"/>
        <v>0</v>
      </c>
      <c r="EY71" s="55">
        <f t="shared" si="458"/>
        <v>0</v>
      </c>
      <c r="EZ71" s="59">
        <f t="shared" si="459"/>
        <v>0</v>
      </c>
      <c r="FA71" s="57">
        <f t="shared" si="460"/>
        <v>0</v>
      </c>
      <c r="FB71" s="59">
        <f t="shared" si="461"/>
        <v>0</v>
      </c>
      <c r="FC71" s="55">
        <f t="shared" si="462"/>
        <v>0</v>
      </c>
      <c r="FD71" s="59">
        <f t="shared" si="463"/>
        <v>0</v>
      </c>
      <c r="FE71" s="57">
        <f t="shared" si="464"/>
        <v>0</v>
      </c>
      <c r="FF71" s="59">
        <f t="shared" si="465"/>
        <v>0</v>
      </c>
      <c r="FG71" s="60">
        <f t="shared" si="466"/>
        <v>0</v>
      </c>
      <c r="FH71" s="59">
        <f t="shared" si="467"/>
        <v>0</v>
      </c>
      <c r="FI71" s="57">
        <f t="shared" si="468"/>
        <v>0</v>
      </c>
      <c r="FJ71" s="59">
        <f t="shared" si="469"/>
        <v>0</v>
      </c>
      <c r="FK71" s="55">
        <f t="shared" si="470"/>
        <v>0</v>
      </c>
      <c r="FL71" s="59">
        <f t="shared" si="471"/>
        <v>0</v>
      </c>
      <c r="FM71" s="60">
        <f t="shared" si="472"/>
        <v>0</v>
      </c>
      <c r="FN71" s="59">
        <f t="shared" si="473"/>
        <v>0</v>
      </c>
      <c r="FO71" s="60">
        <f t="shared" si="474"/>
        <v>0</v>
      </c>
      <c r="FP71" s="59">
        <f t="shared" si="475"/>
        <v>0</v>
      </c>
      <c r="FQ71" s="60">
        <f t="shared" si="476"/>
        <v>0</v>
      </c>
      <c r="FR71" s="59">
        <f t="shared" si="477"/>
        <v>0</v>
      </c>
      <c r="FS71" s="55">
        <f t="shared" si="478"/>
        <v>0</v>
      </c>
      <c r="FT71" s="59">
        <f t="shared" si="479"/>
        <v>0</v>
      </c>
      <c r="FU71" s="60">
        <f t="shared" si="480"/>
        <v>0</v>
      </c>
      <c r="FV71" s="59">
        <f t="shared" si="481"/>
        <v>0</v>
      </c>
      <c r="FW71" s="60">
        <f t="shared" si="482"/>
        <v>0</v>
      </c>
      <c r="FX71" s="59">
        <f t="shared" si="483"/>
        <v>0</v>
      </c>
      <c r="FY71" s="60">
        <f t="shared" si="484"/>
        <v>0</v>
      </c>
      <c r="FZ71" s="59">
        <f t="shared" si="485"/>
        <v>0</v>
      </c>
      <c r="GA71" s="60">
        <f t="shared" si="486"/>
        <v>0</v>
      </c>
      <c r="GB71" s="59">
        <f t="shared" si="487"/>
        <v>0</v>
      </c>
      <c r="GC71" s="55">
        <f t="shared" si="488"/>
        <v>0</v>
      </c>
      <c r="GD71" s="59">
        <f t="shared" si="489"/>
        <v>0</v>
      </c>
      <c r="GE71" s="60">
        <f t="shared" si="490"/>
        <v>0</v>
      </c>
      <c r="GF71" s="59">
        <f t="shared" si="491"/>
        <v>0</v>
      </c>
      <c r="GG71" s="60">
        <f t="shared" si="492"/>
        <v>0</v>
      </c>
      <c r="GH71" s="59">
        <f t="shared" si="493"/>
        <v>0</v>
      </c>
      <c r="GI71" s="55">
        <f t="shared" si="494"/>
        <v>0</v>
      </c>
      <c r="GJ71" s="59">
        <f t="shared" si="495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498"/>
        <v>0.91</v>
      </c>
      <c r="GR71" s="55">
        <f t="shared" si="498"/>
        <v>0.89</v>
      </c>
      <c r="GS71" s="55">
        <f t="shared" si="498"/>
        <v>0.87</v>
      </c>
      <c r="GT71" s="55">
        <f t="shared" si="498"/>
        <v>0.85</v>
      </c>
      <c r="GU71" s="55">
        <f t="shared" si="498"/>
        <v>0.83</v>
      </c>
      <c r="GV71" s="55">
        <f t="shared" si="498"/>
        <v>0.80999999999999994</v>
      </c>
      <c r="GW71" s="55">
        <f t="shared" si="498"/>
        <v>0.78999999999999992</v>
      </c>
      <c r="GX71" s="55">
        <f t="shared" si="498"/>
        <v>0.76999999999999991</v>
      </c>
      <c r="GY71" s="55">
        <f t="shared" si="498"/>
        <v>0.74999999999999989</v>
      </c>
      <c r="GZ71" s="55">
        <f t="shared" si="498"/>
        <v>0.72999999999999987</v>
      </c>
      <c r="HA71" s="55">
        <f t="shared" si="498"/>
        <v>0.70999999999999985</v>
      </c>
      <c r="HB71" s="55">
        <f t="shared" si="498"/>
        <v>0.68999999999999984</v>
      </c>
      <c r="HC71" s="55">
        <f t="shared" si="498"/>
        <v>0.66999999999999982</v>
      </c>
      <c r="HD71" s="55">
        <f t="shared" si="498"/>
        <v>0.6499999999999998</v>
      </c>
      <c r="HE71" s="55">
        <f t="shared" si="498"/>
        <v>0.62999999999999978</v>
      </c>
      <c r="HF71" s="55">
        <f t="shared" si="498"/>
        <v>0.60999999999999976</v>
      </c>
      <c r="HG71" s="55">
        <f t="shared" si="498"/>
        <v>0.58999999999999975</v>
      </c>
      <c r="HH71" s="55">
        <f t="shared" si="498"/>
        <v>0.56999999999999973</v>
      </c>
    </row>
    <row r="72" spans="1:216" x14ac:dyDescent="0.3">
      <c r="A72" s="2">
        <v>10</v>
      </c>
      <c r="C72" s="38" t="s">
        <v>138</v>
      </c>
      <c r="D72" s="42">
        <f>TRUNC(65896.2180839129,-1)</f>
        <v>65890</v>
      </c>
      <c r="E72" s="71">
        <f t="shared" si="365"/>
        <v>217810</v>
      </c>
      <c r="F72" s="2" t="s">
        <v>311</v>
      </c>
      <c r="H72" s="55">
        <f t="shared" si="61"/>
        <v>239591.00000000003</v>
      </c>
      <c r="I72" s="55">
        <f t="shared" si="62"/>
        <v>239591.00000000003</v>
      </c>
      <c r="J72" s="59">
        <f t="shared" si="63"/>
        <v>792039.92780000006</v>
      </c>
      <c r="K72" s="55">
        <f t="shared" si="366"/>
        <v>232403.27000000002</v>
      </c>
      <c r="L72" s="59">
        <f t="shared" si="367"/>
        <v>768278.72996600007</v>
      </c>
      <c r="M72" s="55">
        <f t="shared" si="368"/>
        <v>227611.45</v>
      </c>
      <c r="N72" s="59">
        <f t="shared" si="369"/>
        <v>752437.93141000008</v>
      </c>
      <c r="O72" s="55">
        <f t="shared" si="370"/>
        <v>222819.63000000003</v>
      </c>
      <c r="P72" s="59">
        <f t="shared" si="371"/>
        <v>736597.13285400008</v>
      </c>
      <c r="Q72" s="57">
        <f t="shared" si="372"/>
        <v>218027.81000000003</v>
      </c>
      <c r="R72" s="59">
        <f t="shared" si="373"/>
        <v>720756.33429800009</v>
      </c>
      <c r="S72" s="55">
        <f t="shared" si="374"/>
        <v>213235.99000000002</v>
      </c>
      <c r="T72" s="59">
        <f t="shared" si="375"/>
        <v>704915.53574200009</v>
      </c>
      <c r="U72" s="57">
        <f t="shared" si="376"/>
        <v>208444.17</v>
      </c>
      <c r="V72" s="59">
        <f t="shared" si="377"/>
        <v>689074.7371860001</v>
      </c>
      <c r="W72" s="60">
        <f t="shared" si="378"/>
        <v>203652.35</v>
      </c>
      <c r="X72" s="59">
        <f t="shared" si="379"/>
        <v>673233.93862999999</v>
      </c>
      <c r="Y72" s="57">
        <f t="shared" si="380"/>
        <v>198860.53000000003</v>
      </c>
      <c r="Z72" s="59">
        <f t="shared" si="381"/>
        <v>657393.14007400011</v>
      </c>
      <c r="AA72" s="55">
        <f t="shared" si="382"/>
        <v>194068.71000000002</v>
      </c>
      <c r="AB72" s="59">
        <f t="shared" si="383"/>
        <v>641552.34151800012</v>
      </c>
      <c r="AC72" s="60">
        <f t="shared" si="384"/>
        <v>189276.89</v>
      </c>
      <c r="AD72" s="59">
        <f t="shared" si="385"/>
        <v>625711.54296200001</v>
      </c>
      <c r="AE72" s="60">
        <f t="shared" si="386"/>
        <v>184485.07</v>
      </c>
      <c r="AF72" s="59">
        <f t="shared" si="387"/>
        <v>609870.74440600001</v>
      </c>
      <c r="AG72" s="60">
        <f t="shared" si="388"/>
        <v>179693.25</v>
      </c>
      <c r="AH72" s="59">
        <f t="shared" si="389"/>
        <v>594029.94585000002</v>
      </c>
      <c r="AI72" s="55">
        <f t="shared" si="390"/>
        <v>174901.43</v>
      </c>
      <c r="AJ72" s="59">
        <f t="shared" si="391"/>
        <v>578189.14729400002</v>
      </c>
      <c r="AK72" s="60">
        <f t="shared" si="392"/>
        <v>170109.61</v>
      </c>
      <c r="AL72" s="59">
        <f t="shared" si="393"/>
        <v>562348.34873799991</v>
      </c>
      <c r="AM72" s="60">
        <f t="shared" si="394"/>
        <v>165317.78999999998</v>
      </c>
      <c r="AN72" s="59">
        <f t="shared" si="395"/>
        <v>546507.55018199992</v>
      </c>
      <c r="AO72" s="60">
        <f t="shared" si="396"/>
        <v>160525.96999999997</v>
      </c>
      <c r="AP72" s="59">
        <f t="shared" si="397"/>
        <v>530666.75162599992</v>
      </c>
      <c r="AQ72" s="60">
        <f t="shared" si="398"/>
        <v>155734.14999999997</v>
      </c>
      <c r="AR72" s="59">
        <f t="shared" si="399"/>
        <v>514825.95306999987</v>
      </c>
      <c r="AS72" s="55">
        <f t="shared" si="400"/>
        <v>150942.32999999996</v>
      </c>
      <c r="AT72" s="59">
        <f t="shared" si="401"/>
        <v>498985.15451399988</v>
      </c>
      <c r="AU72" s="60">
        <f t="shared" si="402"/>
        <v>146150.50999999995</v>
      </c>
      <c r="AV72" s="59">
        <f t="shared" si="403"/>
        <v>483144.35595799983</v>
      </c>
      <c r="AW72" s="60">
        <f t="shared" si="404"/>
        <v>141358.68999999994</v>
      </c>
      <c r="AX72" s="59">
        <f t="shared" si="405"/>
        <v>467303.55740199983</v>
      </c>
      <c r="AY72" s="55">
        <f t="shared" si="406"/>
        <v>136566.86999999994</v>
      </c>
      <c r="AZ72" s="59">
        <f t="shared" si="407"/>
        <v>451462.75884599978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08"/>
        <v>0.91</v>
      </c>
      <c r="BH72" s="55">
        <f t="shared" si="408"/>
        <v>0.89</v>
      </c>
      <c r="BI72" s="55">
        <f t="shared" si="408"/>
        <v>0.87</v>
      </c>
      <c r="BJ72" s="55">
        <f t="shared" si="408"/>
        <v>0.85</v>
      </c>
      <c r="BK72" s="55">
        <f t="shared" si="408"/>
        <v>0.83</v>
      </c>
      <c r="BL72" s="55">
        <f t="shared" si="408"/>
        <v>0.80999999999999994</v>
      </c>
      <c r="BM72" s="55">
        <f t="shared" si="408"/>
        <v>0.78999999999999992</v>
      </c>
      <c r="BN72" s="55">
        <f t="shared" si="408"/>
        <v>0.76999999999999991</v>
      </c>
      <c r="BO72" s="55">
        <f t="shared" si="408"/>
        <v>0.74999999999999989</v>
      </c>
      <c r="BP72" s="55">
        <f t="shared" si="408"/>
        <v>0.72999999999999987</v>
      </c>
      <c r="BQ72" s="55">
        <f t="shared" si="408"/>
        <v>0.70999999999999985</v>
      </c>
      <c r="BR72" s="55">
        <f t="shared" si="408"/>
        <v>0.68999999999999984</v>
      </c>
      <c r="BS72" s="55">
        <f t="shared" si="408"/>
        <v>0.66999999999999982</v>
      </c>
      <c r="BT72" s="55">
        <f t="shared" si="408"/>
        <v>0.6499999999999998</v>
      </c>
      <c r="BU72" s="55">
        <f t="shared" si="408"/>
        <v>0.62999999999999978</v>
      </c>
      <c r="BV72" s="55">
        <f t="shared" si="408"/>
        <v>0.60999999999999976</v>
      </c>
      <c r="BW72" s="55">
        <f t="shared" si="408"/>
        <v>0.58999999999999975</v>
      </c>
      <c r="BX72" s="55">
        <f t="shared" si="408"/>
        <v>0.56999999999999973</v>
      </c>
      <c r="BZ72" s="55">
        <f t="shared" si="88"/>
        <v>218027.81000000003</v>
      </c>
      <c r="CA72" s="55">
        <f t="shared" si="89"/>
        <v>218027.81000000003</v>
      </c>
      <c r="CB72" s="59">
        <f t="shared" si="409"/>
        <v>720756.33429800009</v>
      </c>
      <c r="CC72" s="55">
        <f t="shared" si="410"/>
        <v>211486.97570000001</v>
      </c>
      <c r="CD72" s="59">
        <f t="shared" si="411"/>
        <v>699133.64426905999</v>
      </c>
      <c r="CE72" s="55">
        <f t="shared" si="412"/>
        <v>207126.41950000002</v>
      </c>
      <c r="CF72" s="59">
        <f t="shared" si="413"/>
        <v>684718.51758310013</v>
      </c>
      <c r="CG72" s="55">
        <f t="shared" si="414"/>
        <v>202765.86330000003</v>
      </c>
      <c r="CH72" s="59">
        <f t="shared" si="415"/>
        <v>670303.39089714014</v>
      </c>
      <c r="CI72" s="57">
        <f t="shared" si="416"/>
        <v>198405.30710000003</v>
      </c>
      <c r="CJ72" s="59">
        <f t="shared" si="417"/>
        <v>655888.26421118015</v>
      </c>
      <c r="CK72" s="55">
        <f t="shared" si="418"/>
        <v>194044.75090000001</v>
      </c>
      <c r="CL72" s="59">
        <f t="shared" si="419"/>
        <v>641473.13752522005</v>
      </c>
      <c r="CM72" s="57">
        <f t="shared" si="420"/>
        <v>189684.19470000002</v>
      </c>
      <c r="CN72" s="59">
        <f t="shared" si="421"/>
        <v>627058.01083926007</v>
      </c>
      <c r="CO72" s="60">
        <f t="shared" si="422"/>
        <v>185323.63850000003</v>
      </c>
      <c r="CP72" s="59">
        <f t="shared" si="423"/>
        <v>612642.88415330008</v>
      </c>
      <c r="CQ72" s="57">
        <f t="shared" si="424"/>
        <v>180963.08230000001</v>
      </c>
      <c r="CR72" s="59">
        <f t="shared" si="425"/>
        <v>598227.7574673401</v>
      </c>
      <c r="CS72" s="55">
        <f t="shared" si="426"/>
        <v>176602.52610000002</v>
      </c>
      <c r="CT72" s="59">
        <f t="shared" si="427"/>
        <v>583812.63078138011</v>
      </c>
      <c r="CU72" s="60">
        <f t="shared" si="428"/>
        <v>172241.9699</v>
      </c>
      <c r="CV72" s="59">
        <f t="shared" si="429"/>
        <v>569397.50409542001</v>
      </c>
      <c r="CW72" s="60">
        <f t="shared" si="430"/>
        <v>167881.4137</v>
      </c>
      <c r="CX72" s="59">
        <f t="shared" si="431"/>
        <v>554982.37740946002</v>
      </c>
      <c r="CY72" s="60">
        <f t="shared" si="432"/>
        <v>163520.85749999998</v>
      </c>
      <c r="CZ72" s="59">
        <f t="shared" si="433"/>
        <v>540567.25072349992</v>
      </c>
      <c r="DA72" s="55">
        <f t="shared" si="434"/>
        <v>159160.30129999999</v>
      </c>
      <c r="DB72" s="59">
        <f t="shared" si="435"/>
        <v>526152.12403753994</v>
      </c>
      <c r="DC72" s="60">
        <f t="shared" si="436"/>
        <v>154799.7451</v>
      </c>
      <c r="DD72" s="59">
        <f t="shared" si="437"/>
        <v>511736.99735158001</v>
      </c>
      <c r="DE72" s="60">
        <f t="shared" si="438"/>
        <v>150439.18889999998</v>
      </c>
      <c r="DF72" s="59">
        <f t="shared" si="439"/>
        <v>497321.87066561996</v>
      </c>
      <c r="DG72" s="60">
        <f t="shared" si="440"/>
        <v>146078.63269999999</v>
      </c>
      <c r="DH72" s="59">
        <f t="shared" si="441"/>
        <v>482906.74397965998</v>
      </c>
      <c r="DI72" s="60">
        <f t="shared" si="442"/>
        <v>141718.07649999997</v>
      </c>
      <c r="DJ72" s="59">
        <f t="shared" si="443"/>
        <v>468491.61729369988</v>
      </c>
      <c r="DK72" s="55">
        <f t="shared" si="444"/>
        <v>137357.52029999997</v>
      </c>
      <c r="DL72" s="59">
        <f t="shared" si="445"/>
        <v>454076.49060773995</v>
      </c>
      <c r="DM72" s="60">
        <f t="shared" si="446"/>
        <v>132996.96409999995</v>
      </c>
      <c r="DN72" s="59">
        <f t="shared" si="447"/>
        <v>439661.36392177985</v>
      </c>
      <c r="DO72" s="60">
        <f t="shared" si="448"/>
        <v>128636.40789999996</v>
      </c>
      <c r="DP72" s="59">
        <f t="shared" si="449"/>
        <v>425246.23723581986</v>
      </c>
      <c r="DQ72" s="55">
        <f t="shared" si="450"/>
        <v>124275.85169999996</v>
      </c>
      <c r="DR72" s="59">
        <f t="shared" si="451"/>
        <v>410831.11054985988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497"/>
        <v>0.91</v>
      </c>
      <c r="DZ72" s="55">
        <f t="shared" si="497"/>
        <v>0.89</v>
      </c>
      <c r="EA72" s="55">
        <f t="shared" si="497"/>
        <v>0.87</v>
      </c>
      <c r="EB72" s="55">
        <f t="shared" si="497"/>
        <v>0.85</v>
      </c>
      <c r="EC72" s="55">
        <f t="shared" si="497"/>
        <v>0.83</v>
      </c>
      <c r="ED72" s="55">
        <f t="shared" si="497"/>
        <v>0.80999999999999994</v>
      </c>
      <c r="EE72" s="55">
        <f t="shared" si="497"/>
        <v>0.78999999999999992</v>
      </c>
      <c r="EF72" s="55">
        <f t="shared" si="497"/>
        <v>0.76999999999999991</v>
      </c>
      <c r="EG72" s="55">
        <f t="shared" si="497"/>
        <v>0.74999999999999989</v>
      </c>
      <c r="EH72" s="55">
        <f t="shared" si="497"/>
        <v>0.72999999999999987</v>
      </c>
      <c r="EI72" s="55">
        <f t="shared" si="497"/>
        <v>0.70999999999999985</v>
      </c>
      <c r="EJ72" s="55">
        <f t="shared" si="497"/>
        <v>0.68999999999999984</v>
      </c>
      <c r="EK72" s="55">
        <f t="shared" si="497"/>
        <v>0.66999999999999982</v>
      </c>
      <c r="EL72" s="55">
        <f t="shared" si="497"/>
        <v>0.6499999999999998</v>
      </c>
      <c r="EM72" s="55">
        <f t="shared" si="497"/>
        <v>0.62999999999999978</v>
      </c>
      <c r="EN72" s="55">
        <f t="shared" si="497"/>
        <v>0.60999999999999976</v>
      </c>
      <c r="EO72" s="55">
        <f t="shared" si="497"/>
        <v>0.58999999999999975</v>
      </c>
      <c r="EP72" s="55">
        <f t="shared" si="497"/>
        <v>0.56999999999999973</v>
      </c>
      <c r="ER72" s="55">
        <f t="shared" si="142"/>
        <v>198405.30710000003</v>
      </c>
      <c r="ES72" s="55">
        <f t="shared" si="116"/>
        <v>198405.30710000003</v>
      </c>
      <c r="ET72" s="59">
        <f t="shared" si="453"/>
        <v>655888.26421118015</v>
      </c>
      <c r="EU72" s="55">
        <f t="shared" si="454"/>
        <v>192453.14788700003</v>
      </c>
      <c r="EV72" s="59">
        <f t="shared" si="455"/>
        <v>636211.6162848447</v>
      </c>
      <c r="EW72" s="55">
        <f t="shared" si="456"/>
        <v>188485.04174500002</v>
      </c>
      <c r="EX72" s="59">
        <f t="shared" si="457"/>
        <v>623093.8510006211</v>
      </c>
      <c r="EY72" s="55">
        <f t="shared" si="458"/>
        <v>184516.93560300005</v>
      </c>
      <c r="EZ72" s="59">
        <f t="shared" si="459"/>
        <v>609976.08571639762</v>
      </c>
      <c r="FA72" s="57">
        <f t="shared" si="460"/>
        <v>180548.82946100004</v>
      </c>
      <c r="FB72" s="59">
        <f t="shared" si="461"/>
        <v>596858.3204321739</v>
      </c>
      <c r="FC72" s="55">
        <f t="shared" si="462"/>
        <v>176580.72331900004</v>
      </c>
      <c r="FD72" s="59">
        <f t="shared" si="463"/>
        <v>583740.5551479503</v>
      </c>
      <c r="FE72" s="57">
        <f t="shared" si="464"/>
        <v>172612.61717700004</v>
      </c>
      <c r="FF72" s="59">
        <f t="shared" si="465"/>
        <v>570622.78986372671</v>
      </c>
      <c r="FG72" s="60">
        <f t="shared" si="466"/>
        <v>168644.51103500003</v>
      </c>
      <c r="FH72" s="59">
        <f t="shared" si="467"/>
        <v>557505.02457950311</v>
      </c>
      <c r="FI72" s="57">
        <f t="shared" si="468"/>
        <v>164676.40489300003</v>
      </c>
      <c r="FJ72" s="59">
        <f t="shared" si="469"/>
        <v>544387.25929527951</v>
      </c>
      <c r="FK72" s="55">
        <f t="shared" si="470"/>
        <v>160708.29875100002</v>
      </c>
      <c r="FL72" s="59">
        <f t="shared" si="471"/>
        <v>531269.49401105591</v>
      </c>
      <c r="FM72" s="60">
        <f t="shared" si="472"/>
        <v>156740.19260900002</v>
      </c>
      <c r="FN72" s="59">
        <f t="shared" si="473"/>
        <v>518151.72872683225</v>
      </c>
      <c r="FO72" s="60">
        <f t="shared" si="474"/>
        <v>152772.08646700002</v>
      </c>
      <c r="FP72" s="59">
        <f t="shared" si="475"/>
        <v>505033.96344260866</v>
      </c>
      <c r="FQ72" s="60">
        <f t="shared" si="476"/>
        <v>148803.98032500001</v>
      </c>
      <c r="FR72" s="59">
        <f t="shared" si="477"/>
        <v>491916.19815838506</v>
      </c>
      <c r="FS72" s="55">
        <f t="shared" si="478"/>
        <v>144835.87418300001</v>
      </c>
      <c r="FT72" s="59">
        <f t="shared" si="479"/>
        <v>478798.43287416146</v>
      </c>
      <c r="FU72" s="60">
        <f t="shared" si="480"/>
        <v>140867.768041</v>
      </c>
      <c r="FV72" s="59">
        <f t="shared" si="481"/>
        <v>465680.6675899378</v>
      </c>
      <c r="FW72" s="60">
        <f t="shared" si="482"/>
        <v>136899.661899</v>
      </c>
      <c r="FX72" s="59">
        <f t="shared" si="483"/>
        <v>452562.9023057142</v>
      </c>
      <c r="FY72" s="60">
        <f t="shared" si="484"/>
        <v>132931.55575699999</v>
      </c>
      <c r="FZ72" s="59">
        <f t="shared" si="485"/>
        <v>439445.13702149061</v>
      </c>
      <c r="GA72" s="60">
        <f t="shared" si="486"/>
        <v>128963.44961499998</v>
      </c>
      <c r="GB72" s="59">
        <f t="shared" si="487"/>
        <v>426327.37173726695</v>
      </c>
      <c r="GC72" s="55">
        <f t="shared" si="488"/>
        <v>124995.34347299997</v>
      </c>
      <c r="GD72" s="59">
        <f t="shared" si="489"/>
        <v>413209.60645304329</v>
      </c>
      <c r="GE72" s="60">
        <f t="shared" si="490"/>
        <v>121027.23733099997</v>
      </c>
      <c r="GF72" s="59">
        <f t="shared" si="491"/>
        <v>400091.84116881969</v>
      </c>
      <c r="GG72" s="60">
        <f t="shared" si="492"/>
        <v>117059.13118899996</v>
      </c>
      <c r="GH72" s="59">
        <f t="shared" si="493"/>
        <v>386974.0758845961</v>
      </c>
      <c r="GI72" s="55">
        <f t="shared" si="494"/>
        <v>113091.02504699996</v>
      </c>
      <c r="GJ72" s="59">
        <f t="shared" si="495"/>
        <v>373856.3106003725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498"/>
        <v>0.91</v>
      </c>
      <c r="GR72" s="55">
        <f t="shared" si="498"/>
        <v>0.89</v>
      </c>
      <c r="GS72" s="55">
        <f t="shared" si="498"/>
        <v>0.87</v>
      </c>
      <c r="GT72" s="55">
        <f t="shared" si="498"/>
        <v>0.85</v>
      </c>
      <c r="GU72" s="55">
        <f t="shared" si="498"/>
        <v>0.83</v>
      </c>
      <c r="GV72" s="55">
        <f t="shared" si="498"/>
        <v>0.80999999999999994</v>
      </c>
      <c r="GW72" s="55">
        <f t="shared" si="498"/>
        <v>0.78999999999999992</v>
      </c>
      <c r="GX72" s="55">
        <f t="shared" si="498"/>
        <v>0.76999999999999991</v>
      </c>
      <c r="GY72" s="55">
        <f t="shared" si="498"/>
        <v>0.74999999999999989</v>
      </c>
      <c r="GZ72" s="55">
        <f t="shared" si="498"/>
        <v>0.72999999999999987</v>
      </c>
      <c r="HA72" s="55">
        <f t="shared" si="498"/>
        <v>0.70999999999999985</v>
      </c>
      <c r="HB72" s="55">
        <f t="shared" si="498"/>
        <v>0.68999999999999984</v>
      </c>
      <c r="HC72" s="55">
        <f t="shared" si="498"/>
        <v>0.66999999999999982</v>
      </c>
      <c r="HD72" s="55">
        <f t="shared" si="498"/>
        <v>0.6499999999999998</v>
      </c>
      <c r="HE72" s="55">
        <f t="shared" si="498"/>
        <v>0.62999999999999978</v>
      </c>
      <c r="HF72" s="55">
        <f t="shared" si="498"/>
        <v>0.60999999999999976</v>
      </c>
      <c r="HG72" s="55">
        <f t="shared" si="498"/>
        <v>0.58999999999999975</v>
      </c>
      <c r="HH72" s="55">
        <f t="shared" si="498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1">
        <f t="shared" si="365"/>
        <v>0</v>
      </c>
      <c r="H73" s="55">
        <f t="shared" si="61"/>
        <v>0</v>
      </c>
      <c r="I73" s="55">
        <f t="shared" si="62"/>
        <v>0</v>
      </c>
      <c r="J73" s="59">
        <f t="shared" si="63"/>
        <v>0</v>
      </c>
      <c r="K73" s="55">
        <f t="shared" si="366"/>
        <v>0</v>
      </c>
      <c r="L73" s="59">
        <f t="shared" si="367"/>
        <v>0</v>
      </c>
      <c r="M73" s="55">
        <f t="shared" si="368"/>
        <v>0</v>
      </c>
      <c r="N73" s="59">
        <f t="shared" si="369"/>
        <v>0</v>
      </c>
      <c r="O73" s="55">
        <f t="shared" si="370"/>
        <v>0</v>
      </c>
      <c r="P73" s="59">
        <f t="shared" si="371"/>
        <v>0</v>
      </c>
      <c r="Q73" s="57">
        <f t="shared" si="372"/>
        <v>0</v>
      </c>
      <c r="R73" s="59">
        <f t="shared" si="373"/>
        <v>0</v>
      </c>
      <c r="S73" s="55">
        <f t="shared" si="374"/>
        <v>0</v>
      </c>
      <c r="T73" s="59">
        <f t="shared" si="375"/>
        <v>0</v>
      </c>
      <c r="U73" s="57">
        <f t="shared" si="376"/>
        <v>0</v>
      </c>
      <c r="V73" s="59">
        <f t="shared" si="377"/>
        <v>0</v>
      </c>
      <c r="W73" s="60">
        <f t="shared" si="378"/>
        <v>0</v>
      </c>
      <c r="X73" s="59">
        <f t="shared" si="379"/>
        <v>0</v>
      </c>
      <c r="Y73" s="57">
        <f t="shared" si="380"/>
        <v>0</v>
      </c>
      <c r="Z73" s="59">
        <f t="shared" si="381"/>
        <v>0</v>
      </c>
      <c r="AA73" s="55">
        <f t="shared" si="382"/>
        <v>0</v>
      </c>
      <c r="AB73" s="59">
        <f t="shared" si="383"/>
        <v>0</v>
      </c>
      <c r="AC73" s="60">
        <f t="shared" si="384"/>
        <v>0</v>
      </c>
      <c r="AD73" s="59">
        <f t="shared" si="385"/>
        <v>0</v>
      </c>
      <c r="AE73" s="60">
        <f t="shared" si="386"/>
        <v>0</v>
      </c>
      <c r="AF73" s="59">
        <f t="shared" si="387"/>
        <v>0</v>
      </c>
      <c r="AG73" s="60">
        <f t="shared" si="388"/>
        <v>0</v>
      </c>
      <c r="AH73" s="59">
        <f t="shared" si="389"/>
        <v>0</v>
      </c>
      <c r="AI73" s="55">
        <f t="shared" si="390"/>
        <v>0</v>
      </c>
      <c r="AJ73" s="59">
        <f t="shared" si="391"/>
        <v>0</v>
      </c>
      <c r="AK73" s="60">
        <f t="shared" si="392"/>
        <v>0</v>
      </c>
      <c r="AL73" s="59">
        <f t="shared" si="393"/>
        <v>0</v>
      </c>
      <c r="AM73" s="60">
        <f t="shared" si="394"/>
        <v>0</v>
      </c>
      <c r="AN73" s="59">
        <f t="shared" si="395"/>
        <v>0</v>
      </c>
      <c r="AO73" s="60">
        <f t="shared" si="396"/>
        <v>0</v>
      </c>
      <c r="AP73" s="59">
        <f t="shared" si="397"/>
        <v>0</v>
      </c>
      <c r="AQ73" s="60">
        <f t="shared" si="398"/>
        <v>0</v>
      </c>
      <c r="AR73" s="59">
        <f t="shared" si="399"/>
        <v>0</v>
      </c>
      <c r="AS73" s="55">
        <f t="shared" si="400"/>
        <v>0</v>
      </c>
      <c r="AT73" s="59">
        <f t="shared" si="401"/>
        <v>0</v>
      </c>
      <c r="AU73" s="60">
        <f t="shared" si="402"/>
        <v>0</v>
      </c>
      <c r="AV73" s="59">
        <f t="shared" si="403"/>
        <v>0</v>
      </c>
      <c r="AW73" s="60">
        <f t="shared" si="404"/>
        <v>0</v>
      </c>
      <c r="AX73" s="59">
        <f t="shared" si="405"/>
        <v>0</v>
      </c>
      <c r="AY73" s="55">
        <f t="shared" si="406"/>
        <v>0</v>
      </c>
      <c r="AZ73" s="59">
        <f t="shared" si="407"/>
        <v>0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08"/>
        <v>0.91</v>
      </c>
      <c r="BH73" s="55">
        <f t="shared" si="408"/>
        <v>0.89</v>
      </c>
      <c r="BI73" s="55">
        <f t="shared" si="408"/>
        <v>0.87</v>
      </c>
      <c r="BJ73" s="55">
        <f t="shared" si="408"/>
        <v>0.85</v>
      </c>
      <c r="BK73" s="55">
        <f t="shared" si="408"/>
        <v>0.83</v>
      </c>
      <c r="BL73" s="55">
        <f t="shared" si="408"/>
        <v>0.80999999999999994</v>
      </c>
      <c r="BM73" s="55">
        <f t="shared" si="408"/>
        <v>0.78999999999999992</v>
      </c>
      <c r="BN73" s="55">
        <f t="shared" si="408"/>
        <v>0.76999999999999991</v>
      </c>
      <c r="BO73" s="55">
        <f t="shared" si="408"/>
        <v>0.74999999999999989</v>
      </c>
      <c r="BP73" s="55">
        <f t="shared" si="408"/>
        <v>0.72999999999999987</v>
      </c>
      <c r="BQ73" s="55">
        <f t="shared" si="408"/>
        <v>0.70999999999999985</v>
      </c>
      <c r="BR73" s="55">
        <f t="shared" si="408"/>
        <v>0.68999999999999984</v>
      </c>
      <c r="BS73" s="55">
        <f t="shared" si="408"/>
        <v>0.66999999999999982</v>
      </c>
      <c r="BT73" s="55">
        <f t="shared" si="408"/>
        <v>0.6499999999999998</v>
      </c>
      <c r="BU73" s="55">
        <f t="shared" si="408"/>
        <v>0.62999999999999978</v>
      </c>
      <c r="BV73" s="55">
        <f t="shared" si="408"/>
        <v>0.60999999999999976</v>
      </c>
      <c r="BW73" s="55">
        <f t="shared" si="408"/>
        <v>0.58999999999999975</v>
      </c>
      <c r="BX73" s="55">
        <f t="shared" si="408"/>
        <v>0.56999999999999973</v>
      </c>
      <c r="BZ73" s="55">
        <f t="shared" si="88"/>
        <v>0</v>
      </c>
      <c r="CA73" s="55">
        <f t="shared" si="89"/>
        <v>0</v>
      </c>
      <c r="CB73" s="59">
        <f t="shared" si="409"/>
        <v>0</v>
      </c>
      <c r="CC73" s="55">
        <f t="shared" si="410"/>
        <v>0</v>
      </c>
      <c r="CD73" s="59">
        <f t="shared" si="411"/>
        <v>0</v>
      </c>
      <c r="CE73" s="55">
        <f t="shared" si="412"/>
        <v>0</v>
      </c>
      <c r="CF73" s="59">
        <f t="shared" si="413"/>
        <v>0</v>
      </c>
      <c r="CG73" s="55">
        <f t="shared" si="414"/>
        <v>0</v>
      </c>
      <c r="CH73" s="59">
        <f t="shared" si="415"/>
        <v>0</v>
      </c>
      <c r="CI73" s="57">
        <f t="shared" si="416"/>
        <v>0</v>
      </c>
      <c r="CJ73" s="59">
        <f t="shared" si="417"/>
        <v>0</v>
      </c>
      <c r="CK73" s="55">
        <f t="shared" si="418"/>
        <v>0</v>
      </c>
      <c r="CL73" s="59">
        <f t="shared" si="419"/>
        <v>0</v>
      </c>
      <c r="CM73" s="57">
        <f t="shared" si="420"/>
        <v>0</v>
      </c>
      <c r="CN73" s="59">
        <f t="shared" si="421"/>
        <v>0</v>
      </c>
      <c r="CO73" s="60">
        <f t="shared" si="422"/>
        <v>0</v>
      </c>
      <c r="CP73" s="59">
        <f t="shared" si="423"/>
        <v>0</v>
      </c>
      <c r="CQ73" s="57">
        <f t="shared" si="424"/>
        <v>0</v>
      </c>
      <c r="CR73" s="59">
        <f t="shared" si="425"/>
        <v>0</v>
      </c>
      <c r="CS73" s="55">
        <f t="shared" si="426"/>
        <v>0</v>
      </c>
      <c r="CT73" s="59">
        <f t="shared" si="427"/>
        <v>0</v>
      </c>
      <c r="CU73" s="60">
        <f t="shared" si="428"/>
        <v>0</v>
      </c>
      <c r="CV73" s="59">
        <f t="shared" si="429"/>
        <v>0</v>
      </c>
      <c r="CW73" s="60">
        <f t="shared" si="430"/>
        <v>0</v>
      </c>
      <c r="CX73" s="59">
        <f t="shared" si="431"/>
        <v>0</v>
      </c>
      <c r="CY73" s="60">
        <f t="shared" si="432"/>
        <v>0</v>
      </c>
      <c r="CZ73" s="59">
        <f t="shared" si="433"/>
        <v>0</v>
      </c>
      <c r="DA73" s="55">
        <f t="shared" si="434"/>
        <v>0</v>
      </c>
      <c r="DB73" s="59">
        <f t="shared" si="435"/>
        <v>0</v>
      </c>
      <c r="DC73" s="60">
        <f t="shared" si="436"/>
        <v>0</v>
      </c>
      <c r="DD73" s="59">
        <f t="shared" si="437"/>
        <v>0</v>
      </c>
      <c r="DE73" s="60">
        <f t="shared" si="438"/>
        <v>0</v>
      </c>
      <c r="DF73" s="59">
        <f t="shared" si="439"/>
        <v>0</v>
      </c>
      <c r="DG73" s="60">
        <f t="shared" si="440"/>
        <v>0</v>
      </c>
      <c r="DH73" s="59">
        <f t="shared" si="441"/>
        <v>0</v>
      </c>
      <c r="DI73" s="60">
        <f t="shared" si="442"/>
        <v>0</v>
      </c>
      <c r="DJ73" s="59">
        <f t="shared" si="443"/>
        <v>0</v>
      </c>
      <c r="DK73" s="55">
        <f t="shared" si="444"/>
        <v>0</v>
      </c>
      <c r="DL73" s="59">
        <f t="shared" si="445"/>
        <v>0</v>
      </c>
      <c r="DM73" s="60">
        <f t="shared" si="446"/>
        <v>0</v>
      </c>
      <c r="DN73" s="59">
        <f t="shared" si="447"/>
        <v>0</v>
      </c>
      <c r="DO73" s="60">
        <f t="shared" si="448"/>
        <v>0</v>
      </c>
      <c r="DP73" s="59">
        <f t="shared" si="449"/>
        <v>0</v>
      </c>
      <c r="DQ73" s="55">
        <f t="shared" si="450"/>
        <v>0</v>
      </c>
      <c r="DR73" s="59">
        <f t="shared" si="451"/>
        <v>0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497"/>
        <v>0.91</v>
      </c>
      <c r="DZ73" s="55">
        <f t="shared" si="497"/>
        <v>0.89</v>
      </c>
      <c r="EA73" s="55">
        <f t="shared" si="497"/>
        <v>0.87</v>
      </c>
      <c r="EB73" s="55">
        <f t="shared" si="497"/>
        <v>0.85</v>
      </c>
      <c r="EC73" s="55">
        <f t="shared" si="497"/>
        <v>0.83</v>
      </c>
      <c r="ED73" s="55">
        <f t="shared" si="497"/>
        <v>0.80999999999999994</v>
      </c>
      <c r="EE73" s="55">
        <f t="shared" si="497"/>
        <v>0.78999999999999992</v>
      </c>
      <c r="EF73" s="55">
        <f t="shared" si="497"/>
        <v>0.76999999999999991</v>
      </c>
      <c r="EG73" s="55">
        <f t="shared" si="497"/>
        <v>0.74999999999999989</v>
      </c>
      <c r="EH73" s="55">
        <f t="shared" si="497"/>
        <v>0.72999999999999987</v>
      </c>
      <c r="EI73" s="55">
        <f t="shared" si="497"/>
        <v>0.70999999999999985</v>
      </c>
      <c r="EJ73" s="55">
        <f t="shared" si="497"/>
        <v>0.68999999999999984</v>
      </c>
      <c r="EK73" s="55">
        <f t="shared" si="497"/>
        <v>0.66999999999999982</v>
      </c>
      <c r="EL73" s="55">
        <f t="shared" si="497"/>
        <v>0.6499999999999998</v>
      </c>
      <c r="EM73" s="55">
        <f t="shared" si="497"/>
        <v>0.62999999999999978</v>
      </c>
      <c r="EN73" s="55">
        <f t="shared" si="497"/>
        <v>0.60999999999999976</v>
      </c>
      <c r="EO73" s="55">
        <f t="shared" si="497"/>
        <v>0.58999999999999975</v>
      </c>
      <c r="EP73" s="55">
        <f t="shared" si="497"/>
        <v>0.56999999999999973</v>
      </c>
      <c r="ER73" s="55">
        <f t="shared" si="142"/>
        <v>0</v>
      </c>
      <c r="ES73" s="55">
        <f t="shared" si="116"/>
        <v>0</v>
      </c>
      <c r="ET73" s="59">
        <f t="shared" si="453"/>
        <v>0</v>
      </c>
      <c r="EU73" s="55">
        <f t="shared" si="454"/>
        <v>0</v>
      </c>
      <c r="EV73" s="59">
        <f t="shared" si="455"/>
        <v>0</v>
      </c>
      <c r="EW73" s="55">
        <f t="shared" si="456"/>
        <v>0</v>
      </c>
      <c r="EX73" s="59">
        <f t="shared" si="457"/>
        <v>0</v>
      </c>
      <c r="EY73" s="55">
        <f t="shared" si="458"/>
        <v>0</v>
      </c>
      <c r="EZ73" s="59">
        <f t="shared" si="459"/>
        <v>0</v>
      </c>
      <c r="FA73" s="57">
        <f t="shared" si="460"/>
        <v>0</v>
      </c>
      <c r="FB73" s="59">
        <f t="shared" si="461"/>
        <v>0</v>
      </c>
      <c r="FC73" s="55">
        <f t="shared" si="462"/>
        <v>0</v>
      </c>
      <c r="FD73" s="59">
        <f t="shared" si="463"/>
        <v>0</v>
      </c>
      <c r="FE73" s="57">
        <f t="shared" si="464"/>
        <v>0</v>
      </c>
      <c r="FF73" s="59">
        <f t="shared" si="465"/>
        <v>0</v>
      </c>
      <c r="FG73" s="60">
        <f t="shared" si="466"/>
        <v>0</v>
      </c>
      <c r="FH73" s="59">
        <f t="shared" si="467"/>
        <v>0</v>
      </c>
      <c r="FI73" s="57">
        <f t="shared" si="468"/>
        <v>0</v>
      </c>
      <c r="FJ73" s="59">
        <f t="shared" si="469"/>
        <v>0</v>
      </c>
      <c r="FK73" s="55">
        <f t="shared" si="470"/>
        <v>0</v>
      </c>
      <c r="FL73" s="59">
        <f t="shared" si="471"/>
        <v>0</v>
      </c>
      <c r="FM73" s="60">
        <f t="shared" si="472"/>
        <v>0</v>
      </c>
      <c r="FN73" s="59">
        <f t="shared" si="473"/>
        <v>0</v>
      </c>
      <c r="FO73" s="60">
        <f t="shared" si="474"/>
        <v>0</v>
      </c>
      <c r="FP73" s="59">
        <f t="shared" si="475"/>
        <v>0</v>
      </c>
      <c r="FQ73" s="60">
        <f t="shared" si="476"/>
        <v>0</v>
      </c>
      <c r="FR73" s="59">
        <f t="shared" si="477"/>
        <v>0</v>
      </c>
      <c r="FS73" s="55">
        <f t="shared" si="478"/>
        <v>0</v>
      </c>
      <c r="FT73" s="59">
        <f t="shared" si="479"/>
        <v>0</v>
      </c>
      <c r="FU73" s="60">
        <f t="shared" si="480"/>
        <v>0</v>
      </c>
      <c r="FV73" s="59">
        <f t="shared" si="481"/>
        <v>0</v>
      </c>
      <c r="FW73" s="60">
        <f t="shared" si="482"/>
        <v>0</v>
      </c>
      <c r="FX73" s="59">
        <f t="shared" si="483"/>
        <v>0</v>
      </c>
      <c r="FY73" s="60">
        <f t="shared" si="484"/>
        <v>0</v>
      </c>
      <c r="FZ73" s="59">
        <f t="shared" si="485"/>
        <v>0</v>
      </c>
      <c r="GA73" s="60">
        <f t="shared" si="486"/>
        <v>0</v>
      </c>
      <c r="GB73" s="59">
        <f t="shared" si="487"/>
        <v>0</v>
      </c>
      <c r="GC73" s="55">
        <f t="shared" si="488"/>
        <v>0</v>
      </c>
      <c r="GD73" s="59">
        <f t="shared" si="489"/>
        <v>0</v>
      </c>
      <c r="GE73" s="60">
        <f t="shared" si="490"/>
        <v>0</v>
      </c>
      <c r="GF73" s="59">
        <f t="shared" si="491"/>
        <v>0</v>
      </c>
      <c r="GG73" s="60">
        <f t="shared" si="492"/>
        <v>0</v>
      </c>
      <c r="GH73" s="59">
        <f t="shared" si="493"/>
        <v>0</v>
      </c>
      <c r="GI73" s="55">
        <f t="shared" si="494"/>
        <v>0</v>
      </c>
      <c r="GJ73" s="59">
        <f t="shared" si="495"/>
        <v>0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498"/>
        <v>0.91</v>
      </c>
      <c r="GR73" s="55">
        <f t="shared" si="498"/>
        <v>0.89</v>
      </c>
      <c r="GS73" s="55">
        <f t="shared" si="498"/>
        <v>0.87</v>
      </c>
      <c r="GT73" s="55">
        <f t="shared" si="498"/>
        <v>0.85</v>
      </c>
      <c r="GU73" s="55">
        <f t="shared" si="498"/>
        <v>0.83</v>
      </c>
      <c r="GV73" s="55">
        <f t="shared" si="498"/>
        <v>0.80999999999999994</v>
      </c>
      <c r="GW73" s="55">
        <f t="shared" si="498"/>
        <v>0.78999999999999992</v>
      </c>
      <c r="GX73" s="55">
        <f t="shared" si="498"/>
        <v>0.76999999999999991</v>
      </c>
      <c r="GY73" s="55">
        <f t="shared" si="498"/>
        <v>0.74999999999999989</v>
      </c>
      <c r="GZ73" s="55">
        <f t="shared" si="498"/>
        <v>0.72999999999999987</v>
      </c>
      <c r="HA73" s="55">
        <f t="shared" si="498"/>
        <v>0.70999999999999985</v>
      </c>
      <c r="HB73" s="55">
        <f t="shared" si="498"/>
        <v>0.68999999999999984</v>
      </c>
      <c r="HC73" s="55">
        <f t="shared" si="498"/>
        <v>0.66999999999999982</v>
      </c>
      <c r="HD73" s="55">
        <f t="shared" si="498"/>
        <v>0.6499999999999998</v>
      </c>
      <c r="HE73" s="55">
        <f t="shared" si="498"/>
        <v>0.62999999999999978</v>
      </c>
      <c r="HF73" s="55">
        <f t="shared" si="498"/>
        <v>0.60999999999999976</v>
      </c>
      <c r="HG73" s="55">
        <f t="shared" si="498"/>
        <v>0.58999999999999975</v>
      </c>
      <c r="HH73" s="55">
        <f t="shared" si="498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65"/>
        <v>0</v>
      </c>
      <c r="H74" s="55">
        <f t="shared" si="61"/>
        <v>0</v>
      </c>
      <c r="I74" s="55">
        <f t="shared" si="62"/>
        <v>0</v>
      </c>
      <c r="J74" s="59">
        <f t="shared" si="63"/>
        <v>0</v>
      </c>
      <c r="K74" s="55">
        <f t="shared" si="366"/>
        <v>0</v>
      </c>
      <c r="L74" s="59">
        <f t="shared" si="367"/>
        <v>0</v>
      </c>
      <c r="M74" s="55">
        <f t="shared" si="368"/>
        <v>0</v>
      </c>
      <c r="N74" s="59">
        <f t="shared" si="369"/>
        <v>0</v>
      </c>
      <c r="O74" s="55">
        <f t="shared" si="370"/>
        <v>0</v>
      </c>
      <c r="P74" s="59">
        <f t="shared" si="371"/>
        <v>0</v>
      </c>
      <c r="Q74" s="57">
        <f t="shared" si="372"/>
        <v>0</v>
      </c>
      <c r="R74" s="59">
        <f t="shared" si="373"/>
        <v>0</v>
      </c>
      <c r="S74" s="55">
        <f t="shared" si="374"/>
        <v>0</v>
      </c>
      <c r="T74" s="59">
        <f t="shared" si="375"/>
        <v>0</v>
      </c>
      <c r="U74" s="57">
        <f t="shared" si="376"/>
        <v>0</v>
      </c>
      <c r="V74" s="59">
        <f t="shared" si="377"/>
        <v>0</v>
      </c>
      <c r="W74" s="60">
        <f t="shared" si="378"/>
        <v>0</v>
      </c>
      <c r="X74" s="59">
        <f t="shared" si="379"/>
        <v>0</v>
      </c>
      <c r="Y74" s="57">
        <f t="shared" si="380"/>
        <v>0</v>
      </c>
      <c r="Z74" s="59">
        <f t="shared" si="381"/>
        <v>0</v>
      </c>
      <c r="AA74" s="55">
        <f t="shared" si="382"/>
        <v>0</v>
      </c>
      <c r="AB74" s="59">
        <f t="shared" si="383"/>
        <v>0</v>
      </c>
      <c r="AC74" s="60">
        <f t="shared" si="384"/>
        <v>0</v>
      </c>
      <c r="AD74" s="59">
        <f t="shared" si="385"/>
        <v>0</v>
      </c>
      <c r="AE74" s="60">
        <f t="shared" si="386"/>
        <v>0</v>
      </c>
      <c r="AF74" s="59">
        <f t="shared" si="387"/>
        <v>0</v>
      </c>
      <c r="AG74" s="60">
        <f t="shared" si="388"/>
        <v>0</v>
      </c>
      <c r="AH74" s="59">
        <f t="shared" si="389"/>
        <v>0</v>
      </c>
      <c r="AI74" s="55">
        <f t="shared" si="390"/>
        <v>0</v>
      </c>
      <c r="AJ74" s="59">
        <f t="shared" si="391"/>
        <v>0</v>
      </c>
      <c r="AK74" s="60">
        <f t="shared" si="392"/>
        <v>0</v>
      </c>
      <c r="AL74" s="59">
        <f t="shared" si="393"/>
        <v>0</v>
      </c>
      <c r="AM74" s="60">
        <f t="shared" si="394"/>
        <v>0</v>
      </c>
      <c r="AN74" s="59">
        <f t="shared" si="395"/>
        <v>0</v>
      </c>
      <c r="AO74" s="60">
        <f t="shared" si="396"/>
        <v>0</v>
      </c>
      <c r="AP74" s="59">
        <f t="shared" si="397"/>
        <v>0</v>
      </c>
      <c r="AQ74" s="60">
        <f t="shared" si="398"/>
        <v>0</v>
      </c>
      <c r="AR74" s="59">
        <f t="shared" si="399"/>
        <v>0</v>
      </c>
      <c r="AS74" s="55">
        <f t="shared" si="400"/>
        <v>0</v>
      </c>
      <c r="AT74" s="59">
        <f t="shared" si="401"/>
        <v>0</v>
      </c>
      <c r="AU74" s="60">
        <f t="shared" si="402"/>
        <v>0</v>
      </c>
      <c r="AV74" s="59">
        <f t="shared" si="403"/>
        <v>0</v>
      </c>
      <c r="AW74" s="60">
        <f t="shared" si="404"/>
        <v>0</v>
      </c>
      <c r="AX74" s="59">
        <f t="shared" si="405"/>
        <v>0</v>
      </c>
      <c r="AY74" s="55">
        <f t="shared" si="406"/>
        <v>0</v>
      </c>
      <c r="AZ74" s="59">
        <f t="shared" si="407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08"/>
        <v>0.91</v>
      </c>
      <c r="BH74" s="55">
        <f t="shared" si="408"/>
        <v>0.89</v>
      </c>
      <c r="BI74" s="55">
        <f t="shared" si="408"/>
        <v>0.87</v>
      </c>
      <c r="BJ74" s="55">
        <f t="shared" si="408"/>
        <v>0.85</v>
      </c>
      <c r="BK74" s="55">
        <f t="shared" si="408"/>
        <v>0.83</v>
      </c>
      <c r="BL74" s="55">
        <f t="shared" si="408"/>
        <v>0.80999999999999994</v>
      </c>
      <c r="BM74" s="55">
        <f t="shared" si="408"/>
        <v>0.78999999999999992</v>
      </c>
      <c r="BN74" s="55">
        <f t="shared" si="408"/>
        <v>0.76999999999999991</v>
      </c>
      <c r="BO74" s="55">
        <f t="shared" si="408"/>
        <v>0.74999999999999989</v>
      </c>
      <c r="BP74" s="55">
        <f t="shared" si="408"/>
        <v>0.72999999999999987</v>
      </c>
      <c r="BQ74" s="55">
        <f t="shared" si="408"/>
        <v>0.70999999999999985</v>
      </c>
      <c r="BR74" s="55">
        <f t="shared" si="408"/>
        <v>0.68999999999999984</v>
      </c>
      <c r="BS74" s="55">
        <f t="shared" si="408"/>
        <v>0.66999999999999982</v>
      </c>
      <c r="BT74" s="55">
        <f t="shared" si="408"/>
        <v>0.6499999999999998</v>
      </c>
      <c r="BU74" s="55">
        <f t="shared" si="408"/>
        <v>0.62999999999999978</v>
      </c>
      <c r="BV74" s="55">
        <f t="shared" si="408"/>
        <v>0.60999999999999976</v>
      </c>
      <c r="BW74" s="55">
        <f t="shared" si="408"/>
        <v>0.58999999999999975</v>
      </c>
      <c r="BX74" s="55">
        <f t="shared" si="408"/>
        <v>0.56999999999999973</v>
      </c>
      <c r="BZ74" s="55">
        <f t="shared" si="88"/>
        <v>0</v>
      </c>
      <c r="CA74" s="55">
        <f t="shared" si="89"/>
        <v>0</v>
      </c>
      <c r="CB74" s="59">
        <f t="shared" si="409"/>
        <v>0</v>
      </c>
      <c r="CC74" s="55">
        <f t="shared" si="410"/>
        <v>0</v>
      </c>
      <c r="CD74" s="59">
        <f t="shared" si="411"/>
        <v>0</v>
      </c>
      <c r="CE74" s="55">
        <f t="shared" si="412"/>
        <v>0</v>
      </c>
      <c r="CF74" s="59">
        <f t="shared" si="413"/>
        <v>0</v>
      </c>
      <c r="CG74" s="55">
        <f t="shared" si="414"/>
        <v>0</v>
      </c>
      <c r="CH74" s="59">
        <f t="shared" si="415"/>
        <v>0</v>
      </c>
      <c r="CI74" s="57">
        <f t="shared" si="416"/>
        <v>0</v>
      </c>
      <c r="CJ74" s="59">
        <f t="shared" si="417"/>
        <v>0</v>
      </c>
      <c r="CK74" s="55">
        <f t="shared" si="418"/>
        <v>0</v>
      </c>
      <c r="CL74" s="59">
        <f t="shared" si="419"/>
        <v>0</v>
      </c>
      <c r="CM74" s="57">
        <f t="shared" si="420"/>
        <v>0</v>
      </c>
      <c r="CN74" s="59">
        <f t="shared" si="421"/>
        <v>0</v>
      </c>
      <c r="CO74" s="60">
        <f t="shared" si="422"/>
        <v>0</v>
      </c>
      <c r="CP74" s="59">
        <f t="shared" si="423"/>
        <v>0</v>
      </c>
      <c r="CQ74" s="57">
        <f t="shared" si="424"/>
        <v>0</v>
      </c>
      <c r="CR74" s="59">
        <f t="shared" si="425"/>
        <v>0</v>
      </c>
      <c r="CS74" s="55">
        <f t="shared" si="426"/>
        <v>0</v>
      </c>
      <c r="CT74" s="59">
        <f t="shared" si="427"/>
        <v>0</v>
      </c>
      <c r="CU74" s="60">
        <f t="shared" si="428"/>
        <v>0</v>
      </c>
      <c r="CV74" s="59">
        <f t="shared" si="429"/>
        <v>0</v>
      </c>
      <c r="CW74" s="60">
        <f t="shared" si="430"/>
        <v>0</v>
      </c>
      <c r="CX74" s="59">
        <f t="shared" si="431"/>
        <v>0</v>
      </c>
      <c r="CY74" s="60">
        <f t="shared" si="432"/>
        <v>0</v>
      </c>
      <c r="CZ74" s="59">
        <f t="shared" si="433"/>
        <v>0</v>
      </c>
      <c r="DA74" s="55">
        <f t="shared" si="434"/>
        <v>0</v>
      </c>
      <c r="DB74" s="59">
        <f t="shared" si="435"/>
        <v>0</v>
      </c>
      <c r="DC74" s="60">
        <f t="shared" si="436"/>
        <v>0</v>
      </c>
      <c r="DD74" s="59">
        <f t="shared" si="437"/>
        <v>0</v>
      </c>
      <c r="DE74" s="60">
        <f t="shared" si="438"/>
        <v>0</v>
      </c>
      <c r="DF74" s="59">
        <f t="shared" si="439"/>
        <v>0</v>
      </c>
      <c r="DG74" s="60">
        <f t="shared" si="440"/>
        <v>0</v>
      </c>
      <c r="DH74" s="59">
        <f t="shared" si="441"/>
        <v>0</v>
      </c>
      <c r="DI74" s="60">
        <f t="shared" si="442"/>
        <v>0</v>
      </c>
      <c r="DJ74" s="59">
        <f t="shared" si="443"/>
        <v>0</v>
      </c>
      <c r="DK74" s="55">
        <f t="shared" si="444"/>
        <v>0</v>
      </c>
      <c r="DL74" s="59">
        <f t="shared" si="445"/>
        <v>0</v>
      </c>
      <c r="DM74" s="60">
        <f t="shared" si="446"/>
        <v>0</v>
      </c>
      <c r="DN74" s="59">
        <f t="shared" si="447"/>
        <v>0</v>
      </c>
      <c r="DO74" s="60">
        <f t="shared" si="448"/>
        <v>0</v>
      </c>
      <c r="DP74" s="59">
        <f t="shared" si="449"/>
        <v>0</v>
      </c>
      <c r="DQ74" s="55">
        <f t="shared" si="450"/>
        <v>0</v>
      </c>
      <c r="DR74" s="59">
        <f t="shared" si="451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497"/>
        <v>0.91</v>
      </c>
      <c r="DZ74" s="55">
        <f t="shared" si="497"/>
        <v>0.89</v>
      </c>
      <c r="EA74" s="55">
        <f t="shared" si="497"/>
        <v>0.87</v>
      </c>
      <c r="EB74" s="55">
        <f t="shared" si="497"/>
        <v>0.85</v>
      </c>
      <c r="EC74" s="55">
        <f t="shared" si="497"/>
        <v>0.83</v>
      </c>
      <c r="ED74" s="55">
        <f t="shared" si="497"/>
        <v>0.80999999999999994</v>
      </c>
      <c r="EE74" s="55">
        <f t="shared" si="497"/>
        <v>0.78999999999999992</v>
      </c>
      <c r="EF74" s="55">
        <f t="shared" si="497"/>
        <v>0.76999999999999991</v>
      </c>
      <c r="EG74" s="55">
        <f t="shared" si="497"/>
        <v>0.74999999999999989</v>
      </c>
      <c r="EH74" s="55">
        <f t="shared" si="497"/>
        <v>0.72999999999999987</v>
      </c>
      <c r="EI74" s="55">
        <f t="shared" si="497"/>
        <v>0.70999999999999985</v>
      </c>
      <c r="EJ74" s="55">
        <f t="shared" si="497"/>
        <v>0.68999999999999984</v>
      </c>
      <c r="EK74" s="55">
        <f t="shared" si="497"/>
        <v>0.66999999999999982</v>
      </c>
      <c r="EL74" s="55">
        <f t="shared" si="497"/>
        <v>0.6499999999999998</v>
      </c>
      <c r="EM74" s="55">
        <f t="shared" si="497"/>
        <v>0.62999999999999978</v>
      </c>
      <c r="EN74" s="55">
        <f t="shared" si="497"/>
        <v>0.60999999999999976</v>
      </c>
      <c r="EO74" s="55">
        <f t="shared" si="497"/>
        <v>0.58999999999999975</v>
      </c>
      <c r="EP74" s="55">
        <f t="shared" si="497"/>
        <v>0.56999999999999973</v>
      </c>
      <c r="ER74" s="55">
        <f t="shared" si="142"/>
        <v>0</v>
      </c>
      <c r="ES74" s="55">
        <f t="shared" si="116"/>
        <v>0</v>
      </c>
      <c r="ET74" s="59">
        <f t="shared" si="453"/>
        <v>0</v>
      </c>
      <c r="EU74" s="55">
        <f t="shared" si="454"/>
        <v>0</v>
      </c>
      <c r="EV74" s="59">
        <f t="shared" si="455"/>
        <v>0</v>
      </c>
      <c r="EW74" s="55">
        <f t="shared" si="456"/>
        <v>0</v>
      </c>
      <c r="EX74" s="59">
        <f t="shared" si="457"/>
        <v>0</v>
      </c>
      <c r="EY74" s="55">
        <f t="shared" si="458"/>
        <v>0</v>
      </c>
      <c r="EZ74" s="59">
        <f t="shared" si="459"/>
        <v>0</v>
      </c>
      <c r="FA74" s="57">
        <f t="shared" si="460"/>
        <v>0</v>
      </c>
      <c r="FB74" s="59">
        <f t="shared" si="461"/>
        <v>0</v>
      </c>
      <c r="FC74" s="55">
        <f t="shared" si="462"/>
        <v>0</v>
      </c>
      <c r="FD74" s="59">
        <f t="shared" si="463"/>
        <v>0</v>
      </c>
      <c r="FE74" s="57">
        <f t="shared" si="464"/>
        <v>0</v>
      </c>
      <c r="FF74" s="59">
        <f t="shared" si="465"/>
        <v>0</v>
      </c>
      <c r="FG74" s="60">
        <f t="shared" si="466"/>
        <v>0</v>
      </c>
      <c r="FH74" s="59">
        <f t="shared" si="467"/>
        <v>0</v>
      </c>
      <c r="FI74" s="57">
        <f t="shared" si="468"/>
        <v>0</v>
      </c>
      <c r="FJ74" s="59">
        <f t="shared" si="469"/>
        <v>0</v>
      </c>
      <c r="FK74" s="55">
        <f t="shared" si="470"/>
        <v>0</v>
      </c>
      <c r="FL74" s="59">
        <f t="shared" si="471"/>
        <v>0</v>
      </c>
      <c r="FM74" s="60">
        <f t="shared" si="472"/>
        <v>0</v>
      </c>
      <c r="FN74" s="59">
        <f t="shared" si="473"/>
        <v>0</v>
      </c>
      <c r="FO74" s="60">
        <f t="shared" si="474"/>
        <v>0</v>
      </c>
      <c r="FP74" s="59">
        <f t="shared" si="475"/>
        <v>0</v>
      </c>
      <c r="FQ74" s="60">
        <f t="shared" si="476"/>
        <v>0</v>
      </c>
      <c r="FR74" s="59">
        <f t="shared" si="477"/>
        <v>0</v>
      </c>
      <c r="FS74" s="55">
        <f t="shared" si="478"/>
        <v>0</v>
      </c>
      <c r="FT74" s="59">
        <f t="shared" si="479"/>
        <v>0</v>
      </c>
      <c r="FU74" s="60">
        <f t="shared" si="480"/>
        <v>0</v>
      </c>
      <c r="FV74" s="59">
        <f t="shared" si="481"/>
        <v>0</v>
      </c>
      <c r="FW74" s="60">
        <f t="shared" si="482"/>
        <v>0</v>
      </c>
      <c r="FX74" s="59">
        <f t="shared" si="483"/>
        <v>0</v>
      </c>
      <c r="FY74" s="60">
        <f t="shared" si="484"/>
        <v>0</v>
      </c>
      <c r="FZ74" s="59">
        <f t="shared" si="485"/>
        <v>0</v>
      </c>
      <c r="GA74" s="60">
        <f t="shared" si="486"/>
        <v>0</v>
      </c>
      <c r="GB74" s="59">
        <f t="shared" si="487"/>
        <v>0</v>
      </c>
      <c r="GC74" s="55">
        <f t="shared" si="488"/>
        <v>0</v>
      </c>
      <c r="GD74" s="59">
        <f t="shared" si="489"/>
        <v>0</v>
      </c>
      <c r="GE74" s="60">
        <f t="shared" si="490"/>
        <v>0</v>
      </c>
      <c r="GF74" s="59">
        <f t="shared" si="491"/>
        <v>0</v>
      </c>
      <c r="GG74" s="60">
        <f t="shared" si="492"/>
        <v>0</v>
      </c>
      <c r="GH74" s="59">
        <f t="shared" si="493"/>
        <v>0</v>
      </c>
      <c r="GI74" s="55">
        <f t="shared" si="494"/>
        <v>0</v>
      </c>
      <c r="GJ74" s="59">
        <f t="shared" si="495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498"/>
        <v>0.91</v>
      </c>
      <c r="GR74" s="55">
        <f t="shared" si="498"/>
        <v>0.89</v>
      </c>
      <c r="GS74" s="55">
        <f t="shared" si="498"/>
        <v>0.87</v>
      </c>
      <c r="GT74" s="55">
        <f t="shared" si="498"/>
        <v>0.85</v>
      </c>
      <c r="GU74" s="55">
        <f t="shared" si="498"/>
        <v>0.83</v>
      </c>
      <c r="GV74" s="55">
        <f t="shared" si="498"/>
        <v>0.80999999999999994</v>
      </c>
      <c r="GW74" s="55">
        <f t="shared" si="498"/>
        <v>0.78999999999999992</v>
      </c>
      <c r="GX74" s="55">
        <f t="shared" si="498"/>
        <v>0.76999999999999991</v>
      </c>
      <c r="GY74" s="55">
        <f t="shared" si="498"/>
        <v>0.74999999999999989</v>
      </c>
      <c r="GZ74" s="55">
        <f t="shared" si="498"/>
        <v>0.72999999999999987</v>
      </c>
      <c r="HA74" s="55">
        <f t="shared" si="498"/>
        <v>0.70999999999999985</v>
      </c>
      <c r="HB74" s="55">
        <f t="shared" si="498"/>
        <v>0.68999999999999984</v>
      </c>
      <c r="HC74" s="55">
        <f t="shared" si="498"/>
        <v>0.66999999999999982</v>
      </c>
      <c r="HD74" s="55">
        <f t="shared" si="498"/>
        <v>0.6499999999999998</v>
      </c>
      <c r="HE74" s="55">
        <f t="shared" si="498"/>
        <v>0.62999999999999978</v>
      </c>
      <c r="HF74" s="55">
        <f t="shared" si="498"/>
        <v>0.60999999999999976</v>
      </c>
      <c r="HG74" s="55">
        <f t="shared" si="498"/>
        <v>0.58999999999999975</v>
      </c>
      <c r="HH74" s="55">
        <f t="shared" si="498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71">
        <f t="shared" si="365"/>
        <v>0</v>
      </c>
      <c r="H75" s="55">
        <f t="shared" si="61"/>
        <v>0</v>
      </c>
      <c r="I75" s="55">
        <f t="shared" si="62"/>
        <v>0</v>
      </c>
      <c r="J75" s="59">
        <f t="shared" si="63"/>
        <v>0</v>
      </c>
      <c r="K75" s="55">
        <f t="shared" si="366"/>
        <v>0</v>
      </c>
      <c r="L75" s="59">
        <f t="shared" si="367"/>
        <v>0</v>
      </c>
      <c r="M75" s="55">
        <f t="shared" si="368"/>
        <v>0</v>
      </c>
      <c r="N75" s="59">
        <f t="shared" si="369"/>
        <v>0</v>
      </c>
      <c r="O75" s="55">
        <f t="shared" si="370"/>
        <v>0</v>
      </c>
      <c r="P75" s="59">
        <f t="shared" si="371"/>
        <v>0</v>
      </c>
      <c r="Q75" s="57">
        <f t="shared" si="372"/>
        <v>0</v>
      </c>
      <c r="R75" s="59">
        <f t="shared" si="373"/>
        <v>0</v>
      </c>
      <c r="S75" s="55">
        <f t="shared" si="374"/>
        <v>0</v>
      </c>
      <c r="T75" s="59">
        <f t="shared" si="375"/>
        <v>0</v>
      </c>
      <c r="U75" s="57">
        <f t="shared" si="376"/>
        <v>0</v>
      </c>
      <c r="V75" s="59">
        <f t="shared" si="377"/>
        <v>0</v>
      </c>
      <c r="W75" s="60">
        <f t="shared" si="378"/>
        <v>0</v>
      </c>
      <c r="X75" s="59">
        <f t="shared" si="379"/>
        <v>0</v>
      </c>
      <c r="Y75" s="57">
        <f t="shared" si="380"/>
        <v>0</v>
      </c>
      <c r="Z75" s="59">
        <f t="shared" si="381"/>
        <v>0</v>
      </c>
      <c r="AA75" s="55">
        <f t="shared" si="382"/>
        <v>0</v>
      </c>
      <c r="AB75" s="59">
        <f t="shared" si="383"/>
        <v>0</v>
      </c>
      <c r="AC75" s="60">
        <f t="shared" si="384"/>
        <v>0</v>
      </c>
      <c r="AD75" s="59">
        <f t="shared" si="385"/>
        <v>0</v>
      </c>
      <c r="AE75" s="60">
        <f t="shared" si="386"/>
        <v>0</v>
      </c>
      <c r="AF75" s="59">
        <f t="shared" si="387"/>
        <v>0</v>
      </c>
      <c r="AG75" s="60">
        <f t="shared" si="388"/>
        <v>0</v>
      </c>
      <c r="AH75" s="59">
        <f t="shared" si="389"/>
        <v>0</v>
      </c>
      <c r="AI75" s="55">
        <f t="shared" si="390"/>
        <v>0</v>
      </c>
      <c r="AJ75" s="59">
        <f t="shared" si="391"/>
        <v>0</v>
      </c>
      <c r="AK75" s="60">
        <f t="shared" si="392"/>
        <v>0</v>
      </c>
      <c r="AL75" s="59">
        <f t="shared" si="393"/>
        <v>0</v>
      </c>
      <c r="AM75" s="60">
        <f t="shared" si="394"/>
        <v>0</v>
      </c>
      <c r="AN75" s="59">
        <f t="shared" si="395"/>
        <v>0</v>
      </c>
      <c r="AO75" s="60">
        <f t="shared" si="396"/>
        <v>0</v>
      </c>
      <c r="AP75" s="59">
        <f t="shared" si="397"/>
        <v>0</v>
      </c>
      <c r="AQ75" s="60">
        <f t="shared" si="398"/>
        <v>0</v>
      </c>
      <c r="AR75" s="59">
        <f t="shared" si="399"/>
        <v>0</v>
      </c>
      <c r="AS75" s="55">
        <f t="shared" si="400"/>
        <v>0</v>
      </c>
      <c r="AT75" s="59">
        <f t="shared" si="401"/>
        <v>0</v>
      </c>
      <c r="AU75" s="60">
        <f t="shared" si="402"/>
        <v>0</v>
      </c>
      <c r="AV75" s="59">
        <f t="shared" si="403"/>
        <v>0</v>
      </c>
      <c r="AW75" s="60">
        <f t="shared" si="404"/>
        <v>0</v>
      </c>
      <c r="AX75" s="59">
        <f t="shared" si="405"/>
        <v>0</v>
      </c>
      <c r="AY75" s="55">
        <f t="shared" si="406"/>
        <v>0</v>
      </c>
      <c r="AZ75" s="59">
        <f t="shared" si="407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08"/>
        <v>0.91</v>
      </c>
      <c r="BH75" s="55">
        <f t="shared" si="408"/>
        <v>0.89</v>
      </c>
      <c r="BI75" s="55">
        <f t="shared" si="408"/>
        <v>0.87</v>
      </c>
      <c r="BJ75" s="55">
        <f t="shared" si="408"/>
        <v>0.85</v>
      </c>
      <c r="BK75" s="55">
        <f t="shared" si="408"/>
        <v>0.83</v>
      </c>
      <c r="BL75" s="55">
        <f t="shared" si="408"/>
        <v>0.80999999999999994</v>
      </c>
      <c r="BM75" s="55">
        <f t="shared" si="408"/>
        <v>0.78999999999999992</v>
      </c>
      <c r="BN75" s="55">
        <f t="shared" si="408"/>
        <v>0.76999999999999991</v>
      </c>
      <c r="BO75" s="55">
        <f t="shared" si="408"/>
        <v>0.74999999999999989</v>
      </c>
      <c r="BP75" s="55">
        <f t="shared" si="408"/>
        <v>0.72999999999999987</v>
      </c>
      <c r="BQ75" s="55">
        <f t="shared" si="408"/>
        <v>0.70999999999999985</v>
      </c>
      <c r="BR75" s="55">
        <f t="shared" si="408"/>
        <v>0.68999999999999984</v>
      </c>
      <c r="BS75" s="55">
        <f t="shared" si="408"/>
        <v>0.66999999999999982</v>
      </c>
      <c r="BT75" s="55">
        <f t="shared" si="408"/>
        <v>0.6499999999999998</v>
      </c>
      <c r="BU75" s="55">
        <f t="shared" si="408"/>
        <v>0.62999999999999978</v>
      </c>
      <c r="BV75" s="55">
        <f t="shared" si="408"/>
        <v>0.60999999999999976</v>
      </c>
      <c r="BW75" s="55">
        <f t="shared" si="408"/>
        <v>0.58999999999999975</v>
      </c>
      <c r="BX75" s="55">
        <f t="shared" si="408"/>
        <v>0.56999999999999973</v>
      </c>
      <c r="BZ75" s="55">
        <f t="shared" si="88"/>
        <v>0</v>
      </c>
      <c r="CA75" s="55">
        <f t="shared" si="89"/>
        <v>0</v>
      </c>
      <c r="CB75" s="59">
        <f t="shared" si="409"/>
        <v>0</v>
      </c>
      <c r="CC75" s="55">
        <f t="shared" si="410"/>
        <v>0</v>
      </c>
      <c r="CD75" s="59">
        <f t="shared" si="411"/>
        <v>0</v>
      </c>
      <c r="CE75" s="55">
        <f t="shared" si="412"/>
        <v>0</v>
      </c>
      <c r="CF75" s="59">
        <f t="shared" si="413"/>
        <v>0</v>
      </c>
      <c r="CG75" s="55">
        <f t="shared" si="414"/>
        <v>0</v>
      </c>
      <c r="CH75" s="59">
        <f t="shared" si="415"/>
        <v>0</v>
      </c>
      <c r="CI75" s="57">
        <f t="shared" si="416"/>
        <v>0</v>
      </c>
      <c r="CJ75" s="59">
        <f t="shared" si="417"/>
        <v>0</v>
      </c>
      <c r="CK75" s="55">
        <f t="shared" si="418"/>
        <v>0</v>
      </c>
      <c r="CL75" s="59">
        <f t="shared" si="419"/>
        <v>0</v>
      </c>
      <c r="CM75" s="57">
        <f t="shared" si="420"/>
        <v>0</v>
      </c>
      <c r="CN75" s="59">
        <f t="shared" si="421"/>
        <v>0</v>
      </c>
      <c r="CO75" s="60">
        <f t="shared" si="422"/>
        <v>0</v>
      </c>
      <c r="CP75" s="59">
        <f t="shared" si="423"/>
        <v>0</v>
      </c>
      <c r="CQ75" s="57">
        <f t="shared" si="424"/>
        <v>0</v>
      </c>
      <c r="CR75" s="59">
        <f t="shared" si="425"/>
        <v>0</v>
      </c>
      <c r="CS75" s="55">
        <f t="shared" si="426"/>
        <v>0</v>
      </c>
      <c r="CT75" s="59">
        <f t="shared" si="427"/>
        <v>0</v>
      </c>
      <c r="CU75" s="60">
        <f t="shared" si="428"/>
        <v>0</v>
      </c>
      <c r="CV75" s="59">
        <f t="shared" si="429"/>
        <v>0</v>
      </c>
      <c r="CW75" s="60">
        <f t="shared" si="430"/>
        <v>0</v>
      </c>
      <c r="CX75" s="59">
        <f t="shared" si="431"/>
        <v>0</v>
      </c>
      <c r="CY75" s="60">
        <f t="shared" si="432"/>
        <v>0</v>
      </c>
      <c r="CZ75" s="59">
        <f t="shared" si="433"/>
        <v>0</v>
      </c>
      <c r="DA75" s="55">
        <f t="shared" si="434"/>
        <v>0</v>
      </c>
      <c r="DB75" s="59">
        <f t="shared" si="435"/>
        <v>0</v>
      </c>
      <c r="DC75" s="60">
        <f t="shared" si="436"/>
        <v>0</v>
      </c>
      <c r="DD75" s="59">
        <f t="shared" si="437"/>
        <v>0</v>
      </c>
      <c r="DE75" s="60">
        <f t="shared" si="438"/>
        <v>0</v>
      </c>
      <c r="DF75" s="59">
        <f t="shared" si="439"/>
        <v>0</v>
      </c>
      <c r="DG75" s="60">
        <f t="shared" si="440"/>
        <v>0</v>
      </c>
      <c r="DH75" s="59">
        <f t="shared" si="441"/>
        <v>0</v>
      </c>
      <c r="DI75" s="60">
        <f t="shared" si="442"/>
        <v>0</v>
      </c>
      <c r="DJ75" s="59">
        <f t="shared" si="443"/>
        <v>0</v>
      </c>
      <c r="DK75" s="55">
        <f t="shared" si="444"/>
        <v>0</v>
      </c>
      <c r="DL75" s="59">
        <f t="shared" si="445"/>
        <v>0</v>
      </c>
      <c r="DM75" s="60">
        <f t="shared" si="446"/>
        <v>0</v>
      </c>
      <c r="DN75" s="59">
        <f t="shared" si="447"/>
        <v>0</v>
      </c>
      <c r="DO75" s="60">
        <f t="shared" si="448"/>
        <v>0</v>
      </c>
      <c r="DP75" s="59">
        <f t="shared" si="449"/>
        <v>0</v>
      </c>
      <c r="DQ75" s="55">
        <f t="shared" si="450"/>
        <v>0</v>
      </c>
      <c r="DR75" s="59">
        <f t="shared" si="451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497"/>
        <v>0.91</v>
      </c>
      <c r="DZ75" s="55">
        <f t="shared" si="497"/>
        <v>0.89</v>
      </c>
      <c r="EA75" s="55">
        <f t="shared" si="497"/>
        <v>0.87</v>
      </c>
      <c r="EB75" s="55">
        <f t="shared" si="497"/>
        <v>0.85</v>
      </c>
      <c r="EC75" s="55">
        <f t="shared" si="497"/>
        <v>0.83</v>
      </c>
      <c r="ED75" s="55">
        <f t="shared" si="497"/>
        <v>0.80999999999999994</v>
      </c>
      <c r="EE75" s="55">
        <f t="shared" si="497"/>
        <v>0.78999999999999992</v>
      </c>
      <c r="EF75" s="55">
        <f t="shared" si="497"/>
        <v>0.76999999999999991</v>
      </c>
      <c r="EG75" s="55">
        <f t="shared" si="497"/>
        <v>0.74999999999999989</v>
      </c>
      <c r="EH75" s="55">
        <f t="shared" si="497"/>
        <v>0.72999999999999987</v>
      </c>
      <c r="EI75" s="55">
        <f t="shared" si="497"/>
        <v>0.70999999999999985</v>
      </c>
      <c r="EJ75" s="55">
        <f t="shared" si="497"/>
        <v>0.68999999999999984</v>
      </c>
      <c r="EK75" s="55">
        <f t="shared" si="497"/>
        <v>0.66999999999999982</v>
      </c>
      <c r="EL75" s="55">
        <f t="shared" si="497"/>
        <v>0.6499999999999998</v>
      </c>
      <c r="EM75" s="55">
        <f t="shared" si="497"/>
        <v>0.62999999999999978</v>
      </c>
      <c r="EN75" s="55">
        <f t="shared" si="497"/>
        <v>0.60999999999999976</v>
      </c>
      <c r="EO75" s="55">
        <f t="shared" si="497"/>
        <v>0.58999999999999975</v>
      </c>
      <c r="EP75" s="55">
        <f t="shared" si="497"/>
        <v>0.56999999999999973</v>
      </c>
      <c r="ER75" s="55">
        <f t="shared" si="142"/>
        <v>0</v>
      </c>
      <c r="ES75" s="55">
        <f t="shared" si="116"/>
        <v>0</v>
      </c>
      <c r="ET75" s="59">
        <f t="shared" si="453"/>
        <v>0</v>
      </c>
      <c r="EU75" s="55">
        <f t="shared" si="454"/>
        <v>0</v>
      </c>
      <c r="EV75" s="59">
        <f t="shared" si="455"/>
        <v>0</v>
      </c>
      <c r="EW75" s="55">
        <f t="shared" si="456"/>
        <v>0</v>
      </c>
      <c r="EX75" s="59">
        <f t="shared" si="457"/>
        <v>0</v>
      </c>
      <c r="EY75" s="55">
        <f t="shared" si="458"/>
        <v>0</v>
      </c>
      <c r="EZ75" s="59">
        <f t="shared" si="459"/>
        <v>0</v>
      </c>
      <c r="FA75" s="57">
        <f t="shared" si="460"/>
        <v>0</v>
      </c>
      <c r="FB75" s="59">
        <f t="shared" si="461"/>
        <v>0</v>
      </c>
      <c r="FC75" s="55">
        <f t="shared" si="462"/>
        <v>0</v>
      </c>
      <c r="FD75" s="59">
        <f t="shared" si="463"/>
        <v>0</v>
      </c>
      <c r="FE75" s="57">
        <f t="shared" si="464"/>
        <v>0</v>
      </c>
      <c r="FF75" s="59">
        <f t="shared" si="465"/>
        <v>0</v>
      </c>
      <c r="FG75" s="60">
        <f t="shared" si="466"/>
        <v>0</v>
      </c>
      <c r="FH75" s="59">
        <f t="shared" si="467"/>
        <v>0</v>
      </c>
      <c r="FI75" s="57">
        <f t="shared" si="468"/>
        <v>0</v>
      </c>
      <c r="FJ75" s="59">
        <f t="shared" si="469"/>
        <v>0</v>
      </c>
      <c r="FK75" s="55">
        <f t="shared" si="470"/>
        <v>0</v>
      </c>
      <c r="FL75" s="59">
        <f t="shared" si="471"/>
        <v>0</v>
      </c>
      <c r="FM75" s="60">
        <f t="shared" si="472"/>
        <v>0</v>
      </c>
      <c r="FN75" s="59">
        <f t="shared" si="473"/>
        <v>0</v>
      </c>
      <c r="FO75" s="60">
        <f t="shared" si="474"/>
        <v>0</v>
      </c>
      <c r="FP75" s="59">
        <f t="shared" si="475"/>
        <v>0</v>
      </c>
      <c r="FQ75" s="60">
        <f t="shared" si="476"/>
        <v>0</v>
      </c>
      <c r="FR75" s="59">
        <f t="shared" si="477"/>
        <v>0</v>
      </c>
      <c r="FS75" s="55">
        <f t="shared" si="478"/>
        <v>0</v>
      </c>
      <c r="FT75" s="59">
        <f t="shared" si="479"/>
        <v>0</v>
      </c>
      <c r="FU75" s="60">
        <f t="shared" si="480"/>
        <v>0</v>
      </c>
      <c r="FV75" s="59">
        <f t="shared" si="481"/>
        <v>0</v>
      </c>
      <c r="FW75" s="60">
        <f t="shared" si="482"/>
        <v>0</v>
      </c>
      <c r="FX75" s="59">
        <f t="shared" si="483"/>
        <v>0</v>
      </c>
      <c r="FY75" s="60">
        <f t="shared" si="484"/>
        <v>0</v>
      </c>
      <c r="FZ75" s="59">
        <f t="shared" si="485"/>
        <v>0</v>
      </c>
      <c r="GA75" s="60">
        <f t="shared" si="486"/>
        <v>0</v>
      </c>
      <c r="GB75" s="59">
        <f t="shared" si="487"/>
        <v>0</v>
      </c>
      <c r="GC75" s="55">
        <f t="shared" si="488"/>
        <v>0</v>
      </c>
      <c r="GD75" s="59">
        <f t="shared" si="489"/>
        <v>0</v>
      </c>
      <c r="GE75" s="60">
        <f t="shared" si="490"/>
        <v>0</v>
      </c>
      <c r="GF75" s="59">
        <f t="shared" si="491"/>
        <v>0</v>
      </c>
      <c r="GG75" s="60">
        <f t="shared" si="492"/>
        <v>0</v>
      </c>
      <c r="GH75" s="59">
        <f t="shared" si="493"/>
        <v>0</v>
      </c>
      <c r="GI75" s="55">
        <f t="shared" si="494"/>
        <v>0</v>
      </c>
      <c r="GJ75" s="59">
        <f t="shared" si="495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498"/>
        <v>0.91</v>
      </c>
      <c r="GR75" s="55">
        <f t="shared" si="498"/>
        <v>0.89</v>
      </c>
      <c r="GS75" s="55">
        <f t="shared" si="498"/>
        <v>0.87</v>
      </c>
      <c r="GT75" s="55">
        <f t="shared" si="498"/>
        <v>0.85</v>
      </c>
      <c r="GU75" s="55">
        <f t="shared" si="498"/>
        <v>0.83</v>
      </c>
      <c r="GV75" s="55">
        <f t="shared" si="498"/>
        <v>0.80999999999999994</v>
      </c>
      <c r="GW75" s="55">
        <f t="shared" si="498"/>
        <v>0.78999999999999992</v>
      </c>
      <c r="GX75" s="55">
        <f t="shared" si="498"/>
        <v>0.76999999999999991</v>
      </c>
      <c r="GY75" s="55">
        <f t="shared" si="498"/>
        <v>0.74999999999999989</v>
      </c>
      <c r="GZ75" s="55">
        <f t="shared" si="498"/>
        <v>0.72999999999999987</v>
      </c>
      <c r="HA75" s="55">
        <f t="shared" si="498"/>
        <v>0.70999999999999985</v>
      </c>
      <c r="HB75" s="55">
        <f t="shared" si="498"/>
        <v>0.68999999999999984</v>
      </c>
      <c r="HC75" s="55">
        <f t="shared" si="498"/>
        <v>0.66999999999999982</v>
      </c>
      <c r="HD75" s="55">
        <f t="shared" si="498"/>
        <v>0.6499999999999998</v>
      </c>
      <c r="HE75" s="55">
        <f t="shared" si="498"/>
        <v>0.62999999999999978</v>
      </c>
      <c r="HF75" s="55">
        <f t="shared" si="498"/>
        <v>0.60999999999999976</v>
      </c>
      <c r="HG75" s="55">
        <f t="shared" si="498"/>
        <v>0.58999999999999975</v>
      </c>
      <c r="HH75" s="55">
        <f t="shared" si="498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65"/>
        <v>0</v>
      </c>
      <c r="H76" s="55">
        <f t="shared" si="61"/>
        <v>0</v>
      </c>
      <c r="I76" s="55">
        <f t="shared" si="62"/>
        <v>0</v>
      </c>
      <c r="J76" s="59">
        <f t="shared" si="63"/>
        <v>0</v>
      </c>
      <c r="K76" s="55">
        <f t="shared" si="366"/>
        <v>0</v>
      </c>
      <c r="L76" s="59">
        <f t="shared" si="367"/>
        <v>0</v>
      </c>
      <c r="M76" s="55">
        <f t="shared" si="368"/>
        <v>0</v>
      </c>
      <c r="N76" s="59">
        <f t="shared" si="369"/>
        <v>0</v>
      </c>
      <c r="O76" s="55">
        <f t="shared" si="370"/>
        <v>0</v>
      </c>
      <c r="P76" s="59">
        <f t="shared" si="371"/>
        <v>0</v>
      </c>
      <c r="Q76" s="57">
        <f t="shared" si="372"/>
        <v>0</v>
      </c>
      <c r="R76" s="59">
        <f t="shared" si="373"/>
        <v>0</v>
      </c>
      <c r="S76" s="55">
        <f t="shared" si="374"/>
        <v>0</v>
      </c>
      <c r="T76" s="59">
        <f t="shared" si="375"/>
        <v>0</v>
      </c>
      <c r="U76" s="57">
        <f t="shared" si="376"/>
        <v>0</v>
      </c>
      <c r="V76" s="59">
        <f t="shared" si="377"/>
        <v>0</v>
      </c>
      <c r="W76" s="60">
        <f t="shared" si="378"/>
        <v>0</v>
      </c>
      <c r="X76" s="59">
        <f t="shared" si="379"/>
        <v>0</v>
      </c>
      <c r="Y76" s="57">
        <f t="shared" si="380"/>
        <v>0</v>
      </c>
      <c r="Z76" s="59">
        <f t="shared" si="381"/>
        <v>0</v>
      </c>
      <c r="AA76" s="55">
        <f t="shared" si="382"/>
        <v>0</v>
      </c>
      <c r="AB76" s="59">
        <f t="shared" si="383"/>
        <v>0</v>
      </c>
      <c r="AC76" s="60">
        <f t="shared" si="384"/>
        <v>0</v>
      </c>
      <c r="AD76" s="59">
        <f t="shared" si="385"/>
        <v>0</v>
      </c>
      <c r="AE76" s="60">
        <f t="shared" si="386"/>
        <v>0</v>
      </c>
      <c r="AF76" s="59">
        <f t="shared" si="387"/>
        <v>0</v>
      </c>
      <c r="AG76" s="60">
        <f t="shared" si="388"/>
        <v>0</v>
      </c>
      <c r="AH76" s="59">
        <f t="shared" si="389"/>
        <v>0</v>
      </c>
      <c r="AI76" s="55">
        <f t="shared" si="390"/>
        <v>0</v>
      </c>
      <c r="AJ76" s="59">
        <f t="shared" si="391"/>
        <v>0</v>
      </c>
      <c r="AK76" s="60">
        <f t="shared" si="392"/>
        <v>0</v>
      </c>
      <c r="AL76" s="59">
        <f t="shared" si="393"/>
        <v>0</v>
      </c>
      <c r="AM76" s="60">
        <f t="shared" si="394"/>
        <v>0</v>
      </c>
      <c r="AN76" s="59">
        <f t="shared" si="395"/>
        <v>0</v>
      </c>
      <c r="AO76" s="60">
        <f t="shared" si="396"/>
        <v>0</v>
      </c>
      <c r="AP76" s="59">
        <f t="shared" si="397"/>
        <v>0</v>
      </c>
      <c r="AQ76" s="60">
        <f t="shared" si="398"/>
        <v>0</v>
      </c>
      <c r="AR76" s="59">
        <f t="shared" si="399"/>
        <v>0</v>
      </c>
      <c r="AS76" s="55">
        <f t="shared" si="400"/>
        <v>0</v>
      </c>
      <c r="AT76" s="59">
        <f t="shared" si="401"/>
        <v>0</v>
      </c>
      <c r="AU76" s="60">
        <f t="shared" si="402"/>
        <v>0</v>
      </c>
      <c r="AV76" s="59">
        <f t="shared" si="403"/>
        <v>0</v>
      </c>
      <c r="AW76" s="60">
        <f t="shared" si="404"/>
        <v>0</v>
      </c>
      <c r="AX76" s="59">
        <f t="shared" si="405"/>
        <v>0</v>
      </c>
      <c r="AY76" s="55">
        <f t="shared" si="406"/>
        <v>0</v>
      </c>
      <c r="AZ76" s="59">
        <f t="shared" si="407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08"/>
        <v>0.91</v>
      </c>
      <c r="BH76" s="55">
        <f t="shared" si="408"/>
        <v>0.89</v>
      </c>
      <c r="BI76" s="55">
        <f t="shared" si="408"/>
        <v>0.87</v>
      </c>
      <c r="BJ76" s="55">
        <f t="shared" si="408"/>
        <v>0.85</v>
      </c>
      <c r="BK76" s="55">
        <f t="shared" si="408"/>
        <v>0.83</v>
      </c>
      <c r="BL76" s="55">
        <f t="shared" si="408"/>
        <v>0.80999999999999994</v>
      </c>
      <c r="BM76" s="55">
        <f t="shared" si="408"/>
        <v>0.78999999999999992</v>
      </c>
      <c r="BN76" s="55">
        <f t="shared" si="408"/>
        <v>0.76999999999999991</v>
      </c>
      <c r="BO76" s="55">
        <f t="shared" si="408"/>
        <v>0.74999999999999989</v>
      </c>
      <c r="BP76" s="55">
        <f t="shared" si="408"/>
        <v>0.72999999999999987</v>
      </c>
      <c r="BQ76" s="55">
        <f t="shared" si="408"/>
        <v>0.70999999999999985</v>
      </c>
      <c r="BR76" s="55">
        <f t="shared" si="408"/>
        <v>0.68999999999999984</v>
      </c>
      <c r="BS76" s="55">
        <f t="shared" si="408"/>
        <v>0.66999999999999982</v>
      </c>
      <c r="BT76" s="55">
        <f t="shared" si="408"/>
        <v>0.6499999999999998</v>
      </c>
      <c r="BU76" s="55">
        <f t="shared" si="408"/>
        <v>0.62999999999999978</v>
      </c>
      <c r="BV76" s="55">
        <f t="shared" si="408"/>
        <v>0.60999999999999976</v>
      </c>
      <c r="BW76" s="55">
        <f t="shared" si="408"/>
        <v>0.58999999999999975</v>
      </c>
      <c r="BX76" s="55">
        <f t="shared" si="408"/>
        <v>0.56999999999999973</v>
      </c>
      <c r="BZ76" s="55">
        <f t="shared" si="88"/>
        <v>0</v>
      </c>
      <c r="CA76" s="55">
        <f t="shared" si="89"/>
        <v>0</v>
      </c>
      <c r="CB76" s="59">
        <f t="shared" si="409"/>
        <v>0</v>
      </c>
      <c r="CC76" s="55">
        <f t="shared" si="410"/>
        <v>0</v>
      </c>
      <c r="CD76" s="59">
        <f t="shared" si="411"/>
        <v>0</v>
      </c>
      <c r="CE76" s="55">
        <f t="shared" si="412"/>
        <v>0</v>
      </c>
      <c r="CF76" s="59">
        <f t="shared" si="413"/>
        <v>0</v>
      </c>
      <c r="CG76" s="55">
        <f t="shared" si="414"/>
        <v>0</v>
      </c>
      <c r="CH76" s="59">
        <f t="shared" si="415"/>
        <v>0</v>
      </c>
      <c r="CI76" s="57">
        <f t="shared" si="416"/>
        <v>0</v>
      </c>
      <c r="CJ76" s="59">
        <f t="shared" si="417"/>
        <v>0</v>
      </c>
      <c r="CK76" s="55">
        <f t="shared" si="418"/>
        <v>0</v>
      </c>
      <c r="CL76" s="59">
        <f t="shared" si="419"/>
        <v>0</v>
      </c>
      <c r="CM76" s="57">
        <f t="shared" si="420"/>
        <v>0</v>
      </c>
      <c r="CN76" s="59">
        <f t="shared" si="421"/>
        <v>0</v>
      </c>
      <c r="CO76" s="60">
        <f t="shared" si="422"/>
        <v>0</v>
      </c>
      <c r="CP76" s="59">
        <f t="shared" si="423"/>
        <v>0</v>
      </c>
      <c r="CQ76" s="57">
        <f t="shared" si="424"/>
        <v>0</v>
      </c>
      <c r="CR76" s="59">
        <f t="shared" si="425"/>
        <v>0</v>
      </c>
      <c r="CS76" s="55">
        <f t="shared" si="426"/>
        <v>0</v>
      </c>
      <c r="CT76" s="59">
        <f t="shared" si="427"/>
        <v>0</v>
      </c>
      <c r="CU76" s="60">
        <f t="shared" si="428"/>
        <v>0</v>
      </c>
      <c r="CV76" s="59">
        <f t="shared" si="429"/>
        <v>0</v>
      </c>
      <c r="CW76" s="60">
        <f t="shared" si="430"/>
        <v>0</v>
      </c>
      <c r="CX76" s="59">
        <f t="shared" si="431"/>
        <v>0</v>
      </c>
      <c r="CY76" s="60">
        <f t="shared" si="432"/>
        <v>0</v>
      </c>
      <c r="CZ76" s="59">
        <f t="shared" si="433"/>
        <v>0</v>
      </c>
      <c r="DA76" s="55">
        <f t="shared" si="434"/>
        <v>0</v>
      </c>
      <c r="DB76" s="59">
        <f t="shared" si="435"/>
        <v>0</v>
      </c>
      <c r="DC76" s="60">
        <f t="shared" si="436"/>
        <v>0</v>
      </c>
      <c r="DD76" s="59">
        <f t="shared" si="437"/>
        <v>0</v>
      </c>
      <c r="DE76" s="60">
        <f t="shared" si="438"/>
        <v>0</v>
      </c>
      <c r="DF76" s="59">
        <f t="shared" si="439"/>
        <v>0</v>
      </c>
      <c r="DG76" s="60">
        <f t="shared" si="440"/>
        <v>0</v>
      </c>
      <c r="DH76" s="59">
        <f t="shared" si="441"/>
        <v>0</v>
      </c>
      <c r="DI76" s="60">
        <f t="shared" si="442"/>
        <v>0</v>
      </c>
      <c r="DJ76" s="59">
        <f t="shared" si="443"/>
        <v>0</v>
      </c>
      <c r="DK76" s="55">
        <f t="shared" si="444"/>
        <v>0</v>
      </c>
      <c r="DL76" s="59">
        <f t="shared" si="445"/>
        <v>0</v>
      </c>
      <c r="DM76" s="60">
        <f t="shared" si="446"/>
        <v>0</v>
      </c>
      <c r="DN76" s="59">
        <f t="shared" si="447"/>
        <v>0</v>
      </c>
      <c r="DO76" s="60">
        <f t="shared" si="448"/>
        <v>0</v>
      </c>
      <c r="DP76" s="59">
        <f t="shared" si="449"/>
        <v>0</v>
      </c>
      <c r="DQ76" s="55">
        <f t="shared" si="450"/>
        <v>0</v>
      </c>
      <c r="DR76" s="59">
        <f t="shared" si="451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497"/>
        <v>0.91</v>
      </c>
      <c r="DZ76" s="55">
        <f t="shared" si="497"/>
        <v>0.89</v>
      </c>
      <c r="EA76" s="55">
        <f t="shared" si="497"/>
        <v>0.87</v>
      </c>
      <c r="EB76" s="55">
        <f t="shared" si="497"/>
        <v>0.85</v>
      </c>
      <c r="EC76" s="55">
        <f t="shared" si="497"/>
        <v>0.83</v>
      </c>
      <c r="ED76" s="55">
        <f t="shared" si="497"/>
        <v>0.80999999999999994</v>
      </c>
      <c r="EE76" s="55">
        <f t="shared" si="497"/>
        <v>0.78999999999999992</v>
      </c>
      <c r="EF76" s="55">
        <f t="shared" si="497"/>
        <v>0.76999999999999991</v>
      </c>
      <c r="EG76" s="55">
        <f t="shared" si="497"/>
        <v>0.74999999999999989</v>
      </c>
      <c r="EH76" s="55">
        <f t="shared" si="497"/>
        <v>0.72999999999999987</v>
      </c>
      <c r="EI76" s="55">
        <f t="shared" si="497"/>
        <v>0.70999999999999985</v>
      </c>
      <c r="EJ76" s="55">
        <f t="shared" si="497"/>
        <v>0.68999999999999984</v>
      </c>
      <c r="EK76" s="55">
        <f t="shared" si="497"/>
        <v>0.66999999999999982</v>
      </c>
      <c r="EL76" s="55">
        <f t="shared" si="497"/>
        <v>0.6499999999999998</v>
      </c>
      <c r="EM76" s="55">
        <f t="shared" si="497"/>
        <v>0.62999999999999978</v>
      </c>
      <c r="EN76" s="55">
        <f t="shared" si="497"/>
        <v>0.60999999999999976</v>
      </c>
      <c r="EO76" s="55">
        <f t="shared" si="497"/>
        <v>0.58999999999999975</v>
      </c>
      <c r="EP76" s="55">
        <f t="shared" si="497"/>
        <v>0.56999999999999973</v>
      </c>
      <c r="ER76" s="55">
        <f t="shared" si="142"/>
        <v>0</v>
      </c>
      <c r="ES76" s="55">
        <f t="shared" si="116"/>
        <v>0</v>
      </c>
      <c r="ET76" s="59">
        <f t="shared" si="453"/>
        <v>0</v>
      </c>
      <c r="EU76" s="55">
        <f t="shared" si="454"/>
        <v>0</v>
      </c>
      <c r="EV76" s="59">
        <f t="shared" si="455"/>
        <v>0</v>
      </c>
      <c r="EW76" s="55">
        <f t="shared" si="456"/>
        <v>0</v>
      </c>
      <c r="EX76" s="59">
        <f t="shared" si="457"/>
        <v>0</v>
      </c>
      <c r="EY76" s="55">
        <f t="shared" si="458"/>
        <v>0</v>
      </c>
      <c r="EZ76" s="59">
        <f t="shared" si="459"/>
        <v>0</v>
      </c>
      <c r="FA76" s="57">
        <f t="shared" si="460"/>
        <v>0</v>
      </c>
      <c r="FB76" s="59">
        <f t="shared" si="461"/>
        <v>0</v>
      </c>
      <c r="FC76" s="55">
        <f t="shared" si="462"/>
        <v>0</v>
      </c>
      <c r="FD76" s="59">
        <f t="shared" si="463"/>
        <v>0</v>
      </c>
      <c r="FE76" s="57">
        <f t="shared" si="464"/>
        <v>0</v>
      </c>
      <c r="FF76" s="59">
        <f t="shared" si="465"/>
        <v>0</v>
      </c>
      <c r="FG76" s="60">
        <f t="shared" si="466"/>
        <v>0</v>
      </c>
      <c r="FH76" s="59">
        <f t="shared" si="467"/>
        <v>0</v>
      </c>
      <c r="FI76" s="57">
        <f t="shared" si="468"/>
        <v>0</v>
      </c>
      <c r="FJ76" s="59">
        <f t="shared" si="469"/>
        <v>0</v>
      </c>
      <c r="FK76" s="55">
        <f t="shared" si="470"/>
        <v>0</v>
      </c>
      <c r="FL76" s="59">
        <f t="shared" si="471"/>
        <v>0</v>
      </c>
      <c r="FM76" s="60">
        <f t="shared" si="472"/>
        <v>0</v>
      </c>
      <c r="FN76" s="59">
        <f t="shared" si="473"/>
        <v>0</v>
      </c>
      <c r="FO76" s="60">
        <f t="shared" si="474"/>
        <v>0</v>
      </c>
      <c r="FP76" s="59">
        <f t="shared" si="475"/>
        <v>0</v>
      </c>
      <c r="FQ76" s="60">
        <f t="shared" si="476"/>
        <v>0</v>
      </c>
      <c r="FR76" s="59">
        <f t="shared" si="477"/>
        <v>0</v>
      </c>
      <c r="FS76" s="55">
        <f t="shared" si="478"/>
        <v>0</v>
      </c>
      <c r="FT76" s="59">
        <f t="shared" si="479"/>
        <v>0</v>
      </c>
      <c r="FU76" s="60">
        <f t="shared" si="480"/>
        <v>0</v>
      </c>
      <c r="FV76" s="59">
        <f t="shared" si="481"/>
        <v>0</v>
      </c>
      <c r="FW76" s="60">
        <f t="shared" si="482"/>
        <v>0</v>
      </c>
      <c r="FX76" s="59">
        <f t="shared" si="483"/>
        <v>0</v>
      </c>
      <c r="FY76" s="60">
        <f t="shared" si="484"/>
        <v>0</v>
      </c>
      <c r="FZ76" s="59">
        <f t="shared" si="485"/>
        <v>0</v>
      </c>
      <c r="GA76" s="60">
        <f t="shared" si="486"/>
        <v>0</v>
      </c>
      <c r="GB76" s="59">
        <f t="shared" si="487"/>
        <v>0</v>
      </c>
      <c r="GC76" s="55">
        <f t="shared" si="488"/>
        <v>0</v>
      </c>
      <c r="GD76" s="59">
        <f t="shared" si="489"/>
        <v>0</v>
      </c>
      <c r="GE76" s="60">
        <f t="shared" si="490"/>
        <v>0</v>
      </c>
      <c r="GF76" s="59">
        <f t="shared" si="491"/>
        <v>0</v>
      </c>
      <c r="GG76" s="60">
        <f t="shared" si="492"/>
        <v>0</v>
      </c>
      <c r="GH76" s="59">
        <f t="shared" si="493"/>
        <v>0</v>
      </c>
      <c r="GI76" s="55">
        <f t="shared" si="494"/>
        <v>0</v>
      </c>
      <c r="GJ76" s="59">
        <f t="shared" si="495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498"/>
        <v>0.91</v>
      </c>
      <c r="GR76" s="55">
        <f t="shared" si="498"/>
        <v>0.89</v>
      </c>
      <c r="GS76" s="55">
        <f t="shared" si="498"/>
        <v>0.87</v>
      </c>
      <c r="GT76" s="55">
        <f t="shared" si="498"/>
        <v>0.85</v>
      </c>
      <c r="GU76" s="55">
        <f t="shared" si="498"/>
        <v>0.83</v>
      </c>
      <c r="GV76" s="55">
        <f t="shared" si="498"/>
        <v>0.80999999999999994</v>
      </c>
      <c r="GW76" s="55">
        <f t="shared" si="498"/>
        <v>0.78999999999999992</v>
      </c>
      <c r="GX76" s="55">
        <f t="shared" si="498"/>
        <v>0.76999999999999991</v>
      </c>
      <c r="GY76" s="55">
        <f t="shared" si="498"/>
        <v>0.74999999999999989</v>
      </c>
      <c r="GZ76" s="55">
        <f t="shared" si="498"/>
        <v>0.72999999999999987</v>
      </c>
      <c r="HA76" s="55">
        <f t="shared" si="498"/>
        <v>0.70999999999999985</v>
      </c>
      <c r="HB76" s="55">
        <f t="shared" si="498"/>
        <v>0.68999999999999984</v>
      </c>
      <c r="HC76" s="55">
        <f t="shared" si="498"/>
        <v>0.66999999999999982</v>
      </c>
      <c r="HD76" s="55">
        <f t="shared" si="498"/>
        <v>0.6499999999999998</v>
      </c>
      <c r="HE76" s="55">
        <f t="shared" si="498"/>
        <v>0.62999999999999978</v>
      </c>
      <c r="HF76" s="55">
        <f t="shared" si="498"/>
        <v>0.60999999999999976</v>
      </c>
      <c r="HG76" s="55">
        <f t="shared" si="498"/>
        <v>0.58999999999999975</v>
      </c>
      <c r="HH76" s="55">
        <f t="shared" si="498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65"/>
        <v>0</v>
      </c>
      <c r="H77" s="55">
        <f t="shared" si="61"/>
        <v>0</v>
      </c>
      <c r="I77" s="55">
        <f t="shared" si="62"/>
        <v>0</v>
      </c>
      <c r="J77" s="59">
        <f t="shared" si="63"/>
        <v>0</v>
      </c>
      <c r="K77" s="55">
        <f t="shared" si="366"/>
        <v>0</v>
      </c>
      <c r="L77" s="59">
        <f t="shared" si="367"/>
        <v>0</v>
      </c>
      <c r="M77" s="55">
        <f t="shared" si="368"/>
        <v>0</v>
      </c>
      <c r="N77" s="59">
        <f t="shared" si="369"/>
        <v>0</v>
      </c>
      <c r="O77" s="55">
        <f t="shared" si="370"/>
        <v>0</v>
      </c>
      <c r="P77" s="59">
        <f t="shared" si="371"/>
        <v>0</v>
      </c>
      <c r="Q77" s="57">
        <f t="shared" si="372"/>
        <v>0</v>
      </c>
      <c r="R77" s="59">
        <f t="shared" si="373"/>
        <v>0</v>
      </c>
      <c r="S77" s="55">
        <f t="shared" si="374"/>
        <v>0</v>
      </c>
      <c r="T77" s="59">
        <f t="shared" si="375"/>
        <v>0</v>
      </c>
      <c r="U77" s="57">
        <f t="shared" si="376"/>
        <v>0</v>
      </c>
      <c r="V77" s="59">
        <f t="shared" si="377"/>
        <v>0</v>
      </c>
      <c r="W77" s="60">
        <f t="shared" si="378"/>
        <v>0</v>
      </c>
      <c r="X77" s="59">
        <f t="shared" si="379"/>
        <v>0</v>
      </c>
      <c r="Y77" s="57">
        <f t="shared" si="380"/>
        <v>0</v>
      </c>
      <c r="Z77" s="59">
        <f t="shared" si="381"/>
        <v>0</v>
      </c>
      <c r="AA77" s="55">
        <f t="shared" si="382"/>
        <v>0</v>
      </c>
      <c r="AB77" s="59">
        <f t="shared" si="383"/>
        <v>0</v>
      </c>
      <c r="AC77" s="60">
        <f t="shared" si="384"/>
        <v>0</v>
      </c>
      <c r="AD77" s="59">
        <f t="shared" si="385"/>
        <v>0</v>
      </c>
      <c r="AE77" s="60">
        <f t="shared" si="386"/>
        <v>0</v>
      </c>
      <c r="AF77" s="59">
        <f t="shared" si="387"/>
        <v>0</v>
      </c>
      <c r="AG77" s="60">
        <f t="shared" si="388"/>
        <v>0</v>
      </c>
      <c r="AH77" s="59">
        <f t="shared" si="389"/>
        <v>0</v>
      </c>
      <c r="AI77" s="55">
        <f t="shared" si="390"/>
        <v>0</v>
      </c>
      <c r="AJ77" s="59">
        <f t="shared" si="391"/>
        <v>0</v>
      </c>
      <c r="AK77" s="60">
        <f t="shared" si="392"/>
        <v>0</v>
      </c>
      <c r="AL77" s="59">
        <f t="shared" si="393"/>
        <v>0</v>
      </c>
      <c r="AM77" s="60">
        <f t="shared" si="394"/>
        <v>0</v>
      </c>
      <c r="AN77" s="59">
        <f t="shared" si="395"/>
        <v>0</v>
      </c>
      <c r="AO77" s="60">
        <f t="shared" si="396"/>
        <v>0</v>
      </c>
      <c r="AP77" s="59">
        <f t="shared" si="397"/>
        <v>0</v>
      </c>
      <c r="AQ77" s="60">
        <f t="shared" si="398"/>
        <v>0</v>
      </c>
      <c r="AR77" s="59">
        <f t="shared" si="399"/>
        <v>0</v>
      </c>
      <c r="AS77" s="55">
        <f t="shared" si="400"/>
        <v>0</v>
      </c>
      <c r="AT77" s="59">
        <f t="shared" si="401"/>
        <v>0</v>
      </c>
      <c r="AU77" s="60">
        <f t="shared" si="402"/>
        <v>0</v>
      </c>
      <c r="AV77" s="59">
        <f t="shared" si="403"/>
        <v>0</v>
      </c>
      <c r="AW77" s="60">
        <f t="shared" si="404"/>
        <v>0</v>
      </c>
      <c r="AX77" s="59">
        <f t="shared" si="405"/>
        <v>0</v>
      </c>
      <c r="AY77" s="55">
        <f t="shared" si="406"/>
        <v>0</v>
      </c>
      <c r="AZ77" s="59">
        <f t="shared" si="407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08"/>
        <v>0.91</v>
      </c>
      <c r="BH77" s="55">
        <f t="shared" si="408"/>
        <v>0.89</v>
      </c>
      <c r="BI77" s="55">
        <f t="shared" si="408"/>
        <v>0.87</v>
      </c>
      <c r="BJ77" s="55">
        <f t="shared" ref="BJ77:BX77" si="499">+BI77-0.02</f>
        <v>0.85</v>
      </c>
      <c r="BK77" s="55">
        <f t="shared" si="499"/>
        <v>0.83</v>
      </c>
      <c r="BL77" s="55">
        <f t="shared" si="499"/>
        <v>0.80999999999999994</v>
      </c>
      <c r="BM77" s="55">
        <f t="shared" si="499"/>
        <v>0.78999999999999992</v>
      </c>
      <c r="BN77" s="55">
        <f t="shared" si="499"/>
        <v>0.76999999999999991</v>
      </c>
      <c r="BO77" s="55">
        <f t="shared" si="499"/>
        <v>0.74999999999999989</v>
      </c>
      <c r="BP77" s="55">
        <f t="shared" si="499"/>
        <v>0.72999999999999987</v>
      </c>
      <c r="BQ77" s="55">
        <f t="shared" si="499"/>
        <v>0.70999999999999985</v>
      </c>
      <c r="BR77" s="55">
        <f t="shared" si="499"/>
        <v>0.68999999999999984</v>
      </c>
      <c r="BS77" s="55">
        <f t="shared" si="499"/>
        <v>0.66999999999999982</v>
      </c>
      <c r="BT77" s="55">
        <f t="shared" si="499"/>
        <v>0.6499999999999998</v>
      </c>
      <c r="BU77" s="55">
        <f t="shared" si="499"/>
        <v>0.62999999999999978</v>
      </c>
      <c r="BV77" s="55">
        <f t="shared" si="499"/>
        <v>0.60999999999999976</v>
      </c>
      <c r="BW77" s="55">
        <f t="shared" si="499"/>
        <v>0.58999999999999975</v>
      </c>
      <c r="BX77" s="55">
        <f t="shared" si="499"/>
        <v>0.56999999999999973</v>
      </c>
      <c r="BZ77" s="55">
        <f t="shared" si="88"/>
        <v>0</v>
      </c>
      <c r="CA77" s="55">
        <f t="shared" si="89"/>
        <v>0</v>
      </c>
      <c r="CB77" s="59">
        <f t="shared" si="409"/>
        <v>0</v>
      </c>
      <c r="CC77" s="55">
        <f t="shared" si="410"/>
        <v>0</v>
      </c>
      <c r="CD77" s="59">
        <f t="shared" si="411"/>
        <v>0</v>
      </c>
      <c r="CE77" s="55">
        <f t="shared" si="412"/>
        <v>0</v>
      </c>
      <c r="CF77" s="59">
        <f t="shared" si="413"/>
        <v>0</v>
      </c>
      <c r="CG77" s="55">
        <f t="shared" si="414"/>
        <v>0</v>
      </c>
      <c r="CH77" s="59">
        <f t="shared" si="415"/>
        <v>0</v>
      </c>
      <c r="CI77" s="57">
        <f t="shared" si="416"/>
        <v>0</v>
      </c>
      <c r="CJ77" s="59">
        <f t="shared" si="417"/>
        <v>0</v>
      </c>
      <c r="CK77" s="55">
        <f t="shared" si="418"/>
        <v>0</v>
      </c>
      <c r="CL77" s="59">
        <f t="shared" si="419"/>
        <v>0</v>
      </c>
      <c r="CM77" s="57">
        <f t="shared" si="420"/>
        <v>0</v>
      </c>
      <c r="CN77" s="59">
        <f t="shared" si="421"/>
        <v>0</v>
      </c>
      <c r="CO77" s="60">
        <f t="shared" si="422"/>
        <v>0</v>
      </c>
      <c r="CP77" s="59">
        <f t="shared" si="423"/>
        <v>0</v>
      </c>
      <c r="CQ77" s="57">
        <f t="shared" si="424"/>
        <v>0</v>
      </c>
      <c r="CR77" s="59">
        <f t="shared" si="425"/>
        <v>0</v>
      </c>
      <c r="CS77" s="55">
        <f t="shared" si="426"/>
        <v>0</v>
      </c>
      <c r="CT77" s="59">
        <f t="shared" si="427"/>
        <v>0</v>
      </c>
      <c r="CU77" s="60">
        <f t="shared" si="428"/>
        <v>0</v>
      </c>
      <c r="CV77" s="59">
        <f t="shared" si="429"/>
        <v>0</v>
      </c>
      <c r="CW77" s="60">
        <f t="shared" si="430"/>
        <v>0</v>
      </c>
      <c r="CX77" s="59">
        <f t="shared" si="431"/>
        <v>0</v>
      </c>
      <c r="CY77" s="60">
        <f t="shared" si="432"/>
        <v>0</v>
      </c>
      <c r="CZ77" s="59">
        <f t="shared" si="433"/>
        <v>0</v>
      </c>
      <c r="DA77" s="55">
        <f t="shared" si="434"/>
        <v>0</v>
      </c>
      <c r="DB77" s="59">
        <f t="shared" si="435"/>
        <v>0</v>
      </c>
      <c r="DC77" s="60">
        <f t="shared" si="436"/>
        <v>0</v>
      </c>
      <c r="DD77" s="59">
        <f t="shared" si="437"/>
        <v>0</v>
      </c>
      <c r="DE77" s="60">
        <f t="shared" si="438"/>
        <v>0</v>
      </c>
      <c r="DF77" s="59">
        <f t="shared" si="439"/>
        <v>0</v>
      </c>
      <c r="DG77" s="60">
        <f t="shared" si="440"/>
        <v>0</v>
      </c>
      <c r="DH77" s="59">
        <f t="shared" si="441"/>
        <v>0</v>
      </c>
      <c r="DI77" s="60">
        <f t="shared" si="442"/>
        <v>0</v>
      </c>
      <c r="DJ77" s="59">
        <f t="shared" si="443"/>
        <v>0</v>
      </c>
      <c r="DK77" s="55">
        <f t="shared" si="444"/>
        <v>0</v>
      </c>
      <c r="DL77" s="59">
        <f t="shared" si="445"/>
        <v>0</v>
      </c>
      <c r="DM77" s="60">
        <f t="shared" si="446"/>
        <v>0</v>
      </c>
      <c r="DN77" s="59">
        <f t="shared" si="447"/>
        <v>0</v>
      </c>
      <c r="DO77" s="60">
        <f t="shared" si="448"/>
        <v>0</v>
      </c>
      <c r="DP77" s="59">
        <f t="shared" si="449"/>
        <v>0</v>
      </c>
      <c r="DQ77" s="55">
        <f t="shared" si="450"/>
        <v>0</v>
      </c>
      <c r="DR77" s="59">
        <f t="shared" si="451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497"/>
        <v>0.91</v>
      </c>
      <c r="DZ77" s="55">
        <f t="shared" si="497"/>
        <v>0.89</v>
      </c>
      <c r="EA77" s="55">
        <f t="shared" si="497"/>
        <v>0.87</v>
      </c>
      <c r="EB77" s="55">
        <f t="shared" si="497"/>
        <v>0.85</v>
      </c>
      <c r="EC77" s="55">
        <f t="shared" si="497"/>
        <v>0.83</v>
      </c>
      <c r="ED77" s="55">
        <f t="shared" si="497"/>
        <v>0.80999999999999994</v>
      </c>
      <c r="EE77" s="55">
        <f t="shared" si="497"/>
        <v>0.78999999999999992</v>
      </c>
      <c r="EF77" s="55">
        <f t="shared" si="497"/>
        <v>0.76999999999999991</v>
      </c>
      <c r="EG77" s="55">
        <f t="shared" si="497"/>
        <v>0.74999999999999989</v>
      </c>
      <c r="EH77" s="55">
        <f t="shared" si="497"/>
        <v>0.72999999999999987</v>
      </c>
      <c r="EI77" s="55">
        <f t="shared" si="497"/>
        <v>0.70999999999999985</v>
      </c>
      <c r="EJ77" s="55">
        <f t="shared" si="497"/>
        <v>0.68999999999999984</v>
      </c>
      <c r="EK77" s="55">
        <f t="shared" si="497"/>
        <v>0.66999999999999982</v>
      </c>
      <c r="EL77" s="55">
        <f t="shared" si="497"/>
        <v>0.6499999999999998</v>
      </c>
      <c r="EM77" s="55">
        <f t="shared" si="497"/>
        <v>0.62999999999999978</v>
      </c>
      <c r="EN77" s="55">
        <f t="shared" si="497"/>
        <v>0.60999999999999976</v>
      </c>
      <c r="EO77" s="55">
        <f t="shared" si="497"/>
        <v>0.58999999999999975</v>
      </c>
      <c r="EP77" s="55">
        <f t="shared" si="497"/>
        <v>0.56999999999999973</v>
      </c>
      <c r="ER77" s="55">
        <f t="shared" si="142"/>
        <v>0</v>
      </c>
      <c r="ES77" s="55">
        <f t="shared" si="116"/>
        <v>0</v>
      </c>
      <c r="ET77" s="59">
        <f t="shared" si="453"/>
        <v>0</v>
      </c>
      <c r="EU77" s="55">
        <f t="shared" si="454"/>
        <v>0</v>
      </c>
      <c r="EV77" s="59">
        <f t="shared" si="455"/>
        <v>0</v>
      </c>
      <c r="EW77" s="55">
        <f t="shared" si="456"/>
        <v>0</v>
      </c>
      <c r="EX77" s="59">
        <f t="shared" si="457"/>
        <v>0</v>
      </c>
      <c r="EY77" s="55">
        <f t="shared" si="458"/>
        <v>0</v>
      </c>
      <c r="EZ77" s="59">
        <f t="shared" si="459"/>
        <v>0</v>
      </c>
      <c r="FA77" s="57">
        <f t="shared" si="460"/>
        <v>0</v>
      </c>
      <c r="FB77" s="59">
        <f t="shared" si="461"/>
        <v>0</v>
      </c>
      <c r="FC77" s="55">
        <f t="shared" si="462"/>
        <v>0</v>
      </c>
      <c r="FD77" s="59">
        <f t="shared" si="463"/>
        <v>0</v>
      </c>
      <c r="FE77" s="57">
        <f t="shared" si="464"/>
        <v>0</v>
      </c>
      <c r="FF77" s="59">
        <f t="shared" si="465"/>
        <v>0</v>
      </c>
      <c r="FG77" s="60">
        <f t="shared" si="466"/>
        <v>0</v>
      </c>
      <c r="FH77" s="59">
        <f t="shared" si="467"/>
        <v>0</v>
      </c>
      <c r="FI77" s="57">
        <f t="shared" si="468"/>
        <v>0</v>
      </c>
      <c r="FJ77" s="59">
        <f t="shared" si="469"/>
        <v>0</v>
      </c>
      <c r="FK77" s="55">
        <f t="shared" si="470"/>
        <v>0</v>
      </c>
      <c r="FL77" s="59">
        <f t="shared" si="471"/>
        <v>0</v>
      </c>
      <c r="FM77" s="60">
        <f t="shared" si="472"/>
        <v>0</v>
      </c>
      <c r="FN77" s="59">
        <f t="shared" si="473"/>
        <v>0</v>
      </c>
      <c r="FO77" s="60">
        <f t="shared" si="474"/>
        <v>0</v>
      </c>
      <c r="FP77" s="59">
        <f t="shared" si="475"/>
        <v>0</v>
      </c>
      <c r="FQ77" s="60">
        <f t="shared" si="476"/>
        <v>0</v>
      </c>
      <c r="FR77" s="59">
        <f t="shared" si="477"/>
        <v>0</v>
      </c>
      <c r="FS77" s="55">
        <f t="shared" si="478"/>
        <v>0</v>
      </c>
      <c r="FT77" s="59">
        <f t="shared" si="479"/>
        <v>0</v>
      </c>
      <c r="FU77" s="60">
        <f t="shared" si="480"/>
        <v>0</v>
      </c>
      <c r="FV77" s="59">
        <f t="shared" si="481"/>
        <v>0</v>
      </c>
      <c r="FW77" s="60">
        <f t="shared" si="482"/>
        <v>0</v>
      </c>
      <c r="FX77" s="59">
        <f t="shared" si="483"/>
        <v>0</v>
      </c>
      <c r="FY77" s="60">
        <f t="shared" si="484"/>
        <v>0</v>
      </c>
      <c r="FZ77" s="59">
        <f t="shared" si="485"/>
        <v>0</v>
      </c>
      <c r="GA77" s="60">
        <f t="shared" si="486"/>
        <v>0</v>
      </c>
      <c r="GB77" s="59">
        <f t="shared" si="487"/>
        <v>0</v>
      </c>
      <c r="GC77" s="55">
        <f t="shared" si="488"/>
        <v>0</v>
      </c>
      <c r="GD77" s="59">
        <f t="shared" si="489"/>
        <v>0</v>
      </c>
      <c r="GE77" s="60">
        <f t="shared" si="490"/>
        <v>0</v>
      </c>
      <c r="GF77" s="59">
        <f t="shared" si="491"/>
        <v>0</v>
      </c>
      <c r="GG77" s="60">
        <f t="shared" si="492"/>
        <v>0</v>
      </c>
      <c r="GH77" s="59">
        <f t="shared" si="493"/>
        <v>0</v>
      </c>
      <c r="GI77" s="55">
        <f t="shared" si="494"/>
        <v>0</v>
      </c>
      <c r="GJ77" s="59">
        <f t="shared" si="495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498"/>
        <v>0.91</v>
      </c>
      <c r="GR77" s="55">
        <f t="shared" si="498"/>
        <v>0.89</v>
      </c>
      <c r="GS77" s="55">
        <f t="shared" si="498"/>
        <v>0.87</v>
      </c>
      <c r="GT77" s="55">
        <f t="shared" si="498"/>
        <v>0.85</v>
      </c>
      <c r="GU77" s="55">
        <f t="shared" si="498"/>
        <v>0.83</v>
      </c>
      <c r="GV77" s="55">
        <f t="shared" si="498"/>
        <v>0.80999999999999994</v>
      </c>
      <c r="GW77" s="55">
        <f t="shared" si="498"/>
        <v>0.78999999999999992</v>
      </c>
      <c r="GX77" s="55">
        <f t="shared" si="498"/>
        <v>0.76999999999999991</v>
      </c>
      <c r="GY77" s="55">
        <f t="shared" si="498"/>
        <v>0.74999999999999989</v>
      </c>
      <c r="GZ77" s="55">
        <f t="shared" si="498"/>
        <v>0.72999999999999987</v>
      </c>
      <c r="HA77" s="55">
        <f t="shared" si="498"/>
        <v>0.70999999999999985</v>
      </c>
      <c r="HB77" s="55">
        <f t="shared" si="498"/>
        <v>0.68999999999999984</v>
      </c>
      <c r="HC77" s="55">
        <f t="shared" si="498"/>
        <v>0.66999999999999982</v>
      </c>
      <c r="HD77" s="55">
        <f t="shared" si="498"/>
        <v>0.6499999999999998</v>
      </c>
      <c r="HE77" s="55">
        <f t="shared" si="498"/>
        <v>0.62999999999999978</v>
      </c>
      <c r="HF77" s="55">
        <f t="shared" si="498"/>
        <v>0.60999999999999976</v>
      </c>
      <c r="HG77" s="55">
        <f t="shared" si="498"/>
        <v>0.58999999999999975</v>
      </c>
      <c r="HH77" s="55">
        <f t="shared" si="498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65"/>
        <v>0</v>
      </c>
      <c r="H78" s="55">
        <f t="shared" si="61"/>
        <v>0</v>
      </c>
      <c r="I78" s="55">
        <f t="shared" si="62"/>
        <v>0</v>
      </c>
      <c r="J78" s="59">
        <f t="shared" si="63"/>
        <v>0</v>
      </c>
      <c r="K78" s="55">
        <f t="shared" si="366"/>
        <v>0</v>
      </c>
      <c r="L78" s="59">
        <f t="shared" si="367"/>
        <v>0</v>
      </c>
      <c r="M78" s="55">
        <f t="shared" si="368"/>
        <v>0</v>
      </c>
      <c r="N78" s="59">
        <f t="shared" si="369"/>
        <v>0</v>
      </c>
      <c r="O78" s="55">
        <f t="shared" si="370"/>
        <v>0</v>
      </c>
      <c r="P78" s="59">
        <f t="shared" si="371"/>
        <v>0</v>
      </c>
      <c r="Q78" s="57">
        <f t="shared" si="372"/>
        <v>0</v>
      </c>
      <c r="R78" s="59">
        <f t="shared" si="373"/>
        <v>0</v>
      </c>
      <c r="S78" s="55">
        <f t="shared" si="374"/>
        <v>0</v>
      </c>
      <c r="T78" s="59">
        <f t="shared" si="375"/>
        <v>0</v>
      </c>
      <c r="U78" s="57">
        <f t="shared" si="376"/>
        <v>0</v>
      </c>
      <c r="V78" s="59">
        <f t="shared" si="377"/>
        <v>0</v>
      </c>
      <c r="W78" s="60">
        <f t="shared" si="378"/>
        <v>0</v>
      </c>
      <c r="X78" s="59">
        <f t="shared" si="379"/>
        <v>0</v>
      </c>
      <c r="Y78" s="57">
        <f t="shared" si="380"/>
        <v>0</v>
      </c>
      <c r="Z78" s="59">
        <f t="shared" si="381"/>
        <v>0</v>
      </c>
      <c r="AA78" s="55">
        <f t="shared" si="382"/>
        <v>0</v>
      </c>
      <c r="AB78" s="59">
        <f t="shared" si="383"/>
        <v>0</v>
      </c>
      <c r="AC78" s="60">
        <f t="shared" si="384"/>
        <v>0</v>
      </c>
      <c r="AD78" s="59">
        <f t="shared" si="385"/>
        <v>0</v>
      </c>
      <c r="AE78" s="60">
        <f t="shared" si="386"/>
        <v>0</v>
      </c>
      <c r="AF78" s="59">
        <f t="shared" si="387"/>
        <v>0</v>
      </c>
      <c r="AG78" s="60">
        <f t="shared" si="388"/>
        <v>0</v>
      </c>
      <c r="AH78" s="59">
        <f t="shared" si="389"/>
        <v>0</v>
      </c>
      <c r="AI78" s="55">
        <f t="shared" si="390"/>
        <v>0</v>
      </c>
      <c r="AJ78" s="59">
        <f t="shared" si="391"/>
        <v>0</v>
      </c>
      <c r="AK78" s="60">
        <f t="shared" si="392"/>
        <v>0</v>
      </c>
      <c r="AL78" s="59">
        <f t="shared" si="393"/>
        <v>0</v>
      </c>
      <c r="AM78" s="60">
        <f t="shared" si="394"/>
        <v>0</v>
      </c>
      <c r="AN78" s="59">
        <f t="shared" si="395"/>
        <v>0</v>
      </c>
      <c r="AO78" s="60">
        <f t="shared" si="396"/>
        <v>0</v>
      </c>
      <c r="AP78" s="59">
        <f t="shared" si="397"/>
        <v>0</v>
      </c>
      <c r="AQ78" s="60">
        <f t="shared" si="398"/>
        <v>0</v>
      </c>
      <c r="AR78" s="59">
        <f t="shared" si="399"/>
        <v>0</v>
      </c>
      <c r="AS78" s="55">
        <f t="shared" si="400"/>
        <v>0</v>
      </c>
      <c r="AT78" s="59">
        <f t="shared" si="401"/>
        <v>0</v>
      </c>
      <c r="AU78" s="60">
        <f t="shared" si="402"/>
        <v>0</v>
      </c>
      <c r="AV78" s="59">
        <f t="shared" si="403"/>
        <v>0</v>
      </c>
      <c r="AW78" s="60">
        <f t="shared" si="404"/>
        <v>0</v>
      </c>
      <c r="AX78" s="59">
        <f t="shared" si="405"/>
        <v>0</v>
      </c>
      <c r="AY78" s="55">
        <f t="shared" si="406"/>
        <v>0</v>
      </c>
      <c r="AZ78" s="59">
        <f t="shared" si="407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0">+BF78-0.02</f>
        <v>0.91</v>
      </c>
      <c r="BH78" s="55">
        <f t="shared" si="500"/>
        <v>0.89</v>
      </c>
      <c r="BI78" s="55">
        <f t="shared" si="500"/>
        <v>0.87</v>
      </c>
      <c r="BJ78" s="55">
        <f t="shared" si="500"/>
        <v>0.85</v>
      </c>
      <c r="BK78" s="55">
        <f t="shared" si="500"/>
        <v>0.83</v>
      </c>
      <c r="BL78" s="55">
        <f t="shared" si="500"/>
        <v>0.80999999999999994</v>
      </c>
      <c r="BM78" s="55">
        <f t="shared" si="500"/>
        <v>0.78999999999999992</v>
      </c>
      <c r="BN78" s="55">
        <f t="shared" si="500"/>
        <v>0.76999999999999991</v>
      </c>
      <c r="BO78" s="55">
        <f t="shared" si="500"/>
        <v>0.74999999999999989</v>
      </c>
      <c r="BP78" s="55">
        <f t="shared" si="500"/>
        <v>0.72999999999999987</v>
      </c>
      <c r="BQ78" s="55">
        <f t="shared" si="500"/>
        <v>0.70999999999999985</v>
      </c>
      <c r="BR78" s="55">
        <f t="shared" si="500"/>
        <v>0.68999999999999984</v>
      </c>
      <c r="BS78" s="55">
        <f t="shared" si="500"/>
        <v>0.66999999999999982</v>
      </c>
      <c r="BT78" s="55">
        <f t="shared" si="500"/>
        <v>0.6499999999999998</v>
      </c>
      <c r="BU78" s="55">
        <f t="shared" si="500"/>
        <v>0.62999999999999978</v>
      </c>
      <c r="BV78" s="55">
        <f t="shared" si="500"/>
        <v>0.60999999999999976</v>
      </c>
      <c r="BW78" s="55">
        <f t="shared" si="500"/>
        <v>0.58999999999999975</v>
      </c>
      <c r="BX78" s="55">
        <f t="shared" si="500"/>
        <v>0.56999999999999973</v>
      </c>
      <c r="BZ78" s="55">
        <f t="shared" si="88"/>
        <v>0</v>
      </c>
      <c r="CA78" s="55">
        <f t="shared" si="89"/>
        <v>0</v>
      </c>
      <c r="CB78" s="59">
        <f t="shared" si="409"/>
        <v>0</v>
      </c>
      <c r="CC78" s="55">
        <f t="shared" si="410"/>
        <v>0</v>
      </c>
      <c r="CD78" s="59">
        <f t="shared" si="411"/>
        <v>0</v>
      </c>
      <c r="CE78" s="55">
        <f t="shared" si="412"/>
        <v>0</v>
      </c>
      <c r="CF78" s="59">
        <f t="shared" si="413"/>
        <v>0</v>
      </c>
      <c r="CG78" s="55">
        <f t="shared" si="414"/>
        <v>0</v>
      </c>
      <c r="CH78" s="59">
        <f t="shared" si="415"/>
        <v>0</v>
      </c>
      <c r="CI78" s="57">
        <f t="shared" si="416"/>
        <v>0</v>
      </c>
      <c r="CJ78" s="59">
        <f t="shared" si="417"/>
        <v>0</v>
      </c>
      <c r="CK78" s="55">
        <f t="shared" si="418"/>
        <v>0</v>
      </c>
      <c r="CL78" s="59">
        <f t="shared" si="419"/>
        <v>0</v>
      </c>
      <c r="CM78" s="57">
        <f t="shared" si="420"/>
        <v>0</v>
      </c>
      <c r="CN78" s="59">
        <f t="shared" si="421"/>
        <v>0</v>
      </c>
      <c r="CO78" s="60">
        <f t="shared" si="422"/>
        <v>0</v>
      </c>
      <c r="CP78" s="59">
        <f t="shared" si="423"/>
        <v>0</v>
      </c>
      <c r="CQ78" s="57">
        <f t="shared" si="424"/>
        <v>0</v>
      </c>
      <c r="CR78" s="59">
        <f t="shared" si="425"/>
        <v>0</v>
      </c>
      <c r="CS78" s="55">
        <f t="shared" si="426"/>
        <v>0</v>
      </c>
      <c r="CT78" s="59">
        <f t="shared" si="427"/>
        <v>0</v>
      </c>
      <c r="CU78" s="60">
        <f t="shared" si="428"/>
        <v>0</v>
      </c>
      <c r="CV78" s="59">
        <f t="shared" si="429"/>
        <v>0</v>
      </c>
      <c r="CW78" s="60">
        <f t="shared" si="430"/>
        <v>0</v>
      </c>
      <c r="CX78" s="59">
        <f t="shared" si="431"/>
        <v>0</v>
      </c>
      <c r="CY78" s="60">
        <f t="shared" si="432"/>
        <v>0</v>
      </c>
      <c r="CZ78" s="59">
        <f t="shared" si="433"/>
        <v>0</v>
      </c>
      <c r="DA78" s="55">
        <f t="shared" si="434"/>
        <v>0</v>
      </c>
      <c r="DB78" s="59">
        <f t="shared" si="435"/>
        <v>0</v>
      </c>
      <c r="DC78" s="60">
        <f t="shared" si="436"/>
        <v>0</v>
      </c>
      <c r="DD78" s="59">
        <f t="shared" si="437"/>
        <v>0</v>
      </c>
      <c r="DE78" s="60">
        <f t="shared" si="438"/>
        <v>0</v>
      </c>
      <c r="DF78" s="59">
        <f t="shared" si="439"/>
        <v>0</v>
      </c>
      <c r="DG78" s="60">
        <f t="shared" si="440"/>
        <v>0</v>
      </c>
      <c r="DH78" s="59">
        <f t="shared" si="441"/>
        <v>0</v>
      </c>
      <c r="DI78" s="60">
        <f t="shared" si="442"/>
        <v>0</v>
      </c>
      <c r="DJ78" s="59">
        <f t="shared" si="443"/>
        <v>0</v>
      </c>
      <c r="DK78" s="55">
        <f t="shared" si="444"/>
        <v>0</v>
      </c>
      <c r="DL78" s="59">
        <f t="shared" si="445"/>
        <v>0</v>
      </c>
      <c r="DM78" s="60">
        <f t="shared" si="446"/>
        <v>0</v>
      </c>
      <c r="DN78" s="59">
        <f t="shared" si="447"/>
        <v>0</v>
      </c>
      <c r="DO78" s="60">
        <f t="shared" si="448"/>
        <v>0</v>
      </c>
      <c r="DP78" s="59">
        <f t="shared" si="449"/>
        <v>0</v>
      </c>
      <c r="DQ78" s="55">
        <f t="shared" si="450"/>
        <v>0</v>
      </c>
      <c r="DR78" s="59">
        <f t="shared" si="451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497"/>
        <v>0.91</v>
      </c>
      <c r="DZ78" s="55">
        <f t="shared" si="497"/>
        <v>0.89</v>
      </c>
      <c r="EA78" s="55">
        <f t="shared" si="497"/>
        <v>0.87</v>
      </c>
      <c r="EB78" s="55">
        <f t="shared" ref="EB78:EP78" si="501">+EA78-0.02</f>
        <v>0.85</v>
      </c>
      <c r="EC78" s="55">
        <f t="shared" si="501"/>
        <v>0.83</v>
      </c>
      <c r="ED78" s="55">
        <f t="shared" si="501"/>
        <v>0.80999999999999994</v>
      </c>
      <c r="EE78" s="55">
        <f t="shared" si="501"/>
        <v>0.78999999999999992</v>
      </c>
      <c r="EF78" s="55">
        <f t="shared" si="501"/>
        <v>0.76999999999999991</v>
      </c>
      <c r="EG78" s="55">
        <f t="shared" si="501"/>
        <v>0.74999999999999989</v>
      </c>
      <c r="EH78" s="55">
        <f t="shared" si="501"/>
        <v>0.72999999999999987</v>
      </c>
      <c r="EI78" s="55">
        <f t="shared" si="501"/>
        <v>0.70999999999999985</v>
      </c>
      <c r="EJ78" s="55">
        <f t="shared" si="501"/>
        <v>0.68999999999999984</v>
      </c>
      <c r="EK78" s="55">
        <f t="shared" si="501"/>
        <v>0.66999999999999982</v>
      </c>
      <c r="EL78" s="55">
        <f t="shared" si="501"/>
        <v>0.6499999999999998</v>
      </c>
      <c r="EM78" s="55">
        <f t="shared" si="501"/>
        <v>0.62999999999999978</v>
      </c>
      <c r="EN78" s="55">
        <f t="shared" si="501"/>
        <v>0.60999999999999976</v>
      </c>
      <c r="EO78" s="55">
        <f t="shared" si="501"/>
        <v>0.58999999999999975</v>
      </c>
      <c r="EP78" s="55">
        <f t="shared" si="501"/>
        <v>0.56999999999999973</v>
      </c>
      <c r="ER78" s="55">
        <f t="shared" si="142"/>
        <v>0</v>
      </c>
      <c r="ES78" s="55">
        <f t="shared" si="116"/>
        <v>0</v>
      </c>
      <c r="ET78" s="59">
        <f t="shared" si="453"/>
        <v>0</v>
      </c>
      <c r="EU78" s="55">
        <f t="shared" si="454"/>
        <v>0</v>
      </c>
      <c r="EV78" s="59">
        <f t="shared" si="455"/>
        <v>0</v>
      </c>
      <c r="EW78" s="55">
        <f t="shared" si="456"/>
        <v>0</v>
      </c>
      <c r="EX78" s="59">
        <f t="shared" si="457"/>
        <v>0</v>
      </c>
      <c r="EY78" s="55">
        <f t="shared" si="458"/>
        <v>0</v>
      </c>
      <c r="EZ78" s="59">
        <f t="shared" si="459"/>
        <v>0</v>
      </c>
      <c r="FA78" s="57">
        <f t="shared" si="460"/>
        <v>0</v>
      </c>
      <c r="FB78" s="59">
        <f t="shared" si="461"/>
        <v>0</v>
      </c>
      <c r="FC78" s="55">
        <f t="shared" si="462"/>
        <v>0</v>
      </c>
      <c r="FD78" s="59">
        <f t="shared" si="463"/>
        <v>0</v>
      </c>
      <c r="FE78" s="57">
        <f t="shared" si="464"/>
        <v>0</v>
      </c>
      <c r="FF78" s="59">
        <f t="shared" si="465"/>
        <v>0</v>
      </c>
      <c r="FG78" s="60">
        <f t="shared" si="466"/>
        <v>0</v>
      </c>
      <c r="FH78" s="59">
        <f t="shared" si="467"/>
        <v>0</v>
      </c>
      <c r="FI78" s="57">
        <f t="shared" si="468"/>
        <v>0</v>
      </c>
      <c r="FJ78" s="59">
        <f t="shared" si="469"/>
        <v>0</v>
      </c>
      <c r="FK78" s="55">
        <f t="shared" si="470"/>
        <v>0</v>
      </c>
      <c r="FL78" s="59">
        <f t="shared" si="471"/>
        <v>0</v>
      </c>
      <c r="FM78" s="60">
        <f t="shared" si="472"/>
        <v>0</v>
      </c>
      <c r="FN78" s="59">
        <f t="shared" si="473"/>
        <v>0</v>
      </c>
      <c r="FO78" s="60">
        <f t="shared" si="474"/>
        <v>0</v>
      </c>
      <c r="FP78" s="59">
        <f t="shared" si="475"/>
        <v>0</v>
      </c>
      <c r="FQ78" s="60">
        <f t="shared" si="476"/>
        <v>0</v>
      </c>
      <c r="FR78" s="59">
        <f t="shared" si="477"/>
        <v>0</v>
      </c>
      <c r="FS78" s="55">
        <f t="shared" si="478"/>
        <v>0</v>
      </c>
      <c r="FT78" s="59">
        <f t="shared" si="479"/>
        <v>0</v>
      </c>
      <c r="FU78" s="60">
        <f t="shared" si="480"/>
        <v>0</v>
      </c>
      <c r="FV78" s="59">
        <f t="shared" si="481"/>
        <v>0</v>
      </c>
      <c r="FW78" s="60">
        <f t="shared" si="482"/>
        <v>0</v>
      </c>
      <c r="FX78" s="59">
        <f t="shared" si="483"/>
        <v>0</v>
      </c>
      <c r="FY78" s="60">
        <f t="shared" si="484"/>
        <v>0</v>
      </c>
      <c r="FZ78" s="59">
        <f t="shared" si="485"/>
        <v>0</v>
      </c>
      <c r="GA78" s="60">
        <f t="shared" si="486"/>
        <v>0</v>
      </c>
      <c r="GB78" s="59">
        <f t="shared" si="487"/>
        <v>0</v>
      </c>
      <c r="GC78" s="55">
        <f t="shared" si="488"/>
        <v>0</v>
      </c>
      <c r="GD78" s="59">
        <f t="shared" si="489"/>
        <v>0</v>
      </c>
      <c r="GE78" s="60">
        <f t="shared" si="490"/>
        <v>0</v>
      </c>
      <c r="GF78" s="59">
        <f t="shared" si="491"/>
        <v>0</v>
      </c>
      <c r="GG78" s="60">
        <f t="shared" si="492"/>
        <v>0</v>
      </c>
      <c r="GH78" s="59">
        <f t="shared" si="493"/>
        <v>0</v>
      </c>
      <c r="GI78" s="55">
        <f t="shared" si="494"/>
        <v>0</v>
      </c>
      <c r="GJ78" s="59">
        <f t="shared" si="495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498"/>
        <v>0.91</v>
      </c>
      <c r="GR78" s="55">
        <f t="shared" si="498"/>
        <v>0.89</v>
      </c>
      <c r="GS78" s="55">
        <f t="shared" si="498"/>
        <v>0.87</v>
      </c>
      <c r="GT78" s="55">
        <f t="shared" ref="GT78:HH78" si="502">+GS78-0.02</f>
        <v>0.85</v>
      </c>
      <c r="GU78" s="55">
        <f t="shared" si="502"/>
        <v>0.83</v>
      </c>
      <c r="GV78" s="55">
        <f t="shared" si="502"/>
        <v>0.80999999999999994</v>
      </c>
      <c r="GW78" s="55">
        <f t="shared" si="502"/>
        <v>0.78999999999999992</v>
      </c>
      <c r="GX78" s="55">
        <f t="shared" si="502"/>
        <v>0.76999999999999991</v>
      </c>
      <c r="GY78" s="55">
        <f t="shared" si="502"/>
        <v>0.74999999999999989</v>
      </c>
      <c r="GZ78" s="55">
        <f t="shared" si="502"/>
        <v>0.72999999999999987</v>
      </c>
      <c r="HA78" s="55">
        <f t="shared" si="502"/>
        <v>0.70999999999999985</v>
      </c>
      <c r="HB78" s="55">
        <f t="shared" si="502"/>
        <v>0.68999999999999984</v>
      </c>
      <c r="HC78" s="55">
        <f t="shared" si="502"/>
        <v>0.66999999999999982</v>
      </c>
      <c r="HD78" s="55">
        <f t="shared" si="502"/>
        <v>0.6499999999999998</v>
      </c>
      <c r="HE78" s="55">
        <f t="shared" si="502"/>
        <v>0.62999999999999978</v>
      </c>
      <c r="HF78" s="55">
        <f t="shared" si="502"/>
        <v>0.60999999999999976</v>
      </c>
      <c r="HG78" s="55">
        <f t="shared" si="502"/>
        <v>0.58999999999999975</v>
      </c>
      <c r="HH78" s="55">
        <f t="shared" si="502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1">
        <f t="shared" si="365"/>
        <v>0</v>
      </c>
      <c r="H79" s="55">
        <f t="shared" si="61"/>
        <v>0</v>
      </c>
      <c r="I79" s="55">
        <f t="shared" si="62"/>
        <v>0</v>
      </c>
      <c r="J79" s="59">
        <f t="shared" si="63"/>
        <v>0</v>
      </c>
      <c r="K79" s="55">
        <f t="shared" si="366"/>
        <v>0</v>
      </c>
      <c r="L79" s="59">
        <f t="shared" si="367"/>
        <v>0</v>
      </c>
      <c r="M79" s="55">
        <f t="shared" si="368"/>
        <v>0</v>
      </c>
      <c r="N79" s="59">
        <f t="shared" si="369"/>
        <v>0</v>
      </c>
      <c r="O79" s="55">
        <f t="shared" si="370"/>
        <v>0</v>
      </c>
      <c r="P79" s="59">
        <f t="shared" si="371"/>
        <v>0</v>
      </c>
      <c r="Q79" s="57">
        <f t="shared" si="372"/>
        <v>0</v>
      </c>
      <c r="R79" s="59">
        <f t="shared" si="373"/>
        <v>0</v>
      </c>
      <c r="S79" s="55">
        <f t="shared" si="374"/>
        <v>0</v>
      </c>
      <c r="T79" s="59">
        <f t="shared" si="375"/>
        <v>0</v>
      </c>
      <c r="U79" s="57">
        <f t="shared" si="376"/>
        <v>0</v>
      </c>
      <c r="V79" s="59">
        <f t="shared" si="377"/>
        <v>0</v>
      </c>
      <c r="W79" s="60">
        <f t="shared" si="378"/>
        <v>0</v>
      </c>
      <c r="X79" s="59">
        <f t="shared" si="379"/>
        <v>0</v>
      </c>
      <c r="Y79" s="57">
        <f t="shared" si="380"/>
        <v>0</v>
      </c>
      <c r="Z79" s="59">
        <f t="shared" si="381"/>
        <v>0</v>
      </c>
      <c r="AA79" s="55">
        <f t="shared" si="382"/>
        <v>0</v>
      </c>
      <c r="AB79" s="59">
        <f t="shared" si="383"/>
        <v>0</v>
      </c>
      <c r="AC79" s="60">
        <f t="shared" si="384"/>
        <v>0</v>
      </c>
      <c r="AD79" s="59">
        <f t="shared" si="385"/>
        <v>0</v>
      </c>
      <c r="AE79" s="60">
        <f t="shared" si="386"/>
        <v>0</v>
      </c>
      <c r="AF79" s="59">
        <f t="shared" si="387"/>
        <v>0</v>
      </c>
      <c r="AG79" s="60">
        <f t="shared" si="388"/>
        <v>0</v>
      </c>
      <c r="AH79" s="59">
        <f t="shared" si="389"/>
        <v>0</v>
      </c>
      <c r="AI79" s="55">
        <f t="shared" si="390"/>
        <v>0</v>
      </c>
      <c r="AJ79" s="59">
        <f t="shared" si="391"/>
        <v>0</v>
      </c>
      <c r="AK79" s="60">
        <f t="shared" si="392"/>
        <v>0</v>
      </c>
      <c r="AL79" s="59">
        <f t="shared" si="393"/>
        <v>0</v>
      </c>
      <c r="AM79" s="60">
        <f t="shared" si="394"/>
        <v>0</v>
      </c>
      <c r="AN79" s="59">
        <f t="shared" si="395"/>
        <v>0</v>
      </c>
      <c r="AO79" s="60">
        <f t="shared" si="396"/>
        <v>0</v>
      </c>
      <c r="AP79" s="59">
        <f t="shared" si="397"/>
        <v>0</v>
      </c>
      <c r="AQ79" s="60">
        <f t="shared" si="398"/>
        <v>0</v>
      </c>
      <c r="AR79" s="59">
        <f t="shared" si="399"/>
        <v>0</v>
      </c>
      <c r="AS79" s="55">
        <f t="shared" si="400"/>
        <v>0</v>
      </c>
      <c r="AT79" s="59">
        <f t="shared" si="401"/>
        <v>0</v>
      </c>
      <c r="AU79" s="60">
        <f t="shared" si="402"/>
        <v>0</v>
      </c>
      <c r="AV79" s="59">
        <f t="shared" si="403"/>
        <v>0</v>
      </c>
      <c r="AW79" s="60">
        <f t="shared" si="404"/>
        <v>0</v>
      </c>
      <c r="AX79" s="59">
        <f t="shared" si="405"/>
        <v>0</v>
      </c>
      <c r="AY79" s="55">
        <f t="shared" si="406"/>
        <v>0</v>
      </c>
      <c r="AZ79" s="59">
        <f t="shared" si="407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0"/>
        <v>0.91</v>
      </c>
      <c r="BH79" s="55">
        <f t="shared" si="500"/>
        <v>0.89</v>
      </c>
      <c r="BI79" s="55">
        <f t="shared" si="500"/>
        <v>0.87</v>
      </c>
      <c r="BJ79" s="55">
        <f t="shared" si="500"/>
        <v>0.85</v>
      </c>
      <c r="BK79" s="55">
        <f t="shared" si="500"/>
        <v>0.83</v>
      </c>
      <c r="BL79" s="55">
        <f t="shared" si="500"/>
        <v>0.80999999999999994</v>
      </c>
      <c r="BM79" s="55">
        <f t="shared" si="500"/>
        <v>0.78999999999999992</v>
      </c>
      <c r="BN79" s="55">
        <f t="shared" si="500"/>
        <v>0.76999999999999991</v>
      </c>
      <c r="BO79" s="55">
        <f t="shared" si="500"/>
        <v>0.74999999999999989</v>
      </c>
      <c r="BP79" s="55">
        <f t="shared" si="500"/>
        <v>0.72999999999999987</v>
      </c>
      <c r="BQ79" s="55">
        <f t="shared" si="500"/>
        <v>0.70999999999999985</v>
      </c>
      <c r="BR79" s="55">
        <f t="shared" si="500"/>
        <v>0.68999999999999984</v>
      </c>
      <c r="BS79" s="55">
        <f t="shared" si="500"/>
        <v>0.66999999999999982</v>
      </c>
      <c r="BT79" s="55">
        <f t="shared" si="500"/>
        <v>0.6499999999999998</v>
      </c>
      <c r="BU79" s="55">
        <f t="shared" si="500"/>
        <v>0.62999999999999978</v>
      </c>
      <c r="BV79" s="55">
        <f t="shared" si="500"/>
        <v>0.60999999999999976</v>
      </c>
      <c r="BW79" s="55">
        <f t="shared" si="500"/>
        <v>0.58999999999999975</v>
      </c>
      <c r="BX79" s="55">
        <f t="shared" si="500"/>
        <v>0.56999999999999973</v>
      </c>
      <c r="BZ79" s="55">
        <f t="shared" si="88"/>
        <v>0</v>
      </c>
      <c r="CA79" s="55">
        <f t="shared" si="89"/>
        <v>0</v>
      </c>
      <c r="CB79" s="59">
        <f t="shared" si="409"/>
        <v>0</v>
      </c>
      <c r="CC79" s="55">
        <f t="shared" si="410"/>
        <v>0</v>
      </c>
      <c r="CD79" s="59">
        <f t="shared" si="411"/>
        <v>0</v>
      </c>
      <c r="CE79" s="55">
        <f t="shared" si="412"/>
        <v>0</v>
      </c>
      <c r="CF79" s="59">
        <f t="shared" si="413"/>
        <v>0</v>
      </c>
      <c r="CG79" s="55">
        <f t="shared" si="414"/>
        <v>0</v>
      </c>
      <c r="CH79" s="59">
        <f t="shared" si="415"/>
        <v>0</v>
      </c>
      <c r="CI79" s="57">
        <f t="shared" si="416"/>
        <v>0</v>
      </c>
      <c r="CJ79" s="59">
        <f t="shared" si="417"/>
        <v>0</v>
      </c>
      <c r="CK79" s="55">
        <f t="shared" si="418"/>
        <v>0</v>
      </c>
      <c r="CL79" s="59">
        <f t="shared" si="419"/>
        <v>0</v>
      </c>
      <c r="CM79" s="57">
        <f t="shared" si="420"/>
        <v>0</v>
      </c>
      <c r="CN79" s="59">
        <f t="shared" si="421"/>
        <v>0</v>
      </c>
      <c r="CO79" s="60">
        <f t="shared" si="422"/>
        <v>0</v>
      </c>
      <c r="CP79" s="59">
        <f t="shared" si="423"/>
        <v>0</v>
      </c>
      <c r="CQ79" s="57">
        <f t="shared" si="424"/>
        <v>0</v>
      </c>
      <c r="CR79" s="59">
        <f t="shared" si="425"/>
        <v>0</v>
      </c>
      <c r="CS79" s="55">
        <f t="shared" si="426"/>
        <v>0</v>
      </c>
      <c r="CT79" s="59">
        <f t="shared" si="427"/>
        <v>0</v>
      </c>
      <c r="CU79" s="60">
        <f t="shared" si="428"/>
        <v>0</v>
      </c>
      <c r="CV79" s="59">
        <f t="shared" si="429"/>
        <v>0</v>
      </c>
      <c r="CW79" s="60">
        <f t="shared" si="430"/>
        <v>0</v>
      </c>
      <c r="CX79" s="59">
        <f t="shared" si="431"/>
        <v>0</v>
      </c>
      <c r="CY79" s="60">
        <f t="shared" si="432"/>
        <v>0</v>
      </c>
      <c r="CZ79" s="59">
        <f t="shared" si="433"/>
        <v>0</v>
      </c>
      <c r="DA79" s="55">
        <f t="shared" si="434"/>
        <v>0</v>
      </c>
      <c r="DB79" s="59">
        <f t="shared" si="435"/>
        <v>0</v>
      </c>
      <c r="DC79" s="60">
        <f t="shared" si="436"/>
        <v>0</v>
      </c>
      <c r="DD79" s="59">
        <f t="shared" si="437"/>
        <v>0</v>
      </c>
      <c r="DE79" s="60">
        <f t="shared" si="438"/>
        <v>0</v>
      </c>
      <c r="DF79" s="59">
        <f t="shared" si="439"/>
        <v>0</v>
      </c>
      <c r="DG79" s="60">
        <f t="shared" si="440"/>
        <v>0</v>
      </c>
      <c r="DH79" s="59">
        <f t="shared" si="441"/>
        <v>0</v>
      </c>
      <c r="DI79" s="60">
        <f t="shared" si="442"/>
        <v>0</v>
      </c>
      <c r="DJ79" s="59">
        <f t="shared" si="443"/>
        <v>0</v>
      </c>
      <c r="DK79" s="55">
        <f t="shared" si="444"/>
        <v>0</v>
      </c>
      <c r="DL79" s="59">
        <f t="shared" si="445"/>
        <v>0</v>
      </c>
      <c r="DM79" s="60">
        <f t="shared" si="446"/>
        <v>0</v>
      </c>
      <c r="DN79" s="59">
        <f t="shared" si="447"/>
        <v>0</v>
      </c>
      <c r="DO79" s="60">
        <f t="shared" si="448"/>
        <v>0</v>
      </c>
      <c r="DP79" s="59">
        <f t="shared" si="449"/>
        <v>0</v>
      </c>
      <c r="DQ79" s="55">
        <f t="shared" si="450"/>
        <v>0</v>
      </c>
      <c r="DR79" s="59">
        <f t="shared" si="451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03">+DX79-0.02</f>
        <v>0.91</v>
      </c>
      <c r="DZ79" s="55">
        <f t="shared" si="503"/>
        <v>0.89</v>
      </c>
      <c r="EA79" s="55">
        <f t="shared" si="503"/>
        <v>0.87</v>
      </c>
      <c r="EB79" s="55">
        <f t="shared" si="503"/>
        <v>0.85</v>
      </c>
      <c r="EC79" s="55">
        <f t="shared" si="503"/>
        <v>0.83</v>
      </c>
      <c r="ED79" s="55">
        <f t="shared" si="503"/>
        <v>0.80999999999999994</v>
      </c>
      <c r="EE79" s="55">
        <f t="shared" si="503"/>
        <v>0.78999999999999992</v>
      </c>
      <c r="EF79" s="55">
        <f t="shared" si="503"/>
        <v>0.76999999999999991</v>
      </c>
      <c r="EG79" s="55">
        <f t="shared" si="503"/>
        <v>0.74999999999999989</v>
      </c>
      <c r="EH79" s="55">
        <f t="shared" si="503"/>
        <v>0.72999999999999987</v>
      </c>
      <c r="EI79" s="55">
        <f t="shared" si="503"/>
        <v>0.70999999999999985</v>
      </c>
      <c r="EJ79" s="55">
        <f t="shared" si="503"/>
        <v>0.68999999999999984</v>
      </c>
      <c r="EK79" s="55">
        <f t="shared" si="503"/>
        <v>0.66999999999999982</v>
      </c>
      <c r="EL79" s="55">
        <f t="shared" si="503"/>
        <v>0.6499999999999998</v>
      </c>
      <c r="EM79" s="55">
        <f t="shared" si="503"/>
        <v>0.62999999999999978</v>
      </c>
      <c r="EN79" s="55">
        <f t="shared" si="503"/>
        <v>0.60999999999999976</v>
      </c>
      <c r="EO79" s="55">
        <f t="shared" si="503"/>
        <v>0.58999999999999975</v>
      </c>
      <c r="EP79" s="55">
        <f t="shared" si="503"/>
        <v>0.56999999999999973</v>
      </c>
      <c r="ER79" s="55">
        <f t="shared" si="142"/>
        <v>0</v>
      </c>
      <c r="ES79" s="55">
        <f t="shared" si="116"/>
        <v>0</v>
      </c>
      <c r="ET79" s="59">
        <f t="shared" si="453"/>
        <v>0</v>
      </c>
      <c r="EU79" s="55">
        <f t="shared" si="454"/>
        <v>0</v>
      </c>
      <c r="EV79" s="59">
        <f t="shared" si="455"/>
        <v>0</v>
      </c>
      <c r="EW79" s="55">
        <f t="shared" si="456"/>
        <v>0</v>
      </c>
      <c r="EX79" s="59">
        <f t="shared" si="457"/>
        <v>0</v>
      </c>
      <c r="EY79" s="55">
        <f t="shared" si="458"/>
        <v>0</v>
      </c>
      <c r="EZ79" s="59">
        <f t="shared" si="459"/>
        <v>0</v>
      </c>
      <c r="FA79" s="57">
        <f t="shared" si="460"/>
        <v>0</v>
      </c>
      <c r="FB79" s="59">
        <f t="shared" si="461"/>
        <v>0</v>
      </c>
      <c r="FC79" s="55">
        <f t="shared" si="462"/>
        <v>0</v>
      </c>
      <c r="FD79" s="59">
        <f t="shared" si="463"/>
        <v>0</v>
      </c>
      <c r="FE79" s="57">
        <f t="shared" si="464"/>
        <v>0</v>
      </c>
      <c r="FF79" s="59">
        <f t="shared" si="465"/>
        <v>0</v>
      </c>
      <c r="FG79" s="60">
        <f t="shared" si="466"/>
        <v>0</v>
      </c>
      <c r="FH79" s="59">
        <f t="shared" si="467"/>
        <v>0</v>
      </c>
      <c r="FI79" s="57">
        <f t="shared" si="468"/>
        <v>0</v>
      </c>
      <c r="FJ79" s="59">
        <f t="shared" si="469"/>
        <v>0</v>
      </c>
      <c r="FK79" s="55">
        <f t="shared" si="470"/>
        <v>0</v>
      </c>
      <c r="FL79" s="59">
        <f t="shared" si="471"/>
        <v>0</v>
      </c>
      <c r="FM79" s="60">
        <f t="shared" si="472"/>
        <v>0</v>
      </c>
      <c r="FN79" s="59">
        <f t="shared" si="473"/>
        <v>0</v>
      </c>
      <c r="FO79" s="60">
        <f t="shared" si="474"/>
        <v>0</v>
      </c>
      <c r="FP79" s="59">
        <f t="shared" si="475"/>
        <v>0</v>
      </c>
      <c r="FQ79" s="60">
        <f t="shared" si="476"/>
        <v>0</v>
      </c>
      <c r="FR79" s="59">
        <f t="shared" si="477"/>
        <v>0</v>
      </c>
      <c r="FS79" s="55">
        <f t="shared" si="478"/>
        <v>0</v>
      </c>
      <c r="FT79" s="59">
        <f t="shared" si="479"/>
        <v>0</v>
      </c>
      <c r="FU79" s="60">
        <f t="shared" si="480"/>
        <v>0</v>
      </c>
      <c r="FV79" s="59">
        <f t="shared" si="481"/>
        <v>0</v>
      </c>
      <c r="FW79" s="60">
        <f t="shared" si="482"/>
        <v>0</v>
      </c>
      <c r="FX79" s="59">
        <f t="shared" si="483"/>
        <v>0</v>
      </c>
      <c r="FY79" s="60">
        <f t="shared" si="484"/>
        <v>0</v>
      </c>
      <c r="FZ79" s="59">
        <f t="shared" si="485"/>
        <v>0</v>
      </c>
      <c r="GA79" s="60">
        <f t="shared" si="486"/>
        <v>0</v>
      </c>
      <c r="GB79" s="59">
        <f t="shared" si="487"/>
        <v>0</v>
      </c>
      <c r="GC79" s="55">
        <f t="shared" si="488"/>
        <v>0</v>
      </c>
      <c r="GD79" s="59">
        <f t="shared" si="489"/>
        <v>0</v>
      </c>
      <c r="GE79" s="60">
        <f t="shared" si="490"/>
        <v>0</v>
      </c>
      <c r="GF79" s="59">
        <f t="shared" si="491"/>
        <v>0</v>
      </c>
      <c r="GG79" s="60">
        <f t="shared" si="492"/>
        <v>0</v>
      </c>
      <c r="GH79" s="59">
        <f t="shared" si="493"/>
        <v>0</v>
      </c>
      <c r="GI79" s="55">
        <f t="shared" si="494"/>
        <v>0</v>
      </c>
      <c r="GJ79" s="59">
        <f t="shared" si="495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04">+GP79-0.02</f>
        <v>0.91</v>
      </c>
      <c r="GR79" s="55">
        <f t="shared" si="504"/>
        <v>0.89</v>
      </c>
      <c r="GS79" s="55">
        <f t="shared" si="504"/>
        <v>0.87</v>
      </c>
      <c r="GT79" s="55">
        <f t="shared" si="504"/>
        <v>0.85</v>
      </c>
      <c r="GU79" s="55">
        <f t="shared" si="504"/>
        <v>0.83</v>
      </c>
      <c r="GV79" s="55">
        <f t="shared" si="504"/>
        <v>0.80999999999999994</v>
      </c>
      <c r="GW79" s="55">
        <f t="shared" si="504"/>
        <v>0.78999999999999992</v>
      </c>
      <c r="GX79" s="55">
        <f t="shared" si="504"/>
        <v>0.76999999999999991</v>
      </c>
      <c r="GY79" s="55">
        <f t="shared" si="504"/>
        <v>0.74999999999999989</v>
      </c>
      <c r="GZ79" s="55">
        <f t="shared" si="504"/>
        <v>0.72999999999999987</v>
      </c>
      <c r="HA79" s="55">
        <f t="shared" si="504"/>
        <v>0.70999999999999985</v>
      </c>
      <c r="HB79" s="55">
        <f t="shared" si="504"/>
        <v>0.68999999999999984</v>
      </c>
      <c r="HC79" s="55">
        <f t="shared" si="504"/>
        <v>0.66999999999999982</v>
      </c>
      <c r="HD79" s="55">
        <f t="shared" si="504"/>
        <v>0.6499999999999998</v>
      </c>
      <c r="HE79" s="55">
        <f t="shared" si="504"/>
        <v>0.62999999999999978</v>
      </c>
      <c r="HF79" s="55">
        <f t="shared" si="504"/>
        <v>0.60999999999999976</v>
      </c>
      <c r="HG79" s="55">
        <f t="shared" si="504"/>
        <v>0.58999999999999975</v>
      </c>
      <c r="HH79" s="55">
        <f t="shared" si="504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1">
        <f t="shared" si="365"/>
        <v>0</v>
      </c>
      <c r="H80" s="55">
        <f t="shared" si="61"/>
        <v>0</v>
      </c>
      <c r="I80" s="55">
        <f t="shared" si="62"/>
        <v>0</v>
      </c>
      <c r="J80" s="59">
        <f t="shared" si="63"/>
        <v>0</v>
      </c>
      <c r="K80" s="55">
        <f t="shared" si="366"/>
        <v>0</v>
      </c>
      <c r="L80" s="59">
        <f t="shared" si="367"/>
        <v>0</v>
      </c>
      <c r="M80" s="55">
        <f t="shared" si="368"/>
        <v>0</v>
      </c>
      <c r="N80" s="59">
        <f t="shared" si="369"/>
        <v>0</v>
      </c>
      <c r="O80" s="55">
        <f t="shared" si="370"/>
        <v>0</v>
      </c>
      <c r="P80" s="59">
        <f t="shared" si="371"/>
        <v>0</v>
      </c>
      <c r="Q80" s="57">
        <f t="shared" si="372"/>
        <v>0</v>
      </c>
      <c r="R80" s="59">
        <f t="shared" si="373"/>
        <v>0</v>
      </c>
      <c r="S80" s="55">
        <f t="shared" si="374"/>
        <v>0</v>
      </c>
      <c r="T80" s="59">
        <f t="shared" si="375"/>
        <v>0</v>
      </c>
      <c r="U80" s="57">
        <f t="shared" si="376"/>
        <v>0</v>
      </c>
      <c r="V80" s="59">
        <f t="shared" si="377"/>
        <v>0</v>
      </c>
      <c r="W80" s="60">
        <f t="shared" si="378"/>
        <v>0</v>
      </c>
      <c r="X80" s="59">
        <f t="shared" si="379"/>
        <v>0</v>
      </c>
      <c r="Y80" s="57">
        <f t="shared" si="380"/>
        <v>0</v>
      </c>
      <c r="Z80" s="59">
        <f t="shared" si="381"/>
        <v>0</v>
      </c>
      <c r="AA80" s="55">
        <f t="shared" si="382"/>
        <v>0</v>
      </c>
      <c r="AB80" s="59">
        <f t="shared" si="383"/>
        <v>0</v>
      </c>
      <c r="AC80" s="60">
        <f t="shared" si="384"/>
        <v>0</v>
      </c>
      <c r="AD80" s="59">
        <f t="shared" si="385"/>
        <v>0</v>
      </c>
      <c r="AE80" s="60">
        <f t="shared" si="386"/>
        <v>0</v>
      </c>
      <c r="AF80" s="59">
        <f t="shared" si="387"/>
        <v>0</v>
      </c>
      <c r="AG80" s="60">
        <f t="shared" si="388"/>
        <v>0</v>
      </c>
      <c r="AH80" s="59">
        <f t="shared" si="389"/>
        <v>0</v>
      </c>
      <c r="AI80" s="55">
        <f t="shared" si="390"/>
        <v>0</v>
      </c>
      <c r="AJ80" s="59">
        <f t="shared" si="391"/>
        <v>0</v>
      </c>
      <c r="AK80" s="60">
        <f t="shared" si="392"/>
        <v>0</v>
      </c>
      <c r="AL80" s="59">
        <f t="shared" si="393"/>
        <v>0</v>
      </c>
      <c r="AM80" s="60">
        <f t="shared" si="394"/>
        <v>0</v>
      </c>
      <c r="AN80" s="59">
        <f t="shared" si="395"/>
        <v>0</v>
      </c>
      <c r="AO80" s="60">
        <f t="shared" si="396"/>
        <v>0</v>
      </c>
      <c r="AP80" s="59">
        <f t="shared" si="397"/>
        <v>0</v>
      </c>
      <c r="AQ80" s="60">
        <f t="shared" si="398"/>
        <v>0</v>
      </c>
      <c r="AR80" s="59">
        <f t="shared" si="399"/>
        <v>0</v>
      </c>
      <c r="AS80" s="55">
        <f t="shared" si="400"/>
        <v>0</v>
      </c>
      <c r="AT80" s="59">
        <f t="shared" si="401"/>
        <v>0</v>
      </c>
      <c r="AU80" s="60">
        <f t="shared" si="402"/>
        <v>0</v>
      </c>
      <c r="AV80" s="59">
        <f t="shared" si="403"/>
        <v>0</v>
      </c>
      <c r="AW80" s="60">
        <f t="shared" si="404"/>
        <v>0</v>
      </c>
      <c r="AX80" s="59">
        <f t="shared" si="405"/>
        <v>0</v>
      </c>
      <c r="AY80" s="55">
        <f t="shared" si="406"/>
        <v>0</v>
      </c>
      <c r="AZ80" s="59">
        <f t="shared" si="407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0"/>
        <v>0.91</v>
      </c>
      <c r="BH80" s="55">
        <f t="shared" si="500"/>
        <v>0.89</v>
      </c>
      <c r="BI80" s="55">
        <f t="shared" si="500"/>
        <v>0.87</v>
      </c>
      <c r="BJ80" s="55">
        <f t="shared" si="500"/>
        <v>0.85</v>
      </c>
      <c r="BK80" s="55">
        <f t="shared" si="500"/>
        <v>0.83</v>
      </c>
      <c r="BL80" s="55">
        <f t="shared" si="500"/>
        <v>0.80999999999999994</v>
      </c>
      <c r="BM80" s="55">
        <f t="shared" si="500"/>
        <v>0.78999999999999992</v>
      </c>
      <c r="BN80" s="55">
        <f t="shared" si="500"/>
        <v>0.76999999999999991</v>
      </c>
      <c r="BO80" s="55">
        <f t="shared" si="500"/>
        <v>0.74999999999999989</v>
      </c>
      <c r="BP80" s="55">
        <f t="shared" si="500"/>
        <v>0.72999999999999987</v>
      </c>
      <c r="BQ80" s="55">
        <f t="shared" si="500"/>
        <v>0.70999999999999985</v>
      </c>
      <c r="BR80" s="55">
        <f t="shared" si="500"/>
        <v>0.68999999999999984</v>
      </c>
      <c r="BS80" s="55">
        <f t="shared" si="500"/>
        <v>0.66999999999999982</v>
      </c>
      <c r="BT80" s="55">
        <f t="shared" si="500"/>
        <v>0.6499999999999998</v>
      </c>
      <c r="BU80" s="55">
        <f t="shared" si="500"/>
        <v>0.62999999999999978</v>
      </c>
      <c r="BV80" s="55">
        <f t="shared" si="500"/>
        <v>0.60999999999999976</v>
      </c>
      <c r="BW80" s="55">
        <f t="shared" si="500"/>
        <v>0.58999999999999975</v>
      </c>
      <c r="BX80" s="55">
        <f t="shared" si="500"/>
        <v>0.56999999999999973</v>
      </c>
      <c r="BZ80" s="55">
        <f t="shared" si="88"/>
        <v>0</v>
      </c>
      <c r="CA80" s="55">
        <f t="shared" si="89"/>
        <v>0</v>
      </c>
      <c r="CB80" s="59">
        <f t="shared" si="409"/>
        <v>0</v>
      </c>
      <c r="CC80" s="55">
        <f t="shared" si="410"/>
        <v>0</v>
      </c>
      <c r="CD80" s="59">
        <f t="shared" si="411"/>
        <v>0</v>
      </c>
      <c r="CE80" s="55">
        <f t="shared" si="412"/>
        <v>0</v>
      </c>
      <c r="CF80" s="59">
        <f t="shared" si="413"/>
        <v>0</v>
      </c>
      <c r="CG80" s="55">
        <f t="shared" si="414"/>
        <v>0</v>
      </c>
      <c r="CH80" s="59">
        <f t="shared" si="415"/>
        <v>0</v>
      </c>
      <c r="CI80" s="57">
        <f t="shared" si="416"/>
        <v>0</v>
      </c>
      <c r="CJ80" s="59">
        <f t="shared" si="417"/>
        <v>0</v>
      </c>
      <c r="CK80" s="55">
        <f t="shared" si="418"/>
        <v>0</v>
      </c>
      <c r="CL80" s="59">
        <f t="shared" si="419"/>
        <v>0</v>
      </c>
      <c r="CM80" s="57">
        <f t="shared" si="420"/>
        <v>0</v>
      </c>
      <c r="CN80" s="59">
        <f t="shared" si="421"/>
        <v>0</v>
      </c>
      <c r="CO80" s="60">
        <f t="shared" si="422"/>
        <v>0</v>
      </c>
      <c r="CP80" s="59">
        <f t="shared" si="423"/>
        <v>0</v>
      </c>
      <c r="CQ80" s="57">
        <f t="shared" si="424"/>
        <v>0</v>
      </c>
      <c r="CR80" s="59">
        <f t="shared" si="425"/>
        <v>0</v>
      </c>
      <c r="CS80" s="55">
        <f t="shared" si="426"/>
        <v>0</v>
      </c>
      <c r="CT80" s="59">
        <f t="shared" si="427"/>
        <v>0</v>
      </c>
      <c r="CU80" s="60">
        <f t="shared" si="428"/>
        <v>0</v>
      </c>
      <c r="CV80" s="59">
        <f t="shared" si="429"/>
        <v>0</v>
      </c>
      <c r="CW80" s="60">
        <f t="shared" si="430"/>
        <v>0</v>
      </c>
      <c r="CX80" s="59">
        <f t="shared" si="431"/>
        <v>0</v>
      </c>
      <c r="CY80" s="60">
        <f t="shared" si="432"/>
        <v>0</v>
      </c>
      <c r="CZ80" s="59">
        <f t="shared" si="433"/>
        <v>0</v>
      </c>
      <c r="DA80" s="55">
        <f t="shared" si="434"/>
        <v>0</v>
      </c>
      <c r="DB80" s="59">
        <f t="shared" si="435"/>
        <v>0</v>
      </c>
      <c r="DC80" s="60">
        <f t="shared" si="436"/>
        <v>0</v>
      </c>
      <c r="DD80" s="59">
        <f t="shared" si="437"/>
        <v>0</v>
      </c>
      <c r="DE80" s="60">
        <f t="shared" si="438"/>
        <v>0</v>
      </c>
      <c r="DF80" s="59">
        <f t="shared" si="439"/>
        <v>0</v>
      </c>
      <c r="DG80" s="60">
        <f t="shared" si="440"/>
        <v>0</v>
      </c>
      <c r="DH80" s="59">
        <f t="shared" si="441"/>
        <v>0</v>
      </c>
      <c r="DI80" s="60">
        <f t="shared" si="442"/>
        <v>0</v>
      </c>
      <c r="DJ80" s="59">
        <f t="shared" si="443"/>
        <v>0</v>
      </c>
      <c r="DK80" s="55">
        <f t="shared" si="444"/>
        <v>0</v>
      </c>
      <c r="DL80" s="59">
        <f t="shared" si="445"/>
        <v>0</v>
      </c>
      <c r="DM80" s="60">
        <f t="shared" si="446"/>
        <v>0</v>
      </c>
      <c r="DN80" s="59">
        <f t="shared" si="447"/>
        <v>0</v>
      </c>
      <c r="DO80" s="60">
        <f t="shared" si="448"/>
        <v>0</v>
      </c>
      <c r="DP80" s="59">
        <f t="shared" si="449"/>
        <v>0</v>
      </c>
      <c r="DQ80" s="55">
        <f t="shared" si="450"/>
        <v>0</v>
      </c>
      <c r="DR80" s="59">
        <f t="shared" si="451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3"/>
        <v>0.91</v>
      </c>
      <c r="DZ80" s="55">
        <f t="shared" si="503"/>
        <v>0.89</v>
      </c>
      <c r="EA80" s="55">
        <f t="shared" si="503"/>
        <v>0.87</v>
      </c>
      <c r="EB80" s="55">
        <f t="shared" si="503"/>
        <v>0.85</v>
      </c>
      <c r="EC80" s="55">
        <f t="shared" si="503"/>
        <v>0.83</v>
      </c>
      <c r="ED80" s="55">
        <f t="shared" si="503"/>
        <v>0.80999999999999994</v>
      </c>
      <c r="EE80" s="55">
        <f t="shared" si="503"/>
        <v>0.78999999999999992</v>
      </c>
      <c r="EF80" s="55">
        <f t="shared" si="503"/>
        <v>0.76999999999999991</v>
      </c>
      <c r="EG80" s="55">
        <f t="shared" si="503"/>
        <v>0.74999999999999989</v>
      </c>
      <c r="EH80" s="55">
        <f t="shared" si="503"/>
        <v>0.72999999999999987</v>
      </c>
      <c r="EI80" s="55">
        <f t="shared" si="503"/>
        <v>0.70999999999999985</v>
      </c>
      <c r="EJ80" s="55">
        <f t="shared" si="503"/>
        <v>0.68999999999999984</v>
      </c>
      <c r="EK80" s="55">
        <f t="shared" si="503"/>
        <v>0.66999999999999982</v>
      </c>
      <c r="EL80" s="55">
        <f t="shared" si="503"/>
        <v>0.6499999999999998</v>
      </c>
      <c r="EM80" s="55">
        <f t="shared" si="503"/>
        <v>0.62999999999999978</v>
      </c>
      <c r="EN80" s="55">
        <f t="shared" si="503"/>
        <v>0.60999999999999976</v>
      </c>
      <c r="EO80" s="55">
        <f t="shared" si="503"/>
        <v>0.58999999999999975</v>
      </c>
      <c r="EP80" s="55">
        <f t="shared" si="503"/>
        <v>0.56999999999999973</v>
      </c>
      <c r="ER80" s="55">
        <f t="shared" si="142"/>
        <v>0</v>
      </c>
      <c r="ES80" s="55">
        <f t="shared" si="116"/>
        <v>0</v>
      </c>
      <c r="ET80" s="59">
        <f t="shared" si="453"/>
        <v>0</v>
      </c>
      <c r="EU80" s="55">
        <f t="shared" si="454"/>
        <v>0</v>
      </c>
      <c r="EV80" s="59">
        <f t="shared" si="455"/>
        <v>0</v>
      </c>
      <c r="EW80" s="55">
        <f t="shared" si="456"/>
        <v>0</v>
      </c>
      <c r="EX80" s="59">
        <f t="shared" si="457"/>
        <v>0</v>
      </c>
      <c r="EY80" s="55">
        <f t="shared" si="458"/>
        <v>0</v>
      </c>
      <c r="EZ80" s="59">
        <f t="shared" si="459"/>
        <v>0</v>
      </c>
      <c r="FA80" s="57">
        <f t="shared" si="460"/>
        <v>0</v>
      </c>
      <c r="FB80" s="59">
        <f t="shared" si="461"/>
        <v>0</v>
      </c>
      <c r="FC80" s="55">
        <f t="shared" si="462"/>
        <v>0</v>
      </c>
      <c r="FD80" s="59">
        <f t="shared" si="463"/>
        <v>0</v>
      </c>
      <c r="FE80" s="57">
        <f t="shared" si="464"/>
        <v>0</v>
      </c>
      <c r="FF80" s="59">
        <f t="shared" si="465"/>
        <v>0</v>
      </c>
      <c r="FG80" s="60">
        <f t="shared" si="466"/>
        <v>0</v>
      </c>
      <c r="FH80" s="59">
        <f t="shared" si="467"/>
        <v>0</v>
      </c>
      <c r="FI80" s="57">
        <f t="shared" si="468"/>
        <v>0</v>
      </c>
      <c r="FJ80" s="59">
        <f t="shared" si="469"/>
        <v>0</v>
      </c>
      <c r="FK80" s="55">
        <f t="shared" si="470"/>
        <v>0</v>
      </c>
      <c r="FL80" s="59">
        <f t="shared" si="471"/>
        <v>0</v>
      </c>
      <c r="FM80" s="60">
        <f t="shared" si="472"/>
        <v>0</v>
      </c>
      <c r="FN80" s="59">
        <f t="shared" si="473"/>
        <v>0</v>
      </c>
      <c r="FO80" s="60">
        <f t="shared" si="474"/>
        <v>0</v>
      </c>
      <c r="FP80" s="59">
        <f t="shared" si="475"/>
        <v>0</v>
      </c>
      <c r="FQ80" s="60">
        <f t="shared" si="476"/>
        <v>0</v>
      </c>
      <c r="FR80" s="59">
        <f t="shared" si="477"/>
        <v>0</v>
      </c>
      <c r="FS80" s="55">
        <f t="shared" si="478"/>
        <v>0</v>
      </c>
      <c r="FT80" s="59">
        <f t="shared" si="479"/>
        <v>0</v>
      </c>
      <c r="FU80" s="60">
        <f t="shared" si="480"/>
        <v>0</v>
      </c>
      <c r="FV80" s="59">
        <f t="shared" si="481"/>
        <v>0</v>
      </c>
      <c r="FW80" s="60">
        <f t="shared" si="482"/>
        <v>0</v>
      </c>
      <c r="FX80" s="59">
        <f t="shared" si="483"/>
        <v>0</v>
      </c>
      <c r="FY80" s="60">
        <f t="shared" si="484"/>
        <v>0</v>
      </c>
      <c r="FZ80" s="59">
        <f t="shared" si="485"/>
        <v>0</v>
      </c>
      <c r="GA80" s="60">
        <f t="shared" si="486"/>
        <v>0</v>
      </c>
      <c r="GB80" s="59">
        <f t="shared" si="487"/>
        <v>0</v>
      </c>
      <c r="GC80" s="55">
        <f t="shared" si="488"/>
        <v>0</v>
      </c>
      <c r="GD80" s="59">
        <f t="shared" si="489"/>
        <v>0</v>
      </c>
      <c r="GE80" s="60">
        <f t="shared" si="490"/>
        <v>0</v>
      </c>
      <c r="GF80" s="59">
        <f t="shared" si="491"/>
        <v>0</v>
      </c>
      <c r="GG80" s="60">
        <f t="shared" si="492"/>
        <v>0</v>
      </c>
      <c r="GH80" s="59">
        <f t="shared" si="493"/>
        <v>0</v>
      </c>
      <c r="GI80" s="55">
        <f t="shared" si="494"/>
        <v>0</v>
      </c>
      <c r="GJ80" s="59">
        <f t="shared" si="495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4"/>
        <v>0.91</v>
      </c>
      <c r="GR80" s="55">
        <f t="shared" si="504"/>
        <v>0.89</v>
      </c>
      <c r="GS80" s="55">
        <f t="shared" si="504"/>
        <v>0.87</v>
      </c>
      <c r="GT80" s="55">
        <f t="shared" si="504"/>
        <v>0.85</v>
      </c>
      <c r="GU80" s="55">
        <f t="shared" si="504"/>
        <v>0.83</v>
      </c>
      <c r="GV80" s="55">
        <f t="shared" si="504"/>
        <v>0.80999999999999994</v>
      </c>
      <c r="GW80" s="55">
        <f t="shared" si="504"/>
        <v>0.78999999999999992</v>
      </c>
      <c r="GX80" s="55">
        <f t="shared" si="504"/>
        <v>0.76999999999999991</v>
      </c>
      <c r="GY80" s="55">
        <f t="shared" si="504"/>
        <v>0.74999999999999989</v>
      </c>
      <c r="GZ80" s="55">
        <f t="shared" si="504"/>
        <v>0.72999999999999987</v>
      </c>
      <c r="HA80" s="55">
        <f t="shared" si="504"/>
        <v>0.70999999999999985</v>
      </c>
      <c r="HB80" s="55">
        <f t="shared" si="504"/>
        <v>0.68999999999999984</v>
      </c>
      <c r="HC80" s="55">
        <f t="shared" si="504"/>
        <v>0.66999999999999982</v>
      </c>
      <c r="HD80" s="55">
        <f t="shared" si="504"/>
        <v>0.6499999999999998</v>
      </c>
      <c r="HE80" s="55">
        <f t="shared" si="504"/>
        <v>0.62999999999999978</v>
      </c>
      <c r="HF80" s="55">
        <f t="shared" si="504"/>
        <v>0.60999999999999976</v>
      </c>
      <c r="HG80" s="55">
        <f t="shared" si="504"/>
        <v>0.58999999999999975</v>
      </c>
      <c r="HH80" s="55">
        <f t="shared" si="504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65"/>
        <v>0</v>
      </c>
      <c r="H81" s="55">
        <f t="shared" si="61"/>
        <v>0</v>
      </c>
      <c r="I81" s="55">
        <f t="shared" si="62"/>
        <v>0</v>
      </c>
      <c r="J81" s="59">
        <f t="shared" si="63"/>
        <v>0</v>
      </c>
      <c r="K81" s="55">
        <f t="shared" si="366"/>
        <v>0</v>
      </c>
      <c r="L81" s="59">
        <f t="shared" si="367"/>
        <v>0</v>
      </c>
      <c r="M81" s="55">
        <f t="shared" si="368"/>
        <v>0</v>
      </c>
      <c r="N81" s="59">
        <f t="shared" si="369"/>
        <v>0</v>
      </c>
      <c r="O81" s="55">
        <f t="shared" si="370"/>
        <v>0</v>
      </c>
      <c r="P81" s="59">
        <f t="shared" si="371"/>
        <v>0</v>
      </c>
      <c r="Q81" s="57">
        <f t="shared" si="372"/>
        <v>0</v>
      </c>
      <c r="R81" s="59">
        <f t="shared" si="373"/>
        <v>0</v>
      </c>
      <c r="S81" s="55">
        <f t="shared" si="374"/>
        <v>0</v>
      </c>
      <c r="T81" s="59">
        <f t="shared" si="375"/>
        <v>0</v>
      </c>
      <c r="U81" s="57">
        <f t="shared" si="376"/>
        <v>0</v>
      </c>
      <c r="V81" s="59">
        <f t="shared" si="377"/>
        <v>0</v>
      </c>
      <c r="W81" s="60">
        <f t="shared" si="378"/>
        <v>0</v>
      </c>
      <c r="X81" s="59">
        <f t="shared" si="379"/>
        <v>0</v>
      </c>
      <c r="Y81" s="57">
        <f t="shared" si="380"/>
        <v>0</v>
      </c>
      <c r="Z81" s="59">
        <f t="shared" si="381"/>
        <v>0</v>
      </c>
      <c r="AA81" s="55">
        <f t="shared" si="382"/>
        <v>0</v>
      </c>
      <c r="AB81" s="59">
        <f t="shared" si="383"/>
        <v>0</v>
      </c>
      <c r="AC81" s="60">
        <f t="shared" si="384"/>
        <v>0</v>
      </c>
      <c r="AD81" s="59">
        <f t="shared" si="385"/>
        <v>0</v>
      </c>
      <c r="AE81" s="60">
        <f t="shared" si="386"/>
        <v>0</v>
      </c>
      <c r="AF81" s="59">
        <f t="shared" si="387"/>
        <v>0</v>
      </c>
      <c r="AG81" s="60">
        <f t="shared" si="388"/>
        <v>0</v>
      </c>
      <c r="AH81" s="59">
        <f t="shared" si="389"/>
        <v>0</v>
      </c>
      <c r="AI81" s="55">
        <f t="shared" si="390"/>
        <v>0</v>
      </c>
      <c r="AJ81" s="59">
        <f t="shared" si="391"/>
        <v>0</v>
      </c>
      <c r="AK81" s="60">
        <f t="shared" si="392"/>
        <v>0</v>
      </c>
      <c r="AL81" s="59">
        <f t="shared" si="393"/>
        <v>0</v>
      </c>
      <c r="AM81" s="60">
        <f t="shared" si="394"/>
        <v>0</v>
      </c>
      <c r="AN81" s="59">
        <f t="shared" si="395"/>
        <v>0</v>
      </c>
      <c r="AO81" s="60">
        <f t="shared" si="396"/>
        <v>0</v>
      </c>
      <c r="AP81" s="59">
        <f t="shared" si="397"/>
        <v>0</v>
      </c>
      <c r="AQ81" s="60">
        <f t="shared" si="398"/>
        <v>0</v>
      </c>
      <c r="AR81" s="59">
        <f t="shared" si="399"/>
        <v>0</v>
      </c>
      <c r="AS81" s="55">
        <f t="shared" si="400"/>
        <v>0</v>
      </c>
      <c r="AT81" s="59">
        <f t="shared" si="401"/>
        <v>0</v>
      </c>
      <c r="AU81" s="60">
        <f t="shared" si="402"/>
        <v>0</v>
      </c>
      <c r="AV81" s="59">
        <f t="shared" si="403"/>
        <v>0</v>
      </c>
      <c r="AW81" s="60">
        <f t="shared" si="404"/>
        <v>0</v>
      </c>
      <c r="AX81" s="59">
        <f t="shared" si="405"/>
        <v>0</v>
      </c>
      <c r="AY81" s="55">
        <f t="shared" si="406"/>
        <v>0</v>
      </c>
      <c r="AZ81" s="59">
        <f t="shared" si="407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0"/>
        <v>0.91</v>
      </c>
      <c r="BH81" s="55">
        <f t="shared" si="500"/>
        <v>0.89</v>
      </c>
      <c r="BI81" s="55">
        <f t="shared" si="500"/>
        <v>0.87</v>
      </c>
      <c r="BJ81" s="55">
        <f t="shared" si="500"/>
        <v>0.85</v>
      </c>
      <c r="BK81" s="55">
        <f t="shared" si="500"/>
        <v>0.83</v>
      </c>
      <c r="BL81" s="55">
        <f t="shared" si="500"/>
        <v>0.80999999999999994</v>
      </c>
      <c r="BM81" s="55">
        <f t="shared" si="500"/>
        <v>0.78999999999999992</v>
      </c>
      <c r="BN81" s="55">
        <f t="shared" si="500"/>
        <v>0.76999999999999991</v>
      </c>
      <c r="BO81" s="55">
        <f t="shared" si="500"/>
        <v>0.74999999999999989</v>
      </c>
      <c r="BP81" s="55">
        <f t="shared" si="500"/>
        <v>0.72999999999999987</v>
      </c>
      <c r="BQ81" s="55">
        <f t="shared" si="500"/>
        <v>0.70999999999999985</v>
      </c>
      <c r="BR81" s="55">
        <f t="shared" si="500"/>
        <v>0.68999999999999984</v>
      </c>
      <c r="BS81" s="55">
        <f t="shared" si="500"/>
        <v>0.66999999999999982</v>
      </c>
      <c r="BT81" s="55">
        <f t="shared" si="500"/>
        <v>0.6499999999999998</v>
      </c>
      <c r="BU81" s="55">
        <f t="shared" si="500"/>
        <v>0.62999999999999978</v>
      </c>
      <c r="BV81" s="55">
        <f t="shared" si="500"/>
        <v>0.60999999999999976</v>
      </c>
      <c r="BW81" s="55">
        <f t="shared" si="500"/>
        <v>0.58999999999999975</v>
      </c>
      <c r="BX81" s="55">
        <f t="shared" si="500"/>
        <v>0.56999999999999973</v>
      </c>
      <c r="BZ81" s="55">
        <f t="shared" si="88"/>
        <v>0</v>
      </c>
      <c r="CA81" s="55">
        <f t="shared" si="89"/>
        <v>0</v>
      </c>
      <c r="CB81" s="59">
        <f t="shared" si="409"/>
        <v>0</v>
      </c>
      <c r="CC81" s="55">
        <f t="shared" si="410"/>
        <v>0</v>
      </c>
      <c r="CD81" s="59">
        <f t="shared" si="411"/>
        <v>0</v>
      </c>
      <c r="CE81" s="55">
        <f t="shared" si="412"/>
        <v>0</v>
      </c>
      <c r="CF81" s="59">
        <f t="shared" si="413"/>
        <v>0</v>
      </c>
      <c r="CG81" s="55">
        <f t="shared" si="414"/>
        <v>0</v>
      </c>
      <c r="CH81" s="59">
        <f t="shared" si="415"/>
        <v>0</v>
      </c>
      <c r="CI81" s="57">
        <f t="shared" si="416"/>
        <v>0</v>
      </c>
      <c r="CJ81" s="59">
        <f t="shared" si="417"/>
        <v>0</v>
      </c>
      <c r="CK81" s="55">
        <f t="shared" si="418"/>
        <v>0</v>
      </c>
      <c r="CL81" s="59">
        <f t="shared" si="419"/>
        <v>0</v>
      </c>
      <c r="CM81" s="57">
        <f t="shared" si="420"/>
        <v>0</v>
      </c>
      <c r="CN81" s="59">
        <f t="shared" si="421"/>
        <v>0</v>
      </c>
      <c r="CO81" s="60">
        <f t="shared" si="422"/>
        <v>0</v>
      </c>
      <c r="CP81" s="59">
        <f t="shared" si="423"/>
        <v>0</v>
      </c>
      <c r="CQ81" s="57">
        <f t="shared" si="424"/>
        <v>0</v>
      </c>
      <c r="CR81" s="59">
        <f t="shared" si="425"/>
        <v>0</v>
      </c>
      <c r="CS81" s="55">
        <f t="shared" si="426"/>
        <v>0</v>
      </c>
      <c r="CT81" s="59">
        <f t="shared" si="427"/>
        <v>0</v>
      </c>
      <c r="CU81" s="60">
        <f t="shared" si="428"/>
        <v>0</v>
      </c>
      <c r="CV81" s="59">
        <f t="shared" si="429"/>
        <v>0</v>
      </c>
      <c r="CW81" s="60">
        <f t="shared" si="430"/>
        <v>0</v>
      </c>
      <c r="CX81" s="59">
        <f t="shared" si="431"/>
        <v>0</v>
      </c>
      <c r="CY81" s="60">
        <f t="shared" si="432"/>
        <v>0</v>
      </c>
      <c r="CZ81" s="59">
        <f t="shared" si="433"/>
        <v>0</v>
      </c>
      <c r="DA81" s="55">
        <f t="shared" si="434"/>
        <v>0</v>
      </c>
      <c r="DB81" s="59">
        <f t="shared" si="435"/>
        <v>0</v>
      </c>
      <c r="DC81" s="60">
        <f t="shared" si="436"/>
        <v>0</v>
      </c>
      <c r="DD81" s="59">
        <f t="shared" si="437"/>
        <v>0</v>
      </c>
      <c r="DE81" s="60">
        <f t="shared" si="438"/>
        <v>0</v>
      </c>
      <c r="DF81" s="59">
        <f t="shared" si="439"/>
        <v>0</v>
      </c>
      <c r="DG81" s="60">
        <f t="shared" si="440"/>
        <v>0</v>
      </c>
      <c r="DH81" s="59">
        <f t="shared" si="441"/>
        <v>0</v>
      </c>
      <c r="DI81" s="60">
        <f t="shared" si="442"/>
        <v>0</v>
      </c>
      <c r="DJ81" s="59">
        <f t="shared" si="443"/>
        <v>0</v>
      </c>
      <c r="DK81" s="55">
        <f t="shared" si="444"/>
        <v>0</v>
      </c>
      <c r="DL81" s="59">
        <f t="shared" si="445"/>
        <v>0</v>
      </c>
      <c r="DM81" s="60">
        <f t="shared" si="446"/>
        <v>0</v>
      </c>
      <c r="DN81" s="59">
        <f t="shared" si="447"/>
        <v>0</v>
      </c>
      <c r="DO81" s="60">
        <f t="shared" si="448"/>
        <v>0</v>
      </c>
      <c r="DP81" s="59">
        <f t="shared" si="449"/>
        <v>0</v>
      </c>
      <c r="DQ81" s="55">
        <f t="shared" si="450"/>
        <v>0</v>
      </c>
      <c r="DR81" s="59">
        <f t="shared" si="451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3"/>
        <v>0.91</v>
      </c>
      <c r="DZ81" s="55">
        <f t="shared" si="503"/>
        <v>0.89</v>
      </c>
      <c r="EA81" s="55">
        <f t="shared" si="503"/>
        <v>0.87</v>
      </c>
      <c r="EB81" s="55">
        <f t="shared" si="503"/>
        <v>0.85</v>
      </c>
      <c r="EC81" s="55">
        <f t="shared" si="503"/>
        <v>0.83</v>
      </c>
      <c r="ED81" s="55">
        <f t="shared" si="503"/>
        <v>0.80999999999999994</v>
      </c>
      <c r="EE81" s="55">
        <f t="shared" si="503"/>
        <v>0.78999999999999992</v>
      </c>
      <c r="EF81" s="55">
        <f t="shared" si="503"/>
        <v>0.76999999999999991</v>
      </c>
      <c r="EG81" s="55">
        <f t="shared" si="503"/>
        <v>0.74999999999999989</v>
      </c>
      <c r="EH81" s="55">
        <f t="shared" si="503"/>
        <v>0.72999999999999987</v>
      </c>
      <c r="EI81" s="55">
        <f t="shared" si="503"/>
        <v>0.70999999999999985</v>
      </c>
      <c r="EJ81" s="55">
        <f t="shared" si="503"/>
        <v>0.68999999999999984</v>
      </c>
      <c r="EK81" s="55">
        <f t="shared" si="503"/>
        <v>0.66999999999999982</v>
      </c>
      <c r="EL81" s="55">
        <f t="shared" si="503"/>
        <v>0.6499999999999998</v>
      </c>
      <c r="EM81" s="55">
        <f t="shared" si="503"/>
        <v>0.62999999999999978</v>
      </c>
      <c r="EN81" s="55">
        <f t="shared" si="503"/>
        <v>0.60999999999999976</v>
      </c>
      <c r="EO81" s="55">
        <f t="shared" si="503"/>
        <v>0.58999999999999975</v>
      </c>
      <c r="EP81" s="55">
        <f t="shared" si="503"/>
        <v>0.56999999999999973</v>
      </c>
      <c r="ER81" s="55">
        <f t="shared" si="142"/>
        <v>0</v>
      </c>
      <c r="ES81" s="55">
        <f t="shared" si="116"/>
        <v>0</v>
      </c>
      <c r="ET81" s="59">
        <f t="shared" si="453"/>
        <v>0</v>
      </c>
      <c r="EU81" s="55">
        <f t="shared" si="454"/>
        <v>0</v>
      </c>
      <c r="EV81" s="59">
        <f t="shared" si="455"/>
        <v>0</v>
      </c>
      <c r="EW81" s="55">
        <f t="shared" si="456"/>
        <v>0</v>
      </c>
      <c r="EX81" s="59">
        <f t="shared" si="457"/>
        <v>0</v>
      </c>
      <c r="EY81" s="55">
        <f t="shared" si="458"/>
        <v>0</v>
      </c>
      <c r="EZ81" s="59">
        <f t="shared" si="459"/>
        <v>0</v>
      </c>
      <c r="FA81" s="57">
        <f t="shared" si="460"/>
        <v>0</v>
      </c>
      <c r="FB81" s="59">
        <f t="shared" si="461"/>
        <v>0</v>
      </c>
      <c r="FC81" s="55">
        <f t="shared" si="462"/>
        <v>0</v>
      </c>
      <c r="FD81" s="59">
        <f t="shared" si="463"/>
        <v>0</v>
      </c>
      <c r="FE81" s="57">
        <f t="shared" si="464"/>
        <v>0</v>
      </c>
      <c r="FF81" s="59">
        <f t="shared" si="465"/>
        <v>0</v>
      </c>
      <c r="FG81" s="60">
        <f t="shared" si="466"/>
        <v>0</v>
      </c>
      <c r="FH81" s="59">
        <f t="shared" si="467"/>
        <v>0</v>
      </c>
      <c r="FI81" s="57">
        <f t="shared" si="468"/>
        <v>0</v>
      </c>
      <c r="FJ81" s="59">
        <f t="shared" si="469"/>
        <v>0</v>
      </c>
      <c r="FK81" s="55">
        <f t="shared" si="470"/>
        <v>0</v>
      </c>
      <c r="FL81" s="59">
        <f t="shared" si="471"/>
        <v>0</v>
      </c>
      <c r="FM81" s="60">
        <f t="shared" si="472"/>
        <v>0</v>
      </c>
      <c r="FN81" s="59">
        <f t="shared" si="473"/>
        <v>0</v>
      </c>
      <c r="FO81" s="60">
        <f t="shared" si="474"/>
        <v>0</v>
      </c>
      <c r="FP81" s="59">
        <f t="shared" si="475"/>
        <v>0</v>
      </c>
      <c r="FQ81" s="60">
        <f t="shared" si="476"/>
        <v>0</v>
      </c>
      <c r="FR81" s="59">
        <f t="shared" si="477"/>
        <v>0</v>
      </c>
      <c r="FS81" s="55">
        <f t="shared" si="478"/>
        <v>0</v>
      </c>
      <c r="FT81" s="59">
        <f t="shared" si="479"/>
        <v>0</v>
      </c>
      <c r="FU81" s="60">
        <f t="shared" si="480"/>
        <v>0</v>
      </c>
      <c r="FV81" s="59">
        <f t="shared" si="481"/>
        <v>0</v>
      </c>
      <c r="FW81" s="60">
        <f t="shared" si="482"/>
        <v>0</v>
      </c>
      <c r="FX81" s="59">
        <f t="shared" si="483"/>
        <v>0</v>
      </c>
      <c r="FY81" s="60">
        <f t="shared" si="484"/>
        <v>0</v>
      </c>
      <c r="FZ81" s="59">
        <f t="shared" si="485"/>
        <v>0</v>
      </c>
      <c r="GA81" s="60">
        <f t="shared" si="486"/>
        <v>0</v>
      </c>
      <c r="GB81" s="59">
        <f t="shared" si="487"/>
        <v>0</v>
      </c>
      <c r="GC81" s="55">
        <f t="shared" si="488"/>
        <v>0</v>
      </c>
      <c r="GD81" s="59">
        <f t="shared" si="489"/>
        <v>0</v>
      </c>
      <c r="GE81" s="60">
        <f t="shared" si="490"/>
        <v>0</v>
      </c>
      <c r="GF81" s="59">
        <f t="shared" si="491"/>
        <v>0</v>
      </c>
      <c r="GG81" s="60">
        <f t="shared" si="492"/>
        <v>0</v>
      </c>
      <c r="GH81" s="59">
        <f t="shared" si="493"/>
        <v>0</v>
      </c>
      <c r="GI81" s="55">
        <f t="shared" si="494"/>
        <v>0</v>
      </c>
      <c r="GJ81" s="59">
        <f t="shared" si="495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4"/>
        <v>0.91</v>
      </c>
      <c r="GR81" s="55">
        <f t="shared" si="504"/>
        <v>0.89</v>
      </c>
      <c r="GS81" s="55">
        <f t="shared" si="504"/>
        <v>0.87</v>
      </c>
      <c r="GT81" s="55">
        <f t="shared" si="504"/>
        <v>0.85</v>
      </c>
      <c r="GU81" s="55">
        <f t="shared" si="504"/>
        <v>0.83</v>
      </c>
      <c r="GV81" s="55">
        <f t="shared" si="504"/>
        <v>0.80999999999999994</v>
      </c>
      <c r="GW81" s="55">
        <f t="shared" si="504"/>
        <v>0.78999999999999992</v>
      </c>
      <c r="GX81" s="55">
        <f t="shared" si="504"/>
        <v>0.76999999999999991</v>
      </c>
      <c r="GY81" s="55">
        <f t="shared" si="504"/>
        <v>0.74999999999999989</v>
      </c>
      <c r="GZ81" s="55">
        <f t="shared" si="504"/>
        <v>0.72999999999999987</v>
      </c>
      <c r="HA81" s="55">
        <f t="shared" si="504"/>
        <v>0.70999999999999985</v>
      </c>
      <c r="HB81" s="55">
        <f t="shared" si="504"/>
        <v>0.68999999999999984</v>
      </c>
      <c r="HC81" s="55">
        <f t="shared" si="504"/>
        <v>0.66999999999999982</v>
      </c>
      <c r="HD81" s="55">
        <f t="shared" si="504"/>
        <v>0.6499999999999998</v>
      </c>
      <c r="HE81" s="55">
        <f t="shared" si="504"/>
        <v>0.62999999999999978</v>
      </c>
      <c r="HF81" s="55">
        <f t="shared" si="504"/>
        <v>0.60999999999999976</v>
      </c>
      <c r="HG81" s="55">
        <f t="shared" si="504"/>
        <v>0.58999999999999975</v>
      </c>
      <c r="HH81" s="55">
        <f t="shared" si="504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65"/>
        <v>0</v>
      </c>
      <c r="H82" s="55">
        <f t="shared" si="61"/>
        <v>0</v>
      </c>
      <c r="I82" s="55">
        <f t="shared" si="62"/>
        <v>0</v>
      </c>
      <c r="J82" s="59">
        <f t="shared" si="63"/>
        <v>0</v>
      </c>
      <c r="K82" s="55">
        <f t="shared" si="366"/>
        <v>0</v>
      </c>
      <c r="L82" s="59">
        <f t="shared" si="367"/>
        <v>0</v>
      </c>
      <c r="M82" s="55">
        <f t="shared" si="368"/>
        <v>0</v>
      </c>
      <c r="N82" s="59">
        <f t="shared" si="369"/>
        <v>0</v>
      </c>
      <c r="O82" s="55">
        <f t="shared" si="370"/>
        <v>0</v>
      </c>
      <c r="P82" s="59">
        <f t="shared" si="371"/>
        <v>0</v>
      </c>
      <c r="Q82" s="57">
        <f t="shared" si="372"/>
        <v>0</v>
      </c>
      <c r="R82" s="59">
        <f t="shared" si="373"/>
        <v>0</v>
      </c>
      <c r="S82" s="55">
        <f t="shared" si="374"/>
        <v>0</v>
      </c>
      <c r="T82" s="59">
        <f t="shared" si="375"/>
        <v>0</v>
      </c>
      <c r="U82" s="57">
        <f t="shared" si="376"/>
        <v>0</v>
      </c>
      <c r="V82" s="59">
        <f t="shared" si="377"/>
        <v>0</v>
      </c>
      <c r="W82" s="60">
        <f t="shared" si="378"/>
        <v>0</v>
      </c>
      <c r="X82" s="59">
        <f t="shared" si="379"/>
        <v>0</v>
      </c>
      <c r="Y82" s="57">
        <f t="shared" si="380"/>
        <v>0</v>
      </c>
      <c r="Z82" s="59">
        <f t="shared" si="381"/>
        <v>0</v>
      </c>
      <c r="AA82" s="55">
        <f t="shared" si="382"/>
        <v>0</v>
      </c>
      <c r="AB82" s="59">
        <f t="shared" si="383"/>
        <v>0</v>
      </c>
      <c r="AC82" s="60">
        <f t="shared" si="384"/>
        <v>0</v>
      </c>
      <c r="AD82" s="59">
        <f t="shared" si="385"/>
        <v>0</v>
      </c>
      <c r="AE82" s="60">
        <f t="shared" si="386"/>
        <v>0</v>
      </c>
      <c r="AF82" s="59">
        <f t="shared" si="387"/>
        <v>0</v>
      </c>
      <c r="AG82" s="60">
        <f t="shared" si="388"/>
        <v>0</v>
      </c>
      <c r="AH82" s="59">
        <f t="shared" si="389"/>
        <v>0</v>
      </c>
      <c r="AI82" s="55">
        <f t="shared" si="390"/>
        <v>0</v>
      </c>
      <c r="AJ82" s="59">
        <f t="shared" si="391"/>
        <v>0</v>
      </c>
      <c r="AK82" s="60">
        <f t="shared" si="392"/>
        <v>0</v>
      </c>
      <c r="AL82" s="59">
        <f t="shared" si="393"/>
        <v>0</v>
      </c>
      <c r="AM82" s="60">
        <f t="shared" si="394"/>
        <v>0</v>
      </c>
      <c r="AN82" s="59">
        <f t="shared" si="395"/>
        <v>0</v>
      </c>
      <c r="AO82" s="60">
        <f t="shared" si="396"/>
        <v>0</v>
      </c>
      <c r="AP82" s="59">
        <f t="shared" si="397"/>
        <v>0</v>
      </c>
      <c r="AQ82" s="60">
        <f t="shared" si="398"/>
        <v>0</v>
      </c>
      <c r="AR82" s="59">
        <f t="shared" si="399"/>
        <v>0</v>
      </c>
      <c r="AS82" s="55">
        <f t="shared" si="400"/>
        <v>0</v>
      </c>
      <c r="AT82" s="59">
        <f t="shared" si="401"/>
        <v>0</v>
      </c>
      <c r="AU82" s="60">
        <f t="shared" si="402"/>
        <v>0</v>
      </c>
      <c r="AV82" s="59">
        <f t="shared" si="403"/>
        <v>0</v>
      </c>
      <c r="AW82" s="60">
        <f t="shared" si="404"/>
        <v>0</v>
      </c>
      <c r="AX82" s="59">
        <f t="shared" si="405"/>
        <v>0</v>
      </c>
      <c r="AY82" s="55">
        <f t="shared" si="406"/>
        <v>0</v>
      </c>
      <c r="AZ82" s="59">
        <f t="shared" si="407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0"/>
        <v>0.91</v>
      </c>
      <c r="BH82" s="55">
        <f t="shared" si="500"/>
        <v>0.89</v>
      </c>
      <c r="BI82" s="55">
        <f t="shared" si="500"/>
        <v>0.87</v>
      </c>
      <c r="BJ82" s="55">
        <f t="shared" si="500"/>
        <v>0.85</v>
      </c>
      <c r="BK82" s="55">
        <f t="shared" si="500"/>
        <v>0.83</v>
      </c>
      <c r="BL82" s="55">
        <f t="shared" si="500"/>
        <v>0.80999999999999994</v>
      </c>
      <c r="BM82" s="55">
        <f t="shared" si="500"/>
        <v>0.78999999999999992</v>
      </c>
      <c r="BN82" s="55">
        <f t="shared" si="500"/>
        <v>0.76999999999999991</v>
      </c>
      <c r="BO82" s="55">
        <f t="shared" si="500"/>
        <v>0.74999999999999989</v>
      </c>
      <c r="BP82" s="55">
        <f t="shared" si="500"/>
        <v>0.72999999999999987</v>
      </c>
      <c r="BQ82" s="55">
        <f t="shared" si="500"/>
        <v>0.70999999999999985</v>
      </c>
      <c r="BR82" s="55">
        <f t="shared" si="500"/>
        <v>0.68999999999999984</v>
      </c>
      <c r="BS82" s="55">
        <f t="shared" si="500"/>
        <v>0.66999999999999982</v>
      </c>
      <c r="BT82" s="55">
        <f t="shared" si="500"/>
        <v>0.6499999999999998</v>
      </c>
      <c r="BU82" s="55">
        <f t="shared" si="500"/>
        <v>0.62999999999999978</v>
      </c>
      <c r="BV82" s="55">
        <f t="shared" si="500"/>
        <v>0.60999999999999976</v>
      </c>
      <c r="BW82" s="55">
        <f t="shared" si="500"/>
        <v>0.58999999999999975</v>
      </c>
      <c r="BX82" s="55">
        <f t="shared" si="500"/>
        <v>0.56999999999999973</v>
      </c>
      <c r="BZ82" s="55">
        <f t="shared" si="88"/>
        <v>0</v>
      </c>
      <c r="CA82" s="55">
        <f t="shared" si="89"/>
        <v>0</v>
      </c>
      <c r="CB82" s="59">
        <f t="shared" si="409"/>
        <v>0</v>
      </c>
      <c r="CC82" s="55">
        <f t="shared" si="410"/>
        <v>0</v>
      </c>
      <c r="CD82" s="59">
        <f t="shared" si="411"/>
        <v>0</v>
      </c>
      <c r="CE82" s="55">
        <f t="shared" si="412"/>
        <v>0</v>
      </c>
      <c r="CF82" s="59">
        <f t="shared" si="413"/>
        <v>0</v>
      </c>
      <c r="CG82" s="55">
        <f t="shared" si="414"/>
        <v>0</v>
      </c>
      <c r="CH82" s="59">
        <f t="shared" si="415"/>
        <v>0</v>
      </c>
      <c r="CI82" s="57">
        <f t="shared" si="416"/>
        <v>0</v>
      </c>
      <c r="CJ82" s="59">
        <f t="shared" si="417"/>
        <v>0</v>
      </c>
      <c r="CK82" s="55">
        <f t="shared" si="418"/>
        <v>0</v>
      </c>
      <c r="CL82" s="59">
        <f t="shared" si="419"/>
        <v>0</v>
      </c>
      <c r="CM82" s="57">
        <f t="shared" si="420"/>
        <v>0</v>
      </c>
      <c r="CN82" s="59">
        <f t="shared" si="421"/>
        <v>0</v>
      </c>
      <c r="CO82" s="60">
        <f t="shared" si="422"/>
        <v>0</v>
      </c>
      <c r="CP82" s="59">
        <f t="shared" si="423"/>
        <v>0</v>
      </c>
      <c r="CQ82" s="57">
        <f t="shared" si="424"/>
        <v>0</v>
      </c>
      <c r="CR82" s="59">
        <f t="shared" si="425"/>
        <v>0</v>
      </c>
      <c r="CS82" s="55">
        <f t="shared" si="426"/>
        <v>0</v>
      </c>
      <c r="CT82" s="59">
        <f t="shared" si="427"/>
        <v>0</v>
      </c>
      <c r="CU82" s="60">
        <f t="shared" si="428"/>
        <v>0</v>
      </c>
      <c r="CV82" s="59">
        <f t="shared" si="429"/>
        <v>0</v>
      </c>
      <c r="CW82" s="60">
        <f t="shared" si="430"/>
        <v>0</v>
      </c>
      <c r="CX82" s="59">
        <f t="shared" si="431"/>
        <v>0</v>
      </c>
      <c r="CY82" s="60">
        <f t="shared" si="432"/>
        <v>0</v>
      </c>
      <c r="CZ82" s="59">
        <f t="shared" si="433"/>
        <v>0</v>
      </c>
      <c r="DA82" s="55">
        <f t="shared" si="434"/>
        <v>0</v>
      </c>
      <c r="DB82" s="59">
        <f t="shared" si="435"/>
        <v>0</v>
      </c>
      <c r="DC82" s="60">
        <f t="shared" si="436"/>
        <v>0</v>
      </c>
      <c r="DD82" s="59">
        <f t="shared" si="437"/>
        <v>0</v>
      </c>
      <c r="DE82" s="60">
        <f t="shared" si="438"/>
        <v>0</v>
      </c>
      <c r="DF82" s="59">
        <f t="shared" si="439"/>
        <v>0</v>
      </c>
      <c r="DG82" s="60">
        <f t="shared" si="440"/>
        <v>0</v>
      </c>
      <c r="DH82" s="59">
        <f t="shared" si="441"/>
        <v>0</v>
      </c>
      <c r="DI82" s="60">
        <f t="shared" si="442"/>
        <v>0</v>
      </c>
      <c r="DJ82" s="59">
        <f t="shared" si="443"/>
        <v>0</v>
      </c>
      <c r="DK82" s="55">
        <f t="shared" si="444"/>
        <v>0</v>
      </c>
      <c r="DL82" s="59">
        <f t="shared" si="445"/>
        <v>0</v>
      </c>
      <c r="DM82" s="60">
        <f t="shared" si="446"/>
        <v>0</v>
      </c>
      <c r="DN82" s="59">
        <f t="shared" si="447"/>
        <v>0</v>
      </c>
      <c r="DO82" s="60">
        <f t="shared" si="448"/>
        <v>0</v>
      </c>
      <c r="DP82" s="59">
        <f t="shared" si="449"/>
        <v>0</v>
      </c>
      <c r="DQ82" s="55">
        <f t="shared" si="450"/>
        <v>0</v>
      </c>
      <c r="DR82" s="59">
        <f t="shared" si="451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3"/>
        <v>0.91</v>
      </c>
      <c r="DZ82" s="55">
        <f t="shared" si="503"/>
        <v>0.89</v>
      </c>
      <c r="EA82" s="55">
        <f t="shared" si="503"/>
        <v>0.87</v>
      </c>
      <c r="EB82" s="55">
        <f t="shared" si="503"/>
        <v>0.85</v>
      </c>
      <c r="EC82" s="55">
        <f t="shared" si="503"/>
        <v>0.83</v>
      </c>
      <c r="ED82" s="55">
        <f t="shared" si="503"/>
        <v>0.80999999999999994</v>
      </c>
      <c r="EE82" s="55">
        <f t="shared" si="503"/>
        <v>0.78999999999999992</v>
      </c>
      <c r="EF82" s="55">
        <f t="shared" si="503"/>
        <v>0.76999999999999991</v>
      </c>
      <c r="EG82" s="55">
        <f t="shared" si="503"/>
        <v>0.74999999999999989</v>
      </c>
      <c r="EH82" s="55">
        <f t="shared" si="503"/>
        <v>0.72999999999999987</v>
      </c>
      <c r="EI82" s="55">
        <f t="shared" si="503"/>
        <v>0.70999999999999985</v>
      </c>
      <c r="EJ82" s="55">
        <f t="shared" si="503"/>
        <v>0.68999999999999984</v>
      </c>
      <c r="EK82" s="55">
        <f t="shared" si="503"/>
        <v>0.66999999999999982</v>
      </c>
      <c r="EL82" s="55">
        <f t="shared" si="503"/>
        <v>0.6499999999999998</v>
      </c>
      <c r="EM82" s="55">
        <f t="shared" si="503"/>
        <v>0.62999999999999978</v>
      </c>
      <c r="EN82" s="55">
        <f t="shared" si="503"/>
        <v>0.60999999999999976</v>
      </c>
      <c r="EO82" s="55">
        <f t="shared" si="503"/>
        <v>0.58999999999999975</v>
      </c>
      <c r="EP82" s="55">
        <f t="shared" si="503"/>
        <v>0.56999999999999973</v>
      </c>
      <c r="ER82" s="55">
        <f t="shared" si="142"/>
        <v>0</v>
      </c>
      <c r="ES82" s="55">
        <f t="shared" si="116"/>
        <v>0</v>
      </c>
      <c r="ET82" s="59">
        <f t="shared" si="453"/>
        <v>0</v>
      </c>
      <c r="EU82" s="55">
        <f t="shared" si="454"/>
        <v>0</v>
      </c>
      <c r="EV82" s="59">
        <f t="shared" si="455"/>
        <v>0</v>
      </c>
      <c r="EW82" s="55">
        <f t="shared" si="456"/>
        <v>0</v>
      </c>
      <c r="EX82" s="59">
        <f t="shared" si="457"/>
        <v>0</v>
      </c>
      <c r="EY82" s="55">
        <f t="shared" si="458"/>
        <v>0</v>
      </c>
      <c r="EZ82" s="59">
        <f t="shared" si="459"/>
        <v>0</v>
      </c>
      <c r="FA82" s="57">
        <f t="shared" si="460"/>
        <v>0</v>
      </c>
      <c r="FB82" s="59">
        <f t="shared" si="461"/>
        <v>0</v>
      </c>
      <c r="FC82" s="55">
        <f t="shared" si="462"/>
        <v>0</v>
      </c>
      <c r="FD82" s="59">
        <f t="shared" si="463"/>
        <v>0</v>
      </c>
      <c r="FE82" s="57">
        <f t="shared" si="464"/>
        <v>0</v>
      </c>
      <c r="FF82" s="59">
        <f t="shared" si="465"/>
        <v>0</v>
      </c>
      <c r="FG82" s="60">
        <f t="shared" si="466"/>
        <v>0</v>
      </c>
      <c r="FH82" s="59">
        <f t="shared" si="467"/>
        <v>0</v>
      </c>
      <c r="FI82" s="57">
        <f t="shared" si="468"/>
        <v>0</v>
      </c>
      <c r="FJ82" s="59">
        <f t="shared" si="469"/>
        <v>0</v>
      </c>
      <c r="FK82" s="55">
        <f t="shared" si="470"/>
        <v>0</v>
      </c>
      <c r="FL82" s="59">
        <f t="shared" si="471"/>
        <v>0</v>
      </c>
      <c r="FM82" s="60">
        <f t="shared" si="472"/>
        <v>0</v>
      </c>
      <c r="FN82" s="59">
        <f t="shared" si="473"/>
        <v>0</v>
      </c>
      <c r="FO82" s="60">
        <f t="shared" si="474"/>
        <v>0</v>
      </c>
      <c r="FP82" s="59">
        <f t="shared" si="475"/>
        <v>0</v>
      </c>
      <c r="FQ82" s="60">
        <f t="shared" si="476"/>
        <v>0</v>
      </c>
      <c r="FR82" s="59">
        <f t="shared" si="477"/>
        <v>0</v>
      </c>
      <c r="FS82" s="55">
        <f t="shared" si="478"/>
        <v>0</v>
      </c>
      <c r="FT82" s="59">
        <f t="shared" si="479"/>
        <v>0</v>
      </c>
      <c r="FU82" s="60">
        <f t="shared" si="480"/>
        <v>0</v>
      </c>
      <c r="FV82" s="59">
        <f t="shared" si="481"/>
        <v>0</v>
      </c>
      <c r="FW82" s="60">
        <f t="shared" si="482"/>
        <v>0</v>
      </c>
      <c r="FX82" s="59">
        <f t="shared" si="483"/>
        <v>0</v>
      </c>
      <c r="FY82" s="60">
        <f t="shared" si="484"/>
        <v>0</v>
      </c>
      <c r="FZ82" s="59">
        <f t="shared" si="485"/>
        <v>0</v>
      </c>
      <c r="GA82" s="60">
        <f t="shared" si="486"/>
        <v>0</v>
      </c>
      <c r="GB82" s="59">
        <f t="shared" si="487"/>
        <v>0</v>
      </c>
      <c r="GC82" s="55">
        <f t="shared" si="488"/>
        <v>0</v>
      </c>
      <c r="GD82" s="59">
        <f t="shared" si="489"/>
        <v>0</v>
      </c>
      <c r="GE82" s="60">
        <f t="shared" si="490"/>
        <v>0</v>
      </c>
      <c r="GF82" s="59">
        <f t="shared" si="491"/>
        <v>0</v>
      </c>
      <c r="GG82" s="60">
        <f t="shared" si="492"/>
        <v>0</v>
      </c>
      <c r="GH82" s="59">
        <f t="shared" si="493"/>
        <v>0</v>
      </c>
      <c r="GI82" s="55">
        <f t="shared" si="494"/>
        <v>0</v>
      </c>
      <c r="GJ82" s="59">
        <f t="shared" si="495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4"/>
        <v>0.91</v>
      </c>
      <c r="GR82" s="55">
        <f t="shared" si="504"/>
        <v>0.89</v>
      </c>
      <c r="GS82" s="55">
        <f t="shared" si="504"/>
        <v>0.87</v>
      </c>
      <c r="GT82" s="55">
        <f t="shared" si="504"/>
        <v>0.85</v>
      </c>
      <c r="GU82" s="55">
        <f t="shared" si="504"/>
        <v>0.83</v>
      </c>
      <c r="GV82" s="55">
        <f t="shared" si="504"/>
        <v>0.80999999999999994</v>
      </c>
      <c r="GW82" s="55">
        <f t="shared" si="504"/>
        <v>0.78999999999999992</v>
      </c>
      <c r="GX82" s="55">
        <f t="shared" si="504"/>
        <v>0.76999999999999991</v>
      </c>
      <c r="GY82" s="55">
        <f t="shared" si="504"/>
        <v>0.74999999999999989</v>
      </c>
      <c r="GZ82" s="55">
        <f t="shared" si="504"/>
        <v>0.72999999999999987</v>
      </c>
      <c r="HA82" s="55">
        <f t="shared" si="504"/>
        <v>0.70999999999999985</v>
      </c>
      <c r="HB82" s="55">
        <f t="shared" si="504"/>
        <v>0.68999999999999984</v>
      </c>
      <c r="HC82" s="55">
        <f t="shared" si="504"/>
        <v>0.66999999999999982</v>
      </c>
      <c r="HD82" s="55">
        <f t="shared" si="504"/>
        <v>0.6499999999999998</v>
      </c>
      <c r="HE82" s="55">
        <f t="shared" si="504"/>
        <v>0.62999999999999978</v>
      </c>
      <c r="HF82" s="55">
        <f t="shared" si="504"/>
        <v>0.60999999999999976</v>
      </c>
      <c r="HG82" s="55">
        <f t="shared" si="504"/>
        <v>0.58999999999999975</v>
      </c>
      <c r="HH82" s="55">
        <f t="shared" si="504"/>
        <v>0.56999999999999973</v>
      </c>
    </row>
    <row r="83" spans="1:216" x14ac:dyDescent="0.3">
      <c r="A83" s="2">
        <v>21</v>
      </c>
      <c r="C83" s="38" t="s">
        <v>35</v>
      </c>
      <c r="D83" s="42">
        <v>0</v>
      </c>
      <c r="E83" s="71">
        <f t="shared" si="365"/>
        <v>0</v>
      </c>
      <c r="H83" s="55">
        <f t="shared" si="61"/>
        <v>0</v>
      </c>
      <c r="I83" s="55">
        <f t="shared" si="62"/>
        <v>0</v>
      </c>
      <c r="J83" s="59">
        <f t="shared" si="63"/>
        <v>0</v>
      </c>
      <c r="K83" s="55">
        <f t="shared" si="366"/>
        <v>0</v>
      </c>
      <c r="L83" s="59">
        <f t="shared" si="367"/>
        <v>0</v>
      </c>
      <c r="M83" s="55">
        <f t="shared" si="368"/>
        <v>0</v>
      </c>
      <c r="N83" s="59">
        <f t="shared" si="369"/>
        <v>0</v>
      </c>
      <c r="O83" s="55">
        <f t="shared" si="370"/>
        <v>0</v>
      </c>
      <c r="P83" s="59">
        <f t="shared" si="371"/>
        <v>0</v>
      </c>
      <c r="Q83" s="57">
        <f t="shared" si="372"/>
        <v>0</v>
      </c>
      <c r="R83" s="59">
        <f t="shared" si="373"/>
        <v>0</v>
      </c>
      <c r="S83" s="55">
        <f t="shared" si="374"/>
        <v>0</v>
      </c>
      <c r="T83" s="59">
        <f t="shared" si="375"/>
        <v>0</v>
      </c>
      <c r="U83" s="57">
        <f t="shared" si="376"/>
        <v>0</v>
      </c>
      <c r="V83" s="59">
        <f t="shared" si="377"/>
        <v>0</v>
      </c>
      <c r="W83" s="60">
        <f t="shared" si="378"/>
        <v>0</v>
      </c>
      <c r="X83" s="59">
        <f t="shared" si="379"/>
        <v>0</v>
      </c>
      <c r="Y83" s="57">
        <f t="shared" si="380"/>
        <v>0</v>
      </c>
      <c r="Z83" s="59">
        <f t="shared" si="381"/>
        <v>0</v>
      </c>
      <c r="AA83" s="55">
        <f t="shared" si="382"/>
        <v>0</v>
      </c>
      <c r="AB83" s="59">
        <f t="shared" si="383"/>
        <v>0</v>
      </c>
      <c r="AC83" s="60">
        <f t="shared" si="384"/>
        <v>0</v>
      </c>
      <c r="AD83" s="59">
        <f t="shared" si="385"/>
        <v>0</v>
      </c>
      <c r="AE83" s="60">
        <f t="shared" si="386"/>
        <v>0</v>
      </c>
      <c r="AF83" s="59">
        <f t="shared" si="387"/>
        <v>0</v>
      </c>
      <c r="AG83" s="60">
        <f t="shared" si="388"/>
        <v>0</v>
      </c>
      <c r="AH83" s="59">
        <f t="shared" si="389"/>
        <v>0</v>
      </c>
      <c r="AI83" s="55">
        <f t="shared" si="390"/>
        <v>0</v>
      </c>
      <c r="AJ83" s="59">
        <f t="shared" si="391"/>
        <v>0</v>
      </c>
      <c r="AK83" s="60">
        <f t="shared" si="392"/>
        <v>0</v>
      </c>
      <c r="AL83" s="59">
        <f t="shared" si="393"/>
        <v>0</v>
      </c>
      <c r="AM83" s="60">
        <f t="shared" si="394"/>
        <v>0</v>
      </c>
      <c r="AN83" s="59">
        <f t="shared" si="395"/>
        <v>0</v>
      </c>
      <c r="AO83" s="60">
        <f t="shared" si="396"/>
        <v>0</v>
      </c>
      <c r="AP83" s="59">
        <f t="shared" si="397"/>
        <v>0</v>
      </c>
      <c r="AQ83" s="60">
        <f t="shared" si="398"/>
        <v>0</v>
      </c>
      <c r="AR83" s="59">
        <f t="shared" si="399"/>
        <v>0</v>
      </c>
      <c r="AS83" s="55">
        <f t="shared" si="400"/>
        <v>0</v>
      </c>
      <c r="AT83" s="59">
        <f t="shared" si="401"/>
        <v>0</v>
      </c>
      <c r="AU83" s="60">
        <f t="shared" si="402"/>
        <v>0</v>
      </c>
      <c r="AV83" s="59">
        <f t="shared" si="403"/>
        <v>0</v>
      </c>
      <c r="AW83" s="60">
        <f t="shared" si="404"/>
        <v>0</v>
      </c>
      <c r="AX83" s="59">
        <f t="shared" si="405"/>
        <v>0</v>
      </c>
      <c r="AY83" s="55">
        <f t="shared" si="406"/>
        <v>0</v>
      </c>
      <c r="AZ83" s="59">
        <f t="shared" si="407"/>
        <v>0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0"/>
        <v>0.91</v>
      </c>
      <c r="BH83" s="55">
        <f t="shared" si="500"/>
        <v>0.89</v>
      </c>
      <c r="BI83" s="55">
        <f t="shared" si="500"/>
        <v>0.87</v>
      </c>
      <c r="BJ83" s="55">
        <f t="shared" si="500"/>
        <v>0.85</v>
      </c>
      <c r="BK83" s="55">
        <f t="shared" si="500"/>
        <v>0.83</v>
      </c>
      <c r="BL83" s="55">
        <f t="shared" si="500"/>
        <v>0.80999999999999994</v>
      </c>
      <c r="BM83" s="55">
        <f t="shared" si="500"/>
        <v>0.78999999999999992</v>
      </c>
      <c r="BN83" s="55">
        <f t="shared" si="500"/>
        <v>0.76999999999999991</v>
      </c>
      <c r="BO83" s="55">
        <f t="shared" si="500"/>
        <v>0.74999999999999989</v>
      </c>
      <c r="BP83" s="55">
        <f t="shared" si="500"/>
        <v>0.72999999999999987</v>
      </c>
      <c r="BQ83" s="55">
        <f t="shared" si="500"/>
        <v>0.70999999999999985</v>
      </c>
      <c r="BR83" s="55">
        <f t="shared" si="500"/>
        <v>0.68999999999999984</v>
      </c>
      <c r="BS83" s="55">
        <f t="shared" si="500"/>
        <v>0.66999999999999982</v>
      </c>
      <c r="BT83" s="55">
        <f t="shared" si="500"/>
        <v>0.6499999999999998</v>
      </c>
      <c r="BU83" s="55">
        <f t="shared" si="500"/>
        <v>0.62999999999999978</v>
      </c>
      <c r="BV83" s="55">
        <f t="shared" si="500"/>
        <v>0.60999999999999976</v>
      </c>
      <c r="BW83" s="55">
        <f t="shared" si="500"/>
        <v>0.58999999999999975</v>
      </c>
      <c r="BX83" s="55">
        <f t="shared" si="500"/>
        <v>0.56999999999999973</v>
      </c>
      <c r="BZ83" s="55">
        <f t="shared" si="88"/>
        <v>0</v>
      </c>
      <c r="CA83" s="55">
        <f t="shared" si="89"/>
        <v>0</v>
      </c>
      <c r="CB83" s="59">
        <f t="shared" si="409"/>
        <v>0</v>
      </c>
      <c r="CC83" s="55">
        <f t="shared" si="410"/>
        <v>0</v>
      </c>
      <c r="CD83" s="59">
        <f t="shared" si="411"/>
        <v>0</v>
      </c>
      <c r="CE83" s="55">
        <f t="shared" si="412"/>
        <v>0</v>
      </c>
      <c r="CF83" s="59">
        <f t="shared" si="413"/>
        <v>0</v>
      </c>
      <c r="CG83" s="55">
        <f t="shared" si="414"/>
        <v>0</v>
      </c>
      <c r="CH83" s="59">
        <f t="shared" si="415"/>
        <v>0</v>
      </c>
      <c r="CI83" s="57">
        <f t="shared" si="416"/>
        <v>0</v>
      </c>
      <c r="CJ83" s="59">
        <f t="shared" si="417"/>
        <v>0</v>
      </c>
      <c r="CK83" s="55">
        <f t="shared" si="418"/>
        <v>0</v>
      </c>
      <c r="CL83" s="59">
        <f t="shared" si="419"/>
        <v>0</v>
      </c>
      <c r="CM83" s="57">
        <f t="shared" si="420"/>
        <v>0</v>
      </c>
      <c r="CN83" s="59">
        <f t="shared" si="421"/>
        <v>0</v>
      </c>
      <c r="CO83" s="60">
        <f t="shared" si="422"/>
        <v>0</v>
      </c>
      <c r="CP83" s="59">
        <f t="shared" si="423"/>
        <v>0</v>
      </c>
      <c r="CQ83" s="57">
        <f t="shared" si="424"/>
        <v>0</v>
      </c>
      <c r="CR83" s="59">
        <f t="shared" si="425"/>
        <v>0</v>
      </c>
      <c r="CS83" s="55">
        <f t="shared" si="426"/>
        <v>0</v>
      </c>
      <c r="CT83" s="59">
        <f t="shared" si="427"/>
        <v>0</v>
      </c>
      <c r="CU83" s="60">
        <f t="shared" si="428"/>
        <v>0</v>
      </c>
      <c r="CV83" s="59">
        <f t="shared" si="429"/>
        <v>0</v>
      </c>
      <c r="CW83" s="60">
        <f t="shared" si="430"/>
        <v>0</v>
      </c>
      <c r="CX83" s="59">
        <f t="shared" si="431"/>
        <v>0</v>
      </c>
      <c r="CY83" s="60">
        <f t="shared" si="432"/>
        <v>0</v>
      </c>
      <c r="CZ83" s="59">
        <f t="shared" si="433"/>
        <v>0</v>
      </c>
      <c r="DA83" s="55">
        <f t="shared" si="434"/>
        <v>0</v>
      </c>
      <c r="DB83" s="59">
        <f t="shared" si="435"/>
        <v>0</v>
      </c>
      <c r="DC83" s="60">
        <f t="shared" si="436"/>
        <v>0</v>
      </c>
      <c r="DD83" s="59">
        <f t="shared" si="437"/>
        <v>0</v>
      </c>
      <c r="DE83" s="60">
        <f t="shared" si="438"/>
        <v>0</v>
      </c>
      <c r="DF83" s="59">
        <f t="shared" si="439"/>
        <v>0</v>
      </c>
      <c r="DG83" s="60">
        <f t="shared" si="440"/>
        <v>0</v>
      </c>
      <c r="DH83" s="59">
        <f t="shared" si="441"/>
        <v>0</v>
      </c>
      <c r="DI83" s="60">
        <f t="shared" si="442"/>
        <v>0</v>
      </c>
      <c r="DJ83" s="59">
        <f t="shared" si="443"/>
        <v>0</v>
      </c>
      <c r="DK83" s="55">
        <f t="shared" si="444"/>
        <v>0</v>
      </c>
      <c r="DL83" s="59">
        <f t="shared" si="445"/>
        <v>0</v>
      </c>
      <c r="DM83" s="60">
        <f t="shared" si="446"/>
        <v>0</v>
      </c>
      <c r="DN83" s="59">
        <f t="shared" si="447"/>
        <v>0</v>
      </c>
      <c r="DO83" s="60">
        <f t="shared" si="448"/>
        <v>0</v>
      </c>
      <c r="DP83" s="59">
        <f t="shared" si="449"/>
        <v>0</v>
      </c>
      <c r="DQ83" s="55">
        <f t="shared" si="450"/>
        <v>0</v>
      </c>
      <c r="DR83" s="59">
        <f t="shared" si="451"/>
        <v>0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3"/>
        <v>0.91</v>
      </c>
      <c r="DZ83" s="55">
        <f t="shared" si="503"/>
        <v>0.89</v>
      </c>
      <c r="EA83" s="55">
        <f t="shared" si="503"/>
        <v>0.87</v>
      </c>
      <c r="EB83" s="55">
        <f t="shared" si="503"/>
        <v>0.85</v>
      </c>
      <c r="EC83" s="55">
        <f t="shared" si="503"/>
        <v>0.83</v>
      </c>
      <c r="ED83" s="55">
        <f t="shared" si="503"/>
        <v>0.80999999999999994</v>
      </c>
      <c r="EE83" s="55">
        <f t="shared" si="503"/>
        <v>0.78999999999999992</v>
      </c>
      <c r="EF83" s="55">
        <f t="shared" si="503"/>
        <v>0.76999999999999991</v>
      </c>
      <c r="EG83" s="55">
        <f t="shared" si="503"/>
        <v>0.74999999999999989</v>
      </c>
      <c r="EH83" s="55">
        <f t="shared" si="503"/>
        <v>0.72999999999999987</v>
      </c>
      <c r="EI83" s="55">
        <f t="shared" si="503"/>
        <v>0.70999999999999985</v>
      </c>
      <c r="EJ83" s="55">
        <f t="shared" si="503"/>
        <v>0.68999999999999984</v>
      </c>
      <c r="EK83" s="55">
        <f t="shared" si="503"/>
        <v>0.66999999999999982</v>
      </c>
      <c r="EL83" s="55">
        <f t="shared" si="503"/>
        <v>0.6499999999999998</v>
      </c>
      <c r="EM83" s="55">
        <f t="shared" si="503"/>
        <v>0.62999999999999978</v>
      </c>
      <c r="EN83" s="55">
        <f t="shared" si="503"/>
        <v>0.60999999999999976</v>
      </c>
      <c r="EO83" s="55">
        <f t="shared" si="503"/>
        <v>0.58999999999999975</v>
      </c>
      <c r="EP83" s="55">
        <f t="shared" si="503"/>
        <v>0.56999999999999973</v>
      </c>
      <c r="ER83" s="55">
        <f t="shared" si="142"/>
        <v>0</v>
      </c>
      <c r="ES83" s="55">
        <f t="shared" si="116"/>
        <v>0</v>
      </c>
      <c r="ET83" s="59">
        <f t="shared" si="453"/>
        <v>0</v>
      </c>
      <c r="EU83" s="55">
        <f t="shared" si="454"/>
        <v>0</v>
      </c>
      <c r="EV83" s="59">
        <f t="shared" si="455"/>
        <v>0</v>
      </c>
      <c r="EW83" s="55">
        <f t="shared" si="456"/>
        <v>0</v>
      </c>
      <c r="EX83" s="59">
        <f t="shared" si="457"/>
        <v>0</v>
      </c>
      <c r="EY83" s="55">
        <f t="shared" si="458"/>
        <v>0</v>
      </c>
      <c r="EZ83" s="59">
        <f t="shared" si="459"/>
        <v>0</v>
      </c>
      <c r="FA83" s="57">
        <f t="shared" si="460"/>
        <v>0</v>
      </c>
      <c r="FB83" s="59">
        <f t="shared" si="461"/>
        <v>0</v>
      </c>
      <c r="FC83" s="55">
        <f t="shared" si="462"/>
        <v>0</v>
      </c>
      <c r="FD83" s="59">
        <f t="shared" si="463"/>
        <v>0</v>
      </c>
      <c r="FE83" s="57">
        <f t="shared" si="464"/>
        <v>0</v>
      </c>
      <c r="FF83" s="59">
        <f t="shared" si="465"/>
        <v>0</v>
      </c>
      <c r="FG83" s="60">
        <f t="shared" si="466"/>
        <v>0</v>
      </c>
      <c r="FH83" s="59">
        <f t="shared" si="467"/>
        <v>0</v>
      </c>
      <c r="FI83" s="57">
        <f t="shared" si="468"/>
        <v>0</v>
      </c>
      <c r="FJ83" s="59">
        <f t="shared" si="469"/>
        <v>0</v>
      </c>
      <c r="FK83" s="55">
        <f t="shared" si="470"/>
        <v>0</v>
      </c>
      <c r="FL83" s="59">
        <f t="shared" si="471"/>
        <v>0</v>
      </c>
      <c r="FM83" s="60">
        <f t="shared" si="472"/>
        <v>0</v>
      </c>
      <c r="FN83" s="59">
        <f t="shared" si="473"/>
        <v>0</v>
      </c>
      <c r="FO83" s="60">
        <f t="shared" si="474"/>
        <v>0</v>
      </c>
      <c r="FP83" s="59">
        <f t="shared" si="475"/>
        <v>0</v>
      </c>
      <c r="FQ83" s="60">
        <f t="shared" si="476"/>
        <v>0</v>
      </c>
      <c r="FR83" s="59">
        <f t="shared" si="477"/>
        <v>0</v>
      </c>
      <c r="FS83" s="55">
        <f t="shared" si="478"/>
        <v>0</v>
      </c>
      <c r="FT83" s="59">
        <f t="shared" si="479"/>
        <v>0</v>
      </c>
      <c r="FU83" s="60">
        <f t="shared" si="480"/>
        <v>0</v>
      </c>
      <c r="FV83" s="59">
        <f t="shared" si="481"/>
        <v>0</v>
      </c>
      <c r="FW83" s="60">
        <f t="shared" si="482"/>
        <v>0</v>
      </c>
      <c r="FX83" s="59">
        <f t="shared" si="483"/>
        <v>0</v>
      </c>
      <c r="FY83" s="60">
        <f t="shared" si="484"/>
        <v>0</v>
      </c>
      <c r="FZ83" s="59">
        <f t="shared" si="485"/>
        <v>0</v>
      </c>
      <c r="GA83" s="60">
        <f t="shared" si="486"/>
        <v>0</v>
      </c>
      <c r="GB83" s="59">
        <f t="shared" si="487"/>
        <v>0</v>
      </c>
      <c r="GC83" s="55">
        <f t="shared" si="488"/>
        <v>0</v>
      </c>
      <c r="GD83" s="59">
        <f t="shared" si="489"/>
        <v>0</v>
      </c>
      <c r="GE83" s="60">
        <f t="shared" si="490"/>
        <v>0</v>
      </c>
      <c r="GF83" s="59">
        <f t="shared" si="491"/>
        <v>0</v>
      </c>
      <c r="GG83" s="60">
        <f t="shared" si="492"/>
        <v>0</v>
      </c>
      <c r="GH83" s="59">
        <f t="shared" si="493"/>
        <v>0</v>
      </c>
      <c r="GI83" s="55">
        <f t="shared" si="494"/>
        <v>0</v>
      </c>
      <c r="GJ83" s="59">
        <f t="shared" si="495"/>
        <v>0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4"/>
        <v>0.91</v>
      </c>
      <c r="GR83" s="55">
        <f t="shared" si="504"/>
        <v>0.89</v>
      </c>
      <c r="GS83" s="55">
        <f t="shared" si="504"/>
        <v>0.87</v>
      </c>
      <c r="GT83" s="55">
        <f t="shared" si="504"/>
        <v>0.85</v>
      </c>
      <c r="GU83" s="55">
        <f t="shared" si="504"/>
        <v>0.83</v>
      </c>
      <c r="GV83" s="55">
        <f t="shared" si="504"/>
        <v>0.80999999999999994</v>
      </c>
      <c r="GW83" s="55">
        <f t="shared" si="504"/>
        <v>0.78999999999999992</v>
      </c>
      <c r="GX83" s="55">
        <f t="shared" si="504"/>
        <v>0.76999999999999991</v>
      </c>
      <c r="GY83" s="55">
        <f t="shared" si="504"/>
        <v>0.74999999999999989</v>
      </c>
      <c r="GZ83" s="55">
        <f t="shared" si="504"/>
        <v>0.72999999999999987</v>
      </c>
      <c r="HA83" s="55">
        <f t="shared" si="504"/>
        <v>0.70999999999999985</v>
      </c>
      <c r="HB83" s="55">
        <f t="shared" si="504"/>
        <v>0.68999999999999984</v>
      </c>
      <c r="HC83" s="55">
        <f t="shared" si="504"/>
        <v>0.66999999999999982</v>
      </c>
      <c r="HD83" s="55">
        <f t="shared" si="504"/>
        <v>0.6499999999999998</v>
      </c>
      <c r="HE83" s="55">
        <f t="shared" si="504"/>
        <v>0.62999999999999978</v>
      </c>
      <c r="HF83" s="55">
        <f t="shared" si="504"/>
        <v>0.60999999999999976</v>
      </c>
      <c r="HG83" s="55">
        <f t="shared" si="504"/>
        <v>0.58999999999999975</v>
      </c>
      <c r="HH83" s="55">
        <f t="shared" si="504"/>
        <v>0.56999999999999973</v>
      </c>
    </row>
    <row r="84" spans="1:216" x14ac:dyDescent="0.3">
      <c r="A84" s="2">
        <v>22</v>
      </c>
      <c r="C84" s="38" t="s">
        <v>36</v>
      </c>
      <c r="D84" s="42">
        <v>0</v>
      </c>
      <c r="E84" s="71">
        <f t="shared" si="365"/>
        <v>0</v>
      </c>
      <c r="H84" s="55">
        <f t="shared" ref="H84:H147" si="505">+E84*1.1</f>
        <v>0</v>
      </c>
      <c r="I84" s="55">
        <f t="shared" ref="I84:I147" si="506">+H84</f>
        <v>0</v>
      </c>
      <c r="J84" s="59">
        <f t="shared" ref="J84:J147" si="507">+I84*3.3058</f>
        <v>0</v>
      </c>
      <c r="K84" s="55">
        <f t="shared" si="366"/>
        <v>0</v>
      </c>
      <c r="L84" s="59">
        <f t="shared" si="367"/>
        <v>0</v>
      </c>
      <c r="M84" s="55">
        <f t="shared" si="368"/>
        <v>0</v>
      </c>
      <c r="N84" s="59">
        <f t="shared" si="369"/>
        <v>0</v>
      </c>
      <c r="O84" s="55">
        <f t="shared" si="370"/>
        <v>0</v>
      </c>
      <c r="P84" s="59">
        <f t="shared" si="371"/>
        <v>0</v>
      </c>
      <c r="Q84" s="57">
        <f t="shared" si="372"/>
        <v>0</v>
      </c>
      <c r="R84" s="59">
        <f t="shared" si="373"/>
        <v>0</v>
      </c>
      <c r="S84" s="55">
        <f t="shared" si="374"/>
        <v>0</v>
      </c>
      <c r="T84" s="59">
        <f t="shared" si="375"/>
        <v>0</v>
      </c>
      <c r="U84" s="57">
        <f t="shared" si="376"/>
        <v>0</v>
      </c>
      <c r="V84" s="59">
        <f t="shared" si="377"/>
        <v>0</v>
      </c>
      <c r="W84" s="60">
        <f t="shared" si="378"/>
        <v>0</v>
      </c>
      <c r="X84" s="59">
        <f t="shared" si="379"/>
        <v>0</v>
      </c>
      <c r="Y84" s="57">
        <f t="shared" si="380"/>
        <v>0</v>
      </c>
      <c r="Z84" s="59">
        <f t="shared" si="381"/>
        <v>0</v>
      </c>
      <c r="AA84" s="55">
        <f t="shared" si="382"/>
        <v>0</v>
      </c>
      <c r="AB84" s="59">
        <f t="shared" si="383"/>
        <v>0</v>
      </c>
      <c r="AC84" s="60">
        <f t="shared" si="384"/>
        <v>0</v>
      </c>
      <c r="AD84" s="59">
        <f t="shared" si="385"/>
        <v>0</v>
      </c>
      <c r="AE84" s="60">
        <f t="shared" si="386"/>
        <v>0</v>
      </c>
      <c r="AF84" s="59">
        <f t="shared" si="387"/>
        <v>0</v>
      </c>
      <c r="AG84" s="60">
        <f t="shared" si="388"/>
        <v>0</v>
      </c>
      <c r="AH84" s="59">
        <f t="shared" si="389"/>
        <v>0</v>
      </c>
      <c r="AI84" s="55">
        <f t="shared" si="390"/>
        <v>0</v>
      </c>
      <c r="AJ84" s="59">
        <f t="shared" si="391"/>
        <v>0</v>
      </c>
      <c r="AK84" s="60">
        <f t="shared" si="392"/>
        <v>0</v>
      </c>
      <c r="AL84" s="59">
        <f t="shared" si="393"/>
        <v>0</v>
      </c>
      <c r="AM84" s="60">
        <f t="shared" si="394"/>
        <v>0</v>
      </c>
      <c r="AN84" s="59">
        <f t="shared" si="395"/>
        <v>0</v>
      </c>
      <c r="AO84" s="60">
        <f t="shared" si="396"/>
        <v>0</v>
      </c>
      <c r="AP84" s="59">
        <f t="shared" si="397"/>
        <v>0</v>
      </c>
      <c r="AQ84" s="60">
        <f t="shared" si="398"/>
        <v>0</v>
      </c>
      <c r="AR84" s="59">
        <f t="shared" si="399"/>
        <v>0</v>
      </c>
      <c r="AS84" s="55">
        <f t="shared" si="400"/>
        <v>0</v>
      </c>
      <c r="AT84" s="59">
        <f t="shared" si="401"/>
        <v>0</v>
      </c>
      <c r="AU84" s="60">
        <f t="shared" si="402"/>
        <v>0</v>
      </c>
      <c r="AV84" s="59">
        <f t="shared" si="403"/>
        <v>0</v>
      </c>
      <c r="AW84" s="60">
        <f t="shared" si="404"/>
        <v>0</v>
      </c>
      <c r="AX84" s="59">
        <f t="shared" si="405"/>
        <v>0</v>
      </c>
      <c r="AY84" s="55">
        <f t="shared" si="406"/>
        <v>0</v>
      </c>
      <c r="AZ84" s="59">
        <f t="shared" si="407"/>
        <v>0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0"/>
        <v>0.91</v>
      </c>
      <c r="BH84" s="55">
        <f t="shared" si="500"/>
        <v>0.89</v>
      </c>
      <c r="BI84" s="55">
        <f t="shared" si="500"/>
        <v>0.87</v>
      </c>
      <c r="BJ84" s="55">
        <f t="shared" si="500"/>
        <v>0.85</v>
      </c>
      <c r="BK84" s="55">
        <f t="shared" si="500"/>
        <v>0.83</v>
      </c>
      <c r="BL84" s="55">
        <f t="shared" si="500"/>
        <v>0.80999999999999994</v>
      </c>
      <c r="BM84" s="55">
        <f t="shared" si="500"/>
        <v>0.78999999999999992</v>
      </c>
      <c r="BN84" s="55">
        <f t="shared" si="500"/>
        <v>0.76999999999999991</v>
      </c>
      <c r="BO84" s="55">
        <f t="shared" si="500"/>
        <v>0.74999999999999989</v>
      </c>
      <c r="BP84" s="55">
        <f t="shared" si="500"/>
        <v>0.72999999999999987</v>
      </c>
      <c r="BQ84" s="55">
        <f t="shared" si="500"/>
        <v>0.70999999999999985</v>
      </c>
      <c r="BR84" s="55">
        <f t="shared" si="500"/>
        <v>0.68999999999999984</v>
      </c>
      <c r="BS84" s="55">
        <f t="shared" si="500"/>
        <v>0.66999999999999982</v>
      </c>
      <c r="BT84" s="55">
        <f t="shared" si="500"/>
        <v>0.6499999999999998</v>
      </c>
      <c r="BU84" s="55">
        <f t="shared" si="500"/>
        <v>0.62999999999999978</v>
      </c>
      <c r="BV84" s="55">
        <f t="shared" si="500"/>
        <v>0.60999999999999976</v>
      </c>
      <c r="BW84" s="55">
        <f t="shared" si="500"/>
        <v>0.58999999999999975</v>
      </c>
      <c r="BX84" s="55">
        <f t="shared" si="500"/>
        <v>0.56999999999999973</v>
      </c>
      <c r="BZ84" s="55">
        <f t="shared" ref="BZ84:BZ147" si="508">+H84*0.91</f>
        <v>0</v>
      </c>
      <c r="CA84" s="55">
        <f t="shared" ref="CA84:CA147" si="509">+BZ84</f>
        <v>0</v>
      </c>
      <c r="CB84" s="59">
        <f t="shared" si="409"/>
        <v>0</v>
      </c>
      <c r="CC84" s="55">
        <f t="shared" si="410"/>
        <v>0</v>
      </c>
      <c r="CD84" s="59">
        <f t="shared" si="411"/>
        <v>0</v>
      </c>
      <c r="CE84" s="55">
        <f t="shared" si="412"/>
        <v>0</v>
      </c>
      <c r="CF84" s="59">
        <f t="shared" si="413"/>
        <v>0</v>
      </c>
      <c r="CG84" s="55">
        <f t="shared" si="414"/>
        <v>0</v>
      </c>
      <c r="CH84" s="59">
        <f t="shared" si="415"/>
        <v>0</v>
      </c>
      <c r="CI84" s="57">
        <f t="shared" si="416"/>
        <v>0</v>
      </c>
      <c r="CJ84" s="59">
        <f t="shared" si="417"/>
        <v>0</v>
      </c>
      <c r="CK84" s="55">
        <f t="shared" si="418"/>
        <v>0</v>
      </c>
      <c r="CL84" s="59">
        <f t="shared" si="419"/>
        <v>0</v>
      </c>
      <c r="CM84" s="57">
        <f t="shared" si="420"/>
        <v>0</v>
      </c>
      <c r="CN84" s="59">
        <f t="shared" si="421"/>
        <v>0</v>
      </c>
      <c r="CO84" s="60">
        <f t="shared" si="422"/>
        <v>0</v>
      </c>
      <c r="CP84" s="59">
        <f t="shared" si="423"/>
        <v>0</v>
      </c>
      <c r="CQ84" s="57">
        <f t="shared" si="424"/>
        <v>0</v>
      </c>
      <c r="CR84" s="59">
        <f t="shared" si="425"/>
        <v>0</v>
      </c>
      <c r="CS84" s="55">
        <f t="shared" si="426"/>
        <v>0</v>
      </c>
      <c r="CT84" s="59">
        <f t="shared" si="427"/>
        <v>0</v>
      </c>
      <c r="CU84" s="60">
        <f t="shared" si="428"/>
        <v>0</v>
      </c>
      <c r="CV84" s="59">
        <f t="shared" si="429"/>
        <v>0</v>
      </c>
      <c r="CW84" s="60">
        <f t="shared" si="430"/>
        <v>0</v>
      </c>
      <c r="CX84" s="59">
        <f t="shared" si="431"/>
        <v>0</v>
      </c>
      <c r="CY84" s="60">
        <f t="shared" si="432"/>
        <v>0</v>
      </c>
      <c r="CZ84" s="59">
        <f t="shared" si="433"/>
        <v>0</v>
      </c>
      <c r="DA84" s="55">
        <f t="shared" si="434"/>
        <v>0</v>
      </c>
      <c r="DB84" s="59">
        <f t="shared" si="435"/>
        <v>0</v>
      </c>
      <c r="DC84" s="60">
        <f t="shared" si="436"/>
        <v>0</v>
      </c>
      <c r="DD84" s="59">
        <f t="shared" si="437"/>
        <v>0</v>
      </c>
      <c r="DE84" s="60">
        <f t="shared" si="438"/>
        <v>0</v>
      </c>
      <c r="DF84" s="59">
        <f t="shared" si="439"/>
        <v>0</v>
      </c>
      <c r="DG84" s="60">
        <f t="shared" si="440"/>
        <v>0</v>
      </c>
      <c r="DH84" s="59">
        <f t="shared" si="441"/>
        <v>0</v>
      </c>
      <c r="DI84" s="60">
        <f t="shared" si="442"/>
        <v>0</v>
      </c>
      <c r="DJ84" s="59">
        <f t="shared" si="443"/>
        <v>0</v>
      </c>
      <c r="DK84" s="55">
        <f t="shared" si="444"/>
        <v>0</v>
      </c>
      <c r="DL84" s="59">
        <f t="shared" si="445"/>
        <v>0</v>
      </c>
      <c r="DM84" s="60">
        <f t="shared" si="446"/>
        <v>0</v>
      </c>
      <c r="DN84" s="59">
        <f t="shared" si="447"/>
        <v>0</v>
      </c>
      <c r="DO84" s="60">
        <f t="shared" si="448"/>
        <v>0</v>
      </c>
      <c r="DP84" s="59">
        <f t="shared" si="449"/>
        <v>0</v>
      </c>
      <c r="DQ84" s="55">
        <f t="shared" si="450"/>
        <v>0</v>
      </c>
      <c r="DR84" s="59">
        <f t="shared" si="451"/>
        <v>0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3"/>
        <v>0.91</v>
      </c>
      <c r="DZ84" s="55">
        <f t="shared" si="503"/>
        <v>0.89</v>
      </c>
      <c r="EA84" s="55">
        <f t="shared" si="503"/>
        <v>0.87</v>
      </c>
      <c r="EB84" s="55">
        <f t="shared" si="503"/>
        <v>0.85</v>
      </c>
      <c r="EC84" s="55">
        <f t="shared" si="503"/>
        <v>0.83</v>
      </c>
      <c r="ED84" s="55">
        <f t="shared" si="503"/>
        <v>0.80999999999999994</v>
      </c>
      <c r="EE84" s="55">
        <f t="shared" si="503"/>
        <v>0.78999999999999992</v>
      </c>
      <c r="EF84" s="55">
        <f t="shared" si="503"/>
        <v>0.76999999999999991</v>
      </c>
      <c r="EG84" s="55">
        <f t="shared" si="503"/>
        <v>0.74999999999999989</v>
      </c>
      <c r="EH84" s="55">
        <f t="shared" si="503"/>
        <v>0.72999999999999987</v>
      </c>
      <c r="EI84" s="55">
        <f t="shared" si="503"/>
        <v>0.70999999999999985</v>
      </c>
      <c r="EJ84" s="55">
        <f t="shared" si="503"/>
        <v>0.68999999999999984</v>
      </c>
      <c r="EK84" s="55">
        <f t="shared" si="503"/>
        <v>0.66999999999999982</v>
      </c>
      <c r="EL84" s="55">
        <f t="shared" si="503"/>
        <v>0.6499999999999998</v>
      </c>
      <c r="EM84" s="55">
        <f t="shared" si="503"/>
        <v>0.62999999999999978</v>
      </c>
      <c r="EN84" s="55">
        <f t="shared" si="503"/>
        <v>0.60999999999999976</v>
      </c>
      <c r="EO84" s="55">
        <f t="shared" si="503"/>
        <v>0.58999999999999975</v>
      </c>
      <c r="EP84" s="55">
        <f t="shared" si="503"/>
        <v>0.56999999999999973</v>
      </c>
      <c r="ER84" s="55">
        <f t="shared" si="142"/>
        <v>0</v>
      </c>
      <c r="ES84" s="55">
        <f t="shared" ref="ES84:ES147" si="510">+ER84</f>
        <v>0</v>
      </c>
      <c r="ET84" s="59">
        <f t="shared" si="453"/>
        <v>0</v>
      </c>
      <c r="EU84" s="55">
        <f t="shared" si="454"/>
        <v>0</v>
      </c>
      <c r="EV84" s="59">
        <f t="shared" si="455"/>
        <v>0</v>
      </c>
      <c r="EW84" s="55">
        <f t="shared" si="456"/>
        <v>0</v>
      </c>
      <c r="EX84" s="59">
        <f t="shared" si="457"/>
        <v>0</v>
      </c>
      <c r="EY84" s="55">
        <f t="shared" si="458"/>
        <v>0</v>
      </c>
      <c r="EZ84" s="59">
        <f t="shared" si="459"/>
        <v>0</v>
      </c>
      <c r="FA84" s="57">
        <f t="shared" si="460"/>
        <v>0</v>
      </c>
      <c r="FB84" s="59">
        <f t="shared" si="461"/>
        <v>0</v>
      </c>
      <c r="FC84" s="55">
        <f t="shared" si="462"/>
        <v>0</v>
      </c>
      <c r="FD84" s="59">
        <f t="shared" si="463"/>
        <v>0</v>
      </c>
      <c r="FE84" s="57">
        <f t="shared" si="464"/>
        <v>0</v>
      </c>
      <c r="FF84" s="59">
        <f t="shared" si="465"/>
        <v>0</v>
      </c>
      <c r="FG84" s="60">
        <f t="shared" si="466"/>
        <v>0</v>
      </c>
      <c r="FH84" s="59">
        <f t="shared" si="467"/>
        <v>0</v>
      </c>
      <c r="FI84" s="57">
        <f t="shared" si="468"/>
        <v>0</v>
      </c>
      <c r="FJ84" s="59">
        <f t="shared" si="469"/>
        <v>0</v>
      </c>
      <c r="FK84" s="55">
        <f t="shared" si="470"/>
        <v>0</v>
      </c>
      <c r="FL84" s="59">
        <f t="shared" si="471"/>
        <v>0</v>
      </c>
      <c r="FM84" s="60">
        <f t="shared" si="472"/>
        <v>0</v>
      </c>
      <c r="FN84" s="59">
        <f t="shared" si="473"/>
        <v>0</v>
      </c>
      <c r="FO84" s="60">
        <f t="shared" si="474"/>
        <v>0</v>
      </c>
      <c r="FP84" s="59">
        <f t="shared" si="475"/>
        <v>0</v>
      </c>
      <c r="FQ84" s="60">
        <f t="shared" si="476"/>
        <v>0</v>
      </c>
      <c r="FR84" s="59">
        <f t="shared" si="477"/>
        <v>0</v>
      </c>
      <c r="FS84" s="55">
        <f t="shared" si="478"/>
        <v>0</v>
      </c>
      <c r="FT84" s="59">
        <f t="shared" si="479"/>
        <v>0</v>
      </c>
      <c r="FU84" s="60">
        <f t="shared" si="480"/>
        <v>0</v>
      </c>
      <c r="FV84" s="59">
        <f t="shared" si="481"/>
        <v>0</v>
      </c>
      <c r="FW84" s="60">
        <f t="shared" si="482"/>
        <v>0</v>
      </c>
      <c r="FX84" s="59">
        <f t="shared" si="483"/>
        <v>0</v>
      </c>
      <c r="FY84" s="60">
        <f t="shared" si="484"/>
        <v>0</v>
      </c>
      <c r="FZ84" s="59">
        <f t="shared" si="485"/>
        <v>0</v>
      </c>
      <c r="GA84" s="60">
        <f t="shared" si="486"/>
        <v>0</v>
      </c>
      <c r="GB84" s="59">
        <f t="shared" si="487"/>
        <v>0</v>
      </c>
      <c r="GC84" s="55">
        <f t="shared" si="488"/>
        <v>0</v>
      </c>
      <c r="GD84" s="59">
        <f t="shared" si="489"/>
        <v>0</v>
      </c>
      <c r="GE84" s="60">
        <f t="shared" si="490"/>
        <v>0</v>
      </c>
      <c r="GF84" s="59">
        <f t="shared" si="491"/>
        <v>0</v>
      </c>
      <c r="GG84" s="60">
        <f t="shared" si="492"/>
        <v>0</v>
      </c>
      <c r="GH84" s="59">
        <f t="shared" si="493"/>
        <v>0</v>
      </c>
      <c r="GI84" s="55">
        <f t="shared" si="494"/>
        <v>0</v>
      </c>
      <c r="GJ84" s="59">
        <f t="shared" si="495"/>
        <v>0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4"/>
        <v>0.91</v>
      </c>
      <c r="GR84" s="55">
        <f t="shared" si="504"/>
        <v>0.89</v>
      </c>
      <c r="GS84" s="55">
        <f t="shared" si="504"/>
        <v>0.87</v>
      </c>
      <c r="GT84" s="55">
        <f t="shared" si="504"/>
        <v>0.85</v>
      </c>
      <c r="GU84" s="55">
        <f t="shared" si="504"/>
        <v>0.83</v>
      </c>
      <c r="GV84" s="55">
        <f t="shared" si="504"/>
        <v>0.80999999999999994</v>
      </c>
      <c r="GW84" s="55">
        <f t="shared" si="504"/>
        <v>0.78999999999999992</v>
      </c>
      <c r="GX84" s="55">
        <f t="shared" si="504"/>
        <v>0.76999999999999991</v>
      </c>
      <c r="GY84" s="55">
        <f t="shared" si="504"/>
        <v>0.74999999999999989</v>
      </c>
      <c r="GZ84" s="55">
        <f t="shared" si="504"/>
        <v>0.72999999999999987</v>
      </c>
      <c r="HA84" s="55">
        <f t="shared" si="504"/>
        <v>0.70999999999999985</v>
      </c>
      <c r="HB84" s="55">
        <f t="shared" si="504"/>
        <v>0.68999999999999984</v>
      </c>
      <c r="HC84" s="55">
        <f t="shared" si="504"/>
        <v>0.66999999999999982</v>
      </c>
      <c r="HD84" s="55">
        <f t="shared" si="504"/>
        <v>0.6499999999999998</v>
      </c>
      <c r="HE84" s="55">
        <f t="shared" si="504"/>
        <v>0.62999999999999978</v>
      </c>
      <c r="HF84" s="55">
        <f t="shared" si="504"/>
        <v>0.60999999999999976</v>
      </c>
      <c r="HG84" s="55">
        <f t="shared" si="504"/>
        <v>0.58999999999999975</v>
      </c>
      <c r="HH84" s="55">
        <f t="shared" si="504"/>
        <v>0.56999999999999973</v>
      </c>
    </row>
    <row r="85" spans="1:216" x14ac:dyDescent="0.3">
      <c r="A85" s="2">
        <v>23</v>
      </c>
      <c r="C85" s="38" t="s">
        <v>37</v>
      </c>
      <c r="D85" s="42">
        <v>0</v>
      </c>
      <c r="E85" s="71">
        <f t="shared" si="365"/>
        <v>0</v>
      </c>
      <c r="H85" s="55">
        <f t="shared" si="505"/>
        <v>0</v>
      </c>
      <c r="I85" s="55">
        <f t="shared" si="506"/>
        <v>0</v>
      </c>
      <c r="J85" s="59">
        <f t="shared" si="507"/>
        <v>0</v>
      </c>
      <c r="K85" s="55">
        <f t="shared" si="366"/>
        <v>0</v>
      </c>
      <c r="L85" s="59">
        <f t="shared" si="367"/>
        <v>0</v>
      </c>
      <c r="M85" s="55">
        <f t="shared" si="368"/>
        <v>0</v>
      </c>
      <c r="N85" s="59">
        <f t="shared" si="369"/>
        <v>0</v>
      </c>
      <c r="O85" s="55">
        <f t="shared" si="370"/>
        <v>0</v>
      </c>
      <c r="P85" s="59">
        <f t="shared" si="371"/>
        <v>0</v>
      </c>
      <c r="Q85" s="57">
        <f t="shared" si="372"/>
        <v>0</v>
      </c>
      <c r="R85" s="59">
        <f t="shared" si="373"/>
        <v>0</v>
      </c>
      <c r="S85" s="55">
        <f t="shared" si="374"/>
        <v>0</v>
      </c>
      <c r="T85" s="59">
        <f t="shared" si="375"/>
        <v>0</v>
      </c>
      <c r="U85" s="57">
        <f t="shared" si="376"/>
        <v>0</v>
      </c>
      <c r="V85" s="59">
        <f t="shared" si="377"/>
        <v>0</v>
      </c>
      <c r="W85" s="60">
        <f t="shared" si="378"/>
        <v>0</v>
      </c>
      <c r="X85" s="59">
        <f t="shared" si="379"/>
        <v>0</v>
      </c>
      <c r="Y85" s="57">
        <f t="shared" si="380"/>
        <v>0</v>
      </c>
      <c r="Z85" s="59">
        <f t="shared" si="381"/>
        <v>0</v>
      </c>
      <c r="AA85" s="55">
        <f t="shared" si="382"/>
        <v>0</v>
      </c>
      <c r="AB85" s="59">
        <f t="shared" si="383"/>
        <v>0</v>
      </c>
      <c r="AC85" s="60">
        <f t="shared" si="384"/>
        <v>0</v>
      </c>
      <c r="AD85" s="59">
        <f t="shared" si="385"/>
        <v>0</v>
      </c>
      <c r="AE85" s="60">
        <f t="shared" si="386"/>
        <v>0</v>
      </c>
      <c r="AF85" s="59">
        <f t="shared" si="387"/>
        <v>0</v>
      </c>
      <c r="AG85" s="60">
        <f t="shared" si="388"/>
        <v>0</v>
      </c>
      <c r="AH85" s="59">
        <f t="shared" si="389"/>
        <v>0</v>
      </c>
      <c r="AI85" s="55">
        <f t="shared" si="390"/>
        <v>0</v>
      </c>
      <c r="AJ85" s="59">
        <f t="shared" si="391"/>
        <v>0</v>
      </c>
      <c r="AK85" s="60">
        <f t="shared" si="392"/>
        <v>0</v>
      </c>
      <c r="AL85" s="59">
        <f t="shared" si="393"/>
        <v>0</v>
      </c>
      <c r="AM85" s="60">
        <f t="shared" si="394"/>
        <v>0</v>
      </c>
      <c r="AN85" s="59">
        <f t="shared" si="395"/>
        <v>0</v>
      </c>
      <c r="AO85" s="60">
        <f t="shared" si="396"/>
        <v>0</v>
      </c>
      <c r="AP85" s="59">
        <f t="shared" si="397"/>
        <v>0</v>
      </c>
      <c r="AQ85" s="60">
        <f t="shared" si="398"/>
        <v>0</v>
      </c>
      <c r="AR85" s="59">
        <f t="shared" si="399"/>
        <v>0</v>
      </c>
      <c r="AS85" s="55">
        <f t="shared" si="400"/>
        <v>0</v>
      </c>
      <c r="AT85" s="59">
        <f t="shared" si="401"/>
        <v>0</v>
      </c>
      <c r="AU85" s="60">
        <f t="shared" si="402"/>
        <v>0</v>
      </c>
      <c r="AV85" s="59">
        <f t="shared" si="403"/>
        <v>0</v>
      </c>
      <c r="AW85" s="60">
        <f t="shared" si="404"/>
        <v>0</v>
      </c>
      <c r="AX85" s="59">
        <f t="shared" si="405"/>
        <v>0</v>
      </c>
      <c r="AY85" s="55">
        <f t="shared" si="406"/>
        <v>0</v>
      </c>
      <c r="AZ85" s="59">
        <f t="shared" si="407"/>
        <v>0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0"/>
        <v>0.91</v>
      </c>
      <c r="BH85" s="55">
        <f t="shared" si="500"/>
        <v>0.89</v>
      </c>
      <c r="BI85" s="55">
        <f t="shared" si="500"/>
        <v>0.87</v>
      </c>
      <c r="BJ85" s="55">
        <f t="shared" si="500"/>
        <v>0.85</v>
      </c>
      <c r="BK85" s="55">
        <f t="shared" si="500"/>
        <v>0.83</v>
      </c>
      <c r="BL85" s="55">
        <f t="shared" si="500"/>
        <v>0.80999999999999994</v>
      </c>
      <c r="BM85" s="55">
        <f t="shared" si="500"/>
        <v>0.78999999999999992</v>
      </c>
      <c r="BN85" s="55">
        <f t="shared" si="500"/>
        <v>0.76999999999999991</v>
      </c>
      <c r="BO85" s="55">
        <f t="shared" si="500"/>
        <v>0.74999999999999989</v>
      </c>
      <c r="BP85" s="55">
        <f t="shared" si="500"/>
        <v>0.72999999999999987</v>
      </c>
      <c r="BQ85" s="55">
        <f t="shared" si="500"/>
        <v>0.70999999999999985</v>
      </c>
      <c r="BR85" s="55">
        <f t="shared" si="500"/>
        <v>0.68999999999999984</v>
      </c>
      <c r="BS85" s="55">
        <f t="shared" si="500"/>
        <v>0.66999999999999982</v>
      </c>
      <c r="BT85" s="55">
        <f t="shared" si="500"/>
        <v>0.6499999999999998</v>
      </c>
      <c r="BU85" s="55">
        <f t="shared" si="500"/>
        <v>0.62999999999999978</v>
      </c>
      <c r="BV85" s="55">
        <f t="shared" si="500"/>
        <v>0.60999999999999976</v>
      </c>
      <c r="BW85" s="55">
        <f t="shared" si="500"/>
        <v>0.58999999999999975</v>
      </c>
      <c r="BX85" s="55">
        <f t="shared" si="500"/>
        <v>0.56999999999999973</v>
      </c>
      <c r="BZ85" s="55">
        <f t="shared" si="508"/>
        <v>0</v>
      </c>
      <c r="CA85" s="55">
        <f t="shared" si="509"/>
        <v>0</v>
      </c>
      <c r="CB85" s="59">
        <f t="shared" si="409"/>
        <v>0</v>
      </c>
      <c r="CC85" s="55">
        <f t="shared" si="410"/>
        <v>0</v>
      </c>
      <c r="CD85" s="59">
        <f t="shared" si="411"/>
        <v>0</v>
      </c>
      <c r="CE85" s="55">
        <f t="shared" si="412"/>
        <v>0</v>
      </c>
      <c r="CF85" s="59">
        <f t="shared" si="413"/>
        <v>0</v>
      </c>
      <c r="CG85" s="55">
        <f t="shared" si="414"/>
        <v>0</v>
      </c>
      <c r="CH85" s="59">
        <f t="shared" si="415"/>
        <v>0</v>
      </c>
      <c r="CI85" s="57">
        <f t="shared" si="416"/>
        <v>0</v>
      </c>
      <c r="CJ85" s="59">
        <f t="shared" si="417"/>
        <v>0</v>
      </c>
      <c r="CK85" s="55">
        <f t="shared" si="418"/>
        <v>0</v>
      </c>
      <c r="CL85" s="59">
        <f t="shared" si="419"/>
        <v>0</v>
      </c>
      <c r="CM85" s="57">
        <f t="shared" si="420"/>
        <v>0</v>
      </c>
      <c r="CN85" s="59">
        <f t="shared" si="421"/>
        <v>0</v>
      </c>
      <c r="CO85" s="60">
        <f t="shared" si="422"/>
        <v>0</v>
      </c>
      <c r="CP85" s="59">
        <f t="shared" si="423"/>
        <v>0</v>
      </c>
      <c r="CQ85" s="57">
        <f t="shared" si="424"/>
        <v>0</v>
      </c>
      <c r="CR85" s="59">
        <f t="shared" si="425"/>
        <v>0</v>
      </c>
      <c r="CS85" s="55">
        <f t="shared" si="426"/>
        <v>0</v>
      </c>
      <c r="CT85" s="59">
        <f t="shared" si="427"/>
        <v>0</v>
      </c>
      <c r="CU85" s="60">
        <f t="shared" si="428"/>
        <v>0</v>
      </c>
      <c r="CV85" s="59">
        <f t="shared" si="429"/>
        <v>0</v>
      </c>
      <c r="CW85" s="60">
        <f t="shared" si="430"/>
        <v>0</v>
      </c>
      <c r="CX85" s="59">
        <f t="shared" si="431"/>
        <v>0</v>
      </c>
      <c r="CY85" s="60">
        <f t="shared" si="432"/>
        <v>0</v>
      </c>
      <c r="CZ85" s="59">
        <f t="shared" si="433"/>
        <v>0</v>
      </c>
      <c r="DA85" s="55">
        <f t="shared" si="434"/>
        <v>0</v>
      </c>
      <c r="DB85" s="59">
        <f t="shared" si="435"/>
        <v>0</v>
      </c>
      <c r="DC85" s="60">
        <f t="shared" si="436"/>
        <v>0</v>
      </c>
      <c r="DD85" s="59">
        <f t="shared" si="437"/>
        <v>0</v>
      </c>
      <c r="DE85" s="60">
        <f t="shared" si="438"/>
        <v>0</v>
      </c>
      <c r="DF85" s="59">
        <f t="shared" si="439"/>
        <v>0</v>
      </c>
      <c r="DG85" s="60">
        <f t="shared" si="440"/>
        <v>0</v>
      </c>
      <c r="DH85" s="59">
        <f t="shared" si="441"/>
        <v>0</v>
      </c>
      <c r="DI85" s="60">
        <f t="shared" si="442"/>
        <v>0</v>
      </c>
      <c r="DJ85" s="59">
        <f t="shared" si="443"/>
        <v>0</v>
      </c>
      <c r="DK85" s="55">
        <f t="shared" si="444"/>
        <v>0</v>
      </c>
      <c r="DL85" s="59">
        <f t="shared" si="445"/>
        <v>0</v>
      </c>
      <c r="DM85" s="60">
        <f t="shared" si="446"/>
        <v>0</v>
      </c>
      <c r="DN85" s="59">
        <f t="shared" si="447"/>
        <v>0</v>
      </c>
      <c r="DO85" s="60">
        <f t="shared" si="448"/>
        <v>0</v>
      </c>
      <c r="DP85" s="59">
        <f t="shared" si="449"/>
        <v>0</v>
      </c>
      <c r="DQ85" s="55">
        <f t="shared" si="450"/>
        <v>0</v>
      </c>
      <c r="DR85" s="59">
        <f t="shared" si="451"/>
        <v>0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03"/>
        <v>0.91</v>
      </c>
      <c r="DZ85" s="55">
        <f t="shared" si="503"/>
        <v>0.89</v>
      </c>
      <c r="EA85" s="55">
        <f t="shared" si="503"/>
        <v>0.87</v>
      </c>
      <c r="EB85" s="55">
        <f t="shared" si="503"/>
        <v>0.85</v>
      </c>
      <c r="EC85" s="55">
        <f t="shared" si="503"/>
        <v>0.83</v>
      </c>
      <c r="ED85" s="55">
        <f t="shared" si="503"/>
        <v>0.80999999999999994</v>
      </c>
      <c r="EE85" s="55">
        <f t="shared" si="503"/>
        <v>0.78999999999999992</v>
      </c>
      <c r="EF85" s="55">
        <f t="shared" si="503"/>
        <v>0.76999999999999991</v>
      </c>
      <c r="EG85" s="55">
        <f t="shared" si="503"/>
        <v>0.74999999999999989</v>
      </c>
      <c r="EH85" s="55">
        <f t="shared" si="503"/>
        <v>0.72999999999999987</v>
      </c>
      <c r="EI85" s="55">
        <f t="shared" si="503"/>
        <v>0.70999999999999985</v>
      </c>
      <c r="EJ85" s="55">
        <f t="shared" si="503"/>
        <v>0.68999999999999984</v>
      </c>
      <c r="EK85" s="55">
        <f t="shared" si="503"/>
        <v>0.66999999999999982</v>
      </c>
      <c r="EL85" s="55">
        <f t="shared" si="503"/>
        <v>0.6499999999999998</v>
      </c>
      <c r="EM85" s="55">
        <f t="shared" si="503"/>
        <v>0.62999999999999978</v>
      </c>
      <c r="EN85" s="55">
        <f t="shared" si="503"/>
        <v>0.60999999999999976</v>
      </c>
      <c r="EO85" s="55">
        <f t="shared" si="503"/>
        <v>0.58999999999999975</v>
      </c>
      <c r="EP85" s="55">
        <f t="shared" si="503"/>
        <v>0.56999999999999973</v>
      </c>
      <c r="ER85" s="55">
        <f t="shared" si="142"/>
        <v>0</v>
      </c>
      <c r="ES85" s="55">
        <f t="shared" si="510"/>
        <v>0</v>
      </c>
      <c r="ET85" s="59">
        <f t="shared" si="453"/>
        <v>0</v>
      </c>
      <c r="EU85" s="55">
        <f t="shared" si="454"/>
        <v>0</v>
      </c>
      <c r="EV85" s="59">
        <f t="shared" si="455"/>
        <v>0</v>
      </c>
      <c r="EW85" s="55">
        <f t="shared" si="456"/>
        <v>0</v>
      </c>
      <c r="EX85" s="59">
        <f t="shared" si="457"/>
        <v>0</v>
      </c>
      <c r="EY85" s="55">
        <f t="shared" si="458"/>
        <v>0</v>
      </c>
      <c r="EZ85" s="59">
        <f t="shared" si="459"/>
        <v>0</v>
      </c>
      <c r="FA85" s="57">
        <f t="shared" si="460"/>
        <v>0</v>
      </c>
      <c r="FB85" s="59">
        <f t="shared" si="461"/>
        <v>0</v>
      </c>
      <c r="FC85" s="55">
        <f t="shared" si="462"/>
        <v>0</v>
      </c>
      <c r="FD85" s="59">
        <f t="shared" si="463"/>
        <v>0</v>
      </c>
      <c r="FE85" s="57">
        <f t="shared" si="464"/>
        <v>0</v>
      </c>
      <c r="FF85" s="59">
        <f t="shared" si="465"/>
        <v>0</v>
      </c>
      <c r="FG85" s="60">
        <f t="shared" si="466"/>
        <v>0</v>
      </c>
      <c r="FH85" s="59">
        <f t="shared" si="467"/>
        <v>0</v>
      </c>
      <c r="FI85" s="57">
        <f t="shared" si="468"/>
        <v>0</v>
      </c>
      <c r="FJ85" s="59">
        <f t="shared" si="469"/>
        <v>0</v>
      </c>
      <c r="FK85" s="55">
        <f t="shared" si="470"/>
        <v>0</v>
      </c>
      <c r="FL85" s="59">
        <f t="shared" si="471"/>
        <v>0</v>
      </c>
      <c r="FM85" s="60">
        <f t="shared" si="472"/>
        <v>0</v>
      </c>
      <c r="FN85" s="59">
        <f t="shared" si="473"/>
        <v>0</v>
      </c>
      <c r="FO85" s="60">
        <f t="shared" si="474"/>
        <v>0</v>
      </c>
      <c r="FP85" s="59">
        <f t="shared" si="475"/>
        <v>0</v>
      </c>
      <c r="FQ85" s="60">
        <f t="shared" si="476"/>
        <v>0</v>
      </c>
      <c r="FR85" s="59">
        <f t="shared" si="477"/>
        <v>0</v>
      </c>
      <c r="FS85" s="55">
        <f t="shared" si="478"/>
        <v>0</v>
      </c>
      <c r="FT85" s="59">
        <f t="shared" si="479"/>
        <v>0</v>
      </c>
      <c r="FU85" s="60">
        <f t="shared" si="480"/>
        <v>0</v>
      </c>
      <c r="FV85" s="59">
        <f t="shared" si="481"/>
        <v>0</v>
      </c>
      <c r="FW85" s="60">
        <f t="shared" si="482"/>
        <v>0</v>
      </c>
      <c r="FX85" s="59">
        <f t="shared" si="483"/>
        <v>0</v>
      </c>
      <c r="FY85" s="60">
        <f t="shared" si="484"/>
        <v>0</v>
      </c>
      <c r="FZ85" s="59">
        <f t="shared" si="485"/>
        <v>0</v>
      </c>
      <c r="GA85" s="60">
        <f t="shared" si="486"/>
        <v>0</v>
      </c>
      <c r="GB85" s="59">
        <f t="shared" si="487"/>
        <v>0</v>
      </c>
      <c r="GC85" s="55">
        <f t="shared" si="488"/>
        <v>0</v>
      </c>
      <c r="GD85" s="59">
        <f t="shared" si="489"/>
        <v>0</v>
      </c>
      <c r="GE85" s="60">
        <f t="shared" si="490"/>
        <v>0</v>
      </c>
      <c r="GF85" s="59">
        <f t="shared" si="491"/>
        <v>0</v>
      </c>
      <c r="GG85" s="60">
        <f t="shared" si="492"/>
        <v>0</v>
      </c>
      <c r="GH85" s="59">
        <f t="shared" si="493"/>
        <v>0</v>
      </c>
      <c r="GI85" s="55">
        <f t="shared" si="494"/>
        <v>0</v>
      </c>
      <c r="GJ85" s="59">
        <f t="shared" si="495"/>
        <v>0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04"/>
        <v>0.91</v>
      </c>
      <c r="GR85" s="55">
        <f t="shared" si="504"/>
        <v>0.89</v>
      </c>
      <c r="GS85" s="55">
        <f t="shared" si="504"/>
        <v>0.87</v>
      </c>
      <c r="GT85" s="55">
        <f t="shared" si="504"/>
        <v>0.85</v>
      </c>
      <c r="GU85" s="55">
        <f t="shared" si="504"/>
        <v>0.83</v>
      </c>
      <c r="GV85" s="55">
        <f t="shared" si="504"/>
        <v>0.80999999999999994</v>
      </c>
      <c r="GW85" s="55">
        <f t="shared" si="504"/>
        <v>0.78999999999999992</v>
      </c>
      <c r="GX85" s="55">
        <f t="shared" si="504"/>
        <v>0.76999999999999991</v>
      </c>
      <c r="GY85" s="55">
        <f t="shared" si="504"/>
        <v>0.74999999999999989</v>
      </c>
      <c r="GZ85" s="55">
        <f t="shared" si="504"/>
        <v>0.72999999999999987</v>
      </c>
      <c r="HA85" s="55">
        <f t="shared" si="504"/>
        <v>0.70999999999999985</v>
      </c>
      <c r="HB85" s="55">
        <f t="shared" si="504"/>
        <v>0.68999999999999984</v>
      </c>
      <c r="HC85" s="55">
        <f t="shared" si="504"/>
        <v>0.66999999999999982</v>
      </c>
      <c r="HD85" s="55">
        <f t="shared" si="504"/>
        <v>0.6499999999999998</v>
      </c>
      <c r="HE85" s="55">
        <f t="shared" si="504"/>
        <v>0.62999999999999978</v>
      </c>
      <c r="HF85" s="55">
        <f t="shared" si="504"/>
        <v>0.60999999999999976</v>
      </c>
      <c r="HG85" s="55">
        <f t="shared" si="504"/>
        <v>0.58999999999999975</v>
      </c>
      <c r="HH85" s="55">
        <f t="shared" si="504"/>
        <v>0.56999999999999973</v>
      </c>
    </row>
    <row r="86" spans="1:216" x14ac:dyDescent="0.3">
      <c r="A86" s="2">
        <v>24</v>
      </c>
      <c r="C86" s="38" t="s">
        <v>38</v>
      </c>
      <c r="D86" s="42">
        <f>TRUNC(21155.8344177698,-1)</f>
        <v>21150</v>
      </c>
      <c r="E86" s="71">
        <f t="shared" si="365"/>
        <v>69910</v>
      </c>
      <c r="F86" s="2" t="s">
        <v>312</v>
      </c>
      <c r="H86" s="55">
        <f t="shared" si="505"/>
        <v>76901</v>
      </c>
      <c r="I86" s="55">
        <f t="shared" si="506"/>
        <v>76901</v>
      </c>
      <c r="J86" s="59">
        <f t="shared" si="507"/>
        <v>254219.32579999999</v>
      </c>
      <c r="K86" s="55">
        <f t="shared" si="366"/>
        <v>74593.97</v>
      </c>
      <c r="L86" s="59">
        <f t="shared" si="367"/>
        <v>246592.74602600001</v>
      </c>
      <c r="M86" s="55">
        <f t="shared" si="368"/>
        <v>73055.95</v>
      </c>
      <c r="N86" s="59">
        <f t="shared" si="369"/>
        <v>241508.35951000001</v>
      </c>
      <c r="O86" s="55">
        <f t="shared" si="370"/>
        <v>71517.930000000008</v>
      </c>
      <c r="P86" s="59">
        <f t="shared" si="371"/>
        <v>236423.97299400004</v>
      </c>
      <c r="Q86" s="57">
        <f t="shared" si="372"/>
        <v>69979.91</v>
      </c>
      <c r="R86" s="59">
        <f t="shared" si="373"/>
        <v>231339.58647800001</v>
      </c>
      <c r="S86" s="55">
        <f t="shared" si="374"/>
        <v>68441.89</v>
      </c>
      <c r="T86" s="59">
        <f t="shared" si="375"/>
        <v>226255.19996200001</v>
      </c>
      <c r="U86" s="57">
        <f t="shared" si="376"/>
        <v>66903.87</v>
      </c>
      <c r="V86" s="59">
        <f t="shared" si="377"/>
        <v>221170.81344599999</v>
      </c>
      <c r="W86" s="60">
        <f t="shared" si="378"/>
        <v>65365.85</v>
      </c>
      <c r="X86" s="59">
        <f t="shared" si="379"/>
        <v>216086.42692999999</v>
      </c>
      <c r="Y86" s="57">
        <f t="shared" si="380"/>
        <v>63827.829999999994</v>
      </c>
      <c r="Z86" s="59">
        <f t="shared" si="381"/>
        <v>211002.04041399999</v>
      </c>
      <c r="AA86" s="55">
        <f t="shared" si="382"/>
        <v>62289.81</v>
      </c>
      <c r="AB86" s="59">
        <f t="shared" si="383"/>
        <v>205917.65389799999</v>
      </c>
      <c r="AC86" s="60">
        <f t="shared" si="384"/>
        <v>60751.789999999994</v>
      </c>
      <c r="AD86" s="59">
        <f t="shared" si="385"/>
        <v>200833.26738199999</v>
      </c>
      <c r="AE86" s="60">
        <f t="shared" si="386"/>
        <v>59213.76999999999</v>
      </c>
      <c r="AF86" s="59">
        <f t="shared" si="387"/>
        <v>195748.88086599996</v>
      </c>
      <c r="AG86" s="60">
        <f t="shared" si="388"/>
        <v>57675.749999999993</v>
      </c>
      <c r="AH86" s="59">
        <f t="shared" si="389"/>
        <v>190664.49434999999</v>
      </c>
      <c r="AI86" s="55">
        <f t="shared" si="390"/>
        <v>56137.729999999989</v>
      </c>
      <c r="AJ86" s="59">
        <f t="shared" si="391"/>
        <v>185580.10783399997</v>
      </c>
      <c r="AK86" s="60">
        <f t="shared" si="392"/>
        <v>54599.709999999992</v>
      </c>
      <c r="AL86" s="59">
        <f t="shared" si="393"/>
        <v>180495.72131799997</v>
      </c>
      <c r="AM86" s="60">
        <f t="shared" si="394"/>
        <v>53061.689999999988</v>
      </c>
      <c r="AN86" s="59">
        <f t="shared" si="395"/>
        <v>175411.33480199997</v>
      </c>
      <c r="AO86" s="60">
        <f t="shared" si="396"/>
        <v>51523.669999999984</v>
      </c>
      <c r="AP86" s="59">
        <f t="shared" si="397"/>
        <v>170326.94828599994</v>
      </c>
      <c r="AQ86" s="60">
        <f t="shared" si="398"/>
        <v>49985.649999999987</v>
      </c>
      <c r="AR86" s="59">
        <f t="shared" si="399"/>
        <v>165242.56176999997</v>
      </c>
      <c r="AS86" s="55">
        <f t="shared" si="400"/>
        <v>48447.629999999983</v>
      </c>
      <c r="AT86" s="59">
        <f t="shared" si="401"/>
        <v>160158.17525399994</v>
      </c>
      <c r="AU86" s="60">
        <f t="shared" si="402"/>
        <v>46909.609999999979</v>
      </c>
      <c r="AV86" s="59">
        <f t="shared" si="403"/>
        <v>155073.78873799994</v>
      </c>
      <c r="AW86" s="60">
        <f t="shared" si="404"/>
        <v>45371.589999999982</v>
      </c>
      <c r="AX86" s="59">
        <f t="shared" si="405"/>
        <v>149989.40222199995</v>
      </c>
      <c r="AY86" s="55">
        <f t="shared" si="406"/>
        <v>43833.569999999978</v>
      </c>
      <c r="AZ86" s="59">
        <f t="shared" si="407"/>
        <v>144905.01570599992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0"/>
        <v>0.91</v>
      </c>
      <c r="BH86" s="55">
        <f t="shared" si="500"/>
        <v>0.89</v>
      </c>
      <c r="BI86" s="55">
        <f t="shared" si="500"/>
        <v>0.87</v>
      </c>
      <c r="BJ86" s="55">
        <f t="shared" si="500"/>
        <v>0.85</v>
      </c>
      <c r="BK86" s="55">
        <f t="shared" si="500"/>
        <v>0.83</v>
      </c>
      <c r="BL86" s="55">
        <f t="shared" si="500"/>
        <v>0.80999999999999994</v>
      </c>
      <c r="BM86" s="55">
        <f t="shared" si="500"/>
        <v>0.78999999999999992</v>
      </c>
      <c r="BN86" s="55">
        <f t="shared" si="500"/>
        <v>0.76999999999999991</v>
      </c>
      <c r="BO86" s="55">
        <f t="shared" si="500"/>
        <v>0.74999999999999989</v>
      </c>
      <c r="BP86" s="55">
        <f t="shared" si="500"/>
        <v>0.72999999999999987</v>
      </c>
      <c r="BQ86" s="55">
        <f t="shared" si="500"/>
        <v>0.70999999999999985</v>
      </c>
      <c r="BR86" s="55">
        <f t="shared" si="500"/>
        <v>0.68999999999999984</v>
      </c>
      <c r="BS86" s="55">
        <f t="shared" si="500"/>
        <v>0.66999999999999982</v>
      </c>
      <c r="BT86" s="55">
        <f t="shared" si="500"/>
        <v>0.6499999999999998</v>
      </c>
      <c r="BU86" s="55">
        <f t="shared" si="500"/>
        <v>0.62999999999999978</v>
      </c>
      <c r="BV86" s="55">
        <f t="shared" si="500"/>
        <v>0.60999999999999976</v>
      </c>
      <c r="BW86" s="55">
        <f t="shared" si="500"/>
        <v>0.58999999999999975</v>
      </c>
      <c r="BX86" s="55">
        <f t="shared" si="500"/>
        <v>0.56999999999999973</v>
      </c>
      <c r="BZ86" s="55">
        <f t="shared" si="508"/>
        <v>69979.91</v>
      </c>
      <c r="CA86" s="55">
        <f t="shared" si="509"/>
        <v>69979.91</v>
      </c>
      <c r="CB86" s="59">
        <f t="shared" si="409"/>
        <v>231339.58647800001</v>
      </c>
      <c r="CC86" s="55">
        <f t="shared" si="410"/>
        <v>67880.512700000007</v>
      </c>
      <c r="CD86" s="59">
        <f t="shared" si="411"/>
        <v>224399.39888366003</v>
      </c>
      <c r="CE86" s="55">
        <f t="shared" si="412"/>
        <v>66480.914499999999</v>
      </c>
      <c r="CF86" s="59">
        <f t="shared" si="413"/>
        <v>219772.6071541</v>
      </c>
      <c r="CG86" s="55">
        <f t="shared" si="414"/>
        <v>65081.316300000006</v>
      </c>
      <c r="CH86" s="59">
        <f t="shared" si="415"/>
        <v>215145.81542454002</v>
      </c>
      <c r="CI86" s="57">
        <f t="shared" si="416"/>
        <v>63681.718100000006</v>
      </c>
      <c r="CJ86" s="59">
        <f t="shared" si="417"/>
        <v>210519.02369498002</v>
      </c>
      <c r="CK86" s="55">
        <f t="shared" si="418"/>
        <v>62282.119900000005</v>
      </c>
      <c r="CL86" s="59">
        <f t="shared" si="419"/>
        <v>205892.23196542001</v>
      </c>
      <c r="CM86" s="57">
        <f t="shared" si="420"/>
        <v>60882.521700000005</v>
      </c>
      <c r="CN86" s="59">
        <f t="shared" si="421"/>
        <v>201265.44023586003</v>
      </c>
      <c r="CO86" s="60">
        <f t="shared" si="422"/>
        <v>59482.923500000004</v>
      </c>
      <c r="CP86" s="59">
        <f t="shared" si="423"/>
        <v>196638.64850630003</v>
      </c>
      <c r="CQ86" s="57">
        <f t="shared" si="424"/>
        <v>58083.325299999997</v>
      </c>
      <c r="CR86" s="59">
        <f t="shared" si="425"/>
        <v>192011.85677673999</v>
      </c>
      <c r="CS86" s="55">
        <f t="shared" si="426"/>
        <v>56683.727099999996</v>
      </c>
      <c r="CT86" s="59">
        <f t="shared" si="427"/>
        <v>187385.06504717999</v>
      </c>
      <c r="CU86" s="60">
        <f t="shared" si="428"/>
        <v>55284.128899999996</v>
      </c>
      <c r="CV86" s="59">
        <f t="shared" si="429"/>
        <v>182758.27331761998</v>
      </c>
      <c r="CW86" s="60">
        <f t="shared" si="430"/>
        <v>53884.530699999996</v>
      </c>
      <c r="CX86" s="59">
        <f t="shared" si="431"/>
        <v>178131.48158805998</v>
      </c>
      <c r="CY86" s="60">
        <f t="shared" si="432"/>
        <v>52484.932499999995</v>
      </c>
      <c r="CZ86" s="59">
        <f t="shared" si="433"/>
        <v>173504.6898585</v>
      </c>
      <c r="DA86" s="55">
        <f t="shared" si="434"/>
        <v>51085.334299999995</v>
      </c>
      <c r="DB86" s="59">
        <f t="shared" si="435"/>
        <v>168877.89812894</v>
      </c>
      <c r="DC86" s="60">
        <f t="shared" si="436"/>
        <v>49685.736099999995</v>
      </c>
      <c r="DD86" s="59">
        <f t="shared" si="437"/>
        <v>164251.10639937999</v>
      </c>
      <c r="DE86" s="60">
        <f t="shared" si="438"/>
        <v>48286.137899999994</v>
      </c>
      <c r="DF86" s="59">
        <f t="shared" si="439"/>
        <v>159624.31466981999</v>
      </c>
      <c r="DG86" s="60">
        <f t="shared" si="440"/>
        <v>46886.539699999987</v>
      </c>
      <c r="DH86" s="59">
        <f t="shared" si="441"/>
        <v>154997.52294025995</v>
      </c>
      <c r="DI86" s="60">
        <f t="shared" si="442"/>
        <v>45486.941499999986</v>
      </c>
      <c r="DJ86" s="59">
        <f t="shared" si="443"/>
        <v>150370.73121069995</v>
      </c>
      <c r="DK86" s="55">
        <f t="shared" si="444"/>
        <v>44087.343299999986</v>
      </c>
      <c r="DL86" s="59">
        <f t="shared" si="445"/>
        <v>145743.93948113997</v>
      </c>
      <c r="DM86" s="60">
        <f t="shared" si="446"/>
        <v>42687.745099999986</v>
      </c>
      <c r="DN86" s="59">
        <f t="shared" si="447"/>
        <v>141117.14775157996</v>
      </c>
      <c r="DO86" s="60">
        <f t="shared" si="448"/>
        <v>41288.146899999985</v>
      </c>
      <c r="DP86" s="59">
        <f t="shared" si="449"/>
        <v>136490.35602201996</v>
      </c>
      <c r="DQ86" s="55">
        <f t="shared" si="450"/>
        <v>39888.548699999985</v>
      </c>
      <c r="DR86" s="59">
        <f t="shared" si="451"/>
        <v>131863.56429245995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3"/>
        <v>0.91</v>
      </c>
      <c r="DZ86" s="55">
        <f t="shared" si="503"/>
        <v>0.89</v>
      </c>
      <c r="EA86" s="55">
        <f t="shared" si="503"/>
        <v>0.87</v>
      </c>
      <c r="EB86" s="55">
        <f t="shared" si="503"/>
        <v>0.85</v>
      </c>
      <c r="EC86" s="55">
        <f t="shared" si="503"/>
        <v>0.83</v>
      </c>
      <c r="ED86" s="55">
        <f t="shared" si="503"/>
        <v>0.80999999999999994</v>
      </c>
      <c r="EE86" s="55">
        <f t="shared" si="503"/>
        <v>0.78999999999999992</v>
      </c>
      <c r="EF86" s="55">
        <f t="shared" si="503"/>
        <v>0.76999999999999991</v>
      </c>
      <c r="EG86" s="55">
        <f t="shared" si="503"/>
        <v>0.74999999999999989</v>
      </c>
      <c r="EH86" s="55">
        <f t="shared" si="503"/>
        <v>0.72999999999999987</v>
      </c>
      <c r="EI86" s="55">
        <f t="shared" si="503"/>
        <v>0.70999999999999985</v>
      </c>
      <c r="EJ86" s="55">
        <f t="shared" si="503"/>
        <v>0.68999999999999984</v>
      </c>
      <c r="EK86" s="55">
        <f t="shared" si="503"/>
        <v>0.66999999999999982</v>
      </c>
      <c r="EL86" s="55">
        <f t="shared" si="503"/>
        <v>0.6499999999999998</v>
      </c>
      <c r="EM86" s="55">
        <f t="shared" si="503"/>
        <v>0.62999999999999978</v>
      </c>
      <c r="EN86" s="55">
        <f t="shared" si="503"/>
        <v>0.60999999999999976</v>
      </c>
      <c r="EO86" s="55">
        <f t="shared" si="503"/>
        <v>0.58999999999999975</v>
      </c>
      <c r="EP86" s="55">
        <f t="shared" si="503"/>
        <v>0.56999999999999973</v>
      </c>
      <c r="ER86" s="55">
        <f t="shared" si="142"/>
        <v>63681.718100000006</v>
      </c>
      <c r="ES86" s="55">
        <f t="shared" si="510"/>
        <v>63681.718100000006</v>
      </c>
      <c r="ET86" s="59">
        <f t="shared" si="453"/>
        <v>210519.02369498002</v>
      </c>
      <c r="EU86" s="55">
        <f t="shared" si="454"/>
        <v>61771.266557000003</v>
      </c>
      <c r="EV86" s="59">
        <f t="shared" si="455"/>
        <v>204203.45298413062</v>
      </c>
      <c r="EW86" s="55">
        <f t="shared" si="456"/>
        <v>60497.632195000006</v>
      </c>
      <c r="EX86" s="59">
        <f t="shared" si="457"/>
        <v>199993.07251023102</v>
      </c>
      <c r="EY86" s="55">
        <f t="shared" si="458"/>
        <v>59223.997833000009</v>
      </c>
      <c r="EZ86" s="59">
        <f t="shared" si="459"/>
        <v>195782.69203633143</v>
      </c>
      <c r="FA86" s="57">
        <f t="shared" si="460"/>
        <v>57950.363471000004</v>
      </c>
      <c r="FB86" s="59">
        <f t="shared" si="461"/>
        <v>191572.31156243183</v>
      </c>
      <c r="FC86" s="55">
        <f t="shared" si="462"/>
        <v>56676.729109000007</v>
      </c>
      <c r="FD86" s="59">
        <f t="shared" si="463"/>
        <v>187361.93108853223</v>
      </c>
      <c r="FE86" s="57">
        <f t="shared" si="464"/>
        <v>55403.094747000003</v>
      </c>
      <c r="FF86" s="59">
        <f t="shared" si="465"/>
        <v>183151.55061463261</v>
      </c>
      <c r="FG86" s="60">
        <f t="shared" si="466"/>
        <v>54129.460385000006</v>
      </c>
      <c r="FH86" s="59">
        <f t="shared" si="467"/>
        <v>178941.17014073301</v>
      </c>
      <c r="FI86" s="57">
        <f t="shared" si="468"/>
        <v>52855.826023000001</v>
      </c>
      <c r="FJ86" s="59">
        <f t="shared" si="469"/>
        <v>174730.78966683341</v>
      </c>
      <c r="FK86" s="55">
        <f t="shared" si="470"/>
        <v>51582.191661000004</v>
      </c>
      <c r="FL86" s="59">
        <f t="shared" si="471"/>
        <v>170520.40919293382</v>
      </c>
      <c r="FM86" s="60">
        <f t="shared" si="472"/>
        <v>50308.557299</v>
      </c>
      <c r="FN86" s="59">
        <f t="shared" si="473"/>
        <v>166310.02871903419</v>
      </c>
      <c r="FO86" s="60">
        <f t="shared" si="474"/>
        <v>49034.922936999996</v>
      </c>
      <c r="FP86" s="59">
        <f t="shared" si="475"/>
        <v>162099.64824513459</v>
      </c>
      <c r="FQ86" s="60">
        <f t="shared" si="476"/>
        <v>47761.288574999999</v>
      </c>
      <c r="FR86" s="59">
        <f t="shared" si="477"/>
        <v>157889.267771235</v>
      </c>
      <c r="FS86" s="55">
        <f t="shared" si="478"/>
        <v>46487.654212999994</v>
      </c>
      <c r="FT86" s="59">
        <f t="shared" si="479"/>
        <v>153678.88729733537</v>
      </c>
      <c r="FU86" s="60">
        <f t="shared" si="480"/>
        <v>45214.019850999997</v>
      </c>
      <c r="FV86" s="59">
        <f t="shared" si="481"/>
        <v>149468.5068234358</v>
      </c>
      <c r="FW86" s="60">
        <f t="shared" si="482"/>
        <v>43940.385488999993</v>
      </c>
      <c r="FX86" s="59">
        <f t="shared" si="483"/>
        <v>145258.12634953618</v>
      </c>
      <c r="FY86" s="60">
        <f t="shared" si="484"/>
        <v>42666.751126999989</v>
      </c>
      <c r="FZ86" s="59">
        <f t="shared" si="485"/>
        <v>141047.74587563655</v>
      </c>
      <c r="GA86" s="60">
        <f t="shared" si="486"/>
        <v>41393.116764999992</v>
      </c>
      <c r="GB86" s="59">
        <f t="shared" si="487"/>
        <v>136837.36540173698</v>
      </c>
      <c r="GC86" s="55">
        <f t="shared" si="488"/>
        <v>40119.482402999987</v>
      </c>
      <c r="GD86" s="59">
        <f t="shared" si="489"/>
        <v>132626.98492783736</v>
      </c>
      <c r="GE86" s="60">
        <f t="shared" si="490"/>
        <v>38845.84804099999</v>
      </c>
      <c r="GF86" s="59">
        <f t="shared" si="491"/>
        <v>128416.60445393778</v>
      </c>
      <c r="GG86" s="60">
        <f t="shared" si="492"/>
        <v>37572.213678999986</v>
      </c>
      <c r="GH86" s="59">
        <f t="shared" si="493"/>
        <v>124206.22398003815</v>
      </c>
      <c r="GI86" s="55">
        <f t="shared" si="494"/>
        <v>36298.579316999989</v>
      </c>
      <c r="GJ86" s="59">
        <f t="shared" si="495"/>
        <v>119995.84350613857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4"/>
        <v>0.91</v>
      </c>
      <c r="GR86" s="55">
        <f t="shared" si="504"/>
        <v>0.89</v>
      </c>
      <c r="GS86" s="55">
        <f t="shared" si="504"/>
        <v>0.87</v>
      </c>
      <c r="GT86" s="55">
        <f t="shared" si="504"/>
        <v>0.85</v>
      </c>
      <c r="GU86" s="55">
        <f t="shared" si="504"/>
        <v>0.83</v>
      </c>
      <c r="GV86" s="55">
        <f t="shared" si="504"/>
        <v>0.80999999999999994</v>
      </c>
      <c r="GW86" s="55">
        <f t="shared" si="504"/>
        <v>0.78999999999999992</v>
      </c>
      <c r="GX86" s="55">
        <f t="shared" si="504"/>
        <v>0.76999999999999991</v>
      </c>
      <c r="GY86" s="55">
        <f t="shared" si="504"/>
        <v>0.74999999999999989</v>
      </c>
      <c r="GZ86" s="55">
        <f t="shared" si="504"/>
        <v>0.72999999999999987</v>
      </c>
      <c r="HA86" s="55">
        <f t="shared" si="504"/>
        <v>0.70999999999999985</v>
      </c>
      <c r="HB86" s="55">
        <f t="shared" si="504"/>
        <v>0.68999999999999984</v>
      </c>
      <c r="HC86" s="55">
        <f t="shared" si="504"/>
        <v>0.66999999999999982</v>
      </c>
      <c r="HD86" s="55">
        <f t="shared" si="504"/>
        <v>0.6499999999999998</v>
      </c>
      <c r="HE86" s="55">
        <f t="shared" si="504"/>
        <v>0.62999999999999978</v>
      </c>
      <c r="HF86" s="55">
        <f t="shared" si="504"/>
        <v>0.60999999999999976</v>
      </c>
      <c r="HG86" s="55">
        <f t="shared" si="504"/>
        <v>0.58999999999999975</v>
      </c>
      <c r="HH86" s="55">
        <f t="shared" si="504"/>
        <v>0.56999999999999973</v>
      </c>
    </row>
    <row r="87" spans="1:216" x14ac:dyDescent="0.3">
      <c r="A87" s="2">
        <v>25</v>
      </c>
      <c r="C87" s="38" t="s">
        <v>150</v>
      </c>
      <c r="D87" s="42">
        <f>TRUNC(250889.163114202,-1)</f>
        <v>250880</v>
      </c>
      <c r="E87" s="71">
        <f t="shared" si="365"/>
        <v>829350</v>
      </c>
      <c r="H87" s="55">
        <f t="shared" si="505"/>
        <v>912285.00000000012</v>
      </c>
      <c r="I87" s="55">
        <f t="shared" si="506"/>
        <v>912285.00000000012</v>
      </c>
      <c r="J87" s="59">
        <f t="shared" si="507"/>
        <v>3015831.7530000005</v>
      </c>
      <c r="K87" s="55">
        <f t="shared" si="366"/>
        <v>884916.45000000007</v>
      </c>
      <c r="L87" s="59">
        <f t="shared" si="367"/>
        <v>2925356.8004100001</v>
      </c>
      <c r="M87" s="55">
        <f t="shared" si="368"/>
        <v>866670.75000000012</v>
      </c>
      <c r="N87" s="59">
        <f t="shared" si="369"/>
        <v>2865040.1653500004</v>
      </c>
      <c r="O87" s="55">
        <f t="shared" si="370"/>
        <v>848425.05000000016</v>
      </c>
      <c r="P87" s="59">
        <f t="shared" si="371"/>
        <v>2804723.5302900006</v>
      </c>
      <c r="Q87" s="57">
        <f t="shared" si="372"/>
        <v>830179.35000000009</v>
      </c>
      <c r="R87" s="59">
        <f t="shared" si="373"/>
        <v>2744406.8952300004</v>
      </c>
      <c r="S87" s="55">
        <f t="shared" si="374"/>
        <v>811933.65000000014</v>
      </c>
      <c r="T87" s="59">
        <f t="shared" si="375"/>
        <v>2684090.2601700006</v>
      </c>
      <c r="U87" s="57">
        <f t="shared" si="376"/>
        <v>793687.95000000007</v>
      </c>
      <c r="V87" s="59">
        <f t="shared" si="377"/>
        <v>2623773.6251100004</v>
      </c>
      <c r="W87" s="60">
        <f t="shared" si="378"/>
        <v>775442.25000000012</v>
      </c>
      <c r="X87" s="59">
        <f t="shared" si="379"/>
        <v>2563456.9900500006</v>
      </c>
      <c r="Y87" s="57">
        <f t="shared" si="380"/>
        <v>757196.55</v>
      </c>
      <c r="Z87" s="59">
        <f t="shared" si="381"/>
        <v>2503140.3549900004</v>
      </c>
      <c r="AA87" s="55">
        <f t="shared" si="382"/>
        <v>738950.85000000009</v>
      </c>
      <c r="AB87" s="59">
        <f t="shared" si="383"/>
        <v>2442823.7199300001</v>
      </c>
      <c r="AC87" s="60">
        <f t="shared" si="384"/>
        <v>720705.15</v>
      </c>
      <c r="AD87" s="59">
        <f t="shared" si="385"/>
        <v>2382507.0848699999</v>
      </c>
      <c r="AE87" s="60">
        <f t="shared" si="386"/>
        <v>702459.45</v>
      </c>
      <c r="AF87" s="59">
        <f t="shared" si="387"/>
        <v>2322190.4498099997</v>
      </c>
      <c r="AG87" s="60">
        <f t="shared" si="388"/>
        <v>684213.75</v>
      </c>
      <c r="AH87" s="59">
        <f t="shared" si="389"/>
        <v>2261873.8147499999</v>
      </c>
      <c r="AI87" s="55">
        <f t="shared" si="390"/>
        <v>665968.04999999993</v>
      </c>
      <c r="AJ87" s="59">
        <f t="shared" si="391"/>
        <v>2201557.1796899997</v>
      </c>
      <c r="AK87" s="60">
        <f t="shared" si="392"/>
        <v>647722.35</v>
      </c>
      <c r="AL87" s="59">
        <f t="shared" si="393"/>
        <v>2141240.5446299999</v>
      </c>
      <c r="AM87" s="60">
        <f t="shared" si="394"/>
        <v>629476.64999999991</v>
      </c>
      <c r="AN87" s="59">
        <f t="shared" si="395"/>
        <v>2080923.9095699997</v>
      </c>
      <c r="AO87" s="60">
        <f t="shared" si="396"/>
        <v>611230.94999999995</v>
      </c>
      <c r="AP87" s="59">
        <f t="shared" si="397"/>
        <v>2020607.2745099999</v>
      </c>
      <c r="AQ87" s="60">
        <f t="shared" si="398"/>
        <v>592985.24999999988</v>
      </c>
      <c r="AR87" s="59">
        <f t="shared" si="399"/>
        <v>1960290.6394499997</v>
      </c>
      <c r="AS87" s="55">
        <f t="shared" si="400"/>
        <v>574739.54999999993</v>
      </c>
      <c r="AT87" s="59">
        <f t="shared" si="401"/>
        <v>1899974.0043899999</v>
      </c>
      <c r="AU87" s="60">
        <f t="shared" si="402"/>
        <v>556493.84999999986</v>
      </c>
      <c r="AV87" s="59">
        <f t="shared" si="403"/>
        <v>1839657.3693299997</v>
      </c>
      <c r="AW87" s="60">
        <f t="shared" si="404"/>
        <v>538248.14999999979</v>
      </c>
      <c r="AX87" s="59">
        <f t="shared" si="405"/>
        <v>1779340.7342699994</v>
      </c>
      <c r="AY87" s="55">
        <f t="shared" si="406"/>
        <v>520002.44999999984</v>
      </c>
      <c r="AZ87" s="59">
        <f t="shared" si="407"/>
        <v>1719024.0992099994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0"/>
        <v>0.91</v>
      </c>
      <c r="BH87" s="55">
        <f t="shared" si="500"/>
        <v>0.89</v>
      </c>
      <c r="BI87" s="55">
        <f t="shared" si="500"/>
        <v>0.87</v>
      </c>
      <c r="BJ87" s="55">
        <f t="shared" si="500"/>
        <v>0.85</v>
      </c>
      <c r="BK87" s="55">
        <f t="shared" si="500"/>
        <v>0.83</v>
      </c>
      <c r="BL87" s="55">
        <f t="shared" si="500"/>
        <v>0.80999999999999994</v>
      </c>
      <c r="BM87" s="55">
        <f t="shared" si="500"/>
        <v>0.78999999999999992</v>
      </c>
      <c r="BN87" s="55">
        <f t="shared" si="500"/>
        <v>0.76999999999999991</v>
      </c>
      <c r="BO87" s="55">
        <f t="shared" si="500"/>
        <v>0.74999999999999989</v>
      </c>
      <c r="BP87" s="55">
        <f t="shared" si="500"/>
        <v>0.72999999999999987</v>
      </c>
      <c r="BQ87" s="55">
        <f t="shared" si="500"/>
        <v>0.70999999999999985</v>
      </c>
      <c r="BR87" s="55">
        <f t="shared" si="500"/>
        <v>0.68999999999999984</v>
      </c>
      <c r="BS87" s="55">
        <f t="shared" si="500"/>
        <v>0.66999999999999982</v>
      </c>
      <c r="BT87" s="55">
        <f t="shared" si="500"/>
        <v>0.6499999999999998</v>
      </c>
      <c r="BU87" s="55">
        <f t="shared" si="500"/>
        <v>0.62999999999999978</v>
      </c>
      <c r="BV87" s="55">
        <f t="shared" si="500"/>
        <v>0.60999999999999976</v>
      </c>
      <c r="BW87" s="55">
        <f t="shared" si="500"/>
        <v>0.58999999999999975</v>
      </c>
      <c r="BX87" s="55">
        <f t="shared" si="500"/>
        <v>0.56999999999999973</v>
      </c>
      <c r="BZ87" s="55">
        <f t="shared" si="508"/>
        <v>830179.35000000009</v>
      </c>
      <c r="CA87" s="55">
        <f t="shared" si="509"/>
        <v>830179.35000000009</v>
      </c>
      <c r="CB87" s="59">
        <f t="shared" si="409"/>
        <v>2744406.8952300004</v>
      </c>
      <c r="CC87" s="55">
        <f t="shared" si="410"/>
        <v>805273.96950000012</v>
      </c>
      <c r="CD87" s="59">
        <f t="shared" si="411"/>
        <v>2662074.6883731005</v>
      </c>
      <c r="CE87" s="55">
        <f t="shared" si="412"/>
        <v>788670.38250000007</v>
      </c>
      <c r="CF87" s="59">
        <f t="shared" si="413"/>
        <v>2607186.5504685002</v>
      </c>
      <c r="CG87" s="55">
        <f t="shared" si="414"/>
        <v>772066.79550000012</v>
      </c>
      <c r="CH87" s="59">
        <f t="shared" si="415"/>
        <v>2552298.4125639005</v>
      </c>
      <c r="CI87" s="57">
        <f t="shared" si="416"/>
        <v>755463.20850000007</v>
      </c>
      <c r="CJ87" s="59">
        <f t="shared" si="417"/>
        <v>2497410.2746593002</v>
      </c>
      <c r="CK87" s="55">
        <f t="shared" si="418"/>
        <v>738859.62150000012</v>
      </c>
      <c r="CL87" s="59">
        <f t="shared" si="419"/>
        <v>2442522.1367547004</v>
      </c>
      <c r="CM87" s="57">
        <f t="shared" si="420"/>
        <v>722256.03450000007</v>
      </c>
      <c r="CN87" s="59">
        <f t="shared" si="421"/>
        <v>2387633.9988501002</v>
      </c>
      <c r="CO87" s="60">
        <f t="shared" si="422"/>
        <v>705652.44750000001</v>
      </c>
      <c r="CP87" s="59">
        <f t="shared" si="423"/>
        <v>2332745.8609455</v>
      </c>
      <c r="CQ87" s="57">
        <f t="shared" si="424"/>
        <v>689048.86050000007</v>
      </c>
      <c r="CR87" s="59">
        <f t="shared" si="425"/>
        <v>2277857.7230409002</v>
      </c>
      <c r="CS87" s="55">
        <f t="shared" si="426"/>
        <v>672445.27350000001</v>
      </c>
      <c r="CT87" s="59">
        <f t="shared" si="427"/>
        <v>2222969.5851363</v>
      </c>
      <c r="CU87" s="60">
        <f t="shared" si="428"/>
        <v>655841.68650000007</v>
      </c>
      <c r="CV87" s="59">
        <f t="shared" si="429"/>
        <v>2168081.4472317002</v>
      </c>
      <c r="CW87" s="60">
        <f t="shared" si="430"/>
        <v>639238.09950000001</v>
      </c>
      <c r="CX87" s="59">
        <f t="shared" si="431"/>
        <v>2113193.3093270999</v>
      </c>
      <c r="CY87" s="60">
        <f t="shared" si="432"/>
        <v>622634.51249999995</v>
      </c>
      <c r="CZ87" s="59">
        <f t="shared" si="433"/>
        <v>2058305.1714224999</v>
      </c>
      <c r="DA87" s="55">
        <f t="shared" si="434"/>
        <v>606030.92550000001</v>
      </c>
      <c r="DB87" s="59">
        <f t="shared" si="435"/>
        <v>2003417.0335179002</v>
      </c>
      <c r="DC87" s="60">
        <f t="shared" si="436"/>
        <v>589427.33849999995</v>
      </c>
      <c r="DD87" s="59">
        <f t="shared" si="437"/>
        <v>1948528.8956132999</v>
      </c>
      <c r="DE87" s="60">
        <f t="shared" si="438"/>
        <v>572823.7514999999</v>
      </c>
      <c r="DF87" s="59">
        <f t="shared" si="439"/>
        <v>1893640.7577086997</v>
      </c>
      <c r="DG87" s="60">
        <f t="shared" si="440"/>
        <v>556220.16449999996</v>
      </c>
      <c r="DH87" s="59">
        <f t="shared" si="441"/>
        <v>1838752.6198040999</v>
      </c>
      <c r="DI87" s="60">
        <f t="shared" si="442"/>
        <v>539616.5774999999</v>
      </c>
      <c r="DJ87" s="59">
        <f t="shared" si="443"/>
        <v>1783864.4818994997</v>
      </c>
      <c r="DK87" s="55">
        <f t="shared" si="444"/>
        <v>523012.9904999999</v>
      </c>
      <c r="DL87" s="59">
        <f t="shared" si="445"/>
        <v>1728976.3439948997</v>
      </c>
      <c r="DM87" s="60">
        <f t="shared" si="446"/>
        <v>506409.40349999984</v>
      </c>
      <c r="DN87" s="59">
        <f t="shared" si="447"/>
        <v>1674088.2060902994</v>
      </c>
      <c r="DO87" s="60">
        <f t="shared" si="448"/>
        <v>489805.81649999984</v>
      </c>
      <c r="DP87" s="59">
        <f t="shared" si="449"/>
        <v>1619200.0681856994</v>
      </c>
      <c r="DQ87" s="55">
        <f t="shared" si="450"/>
        <v>473202.22949999984</v>
      </c>
      <c r="DR87" s="59">
        <f t="shared" si="451"/>
        <v>1564311.9302810994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3"/>
        <v>0.91</v>
      </c>
      <c r="DZ87" s="55">
        <f t="shared" si="503"/>
        <v>0.89</v>
      </c>
      <c r="EA87" s="55">
        <f t="shared" si="503"/>
        <v>0.87</v>
      </c>
      <c r="EB87" s="55">
        <f t="shared" si="503"/>
        <v>0.85</v>
      </c>
      <c r="EC87" s="55">
        <f t="shared" si="503"/>
        <v>0.83</v>
      </c>
      <c r="ED87" s="55">
        <f t="shared" si="503"/>
        <v>0.80999999999999994</v>
      </c>
      <c r="EE87" s="55">
        <f t="shared" si="503"/>
        <v>0.78999999999999992</v>
      </c>
      <c r="EF87" s="55">
        <f t="shared" si="503"/>
        <v>0.76999999999999991</v>
      </c>
      <c r="EG87" s="55">
        <f t="shared" si="503"/>
        <v>0.74999999999999989</v>
      </c>
      <c r="EH87" s="55">
        <f t="shared" si="503"/>
        <v>0.72999999999999987</v>
      </c>
      <c r="EI87" s="55">
        <f t="shared" si="503"/>
        <v>0.70999999999999985</v>
      </c>
      <c r="EJ87" s="55">
        <f t="shared" si="503"/>
        <v>0.68999999999999984</v>
      </c>
      <c r="EK87" s="55">
        <f t="shared" si="503"/>
        <v>0.66999999999999982</v>
      </c>
      <c r="EL87" s="55">
        <f t="shared" si="503"/>
        <v>0.6499999999999998</v>
      </c>
      <c r="EM87" s="55">
        <f t="shared" si="503"/>
        <v>0.62999999999999978</v>
      </c>
      <c r="EN87" s="55">
        <f t="shared" si="503"/>
        <v>0.60999999999999976</v>
      </c>
      <c r="EO87" s="55">
        <f t="shared" si="503"/>
        <v>0.58999999999999975</v>
      </c>
      <c r="EP87" s="55">
        <f t="shared" si="503"/>
        <v>0.56999999999999973</v>
      </c>
      <c r="ER87" s="55">
        <f t="shared" si="142"/>
        <v>755463.20850000007</v>
      </c>
      <c r="ES87" s="55">
        <f t="shared" si="510"/>
        <v>755463.20850000007</v>
      </c>
      <c r="ET87" s="59">
        <f t="shared" si="453"/>
        <v>2497410.2746593002</v>
      </c>
      <c r="EU87" s="55">
        <f t="shared" si="454"/>
        <v>732799.31224500004</v>
      </c>
      <c r="EV87" s="59">
        <f t="shared" si="455"/>
        <v>2422487.9664195213</v>
      </c>
      <c r="EW87" s="55">
        <f t="shared" si="456"/>
        <v>717690.04807500006</v>
      </c>
      <c r="EX87" s="59">
        <f t="shared" si="457"/>
        <v>2372539.7609263351</v>
      </c>
      <c r="EY87" s="55">
        <f t="shared" si="458"/>
        <v>702580.78390500008</v>
      </c>
      <c r="EZ87" s="59">
        <f t="shared" si="459"/>
        <v>2322591.5554331494</v>
      </c>
      <c r="FA87" s="57">
        <f t="shared" si="460"/>
        <v>687471.5197350001</v>
      </c>
      <c r="FB87" s="59">
        <f t="shared" si="461"/>
        <v>2272643.3499399633</v>
      </c>
      <c r="FC87" s="55">
        <f t="shared" si="462"/>
        <v>672362.25556500012</v>
      </c>
      <c r="FD87" s="59">
        <f t="shared" si="463"/>
        <v>2222695.1444467776</v>
      </c>
      <c r="FE87" s="57">
        <f t="shared" si="464"/>
        <v>657252.99139500002</v>
      </c>
      <c r="FF87" s="59">
        <f t="shared" si="465"/>
        <v>2172746.938953591</v>
      </c>
      <c r="FG87" s="60">
        <f t="shared" si="466"/>
        <v>642143.72722500004</v>
      </c>
      <c r="FH87" s="59">
        <f t="shared" si="467"/>
        <v>2122798.7334604054</v>
      </c>
      <c r="FI87" s="57">
        <f t="shared" si="468"/>
        <v>627034.46305500006</v>
      </c>
      <c r="FJ87" s="59">
        <f t="shared" si="469"/>
        <v>2072850.5279672192</v>
      </c>
      <c r="FK87" s="55">
        <f t="shared" si="470"/>
        <v>611925.19888499996</v>
      </c>
      <c r="FL87" s="59">
        <f t="shared" si="471"/>
        <v>2022902.3224740329</v>
      </c>
      <c r="FM87" s="60">
        <f t="shared" si="472"/>
        <v>596815.93471499998</v>
      </c>
      <c r="FN87" s="59">
        <f t="shared" si="473"/>
        <v>1972954.116980847</v>
      </c>
      <c r="FO87" s="60">
        <f t="shared" si="474"/>
        <v>581706.670545</v>
      </c>
      <c r="FP87" s="59">
        <f t="shared" si="475"/>
        <v>1923005.9114876611</v>
      </c>
      <c r="FQ87" s="60">
        <f t="shared" si="476"/>
        <v>566597.40637500002</v>
      </c>
      <c r="FR87" s="59">
        <f t="shared" si="477"/>
        <v>1873057.7059944752</v>
      </c>
      <c r="FS87" s="55">
        <f t="shared" si="478"/>
        <v>551488.14220499992</v>
      </c>
      <c r="FT87" s="59">
        <f t="shared" si="479"/>
        <v>1823109.5005012888</v>
      </c>
      <c r="FU87" s="60">
        <f t="shared" si="480"/>
        <v>536378.87803499994</v>
      </c>
      <c r="FV87" s="59">
        <f t="shared" si="481"/>
        <v>1773161.2950081029</v>
      </c>
      <c r="FW87" s="60">
        <f t="shared" si="482"/>
        <v>521269.6138649999</v>
      </c>
      <c r="FX87" s="59">
        <f t="shared" si="483"/>
        <v>1723213.0895149168</v>
      </c>
      <c r="FY87" s="60">
        <f t="shared" si="484"/>
        <v>506160.34969499992</v>
      </c>
      <c r="FZ87" s="59">
        <f t="shared" si="485"/>
        <v>1673264.8840217309</v>
      </c>
      <c r="GA87" s="60">
        <f t="shared" si="486"/>
        <v>491051.08552499989</v>
      </c>
      <c r="GB87" s="59">
        <f t="shared" si="487"/>
        <v>1623316.6785285447</v>
      </c>
      <c r="GC87" s="55">
        <f t="shared" si="488"/>
        <v>475941.82135499991</v>
      </c>
      <c r="GD87" s="59">
        <f t="shared" si="489"/>
        <v>1573368.4730353588</v>
      </c>
      <c r="GE87" s="60">
        <f t="shared" si="490"/>
        <v>460832.55718499987</v>
      </c>
      <c r="GF87" s="59">
        <f t="shared" si="491"/>
        <v>1523420.2675421727</v>
      </c>
      <c r="GG87" s="60">
        <f t="shared" si="492"/>
        <v>445723.29301499983</v>
      </c>
      <c r="GH87" s="59">
        <f t="shared" si="493"/>
        <v>1473472.0620489866</v>
      </c>
      <c r="GI87" s="55">
        <f t="shared" si="494"/>
        <v>430614.02884499985</v>
      </c>
      <c r="GJ87" s="59">
        <f t="shared" si="495"/>
        <v>1423523.8565558004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4"/>
        <v>0.91</v>
      </c>
      <c r="GR87" s="55">
        <f t="shared" si="504"/>
        <v>0.89</v>
      </c>
      <c r="GS87" s="55">
        <f t="shared" si="504"/>
        <v>0.87</v>
      </c>
      <c r="GT87" s="55">
        <f t="shared" si="504"/>
        <v>0.85</v>
      </c>
      <c r="GU87" s="55">
        <f t="shared" si="504"/>
        <v>0.83</v>
      </c>
      <c r="GV87" s="55">
        <f t="shared" si="504"/>
        <v>0.80999999999999994</v>
      </c>
      <c r="GW87" s="55">
        <f t="shared" si="504"/>
        <v>0.78999999999999992</v>
      </c>
      <c r="GX87" s="55">
        <f t="shared" si="504"/>
        <v>0.76999999999999991</v>
      </c>
      <c r="GY87" s="55">
        <f t="shared" si="504"/>
        <v>0.74999999999999989</v>
      </c>
      <c r="GZ87" s="55">
        <f t="shared" si="504"/>
        <v>0.72999999999999987</v>
      </c>
      <c r="HA87" s="55">
        <f t="shared" si="504"/>
        <v>0.70999999999999985</v>
      </c>
      <c r="HB87" s="55">
        <f t="shared" si="504"/>
        <v>0.68999999999999984</v>
      </c>
      <c r="HC87" s="55">
        <f t="shared" si="504"/>
        <v>0.66999999999999982</v>
      </c>
      <c r="HD87" s="55">
        <f t="shared" si="504"/>
        <v>0.6499999999999998</v>
      </c>
      <c r="HE87" s="55">
        <f t="shared" si="504"/>
        <v>0.62999999999999978</v>
      </c>
      <c r="HF87" s="55">
        <f t="shared" si="504"/>
        <v>0.60999999999999976</v>
      </c>
      <c r="HG87" s="55">
        <f t="shared" si="504"/>
        <v>0.58999999999999975</v>
      </c>
      <c r="HH87" s="55">
        <f t="shared" si="504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TRUNC(9277.69710567646+5469.03343055867,-1)</f>
        <v>14740</v>
      </c>
      <c r="E88" s="72">
        <f t="shared" si="365"/>
        <v>48720</v>
      </c>
      <c r="F88" s="2" t="s">
        <v>313</v>
      </c>
      <c r="H88" s="55">
        <f t="shared" si="505"/>
        <v>53592.000000000007</v>
      </c>
      <c r="I88" s="55">
        <f t="shared" si="506"/>
        <v>53592.000000000007</v>
      </c>
      <c r="J88" s="59">
        <f t="shared" si="507"/>
        <v>177164.43360000002</v>
      </c>
      <c r="K88" s="55">
        <f t="shared" si="366"/>
        <v>51984.240000000005</v>
      </c>
      <c r="L88" s="59">
        <f t="shared" si="367"/>
        <v>171849.50059200003</v>
      </c>
      <c r="M88" s="55">
        <f t="shared" si="368"/>
        <v>50912.4</v>
      </c>
      <c r="N88" s="59">
        <f t="shared" si="369"/>
        <v>168306.21192</v>
      </c>
      <c r="O88" s="55">
        <f t="shared" si="370"/>
        <v>49840.560000000012</v>
      </c>
      <c r="P88" s="59">
        <f t="shared" si="371"/>
        <v>164762.92324800004</v>
      </c>
      <c r="Q88" s="57">
        <f t="shared" si="372"/>
        <v>48768.720000000008</v>
      </c>
      <c r="R88" s="59">
        <f t="shared" si="373"/>
        <v>161219.63457600004</v>
      </c>
      <c r="S88" s="55">
        <f t="shared" si="374"/>
        <v>47696.880000000005</v>
      </c>
      <c r="T88" s="59">
        <f t="shared" si="375"/>
        <v>157676.34590400002</v>
      </c>
      <c r="U88" s="57">
        <f t="shared" si="376"/>
        <v>46625.040000000008</v>
      </c>
      <c r="V88" s="59">
        <f t="shared" si="377"/>
        <v>154133.05723200002</v>
      </c>
      <c r="W88" s="60">
        <f t="shared" si="378"/>
        <v>45553.200000000004</v>
      </c>
      <c r="X88" s="59">
        <f t="shared" si="379"/>
        <v>150589.76856000003</v>
      </c>
      <c r="Y88" s="57">
        <f t="shared" si="380"/>
        <v>44481.36</v>
      </c>
      <c r="Z88" s="59">
        <f t="shared" si="381"/>
        <v>147046.479888</v>
      </c>
      <c r="AA88" s="55">
        <f t="shared" si="382"/>
        <v>43409.520000000004</v>
      </c>
      <c r="AB88" s="59">
        <f t="shared" si="383"/>
        <v>143503.19121600001</v>
      </c>
      <c r="AC88" s="60">
        <f t="shared" si="384"/>
        <v>42337.68</v>
      </c>
      <c r="AD88" s="59">
        <f t="shared" si="385"/>
        <v>139959.90254400001</v>
      </c>
      <c r="AE88" s="60">
        <f t="shared" si="386"/>
        <v>41265.840000000004</v>
      </c>
      <c r="AF88" s="59">
        <f t="shared" si="387"/>
        <v>136416.61387200002</v>
      </c>
      <c r="AG88" s="60">
        <f t="shared" si="388"/>
        <v>40194</v>
      </c>
      <c r="AH88" s="59">
        <f t="shared" si="389"/>
        <v>132873.32519999999</v>
      </c>
      <c r="AI88" s="55">
        <f t="shared" si="390"/>
        <v>39122.159999999996</v>
      </c>
      <c r="AJ88" s="59">
        <f t="shared" si="391"/>
        <v>129330.036528</v>
      </c>
      <c r="AK88" s="60">
        <f t="shared" si="392"/>
        <v>38050.32</v>
      </c>
      <c r="AL88" s="59">
        <f t="shared" si="393"/>
        <v>125786.747856</v>
      </c>
      <c r="AM88" s="60">
        <f t="shared" si="394"/>
        <v>36978.479999999996</v>
      </c>
      <c r="AN88" s="59">
        <f t="shared" si="395"/>
        <v>122243.45918399999</v>
      </c>
      <c r="AO88" s="60">
        <f t="shared" si="396"/>
        <v>35906.639999999992</v>
      </c>
      <c r="AP88" s="59">
        <f t="shared" si="397"/>
        <v>118700.17051199998</v>
      </c>
      <c r="AQ88" s="60">
        <f t="shared" si="398"/>
        <v>34834.799999999996</v>
      </c>
      <c r="AR88" s="59">
        <f t="shared" si="399"/>
        <v>115156.88183999999</v>
      </c>
      <c r="AS88" s="55">
        <f t="shared" si="400"/>
        <v>33762.959999999992</v>
      </c>
      <c r="AT88" s="59">
        <f t="shared" si="401"/>
        <v>111613.59316799998</v>
      </c>
      <c r="AU88" s="60">
        <f t="shared" si="402"/>
        <v>32691.119999999992</v>
      </c>
      <c r="AV88" s="59">
        <f t="shared" si="403"/>
        <v>108070.30449599997</v>
      </c>
      <c r="AW88" s="60">
        <f t="shared" si="404"/>
        <v>31619.279999999992</v>
      </c>
      <c r="AX88" s="59">
        <f t="shared" si="405"/>
        <v>104527.01582399997</v>
      </c>
      <c r="AY88" s="55">
        <f t="shared" si="406"/>
        <v>30547.439999999991</v>
      </c>
      <c r="AZ88" s="59">
        <f t="shared" si="407"/>
        <v>100983.72715199998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0"/>
        <v>0.91</v>
      </c>
      <c r="BH88" s="55">
        <f t="shared" si="500"/>
        <v>0.89</v>
      </c>
      <c r="BI88" s="55">
        <f t="shared" si="500"/>
        <v>0.87</v>
      </c>
      <c r="BJ88" s="55">
        <f t="shared" si="500"/>
        <v>0.85</v>
      </c>
      <c r="BK88" s="55">
        <f t="shared" si="500"/>
        <v>0.83</v>
      </c>
      <c r="BL88" s="55">
        <f t="shared" si="500"/>
        <v>0.80999999999999994</v>
      </c>
      <c r="BM88" s="55">
        <f t="shared" si="500"/>
        <v>0.78999999999999992</v>
      </c>
      <c r="BN88" s="55">
        <f t="shared" si="500"/>
        <v>0.76999999999999991</v>
      </c>
      <c r="BO88" s="55">
        <f t="shared" si="500"/>
        <v>0.74999999999999989</v>
      </c>
      <c r="BP88" s="55">
        <f t="shared" si="500"/>
        <v>0.72999999999999987</v>
      </c>
      <c r="BQ88" s="55">
        <f t="shared" si="500"/>
        <v>0.70999999999999985</v>
      </c>
      <c r="BR88" s="55">
        <f t="shared" si="500"/>
        <v>0.68999999999999984</v>
      </c>
      <c r="BS88" s="55">
        <f t="shared" si="500"/>
        <v>0.66999999999999982</v>
      </c>
      <c r="BT88" s="55">
        <f t="shared" si="500"/>
        <v>0.6499999999999998</v>
      </c>
      <c r="BU88" s="55">
        <f t="shared" si="500"/>
        <v>0.62999999999999978</v>
      </c>
      <c r="BV88" s="55">
        <f t="shared" si="500"/>
        <v>0.60999999999999976</v>
      </c>
      <c r="BW88" s="55">
        <f t="shared" si="500"/>
        <v>0.58999999999999975</v>
      </c>
      <c r="BX88" s="55">
        <f t="shared" si="500"/>
        <v>0.56999999999999973</v>
      </c>
      <c r="BZ88" s="55">
        <f t="shared" si="508"/>
        <v>48768.720000000008</v>
      </c>
      <c r="CA88" s="55">
        <f t="shared" si="509"/>
        <v>48768.720000000008</v>
      </c>
      <c r="CB88" s="59">
        <f t="shared" si="409"/>
        <v>161219.63457600004</v>
      </c>
      <c r="CC88" s="55">
        <f t="shared" si="410"/>
        <v>47305.658400000008</v>
      </c>
      <c r="CD88" s="59">
        <f t="shared" si="411"/>
        <v>156383.04553872003</v>
      </c>
      <c r="CE88" s="55">
        <f t="shared" si="412"/>
        <v>46330.284000000007</v>
      </c>
      <c r="CF88" s="59">
        <f t="shared" si="413"/>
        <v>153158.65284720002</v>
      </c>
      <c r="CG88" s="55">
        <f t="shared" si="414"/>
        <v>45354.909600000014</v>
      </c>
      <c r="CH88" s="59">
        <f t="shared" si="415"/>
        <v>149934.26015568004</v>
      </c>
      <c r="CI88" s="57">
        <f t="shared" si="416"/>
        <v>44379.535200000006</v>
      </c>
      <c r="CJ88" s="59">
        <f t="shared" si="417"/>
        <v>146709.86746416002</v>
      </c>
      <c r="CK88" s="55">
        <f t="shared" si="418"/>
        <v>43404.160800000005</v>
      </c>
      <c r="CL88" s="59">
        <f t="shared" si="419"/>
        <v>143485.47477264001</v>
      </c>
      <c r="CM88" s="57">
        <f t="shared" si="420"/>
        <v>42428.786400000005</v>
      </c>
      <c r="CN88" s="59">
        <f t="shared" si="421"/>
        <v>140261.08208112002</v>
      </c>
      <c r="CO88" s="60">
        <f t="shared" si="422"/>
        <v>41453.412000000004</v>
      </c>
      <c r="CP88" s="59">
        <f t="shared" si="423"/>
        <v>137036.68938960001</v>
      </c>
      <c r="CQ88" s="57">
        <f t="shared" si="424"/>
        <v>40478.037600000003</v>
      </c>
      <c r="CR88" s="59">
        <f t="shared" si="425"/>
        <v>133812.29669808003</v>
      </c>
      <c r="CS88" s="55">
        <f t="shared" si="426"/>
        <v>39502.663200000003</v>
      </c>
      <c r="CT88" s="59">
        <f t="shared" si="427"/>
        <v>130587.90400656001</v>
      </c>
      <c r="CU88" s="60">
        <f t="shared" si="428"/>
        <v>38527.288800000002</v>
      </c>
      <c r="CV88" s="59">
        <f t="shared" si="429"/>
        <v>127363.51131504001</v>
      </c>
      <c r="CW88" s="60">
        <f t="shared" si="430"/>
        <v>37551.914400000001</v>
      </c>
      <c r="CX88" s="59">
        <f t="shared" si="431"/>
        <v>124139.11862352001</v>
      </c>
      <c r="CY88" s="60">
        <f t="shared" si="432"/>
        <v>36576.54</v>
      </c>
      <c r="CZ88" s="59">
        <f t="shared" si="433"/>
        <v>120914.725932</v>
      </c>
      <c r="DA88" s="55">
        <f t="shared" si="434"/>
        <v>35601.1656</v>
      </c>
      <c r="DB88" s="59">
        <f t="shared" si="435"/>
        <v>117690.33324048</v>
      </c>
      <c r="DC88" s="60">
        <f t="shared" si="436"/>
        <v>34625.7912</v>
      </c>
      <c r="DD88" s="59">
        <f t="shared" si="437"/>
        <v>114465.94054896</v>
      </c>
      <c r="DE88" s="60">
        <f t="shared" si="438"/>
        <v>33650.416799999999</v>
      </c>
      <c r="DF88" s="59">
        <f t="shared" si="439"/>
        <v>111241.54785744</v>
      </c>
      <c r="DG88" s="60">
        <f t="shared" si="440"/>
        <v>32675.042399999998</v>
      </c>
      <c r="DH88" s="59">
        <f t="shared" si="441"/>
        <v>108017.15516591999</v>
      </c>
      <c r="DI88" s="60">
        <f t="shared" si="442"/>
        <v>31699.667999999994</v>
      </c>
      <c r="DJ88" s="59">
        <f t="shared" si="443"/>
        <v>104792.76247439998</v>
      </c>
      <c r="DK88" s="55">
        <f t="shared" si="444"/>
        <v>30724.293599999994</v>
      </c>
      <c r="DL88" s="59">
        <f t="shared" si="445"/>
        <v>101568.36978287998</v>
      </c>
      <c r="DM88" s="60">
        <f t="shared" si="446"/>
        <v>29748.919199999993</v>
      </c>
      <c r="DN88" s="59">
        <f t="shared" si="447"/>
        <v>98343.977091359979</v>
      </c>
      <c r="DO88" s="60">
        <f t="shared" si="448"/>
        <v>28773.544799999992</v>
      </c>
      <c r="DP88" s="59">
        <f t="shared" si="449"/>
        <v>95119.58439983998</v>
      </c>
      <c r="DQ88" s="55">
        <f t="shared" si="450"/>
        <v>27798.170399999992</v>
      </c>
      <c r="DR88" s="59">
        <f t="shared" si="451"/>
        <v>91895.191708319981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3"/>
        <v>0.91</v>
      </c>
      <c r="DZ88" s="55">
        <f t="shared" si="503"/>
        <v>0.89</v>
      </c>
      <c r="EA88" s="55">
        <f t="shared" si="503"/>
        <v>0.87</v>
      </c>
      <c r="EB88" s="55">
        <f t="shared" si="503"/>
        <v>0.85</v>
      </c>
      <c r="EC88" s="55">
        <f t="shared" si="503"/>
        <v>0.83</v>
      </c>
      <c r="ED88" s="55">
        <f t="shared" si="503"/>
        <v>0.80999999999999994</v>
      </c>
      <c r="EE88" s="55">
        <f t="shared" si="503"/>
        <v>0.78999999999999992</v>
      </c>
      <c r="EF88" s="55">
        <f t="shared" si="503"/>
        <v>0.76999999999999991</v>
      </c>
      <c r="EG88" s="55">
        <f t="shared" si="503"/>
        <v>0.74999999999999989</v>
      </c>
      <c r="EH88" s="55">
        <f t="shared" si="503"/>
        <v>0.72999999999999987</v>
      </c>
      <c r="EI88" s="55">
        <f t="shared" si="503"/>
        <v>0.70999999999999985</v>
      </c>
      <c r="EJ88" s="55">
        <f t="shared" si="503"/>
        <v>0.68999999999999984</v>
      </c>
      <c r="EK88" s="55">
        <f t="shared" si="503"/>
        <v>0.66999999999999982</v>
      </c>
      <c r="EL88" s="55">
        <f t="shared" si="503"/>
        <v>0.6499999999999998</v>
      </c>
      <c r="EM88" s="55">
        <f t="shared" si="503"/>
        <v>0.62999999999999978</v>
      </c>
      <c r="EN88" s="55">
        <f t="shared" si="503"/>
        <v>0.60999999999999976</v>
      </c>
      <c r="EO88" s="55">
        <f t="shared" si="503"/>
        <v>0.58999999999999975</v>
      </c>
      <c r="EP88" s="55">
        <f t="shared" si="503"/>
        <v>0.56999999999999973</v>
      </c>
      <c r="ER88" s="55">
        <f t="shared" si="142"/>
        <v>44379.535200000006</v>
      </c>
      <c r="ES88" s="55">
        <f t="shared" si="510"/>
        <v>44379.535200000006</v>
      </c>
      <c r="ET88" s="59">
        <f t="shared" si="453"/>
        <v>146709.86746416002</v>
      </c>
      <c r="EU88" s="55">
        <f t="shared" si="454"/>
        <v>43048.149144000003</v>
      </c>
      <c r="EV88" s="59">
        <f t="shared" si="455"/>
        <v>142308.57144023522</v>
      </c>
      <c r="EW88" s="55">
        <f t="shared" si="456"/>
        <v>42160.558440000001</v>
      </c>
      <c r="EX88" s="59">
        <f t="shared" si="457"/>
        <v>139374.37409095201</v>
      </c>
      <c r="EY88" s="55">
        <f t="shared" si="458"/>
        <v>41272.967736000006</v>
      </c>
      <c r="EZ88" s="59">
        <f t="shared" si="459"/>
        <v>136440.17674166881</v>
      </c>
      <c r="FA88" s="57">
        <f t="shared" si="460"/>
        <v>40385.377032000004</v>
      </c>
      <c r="FB88" s="59">
        <f t="shared" si="461"/>
        <v>133505.97939238561</v>
      </c>
      <c r="FC88" s="55">
        <f t="shared" si="462"/>
        <v>39497.786328000009</v>
      </c>
      <c r="FD88" s="59">
        <f t="shared" si="463"/>
        <v>130571.78204310243</v>
      </c>
      <c r="FE88" s="57">
        <f t="shared" si="464"/>
        <v>38610.195624000007</v>
      </c>
      <c r="FF88" s="59">
        <f t="shared" si="465"/>
        <v>127637.58469381923</v>
      </c>
      <c r="FG88" s="60">
        <f t="shared" si="466"/>
        <v>37722.604920000005</v>
      </c>
      <c r="FH88" s="59">
        <f t="shared" si="467"/>
        <v>124703.38734453602</v>
      </c>
      <c r="FI88" s="57">
        <f t="shared" si="468"/>
        <v>36835.014216000003</v>
      </c>
      <c r="FJ88" s="59">
        <f t="shared" si="469"/>
        <v>121769.18999525282</v>
      </c>
      <c r="FK88" s="55">
        <f t="shared" si="470"/>
        <v>35947.423512000001</v>
      </c>
      <c r="FL88" s="59">
        <f t="shared" si="471"/>
        <v>118834.9926459696</v>
      </c>
      <c r="FM88" s="60">
        <f t="shared" si="472"/>
        <v>35059.832807999999</v>
      </c>
      <c r="FN88" s="59">
        <f t="shared" si="473"/>
        <v>115900.7952966864</v>
      </c>
      <c r="FO88" s="60">
        <f t="shared" si="474"/>
        <v>34172.242103999997</v>
      </c>
      <c r="FP88" s="59">
        <f t="shared" si="475"/>
        <v>112966.59794740319</v>
      </c>
      <c r="FQ88" s="60">
        <f t="shared" si="476"/>
        <v>33284.651400000002</v>
      </c>
      <c r="FR88" s="59">
        <f t="shared" si="477"/>
        <v>110032.40059812002</v>
      </c>
      <c r="FS88" s="55">
        <f t="shared" si="478"/>
        <v>32397.060695999997</v>
      </c>
      <c r="FT88" s="59">
        <f t="shared" si="479"/>
        <v>107098.2032488368</v>
      </c>
      <c r="FU88" s="60">
        <f t="shared" si="480"/>
        <v>31509.469991999998</v>
      </c>
      <c r="FV88" s="59">
        <f t="shared" si="481"/>
        <v>104164.00589955359</v>
      </c>
      <c r="FW88" s="60">
        <f t="shared" si="482"/>
        <v>30621.879287999996</v>
      </c>
      <c r="FX88" s="59">
        <f t="shared" si="483"/>
        <v>101229.80855027039</v>
      </c>
      <c r="FY88" s="60">
        <f t="shared" si="484"/>
        <v>29734.288583999994</v>
      </c>
      <c r="FZ88" s="59">
        <f t="shared" si="485"/>
        <v>98295.611200987187</v>
      </c>
      <c r="GA88" s="60">
        <f t="shared" si="486"/>
        <v>28846.697879999996</v>
      </c>
      <c r="GB88" s="59">
        <f t="shared" si="487"/>
        <v>95361.413851703983</v>
      </c>
      <c r="GC88" s="55">
        <f t="shared" si="488"/>
        <v>27959.107175999994</v>
      </c>
      <c r="GD88" s="59">
        <f t="shared" si="489"/>
        <v>92427.216502420779</v>
      </c>
      <c r="GE88" s="60">
        <f t="shared" si="490"/>
        <v>27071.516471999992</v>
      </c>
      <c r="GF88" s="59">
        <f t="shared" si="491"/>
        <v>89493.019153137575</v>
      </c>
      <c r="GG88" s="60">
        <f t="shared" si="492"/>
        <v>26183.925767999994</v>
      </c>
      <c r="GH88" s="59">
        <f t="shared" si="493"/>
        <v>86558.821803854386</v>
      </c>
      <c r="GI88" s="55">
        <f t="shared" si="494"/>
        <v>25296.335063999992</v>
      </c>
      <c r="GJ88" s="59">
        <f t="shared" si="495"/>
        <v>83624.624454571182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4"/>
        <v>0.91</v>
      </c>
      <c r="GR88" s="55">
        <f t="shared" si="504"/>
        <v>0.89</v>
      </c>
      <c r="GS88" s="55">
        <f t="shared" si="504"/>
        <v>0.87</v>
      </c>
      <c r="GT88" s="55">
        <f t="shared" si="504"/>
        <v>0.85</v>
      </c>
      <c r="GU88" s="55">
        <f t="shared" si="504"/>
        <v>0.83</v>
      </c>
      <c r="GV88" s="55">
        <f t="shared" si="504"/>
        <v>0.80999999999999994</v>
      </c>
      <c r="GW88" s="55">
        <f t="shared" si="504"/>
        <v>0.78999999999999992</v>
      </c>
      <c r="GX88" s="55">
        <f t="shared" si="504"/>
        <v>0.76999999999999991</v>
      </c>
      <c r="GY88" s="55">
        <f t="shared" si="504"/>
        <v>0.74999999999999989</v>
      </c>
      <c r="GZ88" s="55">
        <f t="shared" si="504"/>
        <v>0.72999999999999987</v>
      </c>
      <c r="HA88" s="55">
        <f t="shared" si="504"/>
        <v>0.70999999999999985</v>
      </c>
      <c r="HB88" s="55">
        <f t="shared" si="504"/>
        <v>0.68999999999999984</v>
      </c>
      <c r="HC88" s="55">
        <f t="shared" si="504"/>
        <v>0.66999999999999982</v>
      </c>
      <c r="HD88" s="55">
        <f t="shared" si="504"/>
        <v>0.6499999999999998</v>
      </c>
      <c r="HE88" s="55">
        <f t="shared" si="504"/>
        <v>0.62999999999999978</v>
      </c>
      <c r="HF88" s="55">
        <f t="shared" si="504"/>
        <v>0.60999999999999976</v>
      </c>
      <c r="HG88" s="55">
        <f t="shared" si="504"/>
        <v>0.58999999999999975</v>
      </c>
      <c r="HH88" s="55">
        <f t="shared" si="504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364770</v>
      </c>
      <c r="E89" s="39">
        <f>SUM(E63:E88)</f>
        <v>1205810</v>
      </c>
      <c r="H89" s="55">
        <f t="shared" si="505"/>
        <v>1326391</v>
      </c>
      <c r="I89" s="55">
        <f t="shared" si="506"/>
        <v>1326391</v>
      </c>
      <c r="J89" s="59">
        <f t="shared" si="507"/>
        <v>4384783.3678000001</v>
      </c>
      <c r="K89" s="55">
        <f t="shared" si="366"/>
        <v>1286599.27</v>
      </c>
      <c r="L89" s="59">
        <f t="shared" si="367"/>
        <v>4253239.8667660002</v>
      </c>
      <c r="M89" s="55">
        <f t="shared" si="368"/>
        <v>1260071.45</v>
      </c>
      <c r="N89" s="59">
        <f t="shared" si="369"/>
        <v>4165544.1994099999</v>
      </c>
      <c r="O89" s="55">
        <f t="shared" si="370"/>
        <v>1233543.6300000001</v>
      </c>
      <c r="P89" s="59">
        <f t="shared" si="371"/>
        <v>4077848.5320540005</v>
      </c>
      <c r="Q89" s="57">
        <f t="shared" si="372"/>
        <v>1207015.81</v>
      </c>
      <c r="R89" s="59">
        <f t="shared" si="373"/>
        <v>3990152.8646980003</v>
      </c>
      <c r="S89" s="55">
        <f t="shared" si="374"/>
        <v>1180487.99</v>
      </c>
      <c r="T89" s="59">
        <f t="shared" si="375"/>
        <v>3902457.197342</v>
      </c>
      <c r="U89" s="57">
        <f t="shared" si="376"/>
        <v>1153960.17</v>
      </c>
      <c r="V89" s="59">
        <f t="shared" si="377"/>
        <v>3814761.5299859997</v>
      </c>
      <c r="W89" s="60">
        <f t="shared" si="378"/>
        <v>1127432.3499999999</v>
      </c>
      <c r="X89" s="59">
        <f t="shared" si="379"/>
        <v>3727065.8626299994</v>
      </c>
      <c r="Y89" s="57">
        <f t="shared" si="380"/>
        <v>1100904.53</v>
      </c>
      <c r="Z89" s="59">
        <f t="shared" si="381"/>
        <v>3639370.1952740001</v>
      </c>
      <c r="AA89" s="55">
        <f t="shared" si="382"/>
        <v>1074376.71</v>
      </c>
      <c r="AB89" s="59">
        <f t="shared" si="383"/>
        <v>3551674.5279179998</v>
      </c>
      <c r="AC89" s="60">
        <f t="shared" si="384"/>
        <v>1047848.8899999999</v>
      </c>
      <c r="AD89" s="59">
        <f t="shared" si="385"/>
        <v>3463978.860562</v>
      </c>
      <c r="AE89" s="60">
        <f t="shared" si="386"/>
        <v>1021321.0699999998</v>
      </c>
      <c r="AF89" s="59">
        <f t="shared" si="387"/>
        <v>3376283.1932059997</v>
      </c>
      <c r="AG89" s="60">
        <f t="shared" si="388"/>
        <v>994793.24999999988</v>
      </c>
      <c r="AH89" s="59">
        <f t="shared" si="389"/>
        <v>3288587.5258499999</v>
      </c>
      <c r="AI89" s="55">
        <f t="shared" si="390"/>
        <v>968265.42999999982</v>
      </c>
      <c r="AJ89" s="59">
        <f t="shared" si="391"/>
        <v>3200891.8584939996</v>
      </c>
      <c r="AK89" s="60">
        <f t="shared" si="392"/>
        <v>941737.60999999975</v>
      </c>
      <c r="AL89" s="59">
        <f t="shared" si="393"/>
        <v>3113196.1911379993</v>
      </c>
      <c r="AM89" s="60">
        <f t="shared" si="394"/>
        <v>915209.7899999998</v>
      </c>
      <c r="AN89" s="59">
        <f t="shared" si="395"/>
        <v>3025500.5237819995</v>
      </c>
      <c r="AO89" s="60">
        <f t="shared" si="396"/>
        <v>888681.96999999974</v>
      </c>
      <c r="AP89" s="59">
        <f t="shared" si="397"/>
        <v>2937804.8564259992</v>
      </c>
      <c r="AQ89" s="60">
        <f t="shared" si="398"/>
        <v>862154.14999999979</v>
      </c>
      <c r="AR89" s="59">
        <f t="shared" si="399"/>
        <v>2850109.1890699994</v>
      </c>
      <c r="AS89" s="55">
        <f t="shared" si="400"/>
        <v>835626.32999999973</v>
      </c>
      <c r="AT89" s="59">
        <f t="shared" si="401"/>
        <v>2762413.5217139991</v>
      </c>
      <c r="AU89" s="60">
        <f t="shared" si="402"/>
        <v>809098.50999999966</v>
      </c>
      <c r="AV89" s="59">
        <f t="shared" si="403"/>
        <v>2674717.8543579988</v>
      </c>
      <c r="AW89" s="60">
        <f t="shared" si="404"/>
        <v>782570.68999999971</v>
      </c>
      <c r="AX89" s="59">
        <f t="shared" si="405"/>
        <v>2587022.187001999</v>
      </c>
      <c r="AY89" s="55">
        <f t="shared" si="406"/>
        <v>756042.86999999965</v>
      </c>
      <c r="AZ89" s="59">
        <f t="shared" si="407"/>
        <v>2499326.5196459987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0"/>
        <v>0.91</v>
      </c>
      <c r="BH89" s="55">
        <f t="shared" si="500"/>
        <v>0.89</v>
      </c>
      <c r="BI89" s="55">
        <f t="shared" si="500"/>
        <v>0.87</v>
      </c>
      <c r="BJ89" s="55">
        <f t="shared" si="500"/>
        <v>0.85</v>
      </c>
      <c r="BK89" s="55">
        <f t="shared" si="500"/>
        <v>0.83</v>
      </c>
      <c r="BL89" s="55">
        <f t="shared" si="500"/>
        <v>0.80999999999999994</v>
      </c>
      <c r="BM89" s="55">
        <f t="shared" si="500"/>
        <v>0.78999999999999992</v>
      </c>
      <c r="BN89" s="55">
        <f t="shared" si="500"/>
        <v>0.76999999999999991</v>
      </c>
      <c r="BO89" s="55">
        <f t="shared" si="500"/>
        <v>0.74999999999999989</v>
      </c>
      <c r="BP89" s="55">
        <f t="shared" si="500"/>
        <v>0.72999999999999987</v>
      </c>
      <c r="BQ89" s="55">
        <f t="shared" si="500"/>
        <v>0.70999999999999985</v>
      </c>
      <c r="BR89" s="55">
        <f t="shared" si="500"/>
        <v>0.68999999999999984</v>
      </c>
      <c r="BS89" s="55">
        <f t="shared" si="500"/>
        <v>0.66999999999999982</v>
      </c>
      <c r="BT89" s="55">
        <f t="shared" si="500"/>
        <v>0.6499999999999998</v>
      </c>
      <c r="BU89" s="55">
        <f t="shared" si="500"/>
        <v>0.62999999999999978</v>
      </c>
      <c r="BV89" s="55">
        <f t="shared" si="500"/>
        <v>0.60999999999999976</v>
      </c>
      <c r="BW89" s="55">
        <f t="shared" si="500"/>
        <v>0.58999999999999975</v>
      </c>
      <c r="BX89" s="55">
        <f t="shared" si="500"/>
        <v>0.56999999999999973</v>
      </c>
      <c r="BZ89" s="55">
        <f t="shared" si="508"/>
        <v>1207015.81</v>
      </c>
      <c r="CA89" s="55">
        <f t="shared" si="509"/>
        <v>1207015.81</v>
      </c>
      <c r="CB89" s="59">
        <f t="shared" si="409"/>
        <v>3990152.8646980003</v>
      </c>
      <c r="CC89" s="55">
        <f t="shared" si="410"/>
        <v>1170805.3356999999</v>
      </c>
      <c r="CD89" s="59">
        <f t="shared" si="411"/>
        <v>3870448.2787570599</v>
      </c>
      <c r="CE89" s="55">
        <f t="shared" si="412"/>
        <v>1146665.0194999999</v>
      </c>
      <c r="CF89" s="59">
        <f t="shared" si="413"/>
        <v>3790645.2214631001</v>
      </c>
      <c r="CG89" s="55">
        <f t="shared" si="414"/>
        <v>1122524.7033000002</v>
      </c>
      <c r="CH89" s="59">
        <f t="shared" si="415"/>
        <v>3710842.1641691406</v>
      </c>
      <c r="CI89" s="57">
        <f t="shared" si="416"/>
        <v>1098384.3871000002</v>
      </c>
      <c r="CJ89" s="59">
        <f t="shared" si="417"/>
        <v>3631039.1068751807</v>
      </c>
      <c r="CK89" s="55">
        <f t="shared" si="418"/>
        <v>1074244.0709000002</v>
      </c>
      <c r="CL89" s="59">
        <f t="shared" si="419"/>
        <v>3551236.0495812208</v>
      </c>
      <c r="CM89" s="57">
        <f t="shared" si="420"/>
        <v>1050103.7546999999</v>
      </c>
      <c r="CN89" s="59">
        <f t="shared" si="421"/>
        <v>3471432.99228726</v>
      </c>
      <c r="CO89" s="60">
        <f t="shared" si="422"/>
        <v>1025963.4385</v>
      </c>
      <c r="CP89" s="59">
        <f t="shared" si="423"/>
        <v>3391629.9349933001</v>
      </c>
      <c r="CQ89" s="57">
        <f t="shared" si="424"/>
        <v>1001823.1223</v>
      </c>
      <c r="CR89" s="59">
        <f t="shared" si="425"/>
        <v>3311826.8776993402</v>
      </c>
      <c r="CS89" s="55">
        <f t="shared" si="426"/>
        <v>977682.80609999993</v>
      </c>
      <c r="CT89" s="59">
        <f t="shared" si="427"/>
        <v>3232023.8204053799</v>
      </c>
      <c r="CU89" s="60">
        <f t="shared" si="428"/>
        <v>953542.48989999993</v>
      </c>
      <c r="CV89" s="59">
        <f t="shared" si="429"/>
        <v>3152220.76311142</v>
      </c>
      <c r="CW89" s="60">
        <f t="shared" si="430"/>
        <v>929402.17369999993</v>
      </c>
      <c r="CX89" s="59">
        <f t="shared" si="431"/>
        <v>3072417.7058174596</v>
      </c>
      <c r="CY89" s="60">
        <f t="shared" si="432"/>
        <v>905261.85749999993</v>
      </c>
      <c r="CZ89" s="59">
        <f t="shared" si="433"/>
        <v>2992614.6485234997</v>
      </c>
      <c r="DA89" s="55">
        <f t="shared" si="434"/>
        <v>881121.54129999992</v>
      </c>
      <c r="DB89" s="59">
        <f t="shared" si="435"/>
        <v>2912811.5912295398</v>
      </c>
      <c r="DC89" s="60">
        <f t="shared" si="436"/>
        <v>856981.22509999981</v>
      </c>
      <c r="DD89" s="59">
        <f t="shared" si="437"/>
        <v>2833008.5339355795</v>
      </c>
      <c r="DE89" s="60">
        <f t="shared" si="438"/>
        <v>832840.90889999981</v>
      </c>
      <c r="DF89" s="59">
        <f t="shared" si="439"/>
        <v>2753205.4766416196</v>
      </c>
      <c r="DG89" s="60">
        <f t="shared" si="440"/>
        <v>808700.5926999998</v>
      </c>
      <c r="DH89" s="59">
        <f t="shared" si="441"/>
        <v>2673402.4193476592</v>
      </c>
      <c r="DI89" s="60">
        <f t="shared" si="442"/>
        <v>784560.2764999998</v>
      </c>
      <c r="DJ89" s="59">
        <f t="shared" si="443"/>
        <v>2593599.3620536993</v>
      </c>
      <c r="DK89" s="55">
        <f t="shared" si="444"/>
        <v>760419.9602999998</v>
      </c>
      <c r="DL89" s="59">
        <f t="shared" si="445"/>
        <v>2513796.3047597394</v>
      </c>
      <c r="DM89" s="60">
        <f t="shared" si="446"/>
        <v>736279.6440999998</v>
      </c>
      <c r="DN89" s="59">
        <f t="shared" si="447"/>
        <v>2433993.2474657795</v>
      </c>
      <c r="DO89" s="60">
        <f t="shared" si="448"/>
        <v>712139.32789999968</v>
      </c>
      <c r="DP89" s="59">
        <f t="shared" si="449"/>
        <v>2354190.1901718192</v>
      </c>
      <c r="DQ89" s="55">
        <f t="shared" si="450"/>
        <v>687999.01169999968</v>
      </c>
      <c r="DR89" s="59">
        <f t="shared" si="451"/>
        <v>2274387.1328778588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3"/>
        <v>0.91</v>
      </c>
      <c r="DZ89" s="55">
        <f t="shared" si="503"/>
        <v>0.89</v>
      </c>
      <c r="EA89" s="55">
        <f t="shared" si="503"/>
        <v>0.87</v>
      </c>
      <c r="EB89" s="55">
        <f t="shared" si="503"/>
        <v>0.85</v>
      </c>
      <c r="EC89" s="55">
        <f t="shared" si="503"/>
        <v>0.83</v>
      </c>
      <c r="ED89" s="55">
        <f t="shared" si="503"/>
        <v>0.80999999999999994</v>
      </c>
      <c r="EE89" s="55">
        <f t="shared" si="503"/>
        <v>0.78999999999999992</v>
      </c>
      <c r="EF89" s="55">
        <f t="shared" si="503"/>
        <v>0.76999999999999991</v>
      </c>
      <c r="EG89" s="55">
        <f t="shared" si="503"/>
        <v>0.74999999999999989</v>
      </c>
      <c r="EH89" s="55">
        <f t="shared" si="503"/>
        <v>0.72999999999999987</v>
      </c>
      <c r="EI89" s="55">
        <f t="shared" si="503"/>
        <v>0.70999999999999985</v>
      </c>
      <c r="EJ89" s="55">
        <f t="shared" si="503"/>
        <v>0.68999999999999984</v>
      </c>
      <c r="EK89" s="55">
        <f t="shared" si="503"/>
        <v>0.66999999999999982</v>
      </c>
      <c r="EL89" s="55">
        <f t="shared" si="503"/>
        <v>0.6499999999999998</v>
      </c>
      <c r="EM89" s="55">
        <f t="shared" si="503"/>
        <v>0.62999999999999978</v>
      </c>
      <c r="EN89" s="55">
        <f t="shared" si="503"/>
        <v>0.60999999999999976</v>
      </c>
      <c r="EO89" s="55">
        <f t="shared" si="503"/>
        <v>0.58999999999999975</v>
      </c>
      <c r="EP89" s="55">
        <f t="shared" si="503"/>
        <v>0.56999999999999973</v>
      </c>
      <c r="ER89" s="55">
        <f t="shared" si="142"/>
        <v>1098384.3871000002</v>
      </c>
      <c r="ES89" s="55">
        <f t="shared" si="510"/>
        <v>1098384.3871000002</v>
      </c>
      <c r="ET89" s="59">
        <f t="shared" si="453"/>
        <v>3631039.1068751807</v>
      </c>
      <c r="EU89" s="55">
        <f t="shared" si="454"/>
        <v>1065432.8554870002</v>
      </c>
      <c r="EV89" s="59">
        <f t="shared" si="455"/>
        <v>3522107.9336689254</v>
      </c>
      <c r="EW89" s="55">
        <f t="shared" si="456"/>
        <v>1043465.1677450001</v>
      </c>
      <c r="EX89" s="59">
        <f t="shared" si="457"/>
        <v>3449487.1515314216</v>
      </c>
      <c r="EY89" s="55">
        <f t="shared" si="458"/>
        <v>1021497.4800030002</v>
      </c>
      <c r="EZ89" s="59">
        <f t="shared" si="459"/>
        <v>3376866.3693939182</v>
      </c>
      <c r="FA89" s="57">
        <f t="shared" si="460"/>
        <v>999529.79226100014</v>
      </c>
      <c r="FB89" s="59">
        <f t="shared" si="461"/>
        <v>3304245.5872564144</v>
      </c>
      <c r="FC89" s="55">
        <f t="shared" si="462"/>
        <v>977562.10451900016</v>
      </c>
      <c r="FD89" s="59">
        <f t="shared" si="463"/>
        <v>3231624.805118911</v>
      </c>
      <c r="FE89" s="57">
        <f t="shared" si="464"/>
        <v>955594.41677700018</v>
      </c>
      <c r="FF89" s="59">
        <f t="shared" si="465"/>
        <v>3159004.0229814071</v>
      </c>
      <c r="FG89" s="60">
        <f t="shared" si="466"/>
        <v>933626.72903500008</v>
      </c>
      <c r="FH89" s="59">
        <f t="shared" si="467"/>
        <v>3086383.2408439033</v>
      </c>
      <c r="FI89" s="57">
        <f t="shared" si="468"/>
        <v>911659.0412930001</v>
      </c>
      <c r="FJ89" s="59">
        <f t="shared" si="469"/>
        <v>3013762.4587063999</v>
      </c>
      <c r="FK89" s="55">
        <f t="shared" si="470"/>
        <v>889691.35355100012</v>
      </c>
      <c r="FL89" s="59">
        <f t="shared" si="471"/>
        <v>2941141.676568896</v>
      </c>
      <c r="FM89" s="60">
        <f t="shared" si="472"/>
        <v>867723.66580900003</v>
      </c>
      <c r="FN89" s="59">
        <f t="shared" si="473"/>
        <v>2868520.8944313922</v>
      </c>
      <c r="FO89" s="60">
        <f t="shared" si="474"/>
        <v>845755.97806700005</v>
      </c>
      <c r="FP89" s="59">
        <f t="shared" si="475"/>
        <v>2795900.1122938888</v>
      </c>
      <c r="FQ89" s="60">
        <f t="shared" si="476"/>
        <v>823788.29032499995</v>
      </c>
      <c r="FR89" s="59">
        <f t="shared" si="477"/>
        <v>2723279.330156385</v>
      </c>
      <c r="FS89" s="55">
        <f t="shared" si="478"/>
        <v>801820.60258299997</v>
      </c>
      <c r="FT89" s="59">
        <f t="shared" si="479"/>
        <v>2650658.5480188816</v>
      </c>
      <c r="FU89" s="60">
        <f t="shared" si="480"/>
        <v>779852.91484099999</v>
      </c>
      <c r="FV89" s="59">
        <f t="shared" si="481"/>
        <v>2578037.7658813777</v>
      </c>
      <c r="FW89" s="60">
        <f t="shared" si="482"/>
        <v>757885.22709899989</v>
      </c>
      <c r="FX89" s="59">
        <f t="shared" si="483"/>
        <v>2505416.9837438739</v>
      </c>
      <c r="FY89" s="60">
        <f t="shared" si="484"/>
        <v>735917.53935699991</v>
      </c>
      <c r="FZ89" s="59">
        <f t="shared" si="485"/>
        <v>2432796.2016063705</v>
      </c>
      <c r="GA89" s="60">
        <f t="shared" si="486"/>
        <v>713949.85161499993</v>
      </c>
      <c r="GB89" s="59">
        <f t="shared" si="487"/>
        <v>2360175.4194688667</v>
      </c>
      <c r="GC89" s="55">
        <f t="shared" si="488"/>
        <v>691982.16387299984</v>
      </c>
      <c r="GD89" s="59">
        <f t="shared" si="489"/>
        <v>2287554.6373313628</v>
      </c>
      <c r="GE89" s="60">
        <f t="shared" si="490"/>
        <v>670014.47613099986</v>
      </c>
      <c r="GF89" s="59">
        <f t="shared" si="491"/>
        <v>2214933.8551938594</v>
      </c>
      <c r="GG89" s="60">
        <f t="shared" si="492"/>
        <v>648046.78838899988</v>
      </c>
      <c r="GH89" s="59">
        <f t="shared" si="493"/>
        <v>2142313.0730563561</v>
      </c>
      <c r="GI89" s="55">
        <f t="shared" si="494"/>
        <v>626079.10064699978</v>
      </c>
      <c r="GJ89" s="59">
        <f t="shared" si="495"/>
        <v>2069692.290918852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4"/>
        <v>0.91</v>
      </c>
      <c r="GR89" s="55">
        <f t="shared" si="504"/>
        <v>0.89</v>
      </c>
      <c r="GS89" s="55">
        <f t="shared" si="504"/>
        <v>0.87</v>
      </c>
      <c r="GT89" s="55">
        <f t="shared" si="504"/>
        <v>0.85</v>
      </c>
      <c r="GU89" s="55">
        <f t="shared" si="504"/>
        <v>0.83</v>
      </c>
      <c r="GV89" s="55">
        <f t="shared" si="504"/>
        <v>0.80999999999999994</v>
      </c>
      <c r="GW89" s="55">
        <f t="shared" si="504"/>
        <v>0.78999999999999992</v>
      </c>
      <c r="GX89" s="55">
        <f t="shared" si="504"/>
        <v>0.76999999999999991</v>
      </c>
      <c r="GY89" s="55">
        <f t="shared" si="504"/>
        <v>0.74999999999999989</v>
      </c>
      <c r="GZ89" s="55">
        <f t="shared" si="504"/>
        <v>0.72999999999999987</v>
      </c>
      <c r="HA89" s="55">
        <f t="shared" si="504"/>
        <v>0.70999999999999985</v>
      </c>
      <c r="HB89" s="55">
        <f t="shared" si="504"/>
        <v>0.68999999999999984</v>
      </c>
      <c r="HC89" s="55">
        <f t="shared" si="504"/>
        <v>0.66999999999999982</v>
      </c>
      <c r="HD89" s="55">
        <f t="shared" si="504"/>
        <v>0.6499999999999998</v>
      </c>
      <c r="HE89" s="55">
        <f t="shared" si="504"/>
        <v>0.62999999999999978</v>
      </c>
      <c r="HF89" s="55">
        <f t="shared" si="504"/>
        <v>0.60999999999999976</v>
      </c>
      <c r="HG89" s="55">
        <f t="shared" si="504"/>
        <v>0.58999999999999975</v>
      </c>
      <c r="HH89" s="55">
        <f t="shared" si="504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1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2">+DW90-0.02</f>
        <v>0.91</v>
      </c>
      <c r="DY90" s="61">
        <f t="shared" si="512"/>
        <v>0.89</v>
      </c>
      <c r="DZ90" s="61">
        <f t="shared" si="512"/>
        <v>0.87</v>
      </c>
      <c r="EA90" s="61">
        <f t="shared" si="512"/>
        <v>0.85</v>
      </c>
      <c r="EB90" s="61">
        <f t="shared" si="512"/>
        <v>0.83</v>
      </c>
      <c r="EC90" s="61">
        <f t="shared" si="512"/>
        <v>0.80999999999999994</v>
      </c>
      <c r="ED90" s="61">
        <f t="shared" si="512"/>
        <v>0.78999999999999992</v>
      </c>
      <c r="EE90" s="61">
        <f t="shared" si="512"/>
        <v>0.76999999999999991</v>
      </c>
      <c r="EF90" s="61">
        <f t="shared" si="512"/>
        <v>0.74999999999999989</v>
      </c>
      <c r="EG90" s="61">
        <f t="shared" si="512"/>
        <v>0.72999999999999987</v>
      </c>
      <c r="EH90" s="61">
        <f t="shared" si="512"/>
        <v>0.70999999999999985</v>
      </c>
      <c r="EI90" s="61">
        <f t="shared" si="512"/>
        <v>0.68999999999999984</v>
      </c>
      <c r="EJ90" s="61">
        <f t="shared" si="512"/>
        <v>0.66999999999999982</v>
      </c>
      <c r="EK90" s="61">
        <f t="shared" si="512"/>
        <v>0.6499999999999998</v>
      </c>
      <c r="EL90" s="61">
        <f t="shared" si="512"/>
        <v>0.62999999999999978</v>
      </c>
      <c r="EM90" s="61">
        <f t="shared" si="512"/>
        <v>0.60999999999999976</v>
      </c>
      <c r="EN90" s="61">
        <f t="shared" si="512"/>
        <v>0.58999999999999975</v>
      </c>
      <c r="EO90" s="61">
        <f t="shared" si="512"/>
        <v>0.56999999999999973</v>
      </c>
      <c r="EQ90" s="61">
        <f t="shared" ref="EQ90:EQ91" si="513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14">+GO90-0.02</f>
        <v>0.91</v>
      </c>
      <c r="GQ90" s="61">
        <f t="shared" si="514"/>
        <v>0.89</v>
      </c>
      <c r="GR90" s="61">
        <f t="shared" si="514"/>
        <v>0.87</v>
      </c>
      <c r="GS90" s="61">
        <f t="shared" si="514"/>
        <v>0.85</v>
      </c>
      <c r="GT90" s="61">
        <f t="shared" si="514"/>
        <v>0.83</v>
      </c>
      <c r="GU90" s="61">
        <f t="shared" si="514"/>
        <v>0.80999999999999994</v>
      </c>
      <c r="GV90" s="61">
        <f t="shared" si="514"/>
        <v>0.78999999999999992</v>
      </c>
      <c r="GW90" s="61">
        <f t="shared" si="514"/>
        <v>0.76999999999999991</v>
      </c>
      <c r="GX90" s="61">
        <f t="shared" si="514"/>
        <v>0.74999999999999989</v>
      </c>
      <c r="GY90" s="61">
        <f t="shared" si="514"/>
        <v>0.72999999999999987</v>
      </c>
      <c r="GZ90" s="61">
        <f t="shared" si="514"/>
        <v>0.70999999999999985</v>
      </c>
      <c r="HA90" s="61">
        <f t="shared" si="514"/>
        <v>0.68999999999999984</v>
      </c>
      <c r="HB90" s="61">
        <f t="shared" si="514"/>
        <v>0.66999999999999982</v>
      </c>
      <c r="HC90" s="61">
        <f t="shared" si="514"/>
        <v>0.6499999999999998</v>
      </c>
      <c r="HD90" s="61">
        <f t="shared" si="514"/>
        <v>0.62999999999999978</v>
      </c>
      <c r="HE90" s="61">
        <f t="shared" si="514"/>
        <v>0.60999999999999976</v>
      </c>
      <c r="HF90" s="61">
        <f t="shared" si="514"/>
        <v>0.58999999999999975</v>
      </c>
      <c r="HG90" s="61">
        <f t="shared" si="514"/>
        <v>0.56999999999999973</v>
      </c>
    </row>
    <row r="91" spans="1:216" s="64" customFormat="1" ht="17.25" thickBot="1" x14ac:dyDescent="0.35">
      <c r="B91" s="64" t="s">
        <v>299</v>
      </c>
      <c r="C91" s="64" t="s">
        <v>298</v>
      </c>
      <c r="D91" s="65" t="s">
        <v>272</v>
      </c>
      <c r="E91" s="65" t="s">
        <v>155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1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2"/>
        <v>0.91</v>
      </c>
      <c r="DY91" s="61">
        <f t="shared" si="512"/>
        <v>0.89</v>
      </c>
      <c r="DZ91" s="61">
        <f t="shared" si="512"/>
        <v>0.87</v>
      </c>
      <c r="EA91" s="61">
        <f t="shared" si="512"/>
        <v>0.85</v>
      </c>
      <c r="EB91" s="61">
        <f t="shared" si="512"/>
        <v>0.83</v>
      </c>
      <c r="EC91" s="61">
        <f t="shared" si="512"/>
        <v>0.80999999999999994</v>
      </c>
      <c r="ED91" s="61">
        <f t="shared" si="512"/>
        <v>0.78999999999999992</v>
      </c>
      <c r="EE91" s="61">
        <f t="shared" si="512"/>
        <v>0.76999999999999991</v>
      </c>
      <c r="EF91" s="61">
        <f t="shared" si="512"/>
        <v>0.74999999999999989</v>
      </c>
      <c r="EG91" s="61">
        <f t="shared" si="512"/>
        <v>0.72999999999999987</v>
      </c>
      <c r="EH91" s="61">
        <f t="shared" si="512"/>
        <v>0.70999999999999985</v>
      </c>
      <c r="EI91" s="61">
        <f t="shared" si="512"/>
        <v>0.68999999999999984</v>
      </c>
      <c r="EJ91" s="61">
        <f t="shared" si="512"/>
        <v>0.66999999999999982</v>
      </c>
      <c r="EK91" s="61">
        <f t="shared" si="512"/>
        <v>0.6499999999999998</v>
      </c>
      <c r="EL91" s="61">
        <f t="shared" si="512"/>
        <v>0.62999999999999978</v>
      </c>
      <c r="EM91" s="61">
        <f t="shared" si="512"/>
        <v>0.60999999999999976</v>
      </c>
      <c r="EN91" s="61">
        <f t="shared" si="512"/>
        <v>0.58999999999999975</v>
      </c>
      <c r="EO91" s="61">
        <f t="shared" si="512"/>
        <v>0.56999999999999973</v>
      </c>
      <c r="EQ91" s="61">
        <f t="shared" si="513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14"/>
        <v>0.91</v>
      </c>
      <c r="GQ91" s="61">
        <f t="shared" si="514"/>
        <v>0.89</v>
      </c>
      <c r="GR91" s="61">
        <f t="shared" si="514"/>
        <v>0.87</v>
      </c>
      <c r="GS91" s="61">
        <f t="shared" si="514"/>
        <v>0.85</v>
      </c>
      <c r="GT91" s="61">
        <f t="shared" si="514"/>
        <v>0.83</v>
      </c>
      <c r="GU91" s="61">
        <f t="shared" si="514"/>
        <v>0.80999999999999994</v>
      </c>
      <c r="GV91" s="61">
        <f t="shared" si="514"/>
        <v>0.78999999999999992</v>
      </c>
      <c r="GW91" s="61">
        <f t="shared" si="514"/>
        <v>0.76999999999999991</v>
      </c>
      <c r="GX91" s="61">
        <f t="shared" si="514"/>
        <v>0.74999999999999989</v>
      </c>
      <c r="GY91" s="61">
        <f t="shared" si="514"/>
        <v>0.72999999999999987</v>
      </c>
      <c r="GZ91" s="61">
        <f t="shared" si="514"/>
        <v>0.70999999999999985</v>
      </c>
      <c r="HA91" s="61">
        <f t="shared" si="514"/>
        <v>0.68999999999999984</v>
      </c>
      <c r="HB91" s="61">
        <f t="shared" si="514"/>
        <v>0.66999999999999982</v>
      </c>
      <c r="HC91" s="61">
        <f t="shared" si="514"/>
        <v>0.6499999999999998</v>
      </c>
      <c r="HD91" s="61">
        <f t="shared" si="514"/>
        <v>0.62999999999999978</v>
      </c>
      <c r="HE91" s="61">
        <f t="shared" si="514"/>
        <v>0.60999999999999976</v>
      </c>
      <c r="HF91" s="61">
        <f t="shared" si="514"/>
        <v>0.58999999999999975</v>
      </c>
      <c r="HG91" s="61">
        <f t="shared" si="514"/>
        <v>0.56999999999999973</v>
      </c>
    </row>
    <row r="92" spans="1:216" x14ac:dyDescent="0.3">
      <c r="A92" s="2">
        <v>1</v>
      </c>
      <c r="C92" s="38" t="s">
        <v>39</v>
      </c>
      <c r="D92" s="40">
        <f>TRUNC(13042.3325106574,-1)</f>
        <v>13040</v>
      </c>
      <c r="E92" s="70">
        <f t="shared" ref="E92:E112" si="515">TRUNC(+D92*3.3058,-1)</f>
        <v>43100</v>
      </c>
      <c r="H92" s="55">
        <f t="shared" si="505"/>
        <v>47410.000000000007</v>
      </c>
      <c r="I92" s="55">
        <f t="shared" si="506"/>
        <v>47410.000000000007</v>
      </c>
      <c r="J92" s="59">
        <f t="shared" si="507"/>
        <v>156727.97800000003</v>
      </c>
      <c r="K92" s="55">
        <f t="shared" ref="K92:K113" si="516">+I92*BD92</f>
        <v>45987.700000000004</v>
      </c>
      <c r="L92" s="59">
        <f t="shared" ref="L92:L113" si="517">+K92*3.3058</f>
        <v>152026.13866000003</v>
      </c>
      <c r="M92" s="55">
        <f t="shared" ref="M92:M113" si="518">+I92*BE92</f>
        <v>45039.500000000007</v>
      </c>
      <c r="N92" s="59">
        <f t="shared" ref="N92:N113" si="519">+M92*3.3058</f>
        <v>148891.57910000003</v>
      </c>
      <c r="O92" s="55">
        <f t="shared" ref="O92:O113" si="520">+I92*BF92</f>
        <v>44091.30000000001</v>
      </c>
      <c r="P92" s="59">
        <f t="shared" ref="P92:P113" si="521">+O92*3.3058</f>
        <v>145757.01954000004</v>
      </c>
      <c r="Q92" s="57">
        <f t="shared" ref="Q92:Q113" si="522">+I92*BG92</f>
        <v>43143.100000000006</v>
      </c>
      <c r="R92" s="59">
        <f t="shared" ref="R92:R113" si="523">+Q92*3.3058</f>
        <v>142622.45998000001</v>
      </c>
      <c r="S92" s="55">
        <f t="shared" ref="S92:S113" si="524">+I92*BH92</f>
        <v>42194.900000000009</v>
      </c>
      <c r="T92" s="59">
        <f t="shared" ref="T92:T113" si="525">+S92*3.3058</f>
        <v>139487.90042000002</v>
      </c>
      <c r="U92" s="57">
        <f t="shared" ref="U92:U113" si="526">+I92*BI92</f>
        <v>41246.700000000004</v>
      </c>
      <c r="V92" s="59">
        <f t="shared" ref="V92:V113" si="527">+U92*3.3058</f>
        <v>136353.34086000003</v>
      </c>
      <c r="W92" s="60">
        <f t="shared" ref="W92:W113" si="528">+I92*BJ92</f>
        <v>40298.500000000007</v>
      </c>
      <c r="X92" s="59">
        <f t="shared" ref="X92:X113" si="529">+W92*3.3058</f>
        <v>133218.78130000003</v>
      </c>
      <c r="Y92" s="57">
        <f t="shared" ref="Y92:Y113" si="530">+I92*BK92</f>
        <v>39350.300000000003</v>
      </c>
      <c r="Z92" s="59">
        <f t="shared" ref="Z92:Z113" si="531">+Y92*3.3058</f>
        <v>130084.22174000001</v>
      </c>
      <c r="AA92" s="55">
        <f t="shared" ref="AA92:AA113" si="532">+I92*BL92</f>
        <v>38402.100000000006</v>
      </c>
      <c r="AB92" s="59">
        <f t="shared" ref="AB92:AB113" si="533">+AA92*3.3058</f>
        <v>126949.66218000003</v>
      </c>
      <c r="AC92" s="60">
        <f t="shared" ref="AC92:AC113" si="534">+I92*BM92</f>
        <v>37453.9</v>
      </c>
      <c r="AD92" s="59">
        <f t="shared" ref="AD92:AD113" si="535">+AC92*3.3058</f>
        <v>123815.10262000001</v>
      </c>
      <c r="AE92" s="60">
        <f t="shared" ref="AE92:AE113" si="536">+I92*BN92</f>
        <v>36505.700000000004</v>
      </c>
      <c r="AF92" s="59">
        <f t="shared" ref="AF92:AF113" si="537">+AE92*3.3058</f>
        <v>120680.54306000001</v>
      </c>
      <c r="AG92" s="60">
        <f t="shared" ref="AG92:AG113" si="538">+I92*BO92</f>
        <v>35557.5</v>
      </c>
      <c r="AH92" s="59">
        <f t="shared" ref="AH92:AH113" si="539">+AG92*3.3058</f>
        <v>117545.9835</v>
      </c>
      <c r="AI92" s="55">
        <f t="shared" ref="AI92:AI113" si="540">+I92*BP92</f>
        <v>34609.299999999996</v>
      </c>
      <c r="AJ92" s="59">
        <f t="shared" ref="AJ92:AJ113" si="541">+AI92*3.3058</f>
        <v>114411.42393999999</v>
      </c>
      <c r="AK92" s="60">
        <f t="shared" ref="AK92:AK113" si="542">+I92*BQ92</f>
        <v>33661.1</v>
      </c>
      <c r="AL92" s="59">
        <f t="shared" ref="AL92:AL113" si="543">+AK92*3.3058</f>
        <v>111276.86438</v>
      </c>
      <c r="AM92" s="60">
        <f t="shared" ref="AM92:AM113" si="544">+I92*BR92</f>
        <v>32712.899999999998</v>
      </c>
      <c r="AN92" s="59">
        <f t="shared" ref="AN92:AN113" si="545">+AM92*3.3058</f>
        <v>108142.30481999999</v>
      </c>
      <c r="AO92" s="60">
        <f t="shared" ref="AO92:AO113" si="546">+I92*BS92</f>
        <v>31764.699999999997</v>
      </c>
      <c r="AP92" s="59">
        <f t="shared" ref="AP92:AP113" si="547">+AO92*3.3058</f>
        <v>105007.74526</v>
      </c>
      <c r="AQ92" s="60">
        <f t="shared" ref="AQ92:AQ113" si="548">+I92*BT92</f>
        <v>30816.499999999996</v>
      </c>
      <c r="AR92" s="59">
        <f t="shared" ref="AR92:AR113" si="549">+AQ92*3.3058</f>
        <v>101873.18569999999</v>
      </c>
      <c r="AS92" s="55">
        <f t="shared" ref="AS92:AS113" si="550">+I92*BU92</f>
        <v>29868.299999999996</v>
      </c>
      <c r="AT92" s="59">
        <f t="shared" ref="AT92:AT113" si="551">+AS92*3.3058</f>
        <v>98738.626139999993</v>
      </c>
      <c r="AU92" s="60">
        <f t="shared" ref="AU92:AU113" si="552">+I92*BV92</f>
        <v>28920.099999999995</v>
      </c>
      <c r="AV92" s="59">
        <f t="shared" ref="AV92:AV113" si="553">+AU92*3.3058</f>
        <v>95604.066579999984</v>
      </c>
      <c r="AW92" s="60">
        <f t="shared" ref="AW92:AW113" si="554">+I92*BW92</f>
        <v>27971.899999999991</v>
      </c>
      <c r="AX92" s="59">
        <f t="shared" ref="AX92:AX113" si="555">+AW92*3.3058</f>
        <v>92469.507019999975</v>
      </c>
      <c r="AY92" s="55">
        <f t="shared" ref="AY92:AY113" si="556">+I92*BX92</f>
        <v>27023.69999999999</v>
      </c>
      <c r="AZ92" s="59">
        <f t="shared" ref="AZ92:AZ113" si="557">+AY92*3.3058</f>
        <v>89334.947459999967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58">+BF92-0.02</f>
        <v>0.91</v>
      </c>
      <c r="BH92" s="55">
        <f t="shared" si="558"/>
        <v>0.89</v>
      </c>
      <c r="BI92" s="55">
        <f t="shared" si="558"/>
        <v>0.87</v>
      </c>
      <c r="BJ92" s="55">
        <f t="shared" si="558"/>
        <v>0.85</v>
      </c>
      <c r="BK92" s="55">
        <f t="shared" si="558"/>
        <v>0.83</v>
      </c>
      <c r="BL92" s="55">
        <f t="shared" si="558"/>
        <v>0.80999999999999994</v>
      </c>
      <c r="BM92" s="55">
        <f t="shared" si="558"/>
        <v>0.78999999999999992</v>
      </c>
      <c r="BN92" s="55">
        <f t="shared" si="558"/>
        <v>0.76999999999999991</v>
      </c>
      <c r="BO92" s="55">
        <f t="shared" si="558"/>
        <v>0.74999999999999989</v>
      </c>
      <c r="BP92" s="55">
        <f t="shared" si="558"/>
        <v>0.72999999999999987</v>
      </c>
      <c r="BQ92" s="55">
        <f t="shared" si="558"/>
        <v>0.70999999999999985</v>
      </c>
      <c r="BR92" s="55">
        <f t="shared" si="558"/>
        <v>0.68999999999999984</v>
      </c>
      <c r="BS92" s="55">
        <f t="shared" si="558"/>
        <v>0.66999999999999982</v>
      </c>
      <c r="BT92" s="55">
        <f t="shared" si="558"/>
        <v>0.6499999999999998</v>
      </c>
      <c r="BU92" s="55">
        <f t="shared" si="558"/>
        <v>0.62999999999999978</v>
      </c>
      <c r="BV92" s="55">
        <f t="shared" si="558"/>
        <v>0.60999999999999976</v>
      </c>
      <c r="BW92" s="55">
        <f t="shared" si="558"/>
        <v>0.58999999999999975</v>
      </c>
      <c r="BX92" s="55">
        <f t="shared" si="558"/>
        <v>0.56999999999999973</v>
      </c>
      <c r="BZ92" s="55">
        <f t="shared" si="508"/>
        <v>43143.100000000006</v>
      </c>
      <c r="CA92" s="55">
        <f t="shared" si="509"/>
        <v>43143.100000000006</v>
      </c>
      <c r="CB92" s="59">
        <f t="shared" ref="CB92:CB113" si="559">+CA92*3.3058</f>
        <v>142622.45998000001</v>
      </c>
      <c r="CC92" s="55">
        <f t="shared" ref="CC92:CC113" si="560">+CA92*DV92</f>
        <v>41848.807000000008</v>
      </c>
      <c r="CD92" s="59">
        <f t="shared" ref="CD92:CD113" si="561">+CC92*3.3058</f>
        <v>138343.78618060003</v>
      </c>
      <c r="CE92" s="55">
        <f t="shared" ref="CE92:CE113" si="562">+CA92*DW92</f>
        <v>40985.945000000007</v>
      </c>
      <c r="CF92" s="59">
        <f t="shared" ref="CF92:CF113" si="563">+CE92*3.3058</f>
        <v>135491.33698100003</v>
      </c>
      <c r="CG92" s="55">
        <f t="shared" ref="CG92:CG113" si="564">+CA92*DX92</f>
        <v>40123.083000000006</v>
      </c>
      <c r="CH92" s="59">
        <f t="shared" ref="CH92:CH113" si="565">+CG92*3.3058</f>
        <v>132638.88778140003</v>
      </c>
      <c r="CI92" s="57">
        <f t="shared" ref="CI92:CI113" si="566">+CA92*DY92</f>
        <v>39260.221000000005</v>
      </c>
      <c r="CJ92" s="59">
        <f t="shared" ref="CJ92:CJ113" si="567">+CI92*3.3058</f>
        <v>129786.43858180002</v>
      </c>
      <c r="CK92" s="55">
        <f t="shared" ref="CK92:CK113" si="568">+CA92*DZ92</f>
        <v>38397.359000000004</v>
      </c>
      <c r="CL92" s="59">
        <f t="shared" ref="CL92:CL113" si="569">+CK92*3.3058</f>
        <v>126933.98938220002</v>
      </c>
      <c r="CM92" s="57">
        <f t="shared" ref="CM92:CM113" si="570">+CA92*EA92</f>
        <v>37534.497000000003</v>
      </c>
      <c r="CN92" s="59">
        <f t="shared" ref="CN92:CN113" si="571">+CM92*3.3058</f>
        <v>124081.54018260002</v>
      </c>
      <c r="CO92" s="60">
        <f t="shared" ref="CO92:CO113" si="572">+CA92*EB92</f>
        <v>36671.635000000002</v>
      </c>
      <c r="CP92" s="59">
        <f t="shared" ref="CP92:CP113" si="573">+CO92*3.3058</f>
        <v>121229.09098300002</v>
      </c>
      <c r="CQ92" s="57">
        <f t="shared" ref="CQ92:CQ113" si="574">+CA92*EC92</f>
        <v>35808.773000000001</v>
      </c>
      <c r="CR92" s="59">
        <f t="shared" ref="CR92:CR113" si="575">+CQ92*3.3058</f>
        <v>118376.6417834</v>
      </c>
      <c r="CS92" s="55">
        <f t="shared" ref="CS92:CS113" si="576">+CA92*ED92</f>
        <v>34945.911</v>
      </c>
      <c r="CT92" s="59">
        <f t="shared" ref="CT92:CT113" si="577">+CS92*3.3058</f>
        <v>115524.1925838</v>
      </c>
      <c r="CU92" s="60">
        <f t="shared" ref="CU92:CU113" si="578">+CA92*EE92</f>
        <v>34083.048999999999</v>
      </c>
      <c r="CV92" s="59">
        <f t="shared" ref="CV92:CV113" si="579">+CU92*3.3058</f>
        <v>112671.7433842</v>
      </c>
      <c r="CW92" s="60">
        <f t="shared" ref="CW92:CW113" si="580">+CA92*EF92</f>
        <v>33220.186999999998</v>
      </c>
      <c r="CX92" s="59">
        <f t="shared" ref="CX92:CX113" si="581">+CW92*3.3058</f>
        <v>109819.2941846</v>
      </c>
      <c r="CY92" s="60">
        <f t="shared" ref="CY92:CY113" si="582">+CA92*EG92</f>
        <v>32357.325000000001</v>
      </c>
      <c r="CZ92" s="59">
        <f t="shared" ref="CZ92:CZ113" si="583">+CY92*3.3058</f>
        <v>106966.844985</v>
      </c>
      <c r="DA92" s="55">
        <f t="shared" ref="DA92:DA113" si="584">+CA92*EH92</f>
        <v>31494.463</v>
      </c>
      <c r="DB92" s="59">
        <f t="shared" ref="DB92:DB113" si="585">+DA92*3.3058</f>
        <v>104114.3957854</v>
      </c>
      <c r="DC92" s="60">
        <f t="shared" ref="DC92:DC113" si="586">+CA92*EI92</f>
        <v>30631.600999999999</v>
      </c>
      <c r="DD92" s="59">
        <f t="shared" ref="DD92:DD113" si="587">+DC92*3.3058</f>
        <v>101261.9465858</v>
      </c>
      <c r="DE92" s="60">
        <f t="shared" ref="DE92:DE113" si="588">+CA92*EJ92</f>
        <v>29768.738999999998</v>
      </c>
      <c r="DF92" s="59">
        <f t="shared" ref="DF92:DF113" si="589">+DE92*3.3058</f>
        <v>98409.49738619999</v>
      </c>
      <c r="DG92" s="60">
        <f t="shared" ref="DG92:DG113" si="590">+CA92*EK92</f>
        <v>28905.876999999997</v>
      </c>
      <c r="DH92" s="59">
        <f t="shared" ref="DH92:DH113" si="591">+DG92*3.3058</f>
        <v>95557.04818659999</v>
      </c>
      <c r="DI92" s="60">
        <f t="shared" ref="DI92:DI113" si="592">+CA92*EL92</f>
        <v>28043.014999999996</v>
      </c>
      <c r="DJ92" s="59">
        <f t="shared" ref="DJ92:DJ113" si="593">+DI92*3.3058</f>
        <v>92704.59898699999</v>
      </c>
      <c r="DK92" s="55">
        <f t="shared" ref="DK92:DK113" si="594">+CA92*EM92</f>
        <v>27180.152999999995</v>
      </c>
      <c r="DL92" s="59">
        <f t="shared" ref="DL92:DL113" si="595">+DK92*3.3058</f>
        <v>89852.149787399991</v>
      </c>
      <c r="DM92" s="60">
        <f t="shared" ref="DM92:DM113" si="596">+CA92*EN92</f>
        <v>26317.290999999994</v>
      </c>
      <c r="DN92" s="59">
        <f t="shared" ref="DN92:DN113" si="597">+DM92*3.3058</f>
        <v>86999.700587799976</v>
      </c>
      <c r="DO92" s="60">
        <f t="shared" ref="DO92:DO113" si="598">+CA92*EO92</f>
        <v>25454.428999999993</v>
      </c>
      <c r="DP92" s="59">
        <f t="shared" ref="DP92:DP113" si="599">+DO92*3.3058</f>
        <v>84147.251388199977</v>
      </c>
      <c r="DQ92" s="55">
        <f t="shared" ref="DQ92:DQ113" si="600">+CA92*EP92</f>
        <v>24591.566999999992</v>
      </c>
      <c r="DR92" s="59">
        <f t="shared" ref="DR92:DR113" si="601">+DQ92*3.3058</f>
        <v>81294.802188599977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3"/>
        <v>0.91</v>
      </c>
      <c r="DZ92" s="55">
        <f t="shared" si="503"/>
        <v>0.89</v>
      </c>
      <c r="EA92" s="55">
        <f t="shared" si="503"/>
        <v>0.87</v>
      </c>
      <c r="EB92" s="55">
        <f t="shared" si="503"/>
        <v>0.85</v>
      </c>
      <c r="EC92" s="55">
        <f t="shared" si="503"/>
        <v>0.83</v>
      </c>
      <c r="ED92" s="55">
        <f t="shared" si="503"/>
        <v>0.80999999999999994</v>
      </c>
      <c r="EE92" s="55">
        <f t="shared" si="503"/>
        <v>0.78999999999999992</v>
      </c>
      <c r="EF92" s="55">
        <f t="shared" si="503"/>
        <v>0.76999999999999991</v>
      </c>
      <c r="EG92" s="55">
        <f t="shared" si="503"/>
        <v>0.74999999999999989</v>
      </c>
      <c r="EH92" s="55">
        <f t="shared" si="503"/>
        <v>0.72999999999999987</v>
      </c>
      <c r="EI92" s="55">
        <f t="shared" si="503"/>
        <v>0.70999999999999985</v>
      </c>
      <c r="EJ92" s="55">
        <f t="shared" si="503"/>
        <v>0.68999999999999984</v>
      </c>
      <c r="EK92" s="55">
        <f t="shared" si="503"/>
        <v>0.66999999999999982</v>
      </c>
      <c r="EL92" s="55">
        <f t="shared" si="503"/>
        <v>0.6499999999999998</v>
      </c>
      <c r="EM92" s="55">
        <f t="shared" si="503"/>
        <v>0.62999999999999978</v>
      </c>
      <c r="EN92" s="55">
        <f t="shared" si="503"/>
        <v>0.60999999999999976</v>
      </c>
      <c r="EO92" s="55">
        <f t="shared" si="503"/>
        <v>0.58999999999999975</v>
      </c>
      <c r="EP92" s="55">
        <f t="shared" si="503"/>
        <v>0.56999999999999973</v>
      </c>
      <c r="ER92" s="55">
        <f t="shared" si="142"/>
        <v>39260.221000000005</v>
      </c>
      <c r="ES92" s="55">
        <f t="shared" si="510"/>
        <v>39260.221000000005</v>
      </c>
      <c r="ET92" s="59">
        <f t="shared" ref="ET92:ET113" si="602">+ES92*3.3058</f>
        <v>129786.43858180002</v>
      </c>
      <c r="EU92" s="55">
        <f t="shared" ref="EU92:EU113" si="603">+ES92*GN92</f>
        <v>38082.414370000006</v>
      </c>
      <c r="EV92" s="59">
        <f t="shared" ref="EV92:EV113" si="604">+EU92*3.3058</f>
        <v>125892.84542434603</v>
      </c>
      <c r="EW92" s="55">
        <f t="shared" ref="EW92:EW113" si="605">+ES92*GO92</f>
        <v>37297.209950000004</v>
      </c>
      <c r="EX92" s="59">
        <f t="shared" ref="EX92:EX113" si="606">+EW92*3.3058</f>
        <v>123297.11665271001</v>
      </c>
      <c r="EY92" s="55">
        <f t="shared" ref="EY92:EY113" si="607">+ES92*GP92</f>
        <v>36512.005530000009</v>
      </c>
      <c r="EZ92" s="59">
        <f t="shared" ref="EZ92:EZ113" si="608">+EY92*3.3058</f>
        <v>120701.38788107403</v>
      </c>
      <c r="FA92" s="57">
        <f t="shared" ref="FA92:FA113" si="609">+ES92*GQ92</f>
        <v>35726.801110000008</v>
      </c>
      <c r="FB92" s="59">
        <f t="shared" ref="FB92:FB113" si="610">+FA92*3.3058</f>
        <v>118105.65910943803</v>
      </c>
      <c r="FC92" s="55">
        <f t="shared" ref="FC92:FC113" si="611">+ES92*GR92</f>
        <v>34941.596690000006</v>
      </c>
      <c r="FD92" s="59">
        <f t="shared" ref="FD92:FD113" si="612">+FC92*3.3058</f>
        <v>115509.93033780203</v>
      </c>
      <c r="FE92" s="57">
        <f t="shared" ref="FE92:FE113" si="613">+ES92*GS92</f>
        <v>34156.392270000004</v>
      </c>
      <c r="FF92" s="59">
        <f t="shared" ref="FF92:FF113" si="614">+FE92*3.3058</f>
        <v>112914.20156616601</v>
      </c>
      <c r="FG92" s="60">
        <f t="shared" ref="FG92:FG113" si="615">+ES92*GT92</f>
        <v>33371.187850000002</v>
      </c>
      <c r="FH92" s="59">
        <f t="shared" ref="FH92:FH113" si="616">+FG92*3.3058</f>
        <v>110318.47279453001</v>
      </c>
      <c r="FI92" s="57">
        <f t="shared" ref="FI92:FI113" si="617">+ES92*GU92</f>
        <v>32585.983430000004</v>
      </c>
      <c r="FJ92" s="59">
        <f t="shared" ref="FJ92:FJ113" si="618">+FI92*3.3058</f>
        <v>107722.74402289401</v>
      </c>
      <c r="FK92" s="55">
        <f t="shared" ref="FK92:FK113" si="619">+ES92*GV92</f>
        <v>31800.779010000002</v>
      </c>
      <c r="FL92" s="59">
        <f t="shared" ref="FL92:FL113" si="620">+FK92*3.3058</f>
        <v>105127.01525125801</v>
      </c>
      <c r="FM92" s="60">
        <f t="shared" ref="FM92:FM113" si="621">+ES92*GW92</f>
        <v>31015.57459</v>
      </c>
      <c r="FN92" s="59">
        <f t="shared" ref="FN92:FN113" si="622">+FM92*3.3058</f>
        <v>102531.28647962201</v>
      </c>
      <c r="FO92" s="60">
        <f t="shared" ref="FO92:FO113" si="623">+ES92*GX92</f>
        <v>30230.370170000002</v>
      </c>
      <c r="FP92" s="59">
        <f t="shared" ref="FP92:FP113" si="624">+FO92*3.3058</f>
        <v>99935.557707986009</v>
      </c>
      <c r="FQ92" s="60">
        <f t="shared" ref="FQ92:FQ113" si="625">+ES92*GY92</f>
        <v>29445.16575</v>
      </c>
      <c r="FR92" s="59">
        <f t="shared" ref="FR92:FR113" si="626">+FQ92*3.3058</f>
        <v>97339.828936350008</v>
      </c>
      <c r="FS92" s="55">
        <f t="shared" ref="FS92:FS113" si="627">+ES92*GZ92</f>
        <v>28659.961329999998</v>
      </c>
      <c r="FT92" s="59">
        <f t="shared" ref="FT92:FT113" si="628">+FS92*3.3058</f>
        <v>94744.100164713993</v>
      </c>
      <c r="FU92" s="60">
        <f t="shared" ref="FU92:FU113" si="629">+ES92*HA92</f>
        <v>27874.756909999996</v>
      </c>
      <c r="FV92" s="59">
        <f t="shared" ref="FV92:FV113" si="630">+FU92*3.3058</f>
        <v>92148.371393077992</v>
      </c>
      <c r="FW92" s="60">
        <f t="shared" ref="FW92:FW113" si="631">+ES92*HB92</f>
        <v>27089.552489999998</v>
      </c>
      <c r="FX92" s="59">
        <f t="shared" ref="FX92:FX113" si="632">+FW92*3.3058</f>
        <v>89552.642621441992</v>
      </c>
      <c r="FY92" s="60">
        <f t="shared" ref="FY92:FY113" si="633">+ES92*HC92</f>
        <v>26304.348069999996</v>
      </c>
      <c r="FZ92" s="59">
        <f t="shared" ref="FZ92:FZ113" si="634">+FY92*3.3058</f>
        <v>86956.913849805991</v>
      </c>
      <c r="GA92" s="60">
        <f t="shared" ref="GA92:GA113" si="635">+ES92*HD92</f>
        <v>25519.143649999995</v>
      </c>
      <c r="GB92" s="59">
        <f t="shared" ref="GB92:GB113" si="636">+GA92*3.3058</f>
        <v>84361.18507816999</v>
      </c>
      <c r="GC92" s="55">
        <f t="shared" ref="GC92:GC113" si="637">+ES92*HE92</f>
        <v>24733.939229999996</v>
      </c>
      <c r="GD92" s="59">
        <f t="shared" ref="GD92:GD113" si="638">+GC92*3.3058</f>
        <v>81765.45630653399</v>
      </c>
      <c r="GE92" s="60">
        <f t="shared" ref="GE92:GE113" si="639">+ES92*HF92</f>
        <v>23948.734809999994</v>
      </c>
      <c r="GF92" s="59">
        <f t="shared" ref="GF92:GF113" si="640">+GE92*3.3058</f>
        <v>79169.727534897989</v>
      </c>
      <c r="GG92" s="60">
        <f t="shared" ref="GG92:GG113" si="641">+ES92*HG92</f>
        <v>23163.530389999993</v>
      </c>
      <c r="GH92" s="59">
        <f t="shared" ref="GH92:GH113" si="642">+GG92*3.3058</f>
        <v>76573.998763261974</v>
      </c>
      <c r="GI92" s="55">
        <f t="shared" ref="GI92:GI113" si="643">+ES92*HH92</f>
        <v>22378.325969999991</v>
      </c>
      <c r="GJ92" s="59">
        <f t="shared" ref="GJ92:GJ113" si="644">+GI92*3.3058</f>
        <v>73978.269991625973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4"/>
        <v>0.91</v>
      </c>
      <c r="GR92" s="55">
        <f t="shared" si="504"/>
        <v>0.89</v>
      </c>
      <c r="GS92" s="55">
        <f t="shared" si="504"/>
        <v>0.87</v>
      </c>
      <c r="GT92" s="55">
        <f t="shared" si="504"/>
        <v>0.85</v>
      </c>
      <c r="GU92" s="55">
        <f t="shared" si="504"/>
        <v>0.83</v>
      </c>
      <c r="GV92" s="55">
        <f t="shared" si="504"/>
        <v>0.80999999999999994</v>
      </c>
      <c r="GW92" s="55">
        <f t="shared" si="504"/>
        <v>0.78999999999999992</v>
      </c>
      <c r="GX92" s="55">
        <f t="shared" si="504"/>
        <v>0.76999999999999991</v>
      </c>
      <c r="GY92" s="55">
        <f t="shared" si="504"/>
        <v>0.74999999999999989</v>
      </c>
      <c r="GZ92" s="55">
        <f t="shared" si="504"/>
        <v>0.72999999999999987</v>
      </c>
      <c r="HA92" s="55">
        <f t="shared" si="504"/>
        <v>0.70999999999999985</v>
      </c>
      <c r="HB92" s="55">
        <f t="shared" si="504"/>
        <v>0.68999999999999984</v>
      </c>
      <c r="HC92" s="55">
        <f t="shared" si="504"/>
        <v>0.66999999999999982</v>
      </c>
      <c r="HD92" s="55">
        <f t="shared" si="504"/>
        <v>0.6499999999999998</v>
      </c>
      <c r="HE92" s="55">
        <f t="shared" si="504"/>
        <v>0.62999999999999978</v>
      </c>
      <c r="HF92" s="55">
        <f t="shared" si="504"/>
        <v>0.60999999999999976</v>
      </c>
      <c r="HG92" s="55">
        <f t="shared" si="504"/>
        <v>0.58999999999999975</v>
      </c>
      <c r="HH92" s="55">
        <f t="shared" si="504"/>
        <v>0.56999999999999973</v>
      </c>
    </row>
    <row r="93" spans="1:216" x14ac:dyDescent="0.3">
      <c r="A93" s="2">
        <v>2</v>
      </c>
      <c r="C93" s="38" t="s">
        <v>40</v>
      </c>
      <c r="D93" s="42">
        <f>TRUNC(7479.0065066188,-1)</f>
        <v>7470</v>
      </c>
      <c r="E93" s="71">
        <f t="shared" si="515"/>
        <v>24690</v>
      </c>
      <c r="H93" s="55">
        <f t="shared" si="505"/>
        <v>27159.000000000004</v>
      </c>
      <c r="I93" s="55">
        <f t="shared" si="506"/>
        <v>27159.000000000004</v>
      </c>
      <c r="J93" s="59">
        <f t="shared" si="507"/>
        <v>89782.222200000018</v>
      </c>
      <c r="K93" s="55">
        <f t="shared" si="516"/>
        <v>26344.230000000003</v>
      </c>
      <c r="L93" s="59">
        <f t="shared" si="517"/>
        <v>87088.755534000011</v>
      </c>
      <c r="M93" s="55">
        <f t="shared" si="518"/>
        <v>25801.050000000003</v>
      </c>
      <c r="N93" s="59">
        <f t="shared" si="519"/>
        <v>85293.111090000006</v>
      </c>
      <c r="O93" s="55">
        <f t="shared" si="520"/>
        <v>25257.870000000006</v>
      </c>
      <c r="P93" s="59">
        <f t="shared" si="521"/>
        <v>83497.466646000015</v>
      </c>
      <c r="Q93" s="57">
        <f t="shared" si="522"/>
        <v>24714.690000000006</v>
      </c>
      <c r="R93" s="59">
        <f t="shared" si="523"/>
        <v>81701.822202000025</v>
      </c>
      <c r="S93" s="55">
        <f t="shared" si="524"/>
        <v>24171.510000000002</v>
      </c>
      <c r="T93" s="59">
        <f t="shared" si="525"/>
        <v>79906.177758000005</v>
      </c>
      <c r="U93" s="57">
        <f t="shared" si="526"/>
        <v>23628.33</v>
      </c>
      <c r="V93" s="59">
        <f t="shared" si="527"/>
        <v>78110.533314</v>
      </c>
      <c r="W93" s="60">
        <f t="shared" si="528"/>
        <v>23085.15</v>
      </c>
      <c r="X93" s="59">
        <f t="shared" si="529"/>
        <v>76314.88887000001</v>
      </c>
      <c r="Y93" s="57">
        <f t="shared" si="530"/>
        <v>22541.97</v>
      </c>
      <c r="Z93" s="59">
        <f t="shared" si="531"/>
        <v>74519.244426000005</v>
      </c>
      <c r="AA93" s="55">
        <f t="shared" si="532"/>
        <v>21998.79</v>
      </c>
      <c r="AB93" s="59">
        <f t="shared" si="533"/>
        <v>72723.599982</v>
      </c>
      <c r="AC93" s="60">
        <f t="shared" si="534"/>
        <v>21455.61</v>
      </c>
      <c r="AD93" s="59">
        <f t="shared" si="535"/>
        <v>70927.955538000009</v>
      </c>
      <c r="AE93" s="60">
        <f t="shared" si="536"/>
        <v>20912.43</v>
      </c>
      <c r="AF93" s="59">
        <f t="shared" si="537"/>
        <v>69132.311094000004</v>
      </c>
      <c r="AG93" s="60">
        <f t="shared" si="538"/>
        <v>20369.25</v>
      </c>
      <c r="AH93" s="59">
        <f t="shared" si="539"/>
        <v>67336.666649999999</v>
      </c>
      <c r="AI93" s="55">
        <f t="shared" si="540"/>
        <v>19826.07</v>
      </c>
      <c r="AJ93" s="59">
        <f t="shared" si="541"/>
        <v>65541.022205999994</v>
      </c>
      <c r="AK93" s="60">
        <f t="shared" si="542"/>
        <v>19282.89</v>
      </c>
      <c r="AL93" s="59">
        <f t="shared" si="543"/>
        <v>63745.377761999996</v>
      </c>
      <c r="AM93" s="60">
        <f t="shared" si="544"/>
        <v>18739.71</v>
      </c>
      <c r="AN93" s="59">
        <f t="shared" si="545"/>
        <v>61949.733317999999</v>
      </c>
      <c r="AO93" s="60">
        <f t="shared" si="546"/>
        <v>18196.53</v>
      </c>
      <c r="AP93" s="59">
        <f t="shared" si="547"/>
        <v>60154.088874000001</v>
      </c>
      <c r="AQ93" s="60">
        <f t="shared" si="548"/>
        <v>17653.349999999999</v>
      </c>
      <c r="AR93" s="59">
        <f t="shared" si="549"/>
        <v>58358.444429999996</v>
      </c>
      <c r="AS93" s="55">
        <f t="shared" si="550"/>
        <v>17110.169999999995</v>
      </c>
      <c r="AT93" s="59">
        <f t="shared" si="551"/>
        <v>56562.799985999984</v>
      </c>
      <c r="AU93" s="60">
        <f t="shared" si="552"/>
        <v>16566.989999999994</v>
      </c>
      <c r="AV93" s="59">
        <f t="shared" si="553"/>
        <v>54767.155541999986</v>
      </c>
      <c r="AW93" s="60">
        <f t="shared" si="554"/>
        <v>16023.809999999996</v>
      </c>
      <c r="AX93" s="59">
        <f t="shared" si="555"/>
        <v>52971.511097999988</v>
      </c>
      <c r="AY93" s="55">
        <f t="shared" si="556"/>
        <v>15480.629999999996</v>
      </c>
      <c r="AZ93" s="59">
        <f t="shared" si="557"/>
        <v>51175.866653999983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58"/>
        <v>0.91</v>
      </c>
      <c r="BH93" s="55">
        <f t="shared" si="558"/>
        <v>0.89</v>
      </c>
      <c r="BI93" s="55">
        <f t="shared" si="558"/>
        <v>0.87</v>
      </c>
      <c r="BJ93" s="55">
        <f t="shared" si="558"/>
        <v>0.85</v>
      </c>
      <c r="BK93" s="55">
        <f t="shared" si="558"/>
        <v>0.83</v>
      </c>
      <c r="BL93" s="55">
        <f t="shared" si="558"/>
        <v>0.80999999999999994</v>
      </c>
      <c r="BM93" s="55">
        <f t="shared" si="558"/>
        <v>0.78999999999999992</v>
      </c>
      <c r="BN93" s="55">
        <f t="shared" si="558"/>
        <v>0.76999999999999991</v>
      </c>
      <c r="BO93" s="55">
        <f t="shared" si="558"/>
        <v>0.74999999999999989</v>
      </c>
      <c r="BP93" s="55">
        <f t="shared" si="558"/>
        <v>0.72999999999999987</v>
      </c>
      <c r="BQ93" s="55">
        <f t="shared" si="558"/>
        <v>0.70999999999999985</v>
      </c>
      <c r="BR93" s="55">
        <f t="shared" si="558"/>
        <v>0.68999999999999984</v>
      </c>
      <c r="BS93" s="55">
        <f t="shared" si="558"/>
        <v>0.66999999999999982</v>
      </c>
      <c r="BT93" s="55">
        <f t="shared" si="558"/>
        <v>0.6499999999999998</v>
      </c>
      <c r="BU93" s="55">
        <f t="shared" si="558"/>
        <v>0.62999999999999978</v>
      </c>
      <c r="BV93" s="55">
        <f t="shared" si="558"/>
        <v>0.60999999999999976</v>
      </c>
      <c r="BW93" s="55">
        <f t="shared" si="558"/>
        <v>0.58999999999999975</v>
      </c>
      <c r="BX93" s="55">
        <f t="shared" si="558"/>
        <v>0.56999999999999973</v>
      </c>
      <c r="BZ93" s="55">
        <f t="shared" si="508"/>
        <v>24714.690000000006</v>
      </c>
      <c r="CA93" s="55">
        <f t="shared" si="509"/>
        <v>24714.690000000006</v>
      </c>
      <c r="CB93" s="59">
        <f t="shared" si="559"/>
        <v>81701.822202000025</v>
      </c>
      <c r="CC93" s="55">
        <f t="shared" si="560"/>
        <v>23973.249300000007</v>
      </c>
      <c r="CD93" s="59">
        <f t="shared" si="561"/>
        <v>79250.767535940031</v>
      </c>
      <c r="CE93" s="55">
        <f t="shared" si="562"/>
        <v>23478.955500000004</v>
      </c>
      <c r="CF93" s="59">
        <f t="shared" si="563"/>
        <v>77616.731091900016</v>
      </c>
      <c r="CG93" s="55">
        <f t="shared" si="564"/>
        <v>22984.661700000008</v>
      </c>
      <c r="CH93" s="59">
        <f t="shared" si="565"/>
        <v>75982.694647860029</v>
      </c>
      <c r="CI93" s="57">
        <f t="shared" si="566"/>
        <v>22490.367900000005</v>
      </c>
      <c r="CJ93" s="59">
        <f t="shared" si="567"/>
        <v>74348.658203820014</v>
      </c>
      <c r="CK93" s="55">
        <f t="shared" si="568"/>
        <v>21996.074100000005</v>
      </c>
      <c r="CL93" s="59">
        <f t="shared" si="569"/>
        <v>72714.621759780013</v>
      </c>
      <c r="CM93" s="57">
        <f t="shared" si="570"/>
        <v>21501.780300000006</v>
      </c>
      <c r="CN93" s="59">
        <f t="shared" si="571"/>
        <v>71080.585315740027</v>
      </c>
      <c r="CO93" s="60">
        <f t="shared" si="572"/>
        <v>21007.486500000003</v>
      </c>
      <c r="CP93" s="59">
        <f t="shared" si="573"/>
        <v>69446.548871700012</v>
      </c>
      <c r="CQ93" s="57">
        <f t="shared" si="574"/>
        <v>20513.192700000003</v>
      </c>
      <c r="CR93" s="59">
        <f t="shared" si="575"/>
        <v>67812.512427660011</v>
      </c>
      <c r="CS93" s="55">
        <f t="shared" si="576"/>
        <v>20018.898900000004</v>
      </c>
      <c r="CT93" s="59">
        <f t="shared" si="577"/>
        <v>66178.47598362001</v>
      </c>
      <c r="CU93" s="60">
        <f t="shared" si="578"/>
        <v>19524.605100000004</v>
      </c>
      <c r="CV93" s="59">
        <f t="shared" si="579"/>
        <v>64544.439539580017</v>
      </c>
      <c r="CW93" s="60">
        <f t="shared" si="580"/>
        <v>19030.311300000001</v>
      </c>
      <c r="CX93" s="59">
        <f t="shared" si="581"/>
        <v>62910.403095540009</v>
      </c>
      <c r="CY93" s="60">
        <f t="shared" si="582"/>
        <v>18536.017500000002</v>
      </c>
      <c r="CZ93" s="59">
        <f t="shared" si="583"/>
        <v>61276.366651500008</v>
      </c>
      <c r="DA93" s="55">
        <f t="shared" si="584"/>
        <v>18041.723700000002</v>
      </c>
      <c r="DB93" s="59">
        <f t="shared" si="585"/>
        <v>59642.330207460007</v>
      </c>
      <c r="DC93" s="60">
        <f t="shared" si="586"/>
        <v>17547.429899999999</v>
      </c>
      <c r="DD93" s="59">
        <f t="shared" si="587"/>
        <v>58008.293763419999</v>
      </c>
      <c r="DE93" s="60">
        <f t="shared" si="588"/>
        <v>17053.1361</v>
      </c>
      <c r="DF93" s="59">
        <f t="shared" si="589"/>
        <v>56374.257319379998</v>
      </c>
      <c r="DG93" s="60">
        <f t="shared" si="590"/>
        <v>16558.8423</v>
      </c>
      <c r="DH93" s="59">
        <f t="shared" si="591"/>
        <v>54740.220875340005</v>
      </c>
      <c r="DI93" s="60">
        <f t="shared" si="592"/>
        <v>16064.548499999999</v>
      </c>
      <c r="DJ93" s="59">
        <f t="shared" si="593"/>
        <v>53106.184431299997</v>
      </c>
      <c r="DK93" s="55">
        <f t="shared" si="594"/>
        <v>15570.254699999998</v>
      </c>
      <c r="DL93" s="59">
        <f t="shared" si="595"/>
        <v>51472.147987259996</v>
      </c>
      <c r="DM93" s="60">
        <f t="shared" si="596"/>
        <v>15075.960899999998</v>
      </c>
      <c r="DN93" s="59">
        <f t="shared" si="597"/>
        <v>49838.111543219995</v>
      </c>
      <c r="DO93" s="60">
        <f t="shared" si="598"/>
        <v>14581.667099999997</v>
      </c>
      <c r="DP93" s="59">
        <f t="shared" si="599"/>
        <v>48204.075099179994</v>
      </c>
      <c r="DQ93" s="55">
        <f t="shared" si="600"/>
        <v>14087.373299999997</v>
      </c>
      <c r="DR93" s="59">
        <f t="shared" si="601"/>
        <v>46570.038655139993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3"/>
        <v>0.91</v>
      </c>
      <c r="DZ93" s="55">
        <f t="shared" si="503"/>
        <v>0.89</v>
      </c>
      <c r="EA93" s="55">
        <f t="shared" si="503"/>
        <v>0.87</v>
      </c>
      <c r="EB93" s="55">
        <f t="shared" ref="EB93:EP93" si="645">+EA93-0.02</f>
        <v>0.85</v>
      </c>
      <c r="EC93" s="55">
        <f t="shared" si="645"/>
        <v>0.83</v>
      </c>
      <c r="ED93" s="55">
        <f t="shared" si="645"/>
        <v>0.80999999999999994</v>
      </c>
      <c r="EE93" s="55">
        <f t="shared" si="645"/>
        <v>0.78999999999999992</v>
      </c>
      <c r="EF93" s="55">
        <f t="shared" si="645"/>
        <v>0.76999999999999991</v>
      </c>
      <c r="EG93" s="55">
        <f t="shared" si="645"/>
        <v>0.74999999999999989</v>
      </c>
      <c r="EH93" s="55">
        <f t="shared" si="645"/>
        <v>0.72999999999999987</v>
      </c>
      <c r="EI93" s="55">
        <f t="shared" si="645"/>
        <v>0.70999999999999985</v>
      </c>
      <c r="EJ93" s="55">
        <f t="shared" si="645"/>
        <v>0.68999999999999984</v>
      </c>
      <c r="EK93" s="55">
        <f t="shared" si="645"/>
        <v>0.66999999999999982</v>
      </c>
      <c r="EL93" s="55">
        <f t="shared" si="645"/>
        <v>0.6499999999999998</v>
      </c>
      <c r="EM93" s="55">
        <f t="shared" si="645"/>
        <v>0.62999999999999978</v>
      </c>
      <c r="EN93" s="55">
        <f t="shared" si="645"/>
        <v>0.60999999999999976</v>
      </c>
      <c r="EO93" s="55">
        <f t="shared" si="645"/>
        <v>0.58999999999999975</v>
      </c>
      <c r="EP93" s="55">
        <f t="shared" si="645"/>
        <v>0.56999999999999973</v>
      </c>
      <c r="ER93" s="55">
        <f t="shared" si="142"/>
        <v>22490.367900000005</v>
      </c>
      <c r="ES93" s="55">
        <f t="shared" si="510"/>
        <v>22490.367900000005</v>
      </c>
      <c r="ET93" s="59">
        <f t="shared" si="602"/>
        <v>74348.658203820014</v>
      </c>
      <c r="EU93" s="55">
        <f t="shared" si="603"/>
        <v>21815.656863000004</v>
      </c>
      <c r="EV93" s="59">
        <f t="shared" si="604"/>
        <v>72118.19845770541</v>
      </c>
      <c r="EW93" s="55">
        <f t="shared" si="605"/>
        <v>21365.849505000002</v>
      </c>
      <c r="EX93" s="59">
        <f t="shared" si="606"/>
        <v>70631.225293629002</v>
      </c>
      <c r="EY93" s="55">
        <f t="shared" si="607"/>
        <v>20916.042147000004</v>
      </c>
      <c r="EZ93" s="59">
        <f t="shared" si="608"/>
        <v>69144.252129552609</v>
      </c>
      <c r="FA93" s="57">
        <f t="shared" si="609"/>
        <v>20466.234789000006</v>
      </c>
      <c r="FB93" s="59">
        <f t="shared" si="610"/>
        <v>67657.278965476216</v>
      </c>
      <c r="FC93" s="55">
        <f t="shared" si="611"/>
        <v>20016.427431000004</v>
      </c>
      <c r="FD93" s="59">
        <f t="shared" si="612"/>
        <v>66170.305801399809</v>
      </c>
      <c r="FE93" s="57">
        <f t="shared" si="613"/>
        <v>19566.620073000006</v>
      </c>
      <c r="FF93" s="59">
        <f t="shared" si="614"/>
        <v>64683.332637323423</v>
      </c>
      <c r="FG93" s="60">
        <f t="shared" si="615"/>
        <v>19116.812715000004</v>
      </c>
      <c r="FH93" s="59">
        <f t="shared" si="616"/>
        <v>63196.359473247016</v>
      </c>
      <c r="FI93" s="57">
        <f t="shared" si="617"/>
        <v>18667.005357000002</v>
      </c>
      <c r="FJ93" s="59">
        <f t="shared" si="618"/>
        <v>61709.386309170608</v>
      </c>
      <c r="FK93" s="55">
        <f t="shared" si="619"/>
        <v>18217.197999000004</v>
      </c>
      <c r="FL93" s="59">
        <f t="shared" si="620"/>
        <v>60222.413145094215</v>
      </c>
      <c r="FM93" s="60">
        <f t="shared" si="621"/>
        <v>17767.390641000002</v>
      </c>
      <c r="FN93" s="59">
        <f t="shared" si="622"/>
        <v>58735.439981017807</v>
      </c>
      <c r="FO93" s="60">
        <f t="shared" si="623"/>
        <v>17317.583283</v>
      </c>
      <c r="FP93" s="59">
        <f t="shared" si="624"/>
        <v>57248.4668169414</v>
      </c>
      <c r="FQ93" s="60">
        <f t="shared" si="625"/>
        <v>16867.775925000002</v>
      </c>
      <c r="FR93" s="59">
        <f t="shared" si="626"/>
        <v>55761.493652865007</v>
      </c>
      <c r="FS93" s="55">
        <f t="shared" si="627"/>
        <v>16417.968567</v>
      </c>
      <c r="FT93" s="59">
        <f t="shared" si="628"/>
        <v>54274.520488788599</v>
      </c>
      <c r="FU93" s="60">
        <f t="shared" si="629"/>
        <v>15968.161209</v>
      </c>
      <c r="FV93" s="59">
        <f t="shared" si="630"/>
        <v>52787.547324712199</v>
      </c>
      <c r="FW93" s="60">
        <f t="shared" si="631"/>
        <v>15518.353851</v>
      </c>
      <c r="FX93" s="59">
        <f t="shared" si="632"/>
        <v>51300.574160635799</v>
      </c>
      <c r="FY93" s="60">
        <f t="shared" si="633"/>
        <v>15068.546493</v>
      </c>
      <c r="FZ93" s="59">
        <f t="shared" si="634"/>
        <v>49813.600996559398</v>
      </c>
      <c r="GA93" s="60">
        <f t="shared" si="635"/>
        <v>14618.739134999998</v>
      </c>
      <c r="GB93" s="59">
        <f t="shared" si="636"/>
        <v>48326.627832482991</v>
      </c>
      <c r="GC93" s="55">
        <f t="shared" si="637"/>
        <v>14168.931776999998</v>
      </c>
      <c r="GD93" s="59">
        <f t="shared" si="638"/>
        <v>46839.654668406598</v>
      </c>
      <c r="GE93" s="60">
        <f t="shared" si="639"/>
        <v>13719.124418999998</v>
      </c>
      <c r="GF93" s="59">
        <f t="shared" si="640"/>
        <v>45352.681504330198</v>
      </c>
      <c r="GG93" s="60">
        <f t="shared" si="641"/>
        <v>13269.317060999998</v>
      </c>
      <c r="GH93" s="59">
        <f t="shared" si="642"/>
        <v>43865.708340253797</v>
      </c>
      <c r="GI93" s="55">
        <f t="shared" si="643"/>
        <v>12819.509702999996</v>
      </c>
      <c r="GJ93" s="59">
        <f t="shared" si="644"/>
        <v>42378.73517617739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4"/>
        <v>0.91</v>
      </c>
      <c r="GR93" s="55">
        <f t="shared" si="504"/>
        <v>0.89</v>
      </c>
      <c r="GS93" s="55">
        <f t="shared" si="504"/>
        <v>0.87</v>
      </c>
      <c r="GT93" s="55">
        <f t="shared" ref="GT93:HH93" si="646">+GS93-0.02</f>
        <v>0.85</v>
      </c>
      <c r="GU93" s="55">
        <f t="shared" si="646"/>
        <v>0.83</v>
      </c>
      <c r="GV93" s="55">
        <f t="shared" si="646"/>
        <v>0.80999999999999994</v>
      </c>
      <c r="GW93" s="55">
        <f t="shared" si="646"/>
        <v>0.78999999999999992</v>
      </c>
      <c r="GX93" s="55">
        <f t="shared" si="646"/>
        <v>0.76999999999999991</v>
      </c>
      <c r="GY93" s="55">
        <f t="shared" si="646"/>
        <v>0.74999999999999989</v>
      </c>
      <c r="GZ93" s="55">
        <f t="shared" si="646"/>
        <v>0.72999999999999987</v>
      </c>
      <c r="HA93" s="55">
        <f t="shared" si="646"/>
        <v>0.70999999999999985</v>
      </c>
      <c r="HB93" s="55">
        <f t="shared" si="646"/>
        <v>0.68999999999999984</v>
      </c>
      <c r="HC93" s="55">
        <f t="shared" si="646"/>
        <v>0.66999999999999982</v>
      </c>
      <c r="HD93" s="55">
        <f t="shared" si="646"/>
        <v>0.6499999999999998</v>
      </c>
      <c r="HE93" s="55">
        <f t="shared" si="646"/>
        <v>0.62999999999999978</v>
      </c>
      <c r="HF93" s="55">
        <f t="shared" si="646"/>
        <v>0.60999999999999976</v>
      </c>
      <c r="HG93" s="55">
        <f t="shared" si="646"/>
        <v>0.58999999999999975</v>
      </c>
      <c r="HH93" s="55">
        <f t="shared" si="646"/>
        <v>0.56999999999999973</v>
      </c>
    </row>
    <row r="94" spans="1:216" x14ac:dyDescent="0.3">
      <c r="A94" s="2">
        <v>3</v>
      </c>
      <c r="C94" s="38" t="s">
        <v>41</v>
      </c>
      <c r="D94" s="42">
        <f>TRUNC(30667.8893874804,-1)</f>
        <v>30660</v>
      </c>
      <c r="E94" s="71">
        <f t="shared" si="515"/>
        <v>101350</v>
      </c>
      <c r="H94" s="55">
        <f t="shared" si="505"/>
        <v>111485.00000000001</v>
      </c>
      <c r="I94" s="55">
        <f t="shared" si="506"/>
        <v>111485.00000000001</v>
      </c>
      <c r="J94" s="59">
        <f t="shared" si="507"/>
        <v>368547.11300000007</v>
      </c>
      <c r="K94" s="55">
        <f t="shared" si="516"/>
        <v>108140.45000000001</v>
      </c>
      <c r="L94" s="59">
        <f t="shared" si="517"/>
        <v>357490.69961000007</v>
      </c>
      <c r="M94" s="55">
        <f t="shared" si="518"/>
        <v>105910.75000000001</v>
      </c>
      <c r="N94" s="59">
        <f t="shared" si="519"/>
        <v>350119.75735000003</v>
      </c>
      <c r="O94" s="55">
        <f t="shared" si="520"/>
        <v>103681.05000000002</v>
      </c>
      <c r="P94" s="59">
        <f t="shared" si="521"/>
        <v>342748.81509000005</v>
      </c>
      <c r="Q94" s="57">
        <f t="shared" si="522"/>
        <v>101451.35000000002</v>
      </c>
      <c r="R94" s="59">
        <f t="shared" si="523"/>
        <v>335377.87283000007</v>
      </c>
      <c r="S94" s="55">
        <f t="shared" si="524"/>
        <v>99221.650000000009</v>
      </c>
      <c r="T94" s="59">
        <f t="shared" si="525"/>
        <v>328006.93057000003</v>
      </c>
      <c r="U94" s="57">
        <f t="shared" si="526"/>
        <v>96991.950000000012</v>
      </c>
      <c r="V94" s="59">
        <f t="shared" si="527"/>
        <v>320635.98831000004</v>
      </c>
      <c r="W94" s="60">
        <f t="shared" si="528"/>
        <v>94762.250000000015</v>
      </c>
      <c r="X94" s="59">
        <f t="shared" si="529"/>
        <v>313265.04605000006</v>
      </c>
      <c r="Y94" s="57">
        <f t="shared" si="530"/>
        <v>92532.55</v>
      </c>
      <c r="Z94" s="59">
        <f t="shared" si="531"/>
        <v>305894.10379000002</v>
      </c>
      <c r="AA94" s="55">
        <f t="shared" si="532"/>
        <v>90302.85</v>
      </c>
      <c r="AB94" s="59">
        <f t="shared" si="533"/>
        <v>298523.16153000004</v>
      </c>
      <c r="AC94" s="60">
        <f t="shared" si="534"/>
        <v>88073.150000000009</v>
      </c>
      <c r="AD94" s="59">
        <f t="shared" si="535"/>
        <v>291152.21927000006</v>
      </c>
      <c r="AE94" s="60">
        <f t="shared" si="536"/>
        <v>85843.45</v>
      </c>
      <c r="AF94" s="59">
        <f t="shared" si="537"/>
        <v>283781.27701000002</v>
      </c>
      <c r="AG94" s="60">
        <f t="shared" si="538"/>
        <v>83613.75</v>
      </c>
      <c r="AH94" s="59">
        <f t="shared" si="539"/>
        <v>276410.33474999998</v>
      </c>
      <c r="AI94" s="55">
        <f t="shared" si="540"/>
        <v>81384.05</v>
      </c>
      <c r="AJ94" s="59">
        <f t="shared" si="541"/>
        <v>269039.39249</v>
      </c>
      <c r="AK94" s="60">
        <f t="shared" si="542"/>
        <v>79154.349999999991</v>
      </c>
      <c r="AL94" s="59">
        <f t="shared" si="543"/>
        <v>261668.45022999999</v>
      </c>
      <c r="AM94" s="60">
        <f t="shared" si="544"/>
        <v>76924.649999999994</v>
      </c>
      <c r="AN94" s="59">
        <f t="shared" si="545"/>
        <v>254297.50796999998</v>
      </c>
      <c r="AO94" s="60">
        <f t="shared" si="546"/>
        <v>74694.949999999983</v>
      </c>
      <c r="AP94" s="59">
        <f t="shared" si="547"/>
        <v>246926.56570999994</v>
      </c>
      <c r="AQ94" s="60">
        <f t="shared" si="548"/>
        <v>72465.249999999985</v>
      </c>
      <c r="AR94" s="59">
        <f t="shared" si="549"/>
        <v>239555.62344999996</v>
      </c>
      <c r="AS94" s="55">
        <f t="shared" si="550"/>
        <v>70235.549999999988</v>
      </c>
      <c r="AT94" s="59">
        <f t="shared" si="551"/>
        <v>232184.68118999997</v>
      </c>
      <c r="AU94" s="60">
        <f t="shared" si="552"/>
        <v>68005.849999999977</v>
      </c>
      <c r="AV94" s="59">
        <f t="shared" si="553"/>
        <v>224813.73892999993</v>
      </c>
      <c r="AW94" s="60">
        <f t="shared" si="554"/>
        <v>65776.14999999998</v>
      </c>
      <c r="AX94" s="59">
        <f t="shared" si="555"/>
        <v>217442.79666999992</v>
      </c>
      <c r="AY94" s="55">
        <f t="shared" si="556"/>
        <v>63546.449999999975</v>
      </c>
      <c r="AZ94" s="59">
        <f t="shared" si="557"/>
        <v>210071.85440999991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58"/>
        <v>0.91</v>
      </c>
      <c r="BH94" s="55">
        <f t="shared" si="558"/>
        <v>0.89</v>
      </c>
      <c r="BI94" s="55">
        <f t="shared" si="558"/>
        <v>0.87</v>
      </c>
      <c r="BJ94" s="55">
        <f t="shared" si="558"/>
        <v>0.85</v>
      </c>
      <c r="BK94" s="55">
        <f t="shared" si="558"/>
        <v>0.83</v>
      </c>
      <c r="BL94" s="55">
        <f t="shared" si="558"/>
        <v>0.80999999999999994</v>
      </c>
      <c r="BM94" s="55">
        <f t="shared" si="558"/>
        <v>0.78999999999999992</v>
      </c>
      <c r="BN94" s="55">
        <f t="shared" si="558"/>
        <v>0.76999999999999991</v>
      </c>
      <c r="BO94" s="55">
        <f t="shared" si="558"/>
        <v>0.74999999999999989</v>
      </c>
      <c r="BP94" s="55">
        <f t="shared" si="558"/>
        <v>0.72999999999999987</v>
      </c>
      <c r="BQ94" s="55">
        <f t="shared" si="558"/>
        <v>0.70999999999999985</v>
      </c>
      <c r="BR94" s="55">
        <f t="shared" si="558"/>
        <v>0.68999999999999984</v>
      </c>
      <c r="BS94" s="55">
        <f t="shared" si="558"/>
        <v>0.66999999999999982</v>
      </c>
      <c r="BT94" s="55">
        <f t="shared" si="558"/>
        <v>0.6499999999999998</v>
      </c>
      <c r="BU94" s="55">
        <f t="shared" si="558"/>
        <v>0.62999999999999978</v>
      </c>
      <c r="BV94" s="55">
        <f t="shared" si="558"/>
        <v>0.60999999999999976</v>
      </c>
      <c r="BW94" s="55">
        <f t="shared" si="558"/>
        <v>0.58999999999999975</v>
      </c>
      <c r="BX94" s="55">
        <f t="shared" si="558"/>
        <v>0.56999999999999973</v>
      </c>
      <c r="BZ94" s="55">
        <f t="shared" si="508"/>
        <v>101451.35000000002</v>
      </c>
      <c r="CA94" s="55">
        <f t="shared" si="509"/>
        <v>101451.35000000002</v>
      </c>
      <c r="CB94" s="59">
        <f t="shared" si="559"/>
        <v>335377.87283000007</v>
      </c>
      <c r="CC94" s="55">
        <f t="shared" si="560"/>
        <v>98407.809500000018</v>
      </c>
      <c r="CD94" s="59">
        <f t="shared" si="561"/>
        <v>325316.53664510004</v>
      </c>
      <c r="CE94" s="55">
        <f t="shared" si="562"/>
        <v>96378.782500000016</v>
      </c>
      <c r="CF94" s="59">
        <f t="shared" si="563"/>
        <v>318608.97918850003</v>
      </c>
      <c r="CG94" s="55">
        <f t="shared" si="564"/>
        <v>94349.755500000028</v>
      </c>
      <c r="CH94" s="59">
        <f t="shared" si="565"/>
        <v>311901.42173190007</v>
      </c>
      <c r="CI94" s="57">
        <f t="shared" si="566"/>
        <v>92320.728500000027</v>
      </c>
      <c r="CJ94" s="59">
        <f t="shared" si="567"/>
        <v>305193.86427530012</v>
      </c>
      <c r="CK94" s="55">
        <f t="shared" si="568"/>
        <v>90291.701500000025</v>
      </c>
      <c r="CL94" s="59">
        <f t="shared" si="569"/>
        <v>298486.3068187001</v>
      </c>
      <c r="CM94" s="57">
        <f t="shared" si="570"/>
        <v>88262.674500000023</v>
      </c>
      <c r="CN94" s="59">
        <f t="shared" si="571"/>
        <v>291778.74936210009</v>
      </c>
      <c r="CO94" s="60">
        <f t="shared" si="572"/>
        <v>86233.647500000021</v>
      </c>
      <c r="CP94" s="59">
        <f t="shared" si="573"/>
        <v>285071.19190550008</v>
      </c>
      <c r="CQ94" s="57">
        <f t="shared" si="574"/>
        <v>84204.620500000019</v>
      </c>
      <c r="CR94" s="59">
        <f t="shared" si="575"/>
        <v>278363.63444890006</v>
      </c>
      <c r="CS94" s="55">
        <f t="shared" si="576"/>
        <v>82175.593500000017</v>
      </c>
      <c r="CT94" s="59">
        <f t="shared" si="577"/>
        <v>271656.07699230005</v>
      </c>
      <c r="CU94" s="60">
        <f t="shared" si="578"/>
        <v>80146.566500000015</v>
      </c>
      <c r="CV94" s="59">
        <f t="shared" si="579"/>
        <v>264948.51953570003</v>
      </c>
      <c r="CW94" s="60">
        <f t="shared" si="580"/>
        <v>78117.539500000014</v>
      </c>
      <c r="CX94" s="59">
        <f t="shared" si="581"/>
        <v>258240.96207910005</v>
      </c>
      <c r="CY94" s="60">
        <f t="shared" si="582"/>
        <v>76088.512499999997</v>
      </c>
      <c r="CZ94" s="59">
        <f t="shared" si="583"/>
        <v>251533.40462250001</v>
      </c>
      <c r="DA94" s="55">
        <f t="shared" si="584"/>
        <v>74059.485499999995</v>
      </c>
      <c r="DB94" s="59">
        <f t="shared" si="585"/>
        <v>244825.84716589999</v>
      </c>
      <c r="DC94" s="60">
        <f t="shared" si="586"/>
        <v>72030.458499999993</v>
      </c>
      <c r="DD94" s="59">
        <f t="shared" si="587"/>
        <v>238118.28970929998</v>
      </c>
      <c r="DE94" s="60">
        <f t="shared" si="588"/>
        <v>70001.431499999992</v>
      </c>
      <c r="DF94" s="59">
        <f t="shared" si="589"/>
        <v>231410.73225269996</v>
      </c>
      <c r="DG94" s="60">
        <f t="shared" si="590"/>
        <v>67972.40449999999</v>
      </c>
      <c r="DH94" s="59">
        <f t="shared" si="591"/>
        <v>224703.17479609998</v>
      </c>
      <c r="DI94" s="60">
        <f t="shared" si="592"/>
        <v>65943.377499999988</v>
      </c>
      <c r="DJ94" s="59">
        <f t="shared" si="593"/>
        <v>217995.61733949996</v>
      </c>
      <c r="DK94" s="55">
        <f t="shared" si="594"/>
        <v>63914.350499999993</v>
      </c>
      <c r="DL94" s="59">
        <f t="shared" si="595"/>
        <v>211288.05988289998</v>
      </c>
      <c r="DM94" s="60">
        <f t="shared" si="596"/>
        <v>61885.323499999991</v>
      </c>
      <c r="DN94" s="59">
        <f t="shared" si="597"/>
        <v>204580.50242629997</v>
      </c>
      <c r="DO94" s="60">
        <f t="shared" si="598"/>
        <v>59856.296499999989</v>
      </c>
      <c r="DP94" s="59">
        <f t="shared" si="599"/>
        <v>197872.94496969998</v>
      </c>
      <c r="DQ94" s="55">
        <f t="shared" si="600"/>
        <v>57827.269499999988</v>
      </c>
      <c r="DR94" s="59">
        <f t="shared" si="601"/>
        <v>191165.38751309997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47">+DX94-0.02</f>
        <v>0.91</v>
      </c>
      <c r="DZ94" s="55">
        <f t="shared" si="647"/>
        <v>0.89</v>
      </c>
      <c r="EA94" s="55">
        <f t="shared" si="647"/>
        <v>0.87</v>
      </c>
      <c r="EB94" s="55">
        <f t="shared" si="647"/>
        <v>0.85</v>
      </c>
      <c r="EC94" s="55">
        <f t="shared" si="647"/>
        <v>0.83</v>
      </c>
      <c r="ED94" s="55">
        <f t="shared" si="647"/>
        <v>0.80999999999999994</v>
      </c>
      <c r="EE94" s="55">
        <f t="shared" si="647"/>
        <v>0.78999999999999992</v>
      </c>
      <c r="EF94" s="55">
        <f t="shared" si="647"/>
        <v>0.76999999999999991</v>
      </c>
      <c r="EG94" s="55">
        <f t="shared" si="647"/>
        <v>0.74999999999999989</v>
      </c>
      <c r="EH94" s="55">
        <f t="shared" si="647"/>
        <v>0.72999999999999987</v>
      </c>
      <c r="EI94" s="55">
        <f t="shared" si="647"/>
        <v>0.70999999999999985</v>
      </c>
      <c r="EJ94" s="55">
        <f t="shared" si="647"/>
        <v>0.68999999999999984</v>
      </c>
      <c r="EK94" s="55">
        <f t="shared" si="647"/>
        <v>0.66999999999999982</v>
      </c>
      <c r="EL94" s="55">
        <f t="shared" si="647"/>
        <v>0.6499999999999998</v>
      </c>
      <c r="EM94" s="55">
        <f t="shared" si="647"/>
        <v>0.62999999999999978</v>
      </c>
      <c r="EN94" s="55">
        <f t="shared" si="647"/>
        <v>0.60999999999999976</v>
      </c>
      <c r="EO94" s="55">
        <f t="shared" si="647"/>
        <v>0.58999999999999975</v>
      </c>
      <c r="EP94" s="55">
        <f t="shared" si="647"/>
        <v>0.56999999999999973</v>
      </c>
      <c r="ER94" s="55">
        <f t="shared" ref="ER94:ER155" si="648">+BZ94*0.91</f>
        <v>92320.728500000027</v>
      </c>
      <c r="ES94" s="55">
        <f t="shared" si="510"/>
        <v>92320.728500000027</v>
      </c>
      <c r="ET94" s="59">
        <f t="shared" si="602"/>
        <v>305193.86427530012</v>
      </c>
      <c r="EU94" s="55">
        <f t="shared" si="603"/>
        <v>89551.106645000022</v>
      </c>
      <c r="EV94" s="59">
        <f t="shared" si="604"/>
        <v>296038.04834704107</v>
      </c>
      <c r="EW94" s="55">
        <f t="shared" si="605"/>
        <v>87704.692075000028</v>
      </c>
      <c r="EX94" s="59">
        <f t="shared" si="606"/>
        <v>289934.17106153507</v>
      </c>
      <c r="EY94" s="55">
        <f t="shared" si="607"/>
        <v>85858.277505000035</v>
      </c>
      <c r="EZ94" s="59">
        <f t="shared" si="608"/>
        <v>283830.29377602914</v>
      </c>
      <c r="FA94" s="57">
        <f t="shared" si="609"/>
        <v>84011.862935000026</v>
      </c>
      <c r="FB94" s="59">
        <f t="shared" si="610"/>
        <v>277726.41649052309</v>
      </c>
      <c r="FC94" s="55">
        <f t="shared" si="611"/>
        <v>82165.448365000018</v>
      </c>
      <c r="FD94" s="59">
        <f t="shared" si="612"/>
        <v>271622.53920501709</v>
      </c>
      <c r="FE94" s="57">
        <f t="shared" si="613"/>
        <v>80319.033795000025</v>
      </c>
      <c r="FF94" s="59">
        <f t="shared" si="614"/>
        <v>265518.6619195111</v>
      </c>
      <c r="FG94" s="60">
        <f t="shared" si="615"/>
        <v>78472.619225000017</v>
      </c>
      <c r="FH94" s="59">
        <f t="shared" si="616"/>
        <v>259414.78463400507</v>
      </c>
      <c r="FI94" s="57">
        <f t="shared" si="617"/>
        <v>76626.204655000023</v>
      </c>
      <c r="FJ94" s="59">
        <f t="shared" si="618"/>
        <v>253310.90734849908</v>
      </c>
      <c r="FK94" s="55">
        <f t="shared" si="619"/>
        <v>74779.790085000015</v>
      </c>
      <c r="FL94" s="59">
        <f t="shared" si="620"/>
        <v>247207.03006299306</v>
      </c>
      <c r="FM94" s="60">
        <f t="shared" si="621"/>
        <v>72933.375515000007</v>
      </c>
      <c r="FN94" s="59">
        <f t="shared" si="622"/>
        <v>241103.15277748703</v>
      </c>
      <c r="FO94" s="60">
        <f t="shared" si="623"/>
        <v>71086.960945000013</v>
      </c>
      <c r="FP94" s="59">
        <f t="shared" si="624"/>
        <v>234999.27549198104</v>
      </c>
      <c r="FQ94" s="60">
        <f t="shared" si="625"/>
        <v>69240.546375000005</v>
      </c>
      <c r="FR94" s="59">
        <f t="shared" si="626"/>
        <v>228895.39820647502</v>
      </c>
      <c r="FS94" s="55">
        <f t="shared" si="627"/>
        <v>67394.131805000012</v>
      </c>
      <c r="FT94" s="59">
        <f t="shared" si="628"/>
        <v>222791.52092096905</v>
      </c>
      <c r="FU94" s="60">
        <f t="shared" si="629"/>
        <v>65547.717235000004</v>
      </c>
      <c r="FV94" s="59">
        <f t="shared" si="630"/>
        <v>216687.64363546303</v>
      </c>
      <c r="FW94" s="60">
        <f t="shared" si="631"/>
        <v>63701.302665000003</v>
      </c>
      <c r="FX94" s="59">
        <f t="shared" si="632"/>
        <v>210583.766349957</v>
      </c>
      <c r="FY94" s="60">
        <f t="shared" si="633"/>
        <v>61854.888095000002</v>
      </c>
      <c r="FZ94" s="59">
        <f t="shared" si="634"/>
        <v>204479.88906445101</v>
      </c>
      <c r="GA94" s="60">
        <f t="shared" si="635"/>
        <v>60008.473525000001</v>
      </c>
      <c r="GB94" s="59">
        <f t="shared" si="636"/>
        <v>198376.01177894502</v>
      </c>
      <c r="GC94" s="55">
        <f t="shared" si="637"/>
        <v>58162.058954999993</v>
      </c>
      <c r="GD94" s="59">
        <f t="shared" si="638"/>
        <v>192272.13449343899</v>
      </c>
      <c r="GE94" s="60">
        <f t="shared" si="639"/>
        <v>56315.644384999992</v>
      </c>
      <c r="GF94" s="59">
        <f t="shared" si="640"/>
        <v>186168.25720793297</v>
      </c>
      <c r="GG94" s="60">
        <f t="shared" si="641"/>
        <v>54469.229814999992</v>
      </c>
      <c r="GH94" s="59">
        <f t="shared" si="642"/>
        <v>180064.37992242698</v>
      </c>
      <c r="GI94" s="55">
        <f t="shared" si="643"/>
        <v>52622.815244999991</v>
      </c>
      <c r="GJ94" s="59">
        <f t="shared" si="644"/>
        <v>173960.50263692098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49">+GP94-0.02</f>
        <v>0.91</v>
      </c>
      <c r="GR94" s="55">
        <f t="shared" si="649"/>
        <v>0.89</v>
      </c>
      <c r="GS94" s="55">
        <f t="shared" si="649"/>
        <v>0.87</v>
      </c>
      <c r="GT94" s="55">
        <f t="shared" si="649"/>
        <v>0.85</v>
      </c>
      <c r="GU94" s="55">
        <f t="shared" si="649"/>
        <v>0.83</v>
      </c>
      <c r="GV94" s="55">
        <f t="shared" si="649"/>
        <v>0.80999999999999994</v>
      </c>
      <c r="GW94" s="55">
        <f t="shared" si="649"/>
        <v>0.78999999999999992</v>
      </c>
      <c r="GX94" s="55">
        <f t="shared" si="649"/>
        <v>0.76999999999999991</v>
      </c>
      <c r="GY94" s="55">
        <f t="shared" si="649"/>
        <v>0.74999999999999989</v>
      </c>
      <c r="GZ94" s="55">
        <f t="shared" si="649"/>
        <v>0.72999999999999987</v>
      </c>
      <c r="HA94" s="55">
        <f t="shared" si="649"/>
        <v>0.70999999999999985</v>
      </c>
      <c r="HB94" s="55">
        <f t="shared" si="649"/>
        <v>0.68999999999999984</v>
      </c>
      <c r="HC94" s="55">
        <f t="shared" si="649"/>
        <v>0.66999999999999982</v>
      </c>
      <c r="HD94" s="55">
        <f t="shared" si="649"/>
        <v>0.6499999999999998</v>
      </c>
      <c r="HE94" s="55">
        <f t="shared" si="649"/>
        <v>0.62999999999999978</v>
      </c>
      <c r="HF94" s="55">
        <f t="shared" si="649"/>
        <v>0.60999999999999976</v>
      </c>
      <c r="HG94" s="55">
        <f t="shared" si="649"/>
        <v>0.58999999999999975</v>
      </c>
      <c r="HH94" s="55">
        <f t="shared" si="649"/>
        <v>0.56999999999999973</v>
      </c>
    </row>
    <row r="95" spans="1:216" x14ac:dyDescent="0.3">
      <c r="A95" s="2">
        <v>4</v>
      </c>
      <c r="C95" s="38" t="s">
        <v>42</v>
      </c>
      <c r="D95" s="42">
        <v>0</v>
      </c>
      <c r="E95" s="71">
        <f t="shared" si="515"/>
        <v>0</v>
      </c>
      <c r="H95" s="55">
        <f t="shared" si="505"/>
        <v>0</v>
      </c>
      <c r="I95" s="55">
        <f t="shared" si="506"/>
        <v>0</v>
      </c>
      <c r="J95" s="59">
        <f t="shared" si="507"/>
        <v>0</v>
      </c>
      <c r="K95" s="55">
        <f t="shared" si="516"/>
        <v>0</v>
      </c>
      <c r="L95" s="59">
        <f t="shared" si="517"/>
        <v>0</v>
      </c>
      <c r="M95" s="55">
        <f t="shared" si="518"/>
        <v>0</v>
      </c>
      <c r="N95" s="59">
        <f t="shared" si="519"/>
        <v>0</v>
      </c>
      <c r="O95" s="55">
        <f t="shared" si="520"/>
        <v>0</v>
      </c>
      <c r="P95" s="59">
        <f t="shared" si="521"/>
        <v>0</v>
      </c>
      <c r="Q95" s="57">
        <f t="shared" si="522"/>
        <v>0</v>
      </c>
      <c r="R95" s="59">
        <f t="shared" si="523"/>
        <v>0</v>
      </c>
      <c r="S95" s="55">
        <f t="shared" si="524"/>
        <v>0</v>
      </c>
      <c r="T95" s="59">
        <f t="shared" si="525"/>
        <v>0</v>
      </c>
      <c r="U95" s="57">
        <f t="shared" si="526"/>
        <v>0</v>
      </c>
      <c r="V95" s="59">
        <f t="shared" si="527"/>
        <v>0</v>
      </c>
      <c r="W95" s="60">
        <f t="shared" si="528"/>
        <v>0</v>
      </c>
      <c r="X95" s="59">
        <f t="shared" si="529"/>
        <v>0</v>
      </c>
      <c r="Y95" s="57">
        <f t="shared" si="530"/>
        <v>0</v>
      </c>
      <c r="Z95" s="59">
        <f t="shared" si="531"/>
        <v>0</v>
      </c>
      <c r="AA95" s="55">
        <f t="shared" si="532"/>
        <v>0</v>
      </c>
      <c r="AB95" s="59">
        <f t="shared" si="533"/>
        <v>0</v>
      </c>
      <c r="AC95" s="60">
        <f t="shared" si="534"/>
        <v>0</v>
      </c>
      <c r="AD95" s="59">
        <f t="shared" si="535"/>
        <v>0</v>
      </c>
      <c r="AE95" s="60">
        <f t="shared" si="536"/>
        <v>0</v>
      </c>
      <c r="AF95" s="59">
        <f t="shared" si="537"/>
        <v>0</v>
      </c>
      <c r="AG95" s="60">
        <f t="shared" si="538"/>
        <v>0</v>
      </c>
      <c r="AH95" s="59">
        <f t="shared" si="539"/>
        <v>0</v>
      </c>
      <c r="AI95" s="55">
        <f t="shared" si="540"/>
        <v>0</v>
      </c>
      <c r="AJ95" s="59">
        <f t="shared" si="541"/>
        <v>0</v>
      </c>
      <c r="AK95" s="60">
        <f t="shared" si="542"/>
        <v>0</v>
      </c>
      <c r="AL95" s="59">
        <f t="shared" si="543"/>
        <v>0</v>
      </c>
      <c r="AM95" s="60">
        <f t="shared" si="544"/>
        <v>0</v>
      </c>
      <c r="AN95" s="59">
        <f t="shared" si="545"/>
        <v>0</v>
      </c>
      <c r="AO95" s="60">
        <f t="shared" si="546"/>
        <v>0</v>
      </c>
      <c r="AP95" s="59">
        <f t="shared" si="547"/>
        <v>0</v>
      </c>
      <c r="AQ95" s="60">
        <f t="shared" si="548"/>
        <v>0</v>
      </c>
      <c r="AR95" s="59">
        <f t="shared" si="549"/>
        <v>0</v>
      </c>
      <c r="AS95" s="55">
        <f t="shared" si="550"/>
        <v>0</v>
      </c>
      <c r="AT95" s="59">
        <f t="shared" si="551"/>
        <v>0</v>
      </c>
      <c r="AU95" s="60">
        <f t="shared" si="552"/>
        <v>0</v>
      </c>
      <c r="AV95" s="59">
        <f t="shared" si="553"/>
        <v>0</v>
      </c>
      <c r="AW95" s="60">
        <f t="shared" si="554"/>
        <v>0</v>
      </c>
      <c r="AX95" s="59">
        <f t="shared" si="555"/>
        <v>0</v>
      </c>
      <c r="AY95" s="55">
        <f t="shared" si="556"/>
        <v>0</v>
      </c>
      <c r="AZ95" s="59">
        <f t="shared" si="557"/>
        <v>0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58"/>
        <v>0.91</v>
      </c>
      <c r="BH95" s="55">
        <f t="shared" si="558"/>
        <v>0.89</v>
      </c>
      <c r="BI95" s="55">
        <f t="shared" si="558"/>
        <v>0.87</v>
      </c>
      <c r="BJ95" s="55">
        <f t="shared" si="558"/>
        <v>0.85</v>
      </c>
      <c r="BK95" s="55">
        <f t="shared" si="558"/>
        <v>0.83</v>
      </c>
      <c r="BL95" s="55">
        <f t="shared" si="558"/>
        <v>0.80999999999999994</v>
      </c>
      <c r="BM95" s="55">
        <f t="shared" si="558"/>
        <v>0.78999999999999992</v>
      </c>
      <c r="BN95" s="55">
        <f t="shared" si="558"/>
        <v>0.76999999999999991</v>
      </c>
      <c r="BO95" s="55">
        <f t="shared" si="558"/>
        <v>0.74999999999999989</v>
      </c>
      <c r="BP95" s="55">
        <f t="shared" si="558"/>
        <v>0.72999999999999987</v>
      </c>
      <c r="BQ95" s="55">
        <f t="shared" si="558"/>
        <v>0.70999999999999985</v>
      </c>
      <c r="BR95" s="55">
        <f t="shared" si="558"/>
        <v>0.68999999999999984</v>
      </c>
      <c r="BS95" s="55">
        <f t="shared" si="558"/>
        <v>0.66999999999999982</v>
      </c>
      <c r="BT95" s="55">
        <f t="shared" si="558"/>
        <v>0.6499999999999998</v>
      </c>
      <c r="BU95" s="55">
        <f t="shared" si="558"/>
        <v>0.62999999999999978</v>
      </c>
      <c r="BV95" s="55">
        <f t="shared" si="558"/>
        <v>0.60999999999999976</v>
      </c>
      <c r="BW95" s="55">
        <f t="shared" si="558"/>
        <v>0.58999999999999975</v>
      </c>
      <c r="BX95" s="55">
        <f t="shared" si="558"/>
        <v>0.56999999999999973</v>
      </c>
      <c r="BZ95" s="55">
        <f t="shared" si="508"/>
        <v>0</v>
      </c>
      <c r="CA95" s="55">
        <f t="shared" si="509"/>
        <v>0</v>
      </c>
      <c r="CB95" s="59">
        <f t="shared" si="559"/>
        <v>0</v>
      </c>
      <c r="CC95" s="55">
        <f t="shared" si="560"/>
        <v>0</v>
      </c>
      <c r="CD95" s="59">
        <f t="shared" si="561"/>
        <v>0</v>
      </c>
      <c r="CE95" s="55">
        <f t="shared" si="562"/>
        <v>0</v>
      </c>
      <c r="CF95" s="59">
        <f t="shared" si="563"/>
        <v>0</v>
      </c>
      <c r="CG95" s="55">
        <f t="shared" si="564"/>
        <v>0</v>
      </c>
      <c r="CH95" s="59">
        <f t="shared" si="565"/>
        <v>0</v>
      </c>
      <c r="CI95" s="57">
        <f t="shared" si="566"/>
        <v>0</v>
      </c>
      <c r="CJ95" s="59">
        <f t="shared" si="567"/>
        <v>0</v>
      </c>
      <c r="CK95" s="55">
        <f t="shared" si="568"/>
        <v>0</v>
      </c>
      <c r="CL95" s="59">
        <f t="shared" si="569"/>
        <v>0</v>
      </c>
      <c r="CM95" s="57">
        <f t="shared" si="570"/>
        <v>0</v>
      </c>
      <c r="CN95" s="59">
        <f t="shared" si="571"/>
        <v>0</v>
      </c>
      <c r="CO95" s="60">
        <f t="shared" si="572"/>
        <v>0</v>
      </c>
      <c r="CP95" s="59">
        <f t="shared" si="573"/>
        <v>0</v>
      </c>
      <c r="CQ95" s="57">
        <f t="shared" si="574"/>
        <v>0</v>
      </c>
      <c r="CR95" s="59">
        <f t="shared" si="575"/>
        <v>0</v>
      </c>
      <c r="CS95" s="55">
        <f t="shared" si="576"/>
        <v>0</v>
      </c>
      <c r="CT95" s="59">
        <f t="shared" si="577"/>
        <v>0</v>
      </c>
      <c r="CU95" s="60">
        <f t="shared" si="578"/>
        <v>0</v>
      </c>
      <c r="CV95" s="59">
        <f t="shared" si="579"/>
        <v>0</v>
      </c>
      <c r="CW95" s="60">
        <f t="shared" si="580"/>
        <v>0</v>
      </c>
      <c r="CX95" s="59">
        <f t="shared" si="581"/>
        <v>0</v>
      </c>
      <c r="CY95" s="60">
        <f t="shared" si="582"/>
        <v>0</v>
      </c>
      <c r="CZ95" s="59">
        <f t="shared" si="583"/>
        <v>0</v>
      </c>
      <c r="DA95" s="55">
        <f t="shared" si="584"/>
        <v>0</v>
      </c>
      <c r="DB95" s="59">
        <f t="shared" si="585"/>
        <v>0</v>
      </c>
      <c r="DC95" s="60">
        <f t="shared" si="586"/>
        <v>0</v>
      </c>
      <c r="DD95" s="59">
        <f t="shared" si="587"/>
        <v>0</v>
      </c>
      <c r="DE95" s="60">
        <f t="shared" si="588"/>
        <v>0</v>
      </c>
      <c r="DF95" s="59">
        <f t="shared" si="589"/>
        <v>0</v>
      </c>
      <c r="DG95" s="60">
        <f t="shared" si="590"/>
        <v>0</v>
      </c>
      <c r="DH95" s="59">
        <f t="shared" si="591"/>
        <v>0</v>
      </c>
      <c r="DI95" s="60">
        <f t="shared" si="592"/>
        <v>0</v>
      </c>
      <c r="DJ95" s="59">
        <f t="shared" si="593"/>
        <v>0</v>
      </c>
      <c r="DK95" s="55">
        <f t="shared" si="594"/>
        <v>0</v>
      </c>
      <c r="DL95" s="59">
        <f t="shared" si="595"/>
        <v>0</v>
      </c>
      <c r="DM95" s="60">
        <f t="shared" si="596"/>
        <v>0</v>
      </c>
      <c r="DN95" s="59">
        <f t="shared" si="597"/>
        <v>0</v>
      </c>
      <c r="DO95" s="60">
        <f t="shared" si="598"/>
        <v>0</v>
      </c>
      <c r="DP95" s="59">
        <f t="shared" si="599"/>
        <v>0</v>
      </c>
      <c r="DQ95" s="55">
        <f t="shared" si="600"/>
        <v>0</v>
      </c>
      <c r="DR95" s="59">
        <f t="shared" si="601"/>
        <v>0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47"/>
        <v>0.91</v>
      </c>
      <c r="DZ95" s="55">
        <f t="shared" si="647"/>
        <v>0.89</v>
      </c>
      <c r="EA95" s="55">
        <f t="shared" si="647"/>
        <v>0.87</v>
      </c>
      <c r="EB95" s="55">
        <f t="shared" si="647"/>
        <v>0.85</v>
      </c>
      <c r="EC95" s="55">
        <f t="shared" si="647"/>
        <v>0.83</v>
      </c>
      <c r="ED95" s="55">
        <f t="shared" si="647"/>
        <v>0.80999999999999994</v>
      </c>
      <c r="EE95" s="55">
        <f t="shared" si="647"/>
        <v>0.78999999999999992</v>
      </c>
      <c r="EF95" s="55">
        <f t="shared" si="647"/>
        <v>0.76999999999999991</v>
      </c>
      <c r="EG95" s="55">
        <f t="shared" si="647"/>
        <v>0.74999999999999989</v>
      </c>
      <c r="EH95" s="55">
        <f t="shared" si="647"/>
        <v>0.72999999999999987</v>
      </c>
      <c r="EI95" s="55">
        <f t="shared" si="647"/>
        <v>0.70999999999999985</v>
      </c>
      <c r="EJ95" s="55">
        <f t="shared" si="647"/>
        <v>0.68999999999999984</v>
      </c>
      <c r="EK95" s="55">
        <f t="shared" si="647"/>
        <v>0.66999999999999982</v>
      </c>
      <c r="EL95" s="55">
        <f t="shared" si="647"/>
        <v>0.6499999999999998</v>
      </c>
      <c r="EM95" s="55">
        <f t="shared" si="647"/>
        <v>0.62999999999999978</v>
      </c>
      <c r="EN95" s="55">
        <f t="shared" si="647"/>
        <v>0.60999999999999976</v>
      </c>
      <c r="EO95" s="55">
        <f t="shared" si="647"/>
        <v>0.58999999999999975</v>
      </c>
      <c r="EP95" s="55">
        <f t="shared" si="647"/>
        <v>0.56999999999999973</v>
      </c>
      <c r="ER95" s="55">
        <f t="shared" si="648"/>
        <v>0</v>
      </c>
      <c r="ES95" s="55">
        <f t="shared" si="510"/>
        <v>0</v>
      </c>
      <c r="ET95" s="59">
        <f t="shared" si="602"/>
        <v>0</v>
      </c>
      <c r="EU95" s="55">
        <f t="shared" si="603"/>
        <v>0</v>
      </c>
      <c r="EV95" s="59">
        <f t="shared" si="604"/>
        <v>0</v>
      </c>
      <c r="EW95" s="55">
        <f t="shared" si="605"/>
        <v>0</v>
      </c>
      <c r="EX95" s="59">
        <f t="shared" si="606"/>
        <v>0</v>
      </c>
      <c r="EY95" s="55">
        <f t="shared" si="607"/>
        <v>0</v>
      </c>
      <c r="EZ95" s="59">
        <f t="shared" si="608"/>
        <v>0</v>
      </c>
      <c r="FA95" s="57">
        <f t="shared" si="609"/>
        <v>0</v>
      </c>
      <c r="FB95" s="59">
        <f t="shared" si="610"/>
        <v>0</v>
      </c>
      <c r="FC95" s="55">
        <f t="shared" si="611"/>
        <v>0</v>
      </c>
      <c r="FD95" s="59">
        <f t="shared" si="612"/>
        <v>0</v>
      </c>
      <c r="FE95" s="57">
        <f t="shared" si="613"/>
        <v>0</v>
      </c>
      <c r="FF95" s="59">
        <f t="shared" si="614"/>
        <v>0</v>
      </c>
      <c r="FG95" s="60">
        <f t="shared" si="615"/>
        <v>0</v>
      </c>
      <c r="FH95" s="59">
        <f t="shared" si="616"/>
        <v>0</v>
      </c>
      <c r="FI95" s="57">
        <f t="shared" si="617"/>
        <v>0</v>
      </c>
      <c r="FJ95" s="59">
        <f t="shared" si="618"/>
        <v>0</v>
      </c>
      <c r="FK95" s="55">
        <f t="shared" si="619"/>
        <v>0</v>
      </c>
      <c r="FL95" s="59">
        <f t="shared" si="620"/>
        <v>0</v>
      </c>
      <c r="FM95" s="60">
        <f t="shared" si="621"/>
        <v>0</v>
      </c>
      <c r="FN95" s="59">
        <f t="shared" si="622"/>
        <v>0</v>
      </c>
      <c r="FO95" s="60">
        <f t="shared" si="623"/>
        <v>0</v>
      </c>
      <c r="FP95" s="59">
        <f t="shared" si="624"/>
        <v>0</v>
      </c>
      <c r="FQ95" s="60">
        <f t="shared" si="625"/>
        <v>0</v>
      </c>
      <c r="FR95" s="59">
        <f t="shared" si="626"/>
        <v>0</v>
      </c>
      <c r="FS95" s="55">
        <f t="shared" si="627"/>
        <v>0</v>
      </c>
      <c r="FT95" s="59">
        <f t="shared" si="628"/>
        <v>0</v>
      </c>
      <c r="FU95" s="60">
        <f t="shared" si="629"/>
        <v>0</v>
      </c>
      <c r="FV95" s="59">
        <f t="shared" si="630"/>
        <v>0</v>
      </c>
      <c r="FW95" s="60">
        <f t="shared" si="631"/>
        <v>0</v>
      </c>
      <c r="FX95" s="59">
        <f t="shared" si="632"/>
        <v>0</v>
      </c>
      <c r="FY95" s="60">
        <f t="shared" si="633"/>
        <v>0</v>
      </c>
      <c r="FZ95" s="59">
        <f t="shared" si="634"/>
        <v>0</v>
      </c>
      <c r="GA95" s="60">
        <f t="shared" si="635"/>
        <v>0</v>
      </c>
      <c r="GB95" s="59">
        <f t="shared" si="636"/>
        <v>0</v>
      </c>
      <c r="GC95" s="55">
        <f t="shared" si="637"/>
        <v>0</v>
      </c>
      <c r="GD95" s="59">
        <f t="shared" si="638"/>
        <v>0</v>
      </c>
      <c r="GE95" s="60">
        <f t="shared" si="639"/>
        <v>0</v>
      </c>
      <c r="GF95" s="59">
        <f t="shared" si="640"/>
        <v>0</v>
      </c>
      <c r="GG95" s="60">
        <f t="shared" si="641"/>
        <v>0</v>
      </c>
      <c r="GH95" s="59">
        <f t="shared" si="642"/>
        <v>0</v>
      </c>
      <c r="GI95" s="55">
        <f t="shared" si="643"/>
        <v>0</v>
      </c>
      <c r="GJ95" s="59">
        <f t="shared" si="644"/>
        <v>0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49"/>
        <v>0.91</v>
      </c>
      <c r="GR95" s="55">
        <f t="shared" si="649"/>
        <v>0.89</v>
      </c>
      <c r="GS95" s="55">
        <f t="shared" si="649"/>
        <v>0.87</v>
      </c>
      <c r="GT95" s="55">
        <f t="shared" si="649"/>
        <v>0.85</v>
      </c>
      <c r="GU95" s="55">
        <f t="shared" si="649"/>
        <v>0.83</v>
      </c>
      <c r="GV95" s="55">
        <f t="shared" si="649"/>
        <v>0.80999999999999994</v>
      </c>
      <c r="GW95" s="55">
        <f t="shared" si="649"/>
        <v>0.78999999999999992</v>
      </c>
      <c r="GX95" s="55">
        <f t="shared" si="649"/>
        <v>0.76999999999999991</v>
      </c>
      <c r="GY95" s="55">
        <f t="shared" si="649"/>
        <v>0.74999999999999989</v>
      </c>
      <c r="GZ95" s="55">
        <f t="shared" si="649"/>
        <v>0.72999999999999987</v>
      </c>
      <c r="HA95" s="55">
        <f t="shared" si="649"/>
        <v>0.70999999999999985</v>
      </c>
      <c r="HB95" s="55">
        <f t="shared" si="649"/>
        <v>0.68999999999999984</v>
      </c>
      <c r="HC95" s="55">
        <f t="shared" si="649"/>
        <v>0.66999999999999982</v>
      </c>
      <c r="HD95" s="55">
        <f t="shared" si="649"/>
        <v>0.6499999999999998</v>
      </c>
      <c r="HE95" s="55">
        <f t="shared" si="649"/>
        <v>0.62999999999999978</v>
      </c>
      <c r="HF95" s="55">
        <f t="shared" si="649"/>
        <v>0.60999999999999976</v>
      </c>
      <c r="HG95" s="55">
        <f t="shared" si="649"/>
        <v>0.58999999999999975</v>
      </c>
      <c r="HH95" s="55">
        <f t="shared" si="649"/>
        <v>0.56999999999999973</v>
      </c>
    </row>
    <row r="96" spans="1:216" x14ac:dyDescent="0.3">
      <c r="A96" s="2">
        <v>5</v>
      </c>
      <c r="C96" s="38" t="s">
        <v>43</v>
      </c>
      <c r="D96" s="42">
        <f>TRUNC(3375.93313888266,-1)</f>
        <v>3370</v>
      </c>
      <c r="E96" s="71">
        <f t="shared" si="515"/>
        <v>11140</v>
      </c>
      <c r="H96" s="55">
        <f t="shared" si="505"/>
        <v>12254.000000000002</v>
      </c>
      <c r="I96" s="55">
        <f t="shared" si="506"/>
        <v>12254.000000000002</v>
      </c>
      <c r="J96" s="59">
        <f t="shared" si="507"/>
        <v>40509.273200000003</v>
      </c>
      <c r="K96" s="55">
        <f t="shared" si="516"/>
        <v>11886.380000000001</v>
      </c>
      <c r="L96" s="59">
        <f t="shared" si="517"/>
        <v>39293.995004000004</v>
      </c>
      <c r="M96" s="55">
        <f t="shared" si="518"/>
        <v>11641.300000000001</v>
      </c>
      <c r="N96" s="59">
        <f t="shared" si="519"/>
        <v>38483.809540000002</v>
      </c>
      <c r="O96" s="55">
        <f t="shared" si="520"/>
        <v>11396.220000000003</v>
      </c>
      <c r="P96" s="59">
        <f t="shared" si="521"/>
        <v>37673.624076000007</v>
      </c>
      <c r="Q96" s="57">
        <f t="shared" si="522"/>
        <v>11151.140000000001</v>
      </c>
      <c r="R96" s="59">
        <f t="shared" si="523"/>
        <v>36863.438612000005</v>
      </c>
      <c r="S96" s="55">
        <f t="shared" si="524"/>
        <v>10906.060000000001</v>
      </c>
      <c r="T96" s="59">
        <f t="shared" si="525"/>
        <v>36053.253148000003</v>
      </c>
      <c r="U96" s="57">
        <f t="shared" si="526"/>
        <v>10660.980000000001</v>
      </c>
      <c r="V96" s="59">
        <f t="shared" si="527"/>
        <v>35243.067684000009</v>
      </c>
      <c r="W96" s="60">
        <f t="shared" si="528"/>
        <v>10415.900000000001</v>
      </c>
      <c r="X96" s="59">
        <f t="shared" si="529"/>
        <v>34432.882220000007</v>
      </c>
      <c r="Y96" s="57">
        <f t="shared" si="530"/>
        <v>10170.820000000002</v>
      </c>
      <c r="Z96" s="59">
        <f t="shared" si="531"/>
        <v>33622.696756000005</v>
      </c>
      <c r="AA96" s="55">
        <f t="shared" si="532"/>
        <v>9925.7400000000016</v>
      </c>
      <c r="AB96" s="59">
        <f t="shared" si="533"/>
        <v>32812.511292000003</v>
      </c>
      <c r="AC96" s="60">
        <f t="shared" si="534"/>
        <v>9680.66</v>
      </c>
      <c r="AD96" s="59">
        <f t="shared" si="535"/>
        <v>32002.325828000001</v>
      </c>
      <c r="AE96" s="60">
        <f t="shared" si="536"/>
        <v>9435.58</v>
      </c>
      <c r="AF96" s="59">
        <f t="shared" si="537"/>
        <v>31192.140363999999</v>
      </c>
      <c r="AG96" s="60">
        <f t="shared" si="538"/>
        <v>9190.5</v>
      </c>
      <c r="AH96" s="59">
        <f t="shared" si="539"/>
        <v>30381.954900000001</v>
      </c>
      <c r="AI96" s="55">
        <f t="shared" si="540"/>
        <v>8945.42</v>
      </c>
      <c r="AJ96" s="59">
        <f t="shared" si="541"/>
        <v>29571.769436000002</v>
      </c>
      <c r="AK96" s="60">
        <f t="shared" si="542"/>
        <v>8700.34</v>
      </c>
      <c r="AL96" s="59">
        <f t="shared" si="543"/>
        <v>28761.583972</v>
      </c>
      <c r="AM96" s="60">
        <f t="shared" si="544"/>
        <v>8455.2599999999984</v>
      </c>
      <c r="AN96" s="59">
        <f t="shared" si="545"/>
        <v>27951.398507999995</v>
      </c>
      <c r="AO96" s="60">
        <f t="shared" si="546"/>
        <v>8210.1799999999985</v>
      </c>
      <c r="AP96" s="59">
        <f t="shared" si="547"/>
        <v>27141.213043999996</v>
      </c>
      <c r="AQ96" s="60">
        <f t="shared" si="548"/>
        <v>7965.0999999999985</v>
      </c>
      <c r="AR96" s="59">
        <f t="shared" si="549"/>
        <v>26331.027579999994</v>
      </c>
      <c r="AS96" s="55">
        <f t="shared" si="550"/>
        <v>7720.0199999999986</v>
      </c>
      <c r="AT96" s="59">
        <f t="shared" si="551"/>
        <v>25520.842115999996</v>
      </c>
      <c r="AU96" s="60">
        <f t="shared" si="552"/>
        <v>7474.9399999999978</v>
      </c>
      <c r="AV96" s="59">
        <f t="shared" si="553"/>
        <v>24710.656651999994</v>
      </c>
      <c r="AW96" s="60">
        <f t="shared" si="554"/>
        <v>7229.8599999999979</v>
      </c>
      <c r="AX96" s="59">
        <f t="shared" si="555"/>
        <v>23900.471187999992</v>
      </c>
      <c r="AY96" s="55">
        <f t="shared" si="556"/>
        <v>6984.7799999999979</v>
      </c>
      <c r="AZ96" s="59">
        <f t="shared" si="557"/>
        <v>23090.285723999994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58"/>
        <v>0.91</v>
      </c>
      <c r="BH96" s="55">
        <f t="shared" si="558"/>
        <v>0.89</v>
      </c>
      <c r="BI96" s="55">
        <f t="shared" si="558"/>
        <v>0.87</v>
      </c>
      <c r="BJ96" s="55">
        <f t="shared" si="558"/>
        <v>0.85</v>
      </c>
      <c r="BK96" s="55">
        <f t="shared" si="558"/>
        <v>0.83</v>
      </c>
      <c r="BL96" s="55">
        <f t="shared" si="558"/>
        <v>0.80999999999999994</v>
      </c>
      <c r="BM96" s="55">
        <f t="shared" si="558"/>
        <v>0.78999999999999992</v>
      </c>
      <c r="BN96" s="55">
        <f t="shared" si="558"/>
        <v>0.76999999999999991</v>
      </c>
      <c r="BO96" s="55">
        <f t="shared" si="558"/>
        <v>0.74999999999999989</v>
      </c>
      <c r="BP96" s="55">
        <f t="shared" si="558"/>
        <v>0.72999999999999987</v>
      </c>
      <c r="BQ96" s="55">
        <f t="shared" si="558"/>
        <v>0.70999999999999985</v>
      </c>
      <c r="BR96" s="55">
        <f t="shared" si="558"/>
        <v>0.68999999999999984</v>
      </c>
      <c r="BS96" s="55">
        <f t="shared" si="558"/>
        <v>0.66999999999999982</v>
      </c>
      <c r="BT96" s="55">
        <f t="shared" si="558"/>
        <v>0.6499999999999998</v>
      </c>
      <c r="BU96" s="55">
        <f t="shared" si="558"/>
        <v>0.62999999999999978</v>
      </c>
      <c r="BV96" s="55">
        <f t="shared" si="558"/>
        <v>0.60999999999999976</v>
      </c>
      <c r="BW96" s="55">
        <f t="shared" si="558"/>
        <v>0.58999999999999975</v>
      </c>
      <c r="BX96" s="55">
        <f t="shared" si="558"/>
        <v>0.56999999999999973</v>
      </c>
      <c r="BZ96" s="55">
        <f t="shared" si="508"/>
        <v>11151.140000000001</v>
      </c>
      <c r="CA96" s="55">
        <f t="shared" si="509"/>
        <v>11151.140000000001</v>
      </c>
      <c r="CB96" s="59">
        <f t="shared" si="559"/>
        <v>36863.438612000005</v>
      </c>
      <c r="CC96" s="55">
        <f t="shared" si="560"/>
        <v>10816.605800000001</v>
      </c>
      <c r="CD96" s="59">
        <f t="shared" si="561"/>
        <v>35757.535453640005</v>
      </c>
      <c r="CE96" s="55">
        <f t="shared" si="562"/>
        <v>10593.583000000001</v>
      </c>
      <c r="CF96" s="59">
        <f t="shared" si="563"/>
        <v>35020.266681400004</v>
      </c>
      <c r="CG96" s="55">
        <f t="shared" si="564"/>
        <v>10370.560200000002</v>
      </c>
      <c r="CH96" s="59">
        <f t="shared" si="565"/>
        <v>34282.997909160003</v>
      </c>
      <c r="CI96" s="57">
        <f t="shared" si="566"/>
        <v>10147.537400000001</v>
      </c>
      <c r="CJ96" s="59">
        <f t="shared" si="567"/>
        <v>33545.729136920003</v>
      </c>
      <c r="CK96" s="55">
        <f t="shared" si="568"/>
        <v>9924.5146000000004</v>
      </c>
      <c r="CL96" s="59">
        <f t="shared" si="569"/>
        <v>32808.460364680002</v>
      </c>
      <c r="CM96" s="57">
        <f t="shared" si="570"/>
        <v>9701.4918000000016</v>
      </c>
      <c r="CN96" s="59">
        <f t="shared" si="571"/>
        <v>32071.191592440005</v>
      </c>
      <c r="CO96" s="60">
        <f t="shared" si="572"/>
        <v>9478.469000000001</v>
      </c>
      <c r="CP96" s="59">
        <f t="shared" si="573"/>
        <v>31333.922820200005</v>
      </c>
      <c r="CQ96" s="57">
        <f t="shared" si="574"/>
        <v>9255.4462000000003</v>
      </c>
      <c r="CR96" s="59">
        <f t="shared" si="575"/>
        <v>30596.654047960001</v>
      </c>
      <c r="CS96" s="55">
        <f t="shared" si="576"/>
        <v>9032.4233999999997</v>
      </c>
      <c r="CT96" s="59">
        <f t="shared" si="577"/>
        <v>29859.38527572</v>
      </c>
      <c r="CU96" s="60">
        <f t="shared" si="578"/>
        <v>8809.4006000000008</v>
      </c>
      <c r="CV96" s="59">
        <f t="shared" si="579"/>
        <v>29122.116503480003</v>
      </c>
      <c r="CW96" s="60">
        <f t="shared" si="580"/>
        <v>8586.3778000000002</v>
      </c>
      <c r="CX96" s="59">
        <f t="shared" si="581"/>
        <v>28384.847731240003</v>
      </c>
      <c r="CY96" s="60">
        <f t="shared" si="582"/>
        <v>8363.3549999999996</v>
      </c>
      <c r="CZ96" s="59">
        <f t="shared" si="583"/>
        <v>27647.578958999999</v>
      </c>
      <c r="DA96" s="55">
        <f t="shared" si="584"/>
        <v>8140.3321999999998</v>
      </c>
      <c r="DB96" s="59">
        <f t="shared" si="585"/>
        <v>26910.310186760002</v>
      </c>
      <c r="DC96" s="60">
        <f t="shared" si="586"/>
        <v>7917.3093999999992</v>
      </c>
      <c r="DD96" s="59">
        <f t="shared" si="587"/>
        <v>26173.041414519997</v>
      </c>
      <c r="DE96" s="60">
        <f t="shared" si="588"/>
        <v>7694.2865999999995</v>
      </c>
      <c r="DF96" s="59">
        <f t="shared" si="589"/>
        <v>25435.772642279997</v>
      </c>
      <c r="DG96" s="60">
        <f t="shared" si="590"/>
        <v>7471.2637999999988</v>
      </c>
      <c r="DH96" s="59">
        <f t="shared" si="591"/>
        <v>24698.503870039996</v>
      </c>
      <c r="DI96" s="60">
        <f t="shared" si="592"/>
        <v>7248.2409999999982</v>
      </c>
      <c r="DJ96" s="59">
        <f t="shared" si="593"/>
        <v>23961.235097799996</v>
      </c>
      <c r="DK96" s="55">
        <f t="shared" si="594"/>
        <v>7025.2181999999984</v>
      </c>
      <c r="DL96" s="59">
        <f t="shared" si="595"/>
        <v>23223.966325559995</v>
      </c>
      <c r="DM96" s="60">
        <f t="shared" si="596"/>
        <v>6802.1953999999978</v>
      </c>
      <c r="DN96" s="59">
        <f t="shared" si="597"/>
        <v>22486.697553319995</v>
      </c>
      <c r="DO96" s="60">
        <f t="shared" si="598"/>
        <v>6579.1725999999981</v>
      </c>
      <c r="DP96" s="59">
        <f t="shared" si="599"/>
        <v>21749.428781079994</v>
      </c>
      <c r="DQ96" s="55">
        <f t="shared" si="600"/>
        <v>6356.1497999999974</v>
      </c>
      <c r="DR96" s="59">
        <f t="shared" si="601"/>
        <v>21012.160008839994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47"/>
        <v>0.91</v>
      </c>
      <c r="DZ96" s="55">
        <f t="shared" si="647"/>
        <v>0.89</v>
      </c>
      <c r="EA96" s="55">
        <f t="shared" si="647"/>
        <v>0.87</v>
      </c>
      <c r="EB96" s="55">
        <f t="shared" si="647"/>
        <v>0.85</v>
      </c>
      <c r="EC96" s="55">
        <f t="shared" si="647"/>
        <v>0.83</v>
      </c>
      <c r="ED96" s="55">
        <f t="shared" si="647"/>
        <v>0.80999999999999994</v>
      </c>
      <c r="EE96" s="55">
        <f t="shared" si="647"/>
        <v>0.78999999999999992</v>
      </c>
      <c r="EF96" s="55">
        <f t="shared" si="647"/>
        <v>0.76999999999999991</v>
      </c>
      <c r="EG96" s="55">
        <f t="shared" si="647"/>
        <v>0.74999999999999989</v>
      </c>
      <c r="EH96" s="55">
        <f t="shared" si="647"/>
        <v>0.72999999999999987</v>
      </c>
      <c r="EI96" s="55">
        <f t="shared" si="647"/>
        <v>0.70999999999999985</v>
      </c>
      <c r="EJ96" s="55">
        <f t="shared" si="647"/>
        <v>0.68999999999999984</v>
      </c>
      <c r="EK96" s="55">
        <f t="shared" si="647"/>
        <v>0.66999999999999982</v>
      </c>
      <c r="EL96" s="55">
        <f t="shared" si="647"/>
        <v>0.6499999999999998</v>
      </c>
      <c r="EM96" s="55">
        <f t="shared" si="647"/>
        <v>0.62999999999999978</v>
      </c>
      <c r="EN96" s="55">
        <f t="shared" si="647"/>
        <v>0.60999999999999976</v>
      </c>
      <c r="EO96" s="55">
        <f t="shared" si="647"/>
        <v>0.58999999999999975</v>
      </c>
      <c r="EP96" s="55">
        <f t="shared" si="647"/>
        <v>0.56999999999999973</v>
      </c>
      <c r="ER96" s="55">
        <f t="shared" si="648"/>
        <v>10147.537400000001</v>
      </c>
      <c r="ES96" s="55">
        <f t="shared" si="510"/>
        <v>10147.537400000001</v>
      </c>
      <c r="ET96" s="59">
        <f t="shared" si="602"/>
        <v>33545.729136920003</v>
      </c>
      <c r="EU96" s="55">
        <f t="shared" si="603"/>
        <v>9843.1112780000003</v>
      </c>
      <c r="EV96" s="59">
        <f t="shared" si="604"/>
        <v>32539.357262812402</v>
      </c>
      <c r="EW96" s="55">
        <f t="shared" si="605"/>
        <v>9640.160530000001</v>
      </c>
      <c r="EX96" s="59">
        <f t="shared" si="606"/>
        <v>31868.442680074004</v>
      </c>
      <c r="EY96" s="55">
        <f t="shared" si="607"/>
        <v>9437.2097820000017</v>
      </c>
      <c r="EZ96" s="59">
        <f t="shared" si="608"/>
        <v>31197.528097335606</v>
      </c>
      <c r="FA96" s="57">
        <f t="shared" si="609"/>
        <v>9234.2590340000006</v>
      </c>
      <c r="FB96" s="59">
        <f t="shared" si="610"/>
        <v>30526.613514597204</v>
      </c>
      <c r="FC96" s="55">
        <f t="shared" si="611"/>
        <v>9031.3082860000013</v>
      </c>
      <c r="FD96" s="59">
        <f t="shared" si="612"/>
        <v>29855.698931858806</v>
      </c>
      <c r="FE96" s="57">
        <f t="shared" si="613"/>
        <v>8828.3575380000002</v>
      </c>
      <c r="FF96" s="59">
        <f t="shared" si="614"/>
        <v>29184.7843491204</v>
      </c>
      <c r="FG96" s="60">
        <f t="shared" si="615"/>
        <v>8625.4067900000009</v>
      </c>
      <c r="FH96" s="59">
        <f t="shared" si="616"/>
        <v>28513.869766382002</v>
      </c>
      <c r="FI96" s="57">
        <f t="shared" si="617"/>
        <v>8422.4560419999998</v>
      </c>
      <c r="FJ96" s="59">
        <f t="shared" si="618"/>
        <v>27842.9551836436</v>
      </c>
      <c r="FK96" s="55">
        <f t="shared" si="619"/>
        <v>8219.5052940000005</v>
      </c>
      <c r="FL96" s="59">
        <f t="shared" si="620"/>
        <v>27172.040600905202</v>
      </c>
      <c r="FM96" s="60">
        <f t="shared" si="621"/>
        <v>8016.5545460000003</v>
      </c>
      <c r="FN96" s="59">
        <f t="shared" si="622"/>
        <v>26501.1260181668</v>
      </c>
      <c r="FO96" s="60">
        <f t="shared" si="623"/>
        <v>7813.6037980000001</v>
      </c>
      <c r="FP96" s="59">
        <f t="shared" si="624"/>
        <v>25830.211435428402</v>
      </c>
      <c r="FQ96" s="60">
        <f t="shared" si="625"/>
        <v>7610.6530499999999</v>
      </c>
      <c r="FR96" s="59">
        <f t="shared" si="626"/>
        <v>25159.29685269</v>
      </c>
      <c r="FS96" s="55">
        <f t="shared" si="627"/>
        <v>7407.7023019999997</v>
      </c>
      <c r="FT96" s="59">
        <f t="shared" si="628"/>
        <v>24488.382269951599</v>
      </c>
      <c r="FU96" s="60">
        <f t="shared" si="629"/>
        <v>7204.7515539999995</v>
      </c>
      <c r="FV96" s="59">
        <f t="shared" si="630"/>
        <v>23817.4676872132</v>
      </c>
      <c r="FW96" s="60">
        <f t="shared" si="631"/>
        <v>7001.8008059999993</v>
      </c>
      <c r="FX96" s="59">
        <f t="shared" si="632"/>
        <v>23146.553104474799</v>
      </c>
      <c r="FY96" s="60">
        <f t="shared" si="633"/>
        <v>6798.8500579999991</v>
      </c>
      <c r="FZ96" s="59">
        <f t="shared" si="634"/>
        <v>22475.638521736397</v>
      </c>
      <c r="GA96" s="60">
        <f t="shared" si="635"/>
        <v>6595.8993099999989</v>
      </c>
      <c r="GB96" s="59">
        <f t="shared" si="636"/>
        <v>21804.723938997995</v>
      </c>
      <c r="GC96" s="55">
        <f t="shared" si="637"/>
        <v>6392.9485619999987</v>
      </c>
      <c r="GD96" s="59">
        <f t="shared" si="638"/>
        <v>21133.809356259597</v>
      </c>
      <c r="GE96" s="60">
        <f t="shared" si="639"/>
        <v>6189.9978139999985</v>
      </c>
      <c r="GF96" s="59">
        <f t="shared" si="640"/>
        <v>20462.894773521195</v>
      </c>
      <c r="GG96" s="60">
        <f t="shared" si="641"/>
        <v>5987.0470659999983</v>
      </c>
      <c r="GH96" s="59">
        <f t="shared" si="642"/>
        <v>19791.980190782793</v>
      </c>
      <c r="GI96" s="55">
        <f t="shared" si="643"/>
        <v>5784.0963179999981</v>
      </c>
      <c r="GJ96" s="59">
        <f t="shared" si="644"/>
        <v>19121.065608044395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49"/>
        <v>0.91</v>
      </c>
      <c r="GR96" s="55">
        <f t="shared" si="649"/>
        <v>0.89</v>
      </c>
      <c r="GS96" s="55">
        <f t="shared" si="649"/>
        <v>0.87</v>
      </c>
      <c r="GT96" s="55">
        <f t="shared" si="649"/>
        <v>0.85</v>
      </c>
      <c r="GU96" s="55">
        <f t="shared" si="649"/>
        <v>0.83</v>
      </c>
      <c r="GV96" s="55">
        <f t="shared" si="649"/>
        <v>0.80999999999999994</v>
      </c>
      <c r="GW96" s="55">
        <f t="shared" si="649"/>
        <v>0.78999999999999992</v>
      </c>
      <c r="GX96" s="55">
        <f t="shared" si="649"/>
        <v>0.76999999999999991</v>
      </c>
      <c r="GY96" s="55">
        <f t="shared" si="649"/>
        <v>0.74999999999999989</v>
      </c>
      <c r="GZ96" s="55">
        <f t="shared" si="649"/>
        <v>0.72999999999999987</v>
      </c>
      <c r="HA96" s="55">
        <f t="shared" si="649"/>
        <v>0.70999999999999985</v>
      </c>
      <c r="HB96" s="55">
        <f t="shared" si="649"/>
        <v>0.68999999999999984</v>
      </c>
      <c r="HC96" s="55">
        <f t="shared" si="649"/>
        <v>0.66999999999999982</v>
      </c>
      <c r="HD96" s="55">
        <f t="shared" si="649"/>
        <v>0.6499999999999998</v>
      </c>
      <c r="HE96" s="55">
        <f t="shared" si="649"/>
        <v>0.62999999999999978</v>
      </c>
      <c r="HF96" s="55">
        <f t="shared" si="649"/>
        <v>0.60999999999999976</v>
      </c>
      <c r="HG96" s="55">
        <f t="shared" si="649"/>
        <v>0.58999999999999975</v>
      </c>
      <c r="HH96" s="55">
        <f t="shared" si="649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1">
        <f t="shared" si="515"/>
        <v>0</v>
      </c>
      <c r="H97" s="55">
        <f t="shared" si="505"/>
        <v>0</v>
      </c>
      <c r="I97" s="55">
        <f t="shared" si="506"/>
        <v>0</v>
      </c>
      <c r="J97" s="59">
        <f t="shared" si="507"/>
        <v>0</v>
      </c>
      <c r="K97" s="55">
        <f t="shared" si="516"/>
        <v>0</v>
      </c>
      <c r="L97" s="59">
        <f t="shared" si="517"/>
        <v>0</v>
      </c>
      <c r="M97" s="55">
        <f t="shared" si="518"/>
        <v>0</v>
      </c>
      <c r="N97" s="59">
        <f t="shared" si="519"/>
        <v>0</v>
      </c>
      <c r="O97" s="55">
        <f t="shared" si="520"/>
        <v>0</v>
      </c>
      <c r="P97" s="59">
        <f t="shared" si="521"/>
        <v>0</v>
      </c>
      <c r="Q97" s="57">
        <f t="shared" si="522"/>
        <v>0</v>
      </c>
      <c r="R97" s="59">
        <f t="shared" si="523"/>
        <v>0</v>
      </c>
      <c r="S97" s="55">
        <f t="shared" si="524"/>
        <v>0</v>
      </c>
      <c r="T97" s="59">
        <f t="shared" si="525"/>
        <v>0</v>
      </c>
      <c r="U97" s="57">
        <f t="shared" si="526"/>
        <v>0</v>
      </c>
      <c r="V97" s="59">
        <f t="shared" si="527"/>
        <v>0</v>
      </c>
      <c r="W97" s="60">
        <f t="shared" si="528"/>
        <v>0</v>
      </c>
      <c r="X97" s="59">
        <f t="shared" si="529"/>
        <v>0</v>
      </c>
      <c r="Y97" s="57">
        <f t="shared" si="530"/>
        <v>0</v>
      </c>
      <c r="Z97" s="59">
        <f t="shared" si="531"/>
        <v>0</v>
      </c>
      <c r="AA97" s="55">
        <f t="shared" si="532"/>
        <v>0</v>
      </c>
      <c r="AB97" s="59">
        <f t="shared" si="533"/>
        <v>0</v>
      </c>
      <c r="AC97" s="60">
        <f t="shared" si="534"/>
        <v>0</v>
      </c>
      <c r="AD97" s="59">
        <f t="shared" si="535"/>
        <v>0</v>
      </c>
      <c r="AE97" s="60">
        <f t="shared" si="536"/>
        <v>0</v>
      </c>
      <c r="AF97" s="59">
        <f t="shared" si="537"/>
        <v>0</v>
      </c>
      <c r="AG97" s="60">
        <f t="shared" si="538"/>
        <v>0</v>
      </c>
      <c r="AH97" s="59">
        <f t="shared" si="539"/>
        <v>0</v>
      </c>
      <c r="AI97" s="55">
        <f t="shared" si="540"/>
        <v>0</v>
      </c>
      <c r="AJ97" s="59">
        <f t="shared" si="541"/>
        <v>0</v>
      </c>
      <c r="AK97" s="60">
        <f t="shared" si="542"/>
        <v>0</v>
      </c>
      <c r="AL97" s="59">
        <f t="shared" si="543"/>
        <v>0</v>
      </c>
      <c r="AM97" s="60">
        <f t="shared" si="544"/>
        <v>0</v>
      </c>
      <c r="AN97" s="59">
        <f t="shared" si="545"/>
        <v>0</v>
      </c>
      <c r="AO97" s="60">
        <f t="shared" si="546"/>
        <v>0</v>
      </c>
      <c r="AP97" s="59">
        <f t="shared" si="547"/>
        <v>0</v>
      </c>
      <c r="AQ97" s="60">
        <f t="shared" si="548"/>
        <v>0</v>
      </c>
      <c r="AR97" s="59">
        <f t="shared" si="549"/>
        <v>0</v>
      </c>
      <c r="AS97" s="55">
        <f t="shared" si="550"/>
        <v>0</v>
      </c>
      <c r="AT97" s="59">
        <f t="shared" si="551"/>
        <v>0</v>
      </c>
      <c r="AU97" s="60">
        <f t="shared" si="552"/>
        <v>0</v>
      </c>
      <c r="AV97" s="59">
        <f t="shared" si="553"/>
        <v>0</v>
      </c>
      <c r="AW97" s="60">
        <f t="shared" si="554"/>
        <v>0</v>
      </c>
      <c r="AX97" s="59">
        <f t="shared" si="555"/>
        <v>0</v>
      </c>
      <c r="AY97" s="55">
        <f t="shared" si="556"/>
        <v>0</v>
      </c>
      <c r="AZ97" s="59">
        <f t="shared" si="557"/>
        <v>0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58"/>
        <v>0.91</v>
      </c>
      <c r="BH97" s="55">
        <f t="shared" si="558"/>
        <v>0.89</v>
      </c>
      <c r="BI97" s="55">
        <f t="shared" si="558"/>
        <v>0.87</v>
      </c>
      <c r="BJ97" s="55">
        <f t="shared" si="558"/>
        <v>0.85</v>
      </c>
      <c r="BK97" s="55">
        <f t="shared" si="558"/>
        <v>0.83</v>
      </c>
      <c r="BL97" s="55">
        <f t="shared" si="558"/>
        <v>0.80999999999999994</v>
      </c>
      <c r="BM97" s="55">
        <f t="shared" si="558"/>
        <v>0.78999999999999992</v>
      </c>
      <c r="BN97" s="55">
        <f t="shared" si="558"/>
        <v>0.76999999999999991</v>
      </c>
      <c r="BO97" s="55">
        <f t="shared" si="558"/>
        <v>0.74999999999999989</v>
      </c>
      <c r="BP97" s="55">
        <f t="shared" si="558"/>
        <v>0.72999999999999987</v>
      </c>
      <c r="BQ97" s="55">
        <f t="shared" si="558"/>
        <v>0.70999999999999985</v>
      </c>
      <c r="BR97" s="55">
        <f t="shared" si="558"/>
        <v>0.68999999999999984</v>
      </c>
      <c r="BS97" s="55">
        <f t="shared" si="558"/>
        <v>0.66999999999999982</v>
      </c>
      <c r="BT97" s="55">
        <f t="shared" si="558"/>
        <v>0.6499999999999998</v>
      </c>
      <c r="BU97" s="55">
        <f t="shared" si="558"/>
        <v>0.62999999999999978</v>
      </c>
      <c r="BV97" s="55">
        <f t="shared" si="558"/>
        <v>0.60999999999999976</v>
      </c>
      <c r="BW97" s="55">
        <f t="shared" si="558"/>
        <v>0.58999999999999975</v>
      </c>
      <c r="BX97" s="55">
        <f t="shared" si="558"/>
        <v>0.56999999999999973</v>
      </c>
      <c r="BZ97" s="55">
        <f t="shared" si="508"/>
        <v>0</v>
      </c>
      <c r="CA97" s="55">
        <f t="shared" si="509"/>
        <v>0</v>
      </c>
      <c r="CB97" s="59">
        <f t="shared" si="559"/>
        <v>0</v>
      </c>
      <c r="CC97" s="55">
        <f t="shared" si="560"/>
        <v>0</v>
      </c>
      <c r="CD97" s="59">
        <f t="shared" si="561"/>
        <v>0</v>
      </c>
      <c r="CE97" s="55">
        <f t="shared" si="562"/>
        <v>0</v>
      </c>
      <c r="CF97" s="59">
        <f t="shared" si="563"/>
        <v>0</v>
      </c>
      <c r="CG97" s="55">
        <f t="shared" si="564"/>
        <v>0</v>
      </c>
      <c r="CH97" s="59">
        <f t="shared" si="565"/>
        <v>0</v>
      </c>
      <c r="CI97" s="57">
        <f t="shared" si="566"/>
        <v>0</v>
      </c>
      <c r="CJ97" s="59">
        <f t="shared" si="567"/>
        <v>0</v>
      </c>
      <c r="CK97" s="55">
        <f t="shared" si="568"/>
        <v>0</v>
      </c>
      <c r="CL97" s="59">
        <f t="shared" si="569"/>
        <v>0</v>
      </c>
      <c r="CM97" s="57">
        <f t="shared" si="570"/>
        <v>0</v>
      </c>
      <c r="CN97" s="59">
        <f t="shared" si="571"/>
        <v>0</v>
      </c>
      <c r="CO97" s="60">
        <f t="shared" si="572"/>
        <v>0</v>
      </c>
      <c r="CP97" s="59">
        <f t="shared" si="573"/>
        <v>0</v>
      </c>
      <c r="CQ97" s="57">
        <f t="shared" si="574"/>
        <v>0</v>
      </c>
      <c r="CR97" s="59">
        <f t="shared" si="575"/>
        <v>0</v>
      </c>
      <c r="CS97" s="55">
        <f t="shared" si="576"/>
        <v>0</v>
      </c>
      <c r="CT97" s="59">
        <f t="shared" si="577"/>
        <v>0</v>
      </c>
      <c r="CU97" s="60">
        <f t="shared" si="578"/>
        <v>0</v>
      </c>
      <c r="CV97" s="59">
        <f t="shared" si="579"/>
        <v>0</v>
      </c>
      <c r="CW97" s="60">
        <f t="shared" si="580"/>
        <v>0</v>
      </c>
      <c r="CX97" s="59">
        <f t="shared" si="581"/>
        <v>0</v>
      </c>
      <c r="CY97" s="60">
        <f t="shared" si="582"/>
        <v>0</v>
      </c>
      <c r="CZ97" s="59">
        <f t="shared" si="583"/>
        <v>0</v>
      </c>
      <c r="DA97" s="55">
        <f t="shared" si="584"/>
        <v>0</v>
      </c>
      <c r="DB97" s="59">
        <f t="shared" si="585"/>
        <v>0</v>
      </c>
      <c r="DC97" s="60">
        <f t="shared" si="586"/>
        <v>0</v>
      </c>
      <c r="DD97" s="59">
        <f t="shared" si="587"/>
        <v>0</v>
      </c>
      <c r="DE97" s="60">
        <f t="shared" si="588"/>
        <v>0</v>
      </c>
      <c r="DF97" s="59">
        <f t="shared" si="589"/>
        <v>0</v>
      </c>
      <c r="DG97" s="60">
        <f t="shared" si="590"/>
        <v>0</v>
      </c>
      <c r="DH97" s="59">
        <f t="shared" si="591"/>
        <v>0</v>
      </c>
      <c r="DI97" s="60">
        <f t="shared" si="592"/>
        <v>0</v>
      </c>
      <c r="DJ97" s="59">
        <f t="shared" si="593"/>
        <v>0</v>
      </c>
      <c r="DK97" s="55">
        <f t="shared" si="594"/>
        <v>0</v>
      </c>
      <c r="DL97" s="59">
        <f t="shared" si="595"/>
        <v>0</v>
      </c>
      <c r="DM97" s="60">
        <f t="shared" si="596"/>
        <v>0</v>
      </c>
      <c r="DN97" s="59">
        <f t="shared" si="597"/>
        <v>0</v>
      </c>
      <c r="DO97" s="60">
        <f t="shared" si="598"/>
        <v>0</v>
      </c>
      <c r="DP97" s="59">
        <f t="shared" si="599"/>
        <v>0</v>
      </c>
      <c r="DQ97" s="55">
        <f t="shared" si="600"/>
        <v>0</v>
      </c>
      <c r="DR97" s="59">
        <f t="shared" si="601"/>
        <v>0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47"/>
        <v>0.91</v>
      </c>
      <c r="DZ97" s="55">
        <f t="shared" si="647"/>
        <v>0.89</v>
      </c>
      <c r="EA97" s="55">
        <f t="shared" si="647"/>
        <v>0.87</v>
      </c>
      <c r="EB97" s="55">
        <f t="shared" si="647"/>
        <v>0.85</v>
      </c>
      <c r="EC97" s="55">
        <f t="shared" si="647"/>
        <v>0.83</v>
      </c>
      <c r="ED97" s="55">
        <f t="shared" si="647"/>
        <v>0.80999999999999994</v>
      </c>
      <c r="EE97" s="55">
        <f t="shared" si="647"/>
        <v>0.78999999999999992</v>
      </c>
      <c r="EF97" s="55">
        <f t="shared" si="647"/>
        <v>0.76999999999999991</v>
      </c>
      <c r="EG97" s="55">
        <f t="shared" si="647"/>
        <v>0.74999999999999989</v>
      </c>
      <c r="EH97" s="55">
        <f t="shared" si="647"/>
        <v>0.72999999999999987</v>
      </c>
      <c r="EI97" s="55">
        <f t="shared" si="647"/>
        <v>0.70999999999999985</v>
      </c>
      <c r="EJ97" s="55">
        <f t="shared" si="647"/>
        <v>0.68999999999999984</v>
      </c>
      <c r="EK97" s="55">
        <f t="shared" si="647"/>
        <v>0.66999999999999982</v>
      </c>
      <c r="EL97" s="55">
        <f t="shared" si="647"/>
        <v>0.6499999999999998</v>
      </c>
      <c r="EM97" s="55">
        <f t="shared" si="647"/>
        <v>0.62999999999999978</v>
      </c>
      <c r="EN97" s="55">
        <f t="shared" si="647"/>
        <v>0.60999999999999976</v>
      </c>
      <c r="EO97" s="55">
        <f t="shared" si="647"/>
        <v>0.58999999999999975</v>
      </c>
      <c r="EP97" s="55">
        <f t="shared" si="647"/>
        <v>0.56999999999999973</v>
      </c>
      <c r="ER97" s="55">
        <f t="shared" si="648"/>
        <v>0</v>
      </c>
      <c r="ES97" s="55">
        <f t="shared" si="510"/>
        <v>0</v>
      </c>
      <c r="ET97" s="59">
        <f t="shared" si="602"/>
        <v>0</v>
      </c>
      <c r="EU97" s="55">
        <f t="shared" si="603"/>
        <v>0</v>
      </c>
      <c r="EV97" s="59">
        <f t="shared" si="604"/>
        <v>0</v>
      </c>
      <c r="EW97" s="55">
        <f t="shared" si="605"/>
        <v>0</v>
      </c>
      <c r="EX97" s="59">
        <f t="shared" si="606"/>
        <v>0</v>
      </c>
      <c r="EY97" s="55">
        <f t="shared" si="607"/>
        <v>0</v>
      </c>
      <c r="EZ97" s="59">
        <f t="shared" si="608"/>
        <v>0</v>
      </c>
      <c r="FA97" s="57">
        <f t="shared" si="609"/>
        <v>0</v>
      </c>
      <c r="FB97" s="59">
        <f t="shared" si="610"/>
        <v>0</v>
      </c>
      <c r="FC97" s="55">
        <f t="shared" si="611"/>
        <v>0</v>
      </c>
      <c r="FD97" s="59">
        <f t="shared" si="612"/>
        <v>0</v>
      </c>
      <c r="FE97" s="57">
        <f t="shared" si="613"/>
        <v>0</v>
      </c>
      <c r="FF97" s="59">
        <f t="shared" si="614"/>
        <v>0</v>
      </c>
      <c r="FG97" s="60">
        <f t="shared" si="615"/>
        <v>0</v>
      </c>
      <c r="FH97" s="59">
        <f t="shared" si="616"/>
        <v>0</v>
      </c>
      <c r="FI97" s="57">
        <f t="shared" si="617"/>
        <v>0</v>
      </c>
      <c r="FJ97" s="59">
        <f t="shared" si="618"/>
        <v>0</v>
      </c>
      <c r="FK97" s="55">
        <f t="shared" si="619"/>
        <v>0</v>
      </c>
      <c r="FL97" s="59">
        <f t="shared" si="620"/>
        <v>0</v>
      </c>
      <c r="FM97" s="60">
        <f t="shared" si="621"/>
        <v>0</v>
      </c>
      <c r="FN97" s="59">
        <f t="shared" si="622"/>
        <v>0</v>
      </c>
      <c r="FO97" s="60">
        <f t="shared" si="623"/>
        <v>0</v>
      </c>
      <c r="FP97" s="59">
        <f t="shared" si="624"/>
        <v>0</v>
      </c>
      <c r="FQ97" s="60">
        <f t="shared" si="625"/>
        <v>0</v>
      </c>
      <c r="FR97" s="59">
        <f t="shared" si="626"/>
        <v>0</v>
      </c>
      <c r="FS97" s="55">
        <f t="shared" si="627"/>
        <v>0</v>
      </c>
      <c r="FT97" s="59">
        <f t="shared" si="628"/>
        <v>0</v>
      </c>
      <c r="FU97" s="60">
        <f t="shared" si="629"/>
        <v>0</v>
      </c>
      <c r="FV97" s="59">
        <f t="shared" si="630"/>
        <v>0</v>
      </c>
      <c r="FW97" s="60">
        <f t="shared" si="631"/>
        <v>0</v>
      </c>
      <c r="FX97" s="59">
        <f t="shared" si="632"/>
        <v>0</v>
      </c>
      <c r="FY97" s="60">
        <f t="shared" si="633"/>
        <v>0</v>
      </c>
      <c r="FZ97" s="59">
        <f t="shared" si="634"/>
        <v>0</v>
      </c>
      <c r="GA97" s="60">
        <f t="shared" si="635"/>
        <v>0</v>
      </c>
      <c r="GB97" s="59">
        <f t="shared" si="636"/>
        <v>0</v>
      </c>
      <c r="GC97" s="55">
        <f t="shared" si="637"/>
        <v>0</v>
      </c>
      <c r="GD97" s="59">
        <f t="shared" si="638"/>
        <v>0</v>
      </c>
      <c r="GE97" s="60">
        <f t="shared" si="639"/>
        <v>0</v>
      </c>
      <c r="GF97" s="59">
        <f t="shared" si="640"/>
        <v>0</v>
      </c>
      <c r="GG97" s="60">
        <f t="shared" si="641"/>
        <v>0</v>
      </c>
      <c r="GH97" s="59">
        <f t="shared" si="642"/>
        <v>0</v>
      </c>
      <c r="GI97" s="55">
        <f t="shared" si="643"/>
        <v>0</v>
      </c>
      <c r="GJ97" s="59">
        <f t="shared" si="644"/>
        <v>0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49"/>
        <v>0.91</v>
      </c>
      <c r="GR97" s="55">
        <f t="shared" si="649"/>
        <v>0.89</v>
      </c>
      <c r="GS97" s="55">
        <f t="shared" si="649"/>
        <v>0.87</v>
      </c>
      <c r="GT97" s="55">
        <f t="shared" si="649"/>
        <v>0.85</v>
      </c>
      <c r="GU97" s="55">
        <f t="shared" si="649"/>
        <v>0.83</v>
      </c>
      <c r="GV97" s="55">
        <f t="shared" si="649"/>
        <v>0.80999999999999994</v>
      </c>
      <c r="GW97" s="55">
        <f t="shared" si="649"/>
        <v>0.78999999999999992</v>
      </c>
      <c r="GX97" s="55">
        <f t="shared" si="649"/>
        <v>0.76999999999999991</v>
      </c>
      <c r="GY97" s="55">
        <f t="shared" si="649"/>
        <v>0.74999999999999989</v>
      </c>
      <c r="GZ97" s="55">
        <f t="shared" si="649"/>
        <v>0.72999999999999987</v>
      </c>
      <c r="HA97" s="55">
        <f t="shared" si="649"/>
        <v>0.70999999999999985</v>
      </c>
      <c r="HB97" s="55">
        <f t="shared" si="649"/>
        <v>0.68999999999999984</v>
      </c>
      <c r="HC97" s="55">
        <f t="shared" si="649"/>
        <v>0.66999999999999982</v>
      </c>
      <c r="HD97" s="55">
        <f t="shared" si="649"/>
        <v>0.6499999999999998</v>
      </c>
      <c r="HE97" s="55">
        <f t="shared" si="649"/>
        <v>0.62999999999999978</v>
      </c>
      <c r="HF97" s="55">
        <f t="shared" si="649"/>
        <v>0.60999999999999976</v>
      </c>
      <c r="HG97" s="55">
        <f t="shared" si="649"/>
        <v>0.58999999999999975</v>
      </c>
      <c r="HH97" s="55">
        <f t="shared" si="649"/>
        <v>0.56999999999999973</v>
      </c>
    </row>
    <row r="98" spans="1:216" x14ac:dyDescent="0.3">
      <c r="A98" s="2">
        <v>7</v>
      </c>
      <c r="C98" s="38" t="s">
        <v>45</v>
      </c>
      <c r="D98" s="42">
        <v>0</v>
      </c>
      <c r="E98" s="71">
        <f t="shared" si="515"/>
        <v>0</v>
      </c>
      <c r="H98" s="55">
        <f t="shared" si="505"/>
        <v>0</v>
      </c>
      <c r="I98" s="55">
        <f t="shared" si="506"/>
        <v>0</v>
      </c>
      <c r="J98" s="59">
        <f t="shared" si="507"/>
        <v>0</v>
      </c>
      <c r="K98" s="55">
        <f t="shared" si="516"/>
        <v>0</v>
      </c>
      <c r="L98" s="59">
        <f t="shared" si="517"/>
        <v>0</v>
      </c>
      <c r="M98" s="55">
        <f t="shared" si="518"/>
        <v>0</v>
      </c>
      <c r="N98" s="59">
        <f t="shared" si="519"/>
        <v>0</v>
      </c>
      <c r="O98" s="55">
        <f t="shared" si="520"/>
        <v>0</v>
      </c>
      <c r="P98" s="59">
        <f t="shared" si="521"/>
        <v>0</v>
      </c>
      <c r="Q98" s="57">
        <f t="shared" si="522"/>
        <v>0</v>
      </c>
      <c r="R98" s="59">
        <f t="shared" si="523"/>
        <v>0</v>
      </c>
      <c r="S98" s="55">
        <f t="shared" si="524"/>
        <v>0</v>
      </c>
      <c r="T98" s="59">
        <f t="shared" si="525"/>
        <v>0</v>
      </c>
      <c r="U98" s="57">
        <f t="shared" si="526"/>
        <v>0</v>
      </c>
      <c r="V98" s="59">
        <f t="shared" si="527"/>
        <v>0</v>
      </c>
      <c r="W98" s="60">
        <f t="shared" si="528"/>
        <v>0</v>
      </c>
      <c r="X98" s="59">
        <f t="shared" si="529"/>
        <v>0</v>
      </c>
      <c r="Y98" s="57">
        <f t="shared" si="530"/>
        <v>0</v>
      </c>
      <c r="Z98" s="59">
        <f t="shared" si="531"/>
        <v>0</v>
      </c>
      <c r="AA98" s="55">
        <f t="shared" si="532"/>
        <v>0</v>
      </c>
      <c r="AB98" s="59">
        <f t="shared" si="533"/>
        <v>0</v>
      </c>
      <c r="AC98" s="60">
        <f t="shared" si="534"/>
        <v>0</v>
      </c>
      <c r="AD98" s="59">
        <f t="shared" si="535"/>
        <v>0</v>
      </c>
      <c r="AE98" s="60">
        <f t="shared" si="536"/>
        <v>0</v>
      </c>
      <c r="AF98" s="59">
        <f t="shared" si="537"/>
        <v>0</v>
      </c>
      <c r="AG98" s="60">
        <f t="shared" si="538"/>
        <v>0</v>
      </c>
      <c r="AH98" s="59">
        <f t="shared" si="539"/>
        <v>0</v>
      </c>
      <c r="AI98" s="55">
        <f t="shared" si="540"/>
        <v>0</v>
      </c>
      <c r="AJ98" s="59">
        <f t="shared" si="541"/>
        <v>0</v>
      </c>
      <c r="AK98" s="60">
        <f t="shared" si="542"/>
        <v>0</v>
      </c>
      <c r="AL98" s="59">
        <f t="shared" si="543"/>
        <v>0</v>
      </c>
      <c r="AM98" s="60">
        <f t="shared" si="544"/>
        <v>0</v>
      </c>
      <c r="AN98" s="59">
        <f t="shared" si="545"/>
        <v>0</v>
      </c>
      <c r="AO98" s="60">
        <f t="shared" si="546"/>
        <v>0</v>
      </c>
      <c r="AP98" s="59">
        <f t="shared" si="547"/>
        <v>0</v>
      </c>
      <c r="AQ98" s="60">
        <f t="shared" si="548"/>
        <v>0</v>
      </c>
      <c r="AR98" s="59">
        <f t="shared" si="549"/>
        <v>0</v>
      </c>
      <c r="AS98" s="55">
        <f t="shared" si="550"/>
        <v>0</v>
      </c>
      <c r="AT98" s="59">
        <f t="shared" si="551"/>
        <v>0</v>
      </c>
      <c r="AU98" s="60">
        <f t="shared" si="552"/>
        <v>0</v>
      </c>
      <c r="AV98" s="59">
        <f t="shared" si="553"/>
        <v>0</v>
      </c>
      <c r="AW98" s="60">
        <f t="shared" si="554"/>
        <v>0</v>
      </c>
      <c r="AX98" s="59">
        <f t="shared" si="555"/>
        <v>0</v>
      </c>
      <c r="AY98" s="55">
        <f t="shared" si="556"/>
        <v>0</v>
      </c>
      <c r="AZ98" s="59">
        <f t="shared" si="557"/>
        <v>0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58"/>
        <v>0.91</v>
      </c>
      <c r="BH98" s="55">
        <f t="shared" si="558"/>
        <v>0.89</v>
      </c>
      <c r="BI98" s="55">
        <f t="shared" si="558"/>
        <v>0.87</v>
      </c>
      <c r="BJ98" s="55">
        <f t="shared" si="558"/>
        <v>0.85</v>
      </c>
      <c r="BK98" s="55">
        <f t="shared" si="558"/>
        <v>0.83</v>
      </c>
      <c r="BL98" s="55">
        <f t="shared" si="558"/>
        <v>0.80999999999999994</v>
      </c>
      <c r="BM98" s="55">
        <f t="shared" si="558"/>
        <v>0.78999999999999992</v>
      </c>
      <c r="BN98" s="55">
        <f t="shared" si="558"/>
        <v>0.76999999999999991</v>
      </c>
      <c r="BO98" s="55">
        <f t="shared" si="558"/>
        <v>0.74999999999999989</v>
      </c>
      <c r="BP98" s="55">
        <f t="shared" si="558"/>
        <v>0.72999999999999987</v>
      </c>
      <c r="BQ98" s="55">
        <f t="shared" si="558"/>
        <v>0.70999999999999985</v>
      </c>
      <c r="BR98" s="55">
        <f t="shared" si="558"/>
        <v>0.68999999999999984</v>
      </c>
      <c r="BS98" s="55">
        <f t="shared" si="558"/>
        <v>0.66999999999999982</v>
      </c>
      <c r="BT98" s="55">
        <f t="shared" si="558"/>
        <v>0.6499999999999998</v>
      </c>
      <c r="BU98" s="55">
        <f t="shared" si="558"/>
        <v>0.62999999999999978</v>
      </c>
      <c r="BV98" s="55">
        <f t="shared" si="558"/>
        <v>0.60999999999999976</v>
      </c>
      <c r="BW98" s="55">
        <f t="shared" si="558"/>
        <v>0.58999999999999975</v>
      </c>
      <c r="BX98" s="55">
        <f t="shared" si="558"/>
        <v>0.56999999999999973</v>
      </c>
      <c r="BZ98" s="55">
        <f t="shared" si="508"/>
        <v>0</v>
      </c>
      <c r="CA98" s="55">
        <f t="shared" si="509"/>
        <v>0</v>
      </c>
      <c r="CB98" s="59">
        <f t="shared" si="559"/>
        <v>0</v>
      </c>
      <c r="CC98" s="55">
        <f t="shared" si="560"/>
        <v>0</v>
      </c>
      <c r="CD98" s="59">
        <f t="shared" si="561"/>
        <v>0</v>
      </c>
      <c r="CE98" s="55">
        <f t="shared" si="562"/>
        <v>0</v>
      </c>
      <c r="CF98" s="59">
        <f t="shared" si="563"/>
        <v>0</v>
      </c>
      <c r="CG98" s="55">
        <f t="shared" si="564"/>
        <v>0</v>
      </c>
      <c r="CH98" s="59">
        <f t="shared" si="565"/>
        <v>0</v>
      </c>
      <c r="CI98" s="57">
        <f t="shared" si="566"/>
        <v>0</v>
      </c>
      <c r="CJ98" s="59">
        <f t="shared" si="567"/>
        <v>0</v>
      </c>
      <c r="CK98" s="55">
        <f t="shared" si="568"/>
        <v>0</v>
      </c>
      <c r="CL98" s="59">
        <f t="shared" si="569"/>
        <v>0</v>
      </c>
      <c r="CM98" s="57">
        <f t="shared" si="570"/>
        <v>0</v>
      </c>
      <c r="CN98" s="59">
        <f t="shared" si="571"/>
        <v>0</v>
      </c>
      <c r="CO98" s="60">
        <f t="shared" si="572"/>
        <v>0</v>
      </c>
      <c r="CP98" s="59">
        <f t="shared" si="573"/>
        <v>0</v>
      </c>
      <c r="CQ98" s="57">
        <f t="shared" si="574"/>
        <v>0</v>
      </c>
      <c r="CR98" s="59">
        <f t="shared" si="575"/>
        <v>0</v>
      </c>
      <c r="CS98" s="55">
        <f t="shared" si="576"/>
        <v>0</v>
      </c>
      <c r="CT98" s="59">
        <f t="shared" si="577"/>
        <v>0</v>
      </c>
      <c r="CU98" s="60">
        <f t="shared" si="578"/>
        <v>0</v>
      </c>
      <c r="CV98" s="59">
        <f t="shared" si="579"/>
        <v>0</v>
      </c>
      <c r="CW98" s="60">
        <f t="shared" si="580"/>
        <v>0</v>
      </c>
      <c r="CX98" s="59">
        <f t="shared" si="581"/>
        <v>0</v>
      </c>
      <c r="CY98" s="60">
        <f t="shared" si="582"/>
        <v>0</v>
      </c>
      <c r="CZ98" s="59">
        <f t="shared" si="583"/>
        <v>0</v>
      </c>
      <c r="DA98" s="55">
        <f t="shared" si="584"/>
        <v>0</v>
      </c>
      <c r="DB98" s="59">
        <f t="shared" si="585"/>
        <v>0</v>
      </c>
      <c r="DC98" s="60">
        <f t="shared" si="586"/>
        <v>0</v>
      </c>
      <c r="DD98" s="59">
        <f t="shared" si="587"/>
        <v>0</v>
      </c>
      <c r="DE98" s="60">
        <f t="shared" si="588"/>
        <v>0</v>
      </c>
      <c r="DF98" s="59">
        <f t="shared" si="589"/>
        <v>0</v>
      </c>
      <c r="DG98" s="60">
        <f t="shared" si="590"/>
        <v>0</v>
      </c>
      <c r="DH98" s="59">
        <f t="shared" si="591"/>
        <v>0</v>
      </c>
      <c r="DI98" s="60">
        <f t="shared" si="592"/>
        <v>0</v>
      </c>
      <c r="DJ98" s="59">
        <f t="shared" si="593"/>
        <v>0</v>
      </c>
      <c r="DK98" s="55">
        <f t="shared" si="594"/>
        <v>0</v>
      </c>
      <c r="DL98" s="59">
        <f t="shared" si="595"/>
        <v>0</v>
      </c>
      <c r="DM98" s="60">
        <f t="shared" si="596"/>
        <v>0</v>
      </c>
      <c r="DN98" s="59">
        <f t="shared" si="597"/>
        <v>0</v>
      </c>
      <c r="DO98" s="60">
        <f t="shared" si="598"/>
        <v>0</v>
      </c>
      <c r="DP98" s="59">
        <f t="shared" si="599"/>
        <v>0</v>
      </c>
      <c r="DQ98" s="55">
        <f t="shared" si="600"/>
        <v>0</v>
      </c>
      <c r="DR98" s="59">
        <f t="shared" si="601"/>
        <v>0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47"/>
        <v>0.91</v>
      </c>
      <c r="DZ98" s="55">
        <f t="shared" si="647"/>
        <v>0.89</v>
      </c>
      <c r="EA98" s="55">
        <f t="shared" si="647"/>
        <v>0.87</v>
      </c>
      <c r="EB98" s="55">
        <f t="shared" si="647"/>
        <v>0.85</v>
      </c>
      <c r="EC98" s="55">
        <f t="shared" si="647"/>
        <v>0.83</v>
      </c>
      <c r="ED98" s="55">
        <f t="shared" si="647"/>
        <v>0.80999999999999994</v>
      </c>
      <c r="EE98" s="55">
        <f t="shared" si="647"/>
        <v>0.78999999999999992</v>
      </c>
      <c r="EF98" s="55">
        <f t="shared" si="647"/>
        <v>0.76999999999999991</v>
      </c>
      <c r="EG98" s="55">
        <f t="shared" si="647"/>
        <v>0.74999999999999989</v>
      </c>
      <c r="EH98" s="55">
        <f t="shared" si="647"/>
        <v>0.72999999999999987</v>
      </c>
      <c r="EI98" s="55">
        <f t="shared" si="647"/>
        <v>0.70999999999999985</v>
      </c>
      <c r="EJ98" s="55">
        <f t="shared" si="647"/>
        <v>0.68999999999999984</v>
      </c>
      <c r="EK98" s="55">
        <f t="shared" si="647"/>
        <v>0.66999999999999982</v>
      </c>
      <c r="EL98" s="55">
        <f t="shared" si="647"/>
        <v>0.6499999999999998</v>
      </c>
      <c r="EM98" s="55">
        <f t="shared" si="647"/>
        <v>0.62999999999999978</v>
      </c>
      <c r="EN98" s="55">
        <f t="shared" si="647"/>
        <v>0.60999999999999976</v>
      </c>
      <c r="EO98" s="55">
        <f t="shared" si="647"/>
        <v>0.58999999999999975</v>
      </c>
      <c r="EP98" s="55">
        <f t="shared" si="647"/>
        <v>0.56999999999999973</v>
      </c>
      <c r="ER98" s="55">
        <f t="shared" si="648"/>
        <v>0</v>
      </c>
      <c r="ES98" s="55">
        <f t="shared" si="510"/>
        <v>0</v>
      </c>
      <c r="ET98" s="59">
        <f t="shared" si="602"/>
        <v>0</v>
      </c>
      <c r="EU98" s="55">
        <f t="shared" si="603"/>
        <v>0</v>
      </c>
      <c r="EV98" s="59">
        <f t="shared" si="604"/>
        <v>0</v>
      </c>
      <c r="EW98" s="55">
        <f t="shared" si="605"/>
        <v>0</v>
      </c>
      <c r="EX98" s="59">
        <f t="shared" si="606"/>
        <v>0</v>
      </c>
      <c r="EY98" s="55">
        <f t="shared" si="607"/>
        <v>0</v>
      </c>
      <c r="EZ98" s="59">
        <f t="shared" si="608"/>
        <v>0</v>
      </c>
      <c r="FA98" s="57">
        <f t="shared" si="609"/>
        <v>0</v>
      </c>
      <c r="FB98" s="59">
        <f t="shared" si="610"/>
        <v>0</v>
      </c>
      <c r="FC98" s="55">
        <f t="shared" si="611"/>
        <v>0</v>
      </c>
      <c r="FD98" s="59">
        <f t="shared" si="612"/>
        <v>0</v>
      </c>
      <c r="FE98" s="57">
        <f t="shared" si="613"/>
        <v>0</v>
      </c>
      <c r="FF98" s="59">
        <f t="shared" si="614"/>
        <v>0</v>
      </c>
      <c r="FG98" s="60">
        <f t="shared" si="615"/>
        <v>0</v>
      </c>
      <c r="FH98" s="59">
        <f t="shared" si="616"/>
        <v>0</v>
      </c>
      <c r="FI98" s="57">
        <f t="shared" si="617"/>
        <v>0</v>
      </c>
      <c r="FJ98" s="59">
        <f t="shared" si="618"/>
        <v>0</v>
      </c>
      <c r="FK98" s="55">
        <f t="shared" si="619"/>
        <v>0</v>
      </c>
      <c r="FL98" s="59">
        <f t="shared" si="620"/>
        <v>0</v>
      </c>
      <c r="FM98" s="60">
        <f t="shared" si="621"/>
        <v>0</v>
      </c>
      <c r="FN98" s="59">
        <f t="shared" si="622"/>
        <v>0</v>
      </c>
      <c r="FO98" s="60">
        <f t="shared" si="623"/>
        <v>0</v>
      </c>
      <c r="FP98" s="59">
        <f t="shared" si="624"/>
        <v>0</v>
      </c>
      <c r="FQ98" s="60">
        <f t="shared" si="625"/>
        <v>0</v>
      </c>
      <c r="FR98" s="59">
        <f t="shared" si="626"/>
        <v>0</v>
      </c>
      <c r="FS98" s="55">
        <f t="shared" si="627"/>
        <v>0</v>
      </c>
      <c r="FT98" s="59">
        <f t="shared" si="628"/>
        <v>0</v>
      </c>
      <c r="FU98" s="60">
        <f t="shared" si="629"/>
        <v>0</v>
      </c>
      <c r="FV98" s="59">
        <f t="shared" si="630"/>
        <v>0</v>
      </c>
      <c r="FW98" s="60">
        <f t="shared" si="631"/>
        <v>0</v>
      </c>
      <c r="FX98" s="59">
        <f t="shared" si="632"/>
        <v>0</v>
      </c>
      <c r="FY98" s="60">
        <f t="shared" si="633"/>
        <v>0</v>
      </c>
      <c r="FZ98" s="59">
        <f t="shared" si="634"/>
        <v>0</v>
      </c>
      <c r="GA98" s="60">
        <f t="shared" si="635"/>
        <v>0</v>
      </c>
      <c r="GB98" s="59">
        <f t="shared" si="636"/>
        <v>0</v>
      </c>
      <c r="GC98" s="55">
        <f t="shared" si="637"/>
        <v>0</v>
      </c>
      <c r="GD98" s="59">
        <f t="shared" si="638"/>
        <v>0</v>
      </c>
      <c r="GE98" s="60">
        <f t="shared" si="639"/>
        <v>0</v>
      </c>
      <c r="GF98" s="59">
        <f t="shared" si="640"/>
        <v>0</v>
      </c>
      <c r="GG98" s="60">
        <f t="shared" si="641"/>
        <v>0</v>
      </c>
      <c r="GH98" s="59">
        <f t="shared" si="642"/>
        <v>0</v>
      </c>
      <c r="GI98" s="55">
        <f t="shared" si="643"/>
        <v>0</v>
      </c>
      <c r="GJ98" s="59">
        <f t="shared" si="644"/>
        <v>0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49"/>
        <v>0.91</v>
      </c>
      <c r="GR98" s="55">
        <f t="shared" si="649"/>
        <v>0.89</v>
      </c>
      <c r="GS98" s="55">
        <f t="shared" si="649"/>
        <v>0.87</v>
      </c>
      <c r="GT98" s="55">
        <f t="shared" si="649"/>
        <v>0.85</v>
      </c>
      <c r="GU98" s="55">
        <f t="shared" si="649"/>
        <v>0.83</v>
      </c>
      <c r="GV98" s="55">
        <f t="shared" si="649"/>
        <v>0.80999999999999994</v>
      </c>
      <c r="GW98" s="55">
        <f t="shared" si="649"/>
        <v>0.78999999999999992</v>
      </c>
      <c r="GX98" s="55">
        <f t="shared" si="649"/>
        <v>0.76999999999999991</v>
      </c>
      <c r="GY98" s="55">
        <f t="shared" si="649"/>
        <v>0.74999999999999989</v>
      </c>
      <c r="GZ98" s="55">
        <f t="shared" si="649"/>
        <v>0.72999999999999987</v>
      </c>
      <c r="HA98" s="55">
        <f t="shared" si="649"/>
        <v>0.70999999999999985</v>
      </c>
      <c r="HB98" s="55">
        <f t="shared" si="649"/>
        <v>0.68999999999999984</v>
      </c>
      <c r="HC98" s="55">
        <f t="shared" si="649"/>
        <v>0.66999999999999982</v>
      </c>
      <c r="HD98" s="55">
        <f t="shared" si="649"/>
        <v>0.6499999999999998</v>
      </c>
      <c r="HE98" s="55">
        <f t="shared" si="649"/>
        <v>0.62999999999999978</v>
      </c>
      <c r="HF98" s="55">
        <f t="shared" si="649"/>
        <v>0.60999999999999976</v>
      </c>
      <c r="HG98" s="55">
        <f t="shared" si="649"/>
        <v>0.58999999999999975</v>
      </c>
      <c r="HH98" s="55">
        <f t="shared" si="649"/>
        <v>0.56999999999999973</v>
      </c>
    </row>
    <row r="99" spans="1:216" x14ac:dyDescent="0.3">
      <c r="A99" s="2">
        <v>8</v>
      </c>
      <c r="C99" s="38" t="s">
        <v>46</v>
      </c>
      <c r="D99" s="42">
        <v>0</v>
      </c>
      <c r="E99" s="71">
        <f t="shared" si="515"/>
        <v>0</v>
      </c>
      <c r="H99" s="55">
        <f t="shared" si="505"/>
        <v>0</v>
      </c>
      <c r="I99" s="55">
        <f t="shared" si="506"/>
        <v>0</v>
      </c>
      <c r="J99" s="59">
        <f t="shared" si="507"/>
        <v>0</v>
      </c>
      <c r="K99" s="55">
        <f t="shared" si="516"/>
        <v>0</v>
      </c>
      <c r="L99" s="59">
        <f t="shared" si="517"/>
        <v>0</v>
      </c>
      <c r="M99" s="55">
        <f t="shared" si="518"/>
        <v>0</v>
      </c>
      <c r="N99" s="59">
        <f t="shared" si="519"/>
        <v>0</v>
      </c>
      <c r="O99" s="55">
        <f t="shared" si="520"/>
        <v>0</v>
      </c>
      <c r="P99" s="59">
        <f t="shared" si="521"/>
        <v>0</v>
      </c>
      <c r="Q99" s="57">
        <f t="shared" si="522"/>
        <v>0</v>
      </c>
      <c r="R99" s="59">
        <f t="shared" si="523"/>
        <v>0</v>
      </c>
      <c r="S99" s="55">
        <f t="shared" si="524"/>
        <v>0</v>
      </c>
      <c r="T99" s="59">
        <f t="shared" si="525"/>
        <v>0</v>
      </c>
      <c r="U99" s="57">
        <f t="shared" si="526"/>
        <v>0</v>
      </c>
      <c r="V99" s="59">
        <f t="shared" si="527"/>
        <v>0</v>
      </c>
      <c r="W99" s="60">
        <f t="shared" si="528"/>
        <v>0</v>
      </c>
      <c r="X99" s="59">
        <f t="shared" si="529"/>
        <v>0</v>
      </c>
      <c r="Y99" s="57">
        <f t="shared" si="530"/>
        <v>0</v>
      </c>
      <c r="Z99" s="59">
        <f t="shared" si="531"/>
        <v>0</v>
      </c>
      <c r="AA99" s="55">
        <f t="shared" si="532"/>
        <v>0</v>
      </c>
      <c r="AB99" s="59">
        <f t="shared" si="533"/>
        <v>0</v>
      </c>
      <c r="AC99" s="60">
        <f t="shared" si="534"/>
        <v>0</v>
      </c>
      <c r="AD99" s="59">
        <f t="shared" si="535"/>
        <v>0</v>
      </c>
      <c r="AE99" s="60">
        <f t="shared" si="536"/>
        <v>0</v>
      </c>
      <c r="AF99" s="59">
        <f t="shared" si="537"/>
        <v>0</v>
      </c>
      <c r="AG99" s="60">
        <f t="shared" si="538"/>
        <v>0</v>
      </c>
      <c r="AH99" s="59">
        <f t="shared" si="539"/>
        <v>0</v>
      </c>
      <c r="AI99" s="55">
        <f t="shared" si="540"/>
        <v>0</v>
      </c>
      <c r="AJ99" s="59">
        <f t="shared" si="541"/>
        <v>0</v>
      </c>
      <c r="AK99" s="60">
        <f t="shared" si="542"/>
        <v>0</v>
      </c>
      <c r="AL99" s="59">
        <f t="shared" si="543"/>
        <v>0</v>
      </c>
      <c r="AM99" s="60">
        <f t="shared" si="544"/>
        <v>0</v>
      </c>
      <c r="AN99" s="59">
        <f t="shared" si="545"/>
        <v>0</v>
      </c>
      <c r="AO99" s="60">
        <f t="shared" si="546"/>
        <v>0</v>
      </c>
      <c r="AP99" s="59">
        <f t="shared" si="547"/>
        <v>0</v>
      </c>
      <c r="AQ99" s="60">
        <f t="shared" si="548"/>
        <v>0</v>
      </c>
      <c r="AR99" s="59">
        <f t="shared" si="549"/>
        <v>0</v>
      </c>
      <c r="AS99" s="55">
        <f t="shared" si="550"/>
        <v>0</v>
      </c>
      <c r="AT99" s="59">
        <f t="shared" si="551"/>
        <v>0</v>
      </c>
      <c r="AU99" s="60">
        <f t="shared" si="552"/>
        <v>0</v>
      </c>
      <c r="AV99" s="59">
        <f t="shared" si="553"/>
        <v>0</v>
      </c>
      <c r="AW99" s="60">
        <f t="shared" si="554"/>
        <v>0</v>
      </c>
      <c r="AX99" s="59">
        <f t="shared" si="555"/>
        <v>0</v>
      </c>
      <c r="AY99" s="55">
        <f t="shared" si="556"/>
        <v>0</v>
      </c>
      <c r="AZ99" s="59">
        <f t="shared" si="557"/>
        <v>0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58"/>
        <v>0.91</v>
      </c>
      <c r="BH99" s="55">
        <f t="shared" si="558"/>
        <v>0.89</v>
      </c>
      <c r="BI99" s="55">
        <f t="shared" si="558"/>
        <v>0.87</v>
      </c>
      <c r="BJ99" s="55">
        <f t="shared" si="558"/>
        <v>0.85</v>
      </c>
      <c r="BK99" s="55">
        <f t="shared" si="558"/>
        <v>0.83</v>
      </c>
      <c r="BL99" s="55">
        <f t="shared" si="558"/>
        <v>0.80999999999999994</v>
      </c>
      <c r="BM99" s="55">
        <f t="shared" si="558"/>
        <v>0.78999999999999992</v>
      </c>
      <c r="BN99" s="55">
        <f t="shared" si="558"/>
        <v>0.76999999999999991</v>
      </c>
      <c r="BO99" s="55">
        <f t="shared" si="558"/>
        <v>0.74999999999999989</v>
      </c>
      <c r="BP99" s="55">
        <f t="shared" si="558"/>
        <v>0.72999999999999987</v>
      </c>
      <c r="BQ99" s="55">
        <f t="shared" si="558"/>
        <v>0.70999999999999985</v>
      </c>
      <c r="BR99" s="55">
        <f t="shared" si="558"/>
        <v>0.68999999999999984</v>
      </c>
      <c r="BS99" s="55">
        <f t="shared" si="558"/>
        <v>0.66999999999999982</v>
      </c>
      <c r="BT99" s="55">
        <f t="shared" si="558"/>
        <v>0.6499999999999998</v>
      </c>
      <c r="BU99" s="55">
        <f t="shared" si="558"/>
        <v>0.62999999999999978</v>
      </c>
      <c r="BV99" s="55">
        <f t="shared" si="558"/>
        <v>0.60999999999999976</v>
      </c>
      <c r="BW99" s="55">
        <f t="shared" si="558"/>
        <v>0.58999999999999975</v>
      </c>
      <c r="BX99" s="55">
        <f t="shared" si="558"/>
        <v>0.56999999999999973</v>
      </c>
      <c r="BZ99" s="55">
        <f t="shared" si="508"/>
        <v>0</v>
      </c>
      <c r="CA99" s="55">
        <f t="shared" si="509"/>
        <v>0</v>
      </c>
      <c r="CB99" s="59">
        <f t="shared" si="559"/>
        <v>0</v>
      </c>
      <c r="CC99" s="55">
        <f t="shared" si="560"/>
        <v>0</v>
      </c>
      <c r="CD99" s="59">
        <f t="shared" si="561"/>
        <v>0</v>
      </c>
      <c r="CE99" s="55">
        <f t="shared" si="562"/>
        <v>0</v>
      </c>
      <c r="CF99" s="59">
        <f t="shared" si="563"/>
        <v>0</v>
      </c>
      <c r="CG99" s="55">
        <f t="shared" si="564"/>
        <v>0</v>
      </c>
      <c r="CH99" s="59">
        <f t="shared" si="565"/>
        <v>0</v>
      </c>
      <c r="CI99" s="57">
        <f t="shared" si="566"/>
        <v>0</v>
      </c>
      <c r="CJ99" s="59">
        <f t="shared" si="567"/>
        <v>0</v>
      </c>
      <c r="CK99" s="55">
        <f t="shared" si="568"/>
        <v>0</v>
      </c>
      <c r="CL99" s="59">
        <f t="shared" si="569"/>
        <v>0</v>
      </c>
      <c r="CM99" s="57">
        <f t="shared" si="570"/>
        <v>0</v>
      </c>
      <c r="CN99" s="59">
        <f t="shared" si="571"/>
        <v>0</v>
      </c>
      <c r="CO99" s="60">
        <f t="shared" si="572"/>
        <v>0</v>
      </c>
      <c r="CP99" s="59">
        <f t="shared" si="573"/>
        <v>0</v>
      </c>
      <c r="CQ99" s="57">
        <f t="shared" si="574"/>
        <v>0</v>
      </c>
      <c r="CR99" s="59">
        <f t="shared" si="575"/>
        <v>0</v>
      </c>
      <c r="CS99" s="55">
        <f t="shared" si="576"/>
        <v>0</v>
      </c>
      <c r="CT99" s="59">
        <f t="shared" si="577"/>
        <v>0</v>
      </c>
      <c r="CU99" s="60">
        <f t="shared" si="578"/>
        <v>0</v>
      </c>
      <c r="CV99" s="59">
        <f t="shared" si="579"/>
        <v>0</v>
      </c>
      <c r="CW99" s="60">
        <f t="shared" si="580"/>
        <v>0</v>
      </c>
      <c r="CX99" s="59">
        <f t="shared" si="581"/>
        <v>0</v>
      </c>
      <c r="CY99" s="60">
        <f t="shared" si="582"/>
        <v>0</v>
      </c>
      <c r="CZ99" s="59">
        <f t="shared" si="583"/>
        <v>0</v>
      </c>
      <c r="DA99" s="55">
        <f t="shared" si="584"/>
        <v>0</v>
      </c>
      <c r="DB99" s="59">
        <f t="shared" si="585"/>
        <v>0</v>
      </c>
      <c r="DC99" s="60">
        <f t="shared" si="586"/>
        <v>0</v>
      </c>
      <c r="DD99" s="59">
        <f t="shared" si="587"/>
        <v>0</v>
      </c>
      <c r="DE99" s="60">
        <f t="shared" si="588"/>
        <v>0</v>
      </c>
      <c r="DF99" s="59">
        <f t="shared" si="589"/>
        <v>0</v>
      </c>
      <c r="DG99" s="60">
        <f t="shared" si="590"/>
        <v>0</v>
      </c>
      <c r="DH99" s="59">
        <f t="shared" si="591"/>
        <v>0</v>
      </c>
      <c r="DI99" s="60">
        <f t="shared" si="592"/>
        <v>0</v>
      </c>
      <c r="DJ99" s="59">
        <f t="shared" si="593"/>
        <v>0</v>
      </c>
      <c r="DK99" s="55">
        <f t="shared" si="594"/>
        <v>0</v>
      </c>
      <c r="DL99" s="59">
        <f t="shared" si="595"/>
        <v>0</v>
      </c>
      <c r="DM99" s="60">
        <f t="shared" si="596"/>
        <v>0</v>
      </c>
      <c r="DN99" s="59">
        <f t="shared" si="597"/>
        <v>0</v>
      </c>
      <c r="DO99" s="60">
        <f t="shared" si="598"/>
        <v>0</v>
      </c>
      <c r="DP99" s="59">
        <f t="shared" si="599"/>
        <v>0</v>
      </c>
      <c r="DQ99" s="55">
        <f t="shared" si="600"/>
        <v>0</v>
      </c>
      <c r="DR99" s="59">
        <f t="shared" si="601"/>
        <v>0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47"/>
        <v>0.91</v>
      </c>
      <c r="DZ99" s="55">
        <f t="shared" si="647"/>
        <v>0.89</v>
      </c>
      <c r="EA99" s="55">
        <f t="shared" si="647"/>
        <v>0.87</v>
      </c>
      <c r="EB99" s="55">
        <f t="shared" si="647"/>
        <v>0.85</v>
      </c>
      <c r="EC99" s="55">
        <f t="shared" si="647"/>
        <v>0.83</v>
      </c>
      <c r="ED99" s="55">
        <f t="shared" si="647"/>
        <v>0.80999999999999994</v>
      </c>
      <c r="EE99" s="55">
        <f t="shared" si="647"/>
        <v>0.78999999999999992</v>
      </c>
      <c r="EF99" s="55">
        <f t="shared" si="647"/>
        <v>0.76999999999999991</v>
      </c>
      <c r="EG99" s="55">
        <f t="shared" si="647"/>
        <v>0.74999999999999989</v>
      </c>
      <c r="EH99" s="55">
        <f t="shared" si="647"/>
        <v>0.72999999999999987</v>
      </c>
      <c r="EI99" s="55">
        <f t="shared" si="647"/>
        <v>0.70999999999999985</v>
      </c>
      <c r="EJ99" s="55">
        <f t="shared" si="647"/>
        <v>0.68999999999999984</v>
      </c>
      <c r="EK99" s="55">
        <f t="shared" si="647"/>
        <v>0.66999999999999982</v>
      </c>
      <c r="EL99" s="55">
        <f t="shared" si="647"/>
        <v>0.6499999999999998</v>
      </c>
      <c r="EM99" s="55">
        <f t="shared" si="647"/>
        <v>0.62999999999999978</v>
      </c>
      <c r="EN99" s="55">
        <f t="shared" si="647"/>
        <v>0.60999999999999976</v>
      </c>
      <c r="EO99" s="55">
        <f t="shared" si="647"/>
        <v>0.58999999999999975</v>
      </c>
      <c r="EP99" s="55">
        <f t="shared" si="647"/>
        <v>0.56999999999999973</v>
      </c>
      <c r="ER99" s="55">
        <f t="shared" si="648"/>
        <v>0</v>
      </c>
      <c r="ES99" s="55">
        <f t="shared" si="510"/>
        <v>0</v>
      </c>
      <c r="ET99" s="59">
        <f t="shared" si="602"/>
        <v>0</v>
      </c>
      <c r="EU99" s="55">
        <f t="shared" si="603"/>
        <v>0</v>
      </c>
      <c r="EV99" s="59">
        <f t="shared" si="604"/>
        <v>0</v>
      </c>
      <c r="EW99" s="55">
        <f t="shared" si="605"/>
        <v>0</v>
      </c>
      <c r="EX99" s="59">
        <f t="shared" si="606"/>
        <v>0</v>
      </c>
      <c r="EY99" s="55">
        <f t="shared" si="607"/>
        <v>0</v>
      </c>
      <c r="EZ99" s="59">
        <f t="shared" si="608"/>
        <v>0</v>
      </c>
      <c r="FA99" s="57">
        <f t="shared" si="609"/>
        <v>0</v>
      </c>
      <c r="FB99" s="59">
        <f t="shared" si="610"/>
        <v>0</v>
      </c>
      <c r="FC99" s="55">
        <f t="shared" si="611"/>
        <v>0</v>
      </c>
      <c r="FD99" s="59">
        <f t="shared" si="612"/>
        <v>0</v>
      </c>
      <c r="FE99" s="57">
        <f t="shared" si="613"/>
        <v>0</v>
      </c>
      <c r="FF99" s="59">
        <f t="shared" si="614"/>
        <v>0</v>
      </c>
      <c r="FG99" s="60">
        <f t="shared" si="615"/>
        <v>0</v>
      </c>
      <c r="FH99" s="59">
        <f t="shared" si="616"/>
        <v>0</v>
      </c>
      <c r="FI99" s="57">
        <f t="shared" si="617"/>
        <v>0</v>
      </c>
      <c r="FJ99" s="59">
        <f t="shared" si="618"/>
        <v>0</v>
      </c>
      <c r="FK99" s="55">
        <f t="shared" si="619"/>
        <v>0</v>
      </c>
      <c r="FL99" s="59">
        <f t="shared" si="620"/>
        <v>0</v>
      </c>
      <c r="FM99" s="60">
        <f t="shared" si="621"/>
        <v>0</v>
      </c>
      <c r="FN99" s="59">
        <f t="shared" si="622"/>
        <v>0</v>
      </c>
      <c r="FO99" s="60">
        <f t="shared" si="623"/>
        <v>0</v>
      </c>
      <c r="FP99" s="59">
        <f t="shared" si="624"/>
        <v>0</v>
      </c>
      <c r="FQ99" s="60">
        <f t="shared" si="625"/>
        <v>0</v>
      </c>
      <c r="FR99" s="59">
        <f t="shared" si="626"/>
        <v>0</v>
      </c>
      <c r="FS99" s="55">
        <f t="shared" si="627"/>
        <v>0</v>
      </c>
      <c r="FT99" s="59">
        <f t="shared" si="628"/>
        <v>0</v>
      </c>
      <c r="FU99" s="60">
        <f t="shared" si="629"/>
        <v>0</v>
      </c>
      <c r="FV99" s="59">
        <f t="shared" si="630"/>
        <v>0</v>
      </c>
      <c r="FW99" s="60">
        <f t="shared" si="631"/>
        <v>0</v>
      </c>
      <c r="FX99" s="59">
        <f t="shared" si="632"/>
        <v>0</v>
      </c>
      <c r="FY99" s="60">
        <f t="shared" si="633"/>
        <v>0</v>
      </c>
      <c r="FZ99" s="59">
        <f t="shared" si="634"/>
        <v>0</v>
      </c>
      <c r="GA99" s="60">
        <f t="shared" si="635"/>
        <v>0</v>
      </c>
      <c r="GB99" s="59">
        <f t="shared" si="636"/>
        <v>0</v>
      </c>
      <c r="GC99" s="55">
        <f t="shared" si="637"/>
        <v>0</v>
      </c>
      <c r="GD99" s="59">
        <f t="shared" si="638"/>
        <v>0</v>
      </c>
      <c r="GE99" s="60">
        <f t="shared" si="639"/>
        <v>0</v>
      </c>
      <c r="GF99" s="59">
        <f t="shared" si="640"/>
        <v>0</v>
      </c>
      <c r="GG99" s="60">
        <f t="shared" si="641"/>
        <v>0</v>
      </c>
      <c r="GH99" s="59">
        <f t="shared" si="642"/>
        <v>0</v>
      </c>
      <c r="GI99" s="55">
        <f t="shared" si="643"/>
        <v>0</v>
      </c>
      <c r="GJ99" s="59">
        <f t="shared" si="644"/>
        <v>0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49"/>
        <v>0.91</v>
      </c>
      <c r="GR99" s="55">
        <f t="shared" si="649"/>
        <v>0.89</v>
      </c>
      <c r="GS99" s="55">
        <f t="shared" si="649"/>
        <v>0.87</v>
      </c>
      <c r="GT99" s="55">
        <f t="shared" si="649"/>
        <v>0.85</v>
      </c>
      <c r="GU99" s="55">
        <f t="shared" si="649"/>
        <v>0.83</v>
      </c>
      <c r="GV99" s="55">
        <f t="shared" si="649"/>
        <v>0.80999999999999994</v>
      </c>
      <c r="GW99" s="55">
        <f t="shared" si="649"/>
        <v>0.78999999999999992</v>
      </c>
      <c r="GX99" s="55">
        <f t="shared" si="649"/>
        <v>0.76999999999999991</v>
      </c>
      <c r="GY99" s="55">
        <f t="shared" si="649"/>
        <v>0.74999999999999989</v>
      </c>
      <c r="GZ99" s="55">
        <f t="shared" si="649"/>
        <v>0.72999999999999987</v>
      </c>
      <c r="HA99" s="55">
        <f t="shared" si="649"/>
        <v>0.70999999999999985</v>
      </c>
      <c r="HB99" s="55">
        <f t="shared" si="649"/>
        <v>0.68999999999999984</v>
      </c>
      <c r="HC99" s="55">
        <f t="shared" si="649"/>
        <v>0.66999999999999982</v>
      </c>
      <c r="HD99" s="55">
        <f t="shared" si="649"/>
        <v>0.6499999999999998</v>
      </c>
      <c r="HE99" s="55">
        <f t="shared" si="649"/>
        <v>0.62999999999999978</v>
      </c>
      <c r="HF99" s="55">
        <f t="shared" si="649"/>
        <v>0.60999999999999976</v>
      </c>
      <c r="HG99" s="55">
        <f t="shared" si="649"/>
        <v>0.58999999999999975</v>
      </c>
      <c r="HH99" s="55">
        <f t="shared" si="649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1">
        <f t="shared" si="515"/>
        <v>0</v>
      </c>
      <c r="H100" s="55">
        <f t="shared" si="505"/>
        <v>0</v>
      </c>
      <c r="I100" s="55">
        <f t="shared" si="506"/>
        <v>0</v>
      </c>
      <c r="J100" s="59">
        <f t="shared" si="507"/>
        <v>0</v>
      </c>
      <c r="K100" s="55">
        <f t="shared" si="516"/>
        <v>0</v>
      </c>
      <c r="L100" s="59">
        <f t="shared" si="517"/>
        <v>0</v>
      </c>
      <c r="M100" s="55">
        <f t="shared" si="518"/>
        <v>0</v>
      </c>
      <c r="N100" s="59">
        <f t="shared" si="519"/>
        <v>0</v>
      </c>
      <c r="O100" s="55">
        <f t="shared" si="520"/>
        <v>0</v>
      </c>
      <c r="P100" s="59">
        <f t="shared" si="521"/>
        <v>0</v>
      </c>
      <c r="Q100" s="57">
        <f t="shared" si="522"/>
        <v>0</v>
      </c>
      <c r="R100" s="59">
        <f t="shared" si="523"/>
        <v>0</v>
      </c>
      <c r="S100" s="55">
        <f t="shared" si="524"/>
        <v>0</v>
      </c>
      <c r="T100" s="59">
        <f t="shared" si="525"/>
        <v>0</v>
      </c>
      <c r="U100" s="57">
        <f t="shared" si="526"/>
        <v>0</v>
      </c>
      <c r="V100" s="59">
        <f t="shared" si="527"/>
        <v>0</v>
      </c>
      <c r="W100" s="60">
        <f t="shared" si="528"/>
        <v>0</v>
      </c>
      <c r="X100" s="59">
        <f t="shared" si="529"/>
        <v>0</v>
      </c>
      <c r="Y100" s="57">
        <f t="shared" si="530"/>
        <v>0</v>
      </c>
      <c r="Z100" s="59">
        <f t="shared" si="531"/>
        <v>0</v>
      </c>
      <c r="AA100" s="55">
        <f t="shared" si="532"/>
        <v>0</v>
      </c>
      <c r="AB100" s="59">
        <f t="shared" si="533"/>
        <v>0</v>
      </c>
      <c r="AC100" s="60">
        <f t="shared" si="534"/>
        <v>0</v>
      </c>
      <c r="AD100" s="59">
        <f t="shared" si="535"/>
        <v>0</v>
      </c>
      <c r="AE100" s="60">
        <f t="shared" si="536"/>
        <v>0</v>
      </c>
      <c r="AF100" s="59">
        <f t="shared" si="537"/>
        <v>0</v>
      </c>
      <c r="AG100" s="60">
        <f t="shared" si="538"/>
        <v>0</v>
      </c>
      <c r="AH100" s="59">
        <f t="shared" si="539"/>
        <v>0</v>
      </c>
      <c r="AI100" s="55">
        <f t="shared" si="540"/>
        <v>0</v>
      </c>
      <c r="AJ100" s="59">
        <f t="shared" si="541"/>
        <v>0</v>
      </c>
      <c r="AK100" s="60">
        <f t="shared" si="542"/>
        <v>0</v>
      </c>
      <c r="AL100" s="59">
        <f t="shared" si="543"/>
        <v>0</v>
      </c>
      <c r="AM100" s="60">
        <f t="shared" si="544"/>
        <v>0</v>
      </c>
      <c r="AN100" s="59">
        <f t="shared" si="545"/>
        <v>0</v>
      </c>
      <c r="AO100" s="60">
        <f t="shared" si="546"/>
        <v>0</v>
      </c>
      <c r="AP100" s="59">
        <f t="shared" si="547"/>
        <v>0</v>
      </c>
      <c r="AQ100" s="60">
        <f t="shared" si="548"/>
        <v>0</v>
      </c>
      <c r="AR100" s="59">
        <f t="shared" si="549"/>
        <v>0</v>
      </c>
      <c r="AS100" s="55">
        <f t="shared" si="550"/>
        <v>0</v>
      </c>
      <c r="AT100" s="59">
        <f t="shared" si="551"/>
        <v>0</v>
      </c>
      <c r="AU100" s="60">
        <f t="shared" si="552"/>
        <v>0</v>
      </c>
      <c r="AV100" s="59">
        <f t="shared" si="553"/>
        <v>0</v>
      </c>
      <c r="AW100" s="60">
        <f t="shared" si="554"/>
        <v>0</v>
      </c>
      <c r="AX100" s="59">
        <f t="shared" si="555"/>
        <v>0</v>
      </c>
      <c r="AY100" s="55">
        <f t="shared" si="556"/>
        <v>0</v>
      </c>
      <c r="AZ100" s="59">
        <f t="shared" si="557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58"/>
        <v>0.91</v>
      </c>
      <c r="BH100" s="55">
        <f t="shared" si="558"/>
        <v>0.89</v>
      </c>
      <c r="BI100" s="55">
        <f t="shared" si="558"/>
        <v>0.87</v>
      </c>
      <c r="BJ100" s="55">
        <f t="shared" si="558"/>
        <v>0.85</v>
      </c>
      <c r="BK100" s="55">
        <f t="shared" si="558"/>
        <v>0.83</v>
      </c>
      <c r="BL100" s="55">
        <f t="shared" si="558"/>
        <v>0.80999999999999994</v>
      </c>
      <c r="BM100" s="55">
        <f t="shared" si="558"/>
        <v>0.78999999999999992</v>
      </c>
      <c r="BN100" s="55">
        <f t="shared" si="558"/>
        <v>0.76999999999999991</v>
      </c>
      <c r="BO100" s="55">
        <f t="shared" si="558"/>
        <v>0.74999999999999989</v>
      </c>
      <c r="BP100" s="55">
        <f t="shared" si="558"/>
        <v>0.72999999999999987</v>
      </c>
      <c r="BQ100" s="55">
        <f t="shared" si="558"/>
        <v>0.70999999999999985</v>
      </c>
      <c r="BR100" s="55">
        <f t="shared" si="558"/>
        <v>0.68999999999999984</v>
      </c>
      <c r="BS100" s="55">
        <f t="shared" si="558"/>
        <v>0.66999999999999982</v>
      </c>
      <c r="BT100" s="55">
        <f t="shared" si="558"/>
        <v>0.6499999999999998</v>
      </c>
      <c r="BU100" s="55">
        <f t="shared" si="558"/>
        <v>0.62999999999999978</v>
      </c>
      <c r="BV100" s="55">
        <f t="shared" si="558"/>
        <v>0.60999999999999976</v>
      </c>
      <c r="BW100" s="55">
        <f t="shared" si="558"/>
        <v>0.58999999999999975</v>
      </c>
      <c r="BX100" s="55">
        <f t="shared" si="558"/>
        <v>0.56999999999999973</v>
      </c>
      <c r="BZ100" s="55">
        <f t="shared" si="508"/>
        <v>0</v>
      </c>
      <c r="CA100" s="55">
        <f t="shared" si="509"/>
        <v>0</v>
      </c>
      <c r="CB100" s="59">
        <f t="shared" si="559"/>
        <v>0</v>
      </c>
      <c r="CC100" s="55">
        <f t="shared" si="560"/>
        <v>0</v>
      </c>
      <c r="CD100" s="59">
        <f t="shared" si="561"/>
        <v>0</v>
      </c>
      <c r="CE100" s="55">
        <f t="shared" si="562"/>
        <v>0</v>
      </c>
      <c r="CF100" s="59">
        <f t="shared" si="563"/>
        <v>0</v>
      </c>
      <c r="CG100" s="55">
        <f t="shared" si="564"/>
        <v>0</v>
      </c>
      <c r="CH100" s="59">
        <f t="shared" si="565"/>
        <v>0</v>
      </c>
      <c r="CI100" s="57">
        <f t="shared" si="566"/>
        <v>0</v>
      </c>
      <c r="CJ100" s="59">
        <f t="shared" si="567"/>
        <v>0</v>
      </c>
      <c r="CK100" s="55">
        <f t="shared" si="568"/>
        <v>0</v>
      </c>
      <c r="CL100" s="59">
        <f t="shared" si="569"/>
        <v>0</v>
      </c>
      <c r="CM100" s="57">
        <f t="shared" si="570"/>
        <v>0</v>
      </c>
      <c r="CN100" s="59">
        <f t="shared" si="571"/>
        <v>0</v>
      </c>
      <c r="CO100" s="60">
        <f t="shared" si="572"/>
        <v>0</v>
      </c>
      <c r="CP100" s="59">
        <f t="shared" si="573"/>
        <v>0</v>
      </c>
      <c r="CQ100" s="57">
        <f t="shared" si="574"/>
        <v>0</v>
      </c>
      <c r="CR100" s="59">
        <f t="shared" si="575"/>
        <v>0</v>
      </c>
      <c r="CS100" s="55">
        <f t="shared" si="576"/>
        <v>0</v>
      </c>
      <c r="CT100" s="59">
        <f t="shared" si="577"/>
        <v>0</v>
      </c>
      <c r="CU100" s="60">
        <f t="shared" si="578"/>
        <v>0</v>
      </c>
      <c r="CV100" s="59">
        <f t="shared" si="579"/>
        <v>0</v>
      </c>
      <c r="CW100" s="60">
        <f t="shared" si="580"/>
        <v>0</v>
      </c>
      <c r="CX100" s="59">
        <f t="shared" si="581"/>
        <v>0</v>
      </c>
      <c r="CY100" s="60">
        <f t="shared" si="582"/>
        <v>0</v>
      </c>
      <c r="CZ100" s="59">
        <f t="shared" si="583"/>
        <v>0</v>
      </c>
      <c r="DA100" s="55">
        <f t="shared" si="584"/>
        <v>0</v>
      </c>
      <c r="DB100" s="59">
        <f t="shared" si="585"/>
        <v>0</v>
      </c>
      <c r="DC100" s="60">
        <f t="shared" si="586"/>
        <v>0</v>
      </c>
      <c r="DD100" s="59">
        <f t="shared" si="587"/>
        <v>0</v>
      </c>
      <c r="DE100" s="60">
        <f t="shared" si="588"/>
        <v>0</v>
      </c>
      <c r="DF100" s="59">
        <f t="shared" si="589"/>
        <v>0</v>
      </c>
      <c r="DG100" s="60">
        <f t="shared" si="590"/>
        <v>0</v>
      </c>
      <c r="DH100" s="59">
        <f t="shared" si="591"/>
        <v>0</v>
      </c>
      <c r="DI100" s="60">
        <f t="shared" si="592"/>
        <v>0</v>
      </c>
      <c r="DJ100" s="59">
        <f t="shared" si="593"/>
        <v>0</v>
      </c>
      <c r="DK100" s="55">
        <f t="shared" si="594"/>
        <v>0</v>
      </c>
      <c r="DL100" s="59">
        <f t="shared" si="595"/>
        <v>0</v>
      </c>
      <c r="DM100" s="60">
        <f t="shared" si="596"/>
        <v>0</v>
      </c>
      <c r="DN100" s="59">
        <f t="shared" si="597"/>
        <v>0</v>
      </c>
      <c r="DO100" s="60">
        <f t="shared" si="598"/>
        <v>0</v>
      </c>
      <c r="DP100" s="59">
        <f t="shared" si="599"/>
        <v>0</v>
      </c>
      <c r="DQ100" s="55">
        <f t="shared" si="600"/>
        <v>0</v>
      </c>
      <c r="DR100" s="59">
        <f t="shared" si="601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47"/>
        <v>0.91</v>
      </c>
      <c r="DZ100" s="55">
        <f t="shared" si="647"/>
        <v>0.89</v>
      </c>
      <c r="EA100" s="55">
        <f t="shared" si="647"/>
        <v>0.87</v>
      </c>
      <c r="EB100" s="55">
        <f t="shared" si="647"/>
        <v>0.85</v>
      </c>
      <c r="EC100" s="55">
        <f t="shared" si="647"/>
        <v>0.83</v>
      </c>
      <c r="ED100" s="55">
        <f t="shared" si="647"/>
        <v>0.80999999999999994</v>
      </c>
      <c r="EE100" s="55">
        <f t="shared" si="647"/>
        <v>0.78999999999999992</v>
      </c>
      <c r="EF100" s="55">
        <f t="shared" si="647"/>
        <v>0.76999999999999991</v>
      </c>
      <c r="EG100" s="55">
        <f t="shared" si="647"/>
        <v>0.74999999999999989</v>
      </c>
      <c r="EH100" s="55">
        <f t="shared" si="647"/>
        <v>0.72999999999999987</v>
      </c>
      <c r="EI100" s="55">
        <f t="shared" si="647"/>
        <v>0.70999999999999985</v>
      </c>
      <c r="EJ100" s="55">
        <f t="shared" si="647"/>
        <v>0.68999999999999984</v>
      </c>
      <c r="EK100" s="55">
        <f t="shared" si="647"/>
        <v>0.66999999999999982</v>
      </c>
      <c r="EL100" s="55">
        <f t="shared" si="647"/>
        <v>0.6499999999999998</v>
      </c>
      <c r="EM100" s="55">
        <f t="shared" si="647"/>
        <v>0.62999999999999978</v>
      </c>
      <c r="EN100" s="55">
        <f t="shared" si="647"/>
        <v>0.60999999999999976</v>
      </c>
      <c r="EO100" s="55">
        <f t="shared" si="647"/>
        <v>0.58999999999999975</v>
      </c>
      <c r="EP100" s="55">
        <f t="shared" si="647"/>
        <v>0.56999999999999973</v>
      </c>
      <c r="ER100" s="55">
        <f t="shared" si="648"/>
        <v>0</v>
      </c>
      <c r="ES100" s="55">
        <f t="shared" si="510"/>
        <v>0</v>
      </c>
      <c r="ET100" s="59">
        <f t="shared" si="602"/>
        <v>0</v>
      </c>
      <c r="EU100" s="55">
        <f t="shared" si="603"/>
        <v>0</v>
      </c>
      <c r="EV100" s="59">
        <f t="shared" si="604"/>
        <v>0</v>
      </c>
      <c r="EW100" s="55">
        <f t="shared" si="605"/>
        <v>0</v>
      </c>
      <c r="EX100" s="59">
        <f t="shared" si="606"/>
        <v>0</v>
      </c>
      <c r="EY100" s="55">
        <f t="shared" si="607"/>
        <v>0</v>
      </c>
      <c r="EZ100" s="59">
        <f t="shared" si="608"/>
        <v>0</v>
      </c>
      <c r="FA100" s="57">
        <f t="shared" si="609"/>
        <v>0</v>
      </c>
      <c r="FB100" s="59">
        <f t="shared" si="610"/>
        <v>0</v>
      </c>
      <c r="FC100" s="55">
        <f t="shared" si="611"/>
        <v>0</v>
      </c>
      <c r="FD100" s="59">
        <f t="shared" si="612"/>
        <v>0</v>
      </c>
      <c r="FE100" s="57">
        <f t="shared" si="613"/>
        <v>0</v>
      </c>
      <c r="FF100" s="59">
        <f t="shared" si="614"/>
        <v>0</v>
      </c>
      <c r="FG100" s="60">
        <f t="shared" si="615"/>
        <v>0</v>
      </c>
      <c r="FH100" s="59">
        <f t="shared" si="616"/>
        <v>0</v>
      </c>
      <c r="FI100" s="57">
        <f t="shared" si="617"/>
        <v>0</v>
      </c>
      <c r="FJ100" s="59">
        <f t="shared" si="618"/>
        <v>0</v>
      </c>
      <c r="FK100" s="55">
        <f t="shared" si="619"/>
        <v>0</v>
      </c>
      <c r="FL100" s="59">
        <f t="shared" si="620"/>
        <v>0</v>
      </c>
      <c r="FM100" s="60">
        <f t="shared" si="621"/>
        <v>0</v>
      </c>
      <c r="FN100" s="59">
        <f t="shared" si="622"/>
        <v>0</v>
      </c>
      <c r="FO100" s="60">
        <f t="shared" si="623"/>
        <v>0</v>
      </c>
      <c r="FP100" s="59">
        <f t="shared" si="624"/>
        <v>0</v>
      </c>
      <c r="FQ100" s="60">
        <f t="shared" si="625"/>
        <v>0</v>
      </c>
      <c r="FR100" s="59">
        <f t="shared" si="626"/>
        <v>0</v>
      </c>
      <c r="FS100" s="55">
        <f t="shared" si="627"/>
        <v>0</v>
      </c>
      <c r="FT100" s="59">
        <f t="shared" si="628"/>
        <v>0</v>
      </c>
      <c r="FU100" s="60">
        <f t="shared" si="629"/>
        <v>0</v>
      </c>
      <c r="FV100" s="59">
        <f t="shared" si="630"/>
        <v>0</v>
      </c>
      <c r="FW100" s="60">
        <f t="shared" si="631"/>
        <v>0</v>
      </c>
      <c r="FX100" s="59">
        <f t="shared" si="632"/>
        <v>0</v>
      </c>
      <c r="FY100" s="60">
        <f t="shared" si="633"/>
        <v>0</v>
      </c>
      <c r="FZ100" s="59">
        <f t="shared" si="634"/>
        <v>0</v>
      </c>
      <c r="GA100" s="60">
        <f t="shared" si="635"/>
        <v>0</v>
      </c>
      <c r="GB100" s="59">
        <f t="shared" si="636"/>
        <v>0</v>
      </c>
      <c r="GC100" s="55">
        <f t="shared" si="637"/>
        <v>0</v>
      </c>
      <c r="GD100" s="59">
        <f t="shared" si="638"/>
        <v>0</v>
      </c>
      <c r="GE100" s="60">
        <f t="shared" si="639"/>
        <v>0</v>
      </c>
      <c r="GF100" s="59">
        <f t="shared" si="640"/>
        <v>0</v>
      </c>
      <c r="GG100" s="60">
        <f t="shared" si="641"/>
        <v>0</v>
      </c>
      <c r="GH100" s="59">
        <f t="shared" si="642"/>
        <v>0</v>
      </c>
      <c r="GI100" s="55">
        <f t="shared" si="643"/>
        <v>0</v>
      </c>
      <c r="GJ100" s="59">
        <f t="shared" si="644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49"/>
        <v>0.91</v>
      </c>
      <c r="GR100" s="55">
        <f t="shared" si="649"/>
        <v>0.89</v>
      </c>
      <c r="GS100" s="55">
        <f t="shared" si="649"/>
        <v>0.87</v>
      </c>
      <c r="GT100" s="55">
        <f t="shared" si="649"/>
        <v>0.85</v>
      </c>
      <c r="GU100" s="55">
        <f t="shared" si="649"/>
        <v>0.83</v>
      </c>
      <c r="GV100" s="55">
        <f t="shared" si="649"/>
        <v>0.80999999999999994</v>
      </c>
      <c r="GW100" s="55">
        <f t="shared" si="649"/>
        <v>0.78999999999999992</v>
      </c>
      <c r="GX100" s="55">
        <f t="shared" si="649"/>
        <v>0.76999999999999991</v>
      </c>
      <c r="GY100" s="55">
        <f t="shared" si="649"/>
        <v>0.74999999999999989</v>
      </c>
      <c r="GZ100" s="55">
        <f t="shared" si="649"/>
        <v>0.72999999999999987</v>
      </c>
      <c r="HA100" s="55">
        <f t="shared" si="649"/>
        <v>0.70999999999999985</v>
      </c>
      <c r="HB100" s="55">
        <f t="shared" si="649"/>
        <v>0.68999999999999984</v>
      </c>
      <c r="HC100" s="55">
        <f t="shared" si="649"/>
        <v>0.66999999999999982</v>
      </c>
      <c r="HD100" s="55">
        <f t="shared" si="649"/>
        <v>0.6499999999999998</v>
      </c>
      <c r="HE100" s="55">
        <f t="shared" si="649"/>
        <v>0.62999999999999978</v>
      </c>
      <c r="HF100" s="55">
        <f t="shared" si="649"/>
        <v>0.60999999999999976</v>
      </c>
      <c r="HG100" s="55">
        <f t="shared" si="649"/>
        <v>0.58999999999999975</v>
      </c>
      <c r="HH100" s="55">
        <f t="shared" si="649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15"/>
        <v>0</v>
      </c>
      <c r="H101" s="55">
        <f t="shared" si="505"/>
        <v>0</v>
      </c>
      <c r="I101" s="55">
        <f t="shared" si="506"/>
        <v>0</v>
      </c>
      <c r="J101" s="59">
        <f t="shared" si="507"/>
        <v>0</v>
      </c>
      <c r="K101" s="55">
        <f t="shared" si="516"/>
        <v>0</v>
      </c>
      <c r="L101" s="59">
        <f t="shared" si="517"/>
        <v>0</v>
      </c>
      <c r="M101" s="55">
        <f t="shared" si="518"/>
        <v>0</v>
      </c>
      <c r="N101" s="59">
        <f t="shared" si="519"/>
        <v>0</v>
      </c>
      <c r="O101" s="55">
        <f t="shared" si="520"/>
        <v>0</v>
      </c>
      <c r="P101" s="59">
        <f t="shared" si="521"/>
        <v>0</v>
      </c>
      <c r="Q101" s="57">
        <f t="shared" si="522"/>
        <v>0</v>
      </c>
      <c r="R101" s="59">
        <f t="shared" si="523"/>
        <v>0</v>
      </c>
      <c r="S101" s="55">
        <f t="shared" si="524"/>
        <v>0</v>
      </c>
      <c r="T101" s="59">
        <f t="shared" si="525"/>
        <v>0</v>
      </c>
      <c r="U101" s="57">
        <f t="shared" si="526"/>
        <v>0</v>
      </c>
      <c r="V101" s="59">
        <f t="shared" si="527"/>
        <v>0</v>
      </c>
      <c r="W101" s="60">
        <f t="shared" si="528"/>
        <v>0</v>
      </c>
      <c r="X101" s="59">
        <f t="shared" si="529"/>
        <v>0</v>
      </c>
      <c r="Y101" s="57">
        <f t="shared" si="530"/>
        <v>0</v>
      </c>
      <c r="Z101" s="59">
        <f t="shared" si="531"/>
        <v>0</v>
      </c>
      <c r="AA101" s="55">
        <f t="shared" si="532"/>
        <v>0</v>
      </c>
      <c r="AB101" s="59">
        <f t="shared" si="533"/>
        <v>0</v>
      </c>
      <c r="AC101" s="60">
        <f t="shared" si="534"/>
        <v>0</v>
      </c>
      <c r="AD101" s="59">
        <f t="shared" si="535"/>
        <v>0</v>
      </c>
      <c r="AE101" s="60">
        <f t="shared" si="536"/>
        <v>0</v>
      </c>
      <c r="AF101" s="59">
        <f t="shared" si="537"/>
        <v>0</v>
      </c>
      <c r="AG101" s="60">
        <f t="shared" si="538"/>
        <v>0</v>
      </c>
      <c r="AH101" s="59">
        <f t="shared" si="539"/>
        <v>0</v>
      </c>
      <c r="AI101" s="55">
        <f t="shared" si="540"/>
        <v>0</v>
      </c>
      <c r="AJ101" s="59">
        <f t="shared" si="541"/>
        <v>0</v>
      </c>
      <c r="AK101" s="60">
        <f t="shared" si="542"/>
        <v>0</v>
      </c>
      <c r="AL101" s="59">
        <f t="shared" si="543"/>
        <v>0</v>
      </c>
      <c r="AM101" s="60">
        <f t="shared" si="544"/>
        <v>0</v>
      </c>
      <c r="AN101" s="59">
        <f t="shared" si="545"/>
        <v>0</v>
      </c>
      <c r="AO101" s="60">
        <f t="shared" si="546"/>
        <v>0</v>
      </c>
      <c r="AP101" s="59">
        <f t="shared" si="547"/>
        <v>0</v>
      </c>
      <c r="AQ101" s="60">
        <f t="shared" si="548"/>
        <v>0</v>
      </c>
      <c r="AR101" s="59">
        <f t="shared" si="549"/>
        <v>0</v>
      </c>
      <c r="AS101" s="55">
        <f t="shared" si="550"/>
        <v>0</v>
      </c>
      <c r="AT101" s="59">
        <f t="shared" si="551"/>
        <v>0</v>
      </c>
      <c r="AU101" s="60">
        <f t="shared" si="552"/>
        <v>0</v>
      </c>
      <c r="AV101" s="59">
        <f t="shared" si="553"/>
        <v>0</v>
      </c>
      <c r="AW101" s="60">
        <f t="shared" si="554"/>
        <v>0</v>
      </c>
      <c r="AX101" s="59">
        <f t="shared" si="555"/>
        <v>0</v>
      </c>
      <c r="AY101" s="55">
        <f t="shared" si="556"/>
        <v>0</v>
      </c>
      <c r="AZ101" s="59">
        <f t="shared" si="557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58"/>
        <v>0.91</v>
      </c>
      <c r="BH101" s="55">
        <f t="shared" si="558"/>
        <v>0.89</v>
      </c>
      <c r="BI101" s="55">
        <f t="shared" si="558"/>
        <v>0.87</v>
      </c>
      <c r="BJ101" s="55">
        <f t="shared" si="558"/>
        <v>0.85</v>
      </c>
      <c r="BK101" s="55">
        <f t="shared" si="558"/>
        <v>0.83</v>
      </c>
      <c r="BL101" s="55">
        <f t="shared" si="558"/>
        <v>0.80999999999999994</v>
      </c>
      <c r="BM101" s="55">
        <f t="shared" si="558"/>
        <v>0.78999999999999992</v>
      </c>
      <c r="BN101" s="55">
        <f t="shared" si="558"/>
        <v>0.76999999999999991</v>
      </c>
      <c r="BO101" s="55">
        <f t="shared" si="558"/>
        <v>0.74999999999999989</v>
      </c>
      <c r="BP101" s="55">
        <f t="shared" si="558"/>
        <v>0.72999999999999987</v>
      </c>
      <c r="BQ101" s="55">
        <f t="shared" si="558"/>
        <v>0.70999999999999985</v>
      </c>
      <c r="BR101" s="55">
        <f t="shared" si="558"/>
        <v>0.68999999999999984</v>
      </c>
      <c r="BS101" s="55">
        <f t="shared" si="558"/>
        <v>0.66999999999999982</v>
      </c>
      <c r="BT101" s="55">
        <f t="shared" si="558"/>
        <v>0.6499999999999998</v>
      </c>
      <c r="BU101" s="55">
        <f t="shared" si="558"/>
        <v>0.62999999999999978</v>
      </c>
      <c r="BV101" s="55">
        <f t="shared" si="558"/>
        <v>0.60999999999999976</v>
      </c>
      <c r="BW101" s="55">
        <f t="shared" si="558"/>
        <v>0.58999999999999975</v>
      </c>
      <c r="BX101" s="55">
        <f t="shared" si="558"/>
        <v>0.56999999999999973</v>
      </c>
      <c r="BZ101" s="55">
        <f t="shared" si="508"/>
        <v>0</v>
      </c>
      <c r="CA101" s="55">
        <f t="shared" si="509"/>
        <v>0</v>
      </c>
      <c r="CB101" s="59">
        <f t="shared" si="559"/>
        <v>0</v>
      </c>
      <c r="CC101" s="55">
        <f t="shared" si="560"/>
        <v>0</v>
      </c>
      <c r="CD101" s="59">
        <f t="shared" si="561"/>
        <v>0</v>
      </c>
      <c r="CE101" s="55">
        <f t="shared" si="562"/>
        <v>0</v>
      </c>
      <c r="CF101" s="59">
        <f t="shared" si="563"/>
        <v>0</v>
      </c>
      <c r="CG101" s="55">
        <f t="shared" si="564"/>
        <v>0</v>
      </c>
      <c r="CH101" s="59">
        <f t="shared" si="565"/>
        <v>0</v>
      </c>
      <c r="CI101" s="57">
        <f t="shared" si="566"/>
        <v>0</v>
      </c>
      <c r="CJ101" s="59">
        <f t="shared" si="567"/>
        <v>0</v>
      </c>
      <c r="CK101" s="55">
        <f t="shared" si="568"/>
        <v>0</v>
      </c>
      <c r="CL101" s="59">
        <f t="shared" si="569"/>
        <v>0</v>
      </c>
      <c r="CM101" s="57">
        <f t="shared" si="570"/>
        <v>0</v>
      </c>
      <c r="CN101" s="59">
        <f t="shared" si="571"/>
        <v>0</v>
      </c>
      <c r="CO101" s="60">
        <f t="shared" si="572"/>
        <v>0</v>
      </c>
      <c r="CP101" s="59">
        <f t="shared" si="573"/>
        <v>0</v>
      </c>
      <c r="CQ101" s="57">
        <f t="shared" si="574"/>
        <v>0</v>
      </c>
      <c r="CR101" s="59">
        <f t="shared" si="575"/>
        <v>0</v>
      </c>
      <c r="CS101" s="55">
        <f t="shared" si="576"/>
        <v>0</v>
      </c>
      <c r="CT101" s="59">
        <f t="shared" si="577"/>
        <v>0</v>
      </c>
      <c r="CU101" s="60">
        <f t="shared" si="578"/>
        <v>0</v>
      </c>
      <c r="CV101" s="59">
        <f t="shared" si="579"/>
        <v>0</v>
      </c>
      <c r="CW101" s="60">
        <f t="shared" si="580"/>
        <v>0</v>
      </c>
      <c r="CX101" s="59">
        <f t="shared" si="581"/>
        <v>0</v>
      </c>
      <c r="CY101" s="60">
        <f t="shared" si="582"/>
        <v>0</v>
      </c>
      <c r="CZ101" s="59">
        <f t="shared" si="583"/>
        <v>0</v>
      </c>
      <c r="DA101" s="55">
        <f t="shared" si="584"/>
        <v>0</v>
      </c>
      <c r="DB101" s="59">
        <f t="shared" si="585"/>
        <v>0</v>
      </c>
      <c r="DC101" s="60">
        <f t="shared" si="586"/>
        <v>0</v>
      </c>
      <c r="DD101" s="59">
        <f t="shared" si="587"/>
        <v>0</v>
      </c>
      <c r="DE101" s="60">
        <f t="shared" si="588"/>
        <v>0</v>
      </c>
      <c r="DF101" s="59">
        <f t="shared" si="589"/>
        <v>0</v>
      </c>
      <c r="DG101" s="60">
        <f t="shared" si="590"/>
        <v>0</v>
      </c>
      <c r="DH101" s="59">
        <f t="shared" si="591"/>
        <v>0</v>
      </c>
      <c r="DI101" s="60">
        <f t="shared" si="592"/>
        <v>0</v>
      </c>
      <c r="DJ101" s="59">
        <f t="shared" si="593"/>
        <v>0</v>
      </c>
      <c r="DK101" s="55">
        <f t="shared" si="594"/>
        <v>0</v>
      </c>
      <c r="DL101" s="59">
        <f t="shared" si="595"/>
        <v>0</v>
      </c>
      <c r="DM101" s="60">
        <f t="shared" si="596"/>
        <v>0</v>
      </c>
      <c r="DN101" s="59">
        <f t="shared" si="597"/>
        <v>0</v>
      </c>
      <c r="DO101" s="60">
        <f t="shared" si="598"/>
        <v>0</v>
      </c>
      <c r="DP101" s="59">
        <f t="shared" si="599"/>
        <v>0</v>
      </c>
      <c r="DQ101" s="55">
        <f t="shared" si="600"/>
        <v>0</v>
      </c>
      <c r="DR101" s="59">
        <f t="shared" si="601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47"/>
        <v>0.91</v>
      </c>
      <c r="DZ101" s="55">
        <f t="shared" si="647"/>
        <v>0.89</v>
      </c>
      <c r="EA101" s="55">
        <f t="shared" si="647"/>
        <v>0.87</v>
      </c>
      <c r="EB101" s="55">
        <f t="shared" si="647"/>
        <v>0.85</v>
      </c>
      <c r="EC101" s="55">
        <f t="shared" si="647"/>
        <v>0.83</v>
      </c>
      <c r="ED101" s="55">
        <f t="shared" si="647"/>
        <v>0.80999999999999994</v>
      </c>
      <c r="EE101" s="55">
        <f t="shared" si="647"/>
        <v>0.78999999999999992</v>
      </c>
      <c r="EF101" s="55">
        <f t="shared" si="647"/>
        <v>0.76999999999999991</v>
      </c>
      <c r="EG101" s="55">
        <f t="shared" si="647"/>
        <v>0.74999999999999989</v>
      </c>
      <c r="EH101" s="55">
        <f t="shared" si="647"/>
        <v>0.72999999999999987</v>
      </c>
      <c r="EI101" s="55">
        <f t="shared" si="647"/>
        <v>0.70999999999999985</v>
      </c>
      <c r="EJ101" s="55">
        <f t="shared" si="647"/>
        <v>0.68999999999999984</v>
      </c>
      <c r="EK101" s="55">
        <f t="shared" si="647"/>
        <v>0.66999999999999982</v>
      </c>
      <c r="EL101" s="55">
        <f t="shared" si="647"/>
        <v>0.6499999999999998</v>
      </c>
      <c r="EM101" s="55">
        <f t="shared" si="647"/>
        <v>0.62999999999999978</v>
      </c>
      <c r="EN101" s="55">
        <f t="shared" si="647"/>
        <v>0.60999999999999976</v>
      </c>
      <c r="EO101" s="55">
        <f t="shared" si="647"/>
        <v>0.58999999999999975</v>
      </c>
      <c r="EP101" s="55">
        <f t="shared" si="647"/>
        <v>0.56999999999999973</v>
      </c>
      <c r="ER101" s="55">
        <f t="shared" si="648"/>
        <v>0</v>
      </c>
      <c r="ES101" s="55">
        <f t="shared" si="510"/>
        <v>0</v>
      </c>
      <c r="ET101" s="59">
        <f t="shared" si="602"/>
        <v>0</v>
      </c>
      <c r="EU101" s="55">
        <f t="shared" si="603"/>
        <v>0</v>
      </c>
      <c r="EV101" s="59">
        <f t="shared" si="604"/>
        <v>0</v>
      </c>
      <c r="EW101" s="55">
        <f t="shared" si="605"/>
        <v>0</v>
      </c>
      <c r="EX101" s="59">
        <f t="shared" si="606"/>
        <v>0</v>
      </c>
      <c r="EY101" s="55">
        <f t="shared" si="607"/>
        <v>0</v>
      </c>
      <c r="EZ101" s="59">
        <f t="shared" si="608"/>
        <v>0</v>
      </c>
      <c r="FA101" s="57">
        <f t="shared" si="609"/>
        <v>0</v>
      </c>
      <c r="FB101" s="59">
        <f t="shared" si="610"/>
        <v>0</v>
      </c>
      <c r="FC101" s="55">
        <f t="shared" si="611"/>
        <v>0</v>
      </c>
      <c r="FD101" s="59">
        <f t="shared" si="612"/>
        <v>0</v>
      </c>
      <c r="FE101" s="57">
        <f t="shared" si="613"/>
        <v>0</v>
      </c>
      <c r="FF101" s="59">
        <f t="shared" si="614"/>
        <v>0</v>
      </c>
      <c r="FG101" s="60">
        <f t="shared" si="615"/>
        <v>0</v>
      </c>
      <c r="FH101" s="59">
        <f t="shared" si="616"/>
        <v>0</v>
      </c>
      <c r="FI101" s="57">
        <f t="shared" si="617"/>
        <v>0</v>
      </c>
      <c r="FJ101" s="59">
        <f t="shared" si="618"/>
        <v>0</v>
      </c>
      <c r="FK101" s="55">
        <f t="shared" si="619"/>
        <v>0</v>
      </c>
      <c r="FL101" s="59">
        <f t="shared" si="620"/>
        <v>0</v>
      </c>
      <c r="FM101" s="60">
        <f t="shared" si="621"/>
        <v>0</v>
      </c>
      <c r="FN101" s="59">
        <f t="shared" si="622"/>
        <v>0</v>
      </c>
      <c r="FO101" s="60">
        <f t="shared" si="623"/>
        <v>0</v>
      </c>
      <c r="FP101" s="59">
        <f t="shared" si="624"/>
        <v>0</v>
      </c>
      <c r="FQ101" s="60">
        <f t="shared" si="625"/>
        <v>0</v>
      </c>
      <c r="FR101" s="59">
        <f t="shared" si="626"/>
        <v>0</v>
      </c>
      <c r="FS101" s="55">
        <f t="shared" si="627"/>
        <v>0</v>
      </c>
      <c r="FT101" s="59">
        <f t="shared" si="628"/>
        <v>0</v>
      </c>
      <c r="FU101" s="60">
        <f t="shared" si="629"/>
        <v>0</v>
      </c>
      <c r="FV101" s="59">
        <f t="shared" si="630"/>
        <v>0</v>
      </c>
      <c r="FW101" s="60">
        <f t="shared" si="631"/>
        <v>0</v>
      </c>
      <c r="FX101" s="59">
        <f t="shared" si="632"/>
        <v>0</v>
      </c>
      <c r="FY101" s="60">
        <f t="shared" si="633"/>
        <v>0</v>
      </c>
      <c r="FZ101" s="59">
        <f t="shared" si="634"/>
        <v>0</v>
      </c>
      <c r="GA101" s="60">
        <f t="shared" si="635"/>
        <v>0</v>
      </c>
      <c r="GB101" s="59">
        <f t="shared" si="636"/>
        <v>0</v>
      </c>
      <c r="GC101" s="55">
        <f t="shared" si="637"/>
        <v>0</v>
      </c>
      <c r="GD101" s="59">
        <f t="shared" si="638"/>
        <v>0</v>
      </c>
      <c r="GE101" s="60">
        <f t="shared" si="639"/>
        <v>0</v>
      </c>
      <c r="GF101" s="59">
        <f t="shared" si="640"/>
        <v>0</v>
      </c>
      <c r="GG101" s="60">
        <f t="shared" si="641"/>
        <v>0</v>
      </c>
      <c r="GH101" s="59">
        <f t="shared" si="642"/>
        <v>0</v>
      </c>
      <c r="GI101" s="55">
        <f t="shared" si="643"/>
        <v>0</v>
      </c>
      <c r="GJ101" s="59">
        <f t="shared" si="644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49"/>
        <v>0.91</v>
      </c>
      <c r="GR101" s="55">
        <f t="shared" si="649"/>
        <v>0.89</v>
      </c>
      <c r="GS101" s="55">
        <f t="shared" si="649"/>
        <v>0.87</v>
      </c>
      <c r="GT101" s="55">
        <f t="shared" si="649"/>
        <v>0.85</v>
      </c>
      <c r="GU101" s="55">
        <f t="shared" si="649"/>
        <v>0.83</v>
      </c>
      <c r="GV101" s="55">
        <f t="shared" si="649"/>
        <v>0.80999999999999994</v>
      </c>
      <c r="GW101" s="55">
        <f t="shared" si="649"/>
        <v>0.78999999999999992</v>
      </c>
      <c r="GX101" s="55">
        <f t="shared" si="649"/>
        <v>0.76999999999999991</v>
      </c>
      <c r="GY101" s="55">
        <f t="shared" si="649"/>
        <v>0.74999999999999989</v>
      </c>
      <c r="GZ101" s="55">
        <f t="shared" si="649"/>
        <v>0.72999999999999987</v>
      </c>
      <c r="HA101" s="55">
        <f t="shared" si="649"/>
        <v>0.70999999999999985</v>
      </c>
      <c r="HB101" s="55">
        <f t="shared" si="649"/>
        <v>0.68999999999999984</v>
      </c>
      <c r="HC101" s="55">
        <f t="shared" si="649"/>
        <v>0.66999999999999982</v>
      </c>
      <c r="HD101" s="55">
        <f t="shared" si="649"/>
        <v>0.6499999999999998</v>
      </c>
      <c r="HE101" s="55">
        <f t="shared" si="649"/>
        <v>0.62999999999999978</v>
      </c>
      <c r="HF101" s="55">
        <f t="shared" si="649"/>
        <v>0.60999999999999976</v>
      </c>
      <c r="HG101" s="55">
        <f t="shared" si="649"/>
        <v>0.58999999999999975</v>
      </c>
      <c r="HH101" s="55">
        <f t="shared" si="649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1">
        <f t="shared" si="515"/>
        <v>0</v>
      </c>
      <c r="H102" s="55">
        <f t="shared" si="505"/>
        <v>0</v>
      </c>
      <c r="I102" s="55">
        <f t="shared" si="506"/>
        <v>0</v>
      </c>
      <c r="J102" s="59">
        <f t="shared" si="507"/>
        <v>0</v>
      </c>
      <c r="K102" s="55">
        <f t="shared" si="516"/>
        <v>0</v>
      </c>
      <c r="L102" s="59">
        <f t="shared" si="517"/>
        <v>0</v>
      </c>
      <c r="M102" s="55">
        <f t="shared" si="518"/>
        <v>0</v>
      </c>
      <c r="N102" s="59">
        <f t="shared" si="519"/>
        <v>0</v>
      </c>
      <c r="O102" s="55">
        <f t="shared" si="520"/>
        <v>0</v>
      </c>
      <c r="P102" s="59">
        <f t="shared" si="521"/>
        <v>0</v>
      </c>
      <c r="Q102" s="57">
        <f t="shared" si="522"/>
        <v>0</v>
      </c>
      <c r="R102" s="59">
        <f t="shared" si="523"/>
        <v>0</v>
      </c>
      <c r="S102" s="55">
        <f t="shared" si="524"/>
        <v>0</v>
      </c>
      <c r="T102" s="59">
        <f t="shared" si="525"/>
        <v>0</v>
      </c>
      <c r="U102" s="57">
        <f t="shared" si="526"/>
        <v>0</v>
      </c>
      <c r="V102" s="59">
        <f t="shared" si="527"/>
        <v>0</v>
      </c>
      <c r="W102" s="60">
        <f t="shared" si="528"/>
        <v>0</v>
      </c>
      <c r="X102" s="59">
        <f t="shared" si="529"/>
        <v>0</v>
      </c>
      <c r="Y102" s="57">
        <f t="shared" si="530"/>
        <v>0</v>
      </c>
      <c r="Z102" s="59">
        <f t="shared" si="531"/>
        <v>0</v>
      </c>
      <c r="AA102" s="55">
        <f t="shared" si="532"/>
        <v>0</v>
      </c>
      <c r="AB102" s="59">
        <f t="shared" si="533"/>
        <v>0</v>
      </c>
      <c r="AC102" s="60">
        <f t="shared" si="534"/>
        <v>0</v>
      </c>
      <c r="AD102" s="59">
        <f t="shared" si="535"/>
        <v>0</v>
      </c>
      <c r="AE102" s="60">
        <f t="shared" si="536"/>
        <v>0</v>
      </c>
      <c r="AF102" s="59">
        <f t="shared" si="537"/>
        <v>0</v>
      </c>
      <c r="AG102" s="60">
        <f t="shared" si="538"/>
        <v>0</v>
      </c>
      <c r="AH102" s="59">
        <f t="shared" si="539"/>
        <v>0</v>
      </c>
      <c r="AI102" s="55">
        <f t="shared" si="540"/>
        <v>0</v>
      </c>
      <c r="AJ102" s="59">
        <f t="shared" si="541"/>
        <v>0</v>
      </c>
      <c r="AK102" s="60">
        <f t="shared" si="542"/>
        <v>0</v>
      </c>
      <c r="AL102" s="59">
        <f t="shared" si="543"/>
        <v>0</v>
      </c>
      <c r="AM102" s="60">
        <f t="shared" si="544"/>
        <v>0</v>
      </c>
      <c r="AN102" s="59">
        <f t="shared" si="545"/>
        <v>0</v>
      </c>
      <c r="AO102" s="60">
        <f t="shared" si="546"/>
        <v>0</v>
      </c>
      <c r="AP102" s="59">
        <f t="shared" si="547"/>
        <v>0</v>
      </c>
      <c r="AQ102" s="60">
        <f t="shared" si="548"/>
        <v>0</v>
      </c>
      <c r="AR102" s="59">
        <f t="shared" si="549"/>
        <v>0</v>
      </c>
      <c r="AS102" s="55">
        <f t="shared" si="550"/>
        <v>0</v>
      </c>
      <c r="AT102" s="59">
        <f t="shared" si="551"/>
        <v>0</v>
      </c>
      <c r="AU102" s="60">
        <f t="shared" si="552"/>
        <v>0</v>
      </c>
      <c r="AV102" s="59">
        <f t="shared" si="553"/>
        <v>0</v>
      </c>
      <c r="AW102" s="60">
        <f t="shared" si="554"/>
        <v>0</v>
      </c>
      <c r="AX102" s="59">
        <f t="shared" si="555"/>
        <v>0</v>
      </c>
      <c r="AY102" s="55">
        <f t="shared" si="556"/>
        <v>0</v>
      </c>
      <c r="AZ102" s="59">
        <f t="shared" si="557"/>
        <v>0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58"/>
        <v>0.91</v>
      </c>
      <c r="BH102" s="55">
        <f t="shared" si="558"/>
        <v>0.89</v>
      </c>
      <c r="BI102" s="55">
        <f t="shared" si="558"/>
        <v>0.87</v>
      </c>
      <c r="BJ102" s="55">
        <f t="shared" si="558"/>
        <v>0.85</v>
      </c>
      <c r="BK102" s="55">
        <f t="shared" si="558"/>
        <v>0.83</v>
      </c>
      <c r="BL102" s="55">
        <f t="shared" si="558"/>
        <v>0.80999999999999994</v>
      </c>
      <c r="BM102" s="55">
        <f t="shared" si="558"/>
        <v>0.78999999999999992</v>
      </c>
      <c r="BN102" s="55">
        <f t="shared" si="558"/>
        <v>0.76999999999999991</v>
      </c>
      <c r="BO102" s="55">
        <f t="shared" si="558"/>
        <v>0.74999999999999989</v>
      </c>
      <c r="BP102" s="55">
        <f t="shared" si="558"/>
        <v>0.72999999999999987</v>
      </c>
      <c r="BQ102" s="55">
        <f t="shared" si="558"/>
        <v>0.70999999999999985</v>
      </c>
      <c r="BR102" s="55">
        <f t="shared" si="558"/>
        <v>0.68999999999999984</v>
      </c>
      <c r="BS102" s="55">
        <f t="shared" si="558"/>
        <v>0.66999999999999982</v>
      </c>
      <c r="BT102" s="55">
        <f t="shared" si="558"/>
        <v>0.6499999999999998</v>
      </c>
      <c r="BU102" s="55">
        <f t="shared" si="558"/>
        <v>0.62999999999999978</v>
      </c>
      <c r="BV102" s="55">
        <f t="shared" si="558"/>
        <v>0.60999999999999976</v>
      </c>
      <c r="BW102" s="55">
        <f t="shared" si="558"/>
        <v>0.58999999999999975</v>
      </c>
      <c r="BX102" s="55">
        <f t="shared" si="558"/>
        <v>0.56999999999999973</v>
      </c>
      <c r="BZ102" s="55">
        <f t="shared" si="508"/>
        <v>0</v>
      </c>
      <c r="CA102" s="55">
        <f t="shared" si="509"/>
        <v>0</v>
      </c>
      <c r="CB102" s="59">
        <f t="shared" si="559"/>
        <v>0</v>
      </c>
      <c r="CC102" s="55">
        <f t="shared" si="560"/>
        <v>0</v>
      </c>
      <c r="CD102" s="59">
        <f t="shared" si="561"/>
        <v>0</v>
      </c>
      <c r="CE102" s="55">
        <f t="shared" si="562"/>
        <v>0</v>
      </c>
      <c r="CF102" s="59">
        <f t="shared" si="563"/>
        <v>0</v>
      </c>
      <c r="CG102" s="55">
        <f t="shared" si="564"/>
        <v>0</v>
      </c>
      <c r="CH102" s="59">
        <f t="shared" si="565"/>
        <v>0</v>
      </c>
      <c r="CI102" s="57">
        <f t="shared" si="566"/>
        <v>0</v>
      </c>
      <c r="CJ102" s="59">
        <f t="shared" si="567"/>
        <v>0</v>
      </c>
      <c r="CK102" s="55">
        <f t="shared" si="568"/>
        <v>0</v>
      </c>
      <c r="CL102" s="59">
        <f t="shared" si="569"/>
        <v>0</v>
      </c>
      <c r="CM102" s="57">
        <f t="shared" si="570"/>
        <v>0</v>
      </c>
      <c r="CN102" s="59">
        <f t="shared" si="571"/>
        <v>0</v>
      </c>
      <c r="CO102" s="60">
        <f t="shared" si="572"/>
        <v>0</v>
      </c>
      <c r="CP102" s="59">
        <f t="shared" si="573"/>
        <v>0</v>
      </c>
      <c r="CQ102" s="57">
        <f t="shared" si="574"/>
        <v>0</v>
      </c>
      <c r="CR102" s="59">
        <f t="shared" si="575"/>
        <v>0</v>
      </c>
      <c r="CS102" s="55">
        <f t="shared" si="576"/>
        <v>0</v>
      </c>
      <c r="CT102" s="59">
        <f t="shared" si="577"/>
        <v>0</v>
      </c>
      <c r="CU102" s="60">
        <f t="shared" si="578"/>
        <v>0</v>
      </c>
      <c r="CV102" s="59">
        <f t="shared" si="579"/>
        <v>0</v>
      </c>
      <c r="CW102" s="60">
        <f t="shared" si="580"/>
        <v>0</v>
      </c>
      <c r="CX102" s="59">
        <f t="shared" si="581"/>
        <v>0</v>
      </c>
      <c r="CY102" s="60">
        <f t="shared" si="582"/>
        <v>0</v>
      </c>
      <c r="CZ102" s="59">
        <f t="shared" si="583"/>
        <v>0</v>
      </c>
      <c r="DA102" s="55">
        <f t="shared" si="584"/>
        <v>0</v>
      </c>
      <c r="DB102" s="59">
        <f t="shared" si="585"/>
        <v>0</v>
      </c>
      <c r="DC102" s="60">
        <f t="shared" si="586"/>
        <v>0</v>
      </c>
      <c r="DD102" s="59">
        <f t="shared" si="587"/>
        <v>0</v>
      </c>
      <c r="DE102" s="60">
        <f t="shared" si="588"/>
        <v>0</v>
      </c>
      <c r="DF102" s="59">
        <f t="shared" si="589"/>
        <v>0</v>
      </c>
      <c r="DG102" s="60">
        <f t="shared" si="590"/>
        <v>0</v>
      </c>
      <c r="DH102" s="59">
        <f t="shared" si="591"/>
        <v>0</v>
      </c>
      <c r="DI102" s="60">
        <f t="shared" si="592"/>
        <v>0</v>
      </c>
      <c r="DJ102" s="59">
        <f t="shared" si="593"/>
        <v>0</v>
      </c>
      <c r="DK102" s="55">
        <f t="shared" si="594"/>
        <v>0</v>
      </c>
      <c r="DL102" s="59">
        <f t="shared" si="595"/>
        <v>0</v>
      </c>
      <c r="DM102" s="60">
        <f t="shared" si="596"/>
        <v>0</v>
      </c>
      <c r="DN102" s="59">
        <f t="shared" si="597"/>
        <v>0</v>
      </c>
      <c r="DO102" s="60">
        <f t="shared" si="598"/>
        <v>0</v>
      </c>
      <c r="DP102" s="59">
        <f t="shared" si="599"/>
        <v>0</v>
      </c>
      <c r="DQ102" s="55">
        <f t="shared" si="600"/>
        <v>0</v>
      </c>
      <c r="DR102" s="59">
        <f t="shared" si="601"/>
        <v>0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47"/>
        <v>0.91</v>
      </c>
      <c r="DZ102" s="55">
        <f t="shared" si="647"/>
        <v>0.89</v>
      </c>
      <c r="EA102" s="55">
        <f t="shared" si="647"/>
        <v>0.87</v>
      </c>
      <c r="EB102" s="55">
        <f t="shared" si="647"/>
        <v>0.85</v>
      </c>
      <c r="EC102" s="55">
        <f t="shared" si="647"/>
        <v>0.83</v>
      </c>
      <c r="ED102" s="55">
        <f t="shared" si="647"/>
        <v>0.80999999999999994</v>
      </c>
      <c r="EE102" s="55">
        <f t="shared" si="647"/>
        <v>0.78999999999999992</v>
      </c>
      <c r="EF102" s="55">
        <f t="shared" si="647"/>
        <v>0.76999999999999991</v>
      </c>
      <c r="EG102" s="55">
        <f t="shared" si="647"/>
        <v>0.74999999999999989</v>
      </c>
      <c r="EH102" s="55">
        <f t="shared" si="647"/>
        <v>0.72999999999999987</v>
      </c>
      <c r="EI102" s="55">
        <f t="shared" si="647"/>
        <v>0.70999999999999985</v>
      </c>
      <c r="EJ102" s="55">
        <f t="shared" si="647"/>
        <v>0.68999999999999984</v>
      </c>
      <c r="EK102" s="55">
        <f t="shared" si="647"/>
        <v>0.66999999999999982</v>
      </c>
      <c r="EL102" s="55">
        <f t="shared" si="647"/>
        <v>0.6499999999999998</v>
      </c>
      <c r="EM102" s="55">
        <f t="shared" si="647"/>
        <v>0.62999999999999978</v>
      </c>
      <c r="EN102" s="55">
        <f t="shared" si="647"/>
        <v>0.60999999999999976</v>
      </c>
      <c r="EO102" s="55">
        <f t="shared" si="647"/>
        <v>0.58999999999999975</v>
      </c>
      <c r="EP102" s="55">
        <f t="shared" si="647"/>
        <v>0.56999999999999973</v>
      </c>
      <c r="ER102" s="55">
        <f t="shared" si="648"/>
        <v>0</v>
      </c>
      <c r="ES102" s="55">
        <f t="shared" si="510"/>
        <v>0</v>
      </c>
      <c r="ET102" s="59">
        <f t="shared" si="602"/>
        <v>0</v>
      </c>
      <c r="EU102" s="55">
        <f t="shared" si="603"/>
        <v>0</v>
      </c>
      <c r="EV102" s="59">
        <f t="shared" si="604"/>
        <v>0</v>
      </c>
      <c r="EW102" s="55">
        <f t="shared" si="605"/>
        <v>0</v>
      </c>
      <c r="EX102" s="59">
        <f t="shared" si="606"/>
        <v>0</v>
      </c>
      <c r="EY102" s="55">
        <f t="shared" si="607"/>
        <v>0</v>
      </c>
      <c r="EZ102" s="59">
        <f t="shared" si="608"/>
        <v>0</v>
      </c>
      <c r="FA102" s="57">
        <f t="shared" si="609"/>
        <v>0</v>
      </c>
      <c r="FB102" s="59">
        <f t="shared" si="610"/>
        <v>0</v>
      </c>
      <c r="FC102" s="55">
        <f t="shared" si="611"/>
        <v>0</v>
      </c>
      <c r="FD102" s="59">
        <f t="shared" si="612"/>
        <v>0</v>
      </c>
      <c r="FE102" s="57">
        <f t="shared" si="613"/>
        <v>0</v>
      </c>
      <c r="FF102" s="59">
        <f t="shared" si="614"/>
        <v>0</v>
      </c>
      <c r="FG102" s="60">
        <f t="shared" si="615"/>
        <v>0</v>
      </c>
      <c r="FH102" s="59">
        <f t="shared" si="616"/>
        <v>0</v>
      </c>
      <c r="FI102" s="57">
        <f t="shared" si="617"/>
        <v>0</v>
      </c>
      <c r="FJ102" s="59">
        <f t="shared" si="618"/>
        <v>0</v>
      </c>
      <c r="FK102" s="55">
        <f t="shared" si="619"/>
        <v>0</v>
      </c>
      <c r="FL102" s="59">
        <f t="shared" si="620"/>
        <v>0</v>
      </c>
      <c r="FM102" s="60">
        <f t="shared" si="621"/>
        <v>0</v>
      </c>
      <c r="FN102" s="59">
        <f t="shared" si="622"/>
        <v>0</v>
      </c>
      <c r="FO102" s="60">
        <f t="shared" si="623"/>
        <v>0</v>
      </c>
      <c r="FP102" s="59">
        <f t="shared" si="624"/>
        <v>0</v>
      </c>
      <c r="FQ102" s="60">
        <f t="shared" si="625"/>
        <v>0</v>
      </c>
      <c r="FR102" s="59">
        <f t="shared" si="626"/>
        <v>0</v>
      </c>
      <c r="FS102" s="55">
        <f t="shared" si="627"/>
        <v>0</v>
      </c>
      <c r="FT102" s="59">
        <f t="shared" si="628"/>
        <v>0</v>
      </c>
      <c r="FU102" s="60">
        <f t="shared" si="629"/>
        <v>0</v>
      </c>
      <c r="FV102" s="59">
        <f t="shared" si="630"/>
        <v>0</v>
      </c>
      <c r="FW102" s="60">
        <f t="shared" si="631"/>
        <v>0</v>
      </c>
      <c r="FX102" s="59">
        <f t="shared" si="632"/>
        <v>0</v>
      </c>
      <c r="FY102" s="60">
        <f t="shared" si="633"/>
        <v>0</v>
      </c>
      <c r="FZ102" s="59">
        <f t="shared" si="634"/>
        <v>0</v>
      </c>
      <c r="GA102" s="60">
        <f t="shared" si="635"/>
        <v>0</v>
      </c>
      <c r="GB102" s="59">
        <f t="shared" si="636"/>
        <v>0</v>
      </c>
      <c r="GC102" s="55">
        <f t="shared" si="637"/>
        <v>0</v>
      </c>
      <c r="GD102" s="59">
        <f t="shared" si="638"/>
        <v>0</v>
      </c>
      <c r="GE102" s="60">
        <f t="shared" si="639"/>
        <v>0</v>
      </c>
      <c r="GF102" s="59">
        <f t="shared" si="640"/>
        <v>0</v>
      </c>
      <c r="GG102" s="60">
        <f t="shared" si="641"/>
        <v>0</v>
      </c>
      <c r="GH102" s="59">
        <f t="shared" si="642"/>
        <v>0</v>
      </c>
      <c r="GI102" s="55">
        <f t="shared" si="643"/>
        <v>0</v>
      </c>
      <c r="GJ102" s="59">
        <f t="shared" si="644"/>
        <v>0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49"/>
        <v>0.91</v>
      </c>
      <c r="GR102" s="55">
        <f t="shared" si="649"/>
        <v>0.89</v>
      </c>
      <c r="GS102" s="55">
        <f t="shared" si="649"/>
        <v>0.87</v>
      </c>
      <c r="GT102" s="55">
        <f t="shared" si="649"/>
        <v>0.85</v>
      </c>
      <c r="GU102" s="55">
        <f t="shared" si="649"/>
        <v>0.83</v>
      </c>
      <c r="GV102" s="55">
        <f t="shared" si="649"/>
        <v>0.80999999999999994</v>
      </c>
      <c r="GW102" s="55">
        <f t="shared" si="649"/>
        <v>0.78999999999999992</v>
      </c>
      <c r="GX102" s="55">
        <f t="shared" si="649"/>
        <v>0.76999999999999991</v>
      </c>
      <c r="GY102" s="55">
        <f t="shared" si="649"/>
        <v>0.74999999999999989</v>
      </c>
      <c r="GZ102" s="55">
        <f t="shared" si="649"/>
        <v>0.72999999999999987</v>
      </c>
      <c r="HA102" s="55">
        <f t="shared" si="649"/>
        <v>0.70999999999999985</v>
      </c>
      <c r="HB102" s="55">
        <f t="shared" si="649"/>
        <v>0.68999999999999984</v>
      </c>
      <c r="HC102" s="55">
        <f t="shared" si="649"/>
        <v>0.66999999999999982</v>
      </c>
      <c r="HD102" s="55">
        <f t="shared" si="649"/>
        <v>0.6499999999999998</v>
      </c>
      <c r="HE102" s="55">
        <f t="shared" si="649"/>
        <v>0.62999999999999978</v>
      </c>
      <c r="HF102" s="55">
        <f t="shared" si="649"/>
        <v>0.60999999999999976</v>
      </c>
      <c r="HG102" s="55">
        <f t="shared" si="649"/>
        <v>0.58999999999999975</v>
      </c>
      <c r="HH102" s="55">
        <f t="shared" si="649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15"/>
        <v>0</v>
      </c>
      <c r="H103" s="55">
        <f t="shared" si="505"/>
        <v>0</v>
      </c>
      <c r="I103" s="55">
        <f t="shared" si="506"/>
        <v>0</v>
      </c>
      <c r="J103" s="59">
        <f t="shared" si="507"/>
        <v>0</v>
      </c>
      <c r="K103" s="55">
        <f t="shared" si="516"/>
        <v>0</v>
      </c>
      <c r="L103" s="59">
        <f t="shared" si="517"/>
        <v>0</v>
      </c>
      <c r="M103" s="55">
        <f t="shared" si="518"/>
        <v>0</v>
      </c>
      <c r="N103" s="59">
        <f t="shared" si="519"/>
        <v>0</v>
      </c>
      <c r="O103" s="55">
        <f t="shared" si="520"/>
        <v>0</v>
      </c>
      <c r="P103" s="59">
        <f t="shared" si="521"/>
        <v>0</v>
      </c>
      <c r="Q103" s="57">
        <f t="shared" si="522"/>
        <v>0</v>
      </c>
      <c r="R103" s="59">
        <f t="shared" si="523"/>
        <v>0</v>
      </c>
      <c r="S103" s="55">
        <f t="shared" si="524"/>
        <v>0</v>
      </c>
      <c r="T103" s="59">
        <f t="shared" si="525"/>
        <v>0</v>
      </c>
      <c r="U103" s="57">
        <f t="shared" si="526"/>
        <v>0</v>
      </c>
      <c r="V103" s="59">
        <f t="shared" si="527"/>
        <v>0</v>
      </c>
      <c r="W103" s="60">
        <f t="shared" si="528"/>
        <v>0</v>
      </c>
      <c r="X103" s="59">
        <f t="shared" si="529"/>
        <v>0</v>
      </c>
      <c r="Y103" s="57">
        <f t="shared" si="530"/>
        <v>0</v>
      </c>
      <c r="Z103" s="59">
        <f t="shared" si="531"/>
        <v>0</v>
      </c>
      <c r="AA103" s="55">
        <f t="shared" si="532"/>
        <v>0</v>
      </c>
      <c r="AB103" s="59">
        <f t="shared" si="533"/>
        <v>0</v>
      </c>
      <c r="AC103" s="60">
        <f t="shared" si="534"/>
        <v>0</v>
      </c>
      <c r="AD103" s="59">
        <f t="shared" si="535"/>
        <v>0</v>
      </c>
      <c r="AE103" s="60">
        <f t="shared" si="536"/>
        <v>0</v>
      </c>
      <c r="AF103" s="59">
        <f t="shared" si="537"/>
        <v>0</v>
      </c>
      <c r="AG103" s="60">
        <f t="shared" si="538"/>
        <v>0</v>
      </c>
      <c r="AH103" s="59">
        <f t="shared" si="539"/>
        <v>0</v>
      </c>
      <c r="AI103" s="55">
        <f t="shared" si="540"/>
        <v>0</v>
      </c>
      <c r="AJ103" s="59">
        <f t="shared" si="541"/>
        <v>0</v>
      </c>
      <c r="AK103" s="60">
        <f t="shared" si="542"/>
        <v>0</v>
      </c>
      <c r="AL103" s="59">
        <f t="shared" si="543"/>
        <v>0</v>
      </c>
      <c r="AM103" s="60">
        <f t="shared" si="544"/>
        <v>0</v>
      </c>
      <c r="AN103" s="59">
        <f t="shared" si="545"/>
        <v>0</v>
      </c>
      <c r="AO103" s="60">
        <f t="shared" si="546"/>
        <v>0</v>
      </c>
      <c r="AP103" s="59">
        <f t="shared" si="547"/>
        <v>0</v>
      </c>
      <c r="AQ103" s="60">
        <f t="shared" si="548"/>
        <v>0</v>
      </c>
      <c r="AR103" s="59">
        <f t="shared" si="549"/>
        <v>0</v>
      </c>
      <c r="AS103" s="55">
        <f t="shared" si="550"/>
        <v>0</v>
      </c>
      <c r="AT103" s="59">
        <f t="shared" si="551"/>
        <v>0</v>
      </c>
      <c r="AU103" s="60">
        <f t="shared" si="552"/>
        <v>0</v>
      </c>
      <c r="AV103" s="59">
        <f t="shared" si="553"/>
        <v>0</v>
      </c>
      <c r="AW103" s="60">
        <f t="shared" si="554"/>
        <v>0</v>
      </c>
      <c r="AX103" s="59">
        <f t="shared" si="555"/>
        <v>0</v>
      </c>
      <c r="AY103" s="55">
        <f t="shared" si="556"/>
        <v>0</v>
      </c>
      <c r="AZ103" s="59">
        <f t="shared" si="557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58"/>
        <v>0.91</v>
      </c>
      <c r="BH103" s="55">
        <f t="shared" si="558"/>
        <v>0.89</v>
      </c>
      <c r="BI103" s="55">
        <f t="shared" si="558"/>
        <v>0.87</v>
      </c>
      <c r="BJ103" s="55">
        <f t="shared" si="558"/>
        <v>0.85</v>
      </c>
      <c r="BK103" s="55">
        <f t="shared" si="558"/>
        <v>0.83</v>
      </c>
      <c r="BL103" s="55">
        <f t="shared" si="558"/>
        <v>0.80999999999999994</v>
      </c>
      <c r="BM103" s="55">
        <f t="shared" si="558"/>
        <v>0.78999999999999992</v>
      </c>
      <c r="BN103" s="55">
        <f t="shared" si="558"/>
        <v>0.76999999999999991</v>
      </c>
      <c r="BO103" s="55">
        <f t="shared" si="558"/>
        <v>0.74999999999999989</v>
      </c>
      <c r="BP103" s="55">
        <f t="shared" si="558"/>
        <v>0.72999999999999987</v>
      </c>
      <c r="BQ103" s="55">
        <f t="shared" si="558"/>
        <v>0.70999999999999985</v>
      </c>
      <c r="BR103" s="55">
        <f t="shared" si="558"/>
        <v>0.68999999999999984</v>
      </c>
      <c r="BS103" s="55">
        <f t="shared" si="558"/>
        <v>0.66999999999999982</v>
      </c>
      <c r="BT103" s="55">
        <f t="shared" si="558"/>
        <v>0.6499999999999998</v>
      </c>
      <c r="BU103" s="55">
        <f t="shared" si="558"/>
        <v>0.62999999999999978</v>
      </c>
      <c r="BV103" s="55">
        <f t="shared" si="558"/>
        <v>0.60999999999999976</v>
      </c>
      <c r="BW103" s="55">
        <f t="shared" si="558"/>
        <v>0.58999999999999975</v>
      </c>
      <c r="BX103" s="55">
        <f t="shared" si="558"/>
        <v>0.56999999999999973</v>
      </c>
      <c r="BZ103" s="55">
        <f t="shared" si="508"/>
        <v>0</v>
      </c>
      <c r="CA103" s="55">
        <f t="shared" si="509"/>
        <v>0</v>
      </c>
      <c r="CB103" s="59">
        <f t="shared" si="559"/>
        <v>0</v>
      </c>
      <c r="CC103" s="55">
        <f t="shared" si="560"/>
        <v>0</v>
      </c>
      <c r="CD103" s="59">
        <f t="shared" si="561"/>
        <v>0</v>
      </c>
      <c r="CE103" s="55">
        <f t="shared" si="562"/>
        <v>0</v>
      </c>
      <c r="CF103" s="59">
        <f t="shared" si="563"/>
        <v>0</v>
      </c>
      <c r="CG103" s="55">
        <f t="shared" si="564"/>
        <v>0</v>
      </c>
      <c r="CH103" s="59">
        <f t="shared" si="565"/>
        <v>0</v>
      </c>
      <c r="CI103" s="57">
        <f t="shared" si="566"/>
        <v>0</v>
      </c>
      <c r="CJ103" s="59">
        <f t="shared" si="567"/>
        <v>0</v>
      </c>
      <c r="CK103" s="55">
        <f t="shared" si="568"/>
        <v>0</v>
      </c>
      <c r="CL103" s="59">
        <f t="shared" si="569"/>
        <v>0</v>
      </c>
      <c r="CM103" s="57">
        <f t="shared" si="570"/>
        <v>0</v>
      </c>
      <c r="CN103" s="59">
        <f t="shared" si="571"/>
        <v>0</v>
      </c>
      <c r="CO103" s="60">
        <f t="shared" si="572"/>
        <v>0</v>
      </c>
      <c r="CP103" s="59">
        <f t="shared" si="573"/>
        <v>0</v>
      </c>
      <c r="CQ103" s="57">
        <f t="shared" si="574"/>
        <v>0</v>
      </c>
      <c r="CR103" s="59">
        <f t="shared" si="575"/>
        <v>0</v>
      </c>
      <c r="CS103" s="55">
        <f t="shared" si="576"/>
        <v>0</v>
      </c>
      <c r="CT103" s="59">
        <f t="shared" si="577"/>
        <v>0</v>
      </c>
      <c r="CU103" s="60">
        <f t="shared" si="578"/>
        <v>0</v>
      </c>
      <c r="CV103" s="59">
        <f t="shared" si="579"/>
        <v>0</v>
      </c>
      <c r="CW103" s="60">
        <f t="shared" si="580"/>
        <v>0</v>
      </c>
      <c r="CX103" s="59">
        <f t="shared" si="581"/>
        <v>0</v>
      </c>
      <c r="CY103" s="60">
        <f t="shared" si="582"/>
        <v>0</v>
      </c>
      <c r="CZ103" s="59">
        <f t="shared" si="583"/>
        <v>0</v>
      </c>
      <c r="DA103" s="55">
        <f t="shared" si="584"/>
        <v>0</v>
      </c>
      <c r="DB103" s="59">
        <f t="shared" si="585"/>
        <v>0</v>
      </c>
      <c r="DC103" s="60">
        <f t="shared" si="586"/>
        <v>0</v>
      </c>
      <c r="DD103" s="59">
        <f t="shared" si="587"/>
        <v>0</v>
      </c>
      <c r="DE103" s="60">
        <f t="shared" si="588"/>
        <v>0</v>
      </c>
      <c r="DF103" s="59">
        <f t="shared" si="589"/>
        <v>0</v>
      </c>
      <c r="DG103" s="60">
        <f t="shared" si="590"/>
        <v>0</v>
      </c>
      <c r="DH103" s="59">
        <f t="shared" si="591"/>
        <v>0</v>
      </c>
      <c r="DI103" s="60">
        <f t="shared" si="592"/>
        <v>0</v>
      </c>
      <c r="DJ103" s="59">
        <f t="shared" si="593"/>
        <v>0</v>
      </c>
      <c r="DK103" s="55">
        <f t="shared" si="594"/>
        <v>0</v>
      </c>
      <c r="DL103" s="59">
        <f t="shared" si="595"/>
        <v>0</v>
      </c>
      <c r="DM103" s="60">
        <f t="shared" si="596"/>
        <v>0</v>
      </c>
      <c r="DN103" s="59">
        <f t="shared" si="597"/>
        <v>0</v>
      </c>
      <c r="DO103" s="60">
        <f t="shared" si="598"/>
        <v>0</v>
      </c>
      <c r="DP103" s="59">
        <f t="shared" si="599"/>
        <v>0</v>
      </c>
      <c r="DQ103" s="55">
        <f t="shared" si="600"/>
        <v>0</v>
      </c>
      <c r="DR103" s="59">
        <f t="shared" si="601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47"/>
        <v>0.91</v>
      </c>
      <c r="DZ103" s="55">
        <f t="shared" si="647"/>
        <v>0.89</v>
      </c>
      <c r="EA103" s="55">
        <f t="shared" si="647"/>
        <v>0.87</v>
      </c>
      <c r="EB103" s="55">
        <f t="shared" si="647"/>
        <v>0.85</v>
      </c>
      <c r="EC103" s="55">
        <f t="shared" si="647"/>
        <v>0.83</v>
      </c>
      <c r="ED103" s="55">
        <f t="shared" si="647"/>
        <v>0.80999999999999994</v>
      </c>
      <c r="EE103" s="55">
        <f t="shared" si="647"/>
        <v>0.78999999999999992</v>
      </c>
      <c r="EF103" s="55">
        <f t="shared" si="647"/>
        <v>0.76999999999999991</v>
      </c>
      <c r="EG103" s="55">
        <f t="shared" si="647"/>
        <v>0.74999999999999989</v>
      </c>
      <c r="EH103" s="55">
        <f t="shared" si="647"/>
        <v>0.72999999999999987</v>
      </c>
      <c r="EI103" s="55">
        <f t="shared" si="647"/>
        <v>0.70999999999999985</v>
      </c>
      <c r="EJ103" s="55">
        <f t="shared" si="647"/>
        <v>0.68999999999999984</v>
      </c>
      <c r="EK103" s="55">
        <f t="shared" si="647"/>
        <v>0.66999999999999982</v>
      </c>
      <c r="EL103" s="55">
        <f t="shared" si="647"/>
        <v>0.6499999999999998</v>
      </c>
      <c r="EM103" s="55">
        <f t="shared" si="647"/>
        <v>0.62999999999999978</v>
      </c>
      <c r="EN103" s="55">
        <f t="shared" si="647"/>
        <v>0.60999999999999976</v>
      </c>
      <c r="EO103" s="55">
        <f t="shared" si="647"/>
        <v>0.58999999999999975</v>
      </c>
      <c r="EP103" s="55">
        <f t="shared" si="647"/>
        <v>0.56999999999999973</v>
      </c>
      <c r="ER103" s="55">
        <f t="shared" si="648"/>
        <v>0</v>
      </c>
      <c r="ES103" s="55">
        <f t="shared" si="510"/>
        <v>0</v>
      </c>
      <c r="ET103" s="59">
        <f t="shared" si="602"/>
        <v>0</v>
      </c>
      <c r="EU103" s="55">
        <f t="shared" si="603"/>
        <v>0</v>
      </c>
      <c r="EV103" s="59">
        <f t="shared" si="604"/>
        <v>0</v>
      </c>
      <c r="EW103" s="55">
        <f t="shared" si="605"/>
        <v>0</v>
      </c>
      <c r="EX103" s="59">
        <f t="shared" si="606"/>
        <v>0</v>
      </c>
      <c r="EY103" s="55">
        <f t="shared" si="607"/>
        <v>0</v>
      </c>
      <c r="EZ103" s="59">
        <f t="shared" si="608"/>
        <v>0</v>
      </c>
      <c r="FA103" s="57">
        <f t="shared" si="609"/>
        <v>0</v>
      </c>
      <c r="FB103" s="59">
        <f t="shared" si="610"/>
        <v>0</v>
      </c>
      <c r="FC103" s="55">
        <f t="shared" si="611"/>
        <v>0</v>
      </c>
      <c r="FD103" s="59">
        <f t="shared" si="612"/>
        <v>0</v>
      </c>
      <c r="FE103" s="57">
        <f t="shared" si="613"/>
        <v>0</v>
      </c>
      <c r="FF103" s="59">
        <f t="shared" si="614"/>
        <v>0</v>
      </c>
      <c r="FG103" s="60">
        <f t="shared" si="615"/>
        <v>0</v>
      </c>
      <c r="FH103" s="59">
        <f t="shared" si="616"/>
        <v>0</v>
      </c>
      <c r="FI103" s="57">
        <f t="shared" si="617"/>
        <v>0</v>
      </c>
      <c r="FJ103" s="59">
        <f t="shared" si="618"/>
        <v>0</v>
      </c>
      <c r="FK103" s="55">
        <f t="shared" si="619"/>
        <v>0</v>
      </c>
      <c r="FL103" s="59">
        <f t="shared" si="620"/>
        <v>0</v>
      </c>
      <c r="FM103" s="60">
        <f t="shared" si="621"/>
        <v>0</v>
      </c>
      <c r="FN103" s="59">
        <f t="shared" si="622"/>
        <v>0</v>
      </c>
      <c r="FO103" s="60">
        <f t="shared" si="623"/>
        <v>0</v>
      </c>
      <c r="FP103" s="59">
        <f t="shared" si="624"/>
        <v>0</v>
      </c>
      <c r="FQ103" s="60">
        <f t="shared" si="625"/>
        <v>0</v>
      </c>
      <c r="FR103" s="59">
        <f t="shared" si="626"/>
        <v>0</v>
      </c>
      <c r="FS103" s="55">
        <f t="shared" si="627"/>
        <v>0</v>
      </c>
      <c r="FT103" s="59">
        <f t="shared" si="628"/>
        <v>0</v>
      </c>
      <c r="FU103" s="60">
        <f t="shared" si="629"/>
        <v>0</v>
      </c>
      <c r="FV103" s="59">
        <f t="shared" si="630"/>
        <v>0</v>
      </c>
      <c r="FW103" s="60">
        <f t="shared" si="631"/>
        <v>0</v>
      </c>
      <c r="FX103" s="59">
        <f t="shared" si="632"/>
        <v>0</v>
      </c>
      <c r="FY103" s="60">
        <f t="shared" si="633"/>
        <v>0</v>
      </c>
      <c r="FZ103" s="59">
        <f t="shared" si="634"/>
        <v>0</v>
      </c>
      <c r="GA103" s="60">
        <f t="shared" si="635"/>
        <v>0</v>
      </c>
      <c r="GB103" s="59">
        <f t="shared" si="636"/>
        <v>0</v>
      </c>
      <c r="GC103" s="55">
        <f t="shared" si="637"/>
        <v>0</v>
      </c>
      <c r="GD103" s="59">
        <f t="shared" si="638"/>
        <v>0</v>
      </c>
      <c r="GE103" s="60">
        <f t="shared" si="639"/>
        <v>0</v>
      </c>
      <c r="GF103" s="59">
        <f t="shared" si="640"/>
        <v>0</v>
      </c>
      <c r="GG103" s="60">
        <f t="shared" si="641"/>
        <v>0</v>
      </c>
      <c r="GH103" s="59">
        <f t="shared" si="642"/>
        <v>0</v>
      </c>
      <c r="GI103" s="55">
        <f t="shared" si="643"/>
        <v>0</v>
      </c>
      <c r="GJ103" s="59">
        <f t="shared" si="644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49"/>
        <v>0.91</v>
      </c>
      <c r="GR103" s="55">
        <f t="shared" si="649"/>
        <v>0.89</v>
      </c>
      <c r="GS103" s="55">
        <f t="shared" si="649"/>
        <v>0.87</v>
      </c>
      <c r="GT103" s="55">
        <f t="shared" si="649"/>
        <v>0.85</v>
      </c>
      <c r="GU103" s="55">
        <f t="shared" si="649"/>
        <v>0.83</v>
      </c>
      <c r="GV103" s="55">
        <f t="shared" si="649"/>
        <v>0.80999999999999994</v>
      </c>
      <c r="GW103" s="55">
        <f t="shared" si="649"/>
        <v>0.78999999999999992</v>
      </c>
      <c r="GX103" s="55">
        <f t="shared" si="649"/>
        <v>0.76999999999999991</v>
      </c>
      <c r="GY103" s="55">
        <f t="shared" si="649"/>
        <v>0.74999999999999989</v>
      </c>
      <c r="GZ103" s="55">
        <f t="shared" si="649"/>
        <v>0.72999999999999987</v>
      </c>
      <c r="HA103" s="55">
        <f t="shared" si="649"/>
        <v>0.70999999999999985</v>
      </c>
      <c r="HB103" s="55">
        <f t="shared" si="649"/>
        <v>0.68999999999999984</v>
      </c>
      <c r="HC103" s="55">
        <f t="shared" si="649"/>
        <v>0.66999999999999982</v>
      </c>
      <c r="HD103" s="55">
        <f t="shared" si="649"/>
        <v>0.6499999999999998</v>
      </c>
      <c r="HE103" s="55">
        <f t="shared" si="649"/>
        <v>0.62999999999999978</v>
      </c>
      <c r="HF103" s="55">
        <f t="shared" si="649"/>
        <v>0.60999999999999976</v>
      </c>
      <c r="HG103" s="55">
        <f t="shared" si="649"/>
        <v>0.58999999999999975</v>
      </c>
      <c r="HH103" s="55">
        <f t="shared" si="649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15"/>
        <v>0</v>
      </c>
      <c r="H104" s="55">
        <f t="shared" si="505"/>
        <v>0</v>
      </c>
      <c r="I104" s="55">
        <f t="shared" si="506"/>
        <v>0</v>
      </c>
      <c r="J104" s="59">
        <f t="shared" si="507"/>
        <v>0</v>
      </c>
      <c r="K104" s="55">
        <f t="shared" si="516"/>
        <v>0</v>
      </c>
      <c r="L104" s="59">
        <f t="shared" si="517"/>
        <v>0</v>
      </c>
      <c r="M104" s="55">
        <f t="shared" si="518"/>
        <v>0</v>
      </c>
      <c r="N104" s="59">
        <f t="shared" si="519"/>
        <v>0</v>
      </c>
      <c r="O104" s="55">
        <f t="shared" si="520"/>
        <v>0</v>
      </c>
      <c r="P104" s="59">
        <f t="shared" si="521"/>
        <v>0</v>
      </c>
      <c r="Q104" s="57">
        <f t="shared" si="522"/>
        <v>0</v>
      </c>
      <c r="R104" s="59">
        <f t="shared" si="523"/>
        <v>0</v>
      </c>
      <c r="S104" s="55">
        <f t="shared" si="524"/>
        <v>0</v>
      </c>
      <c r="T104" s="59">
        <f t="shared" si="525"/>
        <v>0</v>
      </c>
      <c r="U104" s="57">
        <f t="shared" si="526"/>
        <v>0</v>
      </c>
      <c r="V104" s="59">
        <f t="shared" si="527"/>
        <v>0</v>
      </c>
      <c r="W104" s="60">
        <f t="shared" si="528"/>
        <v>0</v>
      </c>
      <c r="X104" s="59">
        <f t="shared" si="529"/>
        <v>0</v>
      </c>
      <c r="Y104" s="57">
        <f t="shared" si="530"/>
        <v>0</v>
      </c>
      <c r="Z104" s="59">
        <f t="shared" si="531"/>
        <v>0</v>
      </c>
      <c r="AA104" s="55">
        <f t="shared" si="532"/>
        <v>0</v>
      </c>
      <c r="AB104" s="59">
        <f t="shared" si="533"/>
        <v>0</v>
      </c>
      <c r="AC104" s="60">
        <f t="shared" si="534"/>
        <v>0</v>
      </c>
      <c r="AD104" s="59">
        <f t="shared" si="535"/>
        <v>0</v>
      </c>
      <c r="AE104" s="60">
        <f t="shared" si="536"/>
        <v>0</v>
      </c>
      <c r="AF104" s="59">
        <f t="shared" si="537"/>
        <v>0</v>
      </c>
      <c r="AG104" s="60">
        <f t="shared" si="538"/>
        <v>0</v>
      </c>
      <c r="AH104" s="59">
        <f t="shared" si="539"/>
        <v>0</v>
      </c>
      <c r="AI104" s="55">
        <f t="shared" si="540"/>
        <v>0</v>
      </c>
      <c r="AJ104" s="59">
        <f t="shared" si="541"/>
        <v>0</v>
      </c>
      <c r="AK104" s="60">
        <f t="shared" si="542"/>
        <v>0</v>
      </c>
      <c r="AL104" s="59">
        <f t="shared" si="543"/>
        <v>0</v>
      </c>
      <c r="AM104" s="60">
        <f t="shared" si="544"/>
        <v>0</v>
      </c>
      <c r="AN104" s="59">
        <f t="shared" si="545"/>
        <v>0</v>
      </c>
      <c r="AO104" s="60">
        <f t="shared" si="546"/>
        <v>0</v>
      </c>
      <c r="AP104" s="59">
        <f t="shared" si="547"/>
        <v>0</v>
      </c>
      <c r="AQ104" s="60">
        <f t="shared" si="548"/>
        <v>0</v>
      </c>
      <c r="AR104" s="59">
        <f t="shared" si="549"/>
        <v>0</v>
      </c>
      <c r="AS104" s="55">
        <f t="shared" si="550"/>
        <v>0</v>
      </c>
      <c r="AT104" s="59">
        <f t="shared" si="551"/>
        <v>0</v>
      </c>
      <c r="AU104" s="60">
        <f t="shared" si="552"/>
        <v>0</v>
      </c>
      <c r="AV104" s="59">
        <f t="shared" si="553"/>
        <v>0</v>
      </c>
      <c r="AW104" s="60">
        <f t="shared" si="554"/>
        <v>0</v>
      </c>
      <c r="AX104" s="59">
        <f t="shared" si="555"/>
        <v>0</v>
      </c>
      <c r="AY104" s="55">
        <f t="shared" si="556"/>
        <v>0</v>
      </c>
      <c r="AZ104" s="59">
        <f t="shared" si="557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58"/>
        <v>0.91</v>
      </c>
      <c r="BH104" s="55">
        <f t="shared" si="558"/>
        <v>0.89</v>
      </c>
      <c r="BI104" s="55">
        <f t="shared" si="558"/>
        <v>0.87</v>
      </c>
      <c r="BJ104" s="55">
        <f t="shared" si="558"/>
        <v>0.85</v>
      </c>
      <c r="BK104" s="55">
        <f t="shared" si="558"/>
        <v>0.83</v>
      </c>
      <c r="BL104" s="55">
        <f t="shared" si="558"/>
        <v>0.80999999999999994</v>
      </c>
      <c r="BM104" s="55">
        <f t="shared" si="558"/>
        <v>0.78999999999999992</v>
      </c>
      <c r="BN104" s="55">
        <f t="shared" si="558"/>
        <v>0.76999999999999991</v>
      </c>
      <c r="BO104" s="55">
        <f t="shared" si="558"/>
        <v>0.74999999999999989</v>
      </c>
      <c r="BP104" s="55">
        <f t="shared" si="558"/>
        <v>0.72999999999999987</v>
      </c>
      <c r="BQ104" s="55">
        <f t="shared" si="558"/>
        <v>0.70999999999999985</v>
      </c>
      <c r="BR104" s="55">
        <f t="shared" si="558"/>
        <v>0.68999999999999984</v>
      </c>
      <c r="BS104" s="55">
        <f t="shared" si="558"/>
        <v>0.66999999999999982</v>
      </c>
      <c r="BT104" s="55">
        <f t="shared" si="558"/>
        <v>0.6499999999999998</v>
      </c>
      <c r="BU104" s="55">
        <f t="shared" si="558"/>
        <v>0.62999999999999978</v>
      </c>
      <c r="BV104" s="55">
        <f t="shared" si="558"/>
        <v>0.60999999999999976</v>
      </c>
      <c r="BW104" s="55">
        <f t="shared" si="558"/>
        <v>0.58999999999999975</v>
      </c>
      <c r="BX104" s="55">
        <f t="shared" si="558"/>
        <v>0.56999999999999973</v>
      </c>
      <c r="BZ104" s="55">
        <f t="shared" si="508"/>
        <v>0</v>
      </c>
      <c r="CA104" s="55">
        <f t="shared" si="509"/>
        <v>0</v>
      </c>
      <c r="CB104" s="59">
        <f t="shared" si="559"/>
        <v>0</v>
      </c>
      <c r="CC104" s="55">
        <f t="shared" si="560"/>
        <v>0</v>
      </c>
      <c r="CD104" s="59">
        <f t="shared" si="561"/>
        <v>0</v>
      </c>
      <c r="CE104" s="55">
        <f t="shared" si="562"/>
        <v>0</v>
      </c>
      <c r="CF104" s="59">
        <f t="shared" si="563"/>
        <v>0</v>
      </c>
      <c r="CG104" s="55">
        <f t="shared" si="564"/>
        <v>0</v>
      </c>
      <c r="CH104" s="59">
        <f t="shared" si="565"/>
        <v>0</v>
      </c>
      <c r="CI104" s="57">
        <f t="shared" si="566"/>
        <v>0</v>
      </c>
      <c r="CJ104" s="59">
        <f t="shared" si="567"/>
        <v>0</v>
      </c>
      <c r="CK104" s="55">
        <f t="shared" si="568"/>
        <v>0</v>
      </c>
      <c r="CL104" s="59">
        <f t="shared" si="569"/>
        <v>0</v>
      </c>
      <c r="CM104" s="57">
        <f t="shared" si="570"/>
        <v>0</v>
      </c>
      <c r="CN104" s="59">
        <f t="shared" si="571"/>
        <v>0</v>
      </c>
      <c r="CO104" s="60">
        <f t="shared" si="572"/>
        <v>0</v>
      </c>
      <c r="CP104" s="59">
        <f t="shared" si="573"/>
        <v>0</v>
      </c>
      <c r="CQ104" s="57">
        <f t="shared" si="574"/>
        <v>0</v>
      </c>
      <c r="CR104" s="59">
        <f t="shared" si="575"/>
        <v>0</v>
      </c>
      <c r="CS104" s="55">
        <f t="shared" si="576"/>
        <v>0</v>
      </c>
      <c r="CT104" s="59">
        <f t="shared" si="577"/>
        <v>0</v>
      </c>
      <c r="CU104" s="60">
        <f t="shared" si="578"/>
        <v>0</v>
      </c>
      <c r="CV104" s="59">
        <f t="shared" si="579"/>
        <v>0</v>
      </c>
      <c r="CW104" s="60">
        <f t="shared" si="580"/>
        <v>0</v>
      </c>
      <c r="CX104" s="59">
        <f t="shared" si="581"/>
        <v>0</v>
      </c>
      <c r="CY104" s="60">
        <f t="shared" si="582"/>
        <v>0</v>
      </c>
      <c r="CZ104" s="59">
        <f t="shared" si="583"/>
        <v>0</v>
      </c>
      <c r="DA104" s="55">
        <f t="shared" si="584"/>
        <v>0</v>
      </c>
      <c r="DB104" s="59">
        <f t="shared" si="585"/>
        <v>0</v>
      </c>
      <c r="DC104" s="60">
        <f t="shared" si="586"/>
        <v>0</v>
      </c>
      <c r="DD104" s="59">
        <f t="shared" si="587"/>
        <v>0</v>
      </c>
      <c r="DE104" s="60">
        <f t="shared" si="588"/>
        <v>0</v>
      </c>
      <c r="DF104" s="59">
        <f t="shared" si="589"/>
        <v>0</v>
      </c>
      <c r="DG104" s="60">
        <f t="shared" si="590"/>
        <v>0</v>
      </c>
      <c r="DH104" s="59">
        <f t="shared" si="591"/>
        <v>0</v>
      </c>
      <c r="DI104" s="60">
        <f t="shared" si="592"/>
        <v>0</v>
      </c>
      <c r="DJ104" s="59">
        <f t="shared" si="593"/>
        <v>0</v>
      </c>
      <c r="DK104" s="55">
        <f t="shared" si="594"/>
        <v>0</v>
      </c>
      <c r="DL104" s="59">
        <f t="shared" si="595"/>
        <v>0</v>
      </c>
      <c r="DM104" s="60">
        <f t="shared" si="596"/>
        <v>0</v>
      </c>
      <c r="DN104" s="59">
        <f t="shared" si="597"/>
        <v>0</v>
      </c>
      <c r="DO104" s="60">
        <f t="shared" si="598"/>
        <v>0</v>
      </c>
      <c r="DP104" s="59">
        <f t="shared" si="599"/>
        <v>0</v>
      </c>
      <c r="DQ104" s="55">
        <f t="shared" si="600"/>
        <v>0</v>
      </c>
      <c r="DR104" s="59">
        <f t="shared" si="601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47"/>
        <v>0.91</v>
      </c>
      <c r="DZ104" s="55">
        <f t="shared" si="647"/>
        <v>0.89</v>
      </c>
      <c r="EA104" s="55">
        <f t="shared" si="647"/>
        <v>0.87</v>
      </c>
      <c r="EB104" s="55">
        <f t="shared" si="647"/>
        <v>0.85</v>
      </c>
      <c r="EC104" s="55">
        <f t="shared" si="647"/>
        <v>0.83</v>
      </c>
      <c r="ED104" s="55">
        <f t="shared" si="647"/>
        <v>0.80999999999999994</v>
      </c>
      <c r="EE104" s="55">
        <f t="shared" si="647"/>
        <v>0.78999999999999992</v>
      </c>
      <c r="EF104" s="55">
        <f t="shared" si="647"/>
        <v>0.76999999999999991</v>
      </c>
      <c r="EG104" s="55">
        <f t="shared" si="647"/>
        <v>0.74999999999999989</v>
      </c>
      <c r="EH104" s="55">
        <f t="shared" si="647"/>
        <v>0.72999999999999987</v>
      </c>
      <c r="EI104" s="55">
        <f t="shared" si="647"/>
        <v>0.70999999999999985</v>
      </c>
      <c r="EJ104" s="55">
        <f t="shared" si="647"/>
        <v>0.68999999999999984</v>
      </c>
      <c r="EK104" s="55">
        <f t="shared" si="647"/>
        <v>0.66999999999999982</v>
      </c>
      <c r="EL104" s="55">
        <f t="shared" si="647"/>
        <v>0.6499999999999998</v>
      </c>
      <c r="EM104" s="55">
        <f t="shared" si="647"/>
        <v>0.62999999999999978</v>
      </c>
      <c r="EN104" s="55">
        <f t="shared" si="647"/>
        <v>0.60999999999999976</v>
      </c>
      <c r="EO104" s="55">
        <f t="shared" si="647"/>
        <v>0.58999999999999975</v>
      </c>
      <c r="EP104" s="55">
        <f t="shared" si="647"/>
        <v>0.56999999999999973</v>
      </c>
      <c r="ER104" s="55">
        <f t="shared" si="648"/>
        <v>0</v>
      </c>
      <c r="ES104" s="55">
        <f t="shared" si="510"/>
        <v>0</v>
      </c>
      <c r="ET104" s="59">
        <f t="shared" si="602"/>
        <v>0</v>
      </c>
      <c r="EU104" s="55">
        <f t="shared" si="603"/>
        <v>0</v>
      </c>
      <c r="EV104" s="59">
        <f t="shared" si="604"/>
        <v>0</v>
      </c>
      <c r="EW104" s="55">
        <f t="shared" si="605"/>
        <v>0</v>
      </c>
      <c r="EX104" s="59">
        <f t="shared" si="606"/>
        <v>0</v>
      </c>
      <c r="EY104" s="55">
        <f t="shared" si="607"/>
        <v>0</v>
      </c>
      <c r="EZ104" s="59">
        <f t="shared" si="608"/>
        <v>0</v>
      </c>
      <c r="FA104" s="57">
        <f t="shared" si="609"/>
        <v>0</v>
      </c>
      <c r="FB104" s="59">
        <f t="shared" si="610"/>
        <v>0</v>
      </c>
      <c r="FC104" s="55">
        <f t="shared" si="611"/>
        <v>0</v>
      </c>
      <c r="FD104" s="59">
        <f t="shared" si="612"/>
        <v>0</v>
      </c>
      <c r="FE104" s="57">
        <f t="shared" si="613"/>
        <v>0</v>
      </c>
      <c r="FF104" s="59">
        <f t="shared" si="614"/>
        <v>0</v>
      </c>
      <c r="FG104" s="60">
        <f t="shared" si="615"/>
        <v>0</v>
      </c>
      <c r="FH104" s="59">
        <f t="shared" si="616"/>
        <v>0</v>
      </c>
      <c r="FI104" s="57">
        <f t="shared" si="617"/>
        <v>0</v>
      </c>
      <c r="FJ104" s="59">
        <f t="shared" si="618"/>
        <v>0</v>
      </c>
      <c r="FK104" s="55">
        <f t="shared" si="619"/>
        <v>0</v>
      </c>
      <c r="FL104" s="59">
        <f t="shared" si="620"/>
        <v>0</v>
      </c>
      <c r="FM104" s="60">
        <f t="shared" si="621"/>
        <v>0</v>
      </c>
      <c r="FN104" s="59">
        <f t="shared" si="622"/>
        <v>0</v>
      </c>
      <c r="FO104" s="60">
        <f t="shared" si="623"/>
        <v>0</v>
      </c>
      <c r="FP104" s="59">
        <f t="shared" si="624"/>
        <v>0</v>
      </c>
      <c r="FQ104" s="60">
        <f t="shared" si="625"/>
        <v>0</v>
      </c>
      <c r="FR104" s="59">
        <f t="shared" si="626"/>
        <v>0</v>
      </c>
      <c r="FS104" s="55">
        <f t="shared" si="627"/>
        <v>0</v>
      </c>
      <c r="FT104" s="59">
        <f t="shared" si="628"/>
        <v>0</v>
      </c>
      <c r="FU104" s="60">
        <f t="shared" si="629"/>
        <v>0</v>
      </c>
      <c r="FV104" s="59">
        <f t="shared" si="630"/>
        <v>0</v>
      </c>
      <c r="FW104" s="60">
        <f t="shared" si="631"/>
        <v>0</v>
      </c>
      <c r="FX104" s="59">
        <f t="shared" si="632"/>
        <v>0</v>
      </c>
      <c r="FY104" s="60">
        <f t="shared" si="633"/>
        <v>0</v>
      </c>
      <c r="FZ104" s="59">
        <f t="shared" si="634"/>
        <v>0</v>
      </c>
      <c r="GA104" s="60">
        <f t="shared" si="635"/>
        <v>0</v>
      </c>
      <c r="GB104" s="59">
        <f t="shared" si="636"/>
        <v>0</v>
      </c>
      <c r="GC104" s="55">
        <f t="shared" si="637"/>
        <v>0</v>
      </c>
      <c r="GD104" s="59">
        <f t="shared" si="638"/>
        <v>0</v>
      </c>
      <c r="GE104" s="60">
        <f t="shared" si="639"/>
        <v>0</v>
      </c>
      <c r="GF104" s="59">
        <f t="shared" si="640"/>
        <v>0</v>
      </c>
      <c r="GG104" s="60">
        <f t="shared" si="641"/>
        <v>0</v>
      </c>
      <c r="GH104" s="59">
        <f t="shared" si="642"/>
        <v>0</v>
      </c>
      <c r="GI104" s="55">
        <f t="shared" si="643"/>
        <v>0</v>
      </c>
      <c r="GJ104" s="59">
        <f t="shared" si="644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49"/>
        <v>0.91</v>
      </c>
      <c r="GR104" s="55">
        <f t="shared" si="649"/>
        <v>0.89</v>
      </c>
      <c r="GS104" s="55">
        <f t="shared" si="649"/>
        <v>0.87</v>
      </c>
      <c r="GT104" s="55">
        <f t="shared" si="649"/>
        <v>0.85</v>
      </c>
      <c r="GU104" s="55">
        <f t="shared" si="649"/>
        <v>0.83</v>
      </c>
      <c r="GV104" s="55">
        <f t="shared" si="649"/>
        <v>0.80999999999999994</v>
      </c>
      <c r="GW104" s="55">
        <f t="shared" si="649"/>
        <v>0.78999999999999992</v>
      </c>
      <c r="GX104" s="55">
        <f t="shared" si="649"/>
        <v>0.76999999999999991</v>
      </c>
      <c r="GY104" s="55">
        <f t="shared" si="649"/>
        <v>0.74999999999999989</v>
      </c>
      <c r="GZ104" s="55">
        <f t="shared" si="649"/>
        <v>0.72999999999999987</v>
      </c>
      <c r="HA104" s="55">
        <f t="shared" si="649"/>
        <v>0.70999999999999985</v>
      </c>
      <c r="HB104" s="55">
        <f t="shared" si="649"/>
        <v>0.68999999999999984</v>
      </c>
      <c r="HC104" s="55">
        <f t="shared" si="649"/>
        <v>0.66999999999999982</v>
      </c>
      <c r="HD104" s="55">
        <f t="shared" si="649"/>
        <v>0.6499999999999998</v>
      </c>
      <c r="HE104" s="55">
        <f t="shared" si="649"/>
        <v>0.62999999999999978</v>
      </c>
      <c r="HF104" s="55">
        <f t="shared" si="649"/>
        <v>0.60999999999999976</v>
      </c>
      <c r="HG104" s="55">
        <f t="shared" si="649"/>
        <v>0.58999999999999975</v>
      </c>
      <c r="HH104" s="55">
        <f t="shared" si="649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15"/>
        <v>0</v>
      </c>
      <c r="H105" s="55">
        <f t="shared" si="505"/>
        <v>0</v>
      </c>
      <c r="I105" s="55">
        <f t="shared" si="506"/>
        <v>0</v>
      </c>
      <c r="J105" s="59">
        <f t="shared" si="507"/>
        <v>0</v>
      </c>
      <c r="K105" s="55">
        <f t="shared" si="516"/>
        <v>0</v>
      </c>
      <c r="L105" s="59">
        <f t="shared" si="517"/>
        <v>0</v>
      </c>
      <c r="M105" s="55">
        <f t="shared" si="518"/>
        <v>0</v>
      </c>
      <c r="N105" s="59">
        <f t="shared" si="519"/>
        <v>0</v>
      </c>
      <c r="O105" s="55">
        <f t="shared" si="520"/>
        <v>0</v>
      </c>
      <c r="P105" s="59">
        <f t="shared" si="521"/>
        <v>0</v>
      </c>
      <c r="Q105" s="57">
        <f t="shared" si="522"/>
        <v>0</v>
      </c>
      <c r="R105" s="59">
        <f t="shared" si="523"/>
        <v>0</v>
      </c>
      <c r="S105" s="55">
        <f t="shared" si="524"/>
        <v>0</v>
      </c>
      <c r="T105" s="59">
        <f t="shared" si="525"/>
        <v>0</v>
      </c>
      <c r="U105" s="57">
        <f t="shared" si="526"/>
        <v>0</v>
      </c>
      <c r="V105" s="59">
        <f t="shared" si="527"/>
        <v>0</v>
      </c>
      <c r="W105" s="60">
        <f t="shared" si="528"/>
        <v>0</v>
      </c>
      <c r="X105" s="59">
        <f t="shared" si="529"/>
        <v>0</v>
      </c>
      <c r="Y105" s="57">
        <f t="shared" si="530"/>
        <v>0</v>
      </c>
      <c r="Z105" s="59">
        <f t="shared" si="531"/>
        <v>0</v>
      </c>
      <c r="AA105" s="55">
        <f t="shared" si="532"/>
        <v>0</v>
      </c>
      <c r="AB105" s="59">
        <f t="shared" si="533"/>
        <v>0</v>
      </c>
      <c r="AC105" s="60">
        <f t="shared" si="534"/>
        <v>0</v>
      </c>
      <c r="AD105" s="59">
        <f t="shared" si="535"/>
        <v>0</v>
      </c>
      <c r="AE105" s="60">
        <f t="shared" si="536"/>
        <v>0</v>
      </c>
      <c r="AF105" s="59">
        <f t="shared" si="537"/>
        <v>0</v>
      </c>
      <c r="AG105" s="60">
        <f t="shared" si="538"/>
        <v>0</v>
      </c>
      <c r="AH105" s="59">
        <f t="shared" si="539"/>
        <v>0</v>
      </c>
      <c r="AI105" s="55">
        <f t="shared" si="540"/>
        <v>0</v>
      </c>
      <c r="AJ105" s="59">
        <f t="shared" si="541"/>
        <v>0</v>
      </c>
      <c r="AK105" s="60">
        <f t="shared" si="542"/>
        <v>0</v>
      </c>
      <c r="AL105" s="59">
        <f t="shared" si="543"/>
        <v>0</v>
      </c>
      <c r="AM105" s="60">
        <f t="shared" si="544"/>
        <v>0</v>
      </c>
      <c r="AN105" s="59">
        <f t="shared" si="545"/>
        <v>0</v>
      </c>
      <c r="AO105" s="60">
        <f t="shared" si="546"/>
        <v>0</v>
      </c>
      <c r="AP105" s="59">
        <f t="shared" si="547"/>
        <v>0</v>
      </c>
      <c r="AQ105" s="60">
        <f t="shared" si="548"/>
        <v>0</v>
      </c>
      <c r="AR105" s="59">
        <f t="shared" si="549"/>
        <v>0</v>
      </c>
      <c r="AS105" s="55">
        <f t="shared" si="550"/>
        <v>0</v>
      </c>
      <c r="AT105" s="59">
        <f t="shared" si="551"/>
        <v>0</v>
      </c>
      <c r="AU105" s="60">
        <f t="shared" si="552"/>
        <v>0</v>
      </c>
      <c r="AV105" s="59">
        <f t="shared" si="553"/>
        <v>0</v>
      </c>
      <c r="AW105" s="60">
        <f t="shared" si="554"/>
        <v>0</v>
      </c>
      <c r="AX105" s="59">
        <f t="shared" si="555"/>
        <v>0</v>
      </c>
      <c r="AY105" s="55">
        <f t="shared" si="556"/>
        <v>0</v>
      </c>
      <c r="AZ105" s="59">
        <f t="shared" si="557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58"/>
        <v>0.91</v>
      </c>
      <c r="BH105" s="55">
        <f t="shared" si="558"/>
        <v>0.89</v>
      </c>
      <c r="BI105" s="55">
        <f t="shared" si="558"/>
        <v>0.87</v>
      </c>
      <c r="BJ105" s="55">
        <f t="shared" si="558"/>
        <v>0.85</v>
      </c>
      <c r="BK105" s="55">
        <f t="shared" si="558"/>
        <v>0.83</v>
      </c>
      <c r="BL105" s="55">
        <f t="shared" si="558"/>
        <v>0.80999999999999994</v>
      </c>
      <c r="BM105" s="55">
        <f t="shared" si="558"/>
        <v>0.78999999999999992</v>
      </c>
      <c r="BN105" s="55">
        <f t="shared" si="558"/>
        <v>0.76999999999999991</v>
      </c>
      <c r="BO105" s="55">
        <f t="shared" si="558"/>
        <v>0.74999999999999989</v>
      </c>
      <c r="BP105" s="55">
        <f t="shared" si="558"/>
        <v>0.72999999999999987</v>
      </c>
      <c r="BQ105" s="55">
        <f t="shared" si="558"/>
        <v>0.70999999999999985</v>
      </c>
      <c r="BR105" s="55">
        <f t="shared" si="558"/>
        <v>0.68999999999999984</v>
      </c>
      <c r="BS105" s="55">
        <f t="shared" si="558"/>
        <v>0.66999999999999982</v>
      </c>
      <c r="BT105" s="55">
        <f t="shared" si="558"/>
        <v>0.6499999999999998</v>
      </c>
      <c r="BU105" s="55">
        <f t="shared" si="558"/>
        <v>0.62999999999999978</v>
      </c>
      <c r="BV105" s="55">
        <f t="shared" si="558"/>
        <v>0.60999999999999976</v>
      </c>
      <c r="BW105" s="55">
        <f t="shared" si="558"/>
        <v>0.58999999999999975</v>
      </c>
      <c r="BX105" s="55">
        <f t="shared" si="558"/>
        <v>0.56999999999999973</v>
      </c>
      <c r="BZ105" s="55">
        <f t="shared" si="508"/>
        <v>0</v>
      </c>
      <c r="CA105" s="55">
        <f t="shared" si="509"/>
        <v>0</v>
      </c>
      <c r="CB105" s="59">
        <f t="shared" si="559"/>
        <v>0</v>
      </c>
      <c r="CC105" s="55">
        <f t="shared" si="560"/>
        <v>0</v>
      </c>
      <c r="CD105" s="59">
        <f t="shared" si="561"/>
        <v>0</v>
      </c>
      <c r="CE105" s="55">
        <f t="shared" si="562"/>
        <v>0</v>
      </c>
      <c r="CF105" s="59">
        <f t="shared" si="563"/>
        <v>0</v>
      </c>
      <c r="CG105" s="55">
        <f t="shared" si="564"/>
        <v>0</v>
      </c>
      <c r="CH105" s="59">
        <f t="shared" si="565"/>
        <v>0</v>
      </c>
      <c r="CI105" s="57">
        <f t="shared" si="566"/>
        <v>0</v>
      </c>
      <c r="CJ105" s="59">
        <f t="shared" si="567"/>
        <v>0</v>
      </c>
      <c r="CK105" s="55">
        <f t="shared" si="568"/>
        <v>0</v>
      </c>
      <c r="CL105" s="59">
        <f t="shared" si="569"/>
        <v>0</v>
      </c>
      <c r="CM105" s="57">
        <f t="shared" si="570"/>
        <v>0</v>
      </c>
      <c r="CN105" s="59">
        <f t="shared" si="571"/>
        <v>0</v>
      </c>
      <c r="CO105" s="60">
        <f t="shared" si="572"/>
        <v>0</v>
      </c>
      <c r="CP105" s="59">
        <f t="shared" si="573"/>
        <v>0</v>
      </c>
      <c r="CQ105" s="57">
        <f t="shared" si="574"/>
        <v>0</v>
      </c>
      <c r="CR105" s="59">
        <f t="shared" si="575"/>
        <v>0</v>
      </c>
      <c r="CS105" s="55">
        <f t="shared" si="576"/>
        <v>0</v>
      </c>
      <c r="CT105" s="59">
        <f t="shared" si="577"/>
        <v>0</v>
      </c>
      <c r="CU105" s="60">
        <f t="shared" si="578"/>
        <v>0</v>
      </c>
      <c r="CV105" s="59">
        <f t="shared" si="579"/>
        <v>0</v>
      </c>
      <c r="CW105" s="60">
        <f t="shared" si="580"/>
        <v>0</v>
      </c>
      <c r="CX105" s="59">
        <f t="shared" si="581"/>
        <v>0</v>
      </c>
      <c r="CY105" s="60">
        <f t="shared" si="582"/>
        <v>0</v>
      </c>
      <c r="CZ105" s="59">
        <f t="shared" si="583"/>
        <v>0</v>
      </c>
      <c r="DA105" s="55">
        <f t="shared" si="584"/>
        <v>0</v>
      </c>
      <c r="DB105" s="59">
        <f t="shared" si="585"/>
        <v>0</v>
      </c>
      <c r="DC105" s="60">
        <f t="shared" si="586"/>
        <v>0</v>
      </c>
      <c r="DD105" s="59">
        <f t="shared" si="587"/>
        <v>0</v>
      </c>
      <c r="DE105" s="60">
        <f t="shared" si="588"/>
        <v>0</v>
      </c>
      <c r="DF105" s="59">
        <f t="shared" si="589"/>
        <v>0</v>
      </c>
      <c r="DG105" s="60">
        <f t="shared" si="590"/>
        <v>0</v>
      </c>
      <c r="DH105" s="59">
        <f t="shared" si="591"/>
        <v>0</v>
      </c>
      <c r="DI105" s="60">
        <f t="shared" si="592"/>
        <v>0</v>
      </c>
      <c r="DJ105" s="59">
        <f t="shared" si="593"/>
        <v>0</v>
      </c>
      <c r="DK105" s="55">
        <f t="shared" si="594"/>
        <v>0</v>
      </c>
      <c r="DL105" s="59">
        <f t="shared" si="595"/>
        <v>0</v>
      </c>
      <c r="DM105" s="60">
        <f t="shared" si="596"/>
        <v>0</v>
      </c>
      <c r="DN105" s="59">
        <f t="shared" si="597"/>
        <v>0</v>
      </c>
      <c r="DO105" s="60">
        <f t="shared" si="598"/>
        <v>0</v>
      </c>
      <c r="DP105" s="59">
        <f t="shared" si="599"/>
        <v>0</v>
      </c>
      <c r="DQ105" s="55">
        <f t="shared" si="600"/>
        <v>0</v>
      </c>
      <c r="DR105" s="59">
        <f t="shared" si="601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47"/>
        <v>0.91</v>
      </c>
      <c r="DZ105" s="55">
        <f t="shared" si="647"/>
        <v>0.89</v>
      </c>
      <c r="EA105" s="55">
        <f t="shared" si="647"/>
        <v>0.87</v>
      </c>
      <c r="EB105" s="55">
        <f t="shared" si="647"/>
        <v>0.85</v>
      </c>
      <c r="EC105" s="55">
        <f t="shared" si="647"/>
        <v>0.83</v>
      </c>
      <c r="ED105" s="55">
        <f t="shared" si="647"/>
        <v>0.80999999999999994</v>
      </c>
      <c r="EE105" s="55">
        <f t="shared" si="647"/>
        <v>0.78999999999999992</v>
      </c>
      <c r="EF105" s="55">
        <f t="shared" si="647"/>
        <v>0.76999999999999991</v>
      </c>
      <c r="EG105" s="55">
        <f t="shared" si="647"/>
        <v>0.74999999999999989</v>
      </c>
      <c r="EH105" s="55">
        <f t="shared" si="647"/>
        <v>0.72999999999999987</v>
      </c>
      <c r="EI105" s="55">
        <f t="shared" si="647"/>
        <v>0.70999999999999985</v>
      </c>
      <c r="EJ105" s="55">
        <f t="shared" si="647"/>
        <v>0.68999999999999984</v>
      </c>
      <c r="EK105" s="55">
        <f t="shared" si="647"/>
        <v>0.66999999999999982</v>
      </c>
      <c r="EL105" s="55">
        <f t="shared" si="647"/>
        <v>0.6499999999999998</v>
      </c>
      <c r="EM105" s="55">
        <f t="shared" si="647"/>
        <v>0.62999999999999978</v>
      </c>
      <c r="EN105" s="55">
        <f t="shared" si="647"/>
        <v>0.60999999999999976</v>
      </c>
      <c r="EO105" s="55">
        <f t="shared" si="647"/>
        <v>0.58999999999999975</v>
      </c>
      <c r="EP105" s="55">
        <f t="shared" si="647"/>
        <v>0.56999999999999973</v>
      </c>
      <c r="ER105" s="55">
        <f t="shared" si="648"/>
        <v>0</v>
      </c>
      <c r="ES105" s="55">
        <f t="shared" si="510"/>
        <v>0</v>
      </c>
      <c r="ET105" s="59">
        <f t="shared" si="602"/>
        <v>0</v>
      </c>
      <c r="EU105" s="55">
        <f t="shared" si="603"/>
        <v>0</v>
      </c>
      <c r="EV105" s="59">
        <f t="shared" si="604"/>
        <v>0</v>
      </c>
      <c r="EW105" s="55">
        <f t="shared" si="605"/>
        <v>0</v>
      </c>
      <c r="EX105" s="59">
        <f t="shared" si="606"/>
        <v>0</v>
      </c>
      <c r="EY105" s="55">
        <f t="shared" si="607"/>
        <v>0</v>
      </c>
      <c r="EZ105" s="59">
        <f t="shared" si="608"/>
        <v>0</v>
      </c>
      <c r="FA105" s="57">
        <f t="shared" si="609"/>
        <v>0</v>
      </c>
      <c r="FB105" s="59">
        <f t="shared" si="610"/>
        <v>0</v>
      </c>
      <c r="FC105" s="55">
        <f t="shared" si="611"/>
        <v>0</v>
      </c>
      <c r="FD105" s="59">
        <f t="shared" si="612"/>
        <v>0</v>
      </c>
      <c r="FE105" s="57">
        <f t="shared" si="613"/>
        <v>0</v>
      </c>
      <c r="FF105" s="59">
        <f t="shared" si="614"/>
        <v>0</v>
      </c>
      <c r="FG105" s="60">
        <f t="shared" si="615"/>
        <v>0</v>
      </c>
      <c r="FH105" s="59">
        <f t="shared" si="616"/>
        <v>0</v>
      </c>
      <c r="FI105" s="57">
        <f t="shared" si="617"/>
        <v>0</v>
      </c>
      <c r="FJ105" s="59">
        <f t="shared" si="618"/>
        <v>0</v>
      </c>
      <c r="FK105" s="55">
        <f t="shared" si="619"/>
        <v>0</v>
      </c>
      <c r="FL105" s="59">
        <f t="shared" si="620"/>
        <v>0</v>
      </c>
      <c r="FM105" s="60">
        <f t="shared" si="621"/>
        <v>0</v>
      </c>
      <c r="FN105" s="59">
        <f t="shared" si="622"/>
        <v>0</v>
      </c>
      <c r="FO105" s="60">
        <f t="shared" si="623"/>
        <v>0</v>
      </c>
      <c r="FP105" s="59">
        <f t="shared" si="624"/>
        <v>0</v>
      </c>
      <c r="FQ105" s="60">
        <f t="shared" si="625"/>
        <v>0</v>
      </c>
      <c r="FR105" s="59">
        <f t="shared" si="626"/>
        <v>0</v>
      </c>
      <c r="FS105" s="55">
        <f t="shared" si="627"/>
        <v>0</v>
      </c>
      <c r="FT105" s="59">
        <f t="shared" si="628"/>
        <v>0</v>
      </c>
      <c r="FU105" s="60">
        <f t="shared" si="629"/>
        <v>0</v>
      </c>
      <c r="FV105" s="59">
        <f t="shared" si="630"/>
        <v>0</v>
      </c>
      <c r="FW105" s="60">
        <f t="shared" si="631"/>
        <v>0</v>
      </c>
      <c r="FX105" s="59">
        <f t="shared" si="632"/>
        <v>0</v>
      </c>
      <c r="FY105" s="60">
        <f t="shared" si="633"/>
        <v>0</v>
      </c>
      <c r="FZ105" s="59">
        <f t="shared" si="634"/>
        <v>0</v>
      </c>
      <c r="GA105" s="60">
        <f t="shared" si="635"/>
        <v>0</v>
      </c>
      <c r="GB105" s="59">
        <f t="shared" si="636"/>
        <v>0</v>
      </c>
      <c r="GC105" s="55">
        <f t="shared" si="637"/>
        <v>0</v>
      </c>
      <c r="GD105" s="59">
        <f t="shared" si="638"/>
        <v>0</v>
      </c>
      <c r="GE105" s="60">
        <f t="shared" si="639"/>
        <v>0</v>
      </c>
      <c r="GF105" s="59">
        <f t="shared" si="640"/>
        <v>0</v>
      </c>
      <c r="GG105" s="60">
        <f t="shared" si="641"/>
        <v>0</v>
      </c>
      <c r="GH105" s="59">
        <f t="shared" si="642"/>
        <v>0</v>
      </c>
      <c r="GI105" s="55">
        <f t="shared" si="643"/>
        <v>0</v>
      </c>
      <c r="GJ105" s="59">
        <f t="shared" si="644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49"/>
        <v>0.91</v>
      </c>
      <c r="GR105" s="55">
        <f t="shared" si="649"/>
        <v>0.89</v>
      </c>
      <c r="GS105" s="55">
        <f t="shared" si="649"/>
        <v>0.87</v>
      </c>
      <c r="GT105" s="55">
        <f t="shared" si="649"/>
        <v>0.85</v>
      </c>
      <c r="GU105" s="55">
        <f t="shared" si="649"/>
        <v>0.83</v>
      </c>
      <c r="GV105" s="55">
        <f t="shared" si="649"/>
        <v>0.80999999999999994</v>
      </c>
      <c r="GW105" s="55">
        <f t="shared" si="649"/>
        <v>0.78999999999999992</v>
      </c>
      <c r="GX105" s="55">
        <f t="shared" si="649"/>
        <v>0.76999999999999991</v>
      </c>
      <c r="GY105" s="55">
        <f t="shared" si="649"/>
        <v>0.74999999999999989</v>
      </c>
      <c r="GZ105" s="55">
        <f t="shared" si="649"/>
        <v>0.72999999999999987</v>
      </c>
      <c r="HA105" s="55">
        <f t="shared" si="649"/>
        <v>0.70999999999999985</v>
      </c>
      <c r="HB105" s="55">
        <f t="shared" si="649"/>
        <v>0.68999999999999984</v>
      </c>
      <c r="HC105" s="55">
        <f t="shared" si="649"/>
        <v>0.66999999999999982</v>
      </c>
      <c r="HD105" s="55">
        <f t="shared" si="649"/>
        <v>0.6499999999999998</v>
      </c>
      <c r="HE105" s="55">
        <f t="shared" si="649"/>
        <v>0.62999999999999978</v>
      </c>
      <c r="HF105" s="55">
        <f t="shared" si="649"/>
        <v>0.60999999999999976</v>
      </c>
      <c r="HG105" s="55">
        <f t="shared" si="649"/>
        <v>0.58999999999999975</v>
      </c>
      <c r="HH105" s="55">
        <f t="shared" si="649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15"/>
        <v>0</v>
      </c>
      <c r="H106" s="55">
        <f t="shared" si="505"/>
        <v>0</v>
      </c>
      <c r="I106" s="55">
        <f t="shared" si="506"/>
        <v>0</v>
      </c>
      <c r="J106" s="59">
        <f t="shared" si="507"/>
        <v>0</v>
      </c>
      <c r="K106" s="55">
        <f t="shared" si="516"/>
        <v>0</v>
      </c>
      <c r="L106" s="59">
        <f t="shared" si="517"/>
        <v>0</v>
      </c>
      <c r="M106" s="55">
        <f t="shared" si="518"/>
        <v>0</v>
      </c>
      <c r="N106" s="59">
        <f t="shared" si="519"/>
        <v>0</v>
      </c>
      <c r="O106" s="55">
        <f t="shared" si="520"/>
        <v>0</v>
      </c>
      <c r="P106" s="59">
        <f t="shared" si="521"/>
        <v>0</v>
      </c>
      <c r="Q106" s="57">
        <f t="shared" si="522"/>
        <v>0</v>
      </c>
      <c r="R106" s="59">
        <f t="shared" si="523"/>
        <v>0</v>
      </c>
      <c r="S106" s="55">
        <f t="shared" si="524"/>
        <v>0</v>
      </c>
      <c r="T106" s="59">
        <f t="shared" si="525"/>
        <v>0</v>
      </c>
      <c r="U106" s="57">
        <f t="shared" si="526"/>
        <v>0</v>
      </c>
      <c r="V106" s="59">
        <f t="shared" si="527"/>
        <v>0</v>
      </c>
      <c r="W106" s="60">
        <f t="shared" si="528"/>
        <v>0</v>
      </c>
      <c r="X106" s="59">
        <f t="shared" si="529"/>
        <v>0</v>
      </c>
      <c r="Y106" s="57">
        <f t="shared" si="530"/>
        <v>0</v>
      </c>
      <c r="Z106" s="59">
        <f t="shared" si="531"/>
        <v>0</v>
      </c>
      <c r="AA106" s="55">
        <f t="shared" si="532"/>
        <v>0</v>
      </c>
      <c r="AB106" s="59">
        <f t="shared" si="533"/>
        <v>0</v>
      </c>
      <c r="AC106" s="60">
        <f t="shared" si="534"/>
        <v>0</v>
      </c>
      <c r="AD106" s="59">
        <f t="shared" si="535"/>
        <v>0</v>
      </c>
      <c r="AE106" s="60">
        <f t="shared" si="536"/>
        <v>0</v>
      </c>
      <c r="AF106" s="59">
        <f t="shared" si="537"/>
        <v>0</v>
      </c>
      <c r="AG106" s="60">
        <f t="shared" si="538"/>
        <v>0</v>
      </c>
      <c r="AH106" s="59">
        <f t="shared" si="539"/>
        <v>0</v>
      </c>
      <c r="AI106" s="55">
        <f t="shared" si="540"/>
        <v>0</v>
      </c>
      <c r="AJ106" s="59">
        <f t="shared" si="541"/>
        <v>0</v>
      </c>
      <c r="AK106" s="60">
        <f t="shared" si="542"/>
        <v>0</v>
      </c>
      <c r="AL106" s="59">
        <f t="shared" si="543"/>
        <v>0</v>
      </c>
      <c r="AM106" s="60">
        <f t="shared" si="544"/>
        <v>0</v>
      </c>
      <c r="AN106" s="59">
        <f t="shared" si="545"/>
        <v>0</v>
      </c>
      <c r="AO106" s="60">
        <f t="shared" si="546"/>
        <v>0</v>
      </c>
      <c r="AP106" s="59">
        <f t="shared" si="547"/>
        <v>0</v>
      </c>
      <c r="AQ106" s="60">
        <f t="shared" si="548"/>
        <v>0</v>
      </c>
      <c r="AR106" s="59">
        <f t="shared" si="549"/>
        <v>0</v>
      </c>
      <c r="AS106" s="55">
        <f t="shared" si="550"/>
        <v>0</v>
      </c>
      <c r="AT106" s="59">
        <f t="shared" si="551"/>
        <v>0</v>
      </c>
      <c r="AU106" s="60">
        <f t="shared" si="552"/>
        <v>0</v>
      </c>
      <c r="AV106" s="59">
        <f t="shared" si="553"/>
        <v>0</v>
      </c>
      <c r="AW106" s="60">
        <f t="shared" si="554"/>
        <v>0</v>
      </c>
      <c r="AX106" s="59">
        <f t="shared" si="555"/>
        <v>0</v>
      </c>
      <c r="AY106" s="55">
        <f t="shared" si="556"/>
        <v>0</v>
      </c>
      <c r="AZ106" s="59">
        <f t="shared" si="557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58"/>
        <v>0.91</v>
      </c>
      <c r="BH106" s="55">
        <f t="shared" si="558"/>
        <v>0.89</v>
      </c>
      <c r="BI106" s="55">
        <f t="shared" si="558"/>
        <v>0.87</v>
      </c>
      <c r="BJ106" s="55">
        <f t="shared" ref="BJ106:BX106" si="650">+BI106-0.02</f>
        <v>0.85</v>
      </c>
      <c r="BK106" s="55">
        <f t="shared" si="650"/>
        <v>0.83</v>
      </c>
      <c r="BL106" s="55">
        <f t="shared" si="650"/>
        <v>0.80999999999999994</v>
      </c>
      <c r="BM106" s="55">
        <f t="shared" si="650"/>
        <v>0.78999999999999992</v>
      </c>
      <c r="BN106" s="55">
        <f t="shared" si="650"/>
        <v>0.76999999999999991</v>
      </c>
      <c r="BO106" s="55">
        <f t="shared" si="650"/>
        <v>0.74999999999999989</v>
      </c>
      <c r="BP106" s="55">
        <f t="shared" si="650"/>
        <v>0.72999999999999987</v>
      </c>
      <c r="BQ106" s="55">
        <f t="shared" si="650"/>
        <v>0.70999999999999985</v>
      </c>
      <c r="BR106" s="55">
        <f t="shared" si="650"/>
        <v>0.68999999999999984</v>
      </c>
      <c r="BS106" s="55">
        <f t="shared" si="650"/>
        <v>0.66999999999999982</v>
      </c>
      <c r="BT106" s="55">
        <f t="shared" si="650"/>
        <v>0.6499999999999998</v>
      </c>
      <c r="BU106" s="55">
        <f t="shared" si="650"/>
        <v>0.62999999999999978</v>
      </c>
      <c r="BV106" s="55">
        <f t="shared" si="650"/>
        <v>0.60999999999999976</v>
      </c>
      <c r="BW106" s="55">
        <f t="shared" si="650"/>
        <v>0.58999999999999975</v>
      </c>
      <c r="BX106" s="55">
        <f t="shared" si="650"/>
        <v>0.56999999999999973</v>
      </c>
      <c r="BZ106" s="55">
        <f t="shared" si="508"/>
        <v>0</v>
      </c>
      <c r="CA106" s="55">
        <f t="shared" si="509"/>
        <v>0</v>
      </c>
      <c r="CB106" s="59">
        <f t="shared" si="559"/>
        <v>0</v>
      </c>
      <c r="CC106" s="55">
        <f t="shared" si="560"/>
        <v>0</v>
      </c>
      <c r="CD106" s="59">
        <f t="shared" si="561"/>
        <v>0</v>
      </c>
      <c r="CE106" s="55">
        <f t="shared" si="562"/>
        <v>0</v>
      </c>
      <c r="CF106" s="59">
        <f t="shared" si="563"/>
        <v>0</v>
      </c>
      <c r="CG106" s="55">
        <f t="shared" si="564"/>
        <v>0</v>
      </c>
      <c r="CH106" s="59">
        <f t="shared" si="565"/>
        <v>0</v>
      </c>
      <c r="CI106" s="57">
        <f t="shared" si="566"/>
        <v>0</v>
      </c>
      <c r="CJ106" s="59">
        <f t="shared" si="567"/>
        <v>0</v>
      </c>
      <c r="CK106" s="55">
        <f t="shared" si="568"/>
        <v>0</v>
      </c>
      <c r="CL106" s="59">
        <f t="shared" si="569"/>
        <v>0</v>
      </c>
      <c r="CM106" s="57">
        <f t="shared" si="570"/>
        <v>0</v>
      </c>
      <c r="CN106" s="59">
        <f t="shared" si="571"/>
        <v>0</v>
      </c>
      <c r="CO106" s="60">
        <f t="shared" si="572"/>
        <v>0</v>
      </c>
      <c r="CP106" s="59">
        <f t="shared" si="573"/>
        <v>0</v>
      </c>
      <c r="CQ106" s="57">
        <f t="shared" si="574"/>
        <v>0</v>
      </c>
      <c r="CR106" s="59">
        <f t="shared" si="575"/>
        <v>0</v>
      </c>
      <c r="CS106" s="55">
        <f t="shared" si="576"/>
        <v>0</v>
      </c>
      <c r="CT106" s="59">
        <f t="shared" si="577"/>
        <v>0</v>
      </c>
      <c r="CU106" s="60">
        <f t="shared" si="578"/>
        <v>0</v>
      </c>
      <c r="CV106" s="59">
        <f t="shared" si="579"/>
        <v>0</v>
      </c>
      <c r="CW106" s="60">
        <f t="shared" si="580"/>
        <v>0</v>
      </c>
      <c r="CX106" s="59">
        <f t="shared" si="581"/>
        <v>0</v>
      </c>
      <c r="CY106" s="60">
        <f t="shared" si="582"/>
        <v>0</v>
      </c>
      <c r="CZ106" s="59">
        <f t="shared" si="583"/>
        <v>0</v>
      </c>
      <c r="DA106" s="55">
        <f t="shared" si="584"/>
        <v>0</v>
      </c>
      <c r="DB106" s="59">
        <f t="shared" si="585"/>
        <v>0</v>
      </c>
      <c r="DC106" s="60">
        <f t="shared" si="586"/>
        <v>0</v>
      </c>
      <c r="DD106" s="59">
        <f t="shared" si="587"/>
        <v>0</v>
      </c>
      <c r="DE106" s="60">
        <f t="shared" si="588"/>
        <v>0</v>
      </c>
      <c r="DF106" s="59">
        <f t="shared" si="589"/>
        <v>0</v>
      </c>
      <c r="DG106" s="60">
        <f t="shared" si="590"/>
        <v>0</v>
      </c>
      <c r="DH106" s="59">
        <f t="shared" si="591"/>
        <v>0</v>
      </c>
      <c r="DI106" s="60">
        <f t="shared" si="592"/>
        <v>0</v>
      </c>
      <c r="DJ106" s="59">
        <f t="shared" si="593"/>
        <v>0</v>
      </c>
      <c r="DK106" s="55">
        <f t="shared" si="594"/>
        <v>0</v>
      </c>
      <c r="DL106" s="59">
        <f t="shared" si="595"/>
        <v>0</v>
      </c>
      <c r="DM106" s="60">
        <f t="shared" si="596"/>
        <v>0</v>
      </c>
      <c r="DN106" s="59">
        <f t="shared" si="597"/>
        <v>0</v>
      </c>
      <c r="DO106" s="60">
        <f t="shared" si="598"/>
        <v>0</v>
      </c>
      <c r="DP106" s="59">
        <f t="shared" si="599"/>
        <v>0</v>
      </c>
      <c r="DQ106" s="55">
        <f t="shared" si="600"/>
        <v>0</v>
      </c>
      <c r="DR106" s="59">
        <f t="shared" si="601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47"/>
        <v>0.91</v>
      </c>
      <c r="DZ106" s="55">
        <f t="shared" si="647"/>
        <v>0.89</v>
      </c>
      <c r="EA106" s="55">
        <f t="shared" si="647"/>
        <v>0.87</v>
      </c>
      <c r="EB106" s="55">
        <f t="shared" si="647"/>
        <v>0.85</v>
      </c>
      <c r="EC106" s="55">
        <f t="shared" si="647"/>
        <v>0.83</v>
      </c>
      <c r="ED106" s="55">
        <f t="shared" si="647"/>
        <v>0.80999999999999994</v>
      </c>
      <c r="EE106" s="55">
        <f t="shared" si="647"/>
        <v>0.78999999999999992</v>
      </c>
      <c r="EF106" s="55">
        <f t="shared" si="647"/>
        <v>0.76999999999999991</v>
      </c>
      <c r="EG106" s="55">
        <f t="shared" si="647"/>
        <v>0.74999999999999989</v>
      </c>
      <c r="EH106" s="55">
        <f t="shared" si="647"/>
        <v>0.72999999999999987</v>
      </c>
      <c r="EI106" s="55">
        <f t="shared" si="647"/>
        <v>0.70999999999999985</v>
      </c>
      <c r="EJ106" s="55">
        <f t="shared" si="647"/>
        <v>0.68999999999999984</v>
      </c>
      <c r="EK106" s="55">
        <f t="shared" si="647"/>
        <v>0.66999999999999982</v>
      </c>
      <c r="EL106" s="55">
        <f t="shared" si="647"/>
        <v>0.6499999999999998</v>
      </c>
      <c r="EM106" s="55">
        <f t="shared" si="647"/>
        <v>0.62999999999999978</v>
      </c>
      <c r="EN106" s="55">
        <f t="shared" si="647"/>
        <v>0.60999999999999976</v>
      </c>
      <c r="EO106" s="55">
        <f t="shared" si="647"/>
        <v>0.58999999999999975</v>
      </c>
      <c r="EP106" s="55">
        <f t="shared" si="647"/>
        <v>0.56999999999999973</v>
      </c>
      <c r="ER106" s="55">
        <f t="shared" si="648"/>
        <v>0</v>
      </c>
      <c r="ES106" s="55">
        <f t="shared" si="510"/>
        <v>0</v>
      </c>
      <c r="ET106" s="59">
        <f t="shared" si="602"/>
        <v>0</v>
      </c>
      <c r="EU106" s="55">
        <f t="shared" si="603"/>
        <v>0</v>
      </c>
      <c r="EV106" s="59">
        <f t="shared" si="604"/>
        <v>0</v>
      </c>
      <c r="EW106" s="55">
        <f t="shared" si="605"/>
        <v>0</v>
      </c>
      <c r="EX106" s="59">
        <f t="shared" si="606"/>
        <v>0</v>
      </c>
      <c r="EY106" s="55">
        <f t="shared" si="607"/>
        <v>0</v>
      </c>
      <c r="EZ106" s="59">
        <f t="shared" si="608"/>
        <v>0</v>
      </c>
      <c r="FA106" s="57">
        <f t="shared" si="609"/>
        <v>0</v>
      </c>
      <c r="FB106" s="59">
        <f t="shared" si="610"/>
        <v>0</v>
      </c>
      <c r="FC106" s="55">
        <f t="shared" si="611"/>
        <v>0</v>
      </c>
      <c r="FD106" s="59">
        <f t="shared" si="612"/>
        <v>0</v>
      </c>
      <c r="FE106" s="57">
        <f t="shared" si="613"/>
        <v>0</v>
      </c>
      <c r="FF106" s="59">
        <f t="shared" si="614"/>
        <v>0</v>
      </c>
      <c r="FG106" s="60">
        <f t="shared" si="615"/>
        <v>0</v>
      </c>
      <c r="FH106" s="59">
        <f t="shared" si="616"/>
        <v>0</v>
      </c>
      <c r="FI106" s="57">
        <f t="shared" si="617"/>
        <v>0</v>
      </c>
      <c r="FJ106" s="59">
        <f t="shared" si="618"/>
        <v>0</v>
      </c>
      <c r="FK106" s="55">
        <f t="shared" si="619"/>
        <v>0</v>
      </c>
      <c r="FL106" s="59">
        <f t="shared" si="620"/>
        <v>0</v>
      </c>
      <c r="FM106" s="60">
        <f t="shared" si="621"/>
        <v>0</v>
      </c>
      <c r="FN106" s="59">
        <f t="shared" si="622"/>
        <v>0</v>
      </c>
      <c r="FO106" s="60">
        <f t="shared" si="623"/>
        <v>0</v>
      </c>
      <c r="FP106" s="59">
        <f t="shared" si="624"/>
        <v>0</v>
      </c>
      <c r="FQ106" s="60">
        <f t="shared" si="625"/>
        <v>0</v>
      </c>
      <c r="FR106" s="59">
        <f t="shared" si="626"/>
        <v>0</v>
      </c>
      <c r="FS106" s="55">
        <f t="shared" si="627"/>
        <v>0</v>
      </c>
      <c r="FT106" s="59">
        <f t="shared" si="628"/>
        <v>0</v>
      </c>
      <c r="FU106" s="60">
        <f t="shared" si="629"/>
        <v>0</v>
      </c>
      <c r="FV106" s="59">
        <f t="shared" si="630"/>
        <v>0</v>
      </c>
      <c r="FW106" s="60">
        <f t="shared" si="631"/>
        <v>0</v>
      </c>
      <c r="FX106" s="59">
        <f t="shared" si="632"/>
        <v>0</v>
      </c>
      <c r="FY106" s="60">
        <f t="shared" si="633"/>
        <v>0</v>
      </c>
      <c r="FZ106" s="59">
        <f t="shared" si="634"/>
        <v>0</v>
      </c>
      <c r="GA106" s="60">
        <f t="shared" si="635"/>
        <v>0</v>
      </c>
      <c r="GB106" s="59">
        <f t="shared" si="636"/>
        <v>0</v>
      </c>
      <c r="GC106" s="55">
        <f t="shared" si="637"/>
        <v>0</v>
      </c>
      <c r="GD106" s="59">
        <f t="shared" si="638"/>
        <v>0</v>
      </c>
      <c r="GE106" s="60">
        <f t="shared" si="639"/>
        <v>0</v>
      </c>
      <c r="GF106" s="59">
        <f t="shared" si="640"/>
        <v>0</v>
      </c>
      <c r="GG106" s="60">
        <f t="shared" si="641"/>
        <v>0</v>
      </c>
      <c r="GH106" s="59">
        <f t="shared" si="642"/>
        <v>0</v>
      </c>
      <c r="GI106" s="55">
        <f t="shared" si="643"/>
        <v>0</v>
      </c>
      <c r="GJ106" s="59">
        <f t="shared" si="644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49"/>
        <v>0.91</v>
      </c>
      <c r="GR106" s="55">
        <f t="shared" si="649"/>
        <v>0.89</v>
      </c>
      <c r="GS106" s="55">
        <f t="shared" si="649"/>
        <v>0.87</v>
      </c>
      <c r="GT106" s="55">
        <f t="shared" si="649"/>
        <v>0.85</v>
      </c>
      <c r="GU106" s="55">
        <f t="shared" si="649"/>
        <v>0.83</v>
      </c>
      <c r="GV106" s="55">
        <f t="shared" si="649"/>
        <v>0.80999999999999994</v>
      </c>
      <c r="GW106" s="55">
        <f t="shared" si="649"/>
        <v>0.78999999999999992</v>
      </c>
      <c r="GX106" s="55">
        <f t="shared" si="649"/>
        <v>0.76999999999999991</v>
      </c>
      <c r="GY106" s="55">
        <f t="shared" si="649"/>
        <v>0.74999999999999989</v>
      </c>
      <c r="GZ106" s="55">
        <f t="shared" si="649"/>
        <v>0.72999999999999987</v>
      </c>
      <c r="HA106" s="55">
        <f t="shared" si="649"/>
        <v>0.70999999999999985</v>
      </c>
      <c r="HB106" s="55">
        <f t="shared" si="649"/>
        <v>0.68999999999999984</v>
      </c>
      <c r="HC106" s="55">
        <f t="shared" si="649"/>
        <v>0.66999999999999982</v>
      </c>
      <c r="HD106" s="55">
        <f t="shared" si="649"/>
        <v>0.6499999999999998</v>
      </c>
      <c r="HE106" s="55">
        <f t="shared" si="649"/>
        <v>0.62999999999999978</v>
      </c>
      <c r="HF106" s="55">
        <f t="shared" si="649"/>
        <v>0.60999999999999976</v>
      </c>
      <c r="HG106" s="55">
        <f t="shared" si="649"/>
        <v>0.58999999999999975</v>
      </c>
      <c r="HH106" s="55">
        <f t="shared" si="649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15"/>
        <v>0</v>
      </c>
      <c r="H107" s="55">
        <f t="shared" si="505"/>
        <v>0</v>
      </c>
      <c r="I107" s="55">
        <f t="shared" si="506"/>
        <v>0</v>
      </c>
      <c r="J107" s="59">
        <f t="shared" si="507"/>
        <v>0</v>
      </c>
      <c r="K107" s="55">
        <f t="shared" si="516"/>
        <v>0</v>
      </c>
      <c r="L107" s="59">
        <f t="shared" si="517"/>
        <v>0</v>
      </c>
      <c r="M107" s="55">
        <f t="shared" si="518"/>
        <v>0</v>
      </c>
      <c r="N107" s="59">
        <f t="shared" si="519"/>
        <v>0</v>
      </c>
      <c r="O107" s="55">
        <f t="shared" si="520"/>
        <v>0</v>
      </c>
      <c r="P107" s="59">
        <f t="shared" si="521"/>
        <v>0</v>
      </c>
      <c r="Q107" s="57">
        <f t="shared" si="522"/>
        <v>0</v>
      </c>
      <c r="R107" s="59">
        <f t="shared" si="523"/>
        <v>0</v>
      </c>
      <c r="S107" s="55">
        <f t="shared" si="524"/>
        <v>0</v>
      </c>
      <c r="T107" s="59">
        <f t="shared" si="525"/>
        <v>0</v>
      </c>
      <c r="U107" s="57">
        <f t="shared" si="526"/>
        <v>0</v>
      </c>
      <c r="V107" s="59">
        <f t="shared" si="527"/>
        <v>0</v>
      </c>
      <c r="W107" s="60">
        <f t="shared" si="528"/>
        <v>0</v>
      </c>
      <c r="X107" s="59">
        <f t="shared" si="529"/>
        <v>0</v>
      </c>
      <c r="Y107" s="57">
        <f t="shared" si="530"/>
        <v>0</v>
      </c>
      <c r="Z107" s="59">
        <f t="shared" si="531"/>
        <v>0</v>
      </c>
      <c r="AA107" s="55">
        <f t="shared" si="532"/>
        <v>0</v>
      </c>
      <c r="AB107" s="59">
        <f t="shared" si="533"/>
        <v>0</v>
      </c>
      <c r="AC107" s="60">
        <f t="shared" si="534"/>
        <v>0</v>
      </c>
      <c r="AD107" s="59">
        <f t="shared" si="535"/>
        <v>0</v>
      </c>
      <c r="AE107" s="60">
        <f t="shared" si="536"/>
        <v>0</v>
      </c>
      <c r="AF107" s="59">
        <f t="shared" si="537"/>
        <v>0</v>
      </c>
      <c r="AG107" s="60">
        <f t="shared" si="538"/>
        <v>0</v>
      </c>
      <c r="AH107" s="59">
        <f t="shared" si="539"/>
        <v>0</v>
      </c>
      <c r="AI107" s="55">
        <f t="shared" si="540"/>
        <v>0</v>
      </c>
      <c r="AJ107" s="59">
        <f t="shared" si="541"/>
        <v>0</v>
      </c>
      <c r="AK107" s="60">
        <f t="shared" si="542"/>
        <v>0</v>
      </c>
      <c r="AL107" s="59">
        <f t="shared" si="543"/>
        <v>0</v>
      </c>
      <c r="AM107" s="60">
        <f t="shared" si="544"/>
        <v>0</v>
      </c>
      <c r="AN107" s="59">
        <f t="shared" si="545"/>
        <v>0</v>
      </c>
      <c r="AO107" s="60">
        <f t="shared" si="546"/>
        <v>0</v>
      </c>
      <c r="AP107" s="59">
        <f t="shared" si="547"/>
        <v>0</v>
      </c>
      <c r="AQ107" s="60">
        <f t="shared" si="548"/>
        <v>0</v>
      </c>
      <c r="AR107" s="59">
        <f t="shared" si="549"/>
        <v>0</v>
      </c>
      <c r="AS107" s="55">
        <f t="shared" si="550"/>
        <v>0</v>
      </c>
      <c r="AT107" s="59">
        <f t="shared" si="551"/>
        <v>0</v>
      </c>
      <c r="AU107" s="60">
        <f t="shared" si="552"/>
        <v>0</v>
      </c>
      <c r="AV107" s="59">
        <f t="shared" si="553"/>
        <v>0</v>
      </c>
      <c r="AW107" s="60">
        <f t="shared" si="554"/>
        <v>0</v>
      </c>
      <c r="AX107" s="59">
        <f t="shared" si="555"/>
        <v>0</v>
      </c>
      <c r="AY107" s="55">
        <f t="shared" si="556"/>
        <v>0</v>
      </c>
      <c r="AZ107" s="59">
        <f t="shared" si="557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1">+BF107-0.02</f>
        <v>0.91</v>
      </c>
      <c r="BH107" s="55">
        <f t="shared" si="651"/>
        <v>0.89</v>
      </c>
      <c r="BI107" s="55">
        <f t="shared" si="651"/>
        <v>0.87</v>
      </c>
      <c r="BJ107" s="55">
        <f t="shared" si="651"/>
        <v>0.85</v>
      </c>
      <c r="BK107" s="55">
        <f t="shared" si="651"/>
        <v>0.83</v>
      </c>
      <c r="BL107" s="55">
        <f t="shared" si="651"/>
        <v>0.80999999999999994</v>
      </c>
      <c r="BM107" s="55">
        <f t="shared" si="651"/>
        <v>0.78999999999999992</v>
      </c>
      <c r="BN107" s="55">
        <f t="shared" si="651"/>
        <v>0.76999999999999991</v>
      </c>
      <c r="BO107" s="55">
        <f t="shared" si="651"/>
        <v>0.74999999999999989</v>
      </c>
      <c r="BP107" s="55">
        <f t="shared" si="651"/>
        <v>0.72999999999999987</v>
      </c>
      <c r="BQ107" s="55">
        <f t="shared" si="651"/>
        <v>0.70999999999999985</v>
      </c>
      <c r="BR107" s="55">
        <f t="shared" si="651"/>
        <v>0.68999999999999984</v>
      </c>
      <c r="BS107" s="55">
        <f t="shared" si="651"/>
        <v>0.66999999999999982</v>
      </c>
      <c r="BT107" s="55">
        <f t="shared" si="651"/>
        <v>0.6499999999999998</v>
      </c>
      <c r="BU107" s="55">
        <f t="shared" si="651"/>
        <v>0.62999999999999978</v>
      </c>
      <c r="BV107" s="55">
        <f t="shared" si="651"/>
        <v>0.60999999999999976</v>
      </c>
      <c r="BW107" s="55">
        <f t="shared" si="651"/>
        <v>0.58999999999999975</v>
      </c>
      <c r="BX107" s="55">
        <f t="shared" si="651"/>
        <v>0.56999999999999973</v>
      </c>
      <c r="BZ107" s="55">
        <f t="shared" si="508"/>
        <v>0</v>
      </c>
      <c r="CA107" s="55">
        <f t="shared" si="509"/>
        <v>0</v>
      </c>
      <c r="CB107" s="59">
        <f t="shared" si="559"/>
        <v>0</v>
      </c>
      <c r="CC107" s="55">
        <f t="shared" si="560"/>
        <v>0</v>
      </c>
      <c r="CD107" s="59">
        <f t="shared" si="561"/>
        <v>0</v>
      </c>
      <c r="CE107" s="55">
        <f t="shared" si="562"/>
        <v>0</v>
      </c>
      <c r="CF107" s="59">
        <f t="shared" si="563"/>
        <v>0</v>
      </c>
      <c r="CG107" s="55">
        <f t="shared" si="564"/>
        <v>0</v>
      </c>
      <c r="CH107" s="59">
        <f t="shared" si="565"/>
        <v>0</v>
      </c>
      <c r="CI107" s="57">
        <f t="shared" si="566"/>
        <v>0</v>
      </c>
      <c r="CJ107" s="59">
        <f t="shared" si="567"/>
        <v>0</v>
      </c>
      <c r="CK107" s="55">
        <f t="shared" si="568"/>
        <v>0</v>
      </c>
      <c r="CL107" s="59">
        <f t="shared" si="569"/>
        <v>0</v>
      </c>
      <c r="CM107" s="57">
        <f t="shared" si="570"/>
        <v>0</v>
      </c>
      <c r="CN107" s="59">
        <f t="shared" si="571"/>
        <v>0</v>
      </c>
      <c r="CO107" s="60">
        <f t="shared" si="572"/>
        <v>0</v>
      </c>
      <c r="CP107" s="59">
        <f t="shared" si="573"/>
        <v>0</v>
      </c>
      <c r="CQ107" s="57">
        <f t="shared" si="574"/>
        <v>0</v>
      </c>
      <c r="CR107" s="59">
        <f t="shared" si="575"/>
        <v>0</v>
      </c>
      <c r="CS107" s="55">
        <f t="shared" si="576"/>
        <v>0</v>
      </c>
      <c r="CT107" s="59">
        <f t="shared" si="577"/>
        <v>0</v>
      </c>
      <c r="CU107" s="60">
        <f t="shared" si="578"/>
        <v>0</v>
      </c>
      <c r="CV107" s="59">
        <f t="shared" si="579"/>
        <v>0</v>
      </c>
      <c r="CW107" s="60">
        <f t="shared" si="580"/>
        <v>0</v>
      </c>
      <c r="CX107" s="59">
        <f t="shared" si="581"/>
        <v>0</v>
      </c>
      <c r="CY107" s="60">
        <f t="shared" si="582"/>
        <v>0</v>
      </c>
      <c r="CZ107" s="59">
        <f t="shared" si="583"/>
        <v>0</v>
      </c>
      <c r="DA107" s="55">
        <f t="shared" si="584"/>
        <v>0</v>
      </c>
      <c r="DB107" s="59">
        <f t="shared" si="585"/>
        <v>0</v>
      </c>
      <c r="DC107" s="60">
        <f t="shared" si="586"/>
        <v>0</v>
      </c>
      <c r="DD107" s="59">
        <f t="shared" si="587"/>
        <v>0</v>
      </c>
      <c r="DE107" s="60">
        <f t="shared" si="588"/>
        <v>0</v>
      </c>
      <c r="DF107" s="59">
        <f t="shared" si="589"/>
        <v>0</v>
      </c>
      <c r="DG107" s="60">
        <f t="shared" si="590"/>
        <v>0</v>
      </c>
      <c r="DH107" s="59">
        <f t="shared" si="591"/>
        <v>0</v>
      </c>
      <c r="DI107" s="60">
        <f t="shared" si="592"/>
        <v>0</v>
      </c>
      <c r="DJ107" s="59">
        <f t="shared" si="593"/>
        <v>0</v>
      </c>
      <c r="DK107" s="55">
        <f t="shared" si="594"/>
        <v>0</v>
      </c>
      <c r="DL107" s="59">
        <f t="shared" si="595"/>
        <v>0</v>
      </c>
      <c r="DM107" s="60">
        <f t="shared" si="596"/>
        <v>0</v>
      </c>
      <c r="DN107" s="59">
        <f t="shared" si="597"/>
        <v>0</v>
      </c>
      <c r="DO107" s="60">
        <f t="shared" si="598"/>
        <v>0</v>
      </c>
      <c r="DP107" s="59">
        <f t="shared" si="599"/>
        <v>0</v>
      </c>
      <c r="DQ107" s="55">
        <f t="shared" si="600"/>
        <v>0</v>
      </c>
      <c r="DR107" s="59">
        <f t="shared" si="601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47"/>
        <v>0.91</v>
      </c>
      <c r="DZ107" s="55">
        <f t="shared" si="647"/>
        <v>0.89</v>
      </c>
      <c r="EA107" s="55">
        <f t="shared" si="647"/>
        <v>0.87</v>
      </c>
      <c r="EB107" s="55">
        <f t="shared" si="647"/>
        <v>0.85</v>
      </c>
      <c r="EC107" s="55">
        <f t="shared" si="647"/>
        <v>0.83</v>
      </c>
      <c r="ED107" s="55">
        <f t="shared" si="647"/>
        <v>0.80999999999999994</v>
      </c>
      <c r="EE107" s="55">
        <f t="shared" si="647"/>
        <v>0.78999999999999992</v>
      </c>
      <c r="EF107" s="55">
        <f t="shared" si="647"/>
        <v>0.76999999999999991</v>
      </c>
      <c r="EG107" s="55">
        <f t="shared" si="647"/>
        <v>0.74999999999999989</v>
      </c>
      <c r="EH107" s="55">
        <f t="shared" si="647"/>
        <v>0.72999999999999987</v>
      </c>
      <c r="EI107" s="55">
        <f t="shared" si="647"/>
        <v>0.70999999999999985</v>
      </c>
      <c r="EJ107" s="55">
        <f t="shared" si="647"/>
        <v>0.68999999999999984</v>
      </c>
      <c r="EK107" s="55">
        <f t="shared" si="647"/>
        <v>0.66999999999999982</v>
      </c>
      <c r="EL107" s="55">
        <f t="shared" si="647"/>
        <v>0.6499999999999998</v>
      </c>
      <c r="EM107" s="55">
        <f t="shared" si="647"/>
        <v>0.62999999999999978</v>
      </c>
      <c r="EN107" s="55">
        <f t="shared" si="647"/>
        <v>0.60999999999999976</v>
      </c>
      <c r="EO107" s="55">
        <f t="shared" si="647"/>
        <v>0.58999999999999975</v>
      </c>
      <c r="EP107" s="55">
        <f t="shared" si="647"/>
        <v>0.56999999999999973</v>
      </c>
      <c r="ER107" s="55">
        <f t="shared" si="648"/>
        <v>0</v>
      </c>
      <c r="ES107" s="55">
        <f t="shared" si="510"/>
        <v>0</v>
      </c>
      <c r="ET107" s="59">
        <f t="shared" si="602"/>
        <v>0</v>
      </c>
      <c r="EU107" s="55">
        <f t="shared" si="603"/>
        <v>0</v>
      </c>
      <c r="EV107" s="59">
        <f t="shared" si="604"/>
        <v>0</v>
      </c>
      <c r="EW107" s="55">
        <f t="shared" si="605"/>
        <v>0</v>
      </c>
      <c r="EX107" s="59">
        <f t="shared" si="606"/>
        <v>0</v>
      </c>
      <c r="EY107" s="55">
        <f t="shared" si="607"/>
        <v>0</v>
      </c>
      <c r="EZ107" s="59">
        <f t="shared" si="608"/>
        <v>0</v>
      </c>
      <c r="FA107" s="57">
        <f t="shared" si="609"/>
        <v>0</v>
      </c>
      <c r="FB107" s="59">
        <f t="shared" si="610"/>
        <v>0</v>
      </c>
      <c r="FC107" s="55">
        <f t="shared" si="611"/>
        <v>0</v>
      </c>
      <c r="FD107" s="59">
        <f t="shared" si="612"/>
        <v>0</v>
      </c>
      <c r="FE107" s="57">
        <f t="shared" si="613"/>
        <v>0</v>
      </c>
      <c r="FF107" s="59">
        <f t="shared" si="614"/>
        <v>0</v>
      </c>
      <c r="FG107" s="60">
        <f t="shared" si="615"/>
        <v>0</v>
      </c>
      <c r="FH107" s="59">
        <f t="shared" si="616"/>
        <v>0</v>
      </c>
      <c r="FI107" s="57">
        <f t="shared" si="617"/>
        <v>0</v>
      </c>
      <c r="FJ107" s="59">
        <f t="shared" si="618"/>
        <v>0</v>
      </c>
      <c r="FK107" s="55">
        <f t="shared" si="619"/>
        <v>0</v>
      </c>
      <c r="FL107" s="59">
        <f t="shared" si="620"/>
        <v>0</v>
      </c>
      <c r="FM107" s="60">
        <f t="shared" si="621"/>
        <v>0</v>
      </c>
      <c r="FN107" s="59">
        <f t="shared" si="622"/>
        <v>0</v>
      </c>
      <c r="FO107" s="60">
        <f t="shared" si="623"/>
        <v>0</v>
      </c>
      <c r="FP107" s="59">
        <f t="shared" si="624"/>
        <v>0</v>
      </c>
      <c r="FQ107" s="60">
        <f t="shared" si="625"/>
        <v>0</v>
      </c>
      <c r="FR107" s="59">
        <f t="shared" si="626"/>
        <v>0</v>
      </c>
      <c r="FS107" s="55">
        <f t="shared" si="627"/>
        <v>0</v>
      </c>
      <c r="FT107" s="59">
        <f t="shared" si="628"/>
        <v>0</v>
      </c>
      <c r="FU107" s="60">
        <f t="shared" si="629"/>
        <v>0</v>
      </c>
      <c r="FV107" s="59">
        <f t="shared" si="630"/>
        <v>0</v>
      </c>
      <c r="FW107" s="60">
        <f t="shared" si="631"/>
        <v>0</v>
      </c>
      <c r="FX107" s="59">
        <f t="shared" si="632"/>
        <v>0</v>
      </c>
      <c r="FY107" s="60">
        <f t="shared" si="633"/>
        <v>0</v>
      </c>
      <c r="FZ107" s="59">
        <f t="shared" si="634"/>
        <v>0</v>
      </c>
      <c r="GA107" s="60">
        <f t="shared" si="635"/>
        <v>0</v>
      </c>
      <c r="GB107" s="59">
        <f t="shared" si="636"/>
        <v>0</v>
      </c>
      <c r="GC107" s="55">
        <f t="shared" si="637"/>
        <v>0</v>
      </c>
      <c r="GD107" s="59">
        <f t="shared" si="638"/>
        <v>0</v>
      </c>
      <c r="GE107" s="60">
        <f t="shared" si="639"/>
        <v>0</v>
      </c>
      <c r="GF107" s="59">
        <f t="shared" si="640"/>
        <v>0</v>
      </c>
      <c r="GG107" s="60">
        <f t="shared" si="641"/>
        <v>0</v>
      </c>
      <c r="GH107" s="59">
        <f t="shared" si="642"/>
        <v>0</v>
      </c>
      <c r="GI107" s="55">
        <f t="shared" si="643"/>
        <v>0</v>
      </c>
      <c r="GJ107" s="59">
        <f t="shared" si="644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49"/>
        <v>0.91</v>
      </c>
      <c r="GR107" s="55">
        <f t="shared" si="649"/>
        <v>0.89</v>
      </c>
      <c r="GS107" s="55">
        <f t="shared" si="649"/>
        <v>0.87</v>
      </c>
      <c r="GT107" s="55">
        <f t="shared" si="649"/>
        <v>0.85</v>
      </c>
      <c r="GU107" s="55">
        <f t="shared" si="649"/>
        <v>0.83</v>
      </c>
      <c r="GV107" s="55">
        <f t="shared" si="649"/>
        <v>0.80999999999999994</v>
      </c>
      <c r="GW107" s="55">
        <f t="shared" si="649"/>
        <v>0.78999999999999992</v>
      </c>
      <c r="GX107" s="55">
        <f t="shared" si="649"/>
        <v>0.76999999999999991</v>
      </c>
      <c r="GY107" s="55">
        <f t="shared" si="649"/>
        <v>0.74999999999999989</v>
      </c>
      <c r="GZ107" s="55">
        <f t="shared" si="649"/>
        <v>0.72999999999999987</v>
      </c>
      <c r="HA107" s="55">
        <f t="shared" si="649"/>
        <v>0.70999999999999985</v>
      </c>
      <c r="HB107" s="55">
        <f t="shared" si="649"/>
        <v>0.68999999999999984</v>
      </c>
      <c r="HC107" s="55">
        <f t="shared" si="649"/>
        <v>0.66999999999999982</v>
      </c>
      <c r="HD107" s="55">
        <f t="shared" si="649"/>
        <v>0.6499999999999998</v>
      </c>
      <c r="HE107" s="55">
        <f t="shared" si="649"/>
        <v>0.62999999999999978</v>
      </c>
      <c r="HF107" s="55">
        <f t="shared" si="649"/>
        <v>0.60999999999999976</v>
      </c>
      <c r="HG107" s="55">
        <f t="shared" si="649"/>
        <v>0.58999999999999975</v>
      </c>
      <c r="HH107" s="55">
        <f t="shared" si="649"/>
        <v>0.56999999999999973</v>
      </c>
    </row>
    <row r="108" spans="1:216" x14ac:dyDescent="0.3">
      <c r="A108" s="2">
        <v>17</v>
      </c>
      <c r="C108" s="38" t="s">
        <v>131</v>
      </c>
      <c r="D108" s="42">
        <v>0</v>
      </c>
      <c r="E108" s="71">
        <f t="shared" si="515"/>
        <v>0</v>
      </c>
      <c r="H108" s="55">
        <f t="shared" si="505"/>
        <v>0</v>
      </c>
      <c r="I108" s="55">
        <f t="shared" si="506"/>
        <v>0</v>
      </c>
      <c r="J108" s="59">
        <f t="shared" si="507"/>
        <v>0</v>
      </c>
      <c r="K108" s="55">
        <f t="shared" si="516"/>
        <v>0</v>
      </c>
      <c r="L108" s="59">
        <f t="shared" si="517"/>
        <v>0</v>
      </c>
      <c r="M108" s="55">
        <f t="shared" si="518"/>
        <v>0</v>
      </c>
      <c r="N108" s="59">
        <f t="shared" si="519"/>
        <v>0</v>
      </c>
      <c r="O108" s="55">
        <f t="shared" si="520"/>
        <v>0</v>
      </c>
      <c r="P108" s="59">
        <f t="shared" si="521"/>
        <v>0</v>
      </c>
      <c r="Q108" s="57">
        <f t="shared" si="522"/>
        <v>0</v>
      </c>
      <c r="R108" s="59">
        <f t="shared" si="523"/>
        <v>0</v>
      </c>
      <c r="S108" s="55">
        <f t="shared" si="524"/>
        <v>0</v>
      </c>
      <c r="T108" s="59">
        <f t="shared" si="525"/>
        <v>0</v>
      </c>
      <c r="U108" s="57">
        <f t="shared" si="526"/>
        <v>0</v>
      </c>
      <c r="V108" s="59">
        <f t="shared" si="527"/>
        <v>0</v>
      </c>
      <c r="W108" s="60">
        <f t="shared" si="528"/>
        <v>0</v>
      </c>
      <c r="X108" s="59">
        <f t="shared" si="529"/>
        <v>0</v>
      </c>
      <c r="Y108" s="57">
        <f t="shared" si="530"/>
        <v>0</v>
      </c>
      <c r="Z108" s="59">
        <f t="shared" si="531"/>
        <v>0</v>
      </c>
      <c r="AA108" s="55">
        <f t="shared" si="532"/>
        <v>0</v>
      </c>
      <c r="AB108" s="59">
        <f t="shared" si="533"/>
        <v>0</v>
      </c>
      <c r="AC108" s="60">
        <f t="shared" si="534"/>
        <v>0</v>
      </c>
      <c r="AD108" s="59">
        <f t="shared" si="535"/>
        <v>0</v>
      </c>
      <c r="AE108" s="60">
        <f t="shared" si="536"/>
        <v>0</v>
      </c>
      <c r="AF108" s="59">
        <f t="shared" si="537"/>
        <v>0</v>
      </c>
      <c r="AG108" s="60">
        <f t="shared" si="538"/>
        <v>0</v>
      </c>
      <c r="AH108" s="59">
        <f t="shared" si="539"/>
        <v>0</v>
      </c>
      <c r="AI108" s="55">
        <f t="shared" si="540"/>
        <v>0</v>
      </c>
      <c r="AJ108" s="59">
        <f t="shared" si="541"/>
        <v>0</v>
      </c>
      <c r="AK108" s="60">
        <f t="shared" si="542"/>
        <v>0</v>
      </c>
      <c r="AL108" s="59">
        <f t="shared" si="543"/>
        <v>0</v>
      </c>
      <c r="AM108" s="60">
        <f t="shared" si="544"/>
        <v>0</v>
      </c>
      <c r="AN108" s="59">
        <f t="shared" si="545"/>
        <v>0</v>
      </c>
      <c r="AO108" s="60">
        <f t="shared" si="546"/>
        <v>0</v>
      </c>
      <c r="AP108" s="59">
        <f t="shared" si="547"/>
        <v>0</v>
      </c>
      <c r="AQ108" s="60">
        <f t="shared" si="548"/>
        <v>0</v>
      </c>
      <c r="AR108" s="59">
        <f t="shared" si="549"/>
        <v>0</v>
      </c>
      <c r="AS108" s="55">
        <f t="shared" si="550"/>
        <v>0</v>
      </c>
      <c r="AT108" s="59">
        <f t="shared" si="551"/>
        <v>0</v>
      </c>
      <c r="AU108" s="60">
        <f t="shared" si="552"/>
        <v>0</v>
      </c>
      <c r="AV108" s="59">
        <f t="shared" si="553"/>
        <v>0</v>
      </c>
      <c r="AW108" s="60">
        <f t="shared" si="554"/>
        <v>0</v>
      </c>
      <c r="AX108" s="59">
        <f t="shared" si="555"/>
        <v>0</v>
      </c>
      <c r="AY108" s="55">
        <f t="shared" si="556"/>
        <v>0</v>
      </c>
      <c r="AZ108" s="59">
        <f t="shared" si="557"/>
        <v>0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1"/>
        <v>0.91</v>
      </c>
      <c r="BH108" s="55">
        <f t="shared" si="651"/>
        <v>0.89</v>
      </c>
      <c r="BI108" s="55">
        <f t="shared" si="651"/>
        <v>0.87</v>
      </c>
      <c r="BJ108" s="55">
        <f t="shared" si="651"/>
        <v>0.85</v>
      </c>
      <c r="BK108" s="55">
        <f t="shared" si="651"/>
        <v>0.83</v>
      </c>
      <c r="BL108" s="55">
        <f t="shared" si="651"/>
        <v>0.80999999999999994</v>
      </c>
      <c r="BM108" s="55">
        <f t="shared" si="651"/>
        <v>0.78999999999999992</v>
      </c>
      <c r="BN108" s="55">
        <f t="shared" si="651"/>
        <v>0.76999999999999991</v>
      </c>
      <c r="BO108" s="55">
        <f t="shared" si="651"/>
        <v>0.74999999999999989</v>
      </c>
      <c r="BP108" s="55">
        <f t="shared" si="651"/>
        <v>0.72999999999999987</v>
      </c>
      <c r="BQ108" s="55">
        <f t="shared" si="651"/>
        <v>0.70999999999999985</v>
      </c>
      <c r="BR108" s="55">
        <f t="shared" si="651"/>
        <v>0.68999999999999984</v>
      </c>
      <c r="BS108" s="55">
        <f t="shared" si="651"/>
        <v>0.66999999999999982</v>
      </c>
      <c r="BT108" s="55">
        <f t="shared" si="651"/>
        <v>0.6499999999999998</v>
      </c>
      <c r="BU108" s="55">
        <f t="shared" si="651"/>
        <v>0.62999999999999978</v>
      </c>
      <c r="BV108" s="55">
        <f t="shared" si="651"/>
        <v>0.60999999999999976</v>
      </c>
      <c r="BW108" s="55">
        <f t="shared" si="651"/>
        <v>0.58999999999999975</v>
      </c>
      <c r="BX108" s="55">
        <f t="shared" si="651"/>
        <v>0.56999999999999973</v>
      </c>
      <c r="BZ108" s="55">
        <f t="shared" si="508"/>
        <v>0</v>
      </c>
      <c r="CA108" s="55">
        <f t="shared" si="509"/>
        <v>0</v>
      </c>
      <c r="CB108" s="59">
        <f t="shared" si="559"/>
        <v>0</v>
      </c>
      <c r="CC108" s="55">
        <f t="shared" si="560"/>
        <v>0</v>
      </c>
      <c r="CD108" s="59">
        <f t="shared" si="561"/>
        <v>0</v>
      </c>
      <c r="CE108" s="55">
        <f t="shared" si="562"/>
        <v>0</v>
      </c>
      <c r="CF108" s="59">
        <f t="shared" si="563"/>
        <v>0</v>
      </c>
      <c r="CG108" s="55">
        <f t="shared" si="564"/>
        <v>0</v>
      </c>
      <c r="CH108" s="59">
        <f t="shared" si="565"/>
        <v>0</v>
      </c>
      <c r="CI108" s="57">
        <f t="shared" si="566"/>
        <v>0</v>
      </c>
      <c r="CJ108" s="59">
        <f t="shared" si="567"/>
        <v>0</v>
      </c>
      <c r="CK108" s="55">
        <f t="shared" si="568"/>
        <v>0</v>
      </c>
      <c r="CL108" s="59">
        <f t="shared" si="569"/>
        <v>0</v>
      </c>
      <c r="CM108" s="57">
        <f t="shared" si="570"/>
        <v>0</v>
      </c>
      <c r="CN108" s="59">
        <f t="shared" si="571"/>
        <v>0</v>
      </c>
      <c r="CO108" s="60">
        <f t="shared" si="572"/>
        <v>0</v>
      </c>
      <c r="CP108" s="59">
        <f t="shared" si="573"/>
        <v>0</v>
      </c>
      <c r="CQ108" s="57">
        <f t="shared" si="574"/>
        <v>0</v>
      </c>
      <c r="CR108" s="59">
        <f t="shared" si="575"/>
        <v>0</v>
      </c>
      <c r="CS108" s="55">
        <f t="shared" si="576"/>
        <v>0</v>
      </c>
      <c r="CT108" s="59">
        <f t="shared" si="577"/>
        <v>0</v>
      </c>
      <c r="CU108" s="60">
        <f t="shared" si="578"/>
        <v>0</v>
      </c>
      <c r="CV108" s="59">
        <f t="shared" si="579"/>
        <v>0</v>
      </c>
      <c r="CW108" s="60">
        <f t="shared" si="580"/>
        <v>0</v>
      </c>
      <c r="CX108" s="59">
        <f t="shared" si="581"/>
        <v>0</v>
      </c>
      <c r="CY108" s="60">
        <f t="shared" si="582"/>
        <v>0</v>
      </c>
      <c r="CZ108" s="59">
        <f t="shared" si="583"/>
        <v>0</v>
      </c>
      <c r="DA108" s="55">
        <f t="shared" si="584"/>
        <v>0</v>
      </c>
      <c r="DB108" s="59">
        <f t="shared" si="585"/>
        <v>0</v>
      </c>
      <c r="DC108" s="60">
        <f t="shared" si="586"/>
        <v>0</v>
      </c>
      <c r="DD108" s="59">
        <f t="shared" si="587"/>
        <v>0</v>
      </c>
      <c r="DE108" s="60">
        <f t="shared" si="588"/>
        <v>0</v>
      </c>
      <c r="DF108" s="59">
        <f t="shared" si="589"/>
        <v>0</v>
      </c>
      <c r="DG108" s="60">
        <f t="shared" si="590"/>
        <v>0</v>
      </c>
      <c r="DH108" s="59">
        <f t="shared" si="591"/>
        <v>0</v>
      </c>
      <c r="DI108" s="60">
        <f t="shared" si="592"/>
        <v>0</v>
      </c>
      <c r="DJ108" s="59">
        <f t="shared" si="593"/>
        <v>0</v>
      </c>
      <c r="DK108" s="55">
        <f t="shared" si="594"/>
        <v>0</v>
      </c>
      <c r="DL108" s="59">
        <f t="shared" si="595"/>
        <v>0</v>
      </c>
      <c r="DM108" s="60">
        <f t="shared" si="596"/>
        <v>0</v>
      </c>
      <c r="DN108" s="59">
        <f t="shared" si="597"/>
        <v>0</v>
      </c>
      <c r="DO108" s="60">
        <f t="shared" si="598"/>
        <v>0</v>
      </c>
      <c r="DP108" s="59">
        <f t="shared" si="599"/>
        <v>0</v>
      </c>
      <c r="DQ108" s="55">
        <f t="shared" si="600"/>
        <v>0</v>
      </c>
      <c r="DR108" s="59">
        <f t="shared" si="601"/>
        <v>0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47"/>
        <v>0.91</v>
      </c>
      <c r="DZ108" s="55">
        <f t="shared" si="647"/>
        <v>0.89</v>
      </c>
      <c r="EA108" s="55">
        <f t="shared" si="647"/>
        <v>0.87</v>
      </c>
      <c r="EB108" s="55">
        <f t="shared" ref="EB108:EP108" si="652">+EA108-0.02</f>
        <v>0.85</v>
      </c>
      <c r="EC108" s="55">
        <f t="shared" si="652"/>
        <v>0.83</v>
      </c>
      <c r="ED108" s="55">
        <f t="shared" si="652"/>
        <v>0.80999999999999994</v>
      </c>
      <c r="EE108" s="55">
        <f t="shared" si="652"/>
        <v>0.78999999999999992</v>
      </c>
      <c r="EF108" s="55">
        <f t="shared" si="652"/>
        <v>0.76999999999999991</v>
      </c>
      <c r="EG108" s="55">
        <f t="shared" si="652"/>
        <v>0.74999999999999989</v>
      </c>
      <c r="EH108" s="55">
        <f t="shared" si="652"/>
        <v>0.72999999999999987</v>
      </c>
      <c r="EI108" s="55">
        <f t="shared" si="652"/>
        <v>0.70999999999999985</v>
      </c>
      <c r="EJ108" s="55">
        <f t="shared" si="652"/>
        <v>0.68999999999999984</v>
      </c>
      <c r="EK108" s="55">
        <f t="shared" si="652"/>
        <v>0.66999999999999982</v>
      </c>
      <c r="EL108" s="55">
        <f t="shared" si="652"/>
        <v>0.6499999999999998</v>
      </c>
      <c r="EM108" s="55">
        <f t="shared" si="652"/>
        <v>0.62999999999999978</v>
      </c>
      <c r="EN108" s="55">
        <f t="shared" si="652"/>
        <v>0.60999999999999976</v>
      </c>
      <c r="EO108" s="55">
        <f t="shared" si="652"/>
        <v>0.58999999999999975</v>
      </c>
      <c r="EP108" s="55">
        <f t="shared" si="652"/>
        <v>0.56999999999999973</v>
      </c>
      <c r="ER108" s="55">
        <f t="shared" si="648"/>
        <v>0</v>
      </c>
      <c r="ES108" s="55">
        <f t="shared" si="510"/>
        <v>0</v>
      </c>
      <c r="ET108" s="59">
        <f t="shared" si="602"/>
        <v>0</v>
      </c>
      <c r="EU108" s="55">
        <f t="shared" si="603"/>
        <v>0</v>
      </c>
      <c r="EV108" s="59">
        <f t="shared" si="604"/>
        <v>0</v>
      </c>
      <c r="EW108" s="55">
        <f t="shared" si="605"/>
        <v>0</v>
      </c>
      <c r="EX108" s="59">
        <f t="shared" si="606"/>
        <v>0</v>
      </c>
      <c r="EY108" s="55">
        <f t="shared" si="607"/>
        <v>0</v>
      </c>
      <c r="EZ108" s="59">
        <f t="shared" si="608"/>
        <v>0</v>
      </c>
      <c r="FA108" s="57">
        <f t="shared" si="609"/>
        <v>0</v>
      </c>
      <c r="FB108" s="59">
        <f t="shared" si="610"/>
        <v>0</v>
      </c>
      <c r="FC108" s="55">
        <f t="shared" si="611"/>
        <v>0</v>
      </c>
      <c r="FD108" s="59">
        <f t="shared" si="612"/>
        <v>0</v>
      </c>
      <c r="FE108" s="57">
        <f t="shared" si="613"/>
        <v>0</v>
      </c>
      <c r="FF108" s="59">
        <f t="shared" si="614"/>
        <v>0</v>
      </c>
      <c r="FG108" s="60">
        <f t="shared" si="615"/>
        <v>0</v>
      </c>
      <c r="FH108" s="59">
        <f t="shared" si="616"/>
        <v>0</v>
      </c>
      <c r="FI108" s="57">
        <f t="shared" si="617"/>
        <v>0</v>
      </c>
      <c r="FJ108" s="59">
        <f t="shared" si="618"/>
        <v>0</v>
      </c>
      <c r="FK108" s="55">
        <f t="shared" si="619"/>
        <v>0</v>
      </c>
      <c r="FL108" s="59">
        <f t="shared" si="620"/>
        <v>0</v>
      </c>
      <c r="FM108" s="60">
        <f t="shared" si="621"/>
        <v>0</v>
      </c>
      <c r="FN108" s="59">
        <f t="shared" si="622"/>
        <v>0</v>
      </c>
      <c r="FO108" s="60">
        <f t="shared" si="623"/>
        <v>0</v>
      </c>
      <c r="FP108" s="59">
        <f t="shared" si="624"/>
        <v>0</v>
      </c>
      <c r="FQ108" s="60">
        <f t="shared" si="625"/>
        <v>0</v>
      </c>
      <c r="FR108" s="59">
        <f t="shared" si="626"/>
        <v>0</v>
      </c>
      <c r="FS108" s="55">
        <f t="shared" si="627"/>
        <v>0</v>
      </c>
      <c r="FT108" s="59">
        <f t="shared" si="628"/>
        <v>0</v>
      </c>
      <c r="FU108" s="60">
        <f t="shared" si="629"/>
        <v>0</v>
      </c>
      <c r="FV108" s="59">
        <f t="shared" si="630"/>
        <v>0</v>
      </c>
      <c r="FW108" s="60">
        <f t="shared" si="631"/>
        <v>0</v>
      </c>
      <c r="FX108" s="59">
        <f t="shared" si="632"/>
        <v>0</v>
      </c>
      <c r="FY108" s="60">
        <f t="shared" si="633"/>
        <v>0</v>
      </c>
      <c r="FZ108" s="59">
        <f t="shared" si="634"/>
        <v>0</v>
      </c>
      <c r="GA108" s="60">
        <f t="shared" si="635"/>
        <v>0</v>
      </c>
      <c r="GB108" s="59">
        <f t="shared" si="636"/>
        <v>0</v>
      </c>
      <c r="GC108" s="55">
        <f t="shared" si="637"/>
        <v>0</v>
      </c>
      <c r="GD108" s="59">
        <f t="shared" si="638"/>
        <v>0</v>
      </c>
      <c r="GE108" s="60">
        <f t="shared" si="639"/>
        <v>0</v>
      </c>
      <c r="GF108" s="59">
        <f t="shared" si="640"/>
        <v>0</v>
      </c>
      <c r="GG108" s="60">
        <f t="shared" si="641"/>
        <v>0</v>
      </c>
      <c r="GH108" s="59">
        <f t="shared" si="642"/>
        <v>0</v>
      </c>
      <c r="GI108" s="55">
        <f t="shared" si="643"/>
        <v>0</v>
      </c>
      <c r="GJ108" s="59">
        <f t="shared" si="644"/>
        <v>0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49"/>
        <v>0.91</v>
      </c>
      <c r="GR108" s="55">
        <f t="shared" si="649"/>
        <v>0.89</v>
      </c>
      <c r="GS108" s="55">
        <f t="shared" si="649"/>
        <v>0.87</v>
      </c>
      <c r="GT108" s="55">
        <f t="shared" ref="GT108:HH108" si="653">+GS108-0.02</f>
        <v>0.85</v>
      </c>
      <c r="GU108" s="55">
        <f t="shared" si="653"/>
        <v>0.83</v>
      </c>
      <c r="GV108" s="55">
        <f t="shared" si="653"/>
        <v>0.80999999999999994</v>
      </c>
      <c r="GW108" s="55">
        <f t="shared" si="653"/>
        <v>0.78999999999999992</v>
      </c>
      <c r="GX108" s="55">
        <f t="shared" si="653"/>
        <v>0.76999999999999991</v>
      </c>
      <c r="GY108" s="55">
        <f t="shared" si="653"/>
        <v>0.74999999999999989</v>
      </c>
      <c r="GZ108" s="55">
        <f t="shared" si="653"/>
        <v>0.72999999999999987</v>
      </c>
      <c r="HA108" s="55">
        <f t="shared" si="653"/>
        <v>0.70999999999999985</v>
      </c>
      <c r="HB108" s="55">
        <f t="shared" si="653"/>
        <v>0.68999999999999984</v>
      </c>
      <c r="HC108" s="55">
        <f t="shared" si="653"/>
        <v>0.66999999999999982</v>
      </c>
      <c r="HD108" s="55">
        <f t="shared" si="653"/>
        <v>0.6499999999999998</v>
      </c>
      <c r="HE108" s="55">
        <f t="shared" si="653"/>
        <v>0.62999999999999978</v>
      </c>
      <c r="HF108" s="55">
        <f t="shared" si="653"/>
        <v>0.60999999999999976</v>
      </c>
      <c r="HG108" s="55">
        <f t="shared" si="653"/>
        <v>0.58999999999999975</v>
      </c>
      <c r="HH108" s="55">
        <f t="shared" si="653"/>
        <v>0.56999999999999973</v>
      </c>
    </row>
    <row r="109" spans="1:216" x14ac:dyDescent="0.3">
      <c r="A109" s="2">
        <v>18</v>
      </c>
      <c r="C109" s="38" t="s">
        <v>117</v>
      </c>
      <c r="D109" s="42">
        <f>TRUNC(5194.84002692394,-1)</f>
        <v>5190</v>
      </c>
      <c r="E109" s="71">
        <f t="shared" si="515"/>
        <v>17150</v>
      </c>
      <c r="F109" s="2" t="s">
        <v>310</v>
      </c>
      <c r="H109" s="55">
        <f t="shared" si="505"/>
        <v>18865</v>
      </c>
      <c r="I109" s="55">
        <f t="shared" si="506"/>
        <v>18865</v>
      </c>
      <c r="J109" s="59">
        <f t="shared" si="507"/>
        <v>62363.917000000001</v>
      </c>
      <c r="K109" s="55">
        <f t="shared" si="516"/>
        <v>18299.05</v>
      </c>
      <c r="L109" s="59">
        <f t="shared" si="517"/>
        <v>60492.999490000002</v>
      </c>
      <c r="M109" s="55">
        <f t="shared" si="518"/>
        <v>17921.75</v>
      </c>
      <c r="N109" s="59">
        <f t="shared" si="519"/>
        <v>59245.721150000005</v>
      </c>
      <c r="O109" s="55">
        <f t="shared" si="520"/>
        <v>17544.45</v>
      </c>
      <c r="P109" s="59">
        <f t="shared" si="521"/>
        <v>57998.44281</v>
      </c>
      <c r="Q109" s="57">
        <f t="shared" si="522"/>
        <v>17167.150000000001</v>
      </c>
      <c r="R109" s="59">
        <f t="shared" si="523"/>
        <v>56751.164470000003</v>
      </c>
      <c r="S109" s="55">
        <f t="shared" si="524"/>
        <v>16789.849999999999</v>
      </c>
      <c r="T109" s="59">
        <f t="shared" si="525"/>
        <v>55503.886129999999</v>
      </c>
      <c r="U109" s="57">
        <f t="shared" si="526"/>
        <v>16412.55</v>
      </c>
      <c r="V109" s="59">
        <f t="shared" si="527"/>
        <v>54256.607790000002</v>
      </c>
      <c r="W109" s="60">
        <f t="shared" si="528"/>
        <v>16035.25</v>
      </c>
      <c r="X109" s="59">
        <f t="shared" si="529"/>
        <v>53009.329450000005</v>
      </c>
      <c r="Y109" s="57">
        <f t="shared" si="530"/>
        <v>15657.949999999999</v>
      </c>
      <c r="Z109" s="59">
        <f t="shared" si="531"/>
        <v>51762.05111</v>
      </c>
      <c r="AA109" s="55">
        <f t="shared" si="532"/>
        <v>15280.65</v>
      </c>
      <c r="AB109" s="59">
        <f t="shared" si="533"/>
        <v>50514.772770000003</v>
      </c>
      <c r="AC109" s="60">
        <f t="shared" si="534"/>
        <v>14903.349999999999</v>
      </c>
      <c r="AD109" s="59">
        <f t="shared" si="535"/>
        <v>49267.494429999999</v>
      </c>
      <c r="AE109" s="60">
        <f t="shared" si="536"/>
        <v>14526.049999999997</v>
      </c>
      <c r="AF109" s="59">
        <f t="shared" si="537"/>
        <v>48020.216089999994</v>
      </c>
      <c r="AG109" s="60">
        <f t="shared" si="538"/>
        <v>14148.749999999998</v>
      </c>
      <c r="AH109" s="59">
        <f t="shared" si="539"/>
        <v>46772.937749999997</v>
      </c>
      <c r="AI109" s="55">
        <f t="shared" si="540"/>
        <v>13771.449999999997</v>
      </c>
      <c r="AJ109" s="59">
        <f t="shared" si="541"/>
        <v>45525.659409999993</v>
      </c>
      <c r="AK109" s="60">
        <f t="shared" si="542"/>
        <v>13394.149999999998</v>
      </c>
      <c r="AL109" s="59">
        <f t="shared" si="543"/>
        <v>44278.381069999996</v>
      </c>
      <c r="AM109" s="60">
        <f t="shared" si="544"/>
        <v>13016.849999999997</v>
      </c>
      <c r="AN109" s="59">
        <f t="shared" si="545"/>
        <v>43031.102729999991</v>
      </c>
      <c r="AO109" s="60">
        <f t="shared" si="546"/>
        <v>12639.549999999997</v>
      </c>
      <c r="AP109" s="59">
        <f t="shared" si="547"/>
        <v>41783.824389999994</v>
      </c>
      <c r="AQ109" s="60">
        <f t="shared" si="548"/>
        <v>12262.249999999996</v>
      </c>
      <c r="AR109" s="59">
        <f t="shared" si="549"/>
        <v>40536.54604999999</v>
      </c>
      <c r="AS109" s="55">
        <f t="shared" si="550"/>
        <v>11884.949999999995</v>
      </c>
      <c r="AT109" s="59">
        <f t="shared" si="551"/>
        <v>39289.267709999986</v>
      </c>
      <c r="AU109" s="60">
        <f t="shared" si="552"/>
        <v>11507.649999999996</v>
      </c>
      <c r="AV109" s="59">
        <f t="shared" si="553"/>
        <v>38041.989369999988</v>
      </c>
      <c r="AW109" s="60">
        <f t="shared" si="554"/>
        <v>11130.349999999995</v>
      </c>
      <c r="AX109" s="59">
        <f t="shared" si="555"/>
        <v>36794.711029999984</v>
      </c>
      <c r="AY109" s="55">
        <f t="shared" si="556"/>
        <v>10753.049999999996</v>
      </c>
      <c r="AZ109" s="59">
        <f t="shared" si="557"/>
        <v>35547.432689999987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1"/>
        <v>0.91</v>
      </c>
      <c r="BH109" s="55">
        <f t="shared" si="651"/>
        <v>0.89</v>
      </c>
      <c r="BI109" s="55">
        <f t="shared" si="651"/>
        <v>0.87</v>
      </c>
      <c r="BJ109" s="55">
        <f t="shared" si="651"/>
        <v>0.85</v>
      </c>
      <c r="BK109" s="55">
        <f t="shared" si="651"/>
        <v>0.83</v>
      </c>
      <c r="BL109" s="55">
        <f t="shared" si="651"/>
        <v>0.80999999999999994</v>
      </c>
      <c r="BM109" s="55">
        <f t="shared" si="651"/>
        <v>0.78999999999999992</v>
      </c>
      <c r="BN109" s="55">
        <f t="shared" si="651"/>
        <v>0.76999999999999991</v>
      </c>
      <c r="BO109" s="55">
        <f t="shared" si="651"/>
        <v>0.74999999999999989</v>
      </c>
      <c r="BP109" s="55">
        <f t="shared" si="651"/>
        <v>0.72999999999999987</v>
      </c>
      <c r="BQ109" s="55">
        <f t="shared" si="651"/>
        <v>0.70999999999999985</v>
      </c>
      <c r="BR109" s="55">
        <f t="shared" si="651"/>
        <v>0.68999999999999984</v>
      </c>
      <c r="BS109" s="55">
        <f t="shared" si="651"/>
        <v>0.66999999999999982</v>
      </c>
      <c r="BT109" s="55">
        <f t="shared" si="651"/>
        <v>0.6499999999999998</v>
      </c>
      <c r="BU109" s="55">
        <f t="shared" si="651"/>
        <v>0.62999999999999978</v>
      </c>
      <c r="BV109" s="55">
        <f t="shared" si="651"/>
        <v>0.60999999999999976</v>
      </c>
      <c r="BW109" s="55">
        <f t="shared" si="651"/>
        <v>0.58999999999999975</v>
      </c>
      <c r="BX109" s="55">
        <f t="shared" si="651"/>
        <v>0.56999999999999973</v>
      </c>
      <c r="BZ109" s="55">
        <f t="shared" si="508"/>
        <v>17167.150000000001</v>
      </c>
      <c r="CA109" s="55">
        <f t="shared" si="509"/>
        <v>17167.150000000001</v>
      </c>
      <c r="CB109" s="59">
        <f t="shared" si="559"/>
        <v>56751.164470000003</v>
      </c>
      <c r="CC109" s="55">
        <f t="shared" si="560"/>
        <v>16652.1355</v>
      </c>
      <c r="CD109" s="59">
        <f t="shared" si="561"/>
        <v>55048.6295359</v>
      </c>
      <c r="CE109" s="55">
        <f t="shared" si="562"/>
        <v>16308.792500000001</v>
      </c>
      <c r="CF109" s="59">
        <f t="shared" si="563"/>
        <v>53913.606246500007</v>
      </c>
      <c r="CG109" s="55">
        <f t="shared" si="564"/>
        <v>15965.449500000002</v>
      </c>
      <c r="CH109" s="59">
        <f t="shared" si="565"/>
        <v>52778.582957100007</v>
      </c>
      <c r="CI109" s="57">
        <f t="shared" si="566"/>
        <v>15622.106500000002</v>
      </c>
      <c r="CJ109" s="59">
        <f t="shared" si="567"/>
        <v>51643.559667700007</v>
      </c>
      <c r="CK109" s="55">
        <f t="shared" si="568"/>
        <v>15278.763500000001</v>
      </c>
      <c r="CL109" s="59">
        <f t="shared" si="569"/>
        <v>50508.536378300007</v>
      </c>
      <c r="CM109" s="57">
        <f t="shared" si="570"/>
        <v>14935.420500000002</v>
      </c>
      <c r="CN109" s="59">
        <f t="shared" si="571"/>
        <v>49373.513088900007</v>
      </c>
      <c r="CO109" s="60">
        <f t="shared" si="572"/>
        <v>14592.077500000001</v>
      </c>
      <c r="CP109" s="59">
        <f t="shared" si="573"/>
        <v>48238.489799500006</v>
      </c>
      <c r="CQ109" s="57">
        <f t="shared" si="574"/>
        <v>14248.7345</v>
      </c>
      <c r="CR109" s="59">
        <f t="shared" si="575"/>
        <v>47103.466510099999</v>
      </c>
      <c r="CS109" s="55">
        <f t="shared" si="576"/>
        <v>13905.3915</v>
      </c>
      <c r="CT109" s="59">
        <f t="shared" si="577"/>
        <v>45968.443220699999</v>
      </c>
      <c r="CU109" s="60">
        <f t="shared" si="578"/>
        <v>13562.048499999999</v>
      </c>
      <c r="CV109" s="59">
        <f t="shared" si="579"/>
        <v>44833.419931299999</v>
      </c>
      <c r="CW109" s="60">
        <f t="shared" si="580"/>
        <v>13218.7055</v>
      </c>
      <c r="CX109" s="59">
        <f t="shared" si="581"/>
        <v>43698.396641899999</v>
      </c>
      <c r="CY109" s="60">
        <f t="shared" si="582"/>
        <v>12875.362499999999</v>
      </c>
      <c r="CZ109" s="59">
        <f t="shared" si="583"/>
        <v>42563.373352499999</v>
      </c>
      <c r="DA109" s="55">
        <f t="shared" si="584"/>
        <v>12532.019499999999</v>
      </c>
      <c r="DB109" s="59">
        <f t="shared" si="585"/>
        <v>41428.350063099999</v>
      </c>
      <c r="DC109" s="60">
        <f t="shared" si="586"/>
        <v>12188.676499999998</v>
      </c>
      <c r="DD109" s="59">
        <f t="shared" si="587"/>
        <v>40293.326773699991</v>
      </c>
      <c r="DE109" s="60">
        <f t="shared" si="588"/>
        <v>11845.333499999999</v>
      </c>
      <c r="DF109" s="59">
        <f t="shared" si="589"/>
        <v>39158.303484299999</v>
      </c>
      <c r="DG109" s="60">
        <f t="shared" si="590"/>
        <v>11501.990499999998</v>
      </c>
      <c r="DH109" s="59">
        <f t="shared" si="591"/>
        <v>38023.280194899991</v>
      </c>
      <c r="DI109" s="60">
        <f t="shared" si="592"/>
        <v>11158.647499999997</v>
      </c>
      <c r="DJ109" s="59">
        <f t="shared" si="593"/>
        <v>36888.256905499991</v>
      </c>
      <c r="DK109" s="55">
        <f t="shared" si="594"/>
        <v>10815.304499999997</v>
      </c>
      <c r="DL109" s="59">
        <f t="shared" si="595"/>
        <v>35753.233616099991</v>
      </c>
      <c r="DM109" s="60">
        <f t="shared" si="596"/>
        <v>10471.961499999998</v>
      </c>
      <c r="DN109" s="59">
        <f t="shared" si="597"/>
        <v>34618.210326699991</v>
      </c>
      <c r="DO109" s="60">
        <f t="shared" si="598"/>
        <v>10128.618499999997</v>
      </c>
      <c r="DP109" s="59">
        <f t="shared" si="599"/>
        <v>33483.187037299991</v>
      </c>
      <c r="DQ109" s="55">
        <f t="shared" si="600"/>
        <v>9785.2754999999961</v>
      </c>
      <c r="DR109" s="59">
        <f t="shared" si="601"/>
        <v>32348.163747899987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54">+DX109-0.02</f>
        <v>0.91</v>
      </c>
      <c r="DZ109" s="55">
        <f t="shared" si="654"/>
        <v>0.89</v>
      </c>
      <c r="EA109" s="55">
        <f t="shared" si="654"/>
        <v>0.87</v>
      </c>
      <c r="EB109" s="55">
        <f t="shared" si="654"/>
        <v>0.85</v>
      </c>
      <c r="EC109" s="55">
        <f t="shared" si="654"/>
        <v>0.83</v>
      </c>
      <c r="ED109" s="55">
        <f t="shared" si="654"/>
        <v>0.80999999999999994</v>
      </c>
      <c r="EE109" s="55">
        <f t="shared" si="654"/>
        <v>0.78999999999999992</v>
      </c>
      <c r="EF109" s="55">
        <f t="shared" si="654"/>
        <v>0.76999999999999991</v>
      </c>
      <c r="EG109" s="55">
        <f t="shared" si="654"/>
        <v>0.74999999999999989</v>
      </c>
      <c r="EH109" s="55">
        <f t="shared" si="654"/>
        <v>0.72999999999999987</v>
      </c>
      <c r="EI109" s="55">
        <f t="shared" si="654"/>
        <v>0.70999999999999985</v>
      </c>
      <c r="EJ109" s="55">
        <f t="shared" si="654"/>
        <v>0.68999999999999984</v>
      </c>
      <c r="EK109" s="55">
        <f t="shared" si="654"/>
        <v>0.66999999999999982</v>
      </c>
      <c r="EL109" s="55">
        <f t="shared" si="654"/>
        <v>0.6499999999999998</v>
      </c>
      <c r="EM109" s="55">
        <f t="shared" si="654"/>
        <v>0.62999999999999978</v>
      </c>
      <c r="EN109" s="55">
        <f t="shared" si="654"/>
        <v>0.60999999999999976</v>
      </c>
      <c r="EO109" s="55">
        <f t="shared" si="654"/>
        <v>0.58999999999999975</v>
      </c>
      <c r="EP109" s="55">
        <f t="shared" si="654"/>
        <v>0.56999999999999973</v>
      </c>
      <c r="ER109" s="55">
        <f t="shared" si="648"/>
        <v>15622.106500000002</v>
      </c>
      <c r="ES109" s="55">
        <f t="shared" si="510"/>
        <v>15622.106500000002</v>
      </c>
      <c r="ET109" s="59">
        <f t="shared" si="602"/>
        <v>51643.559667700007</v>
      </c>
      <c r="EU109" s="55">
        <f t="shared" si="603"/>
        <v>15153.443305000001</v>
      </c>
      <c r="EV109" s="59">
        <f t="shared" si="604"/>
        <v>50094.252877669001</v>
      </c>
      <c r="EW109" s="55">
        <f t="shared" si="605"/>
        <v>14841.001175000001</v>
      </c>
      <c r="EX109" s="59">
        <f t="shared" si="606"/>
        <v>49061.381684315005</v>
      </c>
      <c r="EY109" s="55">
        <f t="shared" si="607"/>
        <v>14528.559045000002</v>
      </c>
      <c r="EZ109" s="59">
        <f t="shared" si="608"/>
        <v>48028.510490961009</v>
      </c>
      <c r="FA109" s="57">
        <f t="shared" si="609"/>
        <v>14216.116915000002</v>
      </c>
      <c r="FB109" s="59">
        <f t="shared" si="610"/>
        <v>46995.639297607006</v>
      </c>
      <c r="FC109" s="55">
        <f t="shared" si="611"/>
        <v>13903.674785000001</v>
      </c>
      <c r="FD109" s="59">
        <f t="shared" si="612"/>
        <v>45962.768104253002</v>
      </c>
      <c r="FE109" s="57">
        <f t="shared" si="613"/>
        <v>13591.232655000002</v>
      </c>
      <c r="FF109" s="59">
        <f t="shared" si="614"/>
        <v>44929.896910899006</v>
      </c>
      <c r="FG109" s="60">
        <f t="shared" si="615"/>
        <v>13278.790525</v>
      </c>
      <c r="FH109" s="59">
        <f t="shared" si="616"/>
        <v>43897.025717545002</v>
      </c>
      <c r="FI109" s="57">
        <f t="shared" si="617"/>
        <v>12966.348395000001</v>
      </c>
      <c r="FJ109" s="59">
        <f t="shared" si="618"/>
        <v>42864.154524191006</v>
      </c>
      <c r="FK109" s="55">
        <f t="shared" si="619"/>
        <v>12653.906265</v>
      </c>
      <c r="FL109" s="59">
        <f t="shared" si="620"/>
        <v>41831.283330837003</v>
      </c>
      <c r="FM109" s="60">
        <f t="shared" si="621"/>
        <v>12341.464135</v>
      </c>
      <c r="FN109" s="59">
        <f t="shared" si="622"/>
        <v>40798.412137482999</v>
      </c>
      <c r="FO109" s="60">
        <f t="shared" si="623"/>
        <v>12029.022005000001</v>
      </c>
      <c r="FP109" s="59">
        <f t="shared" si="624"/>
        <v>39765.540944129003</v>
      </c>
      <c r="FQ109" s="60">
        <f t="shared" si="625"/>
        <v>11716.579874999999</v>
      </c>
      <c r="FR109" s="59">
        <f t="shared" si="626"/>
        <v>38732.669750775</v>
      </c>
      <c r="FS109" s="55">
        <f t="shared" si="627"/>
        <v>11404.137745</v>
      </c>
      <c r="FT109" s="59">
        <f t="shared" si="628"/>
        <v>37699.798557421003</v>
      </c>
      <c r="FU109" s="60">
        <f t="shared" si="629"/>
        <v>11091.695614999999</v>
      </c>
      <c r="FV109" s="59">
        <f t="shared" si="630"/>
        <v>36666.927364067</v>
      </c>
      <c r="FW109" s="60">
        <f t="shared" si="631"/>
        <v>10779.253484999999</v>
      </c>
      <c r="FX109" s="59">
        <f t="shared" si="632"/>
        <v>35634.056170712996</v>
      </c>
      <c r="FY109" s="60">
        <f t="shared" si="633"/>
        <v>10466.811354999998</v>
      </c>
      <c r="FZ109" s="59">
        <f t="shared" si="634"/>
        <v>34601.184977358993</v>
      </c>
      <c r="GA109" s="60">
        <f t="shared" si="635"/>
        <v>10154.369224999999</v>
      </c>
      <c r="GB109" s="59">
        <f t="shared" si="636"/>
        <v>33568.313784004997</v>
      </c>
      <c r="GC109" s="55">
        <f t="shared" si="637"/>
        <v>9841.9270949999973</v>
      </c>
      <c r="GD109" s="59">
        <f t="shared" si="638"/>
        <v>32535.442590650993</v>
      </c>
      <c r="GE109" s="60">
        <f t="shared" si="639"/>
        <v>9529.4849649999978</v>
      </c>
      <c r="GF109" s="59">
        <f t="shared" si="640"/>
        <v>31502.571397296993</v>
      </c>
      <c r="GG109" s="60">
        <f t="shared" si="641"/>
        <v>9217.0428349999966</v>
      </c>
      <c r="GH109" s="59">
        <f t="shared" si="642"/>
        <v>30469.70020394299</v>
      </c>
      <c r="GI109" s="55">
        <f t="shared" si="643"/>
        <v>8904.6007049999971</v>
      </c>
      <c r="GJ109" s="59">
        <f t="shared" si="644"/>
        <v>29436.82901058899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55">+GP109-0.02</f>
        <v>0.91</v>
      </c>
      <c r="GR109" s="55">
        <f t="shared" si="655"/>
        <v>0.89</v>
      </c>
      <c r="GS109" s="55">
        <f t="shared" si="655"/>
        <v>0.87</v>
      </c>
      <c r="GT109" s="55">
        <f t="shared" si="655"/>
        <v>0.85</v>
      </c>
      <c r="GU109" s="55">
        <f t="shared" si="655"/>
        <v>0.83</v>
      </c>
      <c r="GV109" s="55">
        <f t="shared" si="655"/>
        <v>0.80999999999999994</v>
      </c>
      <c r="GW109" s="55">
        <f t="shared" si="655"/>
        <v>0.78999999999999992</v>
      </c>
      <c r="GX109" s="55">
        <f t="shared" si="655"/>
        <v>0.76999999999999991</v>
      </c>
      <c r="GY109" s="55">
        <f t="shared" si="655"/>
        <v>0.74999999999999989</v>
      </c>
      <c r="GZ109" s="55">
        <f t="shared" si="655"/>
        <v>0.72999999999999987</v>
      </c>
      <c r="HA109" s="55">
        <f t="shared" si="655"/>
        <v>0.70999999999999985</v>
      </c>
      <c r="HB109" s="55">
        <f t="shared" si="655"/>
        <v>0.68999999999999984</v>
      </c>
      <c r="HC109" s="55">
        <f t="shared" si="655"/>
        <v>0.66999999999999982</v>
      </c>
      <c r="HD109" s="55">
        <f t="shared" si="655"/>
        <v>0.6499999999999998</v>
      </c>
      <c r="HE109" s="55">
        <f t="shared" si="655"/>
        <v>0.62999999999999978</v>
      </c>
      <c r="HF109" s="55">
        <f t="shared" si="655"/>
        <v>0.60999999999999976</v>
      </c>
      <c r="HG109" s="55">
        <f t="shared" si="655"/>
        <v>0.58999999999999975</v>
      </c>
      <c r="HH109" s="55">
        <f t="shared" si="655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1">
        <f t="shared" si="515"/>
        <v>0</v>
      </c>
      <c r="H110" s="55">
        <f t="shared" si="505"/>
        <v>0</v>
      </c>
      <c r="I110" s="55">
        <f t="shared" si="506"/>
        <v>0</v>
      </c>
      <c r="J110" s="59">
        <f t="shared" si="507"/>
        <v>0</v>
      </c>
      <c r="K110" s="55">
        <f t="shared" si="516"/>
        <v>0</v>
      </c>
      <c r="L110" s="59">
        <f t="shared" si="517"/>
        <v>0</v>
      </c>
      <c r="M110" s="55">
        <f t="shared" si="518"/>
        <v>0</v>
      </c>
      <c r="N110" s="59">
        <f t="shared" si="519"/>
        <v>0</v>
      </c>
      <c r="O110" s="55">
        <f t="shared" si="520"/>
        <v>0</v>
      </c>
      <c r="P110" s="59">
        <f t="shared" si="521"/>
        <v>0</v>
      </c>
      <c r="Q110" s="57">
        <f t="shared" si="522"/>
        <v>0</v>
      </c>
      <c r="R110" s="59">
        <f t="shared" si="523"/>
        <v>0</v>
      </c>
      <c r="S110" s="55">
        <f t="shared" si="524"/>
        <v>0</v>
      </c>
      <c r="T110" s="59">
        <f t="shared" si="525"/>
        <v>0</v>
      </c>
      <c r="U110" s="57">
        <f t="shared" si="526"/>
        <v>0</v>
      </c>
      <c r="V110" s="59">
        <f t="shared" si="527"/>
        <v>0</v>
      </c>
      <c r="W110" s="60">
        <f t="shared" si="528"/>
        <v>0</v>
      </c>
      <c r="X110" s="59">
        <f t="shared" si="529"/>
        <v>0</v>
      </c>
      <c r="Y110" s="57">
        <f t="shared" si="530"/>
        <v>0</v>
      </c>
      <c r="Z110" s="59">
        <f t="shared" si="531"/>
        <v>0</v>
      </c>
      <c r="AA110" s="55">
        <f t="shared" si="532"/>
        <v>0</v>
      </c>
      <c r="AB110" s="59">
        <f t="shared" si="533"/>
        <v>0</v>
      </c>
      <c r="AC110" s="60">
        <f t="shared" si="534"/>
        <v>0</v>
      </c>
      <c r="AD110" s="59">
        <f t="shared" si="535"/>
        <v>0</v>
      </c>
      <c r="AE110" s="60">
        <f t="shared" si="536"/>
        <v>0</v>
      </c>
      <c r="AF110" s="59">
        <f t="shared" si="537"/>
        <v>0</v>
      </c>
      <c r="AG110" s="60">
        <f t="shared" si="538"/>
        <v>0</v>
      </c>
      <c r="AH110" s="59">
        <f t="shared" si="539"/>
        <v>0</v>
      </c>
      <c r="AI110" s="55">
        <f t="shared" si="540"/>
        <v>0</v>
      </c>
      <c r="AJ110" s="59">
        <f t="shared" si="541"/>
        <v>0</v>
      </c>
      <c r="AK110" s="60">
        <f t="shared" si="542"/>
        <v>0</v>
      </c>
      <c r="AL110" s="59">
        <f t="shared" si="543"/>
        <v>0</v>
      </c>
      <c r="AM110" s="60">
        <f t="shared" si="544"/>
        <v>0</v>
      </c>
      <c r="AN110" s="59">
        <f t="shared" si="545"/>
        <v>0</v>
      </c>
      <c r="AO110" s="60">
        <f t="shared" si="546"/>
        <v>0</v>
      </c>
      <c r="AP110" s="59">
        <f t="shared" si="547"/>
        <v>0</v>
      </c>
      <c r="AQ110" s="60">
        <f t="shared" si="548"/>
        <v>0</v>
      </c>
      <c r="AR110" s="59">
        <f t="shared" si="549"/>
        <v>0</v>
      </c>
      <c r="AS110" s="55">
        <f t="shared" si="550"/>
        <v>0</v>
      </c>
      <c r="AT110" s="59">
        <f t="shared" si="551"/>
        <v>0</v>
      </c>
      <c r="AU110" s="60">
        <f t="shared" si="552"/>
        <v>0</v>
      </c>
      <c r="AV110" s="59">
        <f t="shared" si="553"/>
        <v>0</v>
      </c>
      <c r="AW110" s="60">
        <f t="shared" si="554"/>
        <v>0</v>
      </c>
      <c r="AX110" s="59">
        <f t="shared" si="555"/>
        <v>0</v>
      </c>
      <c r="AY110" s="55">
        <f t="shared" si="556"/>
        <v>0</v>
      </c>
      <c r="AZ110" s="59">
        <f t="shared" si="557"/>
        <v>0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1"/>
        <v>0.91</v>
      </c>
      <c r="BH110" s="55">
        <f t="shared" si="651"/>
        <v>0.89</v>
      </c>
      <c r="BI110" s="55">
        <f t="shared" si="651"/>
        <v>0.87</v>
      </c>
      <c r="BJ110" s="55">
        <f t="shared" si="651"/>
        <v>0.85</v>
      </c>
      <c r="BK110" s="55">
        <f t="shared" si="651"/>
        <v>0.83</v>
      </c>
      <c r="BL110" s="55">
        <f t="shared" si="651"/>
        <v>0.80999999999999994</v>
      </c>
      <c r="BM110" s="55">
        <f t="shared" si="651"/>
        <v>0.78999999999999992</v>
      </c>
      <c r="BN110" s="55">
        <f t="shared" si="651"/>
        <v>0.76999999999999991</v>
      </c>
      <c r="BO110" s="55">
        <f t="shared" si="651"/>
        <v>0.74999999999999989</v>
      </c>
      <c r="BP110" s="55">
        <f t="shared" si="651"/>
        <v>0.72999999999999987</v>
      </c>
      <c r="BQ110" s="55">
        <f t="shared" si="651"/>
        <v>0.70999999999999985</v>
      </c>
      <c r="BR110" s="55">
        <f t="shared" si="651"/>
        <v>0.68999999999999984</v>
      </c>
      <c r="BS110" s="55">
        <f t="shared" si="651"/>
        <v>0.66999999999999982</v>
      </c>
      <c r="BT110" s="55">
        <f t="shared" si="651"/>
        <v>0.6499999999999998</v>
      </c>
      <c r="BU110" s="55">
        <f t="shared" si="651"/>
        <v>0.62999999999999978</v>
      </c>
      <c r="BV110" s="55">
        <f t="shared" si="651"/>
        <v>0.60999999999999976</v>
      </c>
      <c r="BW110" s="55">
        <f t="shared" si="651"/>
        <v>0.58999999999999975</v>
      </c>
      <c r="BX110" s="55">
        <f t="shared" si="651"/>
        <v>0.56999999999999973</v>
      </c>
      <c r="BZ110" s="55">
        <f t="shared" si="508"/>
        <v>0</v>
      </c>
      <c r="CA110" s="55">
        <f t="shared" si="509"/>
        <v>0</v>
      </c>
      <c r="CB110" s="59">
        <f t="shared" si="559"/>
        <v>0</v>
      </c>
      <c r="CC110" s="55">
        <f t="shared" si="560"/>
        <v>0</v>
      </c>
      <c r="CD110" s="59">
        <f t="shared" si="561"/>
        <v>0</v>
      </c>
      <c r="CE110" s="55">
        <f t="shared" si="562"/>
        <v>0</v>
      </c>
      <c r="CF110" s="59">
        <f t="shared" si="563"/>
        <v>0</v>
      </c>
      <c r="CG110" s="55">
        <f t="shared" si="564"/>
        <v>0</v>
      </c>
      <c r="CH110" s="59">
        <f t="shared" si="565"/>
        <v>0</v>
      </c>
      <c r="CI110" s="57">
        <f t="shared" si="566"/>
        <v>0</v>
      </c>
      <c r="CJ110" s="59">
        <f t="shared" si="567"/>
        <v>0</v>
      </c>
      <c r="CK110" s="55">
        <f t="shared" si="568"/>
        <v>0</v>
      </c>
      <c r="CL110" s="59">
        <f t="shared" si="569"/>
        <v>0</v>
      </c>
      <c r="CM110" s="57">
        <f t="shared" si="570"/>
        <v>0</v>
      </c>
      <c r="CN110" s="59">
        <f t="shared" si="571"/>
        <v>0</v>
      </c>
      <c r="CO110" s="60">
        <f t="shared" si="572"/>
        <v>0</v>
      </c>
      <c r="CP110" s="59">
        <f t="shared" si="573"/>
        <v>0</v>
      </c>
      <c r="CQ110" s="57">
        <f t="shared" si="574"/>
        <v>0</v>
      </c>
      <c r="CR110" s="59">
        <f t="shared" si="575"/>
        <v>0</v>
      </c>
      <c r="CS110" s="55">
        <f t="shared" si="576"/>
        <v>0</v>
      </c>
      <c r="CT110" s="59">
        <f t="shared" si="577"/>
        <v>0</v>
      </c>
      <c r="CU110" s="60">
        <f t="shared" si="578"/>
        <v>0</v>
      </c>
      <c r="CV110" s="59">
        <f t="shared" si="579"/>
        <v>0</v>
      </c>
      <c r="CW110" s="60">
        <f t="shared" si="580"/>
        <v>0</v>
      </c>
      <c r="CX110" s="59">
        <f t="shared" si="581"/>
        <v>0</v>
      </c>
      <c r="CY110" s="60">
        <f t="shared" si="582"/>
        <v>0</v>
      </c>
      <c r="CZ110" s="59">
        <f t="shared" si="583"/>
        <v>0</v>
      </c>
      <c r="DA110" s="55">
        <f t="shared" si="584"/>
        <v>0</v>
      </c>
      <c r="DB110" s="59">
        <f t="shared" si="585"/>
        <v>0</v>
      </c>
      <c r="DC110" s="60">
        <f t="shared" si="586"/>
        <v>0</v>
      </c>
      <c r="DD110" s="59">
        <f t="shared" si="587"/>
        <v>0</v>
      </c>
      <c r="DE110" s="60">
        <f t="shared" si="588"/>
        <v>0</v>
      </c>
      <c r="DF110" s="59">
        <f t="shared" si="589"/>
        <v>0</v>
      </c>
      <c r="DG110" s="60">
        <f t="shared" si="590"/>
        <v>0</v>
      </c>
      <c r="DH110" s="59">
        <f t="shared" si="591"/>
        <v>0</v>
      </c>
      <c r="DI110" s="60">
        <f t="shared" si="592"/>
        <v>0</v>
      </c>
      <c r="DJ110" s="59">
        <f t="shared" si="593"/>
        <v>0</v>
      </c>
      <c r="DK110" s="55">
        <f t="shared" si="594"/>
        <v>0</v>
      </c>
      <c r="DL110" s="59">
        <f t="shared" si="595"/>
        <v>0</v>
      </c>
      <c r="DM110" s="60">
        <f t="shared" si="596"/>
        <v>0</v>
      </c>
      <c r="DN110" s="59">
        <f t="shared" si="597"/>
        <v>0</v>
      </c>
      <c r="DO110" s="60">
        <f t="shared" si="598"/>
        <v>0</v>
      </c>
      <c r="DP110" s="59">
        <f t="shared" si="599"/>
        <v>0</v>
      </c>
      <c r="DQ110" s="55">
        <f t="shared" si="600"/>
        <v>0</v>
      </c>
      <c r="DR110" s="59">
        <f t="shared" si="601"/>
        <v>0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4"/>
        <v>0.91</v>
      </c>
      <c r="DZ110" s="55">
        <f t="shared" si="654"/>
        <v>0.89</v>
      </c>
      <c r="EA110" s="55">
        <f t="shared" si="654"/>
        <v>0.87</v>
      </c>
      <c r="EB110" s="55">
        <f t="shared" si="654"/>
        <v>0.85</v>
      </c>
      <c r="EC110" s="55">
        <f t="shared" si="654"/>
        <v>0.83</v>
      </c>
      <c r="ED110" s="55">
        <f t="shared" si="654"/>
        <v>0.80999999999999994</v>
      </c>
      <c r="EE110" s="55">
        <f t="shared" si="654"/>
        <v>0.78999999999999992</v>
      </c>
      <c r="EF110" s="55">
        <f t="shared" si="654"/>
        <v>0.76999999999999991</v>
      </c>
      <c r="EG110" s="55">
        <f t="shared" si="654"/>
        <v>0.74999999999999989</v>
      </c>
      <c r="EH110" s="55">
        <f t="shared" si="654"/>
        <v>0.72999999999999987</v>
      </c>
      <c r="EI110" s="55">
        <f t="shared" si="654"/>
        <v>0.70999999999999985</v>
      </c>
      <c r="EJ110" s="55">
        <f t="shared" si="654"/>
        <v>0.68999999999999984</v>
      </c>
      <c r="EK110" s="55">
        <f t="shared" si="654"/>
        <v>0.66999999999999982</v>
      </c>
      <c r="EL110" s="55">
        <f t="shared" si="654"/>
        <v>0.6499999999999998</v>
      </c>
      <c r="EM110" s="55">
        <f t="shared" si="654"/>
        <v>0.62999999999999978</v>
      </c>
      <c r="EN110" s="55">
        <f t="shared" si="654"/>
        <v>0.60999999999999976</v>
      </c>
      <c r="EO110" s="55">
        <f t="shared" si="654"/>
        <v>0.58999999999999975</v>
      </c>
      <c r="EP110" s="55">
        <f t="shared" si="654"/>
        <v>0.56999999999999973</v>
      </c>
      <c r="ER110" s="55">
        <f t="shared" si="648"/>
        <v>0</v>
      </c>
      <c r="ES110" s="55">
        <f t="shared" si="510"/>
        <v>0</v>
      </c>
      <c r="ET110" s="59">
        <f t="shared" si="602"/>
        <v>0</v>
      </c>
      <c r="EU110" s="55">
        <f t="shared" si="603"/>
        <v>0</v>
      </c>
      <c r="EV110" s="59">
        <f t="shared" si="604"/>
        <v>0</v>
      </c>
      <c r="EW110" s="55">
        <f t="shared" si="605"/>
        <v>0</v>
      </c>
      <c r="EX110" s="59">
        <f t="shared" si="606"/>
        <v>0</v>
      </c>
      <c r="EY110" s="55">
        <f t="shared" si="607"/>
        <v>0</v>
      </c>
      <c r="EZ110" s="59">
        <f t="shared" si="608"/>
        <v>0</v>
      </c>
      <c r="FA110" s="57">
        <f t="shared" si="609"/>
        <v>0</v>
      </c>
      <c r="FB110" s="59">
        <f t="shared" si="610"/>
        <v>0</v>
      </c>
      <c r="FC110" s="55">
        <f t="shared" si="611"/>
        <v>0</v>
      </c>
      <c r="FD110" s="59">
        <f t="shared" si="612"/>
        <v>0</v>
      </c>
      <c r="FE110" s="57">
        <f t="shared" si="613"/>
        <v>0</v>
      </c>
      <c r="FF110" s="59">
        <f t="shared" si="614"/>
        <v>0</v>
      </c>
      <c r="FG110" s="60">
        <f t="shared" si="615"/>
        <v>0</v>
      </c>
      <c r="FH110" s="59">
        <f t="shared" si="616"/>
        <v>0</v>
      </c>
      <c r="FI110" s="57">
        <f t="shared" si="617"/>
        <v>0</v>
      </c>
      <c r="FJ110" s="59">
        <f t="shared" si="618"/>
        <v>0</v>
      </c>
      <c r="FK110" s="55">
        <f t="shared" si="619"/>
        <v>0</v>
      </c>
      <c r="FL110" s="59">
        <f t="shared" si="620"/>
        <v>0</v>
      </c>
      <c r="FM110" s="60">
        <f t="shared" si="621"/>
        <v>0</v>
      </c>
      <c r="FN110" s="59">
        <f t="shared" si="622"/>
        <v>0</v>
      </c>
      <c r="FO110" s="60">
        <f t="shared" si="623"/>
        <v>0</v>
      </c>
      <c r="FP110" s="59">
        <f t="shared" si="624"/>
        <v>0</v>
      </c>
      <c r="FQ110" s="60">
        <f t="shared" si="625"/>
        <v>0</v>
      </c>
      <c r="FR110" s="59">
        <f t="shared" si="626"/>
        <v>0</v>
      </c>
      <c r="FS110" s="55">
        <f t="shared" si="627"/>
        <v>0</v>
      </c>
      <c r="FT110" s="59">
        <f t="shared" si="628"/>
        <v>0</v>
      </c>
      <c r="FU110" s="60">
        <f t="shared" si="629"/>
        <v>0</v>
      </c>
      <c r="FV110" s="59">
        <f t="shared" si="630"/>
        <v>0</v>
      </c>
      <c r="FW110" s="60">
        <f t="shared" si="631"/>
        <v>0</v>
      </c>
      <c r="FX110" s="59">
        <f t="shared" si="632"/>
        <v>0</v>
      </c>
      <c r="FY110" s="60">
        <f t="shared" si="633"/>
        <v>0</v>
      </c>
      <c r="FZ110" s="59">
        <f t="shared" si="634"/>
        <v>0</v>
      </c>
      <c r="GA110" s="60">
        <f t="shared" si="635"/>
        <v>0</v>
      </c>
      <c r="GB110" s="59">
        <f t="shared" si="636"/>
        <v>0</v>
      </c>
      <c r="GC110" s="55">
        <f t="shared" si="637"/>
        <v>0</v>
      </c>
      <c r="GD110" s="59">
        <f t="shared" si="638"/>
        <v>0</v>
      </c>
      <c r="GE110" s="60">
        <f t="shared" si="639"/>
        <v>0</v>
      </c>
      <c r="GF110" s="59">
        <f t="shared" si="640"/>
        <v>0</v>
      </c>
      <c r="GG110" s="60">
        <f t="shared" si="641"/>
        <v>0</v>
      </c>
      <c r="GH110" s="59">
        <f t="shared" si="642"/>
        <v>0</v>
      </c>
      <c r="GI110" s="55">
        <f t="shared" si="643"/>
        <v>0</v>
      </c>
      <c r="GJ110" s="59">
        <f t="shared" si="644"/>
        <v>0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5"/>
        <v>0.91</v>
      </c>
      <c r="GR110" s="55">
        <f t="shared" si="655"/>
        <v>0.89</v>
      </c>
      <c r="GS110" s="55">
        <f t="shared" si="655"/>
        <v>0.87</v>
      </c>
      <c r="GT110" s="55">
        <f t="shared" si="655"/>
        <v>0.85</v>
      </c>
      <c r="GU110" s="55">
        <f t="shared" si="655"/>
        <v>0.83</v>
      </c>
      <c r="GV110" s="55">
        <f t="shared" si="655"/>
        <v>0.80999999999999994</v>
      </c>
      <c r="GW110" s="55">
        <f t="shared" si="655"/>
        <v>0.78999999999999992</v>
      </c>
      <c r="GX110" s="55">
        <f t="shared" si="655"/>
        <v>0.76999999999999991</v>
      </c>
      <c r="GY110" s="55">
        <f t="shared" si="655"/>
        <v>0.74999999999999989</v>
      </c>
      <c r="GZ110" s="55">
        <f t="shared" si="655"/>
        <v>0.72999999999999987</v>
      </c>
      <c r="HA110" s="55">
        <f t="shared" si="655"/>
        <v>0.70999999999999985</v>
      </c>
      <c r="HB110" s="55">
        <f t="shared" si="655"/>
        <v>0.68999999999999984</v>
      </c>
      <c r="HC110" s="55">
        <f t="shared" si="655"/>
        <v>0.66999999999999982</v>
      </c>
      <c r="HD110" s="55">
        <f t="shared" si="655"/>
        <v>0.6499999999999998</v>
      </c>
      <c r="HE110" s="55">
        <f t="shared" si="655"/>
        <v>0.62999999999999978</v>
      </c>
      <c r="HF110" s="55">
        <f t="shared" si="655"/>
        <v>0.60999999999999976</v>
      </c>
      <c r="HG110" s="55">
        <f t="shared" si="655"/>
        <v>0.58999999999999975</v>
      </c>
      <c r="HH110" s="55">
        <f t="shared" si="655"/>
        <v>0.56999999999999973</v>
      </c>
    </row>
    <row r="111" spans="1:216" x14ac:dyDescent="0.3">
      <c r="A111" s="2">
        <v>20</v>
      </c>
      <c r="C111" s="38" t="s">
        <v>150</v>
      </c>
      <c r="D111" s="42">
        <f>TRUNC(68636.975544088,-1)</f>
        <v>68630</v>
      </c>
      <c r="E111" s="71">
        <f t="shared" si="515"/>
        <v>226870</v>
      </c>
      <c r="H111" s="55">
        <f t="shared" si="505"/>
        <v>249557.00000000003</v>
      </c>
      <c r="I111" s="55">
        <f t="shared" si="506"/>
        <v>249557.00000000003</v>
      </c>
      <c r="J111" s="59">
        <f t="shared" si="507"/>
        <v>824985.53060000006</v>
      </c>
      <c r="K111" s="55">
        <f t="shared" si="516"/>
        <v>242070.29</v>
      </c>
      <c r="L111" s="59">
        <f t="shared" si="517"/>
        <v>800235.96468199999</v>
      </c>
      <c r="M111" s="55">
        <f t="shared" si="518"/>
        <v>237079.15000000002</v>
      </c>
      <c r="N111" s="59">
        <f t="shared" si="519"/>
        <v>783736.25407000014</v>
      </c>
      <c r="O111" s="55">
        <f t="shared" si="520"/>
        <v>232088.01000000004</v>
      </c>
      <c r="P111" s="59">
        <f t="shared" si="521"/>
        <v>767236.54345800017</v>
      </c>
      <c r="Q111" s="57">
        <f t="shared" si="522"/>
        <v>227096.87000000002</v>
      </c>
      <c r="R111" s="59">
        <f t="shared" si="523"/>
        <v>750736.83284600009</v>
      </c>
      <c r="S111" s="55">
        <f t="shared" si="524"/>
        <v>222105.73000000004</v>
      </c>
      <c r="T111" s="59">
        <f t="shared" si="525"/>
        <v>734237.12223400013</v>
      </c>
      <c r="U111" s="57">
        <f t="shared" si="526"/>
        <v>217114.59000000003</v>
      </c>
      <c r="V111" s="59">
        <f t="shared" si="527"/>
        <v>717737.41162200004</v>
      </c>
      <c r="W111" s="60">
        <f t="shared" si="528"/>
        <v>212123.45</v>
      </c>
      <c r="X111" s="59">
        <f t="shared" si="529"/>
        <v>701237.70101000008</v>
      </c>
      <c r="Y111" s="57">
        <f t="shared" si="530"/>
        <v>207132.31000000003</v>
      </c>
      <c r="Z111" s="59">
        <f t="shared" si="531"/>
        <v>684737.99039800011</v>
      </c>
      <c r="AA111" s="55">
        <f t="shared" si="532"/>
        <v>202141.17</v>
      </c>
      <c r="AB111" s="59">
        <f t="shared" si="533"/>
        <v>668238.27978600003</v>
      </c>
      <c r="AC111" s="60">
        <f t="shared" si="534"/>
        <v>197150.03</v>
      </c>
      <c r="AD111" s="59">
        <f t="shared" si="535"/>
        <v>651738.56917400006</v>
      </c>
      <c r="AE111" s="60">
        <f t="shared" si="536"/>
        <v>192158.88999999998</v>
      </c>
      <c r="AF111" s="59">
        <f t="shared" si="537"/>
        <v>635238.85856199998</v>
      </c>
      <c r="AG111" s="60">
        <f t="shared" si="538"/>
        <v>187167.75</v>
      </c>
      <c r="AH111" s="59">
        <f t="shared" si="539"/>
        <v>618739.14795000001</v>
      </c>
      <c r="AI111" s="55">
        <f t="shared" si="540"/>
        <v>182176.61</v>
      </c>
      <c r="AJ111" s="59">
        <f t="shared" si="541"/>
        <v>602239.43733799993</v>
      </c>
      <c r="AK111" s="60">
        <f t="shared" si="542"/>
        <v>177185.46999999997</v>
      </c>
      <c r="AL111" s="59">
        <f t="shared" si="543"/>
        <v>585739.72672599996</v>
      </c>
      <c r="AM111" s="60">
        <f t="shared" si="544"/>
        <v>172194.33</v>
      </c>
      <c r="AN111" s="59">
        <f t="shared" si="545"/>
        <v>569240.016114</v>
      </c>
      <c r="AO111" s="60">
        <f t="shared" si="546"/>
        <v>167203.18999999997</v>
      </c>
      <c r="AP111" s="59">
        <f t="shared" si="547"/>
        <v>552740.30550199992</v>
      </c>
      <c r="AQ111" s="60">
        <f t="shared" si="548"/>
        <v>162212.04999999996</v>
      </c>
      <c r="AR111" s="59">
        <f t="shared" si="549"/>
        <v>536240.59488999983</v>
      </c>
      <c r="AS111" s="55">
        <f t="shared" si="550"/>
        <v>157220.90999999997</v>
      </c>
      <c r="AT111" s="59">
        <f t="shared" si="551"/>
        <v>519740.88427799992</v>
      </c>
      <c r="AU111" s="60">
        <f t="shared" si="552"/>
        <v>152229.76999999996</v>
      </c>
      <c r="AV111" s="59">
        <f t="shared" si="553"/>
        <v>503241.1736659999</v>
      </c>
      <c r="AW111" s="60">
        <f t="shared" si="554"/>
        <v>147238.62999999995</v>
      </c>
      <c r="AX111" s="59">
        <f t="shared" si="555"/>
        <v>486741.46305399982</v>
      </c>
      <c r="AY111" s="55">
        <f t="shared" si="556"/>
        <v>142247.48999999996</v>
      </c>
      <c r="AZ111" s="59">
        <f t="shared" si="557"/>
        <v>470241.75244199991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1"/>
        <v>0.91</v>
      </c>
      <c r="BH111" s="55">
        <f t="shared" si="651"/>
        <v>0.89</v>
      </c>
      <c r="BI111" s="55">
        <f t="shared" si="651"/>
        <v>0.87</v>
      </c>
      <c r="BJ111" s="55">
        <f t="shared" si="651"/>
        <v>0.85</v>
      </c>
      <c r="BK111" s="55">
        <f t="shared" si="651"/>
        <v>0.83</v>
      </c>
      <c r="BL111" s="55">
        <f t="shared" si="651"/>
        <v>0.80999999999999994</v>
      </c>
      <c r="BM111" s="55">
        <f t="shared" si="651"/>
        <v>0.78999999999999992</v>
      </c>
      <c r="BN111" s="55">
        <f t="shared" si="651"/>
        <v>0.76999999999999991</v>
      </c>
      <c r="BO111" s="55">
        <f t="shared" si="651"/>
        <v>0.74999999999999989</v>
      </c>
      <c r="BP111" s="55">
        <f t="shared" si="651"/>
        <v>0.72999999999999987</v>
      </c>
      <c r="BQ111" s="55">
        <f t="shared" si="651"/>
        <v>0.70999999999999985</v>
      </c>
      <c r="BR111" s="55">
        <f t="shared" si="651"/>
        <v>0.68999999999999984</v>
      </c>
      <c r="BS111" s="55">
        <f t="shared" si="651"/>
        <v>0.66999999999999982</v>
      </c>
      <c r="BT111" s="55">
        <f t="shared" si="651"/>
        <v>0.6499999999999998</v>
      </c>
      <c r="BU111" s="55">
        <f t="shared" si="651"/>
        <v>0.62999999999999978</v>
      </c>
      <c r="BV111" s="55">
        <f t="shared" si="651"/>
        <v>0.60999999999999976</v>
      </c>
      <c r="BW111" s="55">
        <f t="shared" si="651"/>
        <v>0.58999999999999975</v>
      </c>
      <c r="BX111" s="55">
        <f t="shared" si="651"/>
        <v>0.56999999999999973</v>
      </c>
      <c r="BZ111" s="55">
        <f t="shared" si="508"/>
        <v>227096.87000000002</v>
      </c>
      <c r="CA111" s="55">
        <f t="shared" si="509"/>
        <v>227096.87000000002</v>
      </c>
      <c r="CB111" s="59">
        <f t="shared" si="559"/>
        <v>750736.83284600009</v>
      </c>
      <c r="CC111" s="55">
        <f t="shared" si="560"/>
        <v>220283.96390000003</v>
      </c>
      <c r="CD111" s="59">
        <f t="shared" si="561"/>
        <v>728214.72786062013</v>
      </c>
      <c r="CE111" s="55">
        <f t="shared" si="562"/>
        <v>215742.02650000001</v>
      </c>
      <c r="CF111" s="59">
        <f t="shared" si="563"/>
        <v>713199.99120370008</v>
      </c>
      <c r="CG111" s="55">
        <f t="shared" si="564"/>
        <v>211200.08910000004</v>
      </c>
      <c r="CH111" s="59">
        <f t="shared" si="565"/>
        <v>698185.25454678014</v>
      </c>
      <c r="CI111" s="57">
        <f t="shared" si="566"/>
        <v>206658.15170000002</v>
      </c>
      <c r="CJ111" s="59">
        <f t="shared" si="567"/>
        <v>683170.51788986009</v>
      </c>
      <c r="CK111" s="55">
        <f t="shared" si="568"/>
        <v>202116.21430000002</v>
      </c>
      <c r="CL111" s="59">
        <f t="shared" si="569"/>
        <v>668155.78123294003</v>
      </c>
      <c r="CM111" s="57">
        <f t="shared" si="570"/>
        <v>197574.27690000003</v>
      </c>
      <c r="CN111" s="59">
        <f t="shared" si="571"/>
        <v>653141.0445760201</v>
      </c>
      <c r="CO111" s="60">
        <f t="shared" si="572"/>
        <v>193032.3395</v>
      </c>
      <c r="CP111" s="59">
        <f t="shared" si="573"/>
        <v>638126.30791910004</v>
      </c>
      <c r="CQ111" s="57">
        <f t="shared" si="574"/>
        <v>188490.40210000001</v>
      </c>
      <c r="CR111" s="59">
        <f t="shared" si="575"/>
        <v>623111.57126217999</v>
      </c>
      <c r="CS111" s="55">
        <f t="shared" si="576"/>
        <v>183948.46470000001</v>
      </c>
      <c r="CT111" s="59">
        <f t="shared" si="577"/>
        <v>608096.83460526005</v>
      </c>
      <c r="CU111" s="60">
        <f t="shared" si="578"/>
        <v>179406.52730000002</v>
      </c>
      <c r="CV111" s="59">
        <f t="shared" si="579"/>
        <v>593082.09794834012</v>
      </c>
      <c r="CW111" s="60">
        <f t="shared" si="580"/>
        <v>174864.58989999999</v>
      </c>
      <c r="CX111" s="59">
        <f t="shared" si="581"/>
        <v>578067.36129141995</v>
      </c>
      <c r="CY111" s="60">
        <f t="shared" si="582"/>
        <v>170322.6525</v>
      </c>
      <c r="CZ111" s="59">
        <f t="shared" si="583"/>
        <v>563052.62463450001</v>
      </c>
      <c r="DA111" s="55">
        <f t="shared" si="584"/>
        <v>165780.7151</v>
      </c>
      <c r="DB111" s="59">
        <f t="shared" si="585"/>
        <v>548037.88797758007</v>
      </c>
      <c r="DC111" s="60">
        <f t="shared" si="586"/>
        <v>161238.77769999998</v>
      </c>
      <c r="DD111" s="59">
        <f t="shared" si="587"/>
        <v>533023.1513206599</v>
      </c>
      <c r="DE111" s="60">
        <f t="shared" si="588"/>
        <v>156696.84029999998</v>
      </c>
      <c r="DF111" s="59">
        <f t="shared" si="589"/>
        <v>518008.41466373997</v>
      </c>
      <c r="DG111" s="60">
        <f t="shared" si="590"/>
        <v>152154.90289999999</v>
      </c>
      <c r="DH111" s="59">
        <f t="shared" si="591"/>
        <v>502993.67800681997</v>
      </c>
      <c r="DI111" s="60">
        <f t="shared" si="592"/>
        <v>147612.96549999996</v>
      </c>
      <c r="DJ111" s="59">
        <f t="shared" si="593"/>
        <v>487978.94134989986</v>
      </c>
      <c r="DK111" s="55">
        <f t="shared" si="594"/>
        <v>143071.02809999997</v>
      </c>
      <c r="DL111" s="59">
        <f t="shared" si="595"/>
        <v>472964.20469297993</v>
      </c>
      <c r="DM111" s="60">
        <f t="shared" si="596"/>
        <v>138529.09069999997</v>
      </c>
      <c r="DN111" s="59">
        <f t="shared" si="597"/>
        <v>457949.46803605993</v>
      </c>
      <c r="DO111" s="60">
        <f t="shared" si="598"/>
        <v>133987.15329999995</v>
      </c>
      <c r="DP111" s="59">
        <f t="shared" si="599"/>
        <v>442934.73137913982</v>
      </c>
      <c r="DQ111" s="55">
        <f t="shared" si="600"/>
        <v>129445.21589999995</v>
      </c>
      <c r="DR111" s="59">
        <f t="shared" si="601"/>
        <v>427919.99472221982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4"/>
        <v>0.91</v>
      </c>
      <c r="DZ111" s="55">
        <f t="shared" si="654"/>
        <v>0.89</v>
      </c>
      <c r="EA111" s="55">
        <f t="shared" si="654"/>
        <v>0.87</v>
      </c>
      <c r="EB111" s="55">
        <f t="shared" si="654"/>
        <v>0.85</v>
      </c>
      <c r="EC111" s="55">
        <f t="shared" si="654"/>
        <v>0.83</v>
      </c>
      <c r="ED111" s="55">
        <f t="shared" si="654"/>
        <v>0.80999999999999994</v>
      </c>
      <c r="EE111" s="55">
        <f t="shared" si="654"/>
        <v>0.78999999999999992</v>
      </c>
      <c r="EF111" s="55">
        <f t="shared" si="654"/>
        <v>0.76999999999999991</v>
      </c>
      <c r="EG111" s="55">
        <f t="shared" si="654"/>
        <v>0.74999999999999989</v>
      </c>
      <c r="EH111" s="55">
        <f t="shared" si="654"/>
        <v>0.72999999999999987</v>
      </c>
      <c r="EI111" s="55">
        <f t="shared" si="654"/>
        <v>0.70999999999999985</v>
      </c>
      <c r="EJ111" s="55">
        <f t="shared" si="654"/>
        <v>0.68999999999999984</v>
      </c>
      <c r="EK111" s="55">
        <f t="shared" si="654"/>
        <v>0.66999999999999982</v>
      </c>
      <c r="EL111" s="55">
        <f t="shared" si="654"/>
        <v>0.6499999999999998</v>
      </c>
      <c r="EM111" s="55">
        <f t="shared" si="654"/>
        <v>0.62999999999999978</v>
      </c>
      <c r="EN111" s="55">
        <f t="shared" si="654"/>
        <v>0.60999999999999976</v>
      </c>
      <c r="EO111" s="55">
        <f t="shared" si="654"/>
        <v>0.58999999999999975</v>
      </c>
      <c r="EP111" s="55">
        <f t="shared" si="654"/>
        <v>0.56999999999999973</v>
      </c>
      <c r="ER111" s="55">
        <f t="shared" si="648"/>
        <v>206658.15170000002</v>
      </c>
      <c r="ES111" s="55">
        <f t="shared" si="510"/>
        <v>206658.15170000002</v>
      </c>
      <c r="ET111" s="59">
        <f t="shared" si="602"/>
        <v>683170.51788986009</v>
      </c>
      <c r="EU111" s="55">
        <f t="shared" si="603"/>
        <v>200458.40714900001</v>
      </c>
      <c r="EV111" s="59">
        <f t="shared" si="604"/>
        <v>662675.40235316427</v>
      </c>
      <c r="EW111" s="55">
        <f t="shared" si="605"/>
        <v>196325.24411500001</v>
      </c>
      <c r="EX111" s="59">
        <f t="shared" si="606"/>
        <v>649011.99199536699</v>
      </c>
      <c r="EY111" s="55">
        <f t="shared" si="607"/>
        <v>192192.08108100001</v>
      </c>
      <c r="EZ111" s="59">
        <f t="shared" si="608"/>
        <v>635348.58163756982</v>
      </c>
      <c r="FA111" s="57">
        <f t="shared" si="609"/>
        <v>188058.91804700001</v>
      </c>
      <c r="FB111" s="59">
        <f t="shared" si="610"/>
        <v>621685.17127977265</v>
      </c>
      <c r="FC111" s="55">
        <f t="shared" si="611"/>
        <v>183925.75501300002</v>
      </c>
      <c r="FD111" s="59">
        <f t="shared" si="612"/>
        <v>608021.76092197548</v>
      </c>
      <c r="FE111" s="57">
        <f t="shared" si="613"/>
        <v>179792.59197900002</v>
      </c>
      <c r="FF111" s="59">
        <f t="shared" si="614"/>
        <v>594358.35056417831</v>
      </c>
      <c r="FG111" s="60">
        <f t="shared" si="615"/>
        <v>175659.42894500002</v>
      </c>
      <c r="FH111" s="59">
        <f t="shared" si="616"/>
        <v>580694.94020638103</v>
      </c>
      <c r="FI111" s="57">
        <f t="shared" si="617"/>
        <v>171526.26591099999</v>
      </c>
      <c r="FJ111" s="59">
        <f t="shared" si="618"/>
        <v>567031.52984858374</v>
      </c>
      <c r="FK111" s="55">
        <f t="shared" si="619"/>
        <v>167393.102877</v>
      </c>
      <c r="FL111" s="59">
        <f t="shared" si="620"/>
        <v>553368.11949078657</v>
      </c>
      <c r="FM111" s="60">
        <f t="shared" si="621"/>
        <v>163259.939843</v>
      </c>
      <c r="FN111" s="59">
        <f t="shared" si="622"/>
        <v>539704.7091329894</v>
      </c>
      <c r="FO111" s="60">
        <f t="shared" si="623"/>
        <v>159126.776809</v>
      </c>
      <c r="FP111" s="59">
        <f t="shared" si="624"/>
        <v>526041.29877519223</v>
      </c>
      <c r="FQ111" s="60">
        <f t="shared" si="625"/>
        <v>154993.61377499998</v>
      </c>
      <c r="FR111" s="59">
        <f t="shared" si="626"/>
        <v>512377.88841739495</v>
      </c>
      <c r="FS111" s="55">
        <f t="shared" si="627"/>
        <v>150860.45074099998</v>
      </c>
      <c r="FT111" s="59">
        <f t="shared" si="628"/>
        <v>498714.47805959772</v>
      </c>
      <c r="FU111" s="60">
        <f t="shared" si="629"/>
        <v>146727.28770699998</v>
      </c>
      <c r="FV111" s="59">
        <f t="shared" si="630"/>
        <v>485051.06770180055</v>
      </c>
      <c r="FW111" s="60">
        <f t="shared" si="631"/>
        <v>142594.12467299998</v>
      </c>
      <c r="FX111" s="59">
        <f t="shared" si="632"/>
        <v>471387.65734400338</v>
      </c>
      <c r="FY111" s="60">
        <f t="shared" si="633"/>
        <v>138460.96163899999</v>
      </c>
      <c r="FZ111" s="59">
        <f t="shared" si="634"/>
        <v>457724.24698620616</v>
      </c>
      <c r="GA111" s="60">
        <f t="shared" si="635"/>
        <v>134327.79860499996</v>
      </c>
      <c r="GB111" s="59">
        <f t="shared" si="636"/>
        <v>444060.83662840887</v>
      </c>
      <c r="GC111" s="55">
        <f t="shared" si="637"/>
        <v>130194.63557099996</v>
      </c>
      <c r="GD111" s="59">
        <f t="shared" si="638"/>
        <v>430397.4262706117</v>
      </c>
      <c r="GE111" s="60">
        <f t="shared" si="639"/>
        <v>126061.47253699997</v>
      </c>
      <c r="GF111" s="59">
        <f t="shared" si="640"/>
        <v>416734.01591281447</v>
      </c>
      <c r="GG111" s="60">
        <f t="shared" si="641"/>
        <v>121928.30950299995</v>
      </c>
      <c r="GH111" s="59">
        <f t="shared" si="642"/>
        <v>403070.60555501725</v>
      </c>
      <c r="GI111" s="55">
        <f t="shared" si="643"/>
        <v>117795.14646899996</v>
      </c>
      <c r="GJ111" s="59">
        <f t="shared" si="644"/>
        <v>389407.19519722008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5"/>
        <v>0.91</v>
      </c>
      <c r="GR111" s="55">
        <f t="shared" si="655"/>
        <v>0.89</v>
      </c>
      <c r="GS111" s="55">
        <f t="shared" si="655"/>
        <v>0.87</v>
      </c>
      <c r="GT111" s="55">
        <f t="shared" si="655"/>
        <v>0.85</v>
      </c>
      <c r="GU111" s="55">
        <f t="shared" si="655"/>
        <v>0.83</v>
      </c>
      <c r="GV111" s="55">
        <f t="shared" si="655"/>
        <v>0.80999999999999994</v>
      </c>
      <c r="GW111" s="55">
        <f t="shared" si="655"/>
        <v>0.78999999999999992</v>
      </c>
      <c r="GX111" s="55">
        <f t="shared" si="655"/>
        <v>0.76999999999999991</v>
      </c>
      <c r="GY111" s="55">
        <f t="shared" si="655"/>
        <v>0.74999999999999989</v>
      </c>
      <c r="GZ111" s="55">
        <f t="shared" si="655"/>
        <v>0.72999999999999987</v>
      </c>
      <c r="HA111" s="55">
        <f t="shared" si="655"/>
        <v>0.70999999999999985</v>
      </c>
      <c r="HB111" s="55">
        <f t="shared" si="655"/>
        <v>0.68999999999999984</v>
      </c>
      <c r="HC111" s="55">
        <f t="shared" si="655"/>
        <v>0.66999999999999982</v>
      </c>
      <c r="HD111" s="55">
        <f t="shared" si="655"/>
        <v>0.6499999999999998</v>
      </c>
      <c r="HE111" s="55">
        <f t="shared" si="655"/>
        <v>0.62999999999999978</v>
      </c>
      <c r="HF111" s="55">
        <f t="shared" si="655"/>
        <v>0.60999999999999976</v>
      </c>
      <c r="HG111" s="55">
        <f t="shared" si="655"/>
        <v>0.58999999999999975</v>
      </c>
      <c r="HH111" s="55">
        <f t="shared" si="655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v>0</v>
      </c>
      <c r="E112" s="72">
        <f t="shared" si="515"/>
        <v>0</v>
      </c>
      <c r="H112" s="55">
        <f t="shared" si="505"/>
        <v>0</v>
      </c>
      <c r="I112" s="55">
        <f t="shared" si="506"/>
        <v>0</v>
      </c>
      <c r="J112" s="59">
        <f t="shared" si="507"/>
        <v>0</v>
      </c>
      <c r="K112" s="55">
        <f t="shared" si="516"/>
        <v>0</v>
      </c>
      <c r="L112" s="59">
        <f t="shared" si="517"/>
        <v>0</v>
      </c>
      <c r="M112" s="55">
        <f t="shared" si="518"/>
        <v>0</v>
      </c>
      <c r="N112" s="59">
        <f t="shared" si="519"/>
        <v>0</v>
      </c>
      <c r="O112" s="55">
        <f t="shared" si="520"/>
        <v>0</v>
      </c>
      <c r="P112" s="59">
        <f t="shared" si="521"/>
        <v>0</v>
      </c>
      <c r="Q112" s="57">
        <f t="shared" si="522"/>
        <v>0</v>
      </c>
      <c r="R112" s="59">
        <f t="shared" si="523"/>
        <v>0</v>
      </c>
      <c r="S112" s="55">
        <f t="shared" si="524"/>
        <v>0</v>
      </c>
      <c r="T112" s="59">
        <f t="shared" si="525"/>
        <v>0</v>
      </c>
      <c r="U112" s="57">
        <f t="shared" si="526"/>
        <v>0</v>
      </c>
      <c r="V112" s="59">
        <f t="shared" si="527"/>
        <v>0</v>
      </c>
      <c r="W112" s="60">
        <f t="shared" si="528"/>
        <v>0</v>
      </c>
      <c r="X112" s="59">
        <f t="shared" si="529"/>
        <v>0</v>
      </c>
      <c r="Y112" s="57">
        <f t="shared" si="530"/>
        <v>0</v>
      </c>
      <c r="Z112" s="59">
        <f t="shared" si="531"/>
        <v>0</v>
      </c>
      <c r="AA112" s="55">
        <f t="shared" si="532"/>
        <v>0</v>
      </c>
      <c r="AB112" s="59">
        <f t="shared" si="533"/>
        <v>0</v>
      </c>
      <c r="AC112" s="60">
        <f t="shared" si="534"/>
        <v>0</v>
      </c>
      <c r="AD112" s="59">
        <f t="shared" si="535"/>
        <v>0</v>
      </c>
      <c r="AE112" s="60">
        <f t="shared" si="536"/>
        <v>0</v>
      </c>
      <c r="AF112" s="59">
        <f t="shared" si="537"/>
        <v>0</v>
      </c>
      <c r="AG112" s="60">
        <f t="shared" si="538"/>
        <v>0</v>
      </c>
      <c r="AH112" s="59">
        <f t="shared" si="539"/>
        <v>0</v>
      </c>
      <c r="AI112" s="55">
        <f t="shared" si="540"/>
        <v>0</v>
      </c>
      <c r="AJ112" s="59">
        <f t="shared" si="541"/>
        <v>0</v>
      </c>
      <c r="AK112" s="60">
        <f t="shared" si="542"/>
        <v>0</v>
      </c>
      <c r="AL112" s="59">
        <f t="shared" si="543"/>
        <v>0</v>
      </c>
      <c r="AM112" s="60">
        <f t="shared" si="544"/>
        <v>0</v>
      </c>
      <c r="AN112" s="59">
        <f t="shared" si="545"/>
        <v>0</v>
      </c>
      <c r="AO112" s="60">
        <f t="shared" si="546"/>
        <v>0</v>
      </c>
      <c r="AP112" s="59">
        <f t="shared" si="547"/>
        <v>0</v>
      </c>
      <c r="AQ112" s="60">
        <f t="shared" si="548"/>
        <v>0</v>
      </c>
      <c r="AR112" s="59">
        <f t="shared" si="549"/>
        <v>0</v>
      </c>
      <c r="AS112" s="55">
        <f t="shared" si="550"/>
        <v>0</v>
      </c>
      <c r="AT112" s="59">
        <f t="shared" si="551"/>
        <v>0</v>
      </c>
      <c r="AU112" s="60">
        <f t="shared" si="552"/>
        <v>0</v>
      </c>
      <c r="AV112" s="59">
        <f t="shared" si="553"/>
        <v>0</v>
      </c>
      <c r="AW112" s="60">
        <f t="shared" si="554"/>
        <v>0</v>
      </c>
      <c r="AX112" s="59">
        <f t="shared" si="555"/>
        <v>0</v>
      </c>
      <c r="AY112" s="55">
        <f t="shared" si="556"/>
        <v>0</v>
      </c>
      <c r="AZ112" s="59">
        <f t="shared" si="557"/>
        <v>0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1"/>
        <v>0.91</v>
      </c>
      <c r="BH112" s="55">
        <f t="shared" si="651"/>
        <v>0.89</v>
      </c>
      <c r="BI112" s="55">
        <f t="shared" si="651"/>
        <v>0.87</v>
      </c>
      <c r="BJ112" s="55">
        <f t="shared" si="651"/>
        <v>0.85</v>
      </c>
      <c r="BK112" s="55">
        <f t="shared" si="651"/>
        <v>0.83</v>
      </c>
      <c r="BL112" s="55">
        <f t="shared" si="651"/>
        <v>0.80999999999999994</v>
      </c>
      <c r="BM112" s="55">
        <f t="shared" si="651"/>
        <v>0.78999999999999992</v>
      </c>
      <c r="BN112" s="55">
        <f t="shared" si="651"/>
        <v>0.76999999999999991</v>
      </c>
      <c r="BO112" s="55">
        <f t="shared" si="651"/>
        <v>0.74999999999999989</v>
      </c>
      <c r="BP112" s="55">
        <f t="shared" si="651"/>
        <v>0.72999999999999987</v>
      </c>
      <c r="BQ112" s="55">
        <f t="shared" si="651"/>
        <v>0.70999999999999985</v>
      </c>
      <c r="BR112" s="55">
        <f t="shared" si="651"/>
        <v>0.68999999999999984</v>
      </c>
      <c r="BS112" s="55">
        <f t="shared" si="651"/>
        <v>0.66999999999999982</v>
      </c>
      <c r="BT112" s="55">
        <f t="shared" si="651"/>
        <v>0.6499999999999998</v>
      </c>
      <c r="BU112" s="55">
        <f t="shared" si="651"/>
        <v>0.62999999999999978</v>
      </c>
      <c r="BV112" s="55">
        <f t="shared" si="651"/>
        <v>0.60999999999999976</v>
      </c>
      <c r="BW112" s="55">
        <f t="shared" si="651"/>
        <v>0.58999999999999975</v>
      </c>
      <c r="BX112" s="55">
        <f t="shared" si="651"/>
        <v>0.56999999999999973</v>
      </c>
      <c r="BZ112" s="55">
        <f t="shared" si="508"/>
        <v>0</v>
      </c>
      <c r="CA112" s="55">
        <f t="shared" si="509"/>
        <v>0</v>
      </c>
      <c r="CB112" s="59">
        <f t="shared" si="559"/>
        <v>0</v>
      </c>
      <c r="CC112" s="55">
        <f t="shared" si="560"/>
        <v>0</v>
      </c>
      <c r="CD112" s="59">
        <f t="shared" si="561"/>
        <v>0</v>
      </c>
      <c r="CE112" s="55">
        <f t="shared" si="562"/>
        <v>0</v>
      </c>
      <c r="CF112" s="59">
        <f t="shared" si="563"/>
        <v>0</v>
      </c>
      <c r="CG112" s="55">
        <f t="shared" si="564"/>
        <v>0</v>
      </c>
      <c r="CH112" s="59">
        <f t="shared" si="565"/>
        <v>0</v>
      </c>
      <c r="CI112" s="57">
        <f t="shared" si="566"/>
        <v>0</v>
      </c>
      <c r="CJ112" s="59">
        <f t="shared" si="567"/>
        <v>0</v>
      </c>
      <c r="CK112" s="55">
        <f t="shared" si="568"/>
        <v>0</v>
      </c>
      <c r="CL112" s="59">
        <f t="shared" si="569"/>
        <v>0</v>
      </c>
      <c r="CM112" s="57">
        <f t="shared" si="570"/>
        <v>0</v>
      </c>
      <c r="CN112" s="59">
        <f t="shared" si="571"/>
        <v>0</v>
      </c>
      <c r="CO112" s="60">
        <f t="shared" si="572"/>
        <v>0</v>
      </c>
      <c r="CP112" s="59">
        <f t="shared" si="573"/>
        <v>0</v>
      </c>
      <c r="CQ112" s="57">
        <f t="shared" si="574"/>
        <v>0</v>
      </c>
      <c r="CR112" s="59">
        <f t="shared" si="575"/>
        <v>0</v>
      </c>
      <c r="CS112" s="55">
        <f t="shared" si="576"/>
        <v>0</v>
      </c>
      <c r="CT112" s="59">
        <f t="shared" si="577"/>
        <v>0</v>
      </c>
      <c r="CU112" s="60">
        <f t="shared" si="578"/>
        <v>0</v>
      </c>
      <c r="CV112" s="59">
        <f t="shared" si="579"/>
        <v>0</v>
      </c>
      <c r="CW112" s="60">
        <f t="shared" si="580"/>
        <v>0</v>
      </c>
      <c r="CX112" s="59">
        <f t="shared" si="581"/>
        <v>0</v>
      </c>
      <c r="CY112" s="60">
        <f t="shared" si="582"/>
        <v>0</v>
      </c>
      <c r="CZ112" s="59">
        <f t="shared" si="583"/>
        <v>0</v>
      </c>
      <c r="DA112" s="55">
        <f t="shared" si="584"/>
        <v>0</v>
      </c>
      <c r="DB112" s="59">
        <f t="shared" si="585"/>
        <v>0</v>
      </c>
      <c r="DC112" s="60">
        <f t="shared" si="586"/>
        <v>0</v>
      </c>
      <c r="DD112" s="59">
        <f t="shared" si="587"/>
        <v>0</v>
      </c>
      <c r="DE112" s="60">
        <f t="shared" si="588"/>
        <v>0</v>
      </c>
      <c r="DF112" s="59">
        <f t="shared" si="589"/>
        <v>0</v>
      </c>
      <c r="DG112" s="60">
        <f t="shared" si="590"/>
        <v>0</v>
      </c>
      <c r="DH112" s="59">
        <f t="shared" si="591"/>
        <v>0</v>
      </c>
      <c r="DI112" s="60">
        <f t="shared" si="592"/>
        <v>0</v>
      </c>
      <c r="DJ112" s="59">
        <f t="shared" si="593"/>
        <v>0</v>
      </c>
      <c r="DK112" s="55">
        <f t="shared" si="594"/>
        <v>0</v>
      </c>
      <c r="DL112" s="59">
        <f t="shared" si="595"/>
        <v>0</v>
      </c>
      <c r="DM112" s="60">
        <f t="shared" si="596"/>
        <v>0</v>
      </c>
      <c r="DN112" s="59">
        <f t="shared" si="597"/>
        <v>0</v>
      </c>
      <c r="DO112" s="60">
        <f t="shared" si="598"/>
        <v>0</v>
      </c>
      <c r="DP112" s="59">
        <f t="shared" si="599"/>
        <v>0</v>
      </c>
      <c r="DQ112" s="55">
        <f t="shared" si="600"/>
        <v>0</v>
      </c>
      <c r="DR112" s="59">
        <f t="shared" si="601"/>
        <v>0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4"/>
        <v>0.91</v>
      </c>
      <c r="DZ112" s="55">
        <f t="shared" si="654"/>
        <v>0.89</v>
      </c>
      <c r="EA112" s="55">
        <f t="shared" si="654"/>
        <v>0.87</v>
      </c>
      <c r="EB112" s="55">
        <f t="shared" si="654"/>
        <v>0.85</v>
      </c>
      <c r="EC112" s="55">
        <f t="shared" si="654"/>
        <v>0.83</v>
      </c>
      <c r="ED112" s="55">
        <f t="shared" si="654"/>
        <v>0.80999999999999994</v>
      </c>
      <c r="EE112" s="55">
        <f t="shared" si="654"/>
        <v>0.78999999999999992</v>
      </c>
      <c r="EF112" s="55">
        <f t="shared" si="654"/>
        <v>0.76999999999999991</v>
      </c>
      <c r="EG112" s="55">
        <f t="shared" si="654"/>
        <v>0.74999999999999989</v>
      </c>
      <c r="EH112" s="55">
        <f t="shared" si="654"/>
        <v>0.72999999999999987</v>
      </c>
      <c r="EI112" s="55">
        <f t="shared" si="654"/>
        <v>0.70999999999999985</v>
      </c>
      <c r="EJ112" s="55">
        <f t="shared" si="654"/>
        <v>0.68999999999999984</v>
      </c>
      <c r="EK112" s="55">
        <f t="shared" si="654"/>
        <v>0.66999999999999982</v>
      </c>
      <c r="EL112" s="55">
        <f t="shared" si="654"/>
        <v>0.6499999999999998</v>
      </c>
      <c r="EM112" s="55">
        <f t="shared" si="654"/>
        <v>0.62999999999999978</v>
      </c>
      <c r="EN112" s="55">
        <f t="shared" si="654"/>
        <v>0.60999999999999976</v>
      </c>
      <c r="EO112" s="55">
        <f t="shared" si="654"/>
        <v>0.58999999999999975</v>
      </c>
      <c r="EP112" s="55">
        <f t="shared" si="654"/>
        <v>0.56999999999999973</v>
      </c>
      <c r="ER112" s="55">
        <f t="shared" si="648"/>
        <v>0</v>
      </c>
      <c r="ES112" s="55">
        <f t="shared" si="510"/>
        <v>0</v>
      </c>
      <c r="ET112" s="59">
        <f t="shared" si="602"/>
        <v>0</v>
      </c>
      <c r="EU112" s="55">
        <f t="shared" si="603"/>
        <v>0</v>
      </c>
      <c r="EV112" s="59">
        <f t="shared" si="604"/>
        <v>0</v>
      </c>
      <c r="EW112" s="55">
        <f t="shared" si="605"/>
        <v>0</v>
      </c>
      <c r="EX112" s="59">
        <f t="shared" si="606"/>
        <v>0</v>
      </c>
      <c r="EY112" s="55">
        <f t="shared" si="607"/>
        <v>0</v>
      </c>
      <c r="EZ112" s="59">
        <f t="shared" si="608"/>
        <v>0</v>
      </c>
      <c r="FA112" s="57">
        <f t="shared" si="609"/>
        <v>0</v>
      </c>
      <c r="FB112" s="59">
        <f t="shared" si="610"/>
        <v>0</v>
      </c>
      <c r="FC112" s="55">
        <f t="shared" si="611"/>
        <v>0</v>
      </c>
      <c r="FD112" s="59">
        <f t="shared" si="612"/>
        <v>0</v>
      </c>
      <c r="FE112" s="57">
        <f t="shared" si="613"/>
        <v>0</v>
      </c>
      <c r="FF112" s="59">
        <f t="shared" si="614"/>
        <v>0</v>
      </c>
      <c r="FG112" s="60">
        <f t="shared" si="615"/>
        <v>0</v>
      </c>
      <c r="FH112" s="59">
        <f t="shared" si="616"/>
        <v>0</v>
      </c>
      <c r="FI112" s="57">
        <f t="shared" si="617"/>
        <v>0</v>
      </c>
      <c r="FJ112" s="59">
        <f t="shared" si="618"/>
        <v>0</v>
      </c>
      <c r="FK112" s="55">
        <f t="shared" si="619"/>
        <v>0</v>
      </c>
      <c r="FL112" s="59">
        <f t="shared" si="620"/>
        <v>0</v>
      </c>
      <c r="FM112" s="60">
        <f t="shared" si="621"/>
        <v>0</v>
      </c>
      <c r="FN112" s="59">
        <f t="shared" si="622"/>
        <v>0</v>
      </c>
      <c r="FO112" s="60">
        <f t="shared" si="623"/>
        <v>0</v>
      </c>
      <c r="FP112" s="59">
        <f t="shared" si="624"/>
        <v>0</v>
      </c>
      <c r="FQ112" s="60">
        <f t="shared" si="625"/>
        <v>0</v>
      </c>
      <c r="FR112" s="59">
        <f t="shared" si="626"/>
        <v>0</v>
      </c>
      <c r="FS112" s="55">
        <f t="shared" si="627"/>
        <v>0</v>
      </c>
      <c r="FT112" s="59">
        <f t="shared" si="628"/>
        <v>0</v>
      </c>
      <c r="FU112" s="60">
        <f t="shared" si="629"/>
        <v>0</v>
      </c>
      <c r="FV112" s="59">
        <f t="shared" si="630"/>
        <v>0</v>
      </c>
      <c r="FW112" s="60">
        <f t="shared" si="631"/>
        <v>0</v>
      </c>
      <c r="FX112" s="59">
        <f t="shared" si="632"/>
        <v>0</v>
      </c>
      <c r="FY112" s="60">
        <f t="shared" si="633"/>
        <v>0</v>
      </c>
      <c r="FZ112" s="59">
        <f t="shared" si="634"/>
        <v>0</v>
      </c>
      <c r="GA112" s="60">
        <f t="shared" si="635"/>
        <v>0</v>
      </c>
      <c r="GB112" s="59">
        <f t="shared" si="636"/>
        <v>0</v>
      </c>
      <c r="GC112" s="55">
        <f t="shared" si="637"/>
        <v>0</v>
      </c>
      <c r="GD112" s="59">
        <f t="shared" si="638"/>
        <v>0</v>
      </c>
      <c r="GE112" s="60">
        <f t="shared" si="639"/>
        <v>0</v>
      </c>
      <c r="GF112" s="59">
        <f t="shared" si="640"/>
        <v>0</v>
      </c>
      <c r="GG112" s="60">
        <f t="shared" si="641"/>
        <v>0</v>
      </c>
      <c r="GH112" s="59">
        <f t="shared" si="642"/>
        <v>0</v>
      </c>
      <c r="GI112" s="55">
        <f t="shared" si="643"/>
        <v>0</v>
      </c>
      <c r="GJ112" s="59">
        <f t="shared" si="644"/>
        <v>0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5"/>
        <v>0.91</v>
      </c>
      <c r="GR112" s="55">
        <f t="shared" si="655"/>
        <v>0.89</v>
      </c>
      <c r="GS112" s="55">
        <f t="shared" si="655"/>
        <v>0.87</v>
      </c>
      <c r="GT112" s="55">
        <f t="shared" si="655"/>
        <v>0.85</v>
      </c>
      <c r="GU112" s="55">
        <f t="shared" si="655"/>
        <v>0.83</v>
      </c>
      <c r="GV112" s="55">
        <f t="shared" si="655"/>
        <v>0.80999999999999994</v>
      </c>
      <c r="GW112" s="55">
        <f t="shared" si="655"/>
        <v>0.78999999999999992</v>
      </c>
      <c r="GX112" s="55">
        <f t="shared" si="655"/>
        <v>0.76999999999999991</v>
      </c>
      <c r="GY112" s="55">
        <f t="shared" si="655"/>
        <v>0.74999999999999989</v>
      </c>
      <c r="GZ112" s="55">
        <f t="shared" si="655"/>
        <v>0.72999999999999987</v>
      </c>
      <c r="HA112" s="55">
        <f t="shared" si="655"/>
        <v>0.70999999999999985</v>
      </c>
      <c r="HB112" s="55">
        <f t="shared" si="655"/>
        <v>0.68999999999999984</v>
      </c>
      <c r="HC112" s="55">
        <f t="shared" si="655"/>
        <v>0.66999999999999982</v>
      </c>
      <c r="HD112" s="55">
        <f t="shared" si="655"/>
        <v>0.6499999999999998</v>
      </c>
      <c r="HE112" s="55">
        <f t="shared" si="655"/>
        <v>0.62999999999999978</v>
      </c>
      <c r="HF112" s="55">
        <f t="shared" si="655"/>
        <v>0.60999999999999976</v>
      </c>
      <c r="HG112" s="55">
        <f t="shared" si="655"/>
        <v>0.58999999999999975</v>
      </c>
      <c r="HH112" s="55">
        <f t="shared" si="655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128360</v>
      </c>
      <c r="E113" s="39">
        <f>SUM(E92:E112)</f>
        <v>424300</v>
      </c>
      <c r="H113" s="55">
        <f t="shared" si="505"/>
        <v>466730.00000000006</v>
      </c>
      <c r="I113" s="55">
        <f t="shared" si="506"/>
        <v>466730.00000000006</v>
      </c>
      <c r="J113" s="59">
        <f t="shared" si="507"/>
        <v>1542916.0340000002</v>
      </c>
      <c r="K113" s="55">
        <f t="shared" si="516"/>
        <v>452728.10000000003</v>
      </c>
      <c r="L113" s="59">
        <f t="shared" si="517"/>
        <v>1496628.5529800002</v>
      </c>
      <c r="M113" s="55">
        <f t="shared" si="518"/>
        <v>443393.50000000006</v>
      </c>
      <c r="N113" s="59">
        <f t="shared" si="519"/>
        <v>1465770.2323000003</v>
      </c>
      <c r="O113" s="55">
        <f t="shared" si="520"/>
        <v>434058.90000000008</v>
      </c>
      <c r="P113" s="59">
        <f t="shared" si="521"/>
        <v>1434911.9116200004</v>
      </c>
      <c r="Q113" s="57">
        <f t="shared" si="522"/>
        <v>424724.30000000005</v>
      </c>
      <c r="R113" s="59">
        <f t="shared" si="523"/>
        <v>1404053.5909400003</v>
      </c>
      <c r="S113" s="55">
        <f t="shared" si="524"/>
        <v>415389.70000000007</v>
      </c>
      <c r="T113" s="59">
        <f t="shared" si="525"/>
        <v>1373195.2702600004</v>
      </c>
      <c r="U113" s="57">
        <f t="shared" si="526"/>
        <v>406055.10000000003</v>
      </c>
      <c r="V113" s="59">
        <f t="shared" si="527"/>
        <v>1342336.9495800002</v>
      </c>
      <c r="W113" s="60">
        <f t="shared" si="528"/>
        <v>396720.50000000006</v>
      </c>
      <c r="X113" s="59">
        <f t="shared" si="529"/>
        <v>1311478.6289000001</v>
      </c>
      <c r="Y113" s="57">
        <f t="shared" si="530"/>
        <v>387385.9</v>
      </c>
      <c r="Z113" s="59">
        <f t="shared" si="531"/>
        <v>1280620.30822</v>
      </c>
      <c r="AA113" s="55">
        <f t="shared" si="532"/>
        <v>378051.30000000005</v>
      </c>
      <c r="AB113" s="59">
        <f t="shared" si="533"/>
        <v>1249761.9875400001</v>
      </c>
      <c r="AC113" s="60">
        <f t="shared" si="534"/>
        <v>368716.7</v>
      </c>
      <c r="AD113" s="59">
        <f t="shared" si="535"/>
        <v>1218903.66686</v>
      </c>
      <c r="AE113" s="60">
        <f t="shared" si="536"/>
        <v>359382.1</v>
      </c>
      <c r="AF113" s="59">
        <f t="shared" si="537"/>
        <v>1188045.3461799999</v>
      </c>
      <c r="AG113" s="60">
        <f t="shared" si="538"/>
        <v>350047.5</v>
      </c>
      <c r="AH113" s="59">
        <f t="shared" si="539"/>
        <v>1157187.0255</v>
      </c>
      <c r="AI113" s="55">
        <f t="shared" si="540"/>
        <v>340712.89999999997</v>
      </c>
      <c r="AJ113" s="59">
        <f t="shared" si="541"/>
        <v>1126328.7048199999</v>
      </c>
      <c r="AK113" s="60">
        <f t="shared" si="542"/>
        <v>331378.3</v>
      </c>
      <c r="AL113" s="59">
        <f t="shared" si="543"/>
        <v>1095470.38414</v>
      </c>
      <c r="AM113" s="60">
        <f t="shared" si="544"/>
        <v>322043.69999999995</v>
      </c>
      <c r="AN113" s="59">
        <f t="shared" si="545"/>
        <v>1064612.0634599999</v>
      </c>
      <c r="AO113" s="60">
        <f t="shared" si="546"/>
        <v>312709.09999999998</v>
      </c>
      <c r="AP113" s="59">
        <f t="shared" si="547"/>
        <v>1033753.74278</v>
      </c>
      <c r="AQ113" s="60">
        <f t="shared" si="548"/>
        <v>303374.49999999994</v>
      </c>
      <c r="AR113" s="59">
        <f t="shared" si="549"/>
        <v>1002895.4220999999</v>
      </c>
      <c r="AS113" s="55">
        <f t="shared" si="550"/>
        <v>294039.89999999991</v>
      </c>
      <c r="AT113" s="59">
        <f t="shared" si="551"/>
        <v>972037.10141999973</v>
      </c>
      <c r="AU113" s="60">
        <f t="shared" si="552"/>
        <v>284705.29999999993</v>
      </c>
      <c r="AV113" s="59">
        <f t="shared" si="553"/>
        <v>941178.78073999984</v>
      </c>
      <c r="AW113" s="60">
        <f t="shared" si="554"/>
        <v>275370.6999999999</v>
      </c>
      <c r="AX113" s="59">
        <f t="shared" si="555"/>
        <v>910320.46005999972</v>
      </c>
      <c r="AY113" s="55">
        <f t="shared" si="556"/>
        <v>266036.09999999992</v>
      </c>
      <c r="AZ113" s="59">
        <f t="shared" si="557"/>
        <v>879462.13937999972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1"/>
        <v>0.91</v>
      </c>
      <c r="BH113" s="55">
        <f t="shared" si="651"/>
        <v>0.89</v>
      </c>
      <c r="BI113" s="55">
        <f t="shared" si="651"/>
        <v>0.87</v>
      </c>
      <c r="BJ113" s="55">
        <f t="shared" si="651"/>
        <v>0.85</v>
      </c>
      <c r="BK113" s="55">
        <f t="shared" si="651"/>
        <v>0.83</v>
      </c>
      <c r="BL113" s="55">
        <f t="shared" si="651"/>
        <v>0.80999999999999994</v>
      </c>
      <c r="BM113" s="55">
        <f t="shared" si="651"/>
        <v>0.78999999999999992</v>
      </c>
      <c r="BN113" s="55">
        <f t="shared" si="651"/>
        <v>0.76999999999999991</v>
      </c>
      <c r="BO113" s="55">
        <f t="shared" si="651"/>
        <v>0.74999999999999989</v>
      </c>
      <c r="BP113" s="55">
        <f t="shared" si="651"/>
        <v>0.72999999999999987</v>
      </c>
      <c r="BQ113" s="55">
        <f t="shared" si="651"/>
        <v>0.70999999999999985</v>
      </c>
      <c r="BR113" s="55">
        <f t="shared" si="651"/>
        <v>0.68999999999999984</v>
      </c>
      <c r="BS113" s="55">
        <f t="shared" si="651"/>
        <v>0.66999999999999982</v>
      </c>
      <c r="BT113" s="55">
        <f t="shared" si="651"/>
        <v>0.6499999999999998</v>
      </c>
      <c r="BU113" s="55">
        <f t="shared" si="651"/>
        <v>0.62999999999999978</v>
      </c>
      <c r="BV113" s="55">
        <f t="shared" si="651"/>
        <v>0.60999999999999976</v>
      </c>
      <c r="BW113" s="55">
        <f t="shared" si="651"/>
        <v>0.58999999999999975</v>
      </c>
      <c r="BX113" s="55">
        <f t="shared" si="651"/>
        <v>0.56999999999999973</v>
      </c>
      <c r="BZ113" s="55">
        <f t="shared" si="508"/>
        <v>424724.30000000005</v>
      </c>
      <c r="CA113" s="55">
        <f t="shared" si="509"/>
        <v>424724.30000000005</v>
      </c>
      <c r="CB113" s="59">
        <f t="shared" si="559"/>
        <v>1404053.5909400003</v>
      </c>
      <c r="CC113" s="55">
        <f t="shared" si="560"/>
        <v>411982.57100000005</v>
      </c>
      <c r="CD113" s="59">
        <f t="shared" si="561"/>
        <v>1361931.9832118002</v>
      </c>
      <c r="CE113" s="55">
        <f t="shared" si="562"/>
        <v>403488.08500000002</v>
      </c>
      <c r="CF113" s="59">
        <f t="shared" si="563"/>
        <v>1333850.911393</v>
      </c>
      <c r="CG113" s="55">
        <f t="shared" si="564"/>
        <v>394993.59900000005</v>
      </c>
      <c r="CH113" s="59">
        <f t="shared" si="565"/>
        <v>1305769.8395742001</v>
      </c>
      <c r="CI113" s="57">
        <f t="shared" si="566"/>
        <v>386499.11300000007</v>
      </c>
      <c r="CJ113" s="59">
        <f t="shared" si="567"/>
        <v>1277688.7677554002</v>
      </c>
      <c r="CK113" s="55">
        <f t="shared" si="568"/>
        <v>378004.62700000004</v>
      </c>
      <c r="CL113" s="59">
        <f t="shared" si="569"/>
        <v>1249607.6959366002</v>
      </c>
      <c r="CM113" s="57">
        <f t="shared" si="570"/>
        <v>369510.14100000006</v>
      </c>
      <c r="CN113" s="59">
        <f t="shared" si="571"/>
        <v>1221526.6241178003</v>
      </c>
      <c r="CO113" s="60">
        <f t="shared" si="572"/>
        <v>361015.65500000003</v>
      </c>
      <c r="CP113" s="59">
        <f t="shared" si="573"/>
        <v>1193445.5522990001</v>
      </c>
      <c r="CQ113" s="57">
        <f t="shared" si="574"/>
        <v>352521.16899999999</v>
      </c>
      <c r="CR113" s="59">
        <f t="shared" si="575"/>
        <v>1165364.4804801999</v>
      </c>
      <c r="CS113" s="55">
        <f t="shared" si="576"/>
        <v>344026.68300000002</v>
      </c>
      <c r="CT113" s="59">
        <f t="shared" si="577"/>
        <v>1137283.4086614002</v>
      </c>
      <c r="CU113" s="60">
        <f t="shared" si="578"/>
        <v>335532.19699999999</v>
      </c>
      <c r="CV113" s="59">
        <f t="shared" si="579"/>
        <v>1109202.3368426</v>
      </c>
      <c r="CW113" s="60">
        <f t="shared" si="580"/>
        <v>327037.71100000001</v>
      </c>
      <c r="CX113" s="59">
        <f t="shared" si="581"/>
        <v>1081121.2650238001</v>
      </c>
      <c r="CY113" s="60">
        <f t="shared" si="582"/>
        <v>318543.22499999998</v>
      </c>
      <c r="CZ113" s="59">
        <f t="shared" si="583"/>
        <v>1053040.1932049999</v>
      </c>
      <c r="DA113" s="55">
        <f t="shared" si="584"/>
        <v>310048.739</v>
      </c>
      <c r="DB113" s="59">
        <f t="shared" si="585"/>
        <v>1024959.1213862001</v>
      </c>
      <c r="DC113" s="60">
        <f t="shared" si="586"/>
        <v>301554.25299999997</v>
      </c>
      <c r="DD113" s="59">
        <f t="shared" si="587"/>
        <v>996878.0495673999</v>
      </c>
      <c r="DE113" s="60">
        <f t="shared" si="588"/>
        <v>293059.76699999993</v>
      </c>
      <c r="DF113" s="59">
        <f t="shared" si="589"/>
        <v>968796.97774859983</v>
      </c>
      <c r="DG113" s="60">
        <f t="shared" si="590"/>
        <v>284565.28099999996</v>
      </c>
      <c r="DH113" s="59">
        <f t="shared" si="591"/>
        <v>940715.90592979989</v>
      </c>
      <c r="DI113" s="60">
        <f t="shared" si="592"/>
        <v>276070.79499999993</v>
      </c>
      <c r="DJ113" s="59">
        <f t="shared" si="593"/>
        <v>912634.83411099983</v>
      </c>
      <c r="DK113" s="55">
        <f t="shared" si="594"/>
        <v>267576.30899999995</v>
      </c>
      <c r="DL113" s="59">
        <f t="shared" si="595"/>
        <v>884553.76229219988</v>
      </c>
      <c r="DM113" s="60">
        <f t="shared" si="596"/>
        <v>259081.82299999992</v>
      </c>
      <c r="DN113" s="59">
        <f t="shared" si="597"/>
        <v>856472.69047339971</v>
      </c>
      <c r="DO113" s="60">
        <f t="shared" si="598"/>
        <v>250587.33699999991</v>
      </c>
      <c r="DP113" s="59">
        <f t="shared" si="599"/>
        <v>828391.61865459976</v>
      </c>
      <c r="DQ113" s="55">
        <f t="shared" si="600"/>
        <v>242092.85099999991</v>
      </c>
      <c r="DR113" s="59">
        <f t="shared" si="601"/>
        <v>800310.5468357997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4"/>
        <v>0.91</v>
      </c>
      <c r="DZ113" s="55">
        <f t="shared" si="654"/>
        <v>0.89</v>
      </c>
      <c r="EA113" s="55">
        <f t="shared" si="654"/>
        <v>0.87</v>
      </c>
      <c r="EB113" s="55">
        <f t="shared" si="654"/>
        <v>0.85</v>
      </c>
      <c r="EC113" s="55">
        <f t="shared" si="654"/>
        <v>0.83</v>
      </c>
      <c r="ED113" s="55">
        <f t="shared" si="654"/>
        <v>0.80999999999999994</v>
      </c>
      <c r="EE113" s="55">
        <f t="shared" si="654"/>
        <v>0.78999999999999992</v>
      </c>
      <c r="EF113" s="55">
        <f t="shared" si="654"/>
        <v>0.76999999999999991</v>
      </c>
      <c r="EG113" s="55">
        <f t="shared" si="654"/>
        <v>0.74999999999999989</v>
      </c>
      <c r="EH113" s="55">
        <f t="shared" si="654"/>
        <v>0.72999999999999987</v>
      </c>
      <c r="EI113" s="55">
        <f t="shared" si="654"/>
        <v>0.70999999999999985</v>
      </c>
      <c r="EJ113" s="55">
        <f t="shared" si="654"/>
        <v>0.68999999999999984</v>
      </c>
      <c r="EK113" s="55">
        <f t="shared" si="654"/>
        <v>0.66999999999999982</v>
      </c>
      <c r="EL113" s="55">
        <f t="shared" si="654"/>
        <v>0.6499999999999998</v>
      </c>
      <c r="EM113" s="55">
        <f t="shared" si="654"/>
        <v>0.62999999999999978</v>
      </c>
      <c r="EN113" s="55">
        <f t="shared" si="654"/>
        <v>0.60999999999999976</v>
      </c>
      <c r="EO113" s="55">
        <f t="shared" si="654"/>
        <v>0.58999999999999975</v>
      </c>
      <c r="EP113" s="55">
        <f t="shared" si="654"/>
        <v>0.56999999999999973</v>
      </c>
      <c r="ER113" s="55">
        <f t="shared" si="648"/>
        <v>386499.11300000007</v>
      </c>
      <c r="ES113" s="55">
        <f t="shared" si="510"/>
        <v>386499.11300000007</v>
      </c>
      <c r="ET113" s="59">
        <f t="shared" si="602"/>
        <v>1277688.7677554002</v>
      </c>
      <c r="EU113" s="55">
        <f t="shared" si="603"/>
        <v>374904.13961000007</v>
      </c>
      <c r="EV113" s="59">
        <f t="shared" si="604"/>
        <v>1239358.1047227383</v>
      </c>
      <c r="EW113" s="55">
        <f t="shared" si="605"/>
        <v>367174.15735000005</v>
      </c>
      <c r="EX113" s="59">
        <f t="shared" si="606"/>
        <v>1213804.3293676302</v>
      </c>
      <c r="EY113" s="55">
        <f t="shared" si="607"/>
        <v>359444.17509000009</v>
      </c>
      <c r="EZ113" s="59">
        <f t="shared" si="608"/>
        <v>1188250.5540125223</v>
      </c>
      <c r="FA113" s="57">
        <f t="shared" si="609"/>
        <v>351714.19283000007</v>
      </c>
      <c r="FB113" s="59">
        <f t="shared" si="610"/>
        <v>1162696.7786574143</v>
      </c>
      <c r="FC113" s="55">
        <f t="shared" si="611"/>
        <v>343984.21057000005</v>
      </c>
      <c r="FD113" s="59">
        <f t="shared" si="612"/>
        <v>1137143.0033023062</v>
      </c>
      <c r="FE113" s="57">
        <f t="shared" si="613"/>
        <v>336254.22831000003</v>
      </c>
      <c r="FF113" s="59">
        <f t="shared" si="614"/>
        <v>1111589.2279471981</v>
      </c>
      <c r="FG113" s="60">
        <f t="shared" si="615"/>
        <v>328524.24605000007</v>
      </c>
      <c r="FH113" s="59">
        <f t="shared" si="616"/>
        <v>1086035.4525920902</v>
      </c>
      <c r="FI113" s="57">
        <f t="shared" si="617"/>
        <v>320794.26379000006</v>
      </c>
      <c r="FJ113" s="59">
        <f t="shared" si="618"/>
        <v>1060481.6772369822</v>
      </c>
      <c r="FK113" s="55">
        <f t="shared" si="619"/>
        <v>313064.28153000004</v>
      </c>
      <c r="FL113" s="59">
        <f t="shared" si="620"/>
        <v>1034927.9018818742</v>
      </c>
      <c r="FM113" s="60">
        <f t="shared" si="621"/>
        <v>305334.29927000002</v>
      </c>
      <c r="FN113" s="59">
        <f t="shared" si="622"/>
        <v>1009374.1265267661</v>
      </c>
      <c r="FO113" s="60">
        <f t="shared" si="623"/>
        <v>297604.31701</v>
      </c>
      <c r="FP113" s="59">
        <f t="shared" si="624"/>
        <v>983820.35117165803</v>
      </c>
      <c r="FQ113" s="60">
        <f t="shared" si="625"/>
        <v>289874.33475000004</v>
      </c>
      <c r="FR113" s="59">
        <f t="shared" si="626"/>
        <v>958266.57581655018</v>
      </c>
      <c r="FS113" s="55">
        <f t="shared" si="627"/>
        <v>282144.35249000002</v>
      </c>
      <c r="FT113" s="59">
        <f t="shared" si="628"/>
        <v>932712.80046144209</v>
      </c>
      <c r="FU113" s="60">
        <f t="shared" si="629"/>
        <v>274414.37023</v>
      </c>
      <c r="FV113" s="59">
        <f t="shared" si="630"/>
        <v>907159.02510633401</v>
      </c>
      <c r="FW113" s="60">
        <f t="shared" si="631"/>
        <v>266684.38796999998</v>
      </c>
      <c r="FX113" s="59">
        <f t="shared" si="632"/>
        <v>881605.24975122593</v>
      </c>
      <c r="FY113" s="60">
        <f t="shared" si="633"/>
        <v>258954.40570999996</v>
      </c>
      <c r="FZ113" s="59">
        <f t="shared" si="634"/>
        <v>856051.47439611785</v>
      </c>
      <c r="GA113" s="60">
        <f t="shared" si="635"/>
        <v>251224.42344999997</v>
      </c>
      <c r="GB113" s="59">
        <f t="shared" si="636"/>
        <v>830497.69904100988</v>
      </c>
      <c r="GC113" s="55">
        <f t="shared" si="637"/>
        <v>243494.44118999995</v>
      </c>
      <c r="GD113" s="59">
        <f t="shared" si="638"/>
        <v>804943.92368590191</v>
      </c>
      <c r="GE113" s="60">
        <f t="shared" si="639"/>
        <v>235764.45892999996</v>
      </c>
      <c r="GF113" s="59">
        <f t="shared" si="640"/>
        <v>779390.14833079395</v>
      </c>
      <c r="GG113" s="60">
        <f t="shared" si="641"/>
        <v>228034.47666999995</v>
      </c>
      <c r="GH113" s="59">
        <f t="shared" si="642"/>
        <v>753836.37297568587</v>
      </c>
      <c r="GI113" s="55">
        <f t="shared" si="643"/>
        <v>220304.49440999993</v>
      </c>
      <c r="GJ113" s="59">
        <f t="shared" si="644"/>
        <v>728282.59762057778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5"/>
        <v>0.91</v>
      </c>
      <c r="GR113" s="55">
        <f t="shared" si="655"/>
        <v>0.89</v>
      </c>
      <c r="GS113" s="55">
        <f t="shared" si="655"/>
        <v>0.87</v>
      </c>
      <c r="GT113" s="55">
        <f t="shared" si="655"/>
        <v>0.85</v>
      </c>
      <c r="GU113" s="55">
        <f t="shared" si="655"/>
        <v>0.83</v>
      </c>
      <c r="GV113" s="55">
        <f t="shared" si="655"/>
        <v>0.80999999999999994</v>
      </c>
      <c r="GW113" s="55">
        <f t="shared" si="655"/>
        <v>0.78999999999999992</v>
      </c>
      <c r="GX113" s="55">
        <f t="shared" si="655"/>
        <v>0.76999999999999991</v>
      </c>
      <c r="GY113" s="55">
        <f t="shared" si="655"/>
        <v>0.74999999999999989</v>
      </c>
      <c r="GZ113" s="55">
        <f t="shared" si="655"/>
        <v>0.72999999999999987</v>
      </c>
      <c r="HA113" s="55">
        <f t="shared" si="655"/>
        <v>0.70999999999999985</v>
      </c>
      <c r="HB113" s="55">
        <f t="shared" si="655"/>
        <v>0.68999999999999984</v>
      </c>
      <c r="HC113" s="55">
        <f t="shared" si="655"/>
        <v>0.66999999999999982</v>
      </c>
      <c r="HD113" s="55">
        <f t="shared" si="655"/>
        <v>0.6499999999999998</v>
      </c>
      <c r="HE113" s="55">
        <f t="shared" si="655"/>
        <v>0.62999999999999978</v>
      </c>
      <c r="HF113" s="55">
        <f t="shared" si="655"/>
        <v>0.60999999999999976</v>
      </c>
      <c r="HG113" s="55">
        <f t="shared" si="655"/>
        <v>0.58999999999999975</v>
      </c>
      <c r="HH113" s="55">
        <f t="shared" si="655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56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57">+DW114-0.02</f>
        <v>0.91</v>
      </c>
      <c r="DY114" s="61">
        <f t="shared" si="657"/>
        <v>0.89</v>
      </c>
      <c r="DZ114" s="61">
        <f t="shared" si="657"/>
        <v>0.87</v>
      </c>
      <c r="EA114" s="61">
        <f t="shared" si="657"/>
        <v>0.85</v>
      </c>
      <c r="EB114" s="61">
        <f t="shared" si="657"/>
        <v>0.83</v>
      </c>
      <c r="EC114" s="61">
        <f t="shared" si="657"/>
        <v>0.80999999999999994</v>
      </c>
      <c r="ED114" s="61">
        <f t="shared" si="657"/>
        <v>0.78999999999999992</v>
      </c>
      <c r="EE114" s="61">
        <f t="shared" si="657"/>
        <v>0.76999999999999991</v>
      </c>
      <c r="EF114" s="61">
        <f t="shared" si="657"/>
        <v>0.74999999999999989</v>
      </c>
      <c r="EG114" s="61">
        <f t="shared" si="657"/>
        <v>0.72999999999999987</v>
      </c>
      <c r="EH114" s="61">
        <f t="shared" si="657"/>
        <v>0.70999999999999985</v>
      </c>
      <c r="EI114" s="61">
        <f t="shared" si="657"/>
        <v>0.68999999999999984</v>
      </c>
      <c r="EJ114" s="61">
        <f t="shared" si="657"/>
        <v>0.66999999999999982</v>
      </c>
      <c r="EK114" s="61">
        <f t="shared" si="657"/>
        <v>0.6499999999999998</v>
      </c>
      <c r="EL114" s="61">
        <f t="shared" si="657"/>
        <v>0.62999999999999978</v>
      </c>
      <c r="EM114" s="61">
        <f t="shared" si="657"/>
        <v>0.60999999999999976</v>
      </c>
      <c r="EN114" s="61">
        <f t="shared" si="657"/>
        <v>0.58999999999999975</v>
      </c>
      <c r="EO114" s="61">
        <f t="shared" si="657"/>
        <v>0.56999999999999973</v>
      </c>
      <c r="EQ114" s="61">
        <f t="shared" ref="EQ114:EQ115" si="658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59">+GO114-0.02</f>
        <v>0.91</v>
      </c>
      <c r="GQ114" s="61">
        <f t="shared" si="659"/>
        <v>0.89</v>
      </c>
      <c r="GR114" s="61">
        <f t="shared" si="659"/>
        <v>0.87</v>
      </c>
      <c r="GS114" s="61">
        <f t="shared" si="659"/>
        <v>0.85</v>
      </c>
      <c r="GT114" s="61">
        <f t="shared" si="659"/>
        <v>0.83</v>
      </c>
      <c r="GU114" s="61">
        <f t="shared" si="659"/>
        <v>0.80999999999999994</v>
      </c>
      <c r="GV114" s="61">
        <f t="shared" si="659"/>
        <v>0.78999999999999992</v>
      </c>
      <c r="GW114" s="61">
        <f t="shared" si="659"/>
        <v>0.76999999999999991</v>
      </c>
      <c r="GX114" s="61">
        <f t="shared" si="659"/>
        <v>0.74999999999999989</v>
      </c>
      <c r="GY114" s="61">
        <f t="shared" si="659"/>
        <v>0.72999999999999987</v>
      </c>
      <c r="GZ114" s="61">
        <f t="shared" si="659"/>
        <v>0.70999999999999985</v>
      </c>
      <c r="HA114" s="61">
        <f t="shared" si="659"/>
        <v>0.68999999999999984</v>
      </c>
      <c r="HB114" s="61">
        <f t="shared" si="659"/>
        <v>0.66999999999999982</v>
      </c>
      <c r="HC114" s="61">
        <f t="shared" si="659"/>
        <v>0.6499999999999998</v>
      </c>
      <c r="HD114" s="61">
        <f t="shared" si="659"/>
        <v>0.62999999999999978</v>
      </c>
      <c r="HE114" s="61">
        <f t="shared" si="659"/>
        <v>0.60999999999999976</v>
      </c>
      <c r="HF114" s="61">
        <f t="shared" si="659"/>
        <v>0.58999999999999975</v>
      </c>
      <c r="HG114" s="61">
        <f t="shared" si="659"/>
        <v>0.56999999999999973</v>
      </c>
    </row>
    <row r="115" spans="1:216" s="64" customFormat="1" ht="17.25" thickBot="1" x14ac:dyDescent="0.35">
      <c r="B115" s="64" t="s">
        <v>300</v>
      </c>
      <c r="C115" s="64" t="s">
        <v>298</v>
      </c>
      <c r="D115" s="65" t="s">
        <v>272</v>
      </c>
      <c r="E115" s="65" t="s">
        <v>155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56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57"/>
        <v>0.91</v>
      </c>
      <c r="DY115" s="61">
        <f t="shared" si="657"/>
        <v>0.89</v>
      </c>
      <c r="DZ115" s="61">
        <f t="shared" si="657"/>
        <v>0.87</v>
      </c>
      <c r="EA115" s="61">
        <f t="shared" si="657"/>
        <v>0.85</v>
      </c>
      <c r="EB115" s="61">
        <f t="shared" si="657"/>
        <v>0.83</v>
      </c>
      <c r="EC115" s="61">
        <f t="shared" si="657"/>
        <v>0.80999999999999994</v>
      </c>
      <c r="ED115" s="61">
        <f t="shared" si="657"/>
        <v>0.78999999999999992</v>
      </c>
      <c r="EE115" s="61">
        <f t="shared" si="657"/>
        <v>0.76999999999999991</v>
      </c>
      <c r="EF115" s="61">
        <f t="shared" si="657"/>
        <v>0.74999999999999989</v>
      </c>
      <c r="EG115" s="61">
        <f t="shared" si="657"/>
        <v>0.72999999999999987</v>
      </c>
      <c r="EH115" s="61">
        <f t="shared" si="657"/>
        <v>0.70999999999999985</v>
      </c>
      <c r="EI115" s="61">
        <f t="shared" si="657"/>
        <v>0.68999999999999984</v>
      </c>
      <c r="EJ115" s="61">
        <f t="shared" si="657"/>
        <v>0.66999999999999982</v>
      </c>
      <c r="EK115" s="61">
        <f t="shared" si="657"/>
        <v>0.6499999999999998</v>
      </c>
      <c r="EL115" s="61">
        <f t="shared" si="657"/>
        <v>0.62999999999999978</v>
      </c>
      <c r="EM115" s="61">
        <f t="shared" si="657"/>
        <v>0.60999999999999976</v>
      </c>
      <c r="EN115" s="61">
        <f t="shared" si="657"/>
        <v>0.58999999999999975</v>
      </c>
      <c r="EO115" s="61">
        <f t="shared" si="657"/>
        <v>0.56999999999999973</v>
      </c>
      <c r="EQ115" s="61">
        <f t="shared" si="658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59"/>
        <v>0.91</v>
      </c>
      <c r="GQ115" s="61">
        <f t="shared" si="659"/>
        <v>0.89</v>
      </c>
      <c r="GR115" s="61">
        <f t="shared" si="659"/>
        <v>0.87</v>
      </c>
      <c r="GS115" s="61">
        <f t="shared" si="659"/>
        <v>0.85</v>
      </c>
      <c r="GT115" s="61">
        <f t="shared" si="659"/>
        <v>0.83</v>
      </c>
      <c r="GU115" s="61">
        <f t="shared" si="659"/>
        <v>0.80999999999999994</v>
      </c>
      <c r="GV115" s="61">
        <f t="shared" si="659"/>
        <v>0.78999999999999992</v>
      </c>
      <c r="GW115" s="61">
        <f t="shared" si="659"/>
        <v>0.76999999999999991</v>
      </c>
      <c r="GX115" s="61">
        <f t="shared" si="659"/>
        <v>0.74999999999999989</v>
      </c>
      <c r="GY115" s="61">
        <f t="shared" si="659"/>
        <v>0.72999999999999987</v>
      </c>
      <c r="GZ115" s="61">
        <f t="shared" si="659"/>
        <v>0.70999999999999985</v>
      </c>
      <c r="HA115" s="61">
        <f t="shared" si="659"/>
        <v>0.68999999999999984</v>
      </c>
      <c r="HB115" s="61">
        <f t="shared" si="659"/>
        <v>0.66999999999999982</v>
      </c>
      <c r="HC115" s="61">
        <f t="shared" si="659"/>
        <v>0.6499999999999998</v>
      </c>
      <c r="HD115" s="61">
        <f t="shared" si="659"/>
        <v>0.62999999999999978</v>
      </c>
      <c r="HE115" s="61">
        <f t="shared" si="659"/>
        <v>0.60999999999999976</v>
      </c>
      <c r="HF115" s="61">
        <f t="shared" si="659"/>
        <v>0.58999999999999975</v>
      </c>
      <c r="HG115" s="61">
        <f t="shared" si="659"/>
        <v>0.56999999999999973</v>
      </c>
    </row>
    <row r="116" spans="1:216" x14ac:dyDescent="0.3">
      <c r="A116" s="2">
        <v>1</v>
      </c>
      <c r="C116" s="38" t="s">
        <v>55</v>
      </c>
      <c r="D116" s="40">
        <f>TRUNC(1465.76486425847,-1)</f>
        <v>1460</v>
      </c>
      <c r="E116" s="70">
        <f t="shared" ref="E116:E126" si="660">TRUNC(+D116*3.3058,-1)</f>
        <v>4820</v>
      </c>
      <c r="F116" s="2" t="s">
        <v>308</v>
      </c>
      <c r="H116" s="55">
        <f t="shared" si="505"/>
        <v>5302</v>
      </c>
      <c r="I116" s="55">
        <f t="shared" si="506"/>
        <v>5302</v>
      </c>
      <c r="J116" s="59">
        <f t="shared" si="507"/>
        <v>17527.351600000002</v>
      </c>
      <c r="K116" s="55">
        <f t="shared" ref="K116:K127" si="661">+I116*BD116</f>
        <v>5142.9399999999996</v>
      </c>
      <c r="L116" s="59">
        <f t="shared" ref="L116:L127" si="662">+K116*3.3058</f>
        <v>17001.531051999998</v>
      </c>
      <c r="M116" s="55">
        <f t="shared" ref="M116:M127" si="663">+I116*BE116</f>
        <v>5036.8999999999996</v>
      </c>
      <c r="N116" s="59">
        <f t="shared" ref="N116:N127" si="664">+M116*3.3058</f>
        <v>16650.98402</v>
      </c>
      <c r="O116" s="55">
        <f t="shared" ref="O116:O127" si="665">+I116*BF116</f>
        <v>4930.8600000000006</v>
      </c>
      <c r="P116" s="59">
        <f t="shared" ref="P116:P127" si="666">+O116*3.3058</f>
        <v>16300.436988000003</v>
      </c>
      <c r="Q116" s="57">
        <f t="shared" ref="Q116:Q127" si="667">+I116*BG116</f>
        <v>4824.8200000000006</v>
      </c>
      <c r="R116" s="59">
        <f t="shared" ref="R116:R127" si="668">+Q116*3.3058</f>
        <v>15949.889956000003</v>
      </c>
      <c r="S116" s="55">
        <f t="shared" ref="S116:S127" si="669">+I116*BH116</f>
        <v>4718.78</v>
      </c>
      <c r="T116" s="59">
        <f t="shared" ref="T116:T127" si="670">+S116*3.3058</f>
        <v>15599.342923999999</v>
      </c>
      <c r="U116" s="57">
        <f t="shared" ref="U116:U127" si="671">+I116*BI116</f>
        <v>4612.74</v>
      </c>
      <c r="V116" s="59">
        <f t="shared" ref="V116:V127" si="672">+U116*3.3058</f>
        <v>15248.795892</v>
      </c>
      <c r="W116" s="60">
        <f t="shared" ref="W116:W127" si="673">+I116*BJ116</f>
        <v>4506.7</v>
      </c>
      <c r="X116" s="59">
        <f t="shared" ref="X116:X127" si="674">+W116*3.3058</f>
        <v>14898.24886</v>
      </c>
      <c r="Y116" s="57">
        <f t="shared" ref="Y116:Y127" si="675">+I116*BK116</f>
        <v>4400.66</v>
      </c>
      <c r="Z116" s="59">
        <f t="shared" ref="Z116:Z127" si="676">+Y116*3.3058</f>
        <v>14547.701827999999</v>
      </c>
      <c r="AA116" s="55">
        <f t="shared" ref="AA116:AA127" si="677">+I116*BL116</f>
        <v>4294.62</v>
      </c>
      <c r="AB116" s="59">
        <f t="shared" ref="AB116:AB127" si="678">+AA116*3.3058</f>
        <v>14197.154796000001</v>
      </c>
      <c r="AC116" s="60">
        <f t="shared" ref="AC116:AC127" si="679">+I116*BM116</f>
        <v>4188.58</v>
      </c>
      <c r="AD116" s="59">
        <f t="shared" ref="AD116:AD127" si="680">+AC116*3.3058</f>
        <v>13846.607764</v>
      </c>
      <c r="AE116" s="60">
        <f t="shared" ref="AE116:AE127" si="681">+I116*BN116</f>
        <v>4082.5399999999995</v>
      </c>
      <c r="AF116" s="59">
        <f t="shared" ref="AF116:AF127" si="682">+AE116*3.3058</f>
        <v>13496.060731999998</v>
      </c>
      <c r="AG116" s="60">
        <f t="shared" ref="AG116:AG127" si="683">+I116*BO116</f>
        <v>3976.4999999999995</v>
      </c>
      <c r="AH116" s="59">
        <f t="shared" ref="AH116:AH127" si="684">+AG116*3.3058</f>
        <v>13145.5137</v>
      </c>
      <c r="AI116" s="55">
        <f t="shared" ref="AI116:AI127" si="685">+I116*BP116</f>
        <v>3870.4599999999991</v>
      </c>
      <c r="AJ116" s="59">
        <f t="shared" ref="AJ116:AJ127" si="686">+AI116*3.3058</f>
        <v>12794.966667999997</v>
      </c>
      <c r="AK116" s="60">
        <f t="shared" ref="AK116:AK127" si="687">+I116*BQ116</f>
        <v>3764.4199999999992</v>
      </c>
      <c r="AL116" s="59">
        <f t="shared" ref="AL116:AL127" si="688">+AK116*3.3058</f>
        <v>12444.419635999997</v>
      </c>
      <c r="AM116" s="60">
        <f t="shared" ref="AM116:AM127" si="689">+I116*BR116</f>
        <v>3658.3799999999992</v>
      </c>
      <c r="AN116" s="59">
        <f t="shared" ref="AN116:AN127" si="690">+AM116*3.3058</f>
        <v>12093.872603999998</v>
      </c>
      <c r="AO116" s="60">
        <f t="shared" ref="AO116:AO127" si="691">+I116*BS116</f>
        <v>3552.3399999999992</v>
      </c>
      <c r="AP116" s="59">
        <f t="shared" ref="AP116:AP127" si="692">+AO116*3.3058</f>
        <v>11743.325571999998</v>
      </c>
      <c r="AQ116" s="60">
        <f t="shared" ref="AQ116:AQ127" si="693">+I116*BT116</f>
        <v>3446.2999999999988</v>
      </c>
      <c r="AR116" s="59">
        <f t="shared" ref="AR116:AR127" si="694">+AQ116*3.3058</f>
        <v>11392.778539999996</v>
      </c>
      <c r="AS116" s="55">
        <f t="shared" ref="AS116:AS127" si="695">+I116*BU116</f>
        <v>3340.2599999999989</v>
      </c>
      <c r="AT116" s="59">
        <f t="shared" ref="AT116:AT127" si="696">+AS116*3.3058</f>
        <v>11042.231507999997</v>
      </c>
      <c r="AU116" s="60">
        <f t="shared" ref="AU116:AU127" si="697">+I116*BV116</f>
        <v>3234.2199999999989</v>
      </c>
      <c r="AV116" s="59">
        <f t="shared" ref="AV116:AV127" si="698">+AU116*3.3058</f>
        <v>10691.684475999997</v>
      </c>
      <c r="AW116" s="60">
        <f t="shared" ref="AW116:AW127" si="699">+I116*BW116</f>
        <v>3128.1799999999985</v>
      </c>
      <c r="AX116" s="59">
        <f t="shared" ref="AX116:AX127" si="700">+AW116*3.3058</f>
        <v>10341.137443999995</v>
      </c>
      <c r="AY116" s="55">
        <f t="shared" ref="AY116:AY127" si="701">+I116*BX116</f>
        <v>3022.1399999999985</v>
      </c>
      <c r="AZ116" s="59">
        <f t="shared" ref="AZ116:AZ127" si="702">+AY116*3.3058</f>
        <v>9990.5904119999959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03">+BF116-0.02</f>
        <v>0.91</v>
      </c>
      <c r="BH116" s="55">
        <f t="shared" si="703"/>
        <v>0.89</v>
      </c>
      <c r="BI116" s="55">
        <f t="shared" si="703"/>
        <v>0.87</v>
      </c>
      <c r="BJ116" s="55">
        <f t="shared" si="703"/>
        <v>0.85</v>
      </c>
      <c r="BK116" s="55">
        <f t="shared" si="703"/>
        <v>0.83</v>
      </c>
      <c r="BL116" s="55">
        <f t="shared" si="703"/>
        <v>0.80999999999999994</v>
      </c>
      <c r="BM116" s="55">
        <f t="shared" si="703"/>
        <v>0.78999999999999992</v>
      </c>
      <c r="BN116" s="55">
        <f t="shared" si="703"/>
        <v>0.76999999999999991</v>
      </c>
      <c r="BO116" s="55">
        <f t="shared" si="703"/>
        <v>0.74999999999999989</v>
      </c>
      <c r="BP116" s="55">
        <f t="shared" si="703"/>
        <v>0.72999999999999987</v>
      </c>
      <c r="BQ116" s="55">
        <f t="shared" si="703"/>
        <v>0.70999999999999985</v>
      </c>
      <c r="BR116" s="55">
        <f t="shared" si="703"/>
        <v>0.68999999999999984</v>
      </c>
      <c r="BS116" s="55">
        <f t="shared" si="703"/>
        <v>0.66999999999999982</v>
      </c>
      <c r="BT116" s="55">
        <f t="shared" si="703"/>
        <v>0.6499999999999998</v>
      </c>
      <c r="BU116" s="55">
        <f t="shared" si="703"/>
        <v>0.62999999999999978</v>
      </c>
      <c r="BV116" s="55">
        <f t="shared" si="703"/>
        <v>0.60999999999999976</v>
      </c>
      <c r="BW116" s="55">
        <f t="shared" si="703"/>
        <v>0.58999999999999975</v>
      </c>
      <c r="BX116" s="55">
        <f t="shared" si="703"/>
        <v>0.56999999999999973</v>
      </c>
      <c r="BZ116" s="55">
        <f t="shared" si="508"/>
        <v>4824.8200000000006</v>
      </c>
      <c r="CA116" s="55">
        <f t="shared" si="509"/>
        <v>4824.8200000000006</v>
      </c>
      <c r="CB116" s="59">
        <f t="shared" ref="CB116:CB127" si="704">+CA116*3.3058</f>
        <v>15949.889956000003</v>
      </c>
      <c r="CC116" s="55">
        <f t="shared" ref="CC116:CC127" si="705">+CA116*DV116</f>
        <v>4680.0754000000006</v>
      </c>
      <c r="CD116" s="59">
        <f t="shared" ref="CD116:CD127" si="706">+CC116*3.3058</f>
        <v>15471.393257320002</v>
      </c>
      <c r="CE116" s="55">
        <f t="shared" ref="CE116:CE127" si="707">+CA116*DW116</f>
        <v>4583.5790000000006</v>
      </c>
      <c r="CF116" s="59">
        <f t="shared" ref="CF116:CF127" si="708">+CE116*3.3058</f>
        <v>15152.395458200002</v>
      </c>
      <c r="CG116" s="55">
        <f t="shared" ref="CG116:CG127" si="709">+CA116*DX116</f>
        <v>4487.0826000000006</v>
      </c>
      <c r="CH116" s="59">
        <f t="shared" ref="CH116:CH127" si="710">+CG116*3.3058</f>
        <v>14833.397659080003</v>
      </c>
      <c r="CI116" s="57">
        <f t="shared" ref="CI116:CI127" si="711">+CA116*DY116</f>
        <v>4390.5862000000006</v>
      </c>
      <c r="CJ116" s="59">
        <f t="shared" ref="CJ116:CJ127" si="712">+CI116*3.3058</f>
        <v>14514.399859960002</v>
      </c>
      <c r="CK116" s="55">
        <f t="shared" ref="CK116:CK127" si="713">+CA116*DZ116</f>
        <v>4294.0898000000007</v>
      </c>
      <c r="CL116" s="59">
        <f t="shared" ref="CL116:CL127" si="714">+CK116*3.3058</f>
        <v>14195.402060840002</v>
      </c>
      <c r="CM116" s="57">
        <f t="shared" ref="CM116:CM127" si="715">+CA116*EA116</f>
        <v>4197.5934000000007</v>
      </c>
      <c r="CN116" s="59">
        <f t="shared" ref="CN116:CN127" si="716">+CM116*3.3058</f>
        <v>13876.404261720003</v>
      </c>
      <c r="CO116" s="60">
        <f t="shared" ref="CO116:CO127" si="717">+CA116*EB116</f>
        <v>4101.0970000000007</v>
      </c>
      <c r="CP116" s="59">
        <f t="shared" ref="CP116:CP127" si="718">+CO116*3.3058</f>
        <v>13557.406462600002</v>
      </c>
      <c r="CQ116" s="57">
        <f t="shared" ref="CQ116:CQ127" si="719">+CA116*EC116</f>
        <v>4004.6006000000002</v>
      </c>
      <c r="CR116" s="59">
        <f t="shared" ref="CR116:CR127" si="720">+CQ116*3.3058</f>
        <v>13238.408663480001</v>
      </c>
      <c r="CS116" s="55">
        <f t="shared" ref="CS116:CS127" si="721">+CA116*ED116</f>
        <v>3908.1042000000002</v>
      </c>
      <c r="CT116" s="59">
        <f t="shared" ref="CT116:CT127" si="722">+CS116*3.3058</f>
        <v>12919.410864360001</v>
      </c>
      <c r="CU116" s="60">
        <f t="shared" ref="CU116:CU127" si="723">+CA116*EE116</f>
        <v>3811.6078000000002</v>
      </c>
      <c r="CV116" s="59">
        <f t="shared" ref="CV116:CV127" si="724">+CU116*3.3058</f>
        <v>12600.413065240002</v>
      </c>
      <c r="CW116" s="60">
        <f t="shared" ref="CW116:CW127" si="725">+CA116*EF116</f>
        <v>3715.1114000000002</v>
      </c>
      <c r="CX116" s="59">
        <f t="shared" ref="CX116:CX127" si="726">+CW116*3.3058</f>
        <v>12281.415266120001</v>
      </c>
      <c r="CY116" s="60">
        <f t="shared" ref="CY116:CY127" si="727">+CA116*EG116</f>
        <v>3618.6149999999998</v>
      </c>
      <c r="CZ116" s="59">
        <f t="shared" ref="CZ116:CZ127" si="728">+CY116*3.3058</f>
        <v>11962.417466999999</v>
      </c>
      <c r="DA116" s="55">
        <f t="shared" ref="DA116:DA127" si="729">+CA116*EH116</f>
        <v>3522.1185999999998</v>
      </c>
      <c r="DB116" s="59">
        <f t="shared" ref="DB116:DB127" si="730">+DA116*3.3058</f>
        <v>11643.41966788</v>
      </c>
      <c r="DC116" s="60">
        <f t="shared" ref="DC116:DC127" si="731">+CA116*EI116</f>
        <v>3425.6221999999998</v>
      </c>
      <c r="DD116" s="59">
        <f t="shared" ref="DD116:DD127" si="732">+DC116*3.3058</f>
        <v>11324.421868759999</v>
      </c>
      <c r="DE116" s="60">
        <f t="shared" ref="DE116:DE127" si="733">+CA116*EJ116</f>
        <v>3329.1257999999998</v>
      </c>
      <c r="DF116" s="59">
        <f t="shared" ref="DF116:DF127" si="734">+DE116*3.3058</f>
        <v>11005.424069639999</v>
      </c>
      <c r="DG116" s="60">
        <f t="shared" ref="DG116:DG127" si="735">+CA116*EK116</f>
        <v>3232.6293999999994</v>
      </c>
      <c r="DH116" s="59">
        <f t="shared" ref="DH116:DH127" si="736">+DG116*3.3058</f>
        <v>10686.426270519998</v>
      </c>
      <c r="DI116" s="60">
        <f t="shared" ref="DI116:DI127" si="737">+CA116*EL116</f>
        <v>3136.1329999999994</v>
      </c>
      <c r="DJ116" s="59">
        <f t="shared" ref="DJ116:DJ127" si="738">+DI116*3.3058</f>
        <v>10367.428471399999</v>
      </c>
      <c r="DK116" s="55">
        <f t="shared" ref="DK116:DK127" si="739">+CA116*EM116</f>
        <v>3039.6365999999994</v>
      </c>
      <c r="DL116" s="59">
        <f t="shared" ref="DL116:DL127" si="740">+DK116*3.3058</f>
        <v>10048.430672279997</v>
      </c>
      <c r="DM116" s="60">
        <f t="shared" ref="DM116:DM127" si="741">+CA116*EN116</f>
        <v>2943.1401999999994</v>
      </c>
      <c r="DN116" s="59">
        <f t="shared" ref="DN116:DN127" si="742">+DM116*3.3058</f>
        <v>9729.4328731599981</v>
      </c>
      <c r="DO116" s="60">
        <f t="shared" ref="DO116:DO127" si="743">+CA116*EO116</f>
        <v>2846.6437999999989</v>
      </c>
      <c r="DP116" s="59">
        <f t="shared" ref="DP116:DP127" si="744">+DO116*3.3058</f>
        <v>9410.4350740399968</v>
      </c>
      <c r="DQ116" s="55">
        <f t="shared" ref="DQ116:DQ127" si="745">+CA116*EP116</f>
        <v>2750.1473999999989</v>
      </c>
      <c r="DR116" s="59">
        <f t="shared" ref="DR116:DR127" si="746">+DQ116*3.3058</f>
        <v>9091.4372749199974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4"/>
        <v>0.91</v>
      </c>
      <c r="DZ116" s="55">
        <f t="shared" si="654"/>
        <v>0.89</v>
      </c>
      <c r="EA116" s="55">
        <f t="shared" si="654"/>
        <v>0.87</v>
      </c>
      <c r="EB116" s="55">
        <f t="shared" si="654"/>
        <v>0.85</v>
      </c>
      <c r="EC116" s="55">
        <f t="shared" si="654"/>
        <v>0.83</v>
      </c>
      <c r="ED116" s="55">
        <f t="shared" si="654"/>
        <v>0.80999999999999994</v>
      </c>
      <c r="EE116" s="55">
        <f t="shared" si="654"/>
        <v>0.78999999999999992</v>
      </c>
      <c r="EF116" s="55">
        <f t="shared" si="654"/>
        <v>0.76999999999999991</v>
      </c>
      <c r="EG116" s="55">
        <f t="shared" si="654"/>
        <v>0.74999999999999989</v>
      </c>
      <c r="EH116" s="55">
        <f t="shared" si="654"/>
        <v>0.72999999999999987</v>
      </c>
      <c r="EI116" s="55">
        <f t="shared" si="654"/>
        <v>0.70999999999999985</v>
      </c>
      <c r="EJ116" s="55">
        <f t="shared" si="654"/>
        <v>0.68999999999999984</v>
      </c>
      <c r="EK116" s="55">
        <f t="shared" si="654"/>
        <v>0.66999999999999982</v>
      </c>
      <c r="EL116" s="55">
        <f t="shared" si="654"/>
        <v>0.6499999999999998</v>
      </c>
      <c r="EM116" s="55">
        <f t="shared" si="654"/>
        <v>0.62999999999999978</v>
      </c>
      <c r="EN116" s="55">
        <f t="shared" si="654"/>
        <v>0.60999999999999976</v>
      </c>
      <c r="EO116" s="55">
        <f t="shared" si="654"/>
        <v>0.58999999999999975</v>
      </c>
      <c r="EP116" s="55">
        <f t="shared" si="654"/>
        <v>0.56999999999999973</v>
      </c>
      <c r="ER116" s="55">
        <f t="shared" si="648"/>
        <v>4390.5862000000006</v>
      </c>
      <c r="ES116" s="55">
        <f t="shared" si="510"/>
        <v>4390.5862000000006</v>
      </c>
      <c r="ET116" s="59">
        <f t="shared" ref="ET116:ET127" si="747">+ES116*3.3058</f>
        <v>14514.399859960002</v>
      </c>
      <c r="EU116" s="55">
        <f t="shared" ref="EU116:EU127" si="748">+ES116*GN116</f>
        <v>4258.8686140000009</v>
      </c>
      <c r="EV116" s="59">
        <f t="shared" ref="EV116:EV127" si="749">+EU116*3.3058</f>
        <v>14078.967864161203</v>
      </c>
      <c r="EW116" s="55">
        <f t="shared" ref="EW116:EW127" si="750">+ES116*GO116</f>
        <v>4171.0568900000007</v>
      </c>
      <c r="EX116" s="59">
        <f t="shared" ref="EX116:EX127" si="751">+EW116*3.3058</f>
        <v>13788.679866962002</v>
      </c>
      <c r="EY116" s="55">
        <f t="shared" ref="EY116:EY127" si="752">+ES116*GP116</f>
        <v>4083.2451660000006</v>
      </c>
      <c r="EZ116" s="59">
        <f t="shared" ref="EZ116:EZ127" si="753">+EY116*3.3058</f>
        <v>13498.391869762801</v>
      </c>
      <c r="FA116" s="57">
        <f t="shared" ref="FA116:FA127" si="754">+ES116*GQ116</f>
        <v>3995.4334420000009</v>
      </c>
      <c r="FB116" s="59">
        <f t="shared" ref="FB116:FB127" si="755">+FA116*3.3058</f>
        <v>13208.103872563603</v>
      </c>
      <c r="FC116" s="55">
        <f t="shared" ref="FC116:FC127" si="756">+ES116*GR116</f>
        <v>3907.6217180000008</v>
      </c>
      <c r="FD116" s="59">
        <f t="shared" ref="FD116:FD127" si="757">+FC116*3.3058</f>
        <v>12917.815875364402</v>
      </c>
      <c r="FE116" s="57">
        <f t="shared" ref="FE116:FE127" si="758">+ES116*GS116</f>
        <v>3819.8099940000006</v>
      </c>
      <c r="FF116" s="59">
        <f t="shared" ref="FF116:FF127" si="759">+FE116*3.3058</f>
        <v>12627.527878165203</v>
      </c>
      <c r="FG116" s="60">
        <f t="shared" ref="FG116:FG127" si="760">+ES116*GT116</f>
        <v>3731.9982700000005</v>
      </c>
      <c r="FH116" s="59">
        <f t="shared" ref="FH116:FH127" si="761">+FG116*3.3058</f>
        <v>12337.239880966003</v>
      </c>
      <c r="FI116" s="57">
        <f t="shared" ref="FI116:FI127" si="762">+ES116*GU116</f>
        <v>3644.1865460000004</v>
      </c>
      <c r="FJ116" s="59">
        <f t="shared" ref="FJ116:FJ127" si="763">+FI116*3.3058</f>
        <v>12046.951883766802</v>
      </c>
      <c r="FK116" s="55">
        <f t="shared" ref="FK116:FK127" si="764">+ES116*GV116</f>
        <v>3556.3748220000002</v>
      </c>
      <c r="FL116" s="59">
        <f t="shared" ref="FL116:FL127" si="765">+FK116*3.3058</f>
        <v>11756.663886567601</v>
      </c>
      <c r="FM116" s="60">
        <f t="shared" ref="FM116:FM127" si="766">+ES116*GW116</f>
        <v>3468.5630980000001</v>
      </c>
      <c r="FN116" s="59">
        <f t="shared" ref="FN116:FN127" si="767">+FM116*3.3058</f>
        <v>11466.375889368401</v>
      </c>
      <c r="FO116" s="60">
        <f t="shared" ref="FO116:FO127" si="768">+ES116*GX116</f>
        <v>3380.7513739999999</v>
      </c>
      <c r="FP116" s="59">
        <f t="shared" ref="FP116:FP127" si="769">+FO116*3.3058</f>
        <v>11176.0878921692</v>
      </c>
      <c r="FQ116" s="60">
        <f t="shared" ref="FQ116:FQ127" si="770">+ES116*GY116</f>
        <v>3292.9396499999998</v>
      </c>
      <c r="FR116" s="59">
        <f t="shared" ref="FR116:FR127" si="771">+FQ116*3.3058</f>
        <v>10885.79989497</v>
      </c>
      <c r="FS116" s="55">
        <f t="shared" ref="FS116:FS127" si="772">+ES116*GZ116</f>
        <v>3205.1279260000001</v>
      </c>
      <c r="FT116" s="59">
        <f t="shared" ref="FT116:FT127" si="773">+FS116*3.3058</f>
        <v>10595.511897770801</v>
      </c>
      <c r="FU116" s="60">
        <f t="shared" ref="FU116:FU127" si="774">+ES116*HA116</f>
        <v>3117.316202</v>
      </c>
      <c r="FV116" s="59">
        <f t="shared" ref="FV116:FV127" si="775">+FU116*3.3058</f>
        <v>10305.2239005716</v>
      </c>
      <c r="FW116" s="60">
        <f t="shared" ref="FW116:FW127" si="776">+ES116*HB116</f>
        <v>3029.5044779999998</v>
      </c>
      <c r="FX116" s="59">
        <f t="shared" ref="FX116:FX127" si="777">+FW116*3.3058</f>
        <v>10014.935903372399</v>
      </c>
      <c r="FY116" s="60">
        <f t="shared" ref="FY116:FY127" si="778">+ES116*HC116</f>
        <v>2941.6927539999997</v>
      </c>
      <c r="FZ116" s="59">
        <f t="shared" ref="FZ116:FZ127" si="779">+FY116*3.3058</f>
        <v>9724.6479061731989</v>
      </c>
      <c r="GA116" s="60">
        <f t="shared" ref="GA116:GA127" si="780">+ES116*HD116</f>
        <v>2853.8810299999996</v>
      </c>
      <c r="GB116" s="59">
        <f t="shared" ref="GB116:GB127" si="781">+GA116*3.3058</f>
        <v>9434.3599089739982</v>
      </c>
      <c r="GC116" s="55">
        <f t="shared" ref="GC116:GC127" si="782">+ES116*HE116</f>
        <v>2766.0693059999994</v>
      </c>
      <c r="GD116" s="59">
        <f t="shared" ref="GD116:GD127" si="783">+GC116*3.3058</f>
        <v>9144.0719117747976</v>
      </c>
      <c r="GE116" s="60">
        <f t="shared" ref="GE116:GE127" si="784">+ES116*HF116</f>
        <v>2678.2575819999993</v>
      </c>
      <c r="GF116" s="59">
        <f t="shared" ref="GF116:GF127" si="785">+GE116*3.3058</f>
        <v>8853.783914575597</v>
      </c>
      <c r="GG116" s="60">
        <f t="shared" ref="GG116:GG127" si="786">+ES116*HG116</f>
        <v>2590.4458579999991</v>
      </c>
      <c r="GH116" s="59">
        <f t="shared" ref="GH116:GH127" si="787">+GG116*3.3058</f>
        <v>8563.4959173763982</v>
      </c>
      <c r="GI116" s="55">
        <f t="shared" ref="GI116:GI127" si="788">+ES116*HH116</f>
        <v>2502.634133999999</v>
      </c>
      <c r="GJ116" s="59">
        <f t="shared" ref="GJ116:GJ127" si="789">+GI116*3.3058</f>
        <v>8273.2079201771976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5"/>
        <v>0.91</v>
      </c>
      <c r="GR116" s="55">
        <f t="shared" si="655"/>
        <v>0.89</v>
      </c>
      <c r="GS116" s="55">
        <f t="shared" si="655"/>
        <v>0.87</v>
      </c>
      <c r="GT116" s="55">
        <f t="shared" si="655"/>
        <v>0.85</v>
      </c>
      <c r="GU116" s="55">
        <f t="shared" si="655"/>
        <v>0.83</v>
      </c>
      <c r="GV116" s="55">
        <f t="shared" si="655"/>
        <v>0.80999999999999994</v>
      </c>
      <c r="GW116" s="55">
        <f t="shared" si="655"/>
        <v>0.78999999999999992</v>
      </c>
      <c r="GX116" s="55">
        <f t="shared" si="655"/>
        <v>0.76999999999999991</v>
      </c>
      <c r="GY116" s="55">
        <f t="shared" si="655"/>
        <v>0.74999999999999989</v>
      </c>
      <c r="GZ116" s="55">
        <f t="shared" si="655"/>
        <v>0.72999999999999987</v>
      </c>
      <c r="HA116" s="55">
        <f t="shared" si="655"/>
        <v>0.70999999999999985</v>
      </c>
      <c r="HB116" s="55">
        <f t="shared" si="655"/>
        <v>0.68999999999999984</v>
      </c>
      <c r="HC116" s="55">
        <f t="shared" si="655"/>
        <v>0.66999999999999982</v>
      </c>
      <c r="HD116" s="55">
        <f t="shared" si="655"/>
        <v>0.6499999999999998</v>
      </c>
      <c r="HE116" s="55">
        <f t="shared" si="655"/>
        <v>0.62999999999999978</v>
      </c>
      <c r="HF116" s="55">
        <f t="shared" si="655"/>
        <v>0.60999999999999976</v>
      </c>
      <c r="HG116" s="55">
        <f t="shared" si="655"/>
        <v>0.58999999999999975</v>
      </c>
      <c r="HH116" s="55">
        <f t="shared" si="655"/>
        <v>0.56999999999999973</v>
      </c>
    </row>
    <row r="117" spans="1:216" x14ac:dyDescent="0.3">
      <c r="A117" s="2">
        <v>2</v>
      </c>
      <c r="C117" s="38" t="s">
        <v>125</v>
      </c>
      <c r="D117" s="42">
        <f>TRUNC(5110.18196096029,-1)</f>
        <v>5110</v>
      </c>
      <c r="E117" s="71">
        <f t="shared" si="660"/>
        <v>16890</v>
      </c>
      <c r="F117" s="2" t="s">
        <v>307</v>
      </c>
      <c r="H117" s="55">
        <f t="shared" si="505"/>
        <v>18579</v>
      </c>
      <c r="I117" s="55">
        <f t="shared" si="506"/>
        <v>18579</v>
      </c>
      <c r="J117" s="59">
        <f t="shared" si="507"/>
        <v>61418.458200000001</v>
      </c>
      <c r="K117" s="55">
        <f t="shared" si="661"/>
        <v>18021.63</v>
      </c>
      <c r="L117" s="59">
        <f t="shared" si="662"/>
        <v>59575.904454000003</v>
      </c>
      <c r="M117" s="55">
        <f t="shared" si="663"/>
        <v>17650.05</v>
      </c>
      <c r="N117" s="59">
        <f t="shared" si="664"/>
        <v>58347.53529</v>
      </c>
      <c r="O117" s="55">
        <f t="shared" si="665"/>
        <v>17278.47</v>
      </c>
      <c r="P117" s="59">
        <f t="shared" si="666"/>
        <v>57119.166126000004</v>
      </c>
      <c r="Q117" s="57">
        <f t="shared" si="667"/>
        <v>16906.89</v>
      </c>
      <c r="R117" s="59">
        <f t="shared" si="668"/>
        <v>55890.796962</v>
      </c>
      <c r="S117" s="55">
        <f t="shared" si="669"/>
        <v>16535.310000000001</v>
      </c>
      <c r="T117" s="59">
        <f t="shared" si="670"/>
        <v>54662.427798000004</v>
      </c>
      <c r="U117" s="57">
        <f t="shared" si="671"/>
        <v>16163.73</v>
      </c>
      <c r="V117" s="59">
        <f t="shared" si="672"/>
        <v>53434.058634000001</v>
      </c>
      <c r="W117" s="60">
        <f t="shared" si="673"/>
        <v>15792.15</v>
      </c>
      <c r="X117" s="59">
        <f t="shared" si="674"/>
        <v>52205.689469999998</v>
      </c>
      <c r="Y117" s="57">
        <f t="shared" si="675"/>
        <v>15420.57</v>
      </c>
      <c r="Z117" s="59">
        <f t="shared" si="676"/>
        <v>50977.320306000001</v>
      </c>
      <c r="AA117" s="55">
        <f t="shared" si="677"/>
        <v>15048.99</v>
      </c>
      <c r="AB117" s="59">
        <f t="shared" si="678"/>
        <v>49748.951141999998</v>
      </c>
      <c r="AC117" s="60">
        <f t="shared" si="679"/>
        <v>14677.409999999998</v>
      </c>
      <c r="AD117" s="59">
        <f t="shared" si="680"/>
        <v>48520.581977999995</v>
      </c>
      <c r="AE117" s="60">
        <f t="shared" si="681"/>
        <v>14305.829999999998</v>
      </c>
      <c r="AF117" s="59">
        <f t="shared" si="682"/>
        <v>47292.212813999991</v>
      </c>
      <c r="AG117" s="60">
        <f t="shared" si="683"/>
        <v>13934.249999999998</v>
      </c>
      <c r="AH117" s="59">
        <f t="shared" si="684"/>
        <v>46063.843649999995</v>
      </c>
      <c r="AI117" s="55">
        <f t="shared" si="685"/>
        <v>13562.669999999998</v>
      </c>
      <c r="AJ117" s="59">
        <f t="shared" si="686"/>
        <v>44835.474485999992</v>
      </c>
      <c r="AK117" s="60">
        <f t="shared" si="687"/>
        <v>13191.089999999997</v>
      </c>
      <c r="AL117" s="59">
        <f t="shared" si="688"/>
        <v>43607.105321999989</v>
      </c>
      <c r="AM117" s="60">
        <f t="shared" si="689"/>
        <v>12819.509999999997</v>
      </c>
      <c r="AN117" s="59">
        <f t="shared" si="690"/>
        <v>42378.736157999992</v>
      </c>
      <c r="AO117" s="60">
        <f t="shared" si="691"/>
        <v>12447.929999999997</v>
      </c>
      <c r="AP117" s="59">
        <f t="shared" si="692"/>
        <v>41150.366993999989</v>
      </c>
      <c r="AQ117" s="60">
        <f t="shared" si="693"/>
        <v>12076.349999999997</v>
      </c>
      <c r="AR117" s="59">
        <f t="shared" si="694"/>
        <v>39921.997829999993</v>
      </c>
      <c r="AS117" s="55">
        <f t="shared" si="695"/>
        <v>11704.769999999997</v>
      </c>
      <c r="AT117" s="59">
        <f t="shared" si="696"/>
        <v>38693.62866599999</v>
      </c>
      <c r="AU117" s="60">
        <f t="shared" si="697"/>
        <v>11333.189999999995</v>
      </c>
      <c r="AV117" s="59">
        <f t="shared" si="698"/>
        <v>37465.259501999986</v>
      </c>
      <c r="AW117" s="60">
        <f t="shared" si="699"/>
        <v>10961.609999999995</v>
      </c>
      <c r="AX117" s="59">
        <f t="shared" si="700"/>
        <v>36236.890337999983</v>
      </c>
      <c r="AY117" s="55">
        <f t="shared" si="701"/>
        <v>10590.029999999995</v>
      </c>
      <c r="AZ117" s="59">
        <f t="shared" si="702"/>
        <v>35008.521173999987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03"/>
        <v>0.91</v>
      </c>
      <c r="BH117" s="55">
        <f t="shared" si="703"/>
        <v>0.89</v>
      </c>
      <c r="BI117" s="55">
        <f t="shared" si="703"/>
        <v>0.87</v>
      </c>
      <c r="BJ117" s="55">
        <f t="shared" si="703"/>
        <v>0.85</v>
      </c>
      <c r="BK117" s="55">
        <f t="shared" si="703"/>
        <v>0.83</v>
      </c>
      <c r="BL117" s="55">
        <f t="shared" si="703"/>
        <v>0.80999999999999994</v>
      </c>
      <c r="BM117" s="55">
        <f t="shared" si="703"/>
        <v>0.78999999999999992</v>
      </c>
      <c r="BN117" s="55">
        <f t="shared" si="703"/>
        <v>0.76999999999999991</v>
      </c>
      <c r="BO117" s="55">
        <f t="shared" si="703"/>
        <v>0.74999999999999989</v>
      </c>
      <c r="BP117" s="55">
        <f t="shared" si="703"/>
        <v>0.72999999999999987</v>
      </c>
      <c r="BQ117" s="55">
        <f t="shared" si="703"/>
        <v>0.70999999999999985</v>
      </c>
      <c r="BR117" s="55">
        <f t="shared" si="703"/>
        <v>0.68999999999999984</v>
      </c>
      <c r="BS117" s="55">
        <f t="shared" si="703"/>
        <v>0.66999999999999982</v>
      </c>
      <c r="BT117" s="55">
        <f t="shared" si="703"/>
        <v>0.6499999999999998</v>
      </c>
      <c r="BU117" s="55">
        <f t="shared" si="703"/>
        <v>0.62999999999999978</v>
      </c>
      <c r="BV117" s="55">
        <f t="shared" si="703"/>
        <v>0.60999999999999976</v>
      </c>
      <c r="BW117" s="55">
        <f t="shared" si="703"/>
        <v>0.58999999999999975</v>
      </c>
      <c r="BX117" s="55">
        <f t="shared" si="703"/>
        <v>0.56999999999999973</v>
      </c>
      <c r="BZ117" s="55">
        <f t="shared" si="508"/>
        <v>16906.89</v>
      </c>
      <c r="CA117" s="55">
        <f t="shared" si="509"/>
        <v>16906.89</v>
      </c>
      <c r="CB117" s="59">
        <f t="shared" si="704"/>
        <v>55890.796962</v>
      </c>
      <c r="CC117" s="55">
        <f t="shared" si="705"/>
        <v>16399.683300000001</v>
      </c>
      <c r="CD117" s="59">
        <f t="shared" si="706"/>
        <v>54214.073053140004</v>
      </c>
      <c r="CE117" s="55">
        <f t="shared" si="707"/>
        <v>16061.545499999998</v>
      </c>
      <c r="CF117" s="59">
        <f t="shared" si="708"/>
        <v>53096.257113899999</v>
      </c>
      <c r="CG117" s="55">
        <f t="shared" si="709"/>
        <v>15723.4077</v>
      </c>
      <c r="CH117" s="59">
        <f t="shared" si="710"/>
        <v>51978.441174660002</v>
      </c>
      <c r="CI117" s="57">
        <f t="shared" si="711"/>
        <v>15385.269899999999</v>
      </c>
      <c r="CJ117" s="59">
        <f t="shared" si="712"/>
        <v>50860.625235419997</v>
      </c>
      <c r="CK117" s="55">
        <f t="shared" si="713"/>
        <v>15047.132099999999</v>
      </c>
      <c r="CL117" s="59">
        <f t="shared" si="714"/>
        <v>49742.809296179999</v>
      </c>
      <c r="CM117" s="57">
        <f t="shared" si="715"/>
        <v>14708.9943</v>
      </c>
      <c r="CN117" s="59">
        <f t="shared" si="716"/>
        <v>48624.993356940002</v>
      </c>
      <c r="CO117" s="60">
        <f t="shared" si="717"/>
        <v>14370.8565</v>
      </c>
      <c r="CP117" s="59">
        <f t="shared" si="718"/>
        <v>47507.177417699997</v>
      </c>
      <c r="CQ117" s="57">
        <f t="shared" si="719"/>
        <v>14032.718699999999</v>
      </c>
      <c r="CR117" s="59">
        <f t="shared" si="720"/>
        <v>46389.361478459999</v>
      </c>
      <c r="CS117" s="55">
        <f t="shared" si="721"/>
        <v>13694.580899999999</v>
      </c>
      <c r="CT117" s="59">
        <f t="shared" si="722"/>
        <v>45271.545539219995</v>
      </c>
      <c r="CU117" s="60">
        <f t="shared" si="723"/>
        <v>13356.443099999999</v>
      </c>
      <c r="CV117" s="59">
        <f t="shared" si="724"/>
        <v>44153.729599979997</v>
      </c>
      <c r="CW117" s="60">
        <f t="shared" si="725"/>
        <v>13018.305299999998</v>
      </c>
      <c r="CX117" s="59">
        <f t="shared" si="726"/>
        <v>43035.913660739992</v>
      </c>
      <c r="CY117" s="60">
        <f t="shared" si="727"/>
        <v>12680.167499999998</v>
      </c>
      <c r="CZ117" s="59">
        <f t="shared" si="728"/>
        <v>41918.097721499995</v>
      </c>
      <c r="DA117" s="55">
        <f t="shared" si="729"/>
        <v>12342.029699999997</v>
      </c>
      <c r="DB117" s="59">
        <f t="shared" si="730"/>
        <v>40800.28178225999</v>
      </c>
      <c r="DC117" s="60">
        <f t="shared" si="731"/>
        <v>12003.891899999997</v>
      </c>
      <c r="DD117" s="59">
        <f t="shared" si="732"/>
        <v>39682.465843019992</v>
      </c>
      <c r="DE117" s="60">
        <f t="shared" si="733"/>
        <v>11665.754099999996</v>
      </c>
      <c r="DF117" s="59">
        <f t="shared" si="734"/>
        <v>38564.649903779988</v>
      </c>
      <c r="DG117" s="60">
        <f t="shared" si="735"/>
        <v>11327.616299999996</v>
      </c>
      <c r="DH117" s="59">
        <f t="shared" si="736"/>
        <v>37446.83396453999</v>
      </c>
      <c r="DI117" s="60">
        <f t="shared" si="737"/>
        <v>10989.478499999996</v>
      </c>
      <c r="DJ117" s="59">
        <f t="shared" si="738"/>
        <v>36329.018025299985</v>
      </c>
      <c r="DK117" s="55">
        <f t="shared" si="739"/>
        <v>10651.340699999995</v>
      </c>
      <c r="DL117" s="59">
        <f t="shared" si="740"/>
        <v>35211.202086059988</v>
      </c>
      <c r="DM117" s="60">
        <f t="shared" si="741"/>
        <v>10313.202899999995</v>
      </c>
      <c r="DN117" s="59">
        <f t="shared" si="742"/>
        <v>34093.386146819983</v>
      </c>
      <c r="DO117" s="60">
        <f t="shared" si="743"/>
        <v>9975.0650999999962</v>
      </c>
      <c r="DP117" s="59">
        <f t="shared" si="744"/>
        <v>32975.570207579985</v>
      </c>
      <c r="DQ117" s="55">
        <f t="shared" si="745"/>
        <v>9636.9272999999957</v>
      </c>
      <c r="DR117" s="59">
        <f t="shared" si="746"/>
        <v>31857.754268339988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4"/>
        <v>0.91</v>
      </c>
      <c r="DZ117" s="55">
        <f t="shared" si="654"/>
        <v>0.89</v>
      </c>
      <c r="EA117" s="55">
        <f t="shared" si="654"/>
        <v>0.87</v>
      </c>
      <c r="EB117" s="55">
        <f t="shared" si="654"/>
        <v>0.85</v>
      </c>
      <c r="EC117" s="55">
        <f t="shared" si="654"/>
        <v>0.83</v>
      </c>
      <c r="ED117" s="55">
        <f t="shared" si="654"/>
        <v>0.80999999999999994</v>
      </c>
      <c r="EE117" s="55">
        <f t="shared" si="654"/>
        <v>0.78999999999999992</v>
      </c>
      <c r="EF117" s="55">
        <f t="shared" si="654"/>
        <v>0.76999999999999991</v>
      </c>
      <c r="EG117" s="55">
        <f t="shared" si="654"/>
        <v>0.74999999999999989</v>
      </c>
      <c r="EH117" s="55">
        <f t="shared" si="654"/>
        <v>0.72999999999999987</v>
      </c>
      <c r="EI117" s="55">
        <f t="shared" si="654"/>
        <v>0.70999999999999985</v>
      </c>
      <c r="EJ117" s="55">
        <f t="shared" si="654"/>
        <v>0.68999999999999984</v>
      </c>
      <c r="EK117" s="55">
        <f t="shared" si="654"/>
        <v>0.66999999999999982</v>
      </c>
      <c r="EL117" s="55">
        <f t="shared" si="654"/>
        <v>0.6499999999999998</v>
      </c>
      <c r="EM117" s="55">
        <f t="shared" si="654"/>
        <v>0.62999999999999978</v>
      </c>
      <c r="EN117" s="55">
        <f t="shared" si="654"/>
        <v>0.60999999999999976</v>
      </c>
      <c r="EO117" s="55">
        <f t="shared" si="654"/>
        <v>0.58999999999999975</v>
      </c>
      <c r="EP117" s="55">
        <f t="shared" si="654"/>
        <v>0.56999999999999973</v>
      </c>
      <c r="ER117" s="55">
        <f t="shared" si="648"/>
        <v>15385.269899999999</v>
      </c>
      <c r="ES117" s="55">
        <f t="shared" si="510"/>
        <v>15385.269899999999</v>
      </c>
      <c r="ET117" s="59">
        <f t="shared" si="747"/>
        <v>50860.625235419997</v>
      </c>
      <c r="EU117" s="55">
        <f t="shared" si="748"/>
        <v>14923.711802999998</v>
      </c>
      <c r="EV117" s="59">
        <f t="shared" si="749"/>
        <v>49334.806478357394</v>
      </c>
      <c r="EW117" s="55">
        <f t="shared" si="750"/>
        <v>14616.006404999998</v>
      </c>
      <c r="EX117" s="59">
        <f t="shared" si="751"/>
        <v>48317.593973648996</v>
      </c>
      <c r="EY117" s="55">
        <f t="shared" si="752"/>
        <v>14308.301007</v>
      </c>
      <c r="EZ117" s="59">
        <f t="shared" si="753"/>
        <v>47300.381468940599</v>
      </c>
      <c r="FA117" s="57">
        <f t="shared" si="754"/>
        <v>14000.595609</v>
      </c>
      <c r="FB117" s="59">
        <f t="shared" si="755"/>
        <v>46283.168964232202</v>
      </c>
      <c r="FC117" s="55">
        <f t="shared" si="756"/>
        <v>13692.890211</v>
      </c>
      <c r="FD117" s="59">
        <f t="shared" si="757"/>
        <v>45265.956459523797</v>
      </c>
      <c r="FE117" s="57">
        <f t="shared" si="758"/>
        <v>13385.184813</v>
      </c>
      <c r="FF117" s="59">
        <f t="shared" si="759"/>
        <v>44248.7439548154</v>
      </c>
      <c r="FG117" s="60">
        <f t="shared" si="760"/>
        <v>13077.479415</v>
      </c>
      <c r="FH117" s="59">
        <f t="shared" si="761"/>
        <v>43231.531450107002</v>
      </c>
      <c r="FI117" s="57">
        <f t="shared" si="762"/>
        <v>12769.774017</v>
      </c>
      <c r="FJ117" s="59">
        <f t="shared" si="763"/>
        <v>42214.318945398598</v>
      </c>
      <c r="FK117" s="55">
        <f t="shared" si="764"/>
        <v>12462.068618999998</v>
      </c>
      <c r="FL117" s="59">
        <f t="shared" si="765"/>
        <v>41197.106440690193</v>
      </c>
      <c r="FM117" s="60">
        <f t="shared" si="766"/>
        <v>12154.363220999998</v>
      </c>
      <c r="FN117" s="59">
        <f t="shared" si="767"/>
        <v>40179.893935981796</v>
      </c>
      <c r="FO117" s="60">
        <f t="shared" si="768"/>
        <v>11846.657822999998</v>
      </c>
      <c r="FP117" s="59">
        <f t="shared" si="769"/>
        <v>39162.681431273391</v>
      </c>
      <c r="FQ117" s="60">
        <f t="shared" si="770"/>
        <v>11538.952424999998</v>
      </c>
      <c r="FR117" s="59">
        <f t="shared" si="771"/>
        <v>38145.468926564994</v>
      </c>
      <c r="FS117" s="55">
        <f t="shared" si="772"/>
        <v>11231.247026999998</v>
      </c>
      <c r="FT117" s="59">
        <f t="shared" si="773"/>
        <v>37128.256421856589</v>
      </c>
      <c r="FU117" s="60">
        <f t="shared" si="774"/>
        <v>10923.541628999998</v>
      </c>
      <c r="FV117" s="59">
        <f t="shared" si="775"/>
        <v>36111.043917148192</v>
      </c>
      <c r="FW117" s="60">
        <f t="shared" si="776"/>
        <v>10615.836230999997</v>
      </c>
      <c r="FX117" s="59">
        <f t="shared" si="777"/>
        <v>35093.831412439795</v>
      </c>
      <c r="FY117" s="60">
        <f t="shared" si="778"/>
        <v>10308.130832999997</v>
      </c>
      <c r="FZ117" s="59">
        <f t="shared" si="779"/>
        <v>34076.61890773139</v>
      </c>
      <c r="GA117" s="60">
        <f t="shared" si="780"/>
        <v>10000.425434999997</v>
      </c>
      <c r="GB117" s="59">
        <f t="shared" si="781"/>
        <v>33059.406403022993</v>
      </c>
      <c r="GC117" s="55">
        <f t="shared" si="782"/>
        <v>9692.7200369999955</v>
      </c>
      <c r="GD117" s="59">
        <f t="shared" si="783"/>
        <v>32042.193898314585</v>
      </c>
      <c r="GE117" s="60">
        <f t="shared" si="784"/>
        <v>9385.0146389999954</v>
      </c>
      <c r="GF117" s="59">
        <f t="shared" si="785"/>
        <v>31024.981393606187</v>
      </c>
      <c r="GG117" s="60">
        <f t="shared" si="786"/>
        <v>9077.3092409999954</v>
      </c>
      <c r="GH117" s="59">
        <f t="shared" si="787"/>
        <v>30007.768888897786</v>
      </c>
      <c r="GI117" s="55">
        <f t="shared" si="788"/>
        <v>8769.6038429999953</v>
      </c>
      <c r="GJ117" s="59">
        <f t="shared" si="789"/>
        <v>28990.556384189385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5"/>
        <v>0.91</v>
      </c>
      <c r="GR117" s="55">
        <f t="shared" si="655"/>
        <v>0.89</v>
      </c>
      <c r="GS117" s="55">
        <f t="shared" si="655"/>
        <v>0.87</v>
      </c>
      <c r="GT117" s="55">
        <f t="shared" si="655"/>
        <v>0.85</v>
      </c>
      <c r="GU117" s="55">
        <f t="shared" si="655"/>
        <v>0.83</v>
      </c>
      <c r="GV117" s="55">
        <f t="shared" si="655"/>
        <v>0.80999999999999994</v>
      </c>
      <c r="GW117" s="55">
        <f t="shared" si="655"/>
        <v>0.78999999999999992</v>
      </c>
      <c r="GX117" s="55">
        <f t="shared" si="655"/>
        <v>0.76999999999999991</v>
      </c>
      <c r="GY117" s="55">
        <f t="shared" si="655"/>
        <v>0.74999999999999989</v>
      </c>
      <c r="GZ117" s="55">
        <f t="shared" si="655"/>
        <v>0.72999999999999987</v>
      </c>
      <c r="HA117" s="55">
        <f t="shared" si="655"/>
        <v>0.70999999999999985</v>
      </c>
      <c r="HB117" s="55">
        <f t="shared" si="655"/>
        <v>0.68999999999999984</v>
      </c>
      <c r="HC117" s="55">
        <f t="shared" si="655"/>
        <v>0.66999999999999982</v>
      </c>
      <c r="HD117" s="55">
        <f t="shared" si="655"/>
        <v>0.6499999999999998</v>
      </c>
      <c r="HE117" s="55">
        <f t="shared" si="655"/>
        <v>0.62999999999999978</v>
      </c>
      <c r="HF117" s="55">
        <f t="shared" si="655"/>
        <v>0.60999999999999976</v>
      </c>
      <c r="HG117" s="55">
        <f t="shared" si="655"/>
        <v>0.58999999999999975</v>
      </c>
      <c r="HH117" s="55">
        <f t="shared" si="655"/>
        <v>0.56999999999999973</v>
      </c>
    </row>
    <row r="118" spans="1:216" x14ac:dyDescent="0.3">
      <c r="A118" s="2">
        <v>3</v>
      </c>
      <c r="C118" s="38" t="s">
        <v>153</v>
      </c>
      <c r="D118" s="42">
        <v>0</v>
      </c>
      <c r="E118" s="71">
        <f t="shared" si="660"/>
        <v>0</v>
      </c>
      <c r="H118" s="55">
        <f t="shared" si="505"/>
        <v>0</v>
      </c>
      <c r="I118" s="55">
        <f t="shared" si="506"/>
        <v>0</v>
      </c>
      <c r="J118" s="59">
        <f t="shared" si="507"/>
        <v>0</v>
      </c>
      <c r="K118" s="55">
        <f t="shared" si="661"/>
        <v>0</v>
      </c>
      <c r="L118" s="59">
        <f t="shared" si="662"/>
        <v>0</v>
      </c>
      <c r="M118" s="55">
        <f t="shared" si="663"/>
        <v>0</v>
      </c>
      <c r="N118" s="59">
        <f t="shared" si="664"/>
        <v>0</v>
      </c>
      <c r="O118" s="55">
        <f t="shared" si="665"/>
        <v>0</v>
      </c>
      <c r="P118" s="59">
        <f t="shared" si="666"/>
        <v>0</v>
      </c>
      <c r="Q118" s="57">
        <f t="shared" si="667"/>
        <v>0</v>
      </c>
      <c r="R118" s="59">
        <f t="shared" si="668"/>
        <v>0</v>
      </c>
      <c r="S118" s="55">
        <f t="shared" si="669"/>
        <v>0</v>
      </c>
      <c r="T118" s="59">
        <f t="shared" si="670"/>
        <v>0</v>
      </c>
      <c r="U118" s="57">
        <f t="shared" si="671"/>
        <v>0</v>
      </c>
      <c r="V118" s="59">
        <f t="shared" si="672"/>
        <v>0</v>
      </c>
      <c r="W118" s="60">
        <f t="shared" si="673"/>
        <v>0</v>
      </c>
      <c r="X118" s="59">
        <f t="shared" si="674"/>
        <v>0</v>
      </c>
      <c r="Y118" s="57">
        <f t="shared" si="675"/>
        <v>0</v>
      </c>
      <c r="Z118" s="59">
        <f t="shared" si="676"/>
        <v>0</v>
      </c>
      <c r="AA118" s="55">
        <f t="shared" si="677"/>
        <v>0</v>
      </c>
      <c r="AB118" s="59">
        <f t="shared" si="678"/>
        <v>0</v>
      </c>
      <c r="AC118" s="60">
        <f t="shared" si="679"/>
        <v>0</v>
      </c>
      <c r="AD118" s="59">
        <f t="shared" si="680"/>
        <v>0</v>
      </c>
      <c r="AE118" s="60">
        <f t="shared" si="681"/>
        <v>0</v>
      </c>
      <c r="AF118" s="59">
        <f t="shared" si="682"/>
        <v>0</v>
      </c>
      <c r="AG118" s="60">
        <f t="shared" si="683"/>
        <v>0</v>
      </c>
      <c r="AH118" s="59">
        <f t="shared" si="684"/>
        <v>0</v>
      </c>
      <c r="AI118" s="55">
        <f t="shared" si="685"/>
        <v>0</v>
      </c>
      <c r="AJ118" s="59">
        <f t="shared" si="686"/>
        <v>0</v>
      </c>
      <c r="AK118" s="60">
        <f t="shared" si="687"/>
        <v>0</v>
      </c>
      <c r="AL118" s="59">
        <f t="shared" si="688"/>
        <v>0</v>
      </c>
      <c r="AM118" s="60">
        <f t="shared" si="689"/>
        <v>0</v>
      </c>
      <c r="AN118" s="59">
        <f t="shared" si="690"/>
        <v>0</v>
      </c>
      <c r="AO118" s="60">
        <f t="shared" si="691"/>
        <v>0</v>
      </c>
      <c r="AP118" s="59">
        <f t="shared" si="692"/>
        <v>0</v>
      </c>
      <c r="AQ118" s="60">
        <f t="shared" si="693"/>
        <v>0</v>
      </c>
      <c r="AR118" s="59">
        <f t="shared" si="694"/>
        <v>0</v>
      </c>
      <c r="AS118" s="55">
        <f t="shared" si="695"/>
        <v>0</v>
      </c>
      <c r="AT118" s="59">
        <f t="shared" si="696"/>
        <v>0</v>
      </c>
      <c r="AU118" s="60">
        <f t="shared" si="697"/>
        <v>0</v>
      </c>
      <c r="AV118" s="59">
        <f t="shared" si="698"/>
        <v>0</v>
      </c>
      <c r="AW118" s="60">
        <f t="shared" si="699"/>
        <v>0</v>
      </c>
      <c r="AX118" s="59">
        <f t="shared" si="700"/>
        <v>0</v>
      </c>
      <c r="AY118" s="55">
        <f t="shared" si="701"/>
        <v>0</v>
      </c>
      <c r="AZ118" s="59">
        <f t="shared" si="702"/>
        <v>0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03"/>
        <v>0.91</v>
      </c>
      <c r="BH118" s="55">
        <f t="shared" si="703"/>
        <v>0.89</v>
      </c>
      <c r="BI118" s="55">
        <f t="shared" si="703"/>
        <v>0.87</v>
      </c>
      <c r="BJ118" s="55">
        <f t="shared" si="703"/>
        <v>0.85</v>
      </c>
      <c r="BK118" s="55">
        <f t="shared" si="703"/>
        <v>0.83</v>
      </c>
      <c r="BL118" s="55">
        <f t="shared" si="703"/>
        <v>0.80999999999999994</v>
      </c>
      <c r="BM118" s="55">
        <f t="shared" si="703"/>
        <v>0.78999999999999992</v>
      </c>
      <c r="BN118" s="55">
        <f t="shared" si="703"/>
        <v>0.76999999999999991</v>
      </c>
      <c r="BO118" s="55">
        <f t="shared" si="703"/>
        <v>0.74999999999999989</v>
      </c>
      <c r="BP118" s="55">
        <f t="shared" si="703"/>
        <v>0.72999999999999987</v>
      </c>
      <c r="BQ118" s="55">
        <f t="shared" si="703"/>
        <v>0.70999999999999985</v>
      </c>
      <c r="BR118" s="55">
        <f t="shared" si="703"/>
        <v>0.68999999999999984</v>
      </c>
      <c r="BS118" s="55">
        <f t="shared" si="703"/>
        <v>0.66999999999999982</v>
      </c>
      <c r="BT118" s="55">
        <f t="shared" si="703"/>
        <v>0.6499999999999998</v>
      </c>
      <c r="BU118" s="55">
        <f t="shared" si="703"/>
        <v>0.62999999999999978</v>
      </c>
      <c r="BV118" s="55">
        <f t="shared" si="703"/>
        <v>0.60999999999999976</v>
      </c>
      <c r="BW118" s="55">
        <f t="shared" si="703"/>
        <v>0.58999999999999975</v>
      </c>
      <c r="BX118" s="55">
        <f t="shared" si="703"/>
        <v>0.56999999999999973</v>
      </c>
      <c r="BZ118" s="55">
        <f t="shared" si="508"/>
        <v>0</v>
      </c>
      <c r="CA118" s="55">
        <f t="shared" si="509"/>
        <v>0</v>
      </c>
      <c r="CB118" s="59">
        <f t="shared" si="704"/>
        <v>0</v>
      </c>
      <c r="CC118" s="55">
        <f t="shared" si="705"/>
        <v>0</v>
      </c>
      <c r="CD118" s="59">
        <f t="shared" si="706"/>
        <v>0</v>
      </c>
      <c r="CE118" s="55">
        <f t="shared" si="707"/>
        <v>0</v>
      </c>
      <c r="CF118" s="59">
        <f t="shared" si="708"/>
        <v>0</v>
      </c>
      <c r="CG118" s="55">
        <f t="shared" si="709"/>
        <v>0</v>
      </c>
      <c r="CH118" s="59">
        <f t="shared" si="710"/>
        <v>0</v>
      </c>
      <c r="CI118" s="57">
        <f t="shared" si="711"/>
        <v>0</v>
      </c>
      <c r="CJ118" s="59">
        <f t="shared" si="712"/>
        <v>0</v>
      </c>
      <c r="CK118" s="55">
        <f t="shared" si="713"/>
        <v>0</v>
      </c>
      <c r="CL118" s="59">
        <f t="shared" si="714"/>
        <v>0</v>
      </c>
      <c r="CM118" s="57">
        <f t="shared" si="715"/>
        <v>0</v>
      </c>
      <c r="CN118" s="59">
        <f t="shared" si="716"/>
        <v>0</v>
      </c>
      <c r="CO118" s="60">
        <f t="shared" si="717"/>
        <v>0</v>
      </c>
      <c r="CP118" s="59">
        <f t="shared" si="718"/>
        <v>0</v>
      </c>
      <c r="CQ118" s="57">
        <f t="shared" si="719"/>
        <v>0</v>
      </c>
      <c r="CR118" s="59">
        <f t="shared" si="720"/>
        <v>0</v>
      </c>
      <c r="CS118" s="55">
        <f t="shared" si="721"/>
        <v>0</v>
      </c>
      <c r="CT118" s="59">
        <f t="shared" si="722"/>
        <v>0</v>
      </c>
      <c r="CU118" s="60">
        <f t="shared" si="723"/>
        <v>0</v>
      </c>
      <c r="CV118" s="59">
        <f t="shared" si="724"/>
        <v>0</v>
      </c>
      <c r="CW118" s="60">
        <f t="shared" si="725"/>
        <v>0</v>
      </c>
      <c r="CX118" s="59">
        <f t="shared" si="726"/>
        <v>0</v>
      </c>
      <c r="CY118" s="60">
        <f t="shared" si="727"/>
        <v>0</v>
      </c>
      <c r="CZ118" s="59">
        <f t="shared" si="728"/>
        <v>0</v>
      </c>
      <c r="DA118" s="55">
        <f t="shared" si="729"/>
        <v>0</v>
      </c>
      <c r="DB118" s="59">
        <f t="shared" si="730"/>
        <v>0</v>
      </c>
      <c r="DC118" s="60">
        <f t="shared" si="731"/>
        <v>0</v>
      </c>
      <c r="DD118" s="59">
        <f t="shared" si="732"/>
        <v>0</v>
      </c>
      <c r="DE118" s="60">
        <f t="shared" si="733"/>
        <v>0</v>
      </c>
      <c r="DF118" s="59">
        <f t="shared" si="734"/>
        <v>0</v>
      </c>
      <c r="DG118" s="60">
        <f t="shared" si="735"/>
        <v>0</v>
      </c>
      <c r="DH118" s="59">
        <f t="shared" si="736"/>
        <v>0</v>
      </c>
      <c r="DI118" s="60">
        <f t="shared" si="737"/>
        <v>0</v>
      </c>
      <c r="DJ118" s="59">
        <f t="shared" si="738"/>
        <v>0</v>
      </c>
      <c r="DK118" s="55">
        <f t="shared" si="739"/>
        <v>0</v>
      </c>
      <c r="DL118" s="59">
        <f t="shared" si="740"/>
        <v>0</v>
      </c>
      <c r="DM118" s="60">
        <f t="shared" si="741"/>
        <v>0</v>
      </c>
      <c r="DN118" s="59">
        <f t="shared" si="742"/>
        <v>0</v>
      </c>
      <c r="DO118" s="60">
        <f t="shared" si="743"/>
        <v>0</v>
      </c>
      <c r="DP118" s="59">
        <f t="shared" si="744"/>
        <v>0</v>
      </c>
      <c r="DQ118" s="55">
        <f t="shared" si="745"/>
        <v>0</v>
      </c>
      <c r="DR118" s="59">
        <f t="shared" si="746"/>
        <v>0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4"/>
        <v>0.91</v>
      </c>
      <c r="DZ118" s="55">
        <f t="shared" si="654"/>
        <v>0.89</v>
      </c>
      <c r="EA118" s="55">
        <f t="shared" si="654"/>
        <v>0.87</v>
      </c>
      <c r="EB118" s="55">
        <f t="shared" si="654"/>
        <v>0.85</v>
      </c>
      <c r="EC118" s="55">
        <f t="shared" si="654"/>
        <v>0.83</v>
      </c>
      <c r="ED118" s="55">
        <f t="shared" si="654"/>
        <v>0.80999999999999994</v>
      </c>
      <c r="EE118" s="55">
        <f t="shared" si="654"/>
        <v>0.78999999999999992</v>
      </c>
      <c r="EF118" s="55">
        <f t="shared" si="654"/>
        <v>0.76999999999999991</v>
      </c>
      <c r="EG118" s="55">
        <f t="shared" si="654"/>
        <v>0.74999999999999989</v>
      </c>
      <c r="EH118" s="55">
        <f t="shared" si="654"/>
        <v>0.72999999999999987</v>
      </c>
      <c r="EI118" s="55">
        <f t="shared" si="654"/>
        <v>0.70999999999999985</v>
      </c>
      <c r="EJ118" s="55">
        <f t="shared" si="654"/>
        <v>0.68999999999999984</v>
      </c>
      <c r="EK118" s="55">
        <f t="shared" si="654"/>
        <v>0.66999999999999982</v>
      </c>
      <c r="EL118" s="55">
        <f t="shared" si="654"/>
        <v>0.6499999999999998</v>
      </c>
      <c r="EM118" s="55">
        <f t="shared" si="654"/>
        <v>0.62999999999999978</v>
      </c>
      <c r="EN118" s="55">
        <f t="shared" si="654"/>
        <v>0.60999999999999976</v>
      </c>
      <c r="EO118" s="55">
        <f t="shared" si="654"/>
        <v>0.58999999999999975</v>
      </c>
      <c r="EP118" s="55">
        <f t="shared" si="654"/>
        <v>0.56999999999999973</v>
      </c>
      <c r="ER118" s="55">
        <f t="shared" si="648"/>
        <v>0</v>
      </c>
      <c r="ES118" s="55">
        <f t="shared" si="510"/>
        <v>0</v>
      </c>
      <c r="ET118" s="59">
        <f t="shared" si="747"/>
        <v>0</v>
      </c>
      <c r="EU118" s="55">
        <f t="shared" si="748"/>
        <v>0</v>
      </c>
      <c r="EV118" s="59">
        <f t="shared" si="749"/>
        <v>0</v>
      </c>
      <c r="EW118" s="55">
        <f t="shared" si="750"/>
        <v>0</v>
      </c>
      <c r="EX118" s="59">
        <f t="shared" si="751"/>
        <v>0</v>
      </c>
      <c r="EY118" s="55">
        <f t="shared" si="752"/>
        <v>0</v>
      </c>
      <c r="EZ118" s="59">
        <f t="shared" si="753"/>
        <v>0</v>
      </c>
      <c r="FA118" s="57">
        <f t="shared" si="754"/>
        <v>0</v>
      </c>
      <c r="FB118" s="59">
        <f t="shared" si="755"/>
        <v>0</v>
      </c>
      <c r="FC118" s="55">
        <f t="shared" si="756"/>
        <v>0</v>
      </c>
      <c r="FD118" s="59">
        <f t="shared" si="757"/>
        <v>0</v>
      </c>
      <c r="FE118" s="57">
        <f t="shared" si="758"/>
        <v>0</v>
      </c>
      <c r="FF118" s="59">
        <f t="shared" si="759"/>
        <v>0</v>
      </c>
      <c r="FG118" s="60">
        <f t="shared" si="760"/>
        <v>0</v>
      </c>
      <c r="FH118" s="59">
        <f t="shared" si="761"/>
        <v>0</v>
      </c>
      <c r="FI118" s="57">
        <f t="shared" si="762"/>
        <v>0</v>
      </c>
      <c r="FJ118" s="59">
        <f t="shared" si="763"/>
        <v>0</v>
      </c>
      <c r="FK118" s="55">
        <f t="shared" si="764"/>
        <v>0</v>
      </c>
      <c r="FL118" s="59">
        <f t="shared" si="765"/>
        <v>0</v>
      </c>
      <c r="FM118" s="60">
        <f t="shared" si="766"/>
        <v>0</v>
      </c>
      <c r="FN118" s="59">
        <f t="shared" si="767"/>
        <v>0</v>
      </c>
      <c r="FO118" s="60">
        <f t="shared" si="768"/>
        <v>0</v>
      </c>
      <c r="FP118" s="59">
        <f t="shared" si="769"/>
        <v>0</v>
      </c>
      <c r="FQ118" s="60">
        <f t="shared" si="770"/>
        <v>0</v>
      </c>
      <c r="FR118" s="59">
        <f t="shared" si="771"/>
        <v>0</v>
      </c>
      <c r="FS118" s="55">
        <f t="shared" si="772"/>
        <v>0</v>
      </c>
      <c r="FT118" s="59">
        <f t="shared" si="773"/>
        <v>0</v>
      </c>
      <c r="FU118" s="60">
        <f t="shared" si="774"/>
        <v>0</v>
      </c>
      <c r="FV118" s="59">
        <f t="shared" si="775"/>
        <v>0</v>
      </c>
      <c r="FW118" s="60">
        <f t="shared" si="776"/>
        <v>0</v>
      </c>
      <c r="FX118" s="59">
        <f t="shared" si="777"/>
        <v>0</v>
      </c>
      <c r="FY118" s="60">
        <f t="shared" si="778"/>
        <v>0</v>
      </c>
      <c r="FZ118" s="59">
        <f t="shared" si="779"/>
        <v>0</v>
      </c>
      <c r="GA118" s="60">
        <f t="shared" si="780"/>
        <v>0</v>
      </c>
      <c r="GB118" s="59">
        <f t="shared" si="781"/>
        <v>0</v>
      </c>
      <c r="GC118" s="55">
        <f t="shared" si="782"/>
        <v>0</v>
      </c>
      <c r="GD118" s="59">
        <f t="shared" si="783"/>
        <v>0</v>
      </c>
      <c r="GE118" s="60">
        <f t="shared" si="784"/>
        <v>0</v>
      </c>
      <c r="GF118" s="59">
        <f t="shared" si="785"/>
        <v>0</v>
      </c>
      <c r="GG118" s="60">
        <f t="shared" si="786"/>
        <v>0</v>
      </c>
      <c r="GH118" s="59">
        <f t="shared" si="787"/>
        <v>0</v>
      </c>
      <c r="GI118" s="55">
        <f t="shared" si="788"/>
        <v>0</v>
      </c>
      <c r="GJ118" s="59">
        <f t="shared" si="789"/>
        <v>0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5"/>
        <v>0.91</v>
      </c>
      <c r="GR118" s="55">
        <f t="shared" si="655"/>
        <v>0.89</v>
      </c>
      <c r="GS118" s="55">
        <f t="shared" si="655"/>
        <v>0.87</v>
      </c>
      <c r="GT118" s="55">
        <f t="shared" si="655"/>
        <v>0.85</v>
      </c>
      <c r="GU118" s="55">
        <f t="shared" si="655"/>
        <v>0.83</v>
      </c>
      <c r="GV118" s="55">
        <f t="shared" si="655"/>
        <v>0.80999999999999994</v>
      </c>
      <c r="GW118" s="55">
        <f t="shared" si="655"/>
        <v>0.78999999999999992</v>
      </c>
      <c r="GX118" s="55">
        <f t="shared" si="655"/>
        <v>0.76999999999999991</v>
      </c>
      <c r="GY118" s="55">
        <f t="shared" si="655"/>
        <v>0.74999999999999989</v>
      </c>
      <c r="GZ118" s="55">
        <f t="shared" si="655"/>
        <v>0.72999999999999987</v>
      </c>
      <c r="HA118" s="55">
        <f t="shared" si="655"/>
        <v>0.70999999999999985</v>
      </c>
      <c r="HB118" s="55">
        <f t="shared" si="655"/>
        <v>0.68999999999999984</v>
      </c>
      <c r="HC118" s="55">
        <f t="shared" si="655"/>
        <v>0.66999999999999982</v>
      </c>
      <c r="HD118" s="55">
        <f t="shared" si="655"/>
        <v>0.6499999999999998</v>
      </c>
      <c r="HE118" s="55">
        <f t="shared" si="655"/>
        <v>0.62999999999999978</v>
      </c>
      <c r="HF118" s="55">
        <f t="shared" si="655"/>
        <v>0.60999999999999976</v>
      </c>
      <c r="HG118" s="55">
        <f t="shared" si="655"/>
        <v>0.58999999999999975</v>
      </c>
      <c r="HH118" s="55">
        <f t="shared" si="655"/>
        <v>0.56999999999999973</v>
      </c>
    </row>
    <row r="119" spans="1:216" x14ac:dyDescent="0.3">
      <c r="A119" s="2">
        <v>4</v>
      </c>
      <c r="C119" s="38" t="s">
        <v>139</v>
      </c>
      <c r="D119" s="42">
        <f>TRUNC(3702.35719093561,-1)</f>
        <v>3700</v>
      </c>
      <c r="E119" s="71">
        <f t="shared" si="660"/>
        <v>12230</v>
      </c>
      <c r="H119" s="55">
        <f t="shared" si="505"/>
        <v>13453.000000000002</v>
      </c>
      <c r="I119" s="55">
        <f t="shared" si="506"/>
        <v>13453.000000000002</v>
      </c>
      <c r="J119" s="59">
        <f t="shared" si="507"/>
        <v>44472.927400000008</v>
      </c>
      <c r="K119" s="55">
        <f t="shared" si="661"/>
        <v>13049.410000000002</v>
      </c>
      <c r="L119" s="59">
        <f t="shared" si="662"/>
        <v>43138.739578000008</v>
      </c>
      <c r="M119" s="55">
        <f t="shared" si="663"/>
        <v>12780.35</v>
      </c>
      <c r="N119" s="59">
        <f t="shared" si="664"/>
        <v>42249.281030000006</v>
      </c>
      <c r="O119" s="55">
        <f t="shared" si="665"/>
        <v>12511.290000000003</v>
      </c>
      <c r="P119" s="59">
        <f t="shared" si="666"/>
        <v>41359.82248200001</v>
      </c>
      <c r="Q119" s="57">
        <f t="shared" si="667"/>
        <v>12242.230000000001</v>
      </c>
      <c r="R119" s="59">
        <f t="shared" si="668"/>
        <v>40470.363934000008</v>
      </c>
      <c r="S119" s="55">
        <f t="shared" si="669"/>
        <v>11973.170000000002</v>
      </c>
      <c r="T119" s="59">
        <f t="shared" si="670"/>
        <v>39580.905386000006</v>
      </c>
      <c r="U119" s="57">
        <f t="shared" si="671"/>
        <v>11704.110000000002</v>
      </c>
      <c r="V119" s="59">
        <f t="shared" si="672"/>
        <v>38691.446838000011</v>
      </c>
      <c r="W119" s="60">
        <f t="shared" si="673"/>
        <v>11435.050000000001</v>
      </c>
      <c r="X119" s="59">
        <f t="shared" si="674"/>
        <v>37801.988290000001</v>
      </c>
      <c r="Y119" s="57">
        <f t="shared" si="675"/>
        <v>11165.990000000002</v>
      </c>
      <c r="Z119" s="59">
        <f t="shared" si="676"/>
        <v>36912.529742000006</v>
      </c>
      <c r="AA119" s="55">
        <f t="shared" si="677"/>
        <v>10896.93</v>
      </c>
      <c r="AB119" s="59">
        <f t="shared" si="678"/>
        <v>36023.071194000004</v>
      </c>
      <c r="AC119" s="60">
        <f t="shared" si="679"/>
        <v>10627.87</v>
      </c>
      <c r="AD119" s="59">
        <f t="shared" si="680"/>
        <v>35133.612646000001</v>
      </c>
      <c r="AE119" s="60">
        <f t="shared" si="681"/>
        <v>10358.81</v>
      </c>
      <c r="AF119" s="59">
        <f t="shared" si="682"/>
        <v>34244.154097999999</v>
      </c>
      <c r="AG119" s="60">
        <f t="shared" si="683"/>
        <v>10089.75</v>
      </c>
      <c r="AH119" s="59">
        <f t="shared" si="684"/>
        <v>33354.695550000004</v>
      </c>
      <c r="AI119" s="55">
        <f t="shared" si="685"/>
        <v>9820.6899999999987</v>
      </c>
      <c r="AJ119" s="59">
        <f t="shared" si="686"/>
        <v>32465.237001999998</v>
      </c>
      <c r="AK119" s="60">
        <f t="shared" si="687"/>
        <v>9551.6299999999992</v>
      </c>
      <c r="AL119" s="59">
        <f t="shared" si="688"/>
        <v>31575.778453999999</v>
      </c>
      <c r="AM119" s="60">
        <f t="shared" si="689"/>
        <v>9282.57</v>
      </c>
      <c r="AN119" s="59">
        <f t="shared" si="690"/>
        <v>30686.319906000001</v>
      </c>
      <c r="AO119" s="60">
        <f t="shared" si="691"/>
        <v>9013.5099999999984</v>
      </c>
      <c r="AP119" s="59">
        <f t="shared" si="692"/>
        <v>29796.861357999995</v>
      </c>
      <c r="AQ119" s="60">
        <f t="shared" si="693"/>
        <v>8744.4499999999989</v>
      </c>
      <c r="AR119" s="59">
        <f t="shared" si="694"/>
        <v>28907.402809999996</v>
      </c>
      <c r="AS119" s="55">
        <f t="shared" si="695"/>
        <v>8475.3899999999976</v>
      </c>
      <c r="AT119" s="59">
        <f t="shared" si="696"/>
        <v>28017.944261999994</v>
      </c>
      <c r="AU119" s="60">
        <f t="shared" si="697"/>
        <v>8206.3299999999981</v>
      </c>
      <c r="AV119" s="59">
        <f t="shared" si="698"/>
        <v>27128.485713999995</v>
      </c>
      <c r="AW119" s="60">
        <f t="shared" si="699"/>
        <v>7937.2699999999977</v>
      </c>
      <c r="AX119" s="59">
        <f t="shared" si="700"/>
        <v>26239.027165999993</v>
      </c>
      <c r="AY119" s="55">
        <f t="shared" si="701"/>
        <v>7668.2099999999973</v>
      </c>
      <c r="AZ119" s="59">
        <f t="shared" si="702"/>
        <v>25349.56861799999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03"/>
        <v>0.91</v>
      </c>
      <c r="BH119" s="55">
        <f t="shared" si="703"/>
        <v>0.89</v>
      </c>
      <c r="BI119" s="55">
        <f t="shared" si="703"/>
        <v>0.87</v>
      </c>
      <c r="BJ119" s="55">
        <f t="shared" si="703"/>
        <v>0.85</v>
      </c>
      <c r="BK119" s="55">
        <f t="shared" si="703"/>
        <v>0.83</v>
      </c>
      <c r="BL119" s="55">
        <f t="shared" si="703"/>
        <v>0.80999999999999994</v>
      </c>
      <c r="BM119" s="55">
        <f t="shared" si="703"/>
        <v>0.78999999999999992</v>
      </c>
      <c r="BN119" s="55">
        <f t="shared" si="703"/>
        <v>0.76999999999999991</v>
      </c>
      <c r="BO119" s="55">
        <f t="shared" si="703"/>
        <v>0.74999999999999989</v>
      </c>
      <c r="BP119" s="55">
        <f t="shared" si="703"/>
        <v>0.72999999999999987</v>
      </c>
      <c r="BQ119" s="55">
        <f t="shared" si="703"/>
        <v>0.70999999999999985</v>
      </c>
      <c r="BR119" s="55">
        <f t="shared" si="703"/>
        <v>0.68999999999999984</v>
      </c>
      <c r="BS119" s="55">
        <f t="shared" si="703"/>
        <v>0.66999999999999982</v>
      </c>
      <c r="BT119" s="55">
        <f t="shared" si="703"/>
        <v>0.6499999999999998</v>
      </c>
      <c r="BU119" s="55">
        <f t="shared" si="703"/>
        <v>0.62999999999999978</v>
      </c>
      <c r="BV119" s="55">
        <f t="shared" si="703"/>
        <v>0.60999999999999976</v>
      </c>
      <c r="BW119" s="55">
        <f t="shared" si="703"/>
        <v>0.58999999999999975</v>
      </c>
      <c r="BX119" s="55">
        <f t="shared" si="703"/>
        <v>0.56999999999999973</v>
      </c>
      <c r="BZ119" s="55">
        <f t="shared" si="508"/>
        <v>12242.230000000001</v>
      </c>
      <c r="CA119" s="55">
        <f t="shared" si="509"/>
        <v>12242.230000000001</v>
      </c>
      <c r="CB119" s="59">
        <f t="shared" si="704"/>
        <v>40470.363934000008</v>
      </c>
      <c r="CC119" s="55">
        <f t="shared" si="705"/>
        <v>11874.963100000001</v>
      </c>
      <c r="CD119" s="59">
        <f t="shared" si="706"/>
        <v>39256.253015980001</v>
      </c>
      <c r="CE119" s="55">
        <f t="shared" si="707"/>
        <v>11630.1185</v>
      </c>
      <c r="CF119" s="59">
        <f t="shared" si="708"/>
        <v>38446.845737300006</v>
      </c>
      <c r="CG119" s="55">
        <f t="shared" si="709"/>
        <v>11385.273900000002</v>
      </c>
      <c r="CH119" s="59">
        <f t="shared" si="710"/>
        <v>37637.43845862001</v>
      </c>
      <c r="CI119" s="57">
        <f t="shared" si="711"/>
        <v>11140.429300000002</v>
      </c>
      <c r="CJ119" s="59">
        <f t="shared" si="712"/>
        <v>36828.031179940008</v>
      </c>
      <c r="CK119" s="55">
        <f t="shared" si="713"/>
        <v>10895.584700000001</v>
      </c>
      <c r="CL119" s="59">
        <f t="shared" si="714"/>
        <v>36018.623901260005</v>
      </c>
      <c r="CM119" s="57">
        <f t="shared" si="715"/>
        <v>10650.740100000001</v>
      </c>
      <c r="CN119" s="59">
        <f t="shared" si="716"/>
        <v>35209.216622580003</v>
      </c>
      <c r="CO119" s="60">
        <f t="shared" si="717"/>
        <v>10405.895500000001</v>
      </c>
      <c r="CP119" s="59">
        <f t="shared" si="718"/>
        <v>34399.8093439</v>
      </c>
      <c r="CQ119" s="57">
        <f t="shared" si="719"/>
        <v>10161.0509</v>
      </c>
      <c r="CR119" s="59">
        <f t="shared" si="720"/>
        <v>33590.402065219998</v>
      </c>
      <c r="CS119" s="55">
        <f t="shared" si="721"/>
        <v>9916.2062999999998</v>
      </c>
      <c r="CT119" s="59">
        <f t="shared" si="722"/>
        <v>32780.994786540003</v>
      </c>
      <c r="CU119" s="60">
        <f t="shared" si="723"/>
        <v>9671.3616999999995</v>
      </c>
      <c r="CV119" s="59">
        <f t="shared" si="724"/>
        <v>31971.58750786</v>
      </c>
      <c r="CW119" s="60">
        <f t="shared" si="725"/>
        <v>9426.5170999999991</v>
      </c>
      <c r="CX119" s="59">
        <f t="shared" si="726"/>
        <v>31162.180229179998</v>
      </c>
      <c r="CY119" s="60">
        <f t="shared" si="727"/>
        <v>9181.6725000000006</v>
      </c>
      <c r="CZ119" s="59">
        <f t="shared" si="728"/>
        <v>30352.772950500002</v>
      </c>
      <c r="DA119" s="55">
        <f t="shared" si="729"/>
        <v>8936.8279000000002</v>
      </c>
      <c r="DB119" s="59">
        <f t="shared" si="730"/>
        <v>29543.36567182</v>
      </c>
      <c r="DC119" s="60">
        <f t="shared" si="731"/>
        <v>8691.9832999999999</v>
      </c>
      <c r="DD119" s="59">
        <f t="shared" si="732"/>
        <v>28733.958393140001</v>
      </c>
      <c r="DE119" s="60">
        <f t="shared" si="733"/>
        <v>8447.1386999999995</v>
      </c>
      <c r="DF119" s="59">
        <f t="shared" si="734"/>
        <v>27924.551114459999</v>
      </c>
      <c r="DG119" s="60">
        <f t="shared" si="735"/>
        <v>8202.2940999999992</v>
      </c>
      <c r="DH119" s="59">
        <f t="shared" si="736"/>
        <v>27115.143835779996</v>
      </c>
      <c r="DI119" s="60">
        <f t="shared" si="737"/>
        <v>7957.4494999999988</v>
      </c>
      <c r="DJ119" s="59">
        <f t="shared" si="738"/>
        <v>26305.736557099997</v>
      </c>
      <c r="DK119" s="55">
        <f t="shared" si="739"/>
        <v>7712.6048999999985</v>
      </c>
      <c r="DL119" s="59">
        <f t="shared" si="740"/>
        <v>25496.329278419995</v>
      </c>
      <c r="DM119" s="60">
        <f t="shared" si="741"/>
        <v>7467.7602999999981</v>
      </c>
      <c r="DN119" s="59">
        <f t="shared" si="742"/>
        <v>24686.921999739996</v>
      </c>
      <c r="DO119" s="60">
        <f t="shared" si="743"/>
        <v>7222.9156999999977</v>
      </c>
      <c r="DP119" s="59">
        <f t="shared" si="744"/>
        <v>23877.514721059993</v>
      </c>
      <c r="DQ119" s="55">
        <f t="shared" si="745"/>
        <v>6978.0710999999974</v>
      </c>
      <c r="DR119" s="59">
        <f t="shared" si="746"/>
        <v>23068.107442379991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4"/>
        <v>0.91</v>
      </c>
      <c r="DZ119" s="55">
        <f t="shared" si="654"/>
        <v>0.89</v>
      </c>
      <c r="EA119" s="55">
        <f t="shared" si="654"/>
        <v>0.87</v>
      </c>
      <c r="EB119" s="55">
        <f t="shared" si="654"/>
        <v>0.85</v>
      </c>
      <c r="EC119" s="55">
        <f t="shared" si="654"/>
        <v>0.83</v>
      </c>
      <c r="ED119" s="55">
        <f t="shared" si="654"/>
        <v>0.80999999999999994</v>
      </c>
      <c r="EE119" s="55">
        <f t="shared" si="654"/>
        <v>0.78999999999999992</v>
      </c>
      <c r="EF119" s="55">
        <f t="shared" si="654"/>
        <v>0.76999999999999991</v>
      </c>
      <c r="EG119" s="55">
        <f t="shared" si="654"/>
        <v>0.74999999999999989</v>
      </c>
      <c r="EH119" s="55">
        <f t="shared" si="654"/>
        <v>0.72999999999999987</v>
      </c>
      <c r="EI119" s="55">
        <f t="shared" si="654"/>
        <v>0.70999999999999985</v>
      </c>
      <c r="EJ119" s="55">
        <f t="shared" si="654"/>
        <v>0.68999999999999984</v>
      </c>
      <c r="EK119" s="55">
        <f t="shared" si="654"/>
        <v>0.66999999999999982</v>
      </c>
      <c r="EL119" s="55">
        <f t="shared" si="654"/>
        <v>0.6499999999999998</v>
      </c>
      <c r="EM119" s="55">
        <f t="shared" si="654"/>
        <v>0.62999999999999978</v>
      </c>
      <c r="EN119" s="55">
        <f t="shared" si="654"/>
        <v>0.60999999999999976</v>
      </c>
      <c r="EO119" s="55">
        <f t="shared" si="654"/>
        <v>0.58999999999999975</v>
      </c>
      <c r="EP119" s="55">
        <f t="shared" si="654"/>
        <v>0.56999999999999973</v>
      </c>
      <c r="ER119" s="55">
        <f t="shared" si="648"/>
        <v>11140.429300000002</v>
      </c>
      <c r="ES119" s="55">
        <f t="shared" si="510"/>
        <v>11140.429300000002</v>
      </c>
      <c r="ET119" s="59">
        <f t="shared" si="747"/>
        <v>36828.031179940008</v>
      </c>
      <c r="EU119" s="55">
        <f t="shared" si="748"/>
        <v>10806.216421000001</v>
      </c>
      <c r="EV119" s="59">
        <f t="shared" si="749"/>
        <v>35723.190244541802</v>
      </c>
      <c r="EW119" s="55">
        <f t="shared" si="750"/>
        <v>10583.407835000002</v>
      </c>
      <c r="EX119" s="59">
        <f t="shared" si="751"/>
        <v>34986.629620943007</v>
      </c>
      <c r="EY119" s="55">
        <f t="shared" si="752"/>
        <v>10360.599249000003</v>
      </c>
      <c r="EZ119" s="59">
        <f t="shared" si="753"/>
        <v>34250.068997344206</v>
      </c>
      <c r="FA119" s="57">
        <f t="shared" si="754"/>
        <v>10137.790663000002</v>
      </c>
      <c r="FB119" s="59">
        <f t="shared" si="755"/>
        <v>33513.508373745404</v>
      </c>
      <c r="FC119" s="55">
        <f t="shared" si="756"/>
        <v>9914.9820770000024</v>
      </c>
      <c r="FD119" s="59">
        <f t="shared" si="757"/>
        <v>32776.94775014661</v>
      </c>
      <c r="FE119" s="57">
        <f t="shared" si="758"/>
        <v>9692.1734910000014</v>
      </c>
      <c r="FF119" s="59">
        <f t="shared" si="759"/>
        <v>32040.387126547805</v>
      </c>
      <c r="FG119" s="60">
        <f t="shared" si="760"/>
        <v>9469.3649050000004</v>
      </c>
      <c r="FH119" s="59">
        <f t="shared" si="761"/>
        <v>31303.826502949003</v>
      </c>
      <c r="FI119" s="57">
        <f t="shared" si="762"/>
        <v>9246.5563190000012</v>
      </c>
      <c r="FJ119" s="59">
        <f t="shared" si="763"/>
        <v>30567.265879350205</v>
      </c>
      <c r="FK119" s="55">
        <f t="shared" si="764"/>
        <v>9023.7477330000002</v>
      </c>
      <c r="FL119" s="59">
        <f t="shared" si="765"/>
        <v>29830.7052557514</v>
      </c>
      <c r="FM119" s="60">
        <f t="shared" si="766"/>
        <v>8800.939147000001</v>
      </c>
      <c r="FN119" s="59">
        <f t="shared" si="767"/>
        <v>29094.144632152605</v>
      </c>
      <c r="FO119" s="60">
        <f t="shared" si="768"/>
        <v>8578.1305609999999</v>
      </c>
      <c r="FP119" s="59">
        <f t="shared" si="769"/>
        <v>28357.5840085538</v>
      </c>
      <c r="FQ119" s="60">
        <f t="shared" si="770"/>
        <v>8355.3219750000007</v>
      </c>
      <c r="FR119" s="59">
        <f t="shared" si="771"/>
        <v>27621.023384955002</v>
      </c>
      <c r="FS119" s="55">
        <f t="shared" si="772"/>
        <v>8132.5133889999997</v>
      </c>
      <c r="FT119" s="59">
        <f t="shared" si="773"/>
        <v>26884.462761356201</v>
      </c>
      <c r="FU119" s="60">
        <f t="shared" si="774"/>
        <v>7909.7048029999996</v>
      </c>
      <c r="FV119" s="59">
        <f t="shared" si="775"/>
        <v>26147.902137757399</v>
      </c>
      <c r="FW119" s="60">
        <f t="shared" si="776"/>
        <v>7686.8962169999995</v>
      </c>
      <c r="FX119" s="59">
        <f t="shared" si="777"/>
        <v>25411.341514158597</v>
      </c>
      <c r="FY119" s="60">
        <f t="shared" si="778"/>
        <v>7464.0876309999994</v>
      </c>
      <c r="FZ119" s="59">
        <f t="shared" si="779"/>
        <v>24674.780890559799</v>
      </c>
      <c r="GA119" s="60">
        <f t="shared" si="780"/>
        <v>7241.2790449999984</v>
      </c>
      <c r="GB119" s="59">
        <f t="shared" si="781"/>
        <v>23938.220266960994</v>
      </c>
      <c r="GC119" s="55">
        <f t="shared" si="782"/>
        <v>7018.4704589999983</v>
      </c>
      <c r="GD119" s="59">
        <f t="shared" si="783"/>
        <v>23201.659643362196</v>
      </c>
      <c r="GE119" s="60">
        <f t="shared" si="784"/>
        <v>6795.6618729999982</v>
      </c>
      <c r="GF119" s="59">
        <f t="shared" si="785"/>
        <v>22465.099019763395</v>
      </c>
      <c r="GG119" s="60">
        <f t="shared" si="786"/>
        <v>6572.8532869999981</v>
      </c>
      <c r="GH119" s="59">
        <f t="shared" si="787"/>
        <v>21728.538396164593</v>
      </c>
      <c r="GI119" s="55">
        <f t="shared" si="788"/>
        <v>6350.044700999998</v>
      </c>
      <c r="GJ119" s="59">
        <f t="shared" si="789"/>
        <v>20991.977772565795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5"/>
        <v>0.91</v>
      </c>
      <c r="GR119" s="55">
        <f t="shared" si="655"/>
        <v>0.89</v>
      </c>
      <c r="GS119" s="55">
        <f t="shared" si="655"/>
        <v>0.87</v>
      </c>
      <c r="GT119" s="55">
        <f t="shared" si="655"/>
        <v>0.85</v>
      </c>
      <c r="GU119" s="55">
        <f t="shared" si="655"/>
        <v>0.83</v>
      </c>
      <c r="GV119" s="55">
        <f t="shared" si="655"/>
        <v>0.80999999999999994</v>
      </c>
      <c r="GW119" s="55">
        <f t="shared" si="655"/>
        <v>0.78999999999999992</v>
      </c>
      <c r="GX119" s="55">
        <f t="shared" si="655"/>
        <v>0.76999999999999991</v>
      </c>
      <c r="GY119" s="55">
        <f t="shared" si="655"/>
        <v>0.74999999999999989</v>
      </c>
      <c r="GZ119" s="55">
        <f t="shared" si="655"/>
        <v>0.72999999999999987</v>
      </c>
      <c r="HA119" s="55">
        <f t="shared" si="655"/>
        <v>0.70999999999999985</v>
      </c>
      <c r="HB119" s="55">
        <f t="shared" si="655"/>
        <v>0.68999999999999984</v>
      </c>
      <c r="HC119" s="55">
        <f t="shared" si="655"/>
        <v>0.66999999999999982</v>
      </c>
      <c r="HD119" s="55">
        <f t="shared" si="655"/>
        <v>0.6499999999999998</v>
      </c>
      <c r="HE119" s="55">
        <f t="shared" si="655"/>
        <v>0.62999999999999978</v>
      </c>
      <c r="HF119" s="55">
        <f t="shared" si="655"/>
        <v>0.60999999999999976</v>
      </c>
      <c r="HG119" s="55">
        <f t="shared" si="655"/>
        <v>0.58999999999999975</v>
      </c>
      <c r="HH119" s="55">
        <f t="shared" si="655"/>
        <v>0.56999999999999973</v>
      </c>
    </row>
    <row r="120" spans="1:216" x14ac:dyDescent="0.3">
      <c r="A120" s="2">
        <v>5</v>
      </c>
      <c r="C120" s="38" t="s">
        <v>53</v>
      </c>
      <c r="D120" s="42">
        <v>0</v>
      </c>
      <c r="E120" s="71">
        <f t="shared" si="660"/>
        <v>0</v>
      </c>
      <c r="H120" s="55">
        <f t="shared" si="505"/>
        <v>0</v>
      </c>
      <c r="I120" s="55">
        <f t="shared" si="506"/>
        <v>0</v>
      </c>
      <c r="J120" s="59">
        <f t="shared" si="507"/>
        <v>0</v>
      </c>
      <c r="K120" s="55">
        <f t="shared" si="661"/>
        <v>0</v>
      </c>
      <c r="L120" s="59">
        <f t="shared" si="662"/>
        <v>0</v>
      </c>
      <c r="M120" s="55">
        <f t="shared" si="663"/>
        <v>0</v>
      </c>
      <c r="N120" s="59">
        <f t="shared" si="664"/>
        <v>0</v>
      </c>
      <c r="O120" s="55">
        <f t="shared" si="665"/>
        <v>0</v>
      </c>
      <c r="P120" s="59">
        <f t="shared" si="666"/>
        <v>0</v>
      </c>
      <c r="Q120" s="57">
        <f t="shared" si="667"/>
        <v>0</v>
      </c>
      <c r="R120" s="59">
        <f t="shared" si="668"/>
        <v>0</v>
      </c>
      <c r="S120" s="55">
        <f t="shared" si="669"/>
        <v>0</v>
      </c>
      <c r="T120" s="59">
        <f t="shared" si="670"/>
        <v>0</v>
      </c>
      <c r="U120" s="57">
        <f t="shared" si="671"/>
        <v>0</v>
      </c>
      <c r="V120" s="59">
        <f t="shared" si="672"/>
        <v>0</v>
      </c>
      <c r="W120" s="60">
        <f t="shared" si="673"/>
        <v>0</v>
      </c>
      <c r="X120" s="59">
        <f t="shared" si="674"/>
        <v>0</v>
      </c>
      <c r="Y120" s="57">
        <f t="shared" si="675"/>
        <v>0</v>
      </c>
      <c r="Z120" s="59">
        <f t="shared" si="676"/>
        <v>0</v>
      </c>
      <c r="AA120" s="55">
        <f t="shared" si="677"/>
        <v>0</v>
      </c>
      <c r="AB120" s="59">
        <f t="shared" si="678"/>
        <v>0</v>
      </c>
      <c r="AC120" s="60">
        <f t="shared" si="679"/>
        <v>0</v>
      </c>
      <c r="AD120" s="59">
        <f t="shared" si="680"/>
        <v>0</v>
      </c>
      <c r="AE120" s="60">
        <f t="shared" si="681"/>
        <v>0</v>
      </c>
      <c r="AF120" s="59">
        <f t="shared" si="682"/>
        <v>0</v>
      </c>
      <c r="AG120" s="60">
        <f t="shared" si="683"/>
        <v>0</v>
      </c>
      <c r="AH120" s="59">
        <f t="shared" si="684"/>
        <v>0</v>
      </c>
      <c r="AI120" s="55">
        <f t="shared" si="685"/>
        <v>0</v>
      </c>
      <c r="AJ120" s="59">
        <f t="shared" si="686"/>
        <v>0</v>
      </c>
      <c r="AK120" s="60">
        <f t="shared" si="687"/>
        <v>0</v>
      </c>
      <c r="AL120" s="59">
        <f t="shared" si="688"/>
        <v>0</v>
      </c>
      <c r="AM120" s="60">
        <f t="shared" si="689"/>
        <v>0</v>
      </c>
      <c r="AN120" s="59">
        <f t="shared" si="690"/>
        <v>0</v>
      </c>
      <c r="AO120" s="60">
        <f t="shared" si="691"/>
        <v>0</v>
      </c>
      <c r="AP120" s="59">
        <f t="shared" si="692"/>
        <v>0</v>
      </c>
      <c r="AQ120" s="60">
        <f t="shared" si="693"/>
        <v>0</v>
      </c>
      <c r="AR120" s="59">
        <f t="shared" si="694"/>
        <v>0</v>
      </c>
      <c r="AS120" s="55">
        <f t="shared" si="695"/>
        <v>0</v>
      </c>
      <c r="AT120" s="59">
        <f t="shared" si="696"/>
        <v>0</v>
      </c>
      <c r="AU120" s="60">
        <f t="shared" si="697"/>
        <v>0</v>
      </c>
      <c r="AV120" s="59">
        <f t="shared" si="698"/>
        <v>0</v>
      </c>
      <c r="AW120" s="60">
        <f t="shared" si="699"/>
        <v>0</v>
      </c>
      <c r="AX120" s="59">
        <f t="shared" si="700"/>
        <v>0</v>
      </c>
      <c r="AY120" s="55">
        <f t="shared" si="701"/>
        <v>0</v>
      </c>
      <c r="AZ120" s="59">
        <f t="shared" si="702"/>
        <v>0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03"/>
        <v>0.91</v>
      </c>
      <c r="BH120" s="55">
        <f t="shared" si="703"/>
        <v>0.89</v>
      </c>
      <c r="BI120" s="55">
        <f t="shared" si="703"/>
        <v>0.87</v>
      </c>
      <c r="BJ120" s="55">
        <f t="shared" si="703"/>
        <v>0.85</v>
      </c>
      <c r="BK120" s="55">
        <f t="shared" si="703"/>
        <v>0.83</v>
      </c>
      <c r="BL120" s="55">
        <f t="shared" si="703"/>
        <v>0.80999999999999994</v>
      </c>
      <c r="BM120" s="55">
        <f t="shared" si="703"/>
        <v>0.78999999999999992</v>
      </c>
      <c r="BN120" s="55">
        <f t="shared" si="703"/>
        <v>0.76999999999999991</v>
      </c>
      <c r="BO120" s="55">
        <f t="shared" si="703"/>
        <v>0.74999999999999989</v>
      </c>
      <c r="BP120" s="55">
        <f t="shared" si="703"/>
        <v>0.72999999999999987</v>
      </c>
      <c r="BQ120" s="55">
        <f t="shared" si="703"/>
        <v>0.70999999999999985</v>
      </c>
      <c r="BR120" s="55">
        <f t="shared" si="703"/>
        <v>0.68999999999999984</v>
      </c>
      <c r="BS120" s="55">
        <f t="shared" si="703"/>
        <v>0.66999999999999982</v>
      </c>
      <c r="BT120" s="55">
        <f t="shared" si="703"/>
        <v>0.6499999999999998</v>
      </c>
      <c r="BU120" s="55">
        <f t="shared" si="703"/>
        <v>0.62999999999999978</v>
      </c>
      <c r="BV120" s="55">
        <f t="shared" si="703"/>
        <v>0.60999999999999976</v>
      </c>
      <c r="BW120" s="55">
        <f t="shared" si="703"/>
        <v>0.58999999999999975</v>
      </c>
      <c r="BX120" s="55">
        <f t="shared" si="703"/>
        <v>0.56999999999999973</v>
      </c>
      <c r="BZ120" s="55">
        <f t="shared" si="508"/>
        <v>0</v>
      </c>
      <c r="CA120" s="55">
        <f t="shared" si="509"/>
        <v>0</v>
      </c>
      <c r="CB120" s="59">
        <f t="shared" si="704"/>
        <v>0</v>
      </c>
      <c r="CC120" s="55">
        <f t="shared" si="705"/>
        <v>0</v>
      </c>
      <c r="CD120" s="59">
        <f t="shared" si="706"/>
        <v>0</v>
      </c>
      <c r="CE120" s="55">
        <f t="shared" si="707"/>
        <v>0</v>
      </c>
      <c r="CF120" s="59">
        <f t="shared" si="708"/>
        <v>0</v>
      </c>
      <c r="CG120" s="55">
        <f t="shared" si="709"/>
        <v>0</v>
      </c>
      <c r="CH120" s="59">
        <f t="shared" si="710"/>
        <v>0</v>
      </c>
      <c r="CI120" s="57">
        <f t="shared" si="711"/>
        <v>0</v>
      </c>
      <c r="CJ120" s="59">
        <f t="shared" si="712"/>
        <v>0</v>
      </c>
      <c r="CK120" s="55">
        <f t="shared" si="713"/>
        <v>0</v>
      </c>
      <c r="CL120" s="59">
        <f t="shared" si="714"/>
        <v>0</v>
      </c>
      <c r="CM120" s="57">
        <f t="shared" si="715"/>
        <v>0</v>
      </c>
      <c r="CN120" s="59">
        <f t="shared" si="716"/>
        <v>0</v>
      </c>
      <c r="CO120" s="60">
        <f t="shared" si="717"/>
        <v>0</v>
      </c>
      <c r="CP120" s="59">
        <f t="shared" si="718"/>
        <v>0</v>
      </c>
      <c r="CQ120" s="57">
        <f t="shared" si="719"/>
        <v>0</v>
      </c>
      <c r="CR120" s="59">
        <f t="shared" si="720"/>
        <v>0</v>
      </c>
      <c r="CS120" s="55">
        <f t="shared" si="721"/>
        <v>0</v>
      </c>
      <c r="CT120" s="59">
        <f t="shared" si="722"/>
        <v>0</v>
      </c>
      <c r="CU120" s="60">
        <f t="shared" si="723"/>
        <v>0</v>
      </c>
      <c r="CV120" s="59">
        <f t="shared" si="724"/>
        <v>0</v>
      </c>
      <c r="CW120" s="60">
        <f t="shared" si="725"/>
        <v>0</v>
      </c>
      <c r="CX120" s="59">
        <f t="shared" si="726"/>
        <v>0</v>
      </c>
      <c r="CY120" s="60">
        <f t="shared" si="727"/>
        <v>0</v>
      </c>
      <c r="CZ120" s="59">
        <f t="shared" si="728"/>
        <v>0</v>
      </c>
      <c r="DA120" s="55">
        <f t="shared" si="729"/>
        <v>0</v>
      </c>
      <c r="DB120" s="59">
        <f t="shared" si="730"/>
        <v>0</v>
      </c>
      <c r="DC120" s="60">
        <f t="shared" si="731"/>
        <v>0</v>
      </c>
      <c r="DD120" s="59">
        <f t="shared" si="732"/>
        <v>0</v>
      </c>
      <c r="DE120" s="60">
        <f t="shared" si="733"/>
        <v>0</v>
      </c>
      <c r="DF120" s="59">
        <f t="shared" si="734"/>
        <v>0</v>
      </c>
      <c r="DG120" s="60">
        <f t="shared" si="735"/>
        <v>0</v>
      </c>
      <c r="DH120" s="59">
        <f t="shared" si="736"/>
        <v>0</v>
      </c>
      <c r="DI120" s="60">
        <f t="shared" si="737"/>
        <v>0</v>
      </c>
      <c r="DJ120" s="59">
        <f t="shared" si="738"/>
        <v>0</v>
      </c>
      <c r="DK120" s="55">
        <f t="shared" si="739"/>
        <v>0</v>
      </c>
      <c r="DL120" s="59">
        <f t="shared" si="740"/>
        <v>0</v>
      </c>
      <c r="DM120" s="60">
        <f t="shared" si="741"/>
        <v>0</v>
      </c>
      <c r="DN120" s="59">
        <f t="shared" si="742"/>
        <v>0</v>
      </c>
      <c r="DO120" s="60">
        <f t="shared" si="743"/>
        <v>0</v>
      </c>
      <c r="DP120" s="59">
        <f t="shared" si="744"/>
        <v>0</v>
      </c>
      <c r="DQ120" s="55">
        <f t="shared" si="745"/>
        <v>0</v>
      </c>
      <c r="DR120" s="59">
        <f t="shared" si="746"/>
        <v>0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54"/>
        <v>0.91</v>
      </c>
      <c r="DZ120" s="55">
        <f t="shared" si="654"/>
        <v>0.89</v>
      </c>
      <c r="EA120" s="55">
        <f t="shared" si="654"/>
        <v>0.87</v>
      </c>
      <c r="EB120" s="55">
        <f t="shared" si="654"/>
        <v>0.85</v>
      </c>
      <c r="EC120" s="55">
        <f t="shared" si="654"/>
        <v>0.83</v>
      </c>
      <c r="ED120" s="55">
        <f t="shared" si="654"/>
        <v>0.80999999999999994</v>
      </c>
      <c r="EE120" s="55">
        <f t="shared" si="654"/>
        <v>0.78999999999999992</v>
      </c>
      <c r="EF120" s="55">
        <f t="shared" si="654"/>
        <v>0.76999999999999991</v>
      </c>
      <c r="EG120" s="55">
        <f t="shared" si="654"/>
        <v>0.74999999999999989</v>
      </c>
      <c r="EH120" s="55">
        <f t="shared" si="654"/>
        <v>0.72999999999999987</v>
      </c>
      <c r="EI120" s="55">
        <f t="shared" si="654"/>
        <v>0.70999999999999985</v>
      </c>
      <c r="EJ120" s="55">
        <f t="shared" si="654"/>
        <v>0.68999999999999984</v>
      </c>
      <c r="EK120" s="55">
        <f t="shared" si="654"/>
        <v>0.66999999999999982</v>
      </c>
      <c r="EL120" s="55">
        <f t="shared" si="654"/>
        <v>0.6499999999999998</v>
      </c>
      <c r="EM120" s="55">
        <f t="shared" si="654"/>
        <v>0.62999999999999978</v>
      </c>
      <c r="EN120" s="55">
        <f t="shared" si="654"/>
        <v>0.60999999999999976</v>
      </c>
      <c r="EO120" s="55">
        <f t="shared" si="654"/>
        <v>0.58999999999999975</v>
      </c>
      <c r="EP120" s="55">
        <f t="shared" si="654"/>
        <v>0.56999999999999973</v>
      </c>
      <c r="ER120" s="55">
        <f t="shared" si="648"/>
        <v>0</v>
      </c>
      <c r="ES120" s="55">
        <f t="shared" si="510"/>
        <v>0</v>
      </c>
      <c r="ET120" s="59">
        <f t="shared" si="747"/>
        <v>0</v>
      </c>
      <c r="EU120" s="55">
        <f t="shared" si="748"/>
        <v>0</v>
      </c>
      <c r="EV120" s="59">
        <f t="shared" si="749"/>
        <v>0</v>
      </c>
      <c r="EW120" s="55">
        <f t="shared" si="750"/>
        <v>0</v>
      </c>
      <c r="EX120" s="59">
        <f t="shared" si="751"/>
        <v>0</v>
      </c>
      <c r="EY120" s="55">
        <f t="shared" si="752"/>
        <v>0</v>
      </c>
      <c r="EZ120" s="59">
        <f t="shared" si="753"/>
        <v>0</v>
      </c>
      <c r="FA120" s="57">
        <f t="shared" si="754"/>
        <v>0</v>
      </c>
      <c r="FB120" s="59">
        <f t="shared" si="755"/>
        <v>0</v>
      </c>
      <c r="FC120" s="55">
        <f t="shared" si="756"/>
        <v>0</v>
      </c>
      <c r="FD120" s="59">
        <f t="shared" si="757"/>
        <v>0</v>
      </c>
      <c r="FE120" s="57">
        <f t="shared" si="758"/>
        <v>0</v>
      </c>
      <c r="FF120" s="59">
        <f t="shared" si="759"/>
        <v>0</v>
      </c>
      <c r="FG120" s="60">
        <f t="shared" si="760"/>
        <v>0</v>
      </c>
      <c r="FH120" s="59">
        <f t="shared" si="761"/>
        <v>0</v>
      </c>
      <c r="FI120" s="57">
        <f t="shared" si="762"/>
        <v>0</v>
      </c>
      <c r="FJ120" s="59">
        <f t="shared" si="763"/>
        <v>0</v>
      </c>
      <c r="FK120" s="55">
        <f t="shared" si="764"/>
        <v>0</v>
      </c>
      <c r="FL120" s="59">
        <f t="shared" si="765"/>
        <v>0</v>
      </c>
      <c r="FM120" s="60">
        <f t="shared" si="766"/>
        <v>0</v>
      </c>
      <c r="FN120" s="59">
        <f t="shared" si="767"/>
        <v>0</v>
      </c>
      <c r="FO120" s="60">
        <f t="shared" si="768"/>
        <v>0</v>
      </c>
      <c r="FP120" s="59">
        <f t="shared" si="769"/>
        <v>0</v>
      </c>
      <c r="FQ120" s="60">
        <f t="shared" si="770"/>
        <v>0</v>
      </c>
      <c r="FR120" s="59">
        <f t="shared" si="771"/>
        <v>0</v>
      </c>
      <c r="FS120" s="55">
        <f t="shared" si="772"/>
        <v>0</v>
      </c>
      <c r="FT120" s="59">
        <f t="shared" si="773"/>
        <v>0</v>
      </c>
      <c r="FU120" s="60">
        <f t="shared" si="774"/>
        <v>0</v>
      </c>
      <c r="FV120" s="59">
        <f t="shared" si="775"/>
        <v>0</v>
      </c>
      <c r="FW120" s="60">
        <f t="shared" si="776"/>
        <v>0</v>
      </c>
      <c r="FX120" s="59">
        <f t="shared" si="777"/>
        <v>0</v>
      </c>
      <c r="FY120" s="60">
        <f t="shared" si="778"/>
        <v>0</v>
      </c>
      <c r="FZ120" s="59">
        <f t="shared" si="779"/>
        <v>0</v>
      </c>
      <c r="GA120" s="60">
        <f t="shared" si="780"/>
        <v>0</v>
      </c>
      <c r="GB120" s="59">
        <f t="shared" si="781"/>
        <v>0</v>
      </c>
      <c r="GC120" s="55">
        <f t="shared" si="782"/>
        <v>0</v>
      </c>
      <c r="GD120" s="59">
        <f t="shared" si="783"/>
        <v>0</v>
      </c>
      <c r="GE120" s="60">
        <f t="shared" si="784"/>
        <v>0</v>
      </c>
      <c r="GF120" s="59">
        <f t="shared" si="785"/>
        <v>0</v>
      </c>
      <c r="GG120" s="60">
        <f t="shared" si="786"/>
        <v>0</v>
      </c>
      <c r="GH120" s="59">
        <f t="shared" si="787"/>
        <v>0</v>
      </c>
      <c r="GI120" s="55">
        <f t="shared" si="788"/>
        <v>0</v>
      </c>
      <c r="GJ120" s="59">
        <f t="shared" si="789"/>
        <v>0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55"/>
        <v>0.91</v>
      </c>
      <c r="GR120" s="55">
        <f t="shared" si="655"/>
        <v>0.89</v>
      </c>
      <c r="GS120" s="55">
        <f t="shared" si="655"/>
        <v>0.87</v>
      </c>
      <c r="GT120" s="55">
        <f t="shared" si="655"/>
        <v>0.85</v>
      </c>
      <c r="GU120" s="55">
        <f t="shared" si="655"/>
        <v>0.83</v>
      </c>
      <c r="GV120" s="55">
        <f t="shared" si="655"/>
        <v>0.80999999999999994</v>
      </c>
      <c r="GW120" s="55">
        <f t="shared" si="655"/>
        <v>0.78999999999999992</v>
      </c>
      <c r="GX120" s="55">
        <f t="shared" si="655"/>
        <v>0.76999999999999991</v>
      </c>
      <c r="GY120" s="55">
        <f t="shared" si="655"/>
        <v>0.74999999999999989</v>
      </c>
      <c r="GZ120" s="55">
        <f t="shared" si="655"/>
        <v>0.72999999999999987</v>
      </c>
      <c r="HA120" s="55">
        <f t="shared" si="655"/>
        <v>0.70999999999999985</v>
      </c>
      <c r="HB120" s="55">
        <f t="shared" si="655"/>
        <v>0.68999999999999984</v>
      </c>
      <c r="HC120" s="55">
        <f t="shared" si="655"/>
        <v>0.66999999999999982</v>
      </c>
      <c r="HD120" s="55">
        <f t="shared" si="655"/>
        <v>0.6499999999999998</v>
      </c>
      <c r="HE120" s="55">
        <f t="shared" si="655"/>
        <v>0.62999999999999978</v>
      </c>
      <c r="HF120" s="55">
        <f t="shared" si="655"/>
        <v>0.60999999999999976</v>
      </c>
      <c r="HG120" s="55">
        <f t="shared" si="655"/>
        <v>0.58999999999999975</v>
      </c>
      <c r="HH120" s="55">
        <f t="shared" si="655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0"/>
        <v>0</v>
      </c>
      <c r="H121" s="55">
        <f t="shared" si="505"/>
        <v>0</v>
      </c>
      <c r="I121" s="55">
        <f t="shared" si="506"/>
        <v>0</v>
      </c>
      <c r="J121" s="59">
        <f t="shared" si="507"/>
        <v>0</v>
      </c>
      <c r="K121" s="55">
        <f t="shared" si="661"/>
        <v>0</v>
      </c>
      <c r="L121" s="59">
        <f t="shared" si="662"/>
        <v>0</v>
      </c>
      <c r="M121" s="55">
        <f t="shared" si="663"/>
        <v>0</v>
      </c>
      <c r="N121" s="59">
        <f t="shared" si="664"/>
        <v>0</v>
      </c>
      <c r="O121" s="55">
        <f t="shared" si="665"/>
        <v>0</v>
      </c>
      <c r="P121" s="59">
        <f t="shared" si="666"/>
        <v>0</v>
      </c>
      <c r="Q121" s="57">
        <f t="shared" si="667"/>
        <v>0</v>
      </c>
      <c r="R121" s="59">
        <f t="shared" si="668"/>
        <v>0</v>
      </c>
      <c r="S121" s="55">
        <f t="shared" si="669"/>
        <v>0</v>
      </c>
      <c r="T121" s="59">
        <f t="shared" si="670"/>
        <v>0</v>
      </c>
      <c r="U121" s="57">
        <f t="shared" si="671"/>
        <v>0</v>
      </c>
      <c r="V121" s="59">
        <f t="shared" si="672"/>
        <v>0</v>
      </c>
      <c r="W121" s="60">
        <f t="shared" si="673"/>
        <v>0</v>
      </c>
      <c r="X121" s="59">
        <f t="shared" si="674"/>
        <v>0</v>
      </c>
      <c r="Y121" s="57">
        <f t="shared" si="675"/>
        <v>0</v>
      </c>
      <c r="Z121" s="59">
        <f t="shared" si="676"/>
        <v>0</v>
      </c>
      <c r="AA121" s="55">
        <f t="shared" si="677"/>
        <v>0</v>
      </c>
      <c r="AB121" s="59">
        <f t="shared" si="678"/>
        <v>0</v>
      </c>
      <c r="AC121" s="60">
        <f t="shared" si="679"/>
        <v>0</v>
      </c>
      <c r="AD121" s="59">
        <f t="shared" si="680"/>
        <v>0</v>
      </c>
      <c r="AE121" s="60">
        <f t="shared" si="681"/>
        <v>0</v>
      </c>
      <c r="AF121" s="59">
        <f t="shared" si="682"/>
        <v>0</v>
      </c>
      <c r="AG121" s="60">
        <f t="shared" si="683"/>
        <v>0</v>
      </c>
      <c r="AH121" s="59">
        <f t="shared" si="684"/>
        <v>0</v>
      </c>
      <c r="AI121" s="55">
        <f t="shared" si="685"/>
        <v>0</v>
      </c>
      <c r="AJ121" s="59">
        <f t="shared" si="686"/>
        <v>0</v>
      </c>
      <c r="AK121" s="60">
        <f t="shared" si="687"/>
        <v>0</v>
      </c>
      <c r="AL121" s="59">
        <f t="shared" si="688"/>
        <v>0</v>
      </c>
      <c r="AM121" s="60">
        <f t="shared" si="689"/>
        <v>0</v>
      </c>
      <c r="AN121" s="59">
        <f t="shared" si="690"/>
        <v>0</v>
      </c>
      <c r="AO121" s="60">
        <f t="shared" si="691"/>
        <v>0</v>
      </c>
      <c r="AP121" s="59">
        <f t="shared" si="692"/>
        <v>0</v>
      </c>
      <c r="AQ121" s="60">
        <f t="shared" si="693"/>
        <v>0</v>
      </c>
      <c r="AR121" s="59">
        <f t="shared" si="694"/>
        <v>0</v>
      </c>
      <c r="AS121" s="55">
        <f t="shared" si="695"/>
        <v>0</v>
      </c>
      <c r="AT121" s="59">
        <f t="shared" si="696"/>
        <v>0</v>
      </c>
      <c r="AU121" s="60">
        <f t="shared" si="697"/>
        <v>0</v>
      </c>
      <c r="AV121" s="59">
        <f t="shared" si="698"/>
        <v>0</v>
      </c>
      <c r="AW121" s="60">
        <f t="shared" si="699"/>
        <v>0</v>
      </c>
      <c r="AX121" s="59">
        <f t="shared" si="700"/>
        <v>0</v>
      </c>
      <c r="AY121" s="55">
        <f t="shared" si="701"/>
        <v>0</v>
      </c>
      <c r="AZ121" s="59">
        <f t="shared" si="702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03"/>
        <v>0.91</v>
      </c>
      <c r="BH121" s="55">
        <f t="shared" si="703"/>
        <v>0.89</v>
      </c>
      <c r="BI121" s="55">
        <f t="shared" si="703"/>
        <v>0.87</v>
      </c>
      <c r="BJ121" s="55">
        <f t="shared" si="703"/>
        <v>0.85</v>
      </c>
      <c r="BK121" s="55">
        <f t="shared" si="703"/>
        <v>0.83</v>
      </c>
      <c r="BL121" s="55">
        <f t="shared" si="703"/>
        <v>0.80999999999999994</v>
      </c>
      <c r="BM121" s="55">
        <f t="shared" si="703"/>
        <v>0.78999999999999992</v>
      </c>
      <c r="BN121" s="55">
        <f t="shared" si="703"/>
        <v>0.76999999999999991</v>
      </c>
      <c r="BO121" s="55">
        <f t="shared" si="703"/>
        <v>0.74999999999999989</v>
      </c>
      <c r="BP121" s="55">
        <f t="shared" si="703"/>
        <v>0.72999999999999987</v>
      </c>
      <c r="BQ121" s="55">
        <f t="shared" si="703"/>
        <v>0.70999999999999985</v>
      </c>
      <c r="BR121" s="55">
        <f t="shared" si="703"/>
        <v>0.68999999999999984</v>
      </c>
      <c r="BS121" s="55">
        <f t="shared" si="703"/>
        <v>0.66999999999999982</v>
      </c>
      <c r="BT121" s="55">
        <f t="shared" si="703"/>
        <v>0.6499999999999998</v>
      </c>
      <c r="BU121" s="55">
        <f t="shared" si="703"/>
        <v>0.62999999999999978</v>
      </c>
      <c r="BV121" s="55">
        <f t="shared" si="703"/>
        <v>0.60999999999999976</v>
      </c>
      <c r="BW121" s="55">
        <f t="shared" si="703"/>
        <v>0.58999999999999975</v>
      </c>
      <c r="BX121" s="55">
        <f t="shared" si="703"/>
        <v>0.56999999999999973</v>
      </c>
      <c r="BZ121" s="55">
        <f t="shared" si="508"/>
        <v>0</v>
      </c>
      <c r="CA121" s="55">
        <f t="shared" si="509"/>
        <v>0</v>
      </c>
      <c r="CB121" s="59">
        <f t="shared" si="704"/>
        <v>0</v>
      </c>
      <c r="CC121" s="55">
        <f t="shared" si="705"/>
        <v>0</v>
      </c>
      <c r="CD121" s="59">
        <f t="shared" si="706"/>
        <v>0</v>
      </c>
      <c r="CE121" s="55">
        <f t="shared" si="707"/>
        <v>0</v>
      </c>
      <c r="CF121" s="59">
        <f t="shared" si="708"/>
        <v>0</v>
      </c>
      <c r="CG121" s="55">
        <f t="shared" si="709"/>
        <v>0</v>
      </c>
      <c r="CH121" s="59">
        <f t="shared" si="710"/>
        <v>0</v>
      </c>
      <c r="CI121" s="57">
        <f t="shared" si="711"/>
        <v>0</v>
      </c>
      <c r="CJ121" s="59">
        <f t="shared" si="712"/>
        <v>0</v>
      </c>
      <c r="CK121" s="55">
        <f t="shared" si="713"/>
        <v>0</v>
      </c>
      <c r="CL121" s="59">
        <f t="shared" si="714"/>
        <v>0</v>
      </c>
      <c r="CM121" s="57">
        <f t="shared" si="715"/>
        <v>0</v>
      </c>
      <c r="CN121" s="59">
        <f t="shared" si="716"/>
        <v>0</v>
      </c>
      <c r="CO121" s="60">
        <f t="shared" si="717"/>
        <v>0</v>
      </c>
      <c r="CP121" s="59">
        <f t="shared" si="718"/>
        <v>0</v>
      </c>
      <c r="CQ121" s="57">
        <f t="shared" si="719"/>
        <v>0</v>
      </c>
      <c r="CR121" s="59">
        <f t="shared" si="720"/>
        <v>0</v>
      </c>
      <c r="CS121" s="55">
        <f t="shared" si="721"/>
        <v>0</v>
      </c>
      <c r="CT121" s="59">
        <f t="shared" si="722"/>
        <v>0</v>
      </c>
      <c r="CU121" s="60">
        <f t="shared" si="723"/>
        <v>0</v>
      </c>
      <c r="CV121" s="59">
        <f t="shared" si="724"/>
        <v>0</v>
      </c>
      <c r="CW121" s="60">
        <f t="shared" si="725"/>
        <v>0</v>
      </c>
      <c r="CX121" s="59">
        <f t="shared" si="726"/>
        <v>0</v>
      </c>
      <c r="CY121" s="60">
        <f t="shared" si="727"/>
        <v>0</v>
      </c>
      <c r="CZ121" s="59">
        <f t="shared" si="728"/>
        <v>0</v>
      </c>
      <c r="DA121" s="55">
        <f t="shared" si="729"/>
        <v>0</v>
      </c>
      <c r="DB121" s="59">
        <f t="shared" si="730"/>
        <v>0</v>
      </c>
      <c r="DC121" s="60">
        <f t="shared" si="731"/>
        <v>0</v>
      </c>
      <c r="DD121" s="59">
        <f t="shared" si="732"/>
        <v>0</v>
      </c>
      <c r="DE121" s="60">
        <f t="shared" si="733"/>
        <v>0</v>
      </c>
      <c r="DF121" s="59">
        <f t="shared" si="734"/>
        <v>0</v>
      </c>
      <c r="DG121" s="60">
        <f t="shared" si="735"/>
        <v>0</v>
      </c>
      <c r="DH121" s="59">
        <f t="shared" si="736"/>
        <v>0</v>
      </c>
      <c r="DI121" s="60">
        <f t="shared" si="737"/>
        <v>0</v>
      </c>
      <c r="DJ121" s="59">
        <f t="shared" si="738"/>
        <v>0</v>
      </c>
      <c r="DK121" s="55">
        <f t="shared" si="739"/>
        <v>0</v>
      </c>
      <c r="DL121" s="59">
        <f t="shared" si="740"/>
        <v>0</v>
      </c>
      <c r="DM121" s="60">
        <f t="shared" si="741"/>
        <v>0</v>
      </c>
      <c r="DN121" s="59">
        <f t="shared" si="742"/>
        <v>0</v>
      </c>
      <c r="DO121" s="60">
        <f t="shared" si="743"/>
        <v>0</v>
      </c>
      <c r="DP121" s="59">
        <f t="shared" si="744"/>
        <v>0</v>
      </c>
      <c r="DQ121" s="55">
        <f t="shared" si="745"/>
        <v>0</v>
      </c>
      <c r="DR121" s="59">
        <f t="shared" si="746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54"/>
        <v>0.91</v>
      </c>
      <c r="DZ121" s="55">
        <f t="shared" si="654"/>
        <v>0.89</v>
      </c>
      <c r="EA121" s="55">
        <f t="shared" si="654"/>
        <v>0.87</v>
      </c>
      <c r="EB121" s="55">
        <f t="shared" si="654"/>
        <v>0.85</v>
      </c>
      <c r="EC121" s="55">
        <f t="shared" si="654"/>
        <v>0.83</v>
      </c>
      <c r="ED121" s="55">
        <f t="shared" si="654"/>
        <v>0.80999999999999994</v>
      </c>
      <c r="EE121" s="55">
        <f t="shared" si="654"/>
        <v>0.78999999999999992</v>
      </c>
      <c r="EF121" s="55">
        <f t="shared" si="654"/>
        <v>0.76999999999999991</v>
      </c>
      <c r="EG121" s="55">
        <f t="shared" si="654"/>
        <v>0.74999999999999989</v>
      </c>
      <c r="EH121" s="55">
        <f t="shared" si="654"/>
        <v>0.72999999999999987</v>
      </c>
      <c r="EI121" s="55">
        <f t="shared" si="654"/>
        <v>0.70999999999999985</v>
      </c>
      <c r="EJ121" s="55">
        <f t="shared" si="654"/>
        <v>0.68999999999999984</v>
      </c>
      <c r="EK121" s="55">
        <f t="shared" si="654"/>
        <v>0.66999999999999982</v>
      </c>
      <c r="EL121" s="55">
        <f t="shared" si="654"/>
        <v>0.6499999999999998</v>
      </c>
      <c r="EM121" s="55">
        <f t="shared" si="654"/>
        <v>0.62999999999999978</v>
      </c>
      <c r="EN121" s="55">
        <f t="shared" si="654"/>
        <v>0.60999999999999976</v>
      </c>
      <c r="EO121" s="55">
        <f t="shared" si="654"/>
        <v>0.58999999999999975</v>
      </c>
      <c r="EP121" s="55">
        <f t="shared" si="654"/>
        <v>0.56999999999999973</v>
      </c>
      <c r="ER121" s="55">
        <f t="shared" si="648"/>
        <v>0</v>
      </c>
      <c r="ES121" s="55">
        <f t="shared" si="510"/>
        <v>0</v>
      </c>
      <c r="ET121" s="59">
        <f t="shared" si="747"/>
        <v>0</v>
      </c>
      <c r="EU121" s="55">
        <f t="shared" si="748"/>
        <v>0</v>
      </c>
      <c r="EV121" s="59">
        <f t="shared" si="749"/>
        <v>0</v>
      </c>
      <c r="EW121" s="55">
        <f t="shared" si="750"/>
        <v>0</v>
      </c>
      <c r="EX121" s="59">
        <f t="shared" si="751"/>
        <v>0</v>
      </c>
      <c r="EY121" s="55">
        <f t="shared" si="752"/>
        <v>0</v>
      </c>
      <c r="EZ121" s="59">
        <f t="shared" si="753"/>
        <v>0</v>
      </c>
      <c r="FA121" s="57">
        <f t="shared" si="754"/>
        <v>0</v>
      </c>
      <c r="FB121" s="59">
        <f t="shared" si="755"/>
        <v>0</v>
      </c>
      <c r="FC121" s="55">
        <f t="shared" si="756"/>
        <v>0</v>
      </c>
      <c r="FD121" s="59">
        <f t="shared" si="757"/>
        <v>0</v>
      </c>
      <c r="FE121" s="57">
        <f t="shared" si="758"/>
        <v>0</v>
      </c>
      <c r="FF121" s="59">
        <f t="shared" si="759"/>
        <v>0</v>
      </c>
      <c r="FG121" s="60">
        <f t="shared" si="760"/>
        <v>0</v>
      </c>
      <c r="FH121" s="59">
        <f t="shared" si="761"/>
        <v>0</v>
      </c>
      <c r="FI121" s="57">
        <f t="shared" si="762"/>
        <v>0</v>
      </c>
      <c r="FJ121" s="59">
        <f t="shared" si="763"/>
        <v>0</v>
      </c>
      <c r="FK121" s="55">
        <f t="shared" si="764"/>
        <v>0</v>
      </c>
      <c r="FL121" s="59">
        <f t="shared" si="765"/>
        <v>0</v>
      </c>
      <c r="FM121" s="60">
        <f t="shared" si="766"/>
        <v>0</v>
      </c>
      <c r="FN121" s="59">
        <f t="shared" si="767"/>
        <v>0</v>
      </c>
      <c r="FO121" s="60">
        <f t="shared" si="768"/>
        <v>0</v>
      </c>
      <c r="FP121" s="59">
        <f t="shared" si="769"/>
        <v>0</v>
      </c>
      <c r="FQ121" s="60">
        <f t="shared" si="770"/>
        <v>0</v>
      </c>
      <c r="FR121" s="59">
        <f t="shared" si="771"/>
        <v>0</v>
      </c>
      <c r="FS121" s="55">
        <f t="shared" si="772"/>
        <v>0</v>
      </c>
      <c r="FT121" s="59">
        <f t="shared" si="773"/>
        <v>0</v>
      </c>
      <c r="FU121" s="60">
        <f t="shared" si="774"/>
        <v>0</v>
      </c>
      <c r="FV121" s="59">
        <f t="shared" si="775"/>
        <v>0</v>
      </c>
      <c r="FW121" s="60">
        <f t="shared" si="776"/>
        <v>0</v>
      </c>
      <c r="FX121" s="59">
        <f t="shared" si="777"/>
        <v>0</v>
      </c>
      <c r="FY121" s="60">
        <f t="shared" si="778"/>
        <v>0</v>
      </c>
      <c r="FZ121" s="59">
        <f t="shared" si="779"/>
        <v>0</v>
      </c>
      <c r="GA121" s="60">
        <f t="shared" si="780"/>
        <v>0</v>
      </c>
      <c r="GB121" s="59">
        <f t="shared" si="781"/>
        <v>0</v>
      </c>
      <c r="GC121" s="55">
        <f t="shared" si="782"/>
        <v>0</v>
      </c>
      <c r="GD121" s="59">
        <f t="shared" si="783"/>
        <v>0</v>
      </c>
      <c r="GE121" s="60">
        <f t="shared" si="784"/>
        <v>0</v>
      </c>
      <c r="GF121" s="59">
        <f t="shared" si="785"/>
        <v>0</v>
      </c>
      <c r="GG121" s="60">
        <f t="shared" si="786"/>
        <v>0</v>
      </c>
      <c r="GH121" s="59">
        <f t="shared" si="787"/>
        <v>0</v>
      </c>
      <c r="GI121" s="55">
        <f t="shared" si="788"/>
        <v>0</v>
      </c>
      <c r="GJ121" s="59">
        <f t="shared" si="789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55"/>
        <v>0.91</v>
      </c>
      <c r="GR121" s="55">
        <f t="shared" si="655"/>
        <v>0.89</v>
      </c>
      <c r="GS121" s="55">
        <f t="shared" si="655"/>
        <v>0.87</v>
      </c>
      <c r="GT121" s="55">
        <f t="shared" si="655"/>
        <v>0.85</v>
      </c>
      <c r="GU121" s="55">
        <f t="shared" si="655"/>
        <v>0.83</v>
      </c>
      <c r="GV121" s="55">
        <f t="shared" si="655"/>
        <v>0.80999999999999994</v>
      </c>
      <c r="GW121" s="55">
        <f t="shared" si="655"/>
        <v>0.78999999999999992</v>
      </c>
      <c r="GX121" s="55">
        <f t="shared" si="655"/>
        <v>0.76999999999999991</v>
      </c>
      <c r="GY121" s="55">
        <f t="shared" si="655"/>
        <v>0.74999999999999989</v>
      </c>
      <c r="GZ121" s="55">
        <f t="shared" si="655"/>
        <v>0.72999999999999987</v>
      </c>
      <c r="HA121" s="55">
        <f t="shared" si="655"/>
        <v>0.70999999999999985</v>
      </c>
      <c r="HB121" s="55">
        <f t="shared" si="655"/>
        <v>0.68999999999999984</v>
      </c>
      <c r="HC121" s="55">
        <f t="shared" si="655"/>
        <v>0.66999999999999982</v>
      </c>
      <c r="HD121" s="55">
        <f t="shared" si="655"/>
        <v>0.6499999999999998</v>
      </c>
      <c r="HE121" s="55">
        <f t="shared" si="655"/>
        <v>0.62999999999999978</v>
      </c>
      <c r="HF121" s="55">
        <f t="shared" si="655"/>
        <v>0.60999999999999976</v>
      </c>
      <c r="HG121" s="55">
        <f t="shared" si="655"/>
        <v>0.58999999999999975</v>
      </c>
      <c r="HH121" s="55">
        <f t="shared" si="655"/>
        <v>0.56999999999999973</v>
      </c>
    </row>
    <row r="122" spans="1:216" x14ac:dyDescent="0.3">
      <c r="A122" s="2">
        <v>7</v>
      </c>
      <c r="C122" s="38" t="s">
        <v>46</v>
      </c>
      <c r="D122" s="42">
        <v>0</v>
      </c>
      <c r="E122" s="71">
        <f t="shared" si="660"/>
        <v>0</v>
      </c>
      <c r="H122" s="55">
        <f t="shared" si="505"/>
        <v>0</v>
      </c>
      <c r="I122" s="55">
        <f t="shared" si="506"/>
        <v>0</v>
      </c>
      <c r="J122" s="59">
        <f t="shared" si="507"/>
        <v>0</v>
      </c>
      <c r="K122" s="55">
        <f t="shared" si="661"/>
        <v>0</v>
      </c>
      <c r="L122" s="59">
        <f t="shared" si="662"/>
        <v>0</v>
      </c>
      <c r="M122" s="55">
        <f t="shared" si="663"/>
        <v>0</v>
      </c>
      <c r="N122" s="59">
        <f t="shared" si="664"/>
        <v>0</v>
      </c>
      <c r="O122" s="55">
        <f t="shared" si="665"/>
        <v>0</v>
      </c>
      <c r="P122" s="59">
        <f t="shared" si="666"/>
        <v>0</v>
      </c>
      <c r="Q122" s="57">
        <f t="shared" si="667"/>
        <v>0</v>
      </c>
      <c r="R122" s="59">
        <f t="shared" si="668"/>
        <v>0</v>
      </c>
      <c r="S122" s="55">
        <f t="shared" si="669"/>
        <v>0</v>
      </c>
      <c r="T122" s="59">
        <f t="shared" si="670"/>
        <v>0</v>
      </c>
      <c r="U122" s="57">
        <f t="shared" si="671"/>
        <v>0</v>
      </c>
      <c r="V122" s="59">
        <f t="shared" si="672"/>
        <v>0</v>
      </c>
      <c r="W122" s="60">
        <f t="shared" si="673"/>
        <v>0</v>
      </c>
      <c r="X122" s="59">
        <f t="shared" si="674"/>
        <v>0</v>
      </c>
      <c r="Y122" s="57">
        <f t="shared" si="675"/>
        <v>0</v>
      </c>
      <c r="Z122" s="59">
        <f t="shared" si="676"/>
        <v>0</v>
      </c>
      <c r="AA122" s="55">
        <f t="shared" si="677"/>
        <v>0</v>
      </c>
      <c r="AB122" s="59">
        <f t="shared" si="678"/>
        <v>0</v>
      </c>
      <c r="AC122" s="60">
        <f t="shared" si="679"/>
        <v>0</v>
      </c>
      <c r="AD122" s="59">
        <f t="shared" si="680"/>
        <v>0</v>
      </c>
      <c r="AE122" s="60">
        <f t="shared" si="681"/>
        <v>0</v>
      </c>
      <c r="AF122" s="59">
        <f t="shared" si="682"/>
        <v>0</v>
      </c>
      <c r="AG122" s="60">
        <f t="shared" si="683"/>
        <v>0</v>
      </c>
      <c r="AH122" s="59">
        <f t="shared" si="684"/>
        <v>0</v>
      </c>
      <c r="AI122" s="55">
        <f t="shared" si="685"/>
        <v>0</v>
      </c>
      <c r="AJ122" s="59">
        <f t="shared" si="686"/>
        <v>0</v>
      </c>
      <c r="AK122" s="60">
        <f t="shared" si="687"/>
        <v>0</v>
      </c>
      <c r="AL122" s="59">
        <f t="shared" si="688"/>
        <v>0</v>
      </c>
      <c r="AM122" s="60">
        <f t="shared" si="689"/>
        <v>0</v>
      </c>
      <c r="AN122" s="59">
        <f t="shared" si="690"/>
        <v>0</v>
      </c>
      <c r="AO122" s="60">
        <f t="shared" si="691"/>
        <v>0</v>
      </c>
      <c r="AP122" s="59">
        <f t="shared" si="692"/>
        <v>0</v>
      </c>
      <c r="AQ122" s="60">
        <f t="shared" si="693"/>
        <v>0</v>
      </c>
      <c r="AR122" s="59">
        <f t="shared" si="694"/>
        <v>0</v>
      </c>
      <c r="AS122" s="55">
        <f t="shared" si="695"/>
        <v>0</v>
      </c>
      <c r="AT122" s="59">
        <f t="shared" si="696"/>
        <v>0</v>
      </c>
      <c r="AU122" s="60">
        <f t="shared" si="697"/>
        <v>0</v>
      </c>
      <c r="AV122" s="59">
        <f t="shared" si="698"/>
        <v>0</v>
      </c>
      <c r="AW122" s="60">
        <f t="shared" si="699"/>
        <v>0</v>
      </c>
      <c r="AX122" s="59">
        <f t="shared" si="700"/>
        <v>0</v>
      </c>
      <c r="AY122" s="55">
        <f t="shared" si="701"/>
        <v>0</v>
      </c>
      <c r="AZ122" s="59">
        <f t="shared" si="702"/>
        <v>0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03"/>
        <v>0.91</v>
      </c>
      <c r="BH122" s="55">
        <f t="shared" si="703"/>
        <v>0.89</v>
      </c>
      <c r="BI122" s="55">
        <f t="shared" si="703"/>
        <v>0.87</v>
      </c>
      <c r="BJ122" s="55">
        <f t="shared" si="703"/>
        <v>0.85</v>
      </c>
      <c r="BK122" s="55">
        <f t="shared" si="703"/>
        <v>0.83</v>
      </c>
      <c r="BL122" s="55">
        <f t="shared" si="703"/>
        <v>0.80999999999999994</v>
      </c>
      <c r="BM122" s="55">
        <f t="shared" si="703"/>
        <v>0.78999999999999992</v>
      </c>
      <c r="BN122" s="55">
        <f t="shared" si="703"/>
        <v>0.76999999999999991</v>
      </c>
      <c r="BO122" s="55">
        <f t="shared" si="703"/>
        <v>0.74999999999999989</v>
      </c>
      <c r="BP122" s="55">
        <f t="shared" si="703"/>
        <v>0.72999999999999987</v>
      </c>
      <c r="BQ122" s="55">
        <f t="shared" si="703"/>
        <v>0.70999999999999985</v>
      </c>
      <c r="BR122" s="55">
        <f t="shared" si="703"/>
        <v>0.68999999999999984</v>
      </c>
      <c r="BS122" s="55">
        <f t="shared" si="703"/>
        <v>0.66999999999999982</v>
      </c>
      <c r="BT122" s="55">
        <f t="shared" si="703"/>
        <v>0.6499999999999998</v>
      </c>
      <c r="BU122" s="55">
        <f t="shared" si="703"/>
        <v>0.62999999999999978</v>
      </c>
      <c r="BV122" s="55">
        <f t="shared" si="703"/>
        <v>0.60999999999999976</v>
      </c>
      <c r="BW122" s="55">
        <f t="shared" si="703"/>
        <v>0.58999999999999975</v>
      </c>
      <c r="BX122" s="55">
        <f t="shared" si="703"/>
        <v>0.56999999999999973</v>
      </c>
      <c r="BZ122" s="55">
        <f t="shared" si="508"/>
        <v>0</v>
      </c>
      <c r="CA122" s="55">
        <f t="shared" si="509"/>
        <v>0</v>
      </c>
      <c r="CB122" s="59">
        <f t="shared" si="704"/>
        <v>0</v>
      </c>
      <c r="CC122" s="55">
        <f t="shared" si="705"/>
        <v>0</v>
      </c>
      <c r="CD122" s="59">
        <f t="shared" si="706"/>
        <v>0</v>
      </c>
      <c r="CE122" s="55">
        <f t="shared" si="707"/>
        <v>0</v>
      </c>
      <c r="CF122" s="59">
        <f t="shared" si="708"/>
        <v>0</v>
      </c>
      <c r="CG122" s="55">
        <f t="shared" si="709"/>
        <v>0</v>
      </c>
      <c r="CH122" s="59">
        <f t="shared" si="710"/>
        <v>0</v>
      </c>
      <c r="CI122" s="57">
        <f t="shared" si="711"/>
        <v>0</v>
      </c>
      <c r="CJ122" s="59">
        <f t="shared" si="712"/>
        <v>0</v>
      </c>
      <c r="CK122" s="55">
        <f t="shared" si="713"/>
        <v>0</v>
      </c>
      <c r="CL122" s="59">
        <f t="shared" si="714"/>
        <v>0</v>
      </c>
      <c r="CM122" s="57">
        <f t="shared" si="715"/>
        <v>0</v>
      </c>
      <c r="CN122" s="59">
        <f t="shared" si="716"/>
        <v>0</v>
      </c>
      <c r="CO122" s="60">
        <f t="shared" si="717"/>
        <v>0</v>
      </c>
      <c r="CP122" s="59">
        <f t="shared" si="718"/>
        <v>0</v>
      </c>
      <c r="CQ122" s="57">
        <f t="shared" si="719"/>
        <v>0</v>
      </c>
      <c r="CR122" s="59">
        <f t="shared" si="720"/>
        <v>0</v>
      </c>
      <c r="CS122" s="55">
        <f t="shared" si="721"/>
        <v>0</v>
      </c>
      <c r="CT122" s="59">
        <f t="shared" si="722"/>
        <v>0</v>
      </c>
      <c r="CU122" s="60">
        <f t="shared" si="723"/>
        <v>0</v>
      </c>
      <c r="CV122" s="59">
        <f t="shared" si="724"/>
        <v>0</v>
      </c>
      <c r="CW122" s="60">
        <f t="shared" si="725"/>
        <v>0</v>
      </c>
      <c r="CX122" s="59">
        <f t="shared" si="726"/>
        <v>0</v>
      </c>
      <c r="CY122" s="60">
        <f t="shared" si="727"/>
        <v>0</v>
      </c>
      <c r="CZ122" s="59">
        <f t="shared" si="728"/>
        <v>0</v>
      </c>
      <c r="DA122" s="55">
        <f t="shared" si="729"/>
        <v>0</v>
      </c>
      <c r="DB122" s="59">
        <f t="shared" si="730"/>
        <v>0</v>
      </c>
      <c r="DC122" s="60">
        <f t="shared" si="731"/>
        <v>0</v>
      </c>
      <c r="DD122" s="59">
        <f t="shared" si="732"/>
        <v>0</v>
      </c>
      <c r="DE122" s="60">
        <f t="shared" si="733"/>
        <v>0</v>
      </c>
      <c r="DF122" s="59">
        <f t="shared" si="734"/>
        <v>0</v>
      </c>
      <c r="DG122" s="60">
        <f t="shared" si="735"/>
        <v>0</v>
      </c>
      <c r="DH122" s="59">
        <f t="shared" si="736"/>
        <v>0</v>
      </c>
      <c r="DI122" s="60">
        <f t="shared" si="737"/>
        <v>0</v>
      </c>
      <c r="DJ122" s="59">
        <f t="shared" si="738"/>
        <v>0</v>
      </c>
      <c r="DK122" s="55">
        <f t="shared" si="739"/>
        <v>0</v>
      </c>
      <c r="DL122" s="59">
        <f t="shared" si="740"/>
        <v>0</v>
      </c>
      <c r="DM122" s="60">
        <f t="shared" si="741"/>
        <v>0</v>
      </c>
      <c r="DN122" s="59">
        <f t="shared" si="742"/>
        <v>0</v>
      </c>
      <c r="DO122" s="60">
        <f t="shared" si="743"/>
        <v>0</v>
      </c>
      <c r="DP122" s="59">
        <f t="shared" si="744"/>
        <v>0</v>
      </c>
      <c r="DQ122" s="55">
        <f t="shared" si="745"/>
        <v>0</v>
      </c>
      <c r="DR122" s="59">
        <f t="shared" si="746"/>
        <v>0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4"/>
        <v>0.91</v>
      </c>
      <c r="DZ122" s="55">
        <f t="shared" si="654"/>
        <v>0.89</v>
      </c>
      <c r="EA122" s="55">
        <f t="shared" si="654"/>
        <v>0.87</v>
      </c>
      <c r="EB122" s="55">
        <f t="shared" si="654"/>
        <v>0.85</v>
      </c>
      <c r="EC122" s="55">
        <f t="shared" si="654"/>
        <v>0.83</v>
      </c>
      <c r="ED122" s="55">
        <f t="shared" si="654"/>
        <v>0.80999999999999994</v>
      </c>
      <c r="EE122" s="55">
        <f t="shared" si="654"/>
        <v>0.78999999999999992</v>
      </c>
      <c r="EF122" s="55">
        <f t="shared" si="654"/>
        <v>0.76999999999999991</v>
      </c>
      <c r="EG122" s="55">
        <f t="shared" si="654"/>
        <v>0.74999999999999989</v>
      </c>
      <c r="EH122" s="55">
        <f t="shared" si="654"/>
        <v>0.72999999999999987</v>
      </c>
      <c r="EI122" s="55">
        <f t="shared" si="654"/>
        <v>0.70999999999999985</v>
      </c>
      <c r="EJ122" s="55">
        <f t="shared" si="654"/>
        <v>0.68999999999999984</v>
      </c>
      <c r="EK122" s="55">
        <f t="shared" si="654"/>
        <v>0.66999999999999982</v>
      </c>
      <c r="EL122" s="55">
        <f t="shared" si="654"/>
        <v>0.6499999999999998</v>
      </c>
      <c r="EM122" s="55">
        <f t="shared" si="654"/>
        <v>0.62999999999999978</v>
      </c>
      <c r="EN122" s="55">
        <f t="shared" si="654"/>
        <v>0.60999999999999976</v>
      </c>
      <c r="EO122" s="55">
        <f t="shared" si="654"/>
        <v>0.58999999999999975</v>
      </c>
      <c r="EP122" s="55">
        <f t="shared" si="654"/>
        <v>0.56999999999999973</v>
      </c>
      <c r="ER122" s="55">
        <f t="shared" si="648"/>
        <v>0</v>
      </c>
      <c r="ES122" s="55">
        <f t="shared" si="510"/>
        <v>0</v>
      </c>
      <c r="ET122" s="59">
        <f t="shared" si="747"/>
        <v>0</v>
      </c>
      <c r="EU122" s="55">
        <f t="shared" si="748"/>
        <v>0</v>
      </c>
      <c r="EV122" s="59">
        <f t="shared" si="749"/>
        <v>0</v>
      </c>
      <c r="EW122" s="55">
        <f t="shared" si="750"/>
        <v>0</v>
      </c>
      <c r="EX122" s="59">
        <f t="shared" si="751"/>
        <v>0</v>
      </c>
      <c r="EY122" s="55">
        <f t="shared" si="752"/>
        <v>0</v>
      </c>
      <c r="EZ122" s="59">
        <f t="shared" si="753"/>
        <v>0</v>
      </c>
      <c r="FA122" s="57">
        <f t="shared" si="754"/>
        <v>0</v>
      </c>
      <c r="FB122" s="59">
        <f t="shared" si="755"/>
        <v>0</v>
      </c>
      <c r="FC122" s="55">
        <f t="shared" si="756"/>
        <v>0</v>
      </c>
      <c r="FD122" s="59">
        <f t="shared" si="757"/>
        <v>0</v>
      </c>
      <c r="FE122" s="57">
        <f t="shared" si="758"/>
        <v>0</v>
      </c>
      <c r="FF122" s="59">
        <f t="shared" si="759"/>
        <v>0</v>
      </c>
      <c r="FG122" s="60">
        <f t="shared" si="760"/>
        <v>0</v>
      </c>
      <c r="FH122" s="59">
        <f t="shared" si="761"/>
        <v>0</v>
      </c>
      <c r="FI122" s="57">
        <f t="shared" si="762"/>
        <v>0</v>
      </c>
      <c r="FJ122" s="59">
        <f t="shared" si="763"/>
        <v>0</v>
      </c>
      <c r="FK122" s="55">
        <f t="shared" si="764"/>
        <v>0</v>
      </c>
      <c r="FL122" s="59">
        <f t="shared" si="765"/>
        <v>0</v>
      </c>
      <c r="FM122" s="60">
        <f t="shared" si="766"/>
        <v>0</v>
      </c>
      <c r="FN122" s="59">
        <f t="shared" si="767"/>
        <v>0</v>
      </c>
      <c r="FO122" s="60">
        <f t="shared" si="768"/>
        <v>0</v>
      </c>
      <c r="FP122" s="59">
        <f t="shared" si="769"/>
        <v>0</v>
      </c>
      <c r="FQ122" s="60">
        <f t="shared" si="770"/>
        <v>0</v>
      </c>
      <c r="FR122" s="59">
        <f t="shared" si="771"/>
        <v>0</v>
      </c>
      <c r="FS122" s="55">
        <f t="shared" si="772"/>
        <v>0</v>
      </c>
      <c r="FT122" s="59">
        <f t="shared" si="773"/>
        <v>0</v>
      </c>
      <c r="FU122" s="60">
        <f t="shared" si="774"/>
        <v>0</v>
      </c>
      <c r="FV122" s="59">
        <f t="shared" si="775"/>
        <v>0</v>
      </c>
      <c r="FW122" s="60">
        <f t="shared" si="776"/>
        <v>0</v>
      </c>
      <c r="FX122" s="59">
        <f t="shared" si="777"/>
        <v>0</v>
      </c>
      <c r="FY122" s="60">
        <f t="shared" si="778"/>
        <v>0</v>
      </c>
      <c r="FZ122" s="59">
        <f t="shared" si="779"/>
        <v>0</v>
      </c>
      <c r="GA122" s="60">
        <f t="shared" si="780"/>
        <v>0</v>
      </c>
      <c r="GB122" s="59">
        <f t="shared" si="781"/>
        <v>0</v>
      </c>
      <c r="GC122" s="55">
        <f t="shared" si="782"/>
        <v>0</v>
      </c>
      <c r="GD122" s="59">
        <f t="shared" si="783"/>
        <v>0</v>
      </c>
      <c r="GE122" s="60">
        <f t="shared" si="784"/>
        <v>0</v>
      </c>
      <c r="GF122" s="59">
        <f t="shared" si="785"/>
        <v>0</v>
      </c>
      <c r="GG122" s="60">
        <f t="shared" si="786"/>
        <v>0</v>
      </c>
      <c r="GH122" s="59">
        <f t="shared" si="787"/>
        <v>0</v>
      </c>
      <c r="GI122" s="55">
        <f t="shared" si="788"/>
        <v>0</v>
      </c>
      <c r="GJ122" s="59">
        <f t="shared" si="789"/>
        <v>0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5"/>
        <v>0.91</v>
      </c>
      <c r="GR122" s="55">
        <f t="shared" si="655"/>
        <v>0.89</v>
      </c>
      <c r="GS122" s="55">
        <f t="shared" si="655"/>
        <v>0.87</v>
      </c>
      <c r="GT122" s="55">
        <f t="shared" si="655"/>
        <v>0.85</v>
      </c>
      <c r="GU122" s="55">
        <f t="shared" si="655"/>
        <v>0.83</v>
      </c>
      <c r="GV122" s="55">
        <f t="shared" si="655"/>
        <v>0.80999999999999994</v>
      </c>
      <c r="GW122" s="55">
        <f t="shared" si="655"/>
        <v>0.78999999999999992</v>
      </c>
      <c r="GX122" s="55">
        <f t="shared" si="655"/>
        <v>0.76999999999999991</v>
      </c>
      <c r="GY122" s="55">
        <f t="shared" si="655"/>
        <v>0.74999999999999989</v>
      </c>
      <c r="GZ122" s="55">
        <f t="shared" si="655"/>
        <v>0.72999999999999987</v>
      </c>
      <c r="HA122" s="55">
        <f t="shared" si="655"/>
        <v>0.70999999999999985</v>
      </c>
      <c r="HB122" s="55">
        <f t="shared" si="655"/>
        <v>0.68999999999999984</v>
      </c>
      <c r="HC122" s="55">
        <f t="shared" si="655"/>
        <v>0.66999999999999982</v>
      </c>
      <c r="HD122" s="55">
        <f t="shared" si="655"/>
        <v>0.6499999999999998</v>
      </c>
      <c r="HE122" s="55">
        <f t="shared" si="655"/>
        <v>0.62999999999999978</v>
      </c>
      <c r="HF122" s="55">
        <f t="shared" si="655"/>
        <v>0.60999999999999976</v>
      </c>
      <c r="HG122" s="55">
        <f t="shared" si="655"/>
        <v>0.58999999999999975</v>
      </c>
      <c r="HH122" s="55">
        <f t="shared" si="655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1">
        <f t="shared" si="660"/>
        <v>0</v>
      </c>
      <c r="H123" s="55">
        <f t="shared" si="505"/>
        <v>0</v>
      </c>
      <c r="I123" s="55">
        <f t="shared" si="506"/>
        <v>0</v>
      </c>
      <c r="J123" s="59">
        <f t="shared" si="507"/>
        <v>0</v>
      </c>
      <c r="K123" s="55">
        <f t="shared" si="661"/>
        <v>0</v>
      </c>
      <c r="L123" s="59">
        <f t="shared" si="662"/>
        <v>0</v>
      </c>
      <c r="M123" s="55">
        <f t="shared" si="663"/>
        <v>0</v>
      </c>
      <c r="N123" s="59">
        <f t="shared" si="664"/>
        <v>0</v>
      </c>
      <c r="O123" s="55">
        <f t="shared" si="665"/>
        <v>0</v>
      </c>
      <c r="P123" s="59">
        <f t="shared" si="666"/>
        <v>0</v>
      </c>
      <c r="Q123" s="57">
        <f t="shared" si="667"/>
        <v>0</v>
      </c>
      <c r="R123" s="59">
        <f t="shared" si="668"/>
        <v>0</v>
      </c>
      <c r="S123" s="55">
        <f t="shared" si="669"/>
        <v>0</v>
      </c>
      <c r="T123" s="59">
        <f t="shared" si="670"/>
        <v>0</v>
      </c>
      <c r="U123" s="57">
        <f t="shared" si="671"/>
        <v>0</v>
      </c>
      <c r="V123" s="59">
        <f t="shared" si="672"/>
        <v>0</v>
      </c>
      <c r="W123" s="60">
        <f t="shared" si="673"/>
        <v>0</v>
      </c>
      <c r="X123" s="59">
        <f t="shared" si="674"/>
        <v>0</v>
      </c>
      <c r="Y123" s="57">
        <f t="shared" si="675"/>
        <v>0</v>
      </c>
      <c r="Z123" s="59">
        <f t="shared" si="676"/>
        <v>0</v>
      </c>
      <c r="AA123" s="55">
        <f t="shared" si="677"/>
        <v>0</v>
      </c>
      <c r="AB123" s="59">
        <f t="shared" si="678"/>
        <v>0</v>
      </c>
      <c r="AC123" s="60">
        <f t="shared" si="679"/>
        <v>0</v>
      </c>
      <c r="AD123" s="59">
        <f t="shared" si="680"/>
        <v>0</v>
      </c>
      <c r="AE123" s="60">
        <f t="shared" si="681"/>
        <v>0</v>
      </c>
      <c r="AF123" s="59">
        <f t="shared" si="682"/>
        <v>0</v>
      </c>
      <c r="AG123" s="60">
        <f t="shared" si="683"/>
        <v>0</v>
      </c>
      <c r="AH123" s="59">
        <f t="shared" si="684"/>
        <v>0</v>
      </c>
      <c r="AI123" s="55">
        <f t="shared" si="685"/>
        <v>0</v>
      </c>
      <c r="AJ123" s="59">
        <f t="shared" si="686"/>
        <v>0</v>
      </c>
      <c r="AK123" s="60">
        <f t="shared" si="687"/>
        <v>0</v>
      </c>
      <c r="AL123" s="59">
        <f t="shared" si="688"/>
        <v>0</v>
      </c>
      <c r="AM123" s="60">
        <f t="shared" si="689"/>
        <v>0</v>
      </c>
      <c r="AN123" s="59">
        <f t="shared" si="690"/>
        <v>0</v>
      </c>
      <c r="AO123" s="60">
        <f t="shared" si="691"/>
        <v>0</v>
      </c>
      <c r="AP123" s="59">
        <f t="shared" si="692"/>
        <v>0</v>
      </c>
      <c r="AQ123" s="60">
        <f t="shared" si="693"/>
        <v>0</v>
      </c>
      <c r="AR123" s="59">
        <f t="shared" si="694"/>
        <v>0</v>
      </c>
      <c r="AS123" s="55">
        <f t="shared" si="695"/>
        <v>0</v>
      </c>
      <c r="AT123" s="59">
        <f t="shared" si="696"/>
        <v>0</v>
      </c>
      <c r="AU123" s="60">
        <f t="shared" si="697"/>
        <v>0</v>
      </c>
      <c r="AV123" s="59">
        <f t="shared" si="698"/>
        <v>0</v>
      </c>
      <c r="AW123" s="60">
        <f t="shared" si="699"/>
        <v>0</v>
      </c>
      <c r="AX123" s="59">
        <f t="shared" si="700"/>
        <v>0</v>
      </c>
      <c r="AY123" s="55">
        <f t="shared" si="701"/>
        <v>0</v>
      </c>
      <c r="AZ123" s="59">
        <f t="shared" si="702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03"/>
        <v>0.91</v>
      </c>
      <c r="BH123" s="55">
        <f t="shared" si="703"/>
        <v>0.89</v>
      </c>
      <c r="BI123" s="55">
        <f t="shared" si="703"/>
        <v>0.87</v>
      </c>
      <c r="BJ123" s="55">
        <f t="shared" si="703"/>
        <v>0.85</v>
      </c>
      <c r="BK123" s="55">
        <f t="shared" si="703"/>
        <v>0.83</v>
      </c>
      <c r="BL123" s="55">
        <f t="shared" si="703"/>
        <v>0.80999999999999994</v>
      </c>
      <c r="BM123" s="55">
        <f t="shared" si="703"/>
        <v>0.78999999999999992</v>
      </c>
      <c r="BN123" s="55">
        <f t="shared" si="703"/>
        <v>0.76999999999999991</v>
      </c>
      <c r="BO123" s="55">
        <f t="shared" si="703"/>
        <v>0.74999999999999989</v>
      </c>
      <c r="BP123" s="55">
        <f t="shared" si="703"/>
        <v>0.72999999999999987</v>
      </c>
      <c r="BQ123" s="55">
        <f t="shared" si="703"/>
        <v>0.70999999999999985</v>
      </c>
      <c r="BR123" s="55">
        <f t="shared" si="703"/>
        <v>0.68999999999999984</v>
      </c>
      <c r="BS123" s="55">
        <f t="shared" si="703"/>
        <v>0.66999999999999982</v>
      </c>
      <c r="BT123" s="55">
        <f t="shared" si="703"/>
        <v>0.6499999999999998</v>
      </c>
      <c r="BU123" s="55">
        <f t="shared" si="703"/>
        <v>0.62999999999999978</v>
      </c>
      <c r="BV123" s="55">
        <f t="shared" si="703"/>
        <v>0.60999999999999976</v>
      </c>
      <c r="BW123" s="55">
        <f t="shared" si="703"/>
        <v>0.58999999999999975</v>
      </c>
      <c r="BX123" s="55">
        <f t="shared" si="703"/>
        <v>0.56999999999999973</v>
      </c>
      <c r="BZ123" s="55">
        <f t="shared" si="508"/>
        <v>0</v>
      </c>
      <c r="CA123" s="55">
        <f t="shared" si="509"/>
        <v>0</v>
      </c>
      <c r="CB123" s="59">
        <f t="shared" si="704"/>
        <v>0</v>
      </c>
      <c r="CC123" s="55">
        <f t="shared" si="705"/>
        <v>0</v>
      </c>
      <c r="CD123" s="59">
        <f t="shared" si="706"/>
        <v>0</v>
      </c>
      <c r="CE123" s="55">
        <f t="shared" si="707"/>
        <v>0</v>
      </c>
      <c r="CF123" s="59">
        <f t="shared" si="708"/>
        <v>0</v>
      </c>
      <c r="CG123" s="55">
        <f t="shared" si="709"/>
        <v>0</v>
      </c>
      <c r="CH123" s="59">
        <f t="shared" si="710"/>
        <v>0</v>
      </c>
      <c r="CI123" s="57">
        <f t="shared" si="711"/>
        <v>0</v>
      </c>
      <c r="CJ123" s="59">
        <f t="shared" si="712"/>
        <v>0</v>
      </c>
      <c r="CK123" s="55">
        <f t="shared" si="713"/>
        <v>0</v>
      </c>
      <c r="CL123" s="59">
        <f t="shared" si="714"/>
        <v>0</v>
      </c>
      <c r="CM123" s="57">
        <f t="shared" si="715"/>
        <v>0</v>
      </c>
      <c r="CN123" s="59">
        <f t="shared" si="716"/>
        <v>0</v>
      </c>
      <c r="CO123" s="60">
        <f t="shared" si="717"/>
        <v>0</v>
      </c>
      <c r="CP123" s="59">
        <f t="shared" si="718"/>
        <v>0</v>
      </c>
      <c r="CQ123" s="57">
        <f t="shared" si="719"/>
        <v>0</v>
      </c>
      <c r="CR123" s="59">
        <f t="shared" si="720"/>
        <v>0</v>
      </c>
      <c r="CS123" s="55">
        <f t="shared" si="721"/>
        <v>0</v>
      </c>
      <c r="CT123" s="59">
        <f t="shared" si="722"/>
        <v>0</v>
      </c>
      <c r="CU123" s="60">
        <f t="shared" si="723"/>
        <v>0</v>
      </c>
      <c r="CV123" s="59">
        <f t="shared" si="724"/>
        <v>0</v>
      </c>
      <c r="CW123" s="60">
        <f t="shared" si="725"/>
        <v>0</v>
      </c>
      <c r="CX123" s="59">
        <f t="shared" si="726"/>
        <v>0</v>
      </c>
      <c r="CY123" s="60">
        <f t="shared" si="727"/>
        <v>0</v>
      </c>
      <c r="CZ123" s="59">
        <f t="shared" si="728"/>
        <v>0</v>
      </c>
      <c r="DA123" s="55">
        <f t="shared" si="729"/>
        <v>0</v>
      </c>
      <c r="DB123" s="59">
        <f t="shared" si="730"/>
        <v>0</v>
      </c>
      <c r="DC123" s="60">
        <f t="shared" si="731"/>
        <v>0</v>
      </c>
      <c r="DD123" s="59">
        <f t="shared" si="732"/>
        <v>0</v>
      </c>
      <c r="DE123" s="60">
        <f t="shared" si="733"/>
        <v>0</v>
      </c>
      <c r="DF123" s="59">
        <f t="shared" si="734"/>
        <v>0</v>
      </c>
      <c r="DG123" s="60">
        <f t="shared" si="735"/>
        <v>0</v>
      </c>
      <c r="DH123" s="59">
        <f t="shared" si="736"/>
        <v>0</v>
      </c>
      <c r="DI123" s="60">
        <f t="shared" si="737"/>
        <v>0</v>
      </c>
      <c r="DJ123" s="59">
        <f t="shared" si="738"/>
        <v>0</v>
      </c>
      <c r="DK123" s="55">
        <f t="shared" si="739"/>
        <v>0</v>
      </c>
      <c r="DL123" s="59">
        <f t="shared" si="740"/>
        <v>0</v>
      </c>
      <c r="DM123" s="60">
        <f t="shared" si="741"/>
        <v>0</v>
      </c>
      <c r="DN123" s="59">
        <f t="shared" si="742"/>
        <v>0</v>
      </c>
      <c r="DO123" s="60">
        <f t="shared" si="743"/>
        <v>0</v>
      </c>
      <c r="DP123" s="59">
        <f t="shared" si="744"/>
        <v>0</v>
      </c>
      <c r="DQ123" s="55">
        <f t="shared" si="745"/>
        <v>0</v>
      </c>
      <c r="DR123" s="59">
        <f t="shared" si="746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4"/>
        <v>0.91</v>
      </c>
      <c r="DZ123" s="55">
        <f t="shared" si="654"/>
        <v>0.89</v>
      </c>
      <c r="EA123" s="55">
        <f t="shared" si="654"/>
        <v>0.87</v>
      </c>
      <c r="EB123" s="55">
        <f t="shared" ref="EB123:EP123" si="790">+EA123-0.02</f>
        <v>0.85</v>
      </c>
      <c r="EC123" s="55">
        <f t="shared" si="790"/>
        <v>0.83</v>
      </c>
      <c r="ED123" s="55">
        <f t="shared" si="790"/>
        <v>0.80999999999999994</v>
      </c>
      <c r="EE123" s="55">
        <f t="shared" si="790"/>
        <v>0.78999999999999992</v>
      </c>
      <c r="EF123" s="55">
        <f t="shared" si="790"/>
        <v>0.76999999999999991</v>
      </c>
      <c r="EG123" s="55">
        <f t="shared" si="790"/>
        <v>0.74999999999999989</v>
      </c>
      <c r="EH123" s="55">
        <f t="shared" si="790"/>
        <v>0.72999999999999987</v>
      </c>
      <c r="EI123" s="55">
        <f t="shared" si="790"/>
        <v>0.70999999999999985</v>
      </c>
      <c r="EJ123" s="55">
        <f t="shared" si="790"/>
        <v>0.68999999999999984</v>
      </c>
      <c r="EK123" s="55">
        <f t="shared" si="790"/>
        <v>0.66999999999999982</v>
      </c>
      <c r="EL123" s="55">
        <f t="shared" si="790"/>
        <v>0.6499999999999998</v>
      </c>
      <c r="EM123" s="55">
        <f t="shared" si="790"/>
        <v>0.62999999999999978</v>
      </c>
      <c r="EN123" s="55">
        <f t="shared" si="790"/>
        <v>0.60999999999999976</v>
      </c>
      <c r="EO123" s="55">
        <f t="shared" si="790"/>
        <v>0.58999999999999975</v>
      </c>
      <c r="EP123" s="55">
        <f t="shared" si="790"/>
        <v>0.56999999999999973</v>
      </c>
      <c r="ER123" s="55">
        <f t="shared" si="648"/>
        <v>0</v>
      </c>
      <c r="ES123" s="55">
        <f t="shared" si="510"/>
        <v>0</v>
      </c>
      <c r="ET123" s="59">
        <f t="shared" si="747"/>
        <v>0</v>
      </c>
      <c r="EU123" s="55">
        <f t="shared" si="748"/>
        <v>0</v>
      </c>
      <c r="EV123" s="59">
        <f t="shared" si="749"/>
        <v>0</v>
      </c>
      <c r="EW123" s="55">
        <f t="shared" si="750"/>
        <v>0</v>
      </c>
      <c r="EX123" s="59">
        <f t="shared" si="751"/>
        <v>0</v>
      </c>
      <c r="EY123" s="55">
        <f t="shared" si="752"/>
        <v>0</v>
      </c>
      <c r="EZ123" s="59">
        <f t="shared" si="753"/>
        <v>0</v>
      </c>
      <c r="FA123" s="57">
        <f t="shared" si="754"/>
        <v>0</v>
      </c>
      <c r="FB123" s="59">
        <f t="shared" si="755"/>
        <v>0</v>
      </c>
      <c r="FC123" s="55">
        <f t="shared" si="756"/>
        <v>0</v>
      </c>
      <c r="FD123" s="59">
        <f t="shared" si="757"/>
        <v>0</v>
      </c>
      <c r="FE123" s="57">
        <f t="shared" si="758"/>
        <v>0</v>
      </c>
      <c r="FF123" s="59">
        <f t="shared" si="759"/>
        <v>0</v>
      </c>
      <c r="FG123" s="60">
        <f t="shared" si="760"/>
        <v>0</v>
      </c>
      <c r="FH123" s="59">
        <f t="shared" si="761"/>
        <v>0</v>
      </c>
      <c r="FI123" s="57">
        <f t="shared" si="762"/>
        <v>0</v>
      </c>
      <c r="FJ123" s="59">
        <f t="shared" si="763"/>
        <v>0</v>
      </c>
      <c r="FK123" s="55">
        <f t="shared" si="764"/>
        <v>0</v>
      </c>
      <c r="FL123" s="59">
        <f t="shared" si="765"/>
        <v>0</v>
      </c>
      <c r="FM123" s="60">
        <f t="shared" si="766"/>
        <v>0</v>
      </c>
      <c r="FN123" s="59">
        <f t="shared" si="767"/>
        <v>0</v>
      </c>
      <c r="FO123" s="60">
        <f t="shared" si="768"/>
        <v>0</v>
      </c>
      <c r="FP123" s="59">
        <f t="shared" si="769"/>
        <v>0</v>
      </c>
      <c r="FQ123" s="60">
        <f t="shared" si="770"/>
        <v>0</v>
      </c>
      <c r="FR123" s="59">
        <f t="shared" si="771"/>
        <v>0</v>
      </c>
      <c r="FS123" s="55">
        <f t="shared" si="772"/>
        <v>0</v>
      </c>
      <c r="FT123" s="59">
        <f t="shared" si="773"/>
        <v>0</v>
      </c>
      <c r="FU123" s="60">
        <f t="shared" si="774"/>
        <v>0</v>
      </c>
      <c r="FV123" s="59">
        <f t="shared" si="775"/>
        <v>0</v>
      </c>
      <c r="FW123" s="60">
        <f t="shared" si="776"/>
        <v>0</v>
      </c>
      <c r="FX123" s="59">
        <f t="shared" si="777"/>
        <v>0</v>
      </c>
      <c r="FY123" s="60">
        <f t="shared" si="778"/>
        <v>0</v>
      </c>
      <c r="FZ123" s="59">
        <f t="shared" si="779"/>
        <v>0</v>
      </c>
      <c r="GA123" s="60">
        <f t="shared" si="780"/>
        <v>0</v>
      </c>
      <c r="GB123" s="59">
        <f t="shared" si="781"/>
        <v>0</v>
      </c>
      <c r="GC123" s="55">
        <f t="shared" si="782"/>
        <v>0</v>
      </c>
      <c r="GD123" s="59">
        <f t="shared" si="783"/>
        <v>0</v>
      </c>
      <c r="GE123" s="60">
        <f t="shared" si="784"/>
        <v>0</v>
      </c>
      <c r="GF123" s="59">
        <f t="shared" si="785"/>
        <v>0</v>
      </c>
      <c r="GG123" s="60">
        <f t="shared" si="786"/>
        <v>0</v>
      </c>
      <c r="GH123" s="59">
        <f t="shared" si="787"/>
        <v>0</v>
      </c>
      <c r="GI123" s="55">
        <f t="shared" si="788"/>
        <v>0</v>
      </c>
      <c r="GJ123" s="59">
        <f t="shared" si="789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5"/>
        <v>0.91</v>
      </c>
      <c r="GR123" s="55">
        <f t="shared" si="655"/>
        <v>0.89</v>
      </c>
      <c r="GS123" s="55">
        <f t="shared" si="655"/>
        <v>0.87</v>
      </c>
      <c r="GT123" s="55">
        <f t="shared" ref="GT123:HH123" si="791">+GS123-0.02</f>
        <v>0.85</v>
      </c>
      <c r="GU123" s="55">
        <f t="shared" si="791"/>
        <v>0.83</v>
      </c>
      <c r="GV123" s="55">
        <f t="shared" si="791"/>
        <v>0.80999999999999994</v>
      </c>
      <c r="GW123" s="55">
        <f t="shared" si="791"/>
        <v>0.78999999999999992</v>
      </c>
      <c r="GX123" s="55">
        <f t="shared" si="791"/>
        <v>0.76999999999999991</v>
      </c>
      <c r="GY123" s="55">
        <f t="shared" si="791"/>
        <v>0.74999999999999989</v>
      </c>
      <c r="GZ123" s="55">
        <f t="shared" si="791"/>
        <v>0.72999999999999987</v>
      </c>
      <c r="HA123" s="55">
        <f t="shared" si="791"/>
        <v>0.70999999999999985</v>
      </c>
      <c r="HB123" s="55">
        <f t="shared" si="791"/>
        <v>0.68999999999999984</v>
      </c>
      <c r="HC123" s="55">
        <f t="shared" si="791"/>
        <v>0.66999999999999982</v>
      </c>
      <c r="HD123" s="55">
        <f t="shared" si="791"/>
        <v>0.6499999999999998</v>
      </c>
      <c r="HE123" s="55">
        <f t="shared" si="791"/>
        <v>0.62999999999999978</v>
      </c>
      <c r="HF123" s="55">
        <f t="shared" si="791"/>
        <v>0.60999999999999976</v>
      </c>
      <c r="HG123" s="55">
        <f t="shared" si="791"/>
        <v>0.58999999999999975</v>
      </c>
      <c r="HH123" s="55">
        <f t="shared" si="791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v>0</v>
      </c>
      <c r="E124" s="71">
        <f t="shared" si="660"/>
        <v>0</v>
      </c>
      <c r="H124" s="55">
        <f t="shared" si="505"/>
        <v>0</v>
      </c>
      <c r="I124" s="55">
        <f t="shared" si="506"/>
        <v>0</v>
      </c>
      <c r="J124" s="59">
        <f t="shared" si="507"/>
        <v>0</v>
      </c>
      <c r="K124" s="55">
        <f t="shared" si="661"/>
        <v>0</v>
      </c>
      <c r="L124" s="59">
        <f t="shared" si="662"/>
        <v>0</v>
      </c>
      <c r="M124" s="55">
        <f t="shared" si="663"/>
        <v>0</v>
      </c>
      <c r="N124" s="59">
        <f t="shared" si="664"/>
        <v>0</v>
      </c>
      <c r="O124" s="55">
        <f t="shared" si="665"/>
        <v>0</v>
      </c>
      <c r="P124" s="59">
        <f t="shared" si="666"/>
        <v>0</v>
      </c>
      <c r="Q124" s="57">
        <f t="shared" si="667"/>
        <v>0</v>
      </c>
      <c r="R124" s="59">
        <f t="shared" si="668"/>
        <v>0</v>
      </c>
      <c r="S124" s="55">
        <f t="shared" si="669"/>
        <v>0</v>
      </c>
      <c r="T124" s="59">
        <f t="shared" si="670"/>
        <v>0</v>
      </c>
      <c r="U124" s="57">
        <f t="shared" si="671"/>
        <v>0</v>
      </c>
      <c r="V124" s="59">
        <f t="shared" si="672"/>
        <v>0</v>
      </c>
      <c r="W124" s="60">
        <f t="shared" si="673"/>
        <v>0</v>
      </c>
      <c r="X124" s="59">
        <f t="shared" si="674"/>
        <v>0</v>
      </c>
      <c r="Y124" s="57">
        <f t="shared" si="675"/>
        <v>0</v>
      </c>
      <c r="Z124" s="59">
        <f t="shared" si="676"/>
        <v>0</v>
      </c>
      <c r="AA124" s="55">
        <f t="shared" si="677"/>
        <v>0</v>
      </c>
      <c r="AB124" s="59">
        <f t="shared" si="678"/>
        <v>0</v>
      </c>
      <c r="AC124" s="60">
        <f t="shared" si="679"/>
        <v>0</v>
      </c>
      <c r="AD124" s="59">
        <f t="shared" si="680"/>
        <v>0</v>
      </c>
      <c r="AE124" s="60">
        <f t="shared" si="681"/>
        <v>0</v>
      </c>
      <c r="AF124" s="59">
        <f t="shared" si="682"/>
        <v>0</v>
      </c>
      <c r="AG124" s="60">
        <f t="shared" si="683"/>
        <v>0</v>
      </c>
      <c r="AH124" s="59">
        <f t="shared" si="684"/>
        <v>0</v>
      </c>
      <c r="AI124" s="55">
        <f t="shared" si="685"/>
        <v>0</v>
      </c>
      <c r="AJ124" s="59">
        <f t="shared" si="686"/>
        <v>0</v>
      </c>
      <c r="AK124" s="60">
        <f t="shared" si="687"/>
        <v>0</v>
      </c>
      <c r="AL124" s="59">
        <f t="shared" si="688"/>
        <v>0</v>
      </c>
      <c r="AM124" s="60">
        <f t="shared" si="689"/>
        <v>0</v>
      </c>
      <c r="AN124" s="59">
        <f t="shared" si="690"/>
        <v>0</v>
      </c>
      <c r="AO124" s="60">
        <f t="shared" si="691"/>
        <v>0</v>
      </c>
      <c r="AP124" s="59">
        <f t="shared" si="692"/>
        <v>0</v>
      </c>
      <c r="AQ124" s="60">
        <f t="shared" si="693"/>
        <v>0</v>
      </c>
      <c r="AR124" s="59">
        <f t="shared" si="694"/>
        <v>0</v>
      </c>
      <c r="AS124" s="55">
        <f t="shared" si="695"/>
        <v>0</v>
      </c>
      <c r="AT124" s="59">
        <f t="shared" si="696"/>
        <v>0</v>
      </c>
      <c r="AU124" s="60">
        <f t="shared" si="697"/>
        <v>0</v>
      </c>
      <c r="AV124" s="59">
        <f t="shared" si="698"/>
        <v>0</v>
      </c>
      <c r="AW124" s="60">
        <f t="shared" si="699"/>
        <v>0</v>
      </c>
      <c r="AX124" s="59">
        <f t="shared" si="700"/>
        <v>0</v>
      </c>
      <c r="AY124" s="55">
        <f t="shared" si="701"/>
        <v>0</v>
      </c>
      <c r="AZ124" s="59">
        <f t="shared" si="702"/>
        <v>0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03"/>
        <v>0.91</v>
      </c>
      <c r="BH124" s="55">
        <f t="shared" si="703"/>
        <v>0.89</v>
      </c>
      <c r="BI124" s="55">
        <f t="shared" si="703"/>
        <v>0.87</v>
      </c>
      <c r="BJ124" s="55">
        <f t="shared" si="703"/>
        <v>0.85</v>
      </c>
      <c r="BK124" s="55">
        <f t="shared" si="703"/>
        <v>0.83</v>
      </c>
      <c r="BL124" s="55">
        <f t="shared" si="703"/>
        <v>0.80999999999999994</v>
      </c>
      <c r="BM124" s="55">
        <f t="shared" si="703"/>
        <v>0.78999999999999992</v>
      </c>
      <c r="BN124" s="55">
        <f t="shared" si="703"/>
        <v>0.76999999999999991</v>
      </c>
      <c r="BO124" s="55">
        <f t="shared" si="703"/>
        <v>0.74999999999999989</v>
      </c>
      <c r="BP124" s="55">
        <f t="shared" si="703"/>
        <v>0.72999999999999987</v>
      </c>
      <c r="BQ124" s="55">
        <f t="shared" si="703"/>
        <v>0.70999999999999985</v>
      </c>
      <c r="BR124" s="55">
        <f t="shared" si="703"/>
        <v>0.68999999999999984</v>
      </c>
      <c r="BS124" s="55">
        <f t="shared" si="703"/>
        <v>0.66999999999999982</v>
      </c>
      <c r="BT124" s="55">
        <f t="shared" si="703"/>
        <v>0.6499999999999998</v>
      </c>
      <c r="BU124" s="55">
        <f t="shared" si="703"/>
        <v>0.62999999999999978</v>
      </c>
      <c r="BV124" s="55">
        <f t="shared" si="703"/>
        <v>0.60999999999999976</v>
      </c>
      <c r="BW124" s="55">
        <f t="shared" si="703"/>
        <v>0.58999999999999975</v>
      </c>
      <c r="BX124" s="55">
        <f t="shared" si="703"/>
        <v>0.56999999999999973</v>
      </c>
      <c r="BZ124" s="55">
        <f t="shared" si="508"/>
        <v>0</v>
      </c>
      <c r="CA124" s="55">
        <f t="shared" si="509"/>
        <v>0</v>
      </c>
      <c r="CB124" s="59">
        <f t="shared" si="704"/>
        <v>0</v>
      </c>
      <c r="CC124" s="55">
        <f t="shared" si="705"/>
        <v>0</v>
      </c>
      <c r="CD124" s="59">
        <f t="shared" si="706"/>
        <v>0</v>
      </c>
      <c r="CE124" s="55">
        <f t="shared" si="707"/>
        <v>0</v>
      </c>
      <c r="CF124" s="59">
        <f t="shared" si="708"/>
        <v>0</v>
      </c>
      <c r="CG124" s="55">
        <f t="shared" si="709"/>
        <v>0</v>
      </c>
      <c r="CH124" s="59">
        <f t="shared" si="710"/>
        <v>0</v>
      </c>
      <c r="CI124" s="57">
        <f t="shared" si="711"/>
        <v>0</v>
      </c>
      <c r="CJ124" s="59">
        <f t="shared" si="712"/>
        <v>0</v>
      </c>
      <c r="CK124" s="55">
        <f t="shared" si="713"/>
        <v>0</v>
      </c>
      <c r="CL124" s="59">
        <f t="shared" si="714"/>
        <v>0</v>
      </c>
      <c r="CM124" s="57">
        <f t="shared" si="715"/>
        <v>0</v>
      </c>
      <c r="CN124" s="59">
        <f t="shared" si="716"/>
        <v>0</v>
      </c>
      <c r="CO124" s="60">
        <f t="shared" si="717"/>
        <v>0</v>
      </c>
      <c r="CP124" s="59">
        <f t="shared" si="718"/>
        <v>0</v>
      </c>
      <c r="CQ124" s="57">
        <f t="shared" si="719"/>
        <v>0</v>
      </c>
      <c r="CR124" s="59">
        <f t="shared" si="720"/>
        <v>0</v>
      </c>
      <c r="CS124" s="55">
        <f t="shared" si="721"/>
        <v>0</v>
      </c>
      <c r="CT124" s="59">
        <f t="shared" si="722"/>
        <v>0</v>
      </c>
      <c r="CU124" s="60">
        <f t="shared" si="723"/>
        <v>0</v>
      </c>
      <c r="CV124" s="59">
        <f t="shared" si="724"/>
        <v>0</v>
      </c>
      <c r="CW124" s="60">
        <f t="shared" si="725"/>
        <v>0</v>
      </c>
      <c r="CX124" s="59">
        <f t="shared" si="726"/>
        <v>0</v>
      </c>
      <c r="CY124" s="60">
        <f t="shared" si="727"/>
        <v>0</v>
      </c>
      <c r="CZ124" s="59">
        <f t="shared" si="728"/>
        <v>0</v>
      </c>
      <c r="DA124" s="55">
        <f t="shared" si="729"/>
        <v>0</v>
      </c>
      <c r="DB124" s="59">
        <f t="shared" si="730"/>
        <v>0</v>
      </c>
      <c r="DC124" s="60">
        <f t="shared" si="731"/>
        <v>0</v>
      </c>
      <c r="DD124" s="59">
        <f t="shared" si="732"/>
        <v>0</v>
      </c>
      <c r="DE124" s="60">
        <f t="shared" si="733"/>
        <v>0</v>
      </c>
      <c r="DF124" s="59">
        <f t="shared" si="734"/>
        <v>0</v>
      </c>
      <c r="DG124" s="60">
        <f t="shared" si="735"/>
        <v>0</v>
      </c>
      <c r="DH124" s="59">
        <f t="shared" si="736"/>
        <v>0</v>
      </c>
      <c r="DI124" s="60">
        <f t="shared" si="737"/>
        <v>0</v>
      </c>
      <c r="DJ124" s="59">
        <f t="shared" si="738"/>
        <v>0</v>
      </c>
      <c r="DK124" s="55">
        <f t="shared" si="739"/>
        <v>0</v>
      </c>
      <c r="DL124" s="59">
        <f t="shared" si="740"/>
        <v>0</v>
      </c>
      <c r="DM124" s="60">
        <f t="shared" si="741"/>
        <v>0</v>
      </c>
      <c r="DN124" s="59">
        <f t="shared" si="742"/>
        <v>0</v>
      </c>
      <c r="DO124" s="60">
        <f t="shared" si="743"/>
        <v>0</v>
      </c>
      <c r="DP124" s="59">
        <f t="shared" si="744"/>
        <v>0</v>
      </c>
      <c r="DQ124" s="55">
        <f t="shared" si="745"/>
        <v>0</v>
      </c>
      <c r="DR124" s="59">
        <f t="shared" si="746"/>
        <v>0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792">+DX124-0.02</f>
        <v>0.91</v>
      </c>
      <c r="DZ124" s="55">
        <f t="shared" si="792"/>
        <v>0.89</v>
      </c>
      <c r="EA124" s="55">
        <f t="shared" si="792"/>
        <v>0.87</v>
      </c>
      <c r="EB124" s="55">
        <f t="shared" si="792"/>
        <v>0.85</v>
      </c>
      <c r="EC124" s="55">
        <f t="shared" si="792"/>
        <v>0.83</v>
      </c>
      <c r="ED124" s="55">
        <f t="shared" si="792"/>
        <v>0.80999999999999994</v>
      </c>
      <c r="EE124" s="55">
        <f t="shared" si="792"/>
        <v>0.78999999999999992</v>
      </c>
      <c r="EF124" s="55">
        <f t="shared" si="792"/>
        <v>0.76999999999999991</v>
      </c>
      <c r="EG124" s="55">
        <f t="shared" si="792"/>
        <v>0.74999999999999989</v>
      </c>
      <c r="EH124" s="55">
        <f t="shared" si="792"/>
        <v>0.72999999999999987</v>
      </c>
      <c r="EI124" s="55">
        <f t="shared" si="792"/>
        <v>0.70999999999999985</v>
      </c>
      <c r="EJ124" s="55">
        <f t="shared" si="792"/>
        <v>0.68999999999999984</v>
      </c>
      <c r="EK124" s="55">
        <f t="shared" si="792"/>
        <v>0.66999999999999982</v>
      </c>
      <c r="EL124" s="55">
        <f t="shared" si="792"/>
        <v>0.6499999999999998</v>
      </c>
      <c r="EM124" s="55">
        <f t="shared" si="792"/>
        <v>0.62999999999999978</v>
      </c>
      <c r="EN124" s="55">
        <f t="shared" si="792"/>
        <v>0.60999999999999976</v>
      </c>
      <c r="EO124" s="55">
        <f t="shared" si="792"/>
        <v>0.58999999999999975</v>
      </c>
      <c r="EP124" s="55">
        <f t="shared" si="792"/>
        <v>0.56999999999999973</v>
      </c>
      <c r="ER124" s="55">
        <f t="shared" si="648"/>
        <v>0</v>
      </c>
      <c r="ES124" s="55">
        <f t="shared" si="510"/>
        <v>0</v>
      </c>
      <c r="ET124" s="59">
        <f t="shared" si="747"/>
        <v>0</v>
      </c>
      <c r="EU124" s="55">
        <f t="shared" si="748"/>
        <v>0</v>
      </c>
      <c r="EV124" s="59">
        <f t="shared" si="749"/>
        <v>0</v>
      </c>
      <c r="EW124" s="55">
        <f t="shared" si="750"/>
        <v>0</v>
      </c>
      <c r="EX124" s="59">
        <f t="shared" si="751"/>
        <v>0</v>
      </c>
      <c r="EY124" s="55">
        <f t="shared" si="752"/>
        <v>0</v>
      </c>
      <c r="EZ124" s="59">
        <f t="shared" si="753"/>
        <v>0</v>
      </c>
      <c r="FA124" s="57">
        <f t="shared" si="754"/>
        <v>0</v>
      </c>
      <c r="FB124" s="59">
        <f t="shared" si="755"/>
        <v>0</v>
      </c>
      <c r="FC124" s="55">
        <f t="shared" si="756"/>
        <v>0</v>
      </c>
      <c r="FD124" s="59">
        <f t="shared" si="757"/>
        <v>0</v>
      </c>
      <c r="FE124" s="57">
        <f t="shared" si="758"/>
        <v>0</v>
      </c>
      <c r="FF124" s="59">
        <f t="shared" si="759"/>
        <v>0</v>
      </c>
      <c r="FG124" s="60">
        <f t="shared" si="760"/>
        <v>0</v>
      </c>
      <c r="FH124" s="59">
        <f t="shared" si="761"/>
        <v>0</v>
      </c>
      <c r="FI124" s="57">
        <f t="shared" si="762"/>
        <v>0</v>
      </c>
      <c r="FJ124" s="59">
        <f t="shared" si="763"/>
        <v>0</v>
      </c>
      <c r="FK124" s="55">
        <f t="shared" si="764"/>
        <v>0</v>
      </c>
      <c r="FL124" s="59">
        <f t="shared" si="765"/>
        <v>0</v>
      </c>
      <c r="FM124" s="60">
        <f t="shared" si="766"/>
        <v>0</v>
      </c>
      <c r="FN124" s="59">
        <f t="shared" si="767"/>
        <v>0</v>
      </c>
      <c r="FO124" s="60">
        <f t="shared" si="768"/>
        <v>0</v>
      </c>
      <c r="FP124" s="59">
        <f t="shared" si="769"/>
        <v>0</v>
      </c>
      <c r="FQ124" s="60">
        <f t="shared" si="770"/>
        <v>0</v>
      </c>
      <c r="FR124" s="59">
        <f t="shared" si="771"/>
        <v>0</v>
      </c>
      <c r="FS124" s="55">
        <f t="shared" si="772"/>
        <v>0</v>
      </c>
      <c r="FT124" s="59">
        <f t="shared" si="773"/>
        <v>0</v>
      </c>
      <c r="FU124" s="60">
        <f t="shared" si="774"/>
        <v>0</v>
      </c>
      <c r="FV124" s="59">
        <f t="shared" si="775"/>
        <v>0</v>
      </c>
      <c r="FW124" s="60">
        <f t="shared" si="776"/>
        <v>0</v>
      </c>
      <c r="FX124" s="59">
        <f t="shared" si="777"/>
        <v>0</v>
      </c>
      <c r="FY124" s="60">
        <f t="shared" si="778"/>
        <v>0</v>
      </c>
      <c r="FZ124" s="59">
        <f t="shared" si="779"/>
        <v>0</v>
      </c>
      <c r="GA124" s="60">
        <f t="shared" si="780"/>
        <v>0</v>
      </c>
      <c r="GB124" s="59">
        <f t="shared" si="781"/>
        <v>0</v>
      </c>
      <c r="GC124" s="55">
        <f t="shared" si="782"/>
        <v>0</v>
      </c>
      <c r="GD124" s="59">
        <f t="shared" si="783"/>
        <v>0</v>
      </c>
      <c r="GE124" s="60">
        <f t="shared" si="784"/>
        <v>0</v>
      </c>
      <c r="GF124" s="59">
        <f t="shared" si="785"/>
        <v>0</v>
      </c>
      <c r="GG124" s="60">
        <f t="shared" si="786"/>
        <v>0</v>
      </c>
      <c r="GH124" s="59">
        <f t="shared" si="787"/>
        <v>0</v>
      </c>
      <c r="GI124" s="55">
        <f t="shared" si="788"/>
        <v>0</v>
      </c>
      <c r="GJ124" s="59">
        <f t="shared" si="789"/>
        <v>0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793">+GP124-0.02</f>
        <v>0.91</v>
      </c>
      <c r="GR124" s="55">
        <f t="shared" si="793"/>
        <v>0.89</v>
      </c>
      <c r="GS124" s="55">
        <f t="shared" si="793"/>
        <v>0.87</v>
      </c>
      <c r="GT124" s="55">
        <f t="shared" si="793"/>
        <v>0.85</v>
      </c>
      <c r="GU124" s="55">
        <f t="shared" si="793"/>
        <v>0.83</v>
      </c>
      <c r="GV124" s="55">
        <f t="shared" si="793"/>
        <v>0.80999999999999994</v>
      </c>
      <c r="GW124" s="55">
        <f t="shared" si="793"/>
        <v>0.78999999999999992</v>
      </c>
      <c r="GX124" s="55">
        <f t="shared" si="793"/>
        <v>0.76999999999999991</v>
      </c>
      <c r="GY124" s="55">
        <f t="shared" si="793"/>
        <v>0.74999999999999989</v>
      </c>
      <c r="GZ124" s="55">
        <f t="shared" si="793"/>
        <v>0.72999999999999987</v>
      </c>
      <c r="HA124" s="55">
        <f t="shared" si="793"/>
        <v>0.70999999999999985</v>
      </c>
      <c r="HB124" s="55">
        <f t="shared" si="793"/>
        <v>0.68999999999999984</v>
      </c>
      <c r="HC124" s="55">
        <f t="shared" si="793"/>
        <v>0.66999999999999982</v>
      </c>
      <c r="HD124" s="55">
        <f t="shared" si="793"/>
        <v>0.6499999999999998</v>
      </c>
      <c r="HE124" s="55">
        <f t="shared" si="793"/>
        <v>0.62999999999999978</v>
      </c>
      <c r="HF124" s="55">
        <f t="shared" si="793"/>
        <v>0.60999999999999976</v>
      </c>
      <c r="HG124" s="55">
        <f t="shared" si="793"/>
        <v>0.58999999999999975</v>
      </c>
      <c r="HH124" s="55">
        <f t="shared" si="793"/>
        <v>0.56999999999999973</v>
      </c>
    </row>
    <row r="125" spans="1:216" x14ac:dyDescent="0.3">
      <c r="A125" s="2">
        <v>10</v>
      </c>
      <c r="C125" s="38" t="s">
        <v>150</v>
      </c>
      <c r="D125" s="42">
        <f>TRUNC(37417.3210679829,-1)</f>
        <v>37410</v>
      </c>
      <c r="E125" s="71">
        <f t="shared" si="660"/>
        <v>123660</v>
      </c>
      <c r="H125" s="55">
        <f t="shared" si="505"/>
        <v>136026</v>
      </c>
      <c r="I125" s="55">
        <f t="shared" si="506"/>
        <v>136026</v>
      </c>
      <c r="J125" s="59">
        <f t="shared" si="507"/>
        <v>449674.75080000004</v>
      </c>
      <c r="K125" s="55">
        <f t="shared" si="661"/>
        <v>131945.22</v>
      </c>
      <c r="L125" s="59">
        <f t="shared" si="662"/>
        <v>436184.50827600004</v>
      </c>
      <c r="M125" s="55">
        <f t="shared" si="663"/>
        <v>129224.7</v>
      </c>
      <c r="N125" s="59">
        <f t="shared" si="664"/>
        <v>427191.01325999998</v>
      </c>
      <c r="O125" s="55">
        <f t="shared" si="665"/>
        <v>126504.18000000001</v>
      </c>
      <c r="P125" s="59">
        <f t="shared" si="666"/>
        <v>418197.51824400004</v>
      </c>
      <c r="Q125" s="57">
        <f t="shared" si="667"/>
        <v>123783.66</v>
      </c>
      <c r="R125" s="59">
        <f t="shared" si="668"/>
        <v>409204.02322800003</v>
      </c>
      <c r="S125" s="55">
        <f t="shared" si="669"/>
        <v>121063.14</v>
      </c>
      <c r="T125" s="59">
        <f t="shared" si="670"/>
        <v>400210.52821200003</v>
      </c>
      <c r="U125" s="57">
        <f t="shared" si="671"/>
        <v>118342.62</v>
      </c>
      <c r="V125" s="59">
        <f t="shared" si="672"/>
        <v>391217.03319599997</v>
      </c>
      <c r="W125" s="60">
        <f t="shared" si="673"/>
        <v>115622.09999999999</v>
      </c>
      <c r="X125" s="59">
        <f t="shared" si="674"/>
        <v>382223.53817999997</v>
      </c>
      <c r="Y125" s="57">
        <f t="shared" si="675"/>
        <v>112901.58</v>
      </c>
      <c r="Z125" s="59">
        <f t="shared" si="676"/>
        <v>373230.04316400003</v>
      </c>
      <c r="AA125" s="55">
        <f t="shared" si="677"/>
        <v>110181.06</v>
      </c>
      <c r="AB125" s="59">
        <f t="shared" si="678"/>
        <v>364236.54814799997</v>
      </c>
      <c r="AC125" s="60">
        <f t="shared" si="679"/>
        <v>107460.54</v>
      </c>
      <c r="AD125" s="59">
        <f t="shared" si="680"/>
        <v>355243.05313199997</v>
      </c>
      <c r="AE125" s="60">
        <f t="shared" si="681"/>
        <v>104740.01999999999</v>
      </c>
      <c r="AF125" s="59">
        <f t="shared" si="682"/>
        <v>346249.55811599997</v>
      </c>
      <c r="AG125" s="60">
        <f t="shared" si="683"/>
        <v>102019.49999999999</v>
      </c>
      <c r="AH125" s="59">
        <f t="shared" si="684"/>
        <v>337256.06309999997</v>
      </c>
      <c r="AI125" s="55">
        <f t="shared" si="685"/>
        <v>99298.979999999981</v>
      </c>
      <c r="AJ125" s="59">
        <f t="shared" si="686"/>
        <v>328262.56808399997</v>
      </c>
      <c r="AK125" s="60">
        <f t="shared" si="687"/>
        <v>96578.459999999977</v>
      </c>
      <c r="AL125" s="59">
        <f t="shared" si="688"/>
        <v>319269.07306799991</v>
      </c>
      <c r="AM125" s="60">
        <f t="shared" si="689"/>
        <v>93857.939999999973</v>
      </c>
      <c r="AN125" s="59">
        <f t="shared" si="690"/>
        <v>310275.57805199991</v>
      </c>
      <c r="AO125" s="60">
        <f t="shared" si="691"/>
        <v>91137.419999999969</v>
      </c>
      <c r="AP125" s="59">
        <f t="shared" si="692"/>
        <v>301282.08303599991</v>
      </c>
      <c r="AQ125" s="60">
        <f t="shared" si="693"/>
        <v>88416.89999999998</v>
      </c>
      <c r="AR125" s="59">
        <f t="shared" si="694"/>
        <v>292288.58801999997</v>
      </c>
      <c r="AS125" s="55">
        <f t="shared" si="695"/>
        <v>85696.379999999976</v>
      </c>
      <c r="AT125" s="59">
        <f t="shared" si="696"/>
        <v>283295.09300399991</v>
      </c>
      <c r="AU125" s="60">
        <f t="shared" si="697"/>
        <v>82975.859999999971</v>
      </c>
      <c r="AV125" s="59">
        <f t="shared" si="698"/>
        <v>274301.59798799991</v>
      </c>
      <c r="AW125" s="60">
        <f t="shared" si="699"/>
        <v>80255.339999999967</v>
      </c>
      <c r="AX125" s="59">
        <f t="shared" si="700"/>
        <v>265308.10297199991</v>
      </c>
      <c r="AY125" s="55">
        <f t="shared" si="701"/>
        <v>77534.819999999963</v>
      </c>
      <c r="AZ125" s="59">
        <f t="shared" si="702"/>
        <v>256314.60795599988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03"/>
        <v>0.91</v>
      </c>
      <c r="BH125" s="55">
        <f t="shared" si="703"/>
        <v>0.89</v>
      </c>
      <c r="BI125" s="55">
        <f t="shared" si="703"/>
        <v>0.87</v>
      </c>
      <c r="BJ125" s="55">
        <f t="shared" si="703"/>
        <v>0.85</v>
      </c>
      <c r="BK125" s="55">
        <f t="shared" si="703"/>
        <v>0.83</v>
      </c>
      <c r="BL125" s="55">
        <f t="shared" si="703"/>
        <v>0.80999999999999994</v>
      </c>
      <c r="BM125" s="55">
        <f t="shared" si="703"/>
        <v>0.78999999999999992</v>
      </c>
      <c r="BN125" s="55">
        <f t="shared" si="703"/>
        <v>0.76999999999999991</v>
      </c>
      <c r="BO125" s="55">
        <f t="shared" si="703"/>
        <v>0.74999999999999989</v>
      </c>
      <c r="BP125" s="55">
        <f t="shared" si="703"/>
        <v>0.72999999999999987</v>
      </c>
      <c r="BQ125" s="55">
        <f t="shared" si="703"/>
        <v>0.70999999999999985</v>
      </c>
      <c r="BR125" s="55">
        <f t="shared" si="703"/>
        <v>0.68999999999999984</v>
      </c>
      <c r="BS125" s="55">
        <f t="shared" si="703"/>
        <v>0.66999999999999982</v>
      </c>
      <c r="BT125" s="55">
        <f t="shared" si="703"/>
        <v>0.6499999999999998</v>
      </c>
      <c r="BU125" s="55">
        <f t="shared" si="703"/>
        <v>0.62999999999999978</v>
      </c>
      <c r="BV125" s="55">
        <f t="shared" si="703"/>
        <v>0.60999999999999976</v>
      </c>
      <c r="BW125" s="55">
        <f t="shared" si="703"/>
        <v>0.58999999999999975</v>
      </c>
      <c r="BX125" s="55">
        <f t="shared" si="703"/>
        <v>0.56999999999999973</v>
      </c>
      <c r="BZ125" s="55">
        <f t="shared" si="508"/>
        <v>123783.66</v>
      </c>
      <c r="CA125" s="55">
        <f t="shared" si="509"/>
        <v>123783.66</v>
      </c>
      <c r="CB125" s="59">
        <f t="shared" si="704"/>
        <v>409204.02322800003</v>
      </c>
      <c r="CC125" s="55">
        <f t="shared" si="705"/>
        <v>120070.1502</v>
      </c>
      <c r="CD125" s="59">
        <f t="shared" si="706"/>
        <v>396927.90253116004</v>
      </c>
      <c r="CE125" s="55">
        <f t="shared" si="707"/>
        <v>117594.477</v>
      </c>
      <c r="CF125" s="59">
        <f t="shared" si="708"/>
        <v>388743.82206660003</v>
      </c>
      <c r="CG125" s="55">
        <f t="shared" si="709"/>
        <v>115118.80380000001</v>
      </c>
      <c r="CH125" s="59">
        <f t="shared" si="710"/>
        <v>380559.74160204001</v>
      </c>
      <c r="CI125" s="57">
        <f t="shared" si="711"/>
        <v>112643.1306</v>
      </c>
      <c r="CJ125" s="59">
        <f t="shared" si="712"/>
        <v>372375.66113748</v>
      </c>
      <c r="CK125" s="55">
        <f t="shared" si="713"/>
        <v>110167.4574</v>
      </c>
      <c r="CL125" s="59">
        <f t="shared" si="714"/>
        <v>364191.58067291998</v>
      </c>
      <c r="CM125" s="57">
        <f t="shared" si="715"/>
        <v>107691.78420000001</v>
      </c>
      <c r="CN125" s="59">
        <f t="shared" si="716"/>
        <v>356007.50020836003</v>
      </c>
      <c r="CO125" s="60">
        <f t="shared" si="717"/>
        <v>105216.111</v>
      </c>
      <c r="CP125" s="59">
        <f t="shared" si="718"/>
        <v>347823.41974380001</v>
      </c>
      <c r="CQ125" s="57">
        <f t="shared" si="719"/>
        <v>102740.4378</v>
      </c>
      <c r="CR125" s="59">
        <f t="shared" si="720"/>
        <v>339639.33927924</v>
      </c>
      <c r="CS125" s="55">
        <f t="shared" si="721"/>
        <v>100264.76459999999</v>
      </c>
      <c r="CT125" s="59">
        <f t="shared" si="722"/>
        <v>331455.25881467998</v>
      </c>
      <c r="CU125" s="60">
        <f t="shared" si="723"/>
        <v>97789.09139999999</v>
      </c>
      <c r="CV125" s="59">
        <f t="shared" si="724"/>
        <v>323271.17835011997</v>
      </c>
      <c r="CW125" s="60">
        <f t="shared" si="725"/>
        <v>95313.418199999986</v>
      </c>
      <c r="CX125" s="59">
        <f t="shared" si="726"/>
        <v>315087.09788555995</v>
      </c>
      <c r="CY125" s="60">
        <f t="shared" si="727"/>
        <v>92837.744999999995</v>
      </c>
      <c r="CZ125" s="59">
        <f t="shared" si="728"/>
        <v>306903.017421</v>
      </c>
      <c r="DA125" s="55">
        <f t="shared" si="729"/>
        <v>90362.071799999991</v>
      </c>
      <c r="DB125" s="59">
        <f t="shared" si="730"/>
        <v>298718.93695643998</v>
      </c>
      <c r="DC125" s="60">
        <f t="shared" si="731"/>
        <v>87886.398599999986</v>
      </c>
      <c r="DD125" s="59">
        <f t="shared" si="732"/>
        <v>290534.85649187997</v>
      </c>
      <c r="DE125" s="60">
        <f t="shared" si="733"/>
        <v>85410.725399999981</v>
      </c>
      <c r="DF125" s="59">
        <f t="shared" si="734"/>
        <v>282350.77602731995</v>
      </c>
      <c r="DG125" s="60">
        <f t="shared" si="735"/>
        <v>82935.052199999976</v>
      </c>
      <c r="DH125" s="59">
        <f t="shared" si="736"/>
        <v>274166.69556275994</v>
      </c>
      <c r="DI125" s="60">
        <f t="shared" si="737"/>
        <v>80459.378999999972</v>
      </c>
      <c r="DJ125" s="59">
        <f t="shared" si="738"/>
        <v>265982.61509819992</v>
      </c>
      <c r="DK125" s="55">
        <f t="shared" si="739"/>
        <v>77983.705799999982</v>
      </c>
      <c r="DL125" s="59">
        <f t="shared" si="740"/>
        <v>257798.53463363994</v>
      </c>
      <c r="DM125" s="60">
        <f t="shared" si="741"/>
        <v>75508.032599999977</v>
      </c>
      <c r="DN125" s="59">
        <f t="shared" si="742"/>
        <v>249614.45416907992</v>
      </c>
      <c r="DO125" s="60">
        <f t="shared" si="743"/>
        <v>73032.359399999972</v>
      </c>
      <c r="DP125" s="59">
        <f t="shared" si="744"/>
        <v>241430.37370451991</v>
      </c>
      <c r="DQ125" s="55">
        <f t="shared" si="745"/>
        <v>70556.686199999967</v>
      </c>
      <c r="DR125" s="59">
        <f t="shared" si="746"/>
        <v>233246.29323995989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792"/>
        <v>0.91</v>
      </c>
      <c r="DZ125" s="55">
        <f t="shared" si="792"/>
        <v>0.89</v>
      </c>
      <c r="EA125" s="55">
        <f t="shared" si="792"/>
        <v>0.87</v>
      </c>
      <c r="EB125" s="55">
        <f t="shared" si="792"/>
        <v>0.85</v>
      </c>
      <c r="EC125" s="55">
        <f t="shared" si="792"/>
        <v>0.83</v>
      </c>
      <c r="ED125" s="55">
        <f t="shared" si="792"/>
        <v>0.80999999999999994</v>
      </c>
      <c r="EE125" s="55">
        <f t="shared" si="792"/>
        <v>0.78999999999999992</v>
      </c>
      <c r="EF125" s="55">
        <f t="shared" si="792"/>
        <v>0.76999999999999991</v>
      </c>
      <c r="EG125" s="55">
        <f t="shared" si="792"/>
        <v>0.74999999999999989</v>
      </c>
      <c r="EH125" s="55">
        <f t="shared" si="792"/>
        <v>0.72999999999999987</v>
      </c>
      <c r="EI125" s="55">
        <f t="shared" si="792"/>
        <v>0.70999999999999985</v>
      </c>
      <c r="EJ125" s="55">
        <f t="shared" si="792"/>
        <v>0.68999999999999984</v>
      </c>
      <c r="EK125" s="55">
        <f t="shared" si="792"/>
        <v>0.66999999999999982</v>
      </c>
      <c r="EL125" s="55">
        <f t="shared" si="792"/>
        <v>0.6499999999999998</v>
      </c>
      <c r="EM125" s="55">
        <f t="shared" si="792"/>
        <v>0.62999999999999978</v>
      </c>
      <c r="EN125" s="55">
        <f t="shared" si="792"/>
        <v>0.60999999999999976</v>
      </c>
      <c r="EO125" s="55">
        <f t="shared" si="792"/>
        <v>0.58999999999999975</v>
      </c>
      <c r="EP125" s="55">
        <f t="shared" si="792"/>
        <v>0.56999999999999973</v>
      </c>
      <c r="ER125" s="55">
        <f t="shared" si="648"/>
        <v>112643.1306</v>
      </c>
      <c r="ES125" s="55">
        <f t="shared" si="510"/>
        <v>112643.1306</v>
      </c>
      <c r="ET125" s="59">
        <f t="shared" si="747"/>
        <v>372375.66113748</v>
      </c>
      <c r="EU125" s="55">
        <f t="shared" si="748"/>
        <v>109263.83668199999</v>
      </c>
      <c r="EV125" s="59">
        <f t="shared" si="749"/>
        <v>361204.39130335557</v>
      </c>
      <c r="EW125" s="55">
        <f t="shared" si="750"/>
        <v>107010.97407</v>
      </c>
      <c r="EX125" s="59">
        <f t="shared" si="751"/>
        <v>353756.87808060599</v>
      </c>
      <c r="EY125" s="55">
        <f t="shared" si="752"/>
        <v>104758.11145800001</v>
      </c>
      <c r="EZ125" s="59">
        <f t="shared" si="753"/>
        <v>346309.36485785648</v>
      </c>
      <c r="FA125" s="57">
        <f t="shared" si="754"/>
        <v>102505.248846</v>
      </c>
      <c r="FB125" s="59">
        <f t="shared" si="755"/>
        <v>338861.85163510684</v>
      </c>
      <c r="FC125" s="55">
        <f t="shared" si="756"/>
        <v>100252.38623400001</v>
      </c>
      <c r="FD125" s="59">
        <f t="shared" si="757"/>
        <v>331414.3384123572</v>
      </c>
      <c r="FE125" s="57">
        <f t="shared" si="758"/>
        <v>97999.523622000008</v>
      </c>
      <c r="FF125" s="59">
        <f t="shared" si="759"/>
        <v>323966.82518960763</v>
      </c>
      <c r="FG125" s="60">
        <f t="shared" si="760"/>
        <v>95746.661009999996</v>
      </c>
      <c r="FH125" s="59">
        <f t="shared" si="761"/>
        <v>316519.31196685799</v>
      </c>
      <c r="FI125" s="57">
        <f t="shared" si="762"/>
        <v>93493.798397999999</v>
      </c>
      <c r="FJ125" s="59">
        <f t="shared" si="763"/>
        <v>309071.79874410841</v>
      </c>
      <c r="FK125" s="55">
        <f t="shared" si="764"/>
        <v>91240.935786000002</v>
      </c>
      <c r="FL125" s="59">
        <f t="shared" si="765"/>
        <v>301624.28552135883</v>
      </c>
      <c r="FM125" s="60">
        <f t="shared" si="766"/>
        <v>88988.07317399999</v>
      </c>
      <c r="FN125" s="59">
        <f t="shared" si="767"/>
        <v>294176.7722986092</v>
      </c>
      <c r="FO125" s="60">
        <f t="shared" si="768"/>
        <v>86735.210561999993</v>
      </c>
      <c r="FP125" s="59">
        <f t="shared" si="769"/>
        <v>286729.25907585956</v>
      </c>
      <c r="FQ125" s="60">
        <f t="shared" si="770"/>
        <v>84482.347949999996</v>
      </c>
      <c r="FR125" s="59">
        <f t="shared" si="771"/>
        <v>279281.74585310998</v>
      </c>
      <c r="FS125" s="55">
        <f t="shared" si="772"/>
        <v>82229.485337999984</v>
      </c>
      <c r="FT125" s="59">
        <f t="shared" si="773"/>
        <v>271834.23263036035</v>
      </c>
      <c r="FU125" s="60">
        <f t="shared" si="774"/>
        <v>79976.622725999987</v>
      </c>
      <c r="FV125" s="59">
        <f t="shared" si="775"/>
        <v>264386.71940761077</v>
      </c>
      <c r="FW125" s="60">
        <f t="shared" si="776"/>
        <v>77723.76011399999</v>
      </c>
      <c r="FX125" s="59">
        <f t="shared" si="777"/>
        <v>256939.20618486116</v>
      </c>
      <c r="FY125" s="60">
        <f t="shared" si="778"/>
        <v>75470.897501999978</v>
      </c>
      <c r="FZ125" s="59">
        <f t="shared" si="779"/>
        <v>249491.69296211153</v>
      </c>
      <c r="GA125" s="60">
        <f t="shared" si="780"/>
        <v>73218.034889999981</v>
      </c>
      <c r="GB125" s="59">
        <f t="shared" si="781"/>
        <v>242044.17973936195</v>
      </c>
      <c r="GC125" s="55">
        <f t="shared" si="782"/>
        <v>70965.172277999984</v>
      </c>
      <c r="GD125" s="59">
        <f t="shared" si="783"/>
        <v>234596.66651661234</v>
      </c>
      <c r="GE125" s="60">
        <f t="shared" si="784"/>
        <v>68712.309665999972</v>
      </c>
      <c r="GF125" s="59">
        <f t="shared" si="785"/>
        <v>227149.15329386271</v>
      </c>
      <c r="GG125" s="60">
        <f t="shared" si="786"/>
        <v>66459.447053999975</v>
      </c>
      <c r="GH125" s="59">
        <f t="shared" si="787"/>
        <v>219701.64007111313</v>
      </c>
      <c r="GI125" s="55">
        <f t="shared" si="788"/>
        <v>64206.58444199997</v>
      </c>
      <c r="GJ125" s="59">
        <f t="shared" si="789"/>
        <v>212254.12684836349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793"/>
        <v>0.91</v>
      </c>
      <c r="GR125" s="55">
        <f t="shared" si="793"/>
        <v>0.89</v>
      </c>
      <c r="GS125" s="55">
        <f t="shared" si="793"/>
        <v>0.87</v>
      </c>
      <c r="GT125" s="55">
        <f t="shared" si="793"/>
        <v>0.85</v>
      </c>
      <c r="GU125" s="55">
        <f t="shared" si="793"/>
        <v>0.83</v>
      </c>
      <c r="GV125" s="55">
        <f t="shared" si="793"/>
        <v>0.80999999999999994</v>
      </c>
      <c r="GW125" s="55">
        <f t="shared" si="793"/>
        <v>0.78999999999999992</v>
      </c>
      <c r="GX125" s="55">
        <f t="shared" si="793"/>
        <v>0.76999999999999991</v>
      </c>
      <c r="GY125" s="55">
        <f t="shared" si="793"/>
        <v>0.74999999999999989</v>
      </c>
      <c r="GZ125" s="55">
        <f t="shared" si="793"/>
        <v>0.72999999999999987</v>
      </c>
      <c r="HA125" s="55">
        <f t="shared" si="793"/>
        <v>0.70999999999999985</v>
      </c>
      <c r="HB125" s="55">
        <f t="shared" si="793"/>
        <v>0.68999999999999984</v>
      </c>
      <c r="HC125" s="55">
        <f t="shared" si="793"/>
        <v>0.66999999999999982</v>
      </c>
      <c r="HD125" s="55">
        <f t="shared" si="793"/>
        <v>0.6499999999999998</v>
      </c>
      <c r="HE125" s="55">
        <f t="shared" si="793"/>
        <v>0.62999999999999978</v>
      </c>
      <c r="HF125" s="55">
        <f t="shared" si="793"/>
        <v>0.60999999999999976</v>
      </c>
      <c r="HG125" s="55">
        <f t="shared" si="793"/>
        <v>0.58999999999999975</v>
      </c>
      <c r="HH125" s="55">
        <f t="shared" si="793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TRUNC(708.464662328921,-1)</f>
        <v>700</v>
      </c>
      <c r="E126" s="72">
        <f t="shared" si="660"/>
        <v>2310</v>
      </c>
      <c r="F126" s="54" t="s">
        <v>309</v>
      </c>
      <c r="H126" s="55">
        <f t="shared" si="505"/>
        <v>2541</v>
      </c>
      <c r="I126" s="55">
        <f t="shared" si="506"/>
        <v>2541</v>
      </c>
      <c r="J126" s="59">
        <f t="shared" si="507"/>
        <v>8400.0378000000001</v>
      </c>
      <c r="K126" s="55">
        <f t="shared" si="661"/>
        <v>2464.77</v>
      </c>
      <c r="L126" s="59">
        <f t="shared" si="662"/>
        <v>8148.036666</v>
      </c>
      <c r="M126" s="55">
        <f t="shared" si="663"/>
        <v>2413.9499999999998</v>
      </c>
      <c r="N126" s="59">
        <f t="shared" si="664"/>
        <v>7980.0359099999996</v>
      </c>
      <c r="O126" s="55">
        <f t="shared" si="665"/>
        <v>2363.13</v>
      </c>
      <c r="P126" s="59">
        <f t="shared" si="666"/>
        <v>7812.0351540000001</v>
      </c>
      <c r="Q126" s="57">
        <f t="shared" si="667"/>
        <v>2312.31</v>
      </c>
      <c r="R126" s="59">
        <f t="shared" si="668"/>
        <v>7644.0343979999998</v>
      </c>
      <c r="S126" s="55">
        <f t="shared" si="669"/>
        <v>2261.4900000000002</v>
      </c>
      <c r="T126" s="59">
        <f t="shared" si="670"/>
        <v>7476.0336420000012</v>
      </c>
      <c r="U126" s="57">
        <f t="shared" si="671"/>
        <v>2210.67</v>
      </c>
      <c r="V126" s="59">
        <f t="shared" si="672"/>
        <v>7308.032886</v>
      </c>
      <c r="W126" s="60">
        <f t="shared" si="673"/>
        <v>2159.85</v>
      </c>
      <c r="X126" s="59">
        <f t="shared" si="674"/>
        <v>7140.0321299999996</v>
      </c>
      <c r="Y126" s="57">
        <f t="shared" si="675"/>
        <v>2109.0299999999997</v>
      </c>
      <c r="Z126" s="59">
        <f t="shared" si="676"/>
        <v>6972.0313739999992</v>
      </c>
      <c r="AA126" s="55">
        <f t="shared" si="677"/>
        <v>2058.21</v>
      </c>
      <c r="AB126" s="59">
        <f t="shared" si="678"/>
        <v>6804.0306180000007</v>
      </c>
      <c r="AC126" s="60">
        <f t="shared" si="679"/>
        <v>2007.3899999999999</v>
      </c>
      <c r="AD126" s="59">
        <f t="shared" si="680"/>
        <v>6636.0298619999994</v>
      </c>
      <c r="AE126" s="60">
        <f t="shared" si="681"/>
        <v>1956.5699999999997</v>
      </c>
      <c r="AF126" s="59">
        <f t="shared" si="682"/>
        <v>6468.029105999999</v>
      </c>
      <c r="AG126" s="60">
        <f t="shared" si="683"/>
        <v>1905.7499999999998</v>
      </c>
      <c r="AH126" s="59">
        <f t="shared" si="684"/>
        <v>6300.0283499999996</v>
      </c>
      <c r="AI126" s="55">
        <f t="shared" si="685"/>
        <v>1854.9299999999996</v>
      </c>
      <c r="AJ126" s="59">
        <f t="shared" si="686"/>
        <v>6132.0275939999992</v>
      </c>
      <c r="AK126" s="60">
        <f t="shared" si="687"/>
        <v>1804.1099999999997</v>
      </c>
      <c r="AL126" s="59">
        <f t="shared" si="688"/>
        <v>5964.0268379999989</v>
      </c>
      <c r="AM126" s="60">
        <f t="shared" si="689"/>
        <v>1753.2899999999995</v>
      </c>
      <c r="AN126" s="59">
        <f t="shared" si="690"/>
        <v>5796.0260819999985</v>
      </c>
      <c r="AO126" s="60">
        <f t="shared" si="691"/>
        <v>1702.4699999999996</v>
      </c>
      <c r="AP126" s="59">
        <f t="shared" si="692"/>
        <v>5628.025325999999</v>
      </c>
      <c r="AQ126" s="60">
        <f t="shared" si="693"/>
        <v>1651.6499999999994</v>
      </c>
      <c r="AR126" s="59">
        <f t="shared" si="694"/>
        <v>5460.0245699999978</v>
      </c>
      <c r="AS126" s="55">
        <f t="shared" si="695"/>
        <v>1600.8299999999995</v>
      </c>
      <c r="AT126" s="59">
        <f t="shared" si="696"/>
        <v>5292.0238139999983</v>
      </c>
      <c r="AU126" s="60">
        <f t="shared" si="697"/>
        <v>1550.0099999999993</v>
      </c>
      <c r="AV126" s="59">
        <f t="shared" si="698"/>
        <v>5124.0230579999979</v>
      </c>
      <c r="AW126" s="60">
        <f t="shared" si="699"/>
        <v>1499.1899999999994</v>
      </c>
      <c r="AX126" s="59">
        <f t="shared" si="700"/>
        <v>4956.0223019999976</v>
      </c>
      <c r="AY126" s="55">
        <f t="shared" si="701"/>
        <v>1448.3699999999992</v>
      </c>
      <c r="AZ126" s="59">
        <f t="shared" si="702"/>
        <v>4788.0215459999972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03"/>
        <v>0.91</v>
      </c>
      <c r="BH126" s="55">
        <f t="shared" si="703"/>
        <v>0.89</v>
      </c>
      <c r="BI126" s="55">
        <f t="shared" si="703"/>
        <v>0.87</v>
      </c>
      <c r="BJ126" s="55">
        <f t="shared" si="703"/>
        <v>0.85</v>
      </c>
      <c r="BK126" s="55">
        <f t="shared" si="703"/>
        <v>0.83</v>
      </c>
      <c r="BL126" s="55">
        <f t="shared" si="703"/>
        <v>0.80999999999999994</v>
      </c>
      <c r="BM126" s="55">
        <f t="shared" si="703"/>
        <v>0.78999999999999992</v>
      </c>
      <c r="BN126" s="55">
        <f t="shared" si="703"/>
        <v>0.76999999999999991</v>
      </c>
      <c r="BO126" s="55">
        <f t="shared" si="703"/>
        <v>0.74999999999999989</v>
      </c>
      <c r="BP126" s="55">
        <f t="shared" si="703"/>
        <v>0.72999999999999987</v>
      </c>
      <c r="BQ126" s="55">
        <f t="shared" si="703"/>
        <v>0.70999999999999985</v>
      </c>
      <c r="BR126" s="55">
        <f t="shared" si="703"/>
        <v>0.68999999999999984</v>
      </c>
      <c r="BS126" s="55">
        <f t="shared" si="703"/>
        <v>0.66999999999999982</v>
      </c>
      <c r="BT126" s="55">
        <f t="shared" si="703"/>
        <v>0.6499999999999998</v>
      </c>
      <c r="BU126" s="55">
        <f t="shared" si="703"/>
        <v>0.62999999999999978</v>
      </c>
      <c r="BV126" s="55">
        <f t="shared" si="703"/>
        <v>0.60999999999999976</v>
      </c>
      <c r="BW126" s="55">
        <f t="shared" si="703"/>
        <v>0.58999999999999975</v>
      </c>
      <c r="BX126" s="55">
        <f t="shared" si="703"/>
        <v>0.56999999999999973</v>
      </c>
      <c r="BZ126" s="55">
        <f t="shared" si="508"/>
        <v>2312.31</v>
      </c>
      <c r="CA126" s="55">
        <f t="shared" si="509"/>
        <v>2312.31</v>
      </c>
      <c r="CB126" s="59">
        <f t="shared" si="704"/>
        <v>7644.0343979999998</v>
      </c>
      <c r="CC126" s="55">
        <f t="shared" si="705"/>
        <v>2242.9407000000001</v>
      </c>
      <c r="CD126" s="59">
        <f t="shared" si="706"/>
        <v>7414.7133660600002</v>
      </c>
      <c r="CE126" s="55">
        <f t="shared" si="707"/>
        <v>2196.6945000000001</v>
      </c>
      <c r="CF126" s="59">
        <f t="shared" si="708"/>
        <v>7261.8326781000005</v>
      </c>
      <c r="CG126" s="55">
        <f t="shared" si="709"/>
        <v>2150.4483</v>
      </c>
      <c r="CH126" s="59">
        <f t="shared" si="710"/>
        <v>7108.9519901399999</v>
      </c>
      <c r="CI126" s="57">
        <f t="shared" si="711"/>
        <v>2104.2021</v>
      </c>
      <c r="CJ126" s="59">
        <f t="shared" si="712"/>
        <v>6956.0713021800002</v>
      </c>
      <c r="CK126" s="55">
        <f t="shared" si="713"/>
        <v>2057.9558999999999</v>
      </c>
      <c r="CL126" s="59">
        <f t="shared" si="714"/>
        <v>6803.1906142199996</v>
      </c>
      <c r="CM126" s="57">
        <f t="shared" si="715"/>
        <v>2011.7096999999999</v>
      </c>
      <c r="CN126" s="59">
        <f t="shared" si="716"/>
        <v>6650.3099262599999</v>
      </c>
      <c r="CO126" s="60">
        <f t="shared" si="717"/>
        <v>1965.4634999999998</v>
      </c>
      <c r="CP126" s="59">
        <f t="shared" si="718"/>
        <v>6497.4292382999993</v>
      </c>
      <c r="CQ126" s="57">
        <f t="shared" si="719"/>
        <v>1919.2172999999998</v>
      </c>
      <c r="CR126" s="59">
        <f t="shared" si="720"/>
        <v>6344.5485503399996</v>
      </c>
      <c r="CS126" s="55">
        <f t="shared" si="721"/>
        <v>1872.9710999999998</v>
      </c>
      <c r="CT126" s="59">
        <f t="shared" si="722"/>
        <v>6191.667862379999</v>
      </c>
      <c r="CU126" s="60">
        <f t="shared" si="723"/>
        <v>1826.7248999999997</v>
      </c>
      <c r="CV126" s="59">
        <f t="shared" si="724"/>
        <v>6038.7871744199992</v>
      </c>
      <c r="CW126" s="60">
        <f t="shared" si="725"/>
        <v>1780.4786999999997</v>
      </c>
      <c r="CX126" s="59">
        <f t="shared" si="726"/>
        <v>5885.9064864599986</v>
      </c>
      <c r="CY126" s="60">
        <f t="shared" si="727"/>
        <v>1734.2324999999996</v>
      </c>
      <c r="CZ126" s="59">
        <f t="shared" si="728"/>
        <v>5733.0257984999989</v>
      </c>
      <c r="DA126" s="55">
        <f t="shared" si="729"/>
        <v>1687.9862999999996</v>
      </c>
      <c r="DB126" s="59">
        <f t="shared" si="730"/>
        <v>5580.1451105399983</v>
      </c>
      <c r="DC126" s="60">
        <f t="shared" si="731"/>
        <v>1641.7400999999995</v>
      </c>
      <c r="DD126" s="59">
        <f t="shared" si="732"/>
        <v>5427.2644225799986</v>
      </c>
      <c r="DE126" s="60">
        <f t="shared" si="733"/>
        <v>1595.4938999999995</v>
      </c>
      <c r="DF126" s="59">
        <f t="shared" si="734"/>
        <v>5274.383734619998</v>
      </c>
      <c r="DG126" s="60">
        <f t="shared" si="735"/>
        <v>1549.2476999999994</v>
      </c>
      <c r="DH126" s="59">
        <f t="shared" si="736"/>
        <v>5121.5030466599983</v>
      </c>
      <c r="DI126" s="60">
        <f t="shared" si="737"/>
        <v>1503.0014999999994</v>
      </c>
      <c r="DJ126" s="59">
        <f t="shared" si="738"/>
        <v>4968.6223586999977</v>
      </c>
      <c r="DK126" s="55">
        <f t="shared" si="739"/>
        <v>1456.7552999999994</v>
      </c>
      <c r="DL126" s="59">
        <f t="shared" si="740"/>
        <v>4815.741670739998</v>
      </c>
      <c r="DM126" s="60">
        <f t="shared" si="741"/>
        <v>1410.5090999999995</v>
      </c>
      <c r="DN126" s="59">
        <f t="shared" si="742"/>
        <v>4662.8609827799983</v>
      </c>
      <c r="DO126" s="60">
        <f t="shared" si="743"/>
        <v>1364.2628999999995</v>
      </c>
      <c r="DP126" s="59">
        <f t="shared" si="744"/>
        <v>4509.9802948199986</v>
      </c>
      <c r="DQ126" s="55">
        <f t="shared" si="745"/>
        <v>1318.0166999999994</v>
      </c>
      <c r="DR126" s="59">
        <f t="shared" si="746"/>
        <v>4357.0996068599979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792"/>
        <v>0.91</v>
      </c>
      <c r="DZ126" s="55">
        <f t="shared" si="792"/>
        <v>0.89</v>
      </c>
      <c r="EA126" s="55">
        <f t="shared" si="792"/>
        <v>0.87</v>
      </c>
      <c r="EB126" s="55">
        <f t="shared" si="792"/>
        <v>0.85</v>
      </c>
      <c r="EC126" s="55">
        <f t="shared" si="792"/>
        <v>0.83</v>
      </c>
      <c r="ED126" s="55">
        <f t="shared" si="792"/>
        <v>0.80999999999999994</v>
      </c>
      <c r="EE126" s="55">
        <f t="shared" si="792"/>
        <v>0.78999999999999992</v>
      </c>
      <c r="EF126" s="55">
        <f t="shared" si="792"/>
        <v>0.76999999999999991</v>
      </c>
      <c r="EG126" s="55">
        <f t="shared" si="792"/>
        <v>0.74999999999999989</v>
      </c>
      <c r="EH126" s="55">
        <f t="shared" si="792"/>
        <v>0.72999999999999987</v>
      </c>
      <c r="EI126" s="55">
        <f t="shared" si="792"/>
        <v>0.70999999999999985</v>
      </c>
      <c r="EJ126" s="55">
        <f t="shared" si="792"/>
        <v>0.68999999999999984</v>
      </c>
      <c r="EK126" s="55">
        <f t="shared" si="792"/>
        <v>0.66999999999999982</v>
      </c>
      <c r="EL126" s="55">
        <f t="shared" si="792"/>
        <v>0.6499999999999998</v>
      </c>
      <c r="EM126" s="55">
        <f t="shared" si="792"/>
        <v>0.62999999999999978</v>
      </c>
      <c r="EN126" s="55">
        <f t="shared" si="792"/>
        <v>0.60999999999999976</v>
      </c>
      <c r="EO126" s="55">
        <f t="shared" si="792"/>
        <v>0.58999999999999975</v>
      </c>
      <c r="EP126" s="55">
        <f t="shared" si="792"/>
        <v>0.56999999999999973</v>
      </c>
      <c r="ER126" s="55">
        <f t="shared" si="648"/>
        <v>2104.2021</v>
      </c>
      <c r="ES126" s="55">
        <f t="shared" si="510"/>
        <v>2104.2021</v>
      </c>
      <c r="ET126" s="59">
        <f t="shared" si="747"/>
        <v>6956.0713021800002</v>
      </c>
      <c r="EU126" s="55">
        <f t="shared" si="748"/>
        <v>2041.0760369999998</v>
      </c>
      <c r="EV126" s="59">
        <f t="shared" si="749"/>
        <v>6747.3891631145998</v>
      </c>
      <c r="EW126" s="55">
        <f t="shared" si="750"/>
        <v>1998.9919949999999</v>
      </c>
      <c r="EX126" s="59">
        <f t="shared" si="751"/>
        <v>6608.2677370709998</v>
      </c>
      <c r="EY126" s="55">
        <f t="shared" si="752"/>
        <v>1956.9079530000001</v>
      </c>
      <c r="EZ126" s="59">
        <f t="shared" si="753"/>
        <v>6469.1463110274008</v>
      </c>
      <c r="FA126" s="57">
        <f t="shared" si="754"/>
        <v>1914.823911</v>
      </c>
      <c r="FB126" s="59">
        <f t="shared" si="755"/>
        <v>6330.0248849837999</v>
      </c>
      <c r="FC126" s="55">
        <f t="shared" si="756"/>
        <v>1872.739869</v>
      </c>
      <c r="FD126" s="59">
        <f t="shared" si="757"/>
        <v>6190.9034589401999</v>
      </c>
      <c r="FE126" s="57">
        <f t="shared" si="758"/>
        <v>1830.655827</v>
      </c>
      <c r="FF126" s="59">
        <f t="shared" si="759"/>
        <v>6051.7820328966</v>
      </c>
      <c r="FG126" s="60">
        <f t="shared" si="760"/>
        <v>1788.5717849999999</v>
      </c>
      <c r="FH126" s="59">
        <f t="shared" si="761"/>
        <v>5912.660606853</v>
      </c>
      <c r="FI126" s="57">
        <f t="shared" si="762"/>
        <v>1746.4877429999999</v>
      </c>
      <c r="FJ126" s="59">
        <f t="shared" si="763"/>
        <v>5773.5391808094</v>
      </c>
      <c r="FK126" s="55">
        <f t="shared" si="764"/>
        <v>1704.403701</v>
      </c>
      <c r="FL126" s="59">
        <f t="shared" si="765"/>
        <v>5634.4177547658001</v>
      </c>
      <c r="FM126" s="60">
        <f t="shared" si="766"/>
        <v>1662.3196589999998</v>
      </c>
      <c r="FN126" s="59">
        <f t="shared" si="767"/>
        <v>5495.2963287221992</v>
      </c>
      <c r="FO126" s="60">
        <f t="shared" si="768"/>
        <v>1620.2356169999998</v>
      </c>
      <c r="FP126" s="59">
        <f t="shared" si="769"/>
        <v>5356.1749026785992</v>
      </c>
      <c r="FQ126" s="60">
        <f t="shared" si="770"/>
        <v>1578.1515749999996</v>
      </c>
      <c r="FR126" s="59">
        <f t="shared" si="771"/>
        <v>5217.0534766349992</v>
      </c>
      <c r="FS126" s="55">
        <f t="shared" si="772"/>
        <v>1536.0675329999997</v>
      </c>
      <c r="FT126" s="59">
        <f t="shared" si="773"/>
        <v>5077.9320505913993</v>
      </c>
      <c r="FU126" s="60">
        <f t="shared" si="774"/>
        <v>1493.9834909999997</v>
      </c>
      <c r="FV126" s="59">
        <f t="shared" si="775"/>
        <v>4938.8106245477993</v>
      </c>
      <c r="FW126" s="60">
        <f t="shared" si="776"/>
        <v>1451.8994489999995</v>
      </c>
      <c r="FX126" s="59">
        <f t="shared" si="777"/>
        <v>4799.6891985041984</v>
      </c>
      <c r="FY126" s="60">
        <f t="shared" si="778"/>
        <v>1409.8154069999996</v>
      </c>
      <c r="FZ126" s="59">
        <f t="shared" si="779"/>
        <v>4660.5677724605985</v>
      </c>
      <c r="GA126" s="60">
        <f t="shared" si="780"/>
        <v>1367.7313649999996</v>
      </c>
      <c r="GB126" s="59">
        <f t="shared" si="781"/>
        <v>4521.4463464169985</v>
      </c>
      <c r="GC126" s="55">
        <f t="shared" si="782"/>
        <v>1325.6473229999995</v>
      </c>
      <c r="GD126" s="59">
        <f t="shared" si="783"/>
        <v>4382.3249203733985</v>
      </c>
      <c r="GE126" s="60">
        <f t="shared" si="784"/>
        <v>1283.5632809999995</v>
      </c>
      <c r="GF126" s="59">
        <f t="shared" si="785"/>
        <v>4243.2034943297986</v>
      </c>
      <c r="GG126" s="60">
        <f t="shared" si="786"/>
        <v>1241.4792389999996</v>
      </c>
      <c r="GH126" s="59">
        <f t="shared" si="787"/>
        <v>4104.0820682861986</v>
      </c>
      <c r="GI126" s="55">
        <f t="shared" si="788"/>
        <v>1199.3951969999994</v>
      </c>
      <c r="GJ126" s="59">
        <f t="shared" si="789"/>
        <v>3964.9606422425982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793"/>
        <v>0.91</v>
      </c>
      <c r="GR126" s="55">
        <f t="shared" si="793"/>
        <v>0.89</v>
      </c>
      <c r="GS126" s="55">
        <f t="shared" si="793"/>
        <v>0.87</v>
      </c>
      <c r="GT126" s="55">
        <f t="shared" si="793"/>
        <v>0.85</v>
      </c>
      <c r="GU126" s="55">
        <f t="shared" si="793"/>
        <v>0.83</v>
      </c>
      <c r="GV126" s="55">
        <f t="shared" si="793"/>
        <v>0.80999999999999994</v>
      </c>
      <c r="GW126" s="55">
        <f t="shared" si="793"/>
        <v>0.78999999999999992</v>
      </c>
      <c r="GX126" s="55">
        <f t="shared" si="793"/>
        <v>0.76999999999999991</v>
      </c>
      <c r="GY126" s="55">
        <f t="shared" si="793"/>
        <v>0.74999999999999989</v>
      </c>
      <c r="GZ126" s="55">
        <f t="shared" si="793"/>
        <v>0.72999999999999987</v>
      </c>
      <c r="HA126" s="55">
        <f t="shared" si="793"/>
        <v>0.70999999999999985</v>
      </c>
      <c r="HB126" s="55">
        <f t="shared" si="793"/>
        <v>0.68999999999999984</v>
      </c>
      <c r="HC126" s="55">
        <f t="shared" si="793"/>
        <v>0.66999999999999982</v>
      </c>
      <c r="HD126" s="55">
        <f t="shared" si="793"/>
        <v>0.6499999999999998</v>
      </c>
      <c r="HE126" s="55">
        <f t="shared" si="793"/>
        <v>0.62999999999999978</v>
      </c>
      <c r="HF126" s="55">
        <f t="shared" si="793"/>
        <v>0.60999999999999976</v>
      </c>
      <c r="HG126" s="55">
        <f t="shared" si="793"/>
        <v>0.58999999999999975</v>
      </c>
      <c r="HH126" s="55">
        <f t="shared" si="793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48380</v>
      </c>
      <c r="E127" s="39">
        <f>SUM(E116:E126)</f>
        <v>159910</v>
      </c>
      <c r="H127" s="55">
        <f t="shared" si="505"/>
        <v>175901</v>
      </c>
      <c r="I127" s="55">
        <f t="shared" si="506"/>
        <v>175901</v>
      </c>
      <c r="J127" s="59">
        <f t="shared" si="507"/>
        <v>581493.52580000006</v>
      </c>
      <c r="K127" s="55">
        <f t="shared" si="661"/>
        <v>170623.97</v>
      </c>
      <c r="L127" s="59">
        <f t="shared" si="662"/>
        <v>564048.72002600005</v>
      </c>
      <c r="M127" s="55">
        <f t="shared" si="663"/>
        <v>167105.94999999998</v>
      </c>
      <c r="N127" s="59">
        <f t="shared" si="664"/>
        <v>552418.84950999997</v>
      </c>
      <c r="O127" s="55">
        <f t="shared" si="665"/>
        <v>163587.93000000002</v>
      </c>
      <c r="P127" s="59">
        <f t="shared" si="666"/>
        <v>540788.97899400012</v>
      </c>
      <c r="Q127" s="57">
        <f t="shared" si="667"/>
        <v>160069.91</v>
      </c>
      <c r="R127" s="59">
        <f t="shared" si="668"/>
        <v>529159.10847800004</v>
      </c>
      <c r="S127" s="55">
        <f t="shared" si="669"/>
        <v>156551.89000000001</v>
      </c>
      <c r="T127" s="59">
        <f t="shared" si="670"/>
        <v>517529.23796200007</v>
      </c>
      <c r="U127" s="57">
        <f t="shared" si="671"/>
        <v>153033.87</v>
      </c>
      <c r="V127" s="59">
        <f t="shared" si="672"/>
        <v>505899.36744599999</v>
      </c>
      <c r="W127" s="60">
        <f t="shared" si="673"/>
        <v>149515.85</v>
      </c>
      <c r="X127" s="59">
        <f t="shared" si="674"/>
        <v>494269.49693000002</v>
      </c>
      <c r="Y127" s="57">
        <f t="shared" si="675"/>
        <v>145997.82999999999</v>
      </c>
      <c r="Z127" s="59">
        <f t="shared" si="676"/>
        <v>482639.62641399994</v>
      </c>
      <c r="AA127" s="55">
        <f t="shared" si="677"/>
        <v>142479.81</v>
      </c>
      <c r="AB127" s="59">
        <f t="shared" si="678"/>
        <v>471009.75589799997</v>
      </c>
      <c r="AC127" s="60">
        <f t="shared" si="679"/>
        <v>138961.78999999998</v>
      </c>
      <c r="AD127" s="59">
        <f t="shared" si="680"/>
        <v>459379.88538199995</v>
      </c>
      <c r="AE127" s="60">
        <f t="shared" si="681"/>
        <v>135443.76999999999</v>
      </c>
      <c r="AF127" s="59">
        <f t="shared" si="682"/>
        <v>447750.01486599998</v>
      </c>
      <c r="AG127" s="60">
        <f t="shared" si="683"/>
        <v>131925.74999999997</v>
      </c>
      <c r="AH127" s="59">
        <f t="shared" si="684"/>
        <v>436120.1443499999</v>
      </c>
      <c r="AI127" s="55">
        <f t="shared" si="685"/>
        <v>128407.72999999998</v>
      </c>
      <c r="AJ127" s="59">
        <f t="shared" si="686"/>
        <v>424490.27383399993</v>
      </c>
      <c r="AK127" s="60">
        <f t="shared" si="687"/>
        <v>124889.70999999998</v>
      </c>
      <c r="AL127" s="59">
        <f t="shared" si="688"/>
        <v>412860.40331799991</v>
      </c>
      <c r="AM127" s="60">
        <f t="shared" si="689"/>
        <v>121371.68999999997</v>
      </c>
      <c r="AN127" s="59">
        <f t="shared" si="690"/>
        <v>401230.53280199994</v>
      </c>
      <c r="AO127" s="60">
        <f t="shared" si="691"/>
        <v>117853.66999999997</v>
      </c>
      <c r="AP127" s="59">
        <f t="shared" si="692"/>
        <v>389600.66228599992</v>
      </c>
      <c r="AQ127" s="60">
        <f t="shared" si="693"/>
        <v>114335.64999999997</v>
      </c>
      <c r="AR127" s="59">
        <f t="shared" si="694"/>
        <v>377970.79176999989</v>
      </c>
      <c r="AS127" s="55">
        <f t="shared" si="695"/>
        <v>110817.62999999996</v>
      </c>
      <c r="AT127" s="59">
        <f t="shared" si="696"/>
        <v>366340.92125399987</v>
      </c>
      <c r="AU127" s="60">
        <f t="shared" si="697"/>
        <v>107299.60999999996</v>
      </c>
      <c r="AV127" s="59">
        <f t="shared" si="698"/>
        <v>354711.05073799985</v>
      </c>
      <c r="AW127" s="60">
        <f t="shared" si="699"/>
        <v>103781.58999999995</v>
      </c>
      <c r="AX127" s="59">
        <f t="shared" si="700"/>
        <v>343081.18022199988</v>
      </c>
      <c r="AY127" s="55">
        <f t="shared" si="701"/>
        <v>100263.56999999995</v>
      </c>
      <c r="AZ127" s="59">
        <f t="shared" si="702"/>
        <v>331451.30970599985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03"/>
        <v>0.91</v>
      </c>
      <c r="BH127" s="55">
        <f t="shared" si="703"/>
        <v>0.89</v>
      </c>
      <c r="BI127" s="55">
        <f t="shared" si="703"/>
        <v>0.87</v>
      </c>
      <c r="BJ127" s="55">
        <f t="shared" si="703"/>
        <v>0.85</v>
      </c>
      <c r="BK127" s="55">
        <f t="shared" si="703"/>
        <v>0.83</v>
      </c>
      <c r="BL127" s="55">
        <f t="shared" si="703"/>
        <v>0.80999999999999994</v>
      </c>
      <c r="BM127" s="55">
        <f t="shared" si="703"/>
        <v>0.78999999999999992</v>
      </c>
      <c r="BN127" s="55">
        <f t="shared" si="703"/>
        <v>0.76999999999999991</v>
      </c>
      <c r="BO127" s="55">
        <f t="shared" si="703"/>
        <v>0.74999999999999989</v>
      </c>
      <c r="BP127" s="55">
        <f t="shared" si="703"/>
        <v>0.72999999999999987</v>
      </c>
      <c r="BQ127" s="55">
        <f t="shared" si="703"/>
        <v>0.70999999999999985</v>
      </c>
      <c r="BR127" s="55">
        <f t="shared" si="703"/>
        <v>0.68999999999999984</v>
      </c>
      <c r="BS127" s="55">
        <f t="shared" si="703"/>
        <v>0.66999999999999982</v>
      </c>
      <c r="BT127" s="55">
        <f t="shared" si="703"/>
        <v>0.6499999999999998</v>
      </c>
      <c r="BU127" s="55">
        <f t="shared" si="703"/>
        <v>0.62999999999999978</v>
      </c>
      <c r="BV127" s="55">
        <f t="shared" si="703"/>
        <v>0.60999999999999976</v>
      </c>
      <c r="BW127" s="55">
        <f t="shared" si="703"/>
        <v>0.58999999999999975</v>
      </c>
      <c r="BX127" s="55">
        <f t="shared" si="703"/>
        <v>0.56999999999999973</v>
      </c>
      <c r="BZ127" s="55">
        <f t="shared" si="508"/>
        <v>160069.91</v>
      </c>
      <c r="CA127" s="55">
        <f t="shared" si="509"/>
        <v>160069.91</v>
      </c>
      <c r="CB127" s="59">
        <f t="shared" si="704"/>
        <v>529159.10847800004</v>
      </c>
      <c r="CC127" s="55">
        <f t="shared" si="705"/>
        <v>155267.81270000001</v>
      </c>
      <c r="CD127" s="59">
        <f t="shared" si="706"/>
        <v>513284.33522366005</v>
      </c>
      <c r="CE127" s="55">
        <f t="shared" si="707"/>
        <v>152066.41449999998</v>
      </c>
      <c r="CF127" s="59">
        <f t="shared" si="708"/>
        <v>502701.15305409994</v>
      </c>
      <c r="CG127" s="55">
        <f t="shared" si="709"/>
        <v>148865.01630000002</v>
      </c>
      <c r="CH127" s="59">
        <f t="shared" si="710"/>
        <v>492117.97088454006</v>
      </c>
      <c r="CI127" s="57">
        <f t="shared" si="711"/>
        <v>145663.61810000002</v>
      </c>
      <c r="CJ127" s="59">
        <f t="shared" si="712"/>
        <v>481534.78871498007</v>
      </c>
      <c r="CK127" s="55">
        <f t="shared" si="713"/>
        <v>142462.2199</v>
      </c>
      <c r="CL127" s="59">
        <f t="shared" si="714"/>
        <v>470951.60654542001</v>
      </c>
      <c r="CM127" s="57">
        <f t="shared" si="715"/>
        <v>139260.8217</v>
      </c>
      <c r="CN127" s="59">
        <f t="shared" si="716"/>
        <v>460368.42437586002</v>
      </c>
      <c r="CO127" s="60">
        <f t="shared" si="717"/>
        <v>136059.4235</v>
      </c>
      <c r="CP127" s="59">
        <f t="shared" si="718"/>
        <v>449785.24220630003</v>
      </c>
      <c r="CQ127" s="57">
        <f t="shared" si="719"/>
        <v>132858.02530000001</v>
      </c>
      <c r="CR127" s="59">
        <f t="shared" si="720"/>
        <v>439202.06003674003</v>
      </c>
      <c r="CS127" s="55">
        <f t="shared" si="721"/>
        <v>129656.6271</v>
      </c>
      <c r="CT127" s="59">
        <f t="shared" si="722"/>
        <v>428618.87786717998</v>
      </c>
      <c r="CU127" s="60">
        <f t="shared" si="723"/>
        <v>126455.22889999999</v>
      </c>
      <c r="CV127" s="59">
        <f t="shared" si="724"/>
        <v>418035.69569761999</v>
      </c>
      <c r="CW127" s="60">
        <f t="shared" si="725"/>
        <v>123253.83069999999</v>
      </c>
      <c r="CX127" s="59">
        <f t="shared" si="726"/>
        <v>407452.51352805999</v>
      </c>
      <c r="CY127" s="60">
        <f t="shared" si="727"/>
        <v>120052.43249999998</v>
      </c>
      <c r="CZ127" s="59">
        <f t="shared" si="728"/>
        <v>396869.33135849994</v>
      </c>
      <c r="DA127" s="55">
        <f t="shared" si="729"/>
        <v>116851.03429999998</v>
      </c>
      <c r="DB127" s="59">
        <f t="shared" si="730"/>
        <v>386286.14918893995</v>
      </c>
      <c r="DC127" s="60">
        <f t="shared" si="731"/>
        <v>113649.63609999997</v>
      </c>
      <c r="DD127" s="59">
        <f t="shared" si="732"/>
        <v>375702.9670193799</v>
      </c>
      <c r="DE127" s="60">
        <f t="shared" si="733"/>
        <v>110448.23789999998</v>
      </c>
      <c r="DF127" s="59">
        <f t="shared" si="734"/>
        <v>365119.78484981996</v>
      </c>
      <c r="DG127" s="60">
        <f t="shared" si="735"/>
        <v>107246.83969999997</v>
      </c>
      <c r="DH127" s="59">
        <f t="shared" si="736"/>
        <v>354536.60268025991</v>
      </c>
      <c r="DI127" s="60">
        <f t="shared" si="737"/>
        <v>104045.44149999997</v>
      </c>
      <c r="DJ127" s="59">
        <f t="shared" si="738"/>
        <v>343953.42051069991</v>
      </c>
      <c r="DK127" s="55">
        <f t="shared" si="739"/>
        <v>100844.04329999996</v>
      </c>
      <c r="DL127" s="59">
        <f t="shared" si="740"/>
        <v>333370.23834113986</v>
      </c>
      <c r="DM127" s="60">
        <f t="shared" si="741"/>
        <v>97642.645099999965</v>
      </c>
      <c r="DN127" s="59">
        <f t="shared" si="742"/>
        <v>322787.05617157987</v>
      </c>
      <c r="DO127" s="60">
        <f t="shared" si="743"/>
        <v>94441.246899999955</v>
      </c>
      <c r="DP127" s="59">
        <f t="shared" si="744"/>
        <v>312203.87400201987</v>
      </c>
      <c r="DQ127" s="55">
        <f t="shared" si="745"/>
        <v>91239.848699999959</v>
      </c>
      <c r="DR127" s="59">
        <f t="shared" si="746"/>
        <v>301620.69183245988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792"/>
        <v>0.91</v>
      </c>
      <c r="DZ127" s="55">
        <f t="shared" si="792"/>
        <v>0.89</v>
      </c>
      <c r="EA127" s="55">
        <f t="shared" si="792"/>
        <v>0.87</v>
      </c>
      <c r="EB127" s="55">
        <f t="shared" si="792"/>
        <v>0.85</v>
      </c>
      <c r="EC127" s="55">
        <f t="shared" si="792"/>
        <v>0.83</v>
      </c>
      <c r="ED127" s="55">
        <f t="shared" si="792"/>
        <v>0.80999999999999994</v>
      </c>
      <c r="EE127" s="55">
        <f t="shared" si="792"/>
        <v>0.78999999999999992</v>
      </c>
      <c r="EF127" s="55">
        <f t="shared" si="792"/>
        <v>0.76999999999999991</v>
      </c>
      <c r="EG127" s="55">
        <f t="shared" si="792"/>
        <v>0.74999999999999989</v>
      </c>
      <c r="EH127" s="55">
        <f t="shared" si="792"/>
        <v>0.72999999999999987</v>
      </c>
      <c r="EI127" s="55">
        <f t="shared" si="792"/>
        <v>0.70999999999999985</v>
      </c>
      <c r="EJ127" s="55">
        <f t="shared" si="792"/>
        <v>0.68999999999999984</v>
      </c>
      <c r="EK127" s="55">
        <f t="shared" si="792"/>
        <v>0.66999999999999982</v>
      </c>
      <c r="EL127" s="55">
        <f t="shared" si="792"/>
        <v>0.6499999999999998</v>
      </c>
      <c r="EM127" s="55">
        <f t="shared" si="792"/>
        <v>0.62999999999999978</v>
      </c>
      <c r="EN127" s="55">
        <f t="shared" si="792"/>
        <v>0.60999999999999976</v>
      </c>
      <c r="EO127" s="55">
        <f t="shared" si="792"/>
        <v>0.58999999999999975</v>
      </c>
      <c r="EP127" s="55">
        <f t="shared" si="792"/>
        <v>0.56999999999999973</v>
      </c>
      <c r="ER127" s="55">
        <f t="shared" si="648"/>
        <v>145663.61810000002</v>
      </c>
      <c r="ES127" s="55">
        <f t="shared" si="510"/>
        <v>145663.61810000002</v>
      </c>
      <c r="ET127" s="59">
        <f t="shared" si="747"/>
        <v>481534.78871498007</v>
      </c>
      <c r="EU127" s="55">
        <f t="shared" si="748"/>
        <v>141293.70955700002</v>
      </c>
      <c r="EV127" s="59">
        <f t="shared" si="749"/>
        <v>467088.74505353067</v>
      </c>
      <c r="EW127" s="55">
        <f t="shared" si="750"/>
        <v>138380.43719500001</v>
      </c>
      <c r="EX127" s="59">
        <f t="shared" si="751"/>
        <v>457458.04927923105</v>
      </c>
      <c r="EY127" s="55">
        <f t="shared" si="752"/>
        <v>135467.16483300002</v>
      </c>
      <c r="EZ127" s="59">
        <f t="shared" si="753"/>
        <v>447827.35350493144</v>
      </c>
      <c r="FA127" s="57">
        <f t="shared" si="754"/>
        <v>132553.89247100003</v>
      </c>
      <c r="FB127" s="59">
        <f t="shared" si="755"/>
        <v>438196.65773063188</v>
      </c>
      <c r="FC127" s="55">
        <f t="shared" si="756"/>
        <v>129640.62010900002</v>
      </c>
      <c r="FD127" s="59">
        <f t="shared" si="757"/>
        <v>428565.96195633226</v>
      </c>
      <c r="FE127" s="57">
        <f t="shared" si="758"/>
        <v>126727.34774700002</v>
      </c>
      <c r="FF127" s="59">
        <f t="shared" si="759"/>
        <v>418935.2661820327</v>
      </c>
      <c r="FG127" s="60">
        <f t="shared" si="760"/>
        <v>123814.07538500002</v>
      </c>
      <c r="FH127" s="59">
        <f t="shared" si="761"/>
        <v>409304.57040773309</v>
      </c>
      <c r="FI127" s="57">
        <f t="shared" si="762"/>
        <v>120900.80302300001</v>
      </c>
      <c r="FJ127" s="59">
        <f t="shared" si="763"/>
        <v>399673.87463343347</v>
      </c>
      <c r="FK127" s="55">
        <f t="shared" si="764"/>
        <v>117987.53066100001</v>
      </c>
      <c r="FL127" s="59">
        <f t="shared" si="765"/>
        <v>390043.17885913386</v>
      </c>
      <c r="FM127" s="60">
        <f t="shared" si="766"/>
        <v>115074.25829900001</v>
      </c>
      <c r="FN127" s="59">
        <f t="shared" si="767"/>
        <v>380412.48308483424</v>
      </c>
      <c r="FO127" s="60">
        <f t="shared" si="768"/>
        <v>112160.985937</v>
      </c>
      <c r="FP127" s="59">
        <f t="shared" si="769"/>
        <v>370781.78731053462</v>
      </c>
      <c r="FQ127" s="60">
        <f t="shared" si="770"/>
        <v>109247.713575</v>
      </c>
      <c r="FR127" s="59">
        <f t="shared" si="771"/>
        <v>361151.09153623501</v>
      </c>
      <c r="FS127" s="55">
        <f t="shared" si="772"/>
        <v>106334.441213</v>
      </c>
      <c r="FT127" s="59">
        <f t="shared" si="773"/>
        <v>351520.39576193539</v>
      </c>
      <c r="FU127" s="60">
        <f t="shared" si="774"/>
        <v>103421.16885099999</v>
      </c>
      <c r="FV127" s="59">
        <f t="shared" si="775"/>
        <v>341889.69998763577</v>
      </c>
      <c r="FW127" s="60">
        <f t="shared" si="776"/>
        <v>100507.89648899999</v>
      </c>
      <c r="FX127" s="59">
        <f t="shared" si="777"/>
        <v>332259.00421333616</v>
      </c>
      <c r="FY127" s="60">
        <f t="shared" si="778"/>
        <v>97594.624126999988</v>
      </c>
      <c r="FZ127" s="59">
        <f t="shared" si="779"/>
        <v>322628.30843903654</v>
      </c>
      <c r="GA127" s="60">
        <f t="shared" si="780"/>
        <v>94681.351764999985</v>
      </c>
      <c r="GB127" s="59">
        <f t="shared" si="781"/>
        <v>312997.61266473698</v>
      </c>
      <c r="GC127" s="55">
        <f t="shared" si="782"/>
        <v>91768.079402999982</v>
      </c>
      <c r="GD127" s="59">
        <f t="shared" si="783"/>
        <v>303366.91689043737</v>
      </c>
      <c r="GE127" s="60">
        <f t="shared" si="784"/>
        <v>88854.807040999978</v>
      </c>
      <c r="GF127" s="59">
        <f t="shared" si="785"/>
        <v>293736.22111613775</v>
      </c>
      <c r="GG127" s="60">
        <f t="shared" si="786"/>
        <v>85941.534678999975</v>
      </c>
      <c r="GH127" s="59">
        <f t="shared" si="787"/>
        <v>284105.52534183813</v>
      </c>
      <c r="GI127" s="55">
        <f t="shared" si="788"/>
        <v>83028.262316999972</v>
      </c>
      <c r="GJ127" s="59">
        <f t="shared" si="789"/>
        <v>274474.82956753852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793"/>
        <v>0.91</v>
      </c>
      <c r="GR127" s="55">
        <f t="shared" si="793"/>
        <v>0.89</v>
      </c>
      <c r="GS127" s="55">
        <f t="shared" si="793"/>
        <v>0.87</v>
      </c>
      <c r="GT127" s="55">
        <f t="shared" si="793"/>
        <v>0.85</v>
      </c>
      <c r="GU127" s="55">
        <f t="shared" si="793"/>
        <v>0.83</v>
      </c>
      <c r="GV127" s="55">
        <f t="shared" si="793"/>
        <v>0.80999999999999994</v>
      </c>
      <c r="GW127" s="55">
        <f t="shared" si="793"/>
        <v>0.78999999999999992</v>
      </c>
      <c r="GX127" s="55">
        <f t="shared" si="793"/>
        <v>0.76999999999999991</v>
      </c>
      <c r="GY127" s="55">
        <f t="shared" si="793"/>
        <v>0.74999999999999989</v>
      </c>
      <c r="GZ127" s="55">
        <f t="shared" si="793"/>
        <v>0.72999999999999987</v>
      </c>
      <c r="HA127" s="55">
        <f t="shared" si="793"/>
        <v>0.70999999999999985</v>
      </c>
      <c r="HB127" s="55">
        <f t="shared" si="793"/>
        <v>0.68999999999999984</v>
      </c>
      <c r="HC127" s="55">
        <f t="shared" si="793"/>
        <v>0.66999999999999982</v>
      </c>
      <c r="HD127" s="55">
        <f t="shared" si="793"/>
        <v>0.6499999999999998</v>
      </c>
      <c r="HE127" s="55">
        <f t="shared" si="793"/>
        <v>0.62999999999999978</v>
      </c>
      <c r="HF127" s="55">
        <f t="shared" si="793"/>
        <v>0.60999999999999976</v>
      </c>
      <c r="HG127" s="55">
        <f t="shared" si="793"/>
        <v>0.58999999999999975</v>
      </c>
      <c r="HH127" s="55">
        <f t="shared" si="793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794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795">+DW128-0.02</f>
        <v>0.91</v>
      </c>
      <c r="DY128" s="61">
        <f t="shared" si="795"/>
        <v>0.89</v>
      </c>
      <c r="DZ128" s="61">
        <f t="shared" si="795"/>
        <v>0.87</v>
      </c>
      <c r="EA128" s="61">
        <f t="shared" si="795"/>
        <v>0.85</v>
      </c>
      <c r="EB128" s="61">
        <f t="shared" si="795"/>
        <v>0.83</v>
      </c>
      <c r="EC128" s="61">
        <f t="shared" si="795"/>
        <v>0.80999999999999994</v>
      </c>
      <c r="ED128" s="61">
        <f t="shared" si="795"/>
        <v>0.78999999999999992</v>
      </c>
      <c r="EE128" s="61">
        <f t="shared" si="795"/>
        <v>0.76999999999999991</v>
      </c>
      <c r="EF128" s="61">
        <f t="shared" si="795"/>
        <v>0.74999999999999989</v>
      </c>
      <c r="EG128" s="61">
        <f t="shared" si="795"/>
        <v>0.72999999999999987</v>
      </c>
      <c r="EH128" s="61">
        <f t="shared" si="795"/>
        <v>0.70999999999999985</v>
      </c>
      <c r="EI128" s="61">
        <f t="shared" si="795"/>
        <v>0.68999999999999984</v>
      </c>
      <c r="EJ128" s="61">
        <f t="shared" si="795"/>
        <v>0.66999999999999982</v>
      </c>
      <c r="EK128" s="61">
        <f t="shared" si="795"/>
        <v>0.6499999999999998</v>
      </c>
      <c r="EL128" s="61">
        <f t="shared" si="795"/>
        <v>0.62999999999999978</v>
      </c>
      <c r="EM128" s="61">
        <f t="shared" si="795"/>
        <v>0.60999999999999976</v>
      </c>
      <c r="EN128" s="61">
        <f t="shared" si="795"/>
        <v>0.58999999999999975</v>
      </c>
      <c r="EO128" s="61">
        <f t="shared" si="795"/>
        <v>0.56999999999999973</v>
      </c>
      <c r="EQ128" s="61">
        <f t="shared" ref="EQ128:EQ129" si="796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797">+GO128-0.02</f>
        <v>0.91</v>
      </c>
      <c r="GQ128" s="61">
        <f t="shared" si="797"/>
        <v>0.89</v>
      </c>
      <c r="GR128" s="61">
        <f t="shared" si="797"/>
        <v>0.87</v>
      </c>
      <c r="GS128" s="61">
        <f t="shared" si="797"/>
        <v>0.85</v>
      </c>
      <c r="GT128" s="61">
        <f t="shared" si="797"/>
        <v>0.83</v>
      </c>
      <c r="GU128" s="61">
        <f t="shared" si="797"/>
        <v>0.80999999999999994</v>
      </c>
      <c r="GV128" s="61">
        <f t="shared" si="797"/>
        <v>0.78999999999999992</v>
      </c>
      <c r="GW128" s="61">
        <f t="shared" si="797"/>
        <v>0.76999999999999991</v>
      </c>
      <c r="GX128" s="61">
        <f t="shared" si="797"/>
        <v>0.74999999999999989</v>
      </c>
      <c r="GY128" s="61">
        <f t="shared" si="797"/>
        <v>0.72999999999999987</v>
      </c>
      <c r="GZ128" s="61">
        <f t="shared" si="797"/>
        <v>0.70999999999999985</v>
      </c>
      <c r="HA128" s="61">
        <f t="shared" si="797"/>
        <v>0.68999999999999984</v>
      </c>
      <c r="HB128" s="61">
        <f t="shared" si="797"/>
        <v>0.66999999999999982</v>
      </c>
      <c r="HC128" s="61">
        <f t="shared" si="797"/>
        <v>0.6499999999999998</v>
      </c>
      <c r="HD128" s="61">
        <f t="shared" si="797"/>
        <v>0.62999999999999978</v>
      </c>
      <c r="HE128" s="61">
        <f t="shared" si="797"/>
        <v>0.60999999999999976</v>
      </c>
      <c r="HF128" s="61">
        <f t="shared" si="797"/>
        <v>0.58999999999999975</v>
      </c>
      <c r="HG128" s="61">
        <f t="shared" si="797"/>
        <v>0.56999999999999973</v>
      </c>
    </row>
    <row r="129" spans="1:216" s="64" customFormat="1" ht="17.25" thickBot="1" x14ac:dyDescent="0.35">
      <c r="B129" s="64" t="s">
        <v>301</v>
      </c>
      <c r="C129" s="64" t="s">
        <v>298</v>
      </c>
      <c r="D129" s="65" t="s">
        <v>272</v>
      </c>
      <c r="E129" s="65" t="s">
        <v>155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794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795"/>
        <v>0.91</v>
      </c>
      <c r="DY129" s="61">
        <f t="shared" si="795"/>
        <v>0.89</v>
      </c>
      <c r="DZ129" s="61">
        <f t="shared" si="795"/>
        <v>0.87</v>
      </c>
      <c r="EA129" s="61">
        <f t="shared" si="795"/>
        <v>0.85</v>
      </c>
      <c r="EB129" s="61">
        <f t="shared" si="795"/>
        <v>0.83</v>
      </c>
      <c r="EC129" s="61">
        <f t="shared" si="795"/>
        <v>0.80999999999999994</v>
      </c>
      <c r="ED129" s="61">
        <f t="shared" si="795"/>
        <v>0.78999999999999992</v>
      </c>
      <c r="EE129" s="61">
        <f t="shared" si="795"/>
        <v>0.76999999999999991</v>
      </c>
      <c r="EF129" s="61">
        <f t="shared" si="795"/>
        <v>0.74999999999999989</v>
      </c>
      <c r="EG129" s="61">
        <f t="shared" si="795"/>
        <v>0.72999999999999987</v>
      </c>
      <c r="EH129" s="61">
        <f t="shared" si="795"/>
        <v>0.70999999999999985</v>
      </c>
      <c r="EI129" s="61">
        <f t="shared" si="795"/>
        <v>0.68999999999999984</v>
      </c>
      <c r="EJ129" s="61">
        <f t="shared" si="795"/>
        <v>0.66999999999999982</v>
      </c>
      <c r="EK129" s="61">
        <f t="shared" si="795"/>
        <v>0.6499999999999998</v>
      </c>
      <c r="EL129" s="61">
        <f t="shared" si="795"/>
        <v>0.62999999999999978</v>
      </c>
      <c r="EM129" s="61">
        <f t="shared" si="795"/>
        <v>0.60999999999999976</v>
      </c>
      <c r="EN129" s="61">
        <f t="shared" si="795"/>
        <v>0.58999999999999975</v>
      </c>
      <c r="EO129" s="61">
        <f t="shared" si="795"/>
        <v>0.56999999999999973</v>
      </c>
      <c r="EQ129" s="61">
        <f t="shared" si="796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797"/>
        <v>0.91</v>
      </c>
      <c r="GQ129" s="61">
        <f t="shared" si="797"/>
        <v>0.89</v>
      </c>
      <c r="GR129" s="61">
        <f t="shared" si="797"/>
        <v>0.87</v>
      </c>
      <c r="GS129" s="61">
        <f t="shared" si="797"/>
        <v>0.85</v>
      </c>
      <c r="GT129" s="61">
        <f t="shared" si="797"/>
        <v>0.83</v>
      </c>
      <c r="GU129" s="61">
        <f t="shared" si="797"/>
        <v>0.80999999999999994</v>
      </c>
      <c r="GV129" s="61">
        <f t="shared" si="797"/>
        <v>0.78999999999999992</v>
      </c>
      <c r="GW129" s="61">
        <f t="shared" si="797"/>
        <v>0.76999999999999991</v>
      </c>
      <c r="GX129" s="61">
        <f t="shared" si="797"/>
        <v>0.74999999999999989</v>
      </c>
      <c r="GY129" s="61">
        <f t="shared" si="797"/>
        <v>0.72999999999999987</v>
      </c>
      <c r="GZ129" s="61">
        <f t="shared" si="797"/>
        <v>0.70999999999999985</v>
      </c>
      <c r="HA129" s="61">
        <f t="shared" si="797"/>
        <v>0.68999999999999984</v>
      </c>
      <c r="HB129" s="61">
        <f t="shared" si="797"/>
        <v>0.66999999999999982</v>
      </c>
      <c r="HC129" s="61">
        <f t="shared" si="797"/>
        <v>0.6499999999999998</v>
      </c>
      <c r="HD129" s="61">
        <f t="shared" si="797"/>
        <v>0.62999999999999978</v>
      </c>
      <c r="HE129" s="61">
        <f t="shared" si="797"/>
        <v>0.60999999999999976</v>
      </c>
      <c r="HF129" s="61">
        <f t="shared" si="797"/>
        <v>0.58999999999999975</v>
      </c>
      <c r="HG129" s="61">
        <f t="shared" si="797"/>
        <v>0.56999999999999973</v>
      </c>
    </row>
    <row r="130" spans="1:216" x14ac:dyDescent="0.3">
      <c r="A130" s="2">
        <v>1</v>
      </c>
      <c r="C130" s="38" t="s">
        <v>132</v>
      </c>
      <c r="D130" s="40">
        <f>TRUNC(23346.1846533543,-1)</f>
        <v>23340</v>
      </c>
      <c r="E130" s="70">
        <f t="shared" ref="E130:E139" si="798">TRUNC(+D130*3.3058,-1)</f>
        <v>77150</v>
      </c>
      <c r="H130" s="55">
        <f t="shared" si="505"/>
        <v>84865</v>
      </c>
      <c r="I130" s="55">
        <f t="shared" si="506"/>
        <v>84865</v>
      </c>
      <c r="J130" s="59">
        <f t="shared" si="507"/>
        <v>280546.717</v>
      </c>
      <c r="K130" s="55">
        <f t="shared" ref="K130:K140" si="799">+I130*BD130</f>
        <v>82319.05</v>
      </c>
      <c r="L130" s="59">
        <f t="shared" ref="L130:L140" si="800">+K130*3.3058</f>
        <v>272130.31549000001</v>
      </c>
      <c r="M130" s="55">
        <f t="shared" ref="M130:M140" si="801">+I130*BE130</f>
        <v>80621.75</v>
      </c>
      <c r="N130" s="59">
        <f t="shared" ref="N130:N140" si="802">+M130*3.3058</f>
        <v>266519.38115000003</v>
      </c>
      <c r="O130" s="55">
        <f t="shared" ref="O130:O140" si="803">+I130*BF130</f>
        <v>78924.45</v>
      </c>
      <c r="P130" s="59">
        <f t="shared" ref="P130:P140" si="804">+O130*3.3058</f>
        <v>260908.44680999999</v>
      </c>
      <c r="Q130" s="57">
        <f t="shared" ref="Q130:Q140" si="805">+I130*BG130</f>
        <v>77227.150000000009</v>
      </c>
      <c r="R130" s="59">
        <f t="shared" ref="R130:R140" si="806">+Q130*3.3058</f>
        <v>255297.51247000005</v>
      </c>
      <c r="S130" s="55">
        <f t="shared" ref="S130:S140" si="807">+I130*BH130</f>
        <v>75529.850000000006</v>
      </c>
      <c r="T130" s="59">
        <f t="shared" ref="T130:T140" si="808">+S130*3.3058</f>
        <v>249686.57813000004</v>
      </c>
      <c r="U130" s="57">
        <f t="shared" ref="U130:U140" si="809">+I130*BI130</f>
        <v>73832.55</v>
      </c>
      <c r="V130" s="59">
        <f t="shared" ref="V130:V140" si="810">+U130*3.3058</f>
        <v>244075.64379</v>
      </c>
      <c r="W130" s="60">
        <f t="shared" ref="W130:W140" si="811">+I130*BJ130</f>
        <v>72135.25</v>
      </c>
      <c r="X130" s="59">
        <f t="shared" ref="X130:X140" si="812">+W130*3.3058</f>
        <v>238464.70944999999</v>
      </c>
      <c r="Y130" s="57">
        <f t="shared" ref="Y130:Y140" si="813">+I130*BK130</f>
        <v>70437.95</v>
      </c>
      <c r="Z130" s="59">
        <f t="shared" ref="Z130:Z140" si="814">+Y130*3.3058</f>
        <v>232853.77510999999</v>
      </c>
      <c r="AA130" s="55">
        <f t="shared" ref="AA130:AA140" si="815">+I130*BL130</f>
        <v>68740.649999999994</v>
      </c>
      <c r="AB130" s="59">
        <f t="shared" ref="AB130:AB140" si="816">+AA130*3.3058</f>
        <v>227242.84076999998</v>
      </c>
      <c r="AC130" s="60">
        <f t="shared" ref="AC130:AC140" si="817">+I130*BM130</f>
        <v>67043.349999999991</v>
      </c>
      <c r="AD130" s="59">
        <f t="shared" ref="AD130:AD140" si="818">+AC130*3.3058</f>
        <v>221631.90642999997</v>
      </c>
      <c r="AE130" s="60">
        <f t="shared" ref="AE130:AE140" si="819">+I130*BN130</f>
        <v>65346.049999999996</v>
      </c>
      <c r="AF130" s="59">
        <f t="shared" ref="AF130:AF140" si="820">+AE130*3.3058</f>
        <v>216020.97209</v>
      </c>
      <c r="AG130" s="60">
        <f t="shared" ref="AG130:AG140" si="821">+I130*BO130</f>
        <v>63648.749999999993</v>
      </c>
      <c r="AH130" s="59">
        <f t="shared" ref="AH130:AH140" si="822">+AG130*3.3058</f>
        <v>210410.03774999999</v>
      </c>
      <c r="AI130" s="55">
        <f t="shared" ref="AI130:AI140" si="823">+I130*BP130</f>
        <v>61951.44999999999</v>
      </c>
      <c r="AJ130" s="59">
        <f t="shared" ref="AJ130:AJ140" si="824">+AI130*3.3058</f>
        <v>204799.10340999998</v>
      </c>
      <c r="AK130" s="60">
        <f t="shared" ref="AK130:AK140" si="825">+I130*BQ130</f>
        <v>60254.149999999987</v>
      </c>
      <c r="AL130" s="59">
        <f t="shared" ref="AL130:AL140" si="826">+AK130*3.3058</f>
        <v>199188.16906999997</v>
      </c>
      <c r="AM130" s="60">
        <f t="shared" ref="AM130:AM140" si="827">+I130*BR130</f>
        <v>58556.849999999984</v>
      </c>
      <c r="AN130" s="59">
        <f t="shared" ref="AN130:AN140" si="828">+AM130*3.3058</f>
        <v>193577.23472999994</v>
      </c>
      <c r="AO130" s="60">
        <f t="shared" ref="AO130:AO140" si="829">+I130*BS130</f>
        <v>56859.549999999981</v>
      </c>
      <c r="AP130" s="59">
        <f t="shared" ref="AP130:AP140" si="830">+AO130*3.3058</f>
        <v>187966.30038999993</v>
      </c>
      <c r="AQ130" s="60">
        <f t="shared" ref="AQ130:AQ140" si="831">+I130*BT130</f>
        <v>55162.249999999985</v>
      </c>
      <c r="AR130" s="59">
        <f t="shared" ref="AR130:AR140" si="832">+AQ130*3.3058</f>
        <v>182355.36604999995</v>
      </c>
      <c r="AS130" s="55">
        <f t="shared" ref="AS130:AS140" si="833">+I130*BU130</f>
        <v>53464.949999999983</v>
      </c>
      <c r="AT130" s="59">
        <f t="shared" ref="AT130:AT140" si="834">+AS130*3.3058</f>
        <v>176744.43170999995</v>
      </c>
      <c r="AU130" s="60">
        <f t="shared" ref="AU130:AU140" si="835">+I130*BV130</f>
        <v>51767.64999999998</v>
      </c>
      <c r="AV130" s="59">
        <f t="shared" ref="AV130:AV140" si="836">+AU130*3.3058</f>
        <v>171133.49736999994</v>
      </c>
      <c r="AW130" s="60">
        <f t="shared" ref="AW130:AW140" si="837">+I130*BW130</f>
        <v>50070.349999999977</v>
      </c>
      <c r="AX130" s="59">
        <f t="shared" ref="AX130:AX140" si="838">+AW130*3.3058</f>
        <v>165522.56302999993</v>
      </c>
      <c r="AY130" s="55">
        <f t="shared" ref="AY130:AY140" si="839">+I130*BX130</f>
        <v>48373.049999999974</v>
      </c>
      <c r="AZ130" s="59">
        <f t="shared" ref="AZ130:AZ140" si="840">+AY130*3.3058</f>
        <v>159911.62868999992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41">+BF130-0.02</f>
        <v>0.91</v>
      </c>
      <c r="BH130" s="55">
        <f t="shared" si="841"/>
        <v>0.89</v>
      </c>
      <c r="BI130" s="55">
        <f t="shared" si="841"/>
        <v>0.87</v>
      </c>
      <c r="BJ130" s="55">
        <f t="shared" si="841"/>
        <v>0.85</v>
      </c>
      <c r="BK130" s="55">
        <f t="shared" si="841"/>
        <v>0.83</v>
      </c>
      <c r="BL130" s="55">
        <f t="shared" si="841"/>
        <v>0.80999999999999994</v>
      </c>
      <c r="BM130" s="55">
        <f t="shared" si="841"/>
        <v>0.78999999999999992</v>
      </c>
      <c r="BN130" s="55">
        <f t="shared" si="841"/>
        <v>0.76999999999999991</v>
      </c>
      <c r="BO130" s="55">
        <f t="shared" si="841"/>
        <v>0.74999999999999989</v>
      </c>
      <c r="BP130" s="55">
        <f t="shared" si="841"/>
        <v>0.72999999999999987</v>
      </c>
      <c r="BQ130" s="55">
        <f t="shared" si="841"/>
        <v>0.70999999999999985</v>
      </c>
      <c r="BR130" s="55">
        <f t="shared" si="841"/>
        <v>0.68999999999999984</v>
      </c>
      <c r="BS130" s="55">
        <f t="shared" si="841"/>
        <v>0.66999999999999982</v>
      </c>
      <c r="BT130" s="55">
        <f t="shared" si="841"/>
        <v>0.6499999999999998</v>
      </c>
      <c r="BU130" s="55">
        <f t="shared" si="841"/>
        <v>0.62999999999999978</v>
      </c>
      <c r="BV130" s="55">
        <f t="shared" si="841"/>
        <v>0.60999999999999976</v>
      </c>
      <c r="BW130" s="55">
        <f t="shared" si="841"/>
        <v>0.58999999999999975</v>
      </c>
      <c r="BX130" s="55">
        <f t="shared" si="841"/>
        <v>0.56999999999999973</v>
      </c>
      <c r="BZ130" s="55">
        <f t="shared" si="508"/>
        <v>77227.150000000009</v>
      </c>
      <c r="CA130" s="55">
        <f t="shared" si="509"/>
        <v>77227.150000000009</v>
      </c>
      <c r="CB130" s="59">
        <f t="shared" ref="CB130:CB140" si="842">+CA130*3.3058</f>
        <v>255297.51247000005</v>
      </c>
      <c r="CC130" s="55">
        <f t="shared" ref="CC130:CC140" si="843">+CA130*DV130</f>
        <v>74910.335500000001</v>
      </c>
      <c r="CD130" s="59">
        <f t="shared" ref="CD130:CD140" si="844">+CC130*3.3058</f>
        <v>247638.5870959</v>
      </c>
      <c r="CE130" s="55">
        <f t="shared" ref="CE130:CE140" si="845">+CA130*DW130</f>
        <v>73365.79250000001</v>
      </c>
      <c r="CF130" s="59">
        <f t="shared" ref="CF130:CF140" si="846">+CE130*3.3058</f>
        <v>242532.63684650004</v>
      </c>
      <c r="CG130" s="55">
        <f t="shared" ref="CG130:CG140" si="847">+CA130*DX130</f>
        <v>71821.249500000005</v>
      </c>
      <c r="CH130" s="59">
        <f t="shared" ref="CH130:CH140" si="848">+CG130*3.3058</f>
        <v>237426.68659710002</v>
      </c>
      <c r="CI130" s="57">
        <f t="shared" ref="CI130:CI140" si="849">+CA130*DY130</f>
        <v>70276.706500000015</v>
      </c>
      <c r="CJ130" s="59">
        <f t="shared" ref="CJ130:CJ140" si="850">+CI130*3.3058</f>
        <v>232320.73634770006</v>
      </c>
      <c r="CK130" s="55">
        <f t="shared" ref="CK130:CK140" si="851">+CA130*DZ130</f>
        <v>68732.16350000001</v>
      </c>
      <c r="CL130" s="59">
        <f t="shared" ref="CL130:CL140" si="852">+CK130*3.3058</f>
        <v>227214.78609830004</v>
      </c>
      <c r="CM130" s="57">
        <f t="shared" ref="CM130:CM140" si="853">+CA130*EA130</f>
        <v>67187.620500000005</v>
      </c>
      <c r="CN130" s="59">
        <f t="shared" ref="CN130:CN140" si="854">+CM130*3.3058</f>
        <v>222108.83584890002</v>
      </c>
      <c r="CO130" s="60">
        <f t="shared" ref="CO130:CO140" si="855">+CA130*EB130</f>
        <v>65643.077499999999</v>
      </c>
      <c r="CP130" s="59">
        <f t="shared" ref="CP130:CP140" si="856">+CO130*3.3058</f>
        <v>217002.8855995</v>
      </c>
      <c r="CQ130" s="57">
        <f t="shared" ref="CQ130:CQ140" si="857">+CA130*EC130</f>
        <v>64098.534500000002</v>
      </c>
      <c r="CR130" s="59">
        <f t="shared" ref="CR130:CR140" si="858">+CQ130*3.3058</f>
        <v>211896.93535010002</v>
      </c>
      <c r="CS130" s="55">
        <f t="shared" ref="CS130:CS140" si="859">+CA130*ED130</f>
        <v>62553.991500000004</v>
      </c>
      <c r="CT130" s="59">
        <f t="shared" ref="CT130:CT140" si="860">+CS130*3.3058</f>
        <v>206790.98510070003</v>
      </c>
      <c r="CU130" s="60">
        <f t="shared" ref="CU130:CU140" si="861">+CA130*EE130</f>
        <v>61009.448499999999</v>
      </c>
      <c r="CV130" s="59">
        <f t="shared" ref="CV130:CV140" si="862">+CU130*3.3058</f>
        <v>201685.03485130001</v>
      </c>
      <c r="CW130" s="60">
        <f t="shared" ref="CW130:CW140" si="863">+CA130*EF130</f>
        <v>59464.905500000001</v>
      </c>
      <c r="CX130" s="59">
        <f t="shared" ref="CX130:CX140" si="864">+CW130*3.3058</f>
        <v>196579.08460190002</v>
      </c>
      <c r="CY130" s="60">
        <f t="shared" ref="CY130:CY140" si="865">+CA130*EG130</f>
        <v>57920.362499999996</v>
      </c>
      <c r="CZ130" s="59">
        <f t="shared" ref="CZ130:CZ140" si="866">+CY130*3.3058</f>
        <v>191473.1343525</v>
      </c>
      <c r="DA130" s="55">
        <f t="shared" ref="DA130:DA140" si="867">+CA130*EH130</f>
        <v>56375.819499999998</v>
      </c>
      <c r="DB130" s="59">
        <f t="shared" ref="DB130:DB140" si="868">+DA130*3.3058</f>
        <v>186367.18410310001</v>
      </c>
      <c r="DC130" s="60">
        <f t="shared" ref="DC130:DC140" si="869">+CA130*EI130</f>
        <v>54831.276499999993</v>
      </c>
      <c r="DD130" s="59">
        <f t="shared" ref="DD130:DD140" si="870">+DC130*3.3058</f>
        <v>181261.23385369999</v>
      </c>
      <c r="DE130" s="60">
        <f t="shared" ref="DE130:DE140" si="871">+CA130*EJ130</f>
        <v>53286.733499999995</v>
      </c>
      <c r="DF130" s="59">
        <f t="shared" ref="DF130:DF140" si="872">+DE130*3.3058</f>
        <v>176155.2836043</v>
      </c>
      <c r="DG130" s="60">
        <f t="shared" ref="DG130:DG140" si="873">+CA130*EK130</f>
        <v>51742.19049999999</v>
      </c>
      <c r="DH130" s="59">
        <f t="shared" ref="DH130:DH140" si="874">+DG130*3.3058</f>
        <v>171049.33335489998</v>
      </c>
      <c r="DI130" s="60">
        <f t="shared" ref="DI130:DI140" si="875">+CA130*EL130</f>
        <v>50197.647499999992</v>
      </c>
      <c r="DJ130" s="59">
        <f t="shared" ref="DJ130:DJ140" si="876">+DI130*3.3058</f>
        <v>165943.38310549999</v>
      </c>
      <c r="DK130" s="55">
        <f t="shared" ref="DK130:DK140" si="877">+CA130*EM130</f>
        <v>48653.104499999987</v>
      </c>
      <c r="DL130" s="59">
        <f t="shared" ref="DL130:DL140" si="878">+DK130*3.3058</f>
        <v>160837.43285609997</v>
      </c>
      <c r="DM130" s="60">
        <f t="shared" ref="DM130:DM140" si="879">+CA130*EN130</f>
        <v>47108.561499999989</v>
      </c>
      <c r="DN130" s="59">
        <f t="shared" ref="DN130:DN140" si="880">+DM130*3.3058</f>
        <v>155731.48260669995</v>
      </c>
      <c r="DO130" s="60">
        <f t="shared" ref="DO130:DO140" si="881">+CA130*EO130</f>
        <v>45564.018499999984</v>
      </c>
      <c r="DP130" s="59">
        <f t="shared" ref="DP130:DP140" si="882">+DO130*3.3058</f>
        <v>150625.53235729996</v>
      </c>
      <c r="DQ130" s="55">
        <f t="shared" ref="DQ130:DQ140" si="883">+CA130*EP130</f>
        <v>44019.475499999986</v>
      </c>
      <c r="DR130" s="59">
        <f t="shared" ref="DR130:DR140" si="884">+DQ130*3.3058</f>
        <v>145519.58210789994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792"/>
        <v>0.91</v>
      </c>
      <c r="DZ130" s="55">
        <f t="shared" si="792"/>
        <v>0.89</v>
      </c>
      <c r="EA130" s="55">
        <f t="shared" si="792"/>
        <v>0.87</v>
      </c>
      <c r="EB130" s="55">
        <f t="shared" si="792"/>
        <v>0.85</v>
      </c>
      <c r="EC130" s="55">
        <f t="shared" si="792"/>
        <v>0.83</v>
      </c>
      <c r="ED130" s="55">
        <f t="shared" si="792"/>
        <v>0.80999999999999994</v>
      </c>
      <c r="EE130" s="55">
        <f t="shared" si="792"/>
        <v>0.78999999999999992</v>
      </c>
      <c r="EF130" s="55">
        <f t="shared" si="792"/>
        <v>0.76999999999999991</v>
      </c>
      <c r="EG130" s="55">
        <f t="shared" si="792"/>
        <v>0.74999999999999989</v>
      </c>
      <c r="EH130" s="55">
        <f t="shared" si="792"/>
        <v>0.72999999999999987</v>
      </c>
      <c r="EI130" s="55">
        <f t="shared" si="792"/>
        <v>0.70999999999999985</v>
      </c>
      <c r="EJ130" s="55">
        <f t="shared" si="792"/>
        <v>0.68999999999999984</v>
      </c>
      <c r="EK130" s="55">
        <f t="shared" si="792"/>
        <v>0.66999999999999982</v>
      </c>
      <c r="EL130" s="55">
        <f t="shared" si="792"/>
        <v>0.6499999999999998</v>
      </c>
      <c r="EM130" s="55">
        <f t="shared" si="792"/>
        <v>0.62999999999999978</v>
      </c>
      <c r="EN130" s="55">
        <f t="shared" si="792"/>
        <v>0.60999999999999976</v>
      </c>
      <c r="EO130" s="55">
        <f t="shared" si="792"/>
        <v>0.58999999999999975</v>
      </c>
      <c r="EP130" s="55">
        <f t="shared" si="792"/>
        <v>0.56999999999999973</v>
      </c>
      <c r="ER130" s="55">
        <f t="shared" si="648"/>
        <v>70276.706500000015</v>
      </c>
      <c r="ES130" s="55">
        <f t="shared" si="510"/>
        <v>70276.706500000015</v>
      </c>
      <c r="ET130" s="59">
        <f t="shared" ref="ET130:ET140" si="885">+ES130*3.3058</f>
        <v>232320.73634770006</v>
      </c>
      <c r="EU130" s="55">
        <f t="shared" ref="EU130:EU140" si="886">+ES130*GN130</f>
        <v>68168.405305000008</v>
      </c>
      <c r="EV130" s="59">
        <f t="shared" ref="EV130:EV140" si="887">+EU130*3.3058</f>
        <v>225351.11425726904</v>
      </c>
      <c r="EW130" s="55">
        <f t="shared" ref="EW130:EW140" si="888">+ES130*GO130</f>
        <v>66762.871175000007</v>
      </c>
      <c r="EX130" s="59">
        <f t="shared" ref="EX130:EX140" si="889">+EW130*3.3058</f>
        <v>220704.69953031503</v>
      </c>
      <c r="EY130" s="55">
        <f t="shared" ref="EY130:EY140" si="890">+ES130*GP130</f>
        <v>65357.337045000015</v>
      </c>
      <c r="EZ130" s="59">
        <f t="shared" ref="EZ130:EZ140" si="891">+EY130*3.3058</f>
        <v>216058.28480336105</v>
      </c>
      <c r="FA130" s="57">
        <f t="shared" ref="FA130:FA140" si="892">+ES130*GQ130</f>
        <v>63951.802915000015</v>
      </c>
      <c r="FB130" s="59">
        <f t="shared" ref="FB130:FB140" si="893">+FA130*3.3058</f>
        <v>211411.87007640707</v>
      </c>
      <c r="FC130" s="55">
        <f t="shared" ref="FC130:FC140" si="894">+ES130*GR130</f>
        <v>62546.268785000015</v>
      </c>
      <c r="FD130" s="59">
        <f t="shared" ref="FD130:FD140" si="895">+FC130*3.3058</f>
        <v>206765.45534945306</v>
      </c>
      <c r="FE130" s="57">
        <f t="shared" ref="FE130:FE140" si="896">+ES130*GS130</f>
        <v>61140.734655000015</v>
      </c>
      <c r="FF130" s="59">
        <f t="shared" ref="FF130:FF140" si="897">+FE130*3.3058</f>
        <v>202119.04062249904</v>
      </c>
      <c r="FG130" s="60">
        <f t="shared" ref="FG130:FG140" si="898">+ES130*GT130</f>
        <v>59735.200525000007</v>
      </c>
      <c r="FH130" s="59">
        <f t="shared" ref="FH130:FH140" si="899">+FG130*3.3058</f>
        <v>197472.62589554503</v>
      </c>
      <c r="FI130" s="57">
        <f t="shared" ref="FI130:FI140" si="900">+ES130*GU130</f>
        <v>58329.666395000007</v>
      </c>
      <c r="FJ130" s="59">
        <f t="shared" ref="FJ130:FJ140" si="901">+FI130*3.3058</f>
        <v>192826.21116859102</v>
      </c>
      <c r="FK130" s="55">
        <f t="shared" ref="FK130:FK140" si="902">+ES130*GV130</f>
        <v>56924.132265000007</v>
      </c>
      <c r="FL130" s="59">
        <f t="shared" ref="FL130:FL140" si="903">+FK130*3.3058</f>
        <v>188179.79644163704</v>
      </c>
      <c r="FM130" s="60">
        <f t="shared" ref="FM130:FM140" si="904">+ES130*GW130</f>
        <v>55518.598135000007</v>
      </c>
      <c r="FN130" s="59">
        <f t="shared" ref="FN130:FN140" si="905">+FM130*3.3058</f>
        <v>183533.38171468303</v>
      </c>
      <c r="FO130" s="60">
        <f t="shared" ref="FO130:FO140" si="906">+ES130*GX130</f>
        <v>54113.064005000007</v>
      </c>
      <c r="FP130" s="59">
        <f t="shared" ref="FP130:FP140" si="907">+FO130*3.3058</f>
        <v>178886.96698772901</v>
      </c>
      <c r="FQ130" s="60">
        <f t="shared" ref="FQ130:FQ140" si="908">+ES130*GY130</f>
        <v>52707.529875</v>
      </c>
      <c r="FR130" s="59">
        <f t="shared" ref="FR130:FR140" si="909">+FQ130*3.3058</f>
        <v>174240.552260775</v>
      </c>
      <c r="FS130" s="55">
        <f t="shared" ref="FS130:FS140" si="910">+ES130*GZ130</f>
        <v>51301.995745</v>
      </c>
      <c r="FT130" s="59">
        <f t="shared" ref="FT130:FT140" si="911">+FS130*3.3058</f>
        <v>169594.13753382099</v>
      </c>
      <c r="FU130" s="60">
        <f t="shared" ref="FU130:FU140" si="912">+ES130*HA130</f>
        <v>49896.461615</v>
      </c>
      <c r="FV130" s="59">
        <f t="shared" ref="FV130:FV140" si="913">+FU130*3.3058</f>
        <v>164947.72280686701</v>
      </c>
      <c r="FW130" s="60">
        <f t="shared" ref="FW130:FW140" si="914">+ES130*HB130</f>
        <v>48490.927485</v>
      </c>
      <c r="FX130" s="59">
        <f t="shared" ref="FX130:FX140" si="915">+FW130*3.3058</f>
        <v>160301.308079913</v>
      </c>
      <c r="FY130" s="60">
        <f t="shared" ref="FY130:FY140" si="916">+ES130*HC130</f>
        <v>47085.393355</v>
      </c>
      <c r="FZ130" s="59">
        <f t="shared" ref="FZ130:FZ140" si="917">+FY130*3.3058</f>
        <v>155654.89335295901</v>
      </c>
      <c r="GA130" s="60">
        <f t="shared" ref="GA130:GA140" si="918">+ES130*HD130</f>
        <v>45679.859224999993</v>
      </c>
      <c r="GB130" s="59">
        <f t="shared" ref="GB130:GB140" si="919">+GA130*3.3058</f>
        <v>151008.47862600497</v>
      </c>
      <c r="GC130" s="55">
        <f t="shared" ref="GC130:GC140" si="920">+ES130*HE130</f>
        <v>44274.325094999993</v>
      </c>
      <c r="GD130" s="59">
        <f t="shared" ref="GD130:GD140" si="921">+GC130*3.3058</f>
        <v>146362.06389905099</v>
      </c>
      <c r="GE130" s="60">
        <f t="shared" ref="GE130:GE140" si="922">+ES130*HF130</f>
        <v>42868.790964999993</v>
      </c>
      <c r="GF130" s="59">
        <f t="shared" ref="GF130:GF140" si="923">+GE130*3.3058</f>
        <v>141715.64917209698</v>
      </c>
      <c r="GG130" s="60">
        <f t="shared" ref="GG130:GG140" si="924">+ES130*HG130</f>
        <v>41463.256834999993</v>
      </c>
      <c r="GH130" s="59">
        <f t="shared" ref="GH130:GH140" si="925">+GG130*3.3058</f>
        <v>137069.23444514297</v>
      </c>
      <c r="GI130" s="55">
        <f t="shared" ref="GI130:GI140" si="926">+ES130*HH130</f>
        <v>40057.722704999993</v>
      </c>
      <c r="GJ130" s="59">
        <f t="shared" ref="GJ130:GJ140" si="927">+GI130*3.3058</f>
        <v>132422.81971818898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793"/>
        <v>0.91</v>
      </c>
      <c r="GR130" s="55">
        <f t="shared" si="793"/>
        <v>0.89</v>
      </c>
      <c r="GS130" s="55">
        <f t="shared" si="793"/>
        <v>0.87</v>
      </c>
      <c r="GT130" s="55">
        <f t="shared" si="793"/>
        <v>0.85</v>
      </c>
      <c r="GU130" s="55">
        <f t="shared" si="793"/>
        <v>0.83</v>
      </c>
      <c r="GV130" s="55">
        <f t="shared" si="793"/>
        <v>0.80999999999999994</v>
      </c>
      <c r="GW130" s="55">
        <f t="shared" si="793"/>
        <v>0.78999999999999992</v>
      </c>
      <c r="GX130" s="55">
        <f t="shared" si="793"/>
        <v>0.76999999999999991</v>
      </c>
      <c r="GY130" s="55">
        <f t="shared" si="793"/>
        <v>0.74999999999999989</v>
      </c>
      <c r="GZ130" s="55">
        <f t="shared" si="793"/>
        <v>0.72999999999999987</v>
      </c>
      <c r="HA130" s="55">
        <f t="shared" si="793"/>
        <v>0.70999999999999985</v>
      </c>
      <c r="HB130" s="55">
        <f t="shared" si="793"/>
        <v>0.68999999999999984</v>
      </c>
      <c r="HC130" s="55">
        <f t="shared" si="793"/>
        <v>0.66999999999999982</v>
      </c>
      <c r="HD130" s="55">
        <f t="shared" si="793"/>
        <v>0.6499999999999998</v>
      </c>
      <c r="HE130" s="55">
        <f t="shared" si="793"/>
        <v>0.62999999999999978</v>
      </c>
      <c r="HF130" s="55">
        <f t="shared" si="793"/>
        <v>0.60999999999999976</v>
      </c>
      <c r="HG130" s="55">
        <f t="shared" si="793"/>
        <v>0.58999999999999975</v>
      </c>
      <c r="HH130" s="55">
        <f t="shared" si="793"/>
        <v>0.56999999999999973</v>
      </c>
    </row>
    <row r="131" spans="1:216" x14ac:dyDescent="0.3">
      <c r="A131" s="2">
        <v>2</v>
      </c>
      <c r="C131" s="38" t="s">
        <v>47</v>
      </c>
      <c r="D131" s="42">
        <f>TRUNC(8400.73838905093,-1)</f>
        <v>8400</v>
      </c>
      <c r="E131" s="71">
        <f t="shared" si="798"/>
        <v>27760</v>
      </c>
      <c r="H131" s="55">
        <f t="shared" si="505"/>
        <v>30536.000000000004</v>
      </c>
      <c r="I131" s="55">
        <f t="shared" si="506"/>
        <v>30536.000000000004</v>
      </c>
      <c r="J131" s="59">
        <f t="shared" si="507"/>
        <v>100945.90880000002</v>
      </c>
      <c r="K131" s="55">
        <f t="shared" si="799"/>
        <v>29619.920000000002</v>
      </c>
      <c r="L131" s="59">
        <f t="shared" si="800"/>
        <v>97917.53153600001</v>
      </c>
      <c r="M131" s="55">
        <f t="shared" si="801"/>
        <v>29009.200000000001</v>
      </c>
      <c r="N131" s="59">
        <f t="shared" si="802"/>
        <v>95898.613360000003</v>
      </c>
      <c r="O131" s="55">
        <f t="shared" si="803"/>
        <v>28398.480000000003</v>
      </c>
      <c r="P131" s="59">
        <f t="shared" si="804"/>
        <v>93879.695184000011</v>
      </c>
      <c r="Q131" s="57">
        <f t="shared" si="805"/>
        <v>27787.760000000006</v>
      </c>
      <c r="R131" s="59">
        <f t="shared" si="806"/>
        <v>91860.777008000019</v>
      </c>
      <c r="S131" s="55">
        <f t="shared" si="807"/>
        <v>27177.040000000005</v>
      </c>
      <c r="T131" s="59">
        <f t="shared" si="808"/>
        <v>89841.858832000013</v>
      </c>
      <c r="U131" s="57">
        <f t="shared" si="809"/>
        <v>26566.320000000003</v>
      </c>
      <c r="V131" s="59">
        <f t="shared" si="810"/>
        <v>87822.940656000006</v>
      </c>
      <c r="W131" s="60">
        <f t="shared" si="811"/>
        <v>25955.600000000002</v>
      </c>
      <c r="X131" s="59">
        <f t="shared" si="812"/>
        <v>85804.022480000014</v>
      </c>
      <c r="Y131" s="57">
        <f t="shared" si="813"/>
        <v>25344.880000000001</v>
      </c>
      <c r="Z131" s="59">
        <f t="shared" si="814"/>
        <v>83785.104304000008</v>
      </c>
      <c r="AA131" s="55">
        <f t="shared" si="815"/>
        <v>24734.16</v>
      </c>
      <c r="AB131" s="59">
        <f t="shared" si="816"/>
        <v>81766.186128000001</v>
      </c>
      <c r="AC131" s="60">
        <f t="shared" si="817"/>
        <v>24123.440000000002</v>
      </c>
      <c r="AD131" s="59">
        <f t="shared" si="818"/>
        <v>79747.267952000009</v>
      </c>
      <c r="AE131" s="60">
        <f t="shared" si="819"/>
        <v>23512.720000000001</v>
      </c>
      <c r="AF131" s="59">
        <f t="shared" si="820"/>
        <v>77728.349776000003</v>
      </c>
      <c r="AG131" s="60">
        <f t="shared" si="821"/>
        <v>22902</v>
      </c>
      <c r="AH131" s="59">
        <f t="shared" si="822"/>
        <v>75709.431599999996</v>
      </c>
      <c r="AI131" s="55">
        <f t="shared" si="823"/>
        <v>22291.279999999999</v>
      </c>
      <c r="AJ131" s="59">
        <f t="shared" si="824"/>
        <v>73690.513424000004</v>
      </c>
      <c r="AK131" s="60">
        <f t="shared" si="825"/>
        <v>21680.559999999998</v>
      </c>
      <c r="AL131" s="59">
        <f t="shared" si="826"/>
        <v>71671.595247999998</v>
      </c>
      <c r="AM131" s="60">
        <f t="shared" si="827"/>
        <v>21069.839999999997</v>
      </c>
      <c r="AN131" s="59">
        <f t="shared" si="828"/>
        <v>69652.677071999991</v>
      </c>
      <c r="AO131" s="60">
        <f t="shared" si="829"/>
        <v>20459.119999999995</v>
      </c>
      <c r="AP131" s="59">
        <f t="shared" si="830"/>
        <v>67633.758895999985</v>
      </c>
      <c r="AQ131" s="60">
        <f t="shared" si="831"/>
        <v>19848.399999999998</v>
      </c>
      <c r="AR131" s="59">
        <f t="shared" si="832"/>
        <v>65614.840719999993</v>
      </c>
      <c r="AS131" s="55">
        <f t="shared" si="833"/>
        <v>19237.679999999997</v>
      </c>
      <c r="AT131" s="59">
        <f t="shared" si="834"/>
        <v>63595.922543999994</v>
      </c>
      <c r="AU131" s="60">
        <f t="shared" si="835"/>
        <v>18626.959999999995</v>
      </c>
      <c r="AV131" s="59">
        <f t="shared" si="836"/>
        <v>61577.004367999987</v>
      </c>
      <c r="AW131" s="60">
        <f t="shared" si="837"/>
        <v>18016.239999999994</v>
      </c>
      <c r="AX131" s="59">
        <f t="shared" si="838"/>
        <v>59558.086191999981</v>
      </c>
      <c r="AY131" s="55">
        <f t="shared" si="839"/>
        <v>17405.519999999993</v>
      </c>
      <c r="AZ131" s="59">
        <f t="shared" si="840"/>
        <v>57539.168015999981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41"/>
        <v>0.91</v>
      </c>
      <c r="BH131" s="55">
        <f t="shared" si="841"/>
        <v>0.89</v>
      </c>
      <c r="BI131" s="55">
        <f t="shared" si="841"/>
        <v>0.87</v>
      </c>
      <c r="BJ131" s="55">
        <f t="shared" si="841"/>
        <v>0.85</v>
      </c>
      <c r="BK131" s="55">
        <f t="shared" si="841"/>
        <v>0.83</v>
      </c>
      <c r="BL131" s="55">
        <f t="shared" si="841"/>
        <v>0.80999999999999994</v>
      </c>
      <c r="BM131" s="55">
        <f t="shared" si="841"/>
        <v>0.78999999999999992</v>
      </c>
      <c r="BN131" s="55">
        <f t="shared" si="841"/>
        <v>0.76999999999999991</v>
      </c>
      <c r="BO131" s="55">
        <f t="shared" si="841"/>
        <v>0.74999999999999989</v>
      </c>
      <c r="BP131" s="55">
        <f t="shared" si="841"/>
        <v>0.72999999999999987</v>
      </c>
      <c r="BQ131" s="55">
        <f t="shared" si="841"/>
        <v>0.70999999999999985</v>
      </c>
      <c r="BR131" s="55">
        <f t="shared" si="841"/>
        <v>0.68999999999999984</v>
      </c>
      <c r="BS131" s="55">
        <f t="shared" si="841"/>
        <v>0.66999999999999982</v>
      </c>
      <c r="BT131" s="55">
        <f t="shared" si="841"/>
        <v>0.6499999999999998</v>
      </c>
      <c r="BU131" s="55">
        <f t="shared" si="841"/>
        <v>0.62999999999999978</v>
      </c>
      <c r="BV131" s="55">
        <f t="shared" si="841"/>
        <v>0.60999999999999976</v>
      </c>
      <c r="BW131" s="55">
        <f t="shared" si="841"/>
        <v>0.58999999999999975</v>
      </c>
      <c r="BX131" s="55">
        <f t="shared" si="841"/>
        <v>0.56999999999999973</v>
      </c>
      <c r="BZ131" s="55">
        <f t="shared" si="508"/>
        <v>27787.760000000006</v>
      </c>
      <c r="CA131" s="55">
        <f t="shared" si="509"/>
        <v>27787.760000000006</v>
      </c>
      <c r="CB131" s="59">
        <f t="shared" si="842"/>
        <v>91860.777008000019</v>
      </c>
      <c r="CC131" s="55">
        <f t="shared" si="843"/>
        <v>26954.127200000006</v>
      </c>
      <c r="CD131" s="59">
        <f t="shared" si="844"/>
        <v>89104.953697760022</v>
      </c>
      <c r="CE131" s="55">
        <f t="shared" si="845"/>
        <v>26398.372000000003</v>
      </c>
      <c r="CF131" s="59">
        <f t="shared" si="846"/>
        <v>87267.738157600019</v>
      </c>
      <c r="CG131" s="55">
        <f t="shared" si="847"/>
        <v>25842.616800000007</v>
      </c>
      <c r="CH131" s="59">
        <f t="shared" si="848"/>
        <v>85430.52261744003</v>
      </c>
      <c r="CI131" s="57">
        <f t="shared" si="849"/>
        <v>25286.861600000007</v>
      </c>
      <c r="CJ131" s="59">
        <f t="shared" si="850"/>
        <v>83593.307077280027</v>
      </c>
      <c r="CK131" s="55">
        <f t="shared" si="851"/>
        <v>24731.106400000004</v>
      </c>
      <c r="CL131" s="59">
        <f t="shared" si="852"/>
        <v>81756.09153712001</v>
      </c>
      <c r="CM131" s="57">
        <f t="shared" si="853"/>
        <v>24175.351200000005</v>
      </c>
      <c r="CN131" s="59">
        <f t="shared" si="854"/>
        <v>79918.875996960021</v>
      </c>
      <c r="CO131" s="60">
        <f t="shared" si="855"/>
        <v>23619.596000000005</v>
      </c>
      <c r="CP131" s="59">
        <f t="shared" si="856"/>
        <v>78081.660456800018</v>
      </c>
      <c r="CQ131" s="57">
        <f t="shared" si="857"/>
        <v>23063.840800000005</v>
      </c>
      <c r="CR131" s="59">
        <f t="shared" si="858"/>
        <v>76244.444916640015</v>
      </c>
      <c r="CS131" s="55">
        <f t="shared" si="859"/>
        <v>22508.085600000002</v>
      </c>
      <c r="CT131" s="59">
        <f t="shared" si="860"/>
        <v>74407.229376480012</v>
      </c>
      <c r="CU131" s="60">
        <f t="shared" si="861"/>
        <v>21952.330400000003</v>
      </c>
      <c r="CV131" s="59">
        <f t="shared" si="862"/>
        <v>72570.013836320009</v>
      </c>
      <c r="CW131" s="60">
        <f t="shared" si="863"/>
        <v>21396.575200000003</v>
      </c>
      <c r="CX131" s="59">
        <f t="shared" si="864"/>
        <v>70732.798296160006</v>
      </c>
      <c r="CY131" s="60">
        <f t="shared" si="865"/>
        <v>20840.82</v>
      </c>
      <c r="CZ131" s="59">
        <f t="shared" si="866"/>
        <v>68895.582756000003</v>
      </c>
      <c r="DA131" s="55">
        <f t="shared" si="867"/>
        <v>20285.0648</v>
      </c>
      <c r="DB131" s="59">
        <f t="shared" si="868"/>
        <v>67058.36721584</v>
      </c>
      <c r="DC131" s="60">
        <f t="shared" si="869"/>
        <v>19729.309600000001</v>
      </c>
      <c r="DD131" s="59">
        <f t="shared" si="870"/>
        <v>65221.151675680005</v>
      </c>
      <c r="DE131" s="60">
        <f t="shared" si="871"/>
        <v>19173.554400000001</v>
      </c>
      <c r="DF131" s="59">
        <f t="shared" si="872"/>
        <v>63383.936135520002</v>
      </c>
      <c r="DG131" s="60">
        <f t="shared" si="873"/>
        <v>18617.799199999998</v>
      </c>
      <c r="DH131" s="59">
        <f t="shared" si="874"/>
        <v>61546.720595359991</v>
      </c>
      <c r="DI131" s="60">
        <f t="shared" si="875"/>
        <v>18062.043999999998</v>
      </c>
      <c r="DJ131" s="59">
        <f t="shared" si="876"/>
        <v>59709.505055199996</v>
      </c>
      <c r="DK131" s="55">
        <f t="shared" si="877"/>
        <v>17506.288799999998</v>
      </c>
      <c r="DL131" s="59">
        <f t="shared" si="878"/>
        <v>57872.289515039993</v>
      </c>
      <c r="DM131" s="60">
        <f t="shared" si="879"/>
        <v>16950.533599999995</v>
      </c>
      <c r="DN131" s="59">
        <f t="shared" si="880"/>
        <v>56035.073974879982</v>
      </c>
      <c r="DO131" s="60">
        <f t="shared" si="881"/>
        <v>16394.778399999996</v>
      </c>
      <c r="DP131" s="59">
        <f t="shared" si="882"/>
        <v>54197.858434719987</v>
      </c>
      <c r="DQ131" s="55">
        <f t="shared" si="883"/>
        <v>15839.023199999996</v>
      </c>
      <c r="DR131" s="59">
        <f t="shared" si="884"/>
        <v>52360.642894559991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92"/>
        <v>0.91</v>
      </c>
      <c r="DZ131" s="55">
        <f t="shared" si="792"/>
        <v>0.89</v>
      </c>
      <c r="EA131" s="55">
        <f t="shared" si="792"/>
        <v>0.87</v>
      </c>
      <c r="EB131" s="55">
        <f t="shared" si="792"/>
        <v>0.85</v>
      </c>
      <c r="EC131" s="55">
        <f t="shared" si="792"/>
        <v>0.83</v>
      </c>
      <c r="ED131" s="55">
        <f t="shared" si="792"/>
        <v>0.80999999999999994</v>
      </c>
      <c r="EE131" s="55">
        <f t="shared" si="792"/>
        <v>0.78999999999999992</v>
      </c>
      <c r="EF131" s="55">
        <f t="shared" si="792"/>
        <v>0.76999999999999991</v>
      </c>
      <c r="EG131" s="55">
        <f t="shared" si="792"/>
        <v>0.74999999999999989</v>
      </c>
      <c r="EH131" s="55">
        <f t="shared" si="792"/>
        <v>0.72999999999999987</v>
      </c>
      <c r="EI131" s="55">
        <f t="shared" si="792"/>
        <v>0.70999999999999985</v>
      </c>
      <c r="EJ131" s="55">
        <f t="shared" si="792"/>
        <v>0.68999999999999984</v>
      </c>
      <c r="EK131" s="55">
        <f t="shared" si="792"/>
        <v>0.66999999999999982</v>
      </c>
      <c r="EL131" s="55">
        <f t="shared" si="792"/>
        <v>0.6499999999999998</v>
      </c>
      <c r="EM131" s="55">
        <f t="shared" si="792"/>
        <v>0.62999999999999978</v>
      </c>
      <c r="EN131" s="55">
        <f t="shared" si="792"/>
        <v>0.60999999999999976</v>
      </c>
      <c r="EO131" s="55">
        <f t="shared" si="792"/>
        <v>0.58999999999999975</v>
      </c>
      <c r="EP131" s="55">
        <f t="shared" si="792"/>
        <v>0.56999999999999973</v>
      </c>
      <c r="ER131" s="55">
        <f t="shared" si="648"/>
        <v>25286.861600000007</v>
      </c>
      <c r="ES131" s="55">
        <f t="shared" si="510"/>
        <v>25286.861600000007</v>
      </c>
      <c r="ET131" s="59">
        <f t="shared" si="885"/>
        <v>83593.307077280027</v>
      </c>
      <c r="EU131" s="55">
        <f t="shared" si="886"/>
        <v>24528.255752000008</v>
      </c>
      <c r="EV131" s="59">
        <f t="shared" si="887"/>
        <v>81085.507864961633</v>
      </c>
      <c r="EW131" s="55">
        <f t="shared" si="888"/>
        <v>24022.518520000005</v>
      </c>
      <c r="EX131" s="59">
        <f t="shared" si="889"/>
        <v>79413.641723416018</v>
      </c>
      <c r="EY131" s="55">
        <f t="shared" si="890"/>
        <v>23516.781288000009</v>
      </c>
      <c r="EZ131" s="59">
        <f t="shared" si="891"/>
        <v>77741.775581870432</v>
      </c>
      <c r="FA131" s="57">
        <f t="shared" si="892"/>
        <v>23011.044056000006</v>
      </c>
      <c r="FB131" s="59">
        <f t="shared" si="893"/>
        <v>76069.909440324816</v>
      </c>
      <c r="FC131" s="55">
        <f t="shared" si="894"/>
        <v>22505.306824000007</v>
      </c>
      <c r="FD131" s="59">
        <f t="shared" si="895"/>
        <v>74398.04329877923</v>
      </c>
      <c r="FE131" s="57">
        <f t="shared" si="896"/>
        <v>21999.569592000007</v>
      </c>
      <c r="FF131" s="59">
        <f t="shared" si="897"/>
        <v>72726.177157233629</v>
      </c>
      <c r="FG131" s="60">
        <f t="shared" si="898"/>
        <v>21493.832360000004</v>
      </c>
      <c r="FH131" s="59">
        <f t="shared" si="899"/>
        <v>71054.311015688014</v>
      </c>
      <c r="FI131" s="57">
        <f t="shared" si="900"/>
        <v>20988.095128000004</v>
      </c>
      <c r="FJ131" s="59">
        <f t="shared" si="901"/>
        <v>69382.444874142413</v>
      </c>
      <c r="FK131" s="55">
        <f t="shared" si="902"/>
        <v>20482.357896000005</v>
      </c>
      <c r="FL131" s="59">
        <f t="shared" si="903"/>
        <v>67710.578732596812</v>
      </c>
      <c r="FM131" s="60">
        <f t="shared" si="904"/>
        <v>19976.620664000005</v>
      </c>
      <c r="FN131" s="59">
        <f t="shared" si="905"/>
        <v>66038.712591051226</v>
      </c>
      <c r="FO131" s="60">
        <f t="shared" si="906"/>
        <v>19470.883432000002</v>
      </c>
      <c r="FP131" s="59">
        <f t="shared" si="907"/>
        <v>64366.846449505611</v>
      </c>
      <c r="FQ131" s="60">
        <f t="shared" si="908"/>
        <v>18965.146200000003</v>
      </c>
      <c r="FR131" s="59">
        <f t="shared" si="909"/>
        <v>62694.98030796001</v>
      </c>
      <c r="FS131" s="55">
        <f t="shared" si="910"/>
        <v>18459.408968000003</v>
      </c>
      <c r="FT131" s="59">
        <f t="shared" si="911"/>
        <v>61023.114166414409</v>
      </c>
      <c r="FU131" s="60">
        <f t="shared" si="912"/>
        <v>17953.671736</v>
      </c>
      <c r="FV131" s="59">
        <f t="shared" si="913"/>
        <v>59351.248024868801</v>
      </c>
      <c r="FW131" s="60">
        <f t="shared" si="914"/>
        <v>17447.934504000001</v>
      </c>
      <c r="FX131" s="59">
        <f t="shared" si="915"/>
        <v>57679.381883323207</v>
      </c>
      <c r="FY131" s="60">
        <f t="shared" si="916"/>
        <v>16942.197272000001</v>
      </c>
      <c r="FZ131" s="59">
        <f t="shared" si="917"/>
        <v>56007.515741777606</v>
      </c>
      <c r="GA131" s="60">
        <f t="shared" si="918"/>
        <v>16436.460039999998</v>
      </c>
      <c r="GB131" s="59">
        <f t="shared" si="919"/>
        <v>54335.649600231998</v>
      </c>
      <c r="GC131" s="55">
        <f t="shared" si="920"/>
        <v>15930.722807999999</v>
      </c>
      <c r="GD131" s="59">
        <f t="shared" si="921"/>
        <v>52663.783458686397</v>
      </c>
      <c r="GE131" s="60">
        <f t="shared" si="922"/>
        <v>15424.985575999999</v>
      </c>
      <c r="GF131" s="59">
        <f t="shared" si="923"/>
        <v>50991.917317140797</v>
      </c>
      <c r="GG131" s="60">
        <f t="shared" si="924"/>
        <v>14919.248343999998</v>
      </c>
      <c r="GH131" s="59">
        <f t="shared" si="925"/>
        <v>49320.051175595196</v>
      </c>
      <c r="GI131" s="55">
        <f t="shared" si="926"/>
        <v>14413.511111999997</v>
      </c>
      <c r="GJ131" s="59">
        <f t="shared" si="927"/>
        <v>47648.185034049588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93"/>
        <v>0.91</v>
      </c>
      <c r="GR131" s="55">
        <f t="shared" si="793"/>
        <v>0.89</v>
      </c>
      <c r="GS131" s="55">
        <f t="shared" si="793"/>
        <v>0.87</v>
      </c>
      <c r="GT131" s="55">
        <f t="shared" si="793"/>
        <v>0.85</v>
      </c>
      <c r="GU131" s="55">
        <f t="shared" si="793"/>
        <v>0.83</v>
      </c>
      <c r="GV131" s="55">
        <f t="shared" si="793"/>
        <v>0.80999999999999994</v>
      </c>
      <c r="GW131" s="55">
        <f t="shared" si="793"/>
        <v>0.78999999999999992</v>
      </c>
      <c r="GX131" s="55">
        <f t="shared" si="793"/>
        <v>0.76999999999999991</v>
      </c>
      <c r="GY131" s="55">
        <f t="shared" si="793"/>
        <v>0.74999999999999989</v>
      </c>
      <c r="GZ131" s="55">
        <f t="shared" si="793"/>
        <v>0.72999999999999987</v>
      </c>
      <c r="HA131" s="55">
        <f t="shared" si="793"/>
        <v>0.70999999999999985</v>
      </c>
      <c r="HB131" s="55">
        <f t="shared" si="793"/>
        <v>0.68999999999999984</v>
      </c>
      <c r="HC131" s="55">
        <f t="shared" si="793"/>
        <v>0.66999999999999982</v>
      </c>
      <c r="HD131" s="55">
        <f t="shared" si="793"/>
        <v>0.6499999999999998</v>
      </c>
      <c r="HE131" s="55">
        <f t="shared" si="793"/>
        <v>0.62999999999999978</v>
      </c>
      <c r="HF131" s="55">
        <f t="shared" si="793"/>
        <v>0.60999999999999976</v>
      </c>
      <c r="HG131" s="55">
        <f t="shared" si="793"/>
        <v>0.58999999999999975</v>
      </c>
      <c r="HH131" s="55">
        <f t="shared" si="793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798"/>
        <v>0</v>
      </c>
      <c r="H132" s="55">
        <f t="shared" si="505"/>
        <v>0</v>
      </c>
      <c r="I132" s="55">
        <f t="shared" si="506"/>
        <v>0</v>
      </c>
      <c r="J132" s="59">
        <f t="shared" si="507"/>
        <v>0</v>
      </c>
      <c r="K132" s="55">
        <f t="shared" si="799"/>
        <v>0</v>
      </c>
      <c r="L132" s="59">
        <f t="shared" si="800"/>
        <v>0</v>
      </c>
      <c r="M132" s="55">
        <f t="shared" si="801"/>
        <v>0</v>
      </c>
      <c r="N132" s="59">
        <f t="shared" si="802"/>
        <v>0</v>
      </c>
      <c r="O132" s="55">
        <f t="shared" si="803"/>
        <v>0</v>
      </c>
      <c r="P132" s="59">
        <f t="shared" si="804"/>
        <v>0</v>
      </c>
      <c r="Q132" s="57">
        <f t="shared" si="805"/>
        <v>0</v>
      </c>
      <c r="R132" s="59">
        <f t="shared" si="806"/>
        <v>0</v>
      </c>
      <c r="S132" s="55">
        <f t="shared" si="807"/>
        <v>0</v>
      </c>
      <c r="T132" s="59">
        <f t="shared" si="808"/>
        <v>0</v>
      </c>
      <c r="U132" s="57">
        <f t="shared" si="809"/>
        <v>0</v>
      </c>
      <c r="V132" s="59">
        <f t="shared" si="810"/>
        <v>0</v>
      </c>
      <c r="W132" s="60">
        <f t="shared" si="811"/>
        <v>0</v>
      </c>
      <c r="X132" s="59">
        <f t="shared" si="812"/>
        <v>0</v>
      </c>
      <c r="Y132" s="57">
        <f t="shared" si="813"/>
        <v>0</v>
      </c>
      <c r="Z132" s="59">
        <f t="shared" si="814"/>
        <v>0</v>
      </c>
      <c r="AA132" s="55">
        <f t="shared" si="815"/>
        <v>0</v>
      </c>
      <c r="AB132" s="59">
        <f t="shared" si="816"/>
        <v>0</v>
      </c>
      <c r="AC132" s="60">
        <f t="shared" si="817"/>
        <v>0</v>
      </c>
      <c r="AD132" s="59">
        <f t="shared" si="818"/>
        <v>0</v>
      </c>
      <c r="AE132" s="60">
        <f t="shared" si="819"/>
        <v>0</v>
      </c>
      <c r="AF132" s="59">
        <f t="shared" si="820"/>
        <v>0</v>
      </c>
      <c r="AG132" s="60">
        <f t="shared" si="821"/>
        <v>0</v>
      </c>
      <c r="AH132" s="59">
        <f t="shared" si="822"/>
        <v>0</v>
      </c>
      <c r="AI132" s="55">
        <f t="shared" si="823"/>
        <v>0</v>
      </c>
      <c r="AJ132" s="59">
        <f t="shared" si="824"/>
        <v>0</v>
      </c>
      <c r="AK132" s="60">
        <f t="shared" si="825"/>
        <v>0</v>
      </c>
      <c r="AL132" s="59">
        <f t="shared" si="826"/>
        <v>0</v>
      </c>
      <c r="AM132" s="60">
        <f t="shared" si="827"/>
        <v>0</v>
      </c>
      <c r="AN132" s="59">
        <f t="shared" si="828"/>
        <v>0</v>
      </c>
      <c r="AO132" s="60">
        <f t="shared" si="829"/>
        <v>0</v>
      </c>
      <c r="AP132" s="59">
        <f t="shared" si="830"/>
        <v>0</v>
      </c>
      <c r="AQ132" s="60">
        <f t="shared" si="831"/>
        <v>0</v>
      </c>
      <c r="AR132" s="59">
        <f t="shared" si="832"/>
        <v>0</v>
      </c>
      <c r="AS132" s="55">
        <f t="shared" si="833"/>
        <v>0</v>
      </c>
      <c r="AT132" s="59">
        <f t="shared" si="834"/>
        <v>0</v>
      </c>
      <c r="AU132" s="60">
        <f t="shared" si="835"/>
        <v>0</v>
      </c>
      <c r="AV132" s="59">
        <f t="shared" si="836"/>
        <v>0</v>
      </c>
      <c r="AW132" s="60">
        <f t="shared" si="837"/>
        <v>0</v>
      </c>
      <c r="AX132" s="59">
        <f t="shared" si="838"/>
        <v>0</v>
      </c>
      <c r="AY132" s="55">
        <f t="shared" si="839"/>
        <v>0</v>
      </c>
      <c r="AZ132" s="59">
        <f t="shared" si="84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41"/>
        <v>0.91</v>
      </c>
      <c r="BH132" s="55">
        <f t="shared" si="841"/>
        <v>0.89</v>
      </c>
      <c r="BI132" s="55">
        <f t="shared" si="841"/>
        <v>0.87</v>
      </c>
      <c r="BJ132" s="55">
        <f t="shared" si="841"/>
        <v>0.85</v>
      </c>
      <c r="BK132" s="55">
        <f t="shared" si="841"/>
        <v>0.83</v>
      </c>
      <c r="BL132" s="55">
        <f t="shared" si="841"/>
        <v>0.80999999999999994</v>
      </c>
      <c r="BM132" s="55">
        <f t="shared" si="841"/>
        <v>0.78999999999999992</v>
      </c>
      <c r="BN132" s="55">
        <f t="shared" si="841"/>
        <v>0.76999999999999991</v>
      </c>
      <c r="BO132" s="55">
        <f t="shared" si="841"/>
        <v>0.74999999999999989</v>
      </c>
      <c r="BP132" s="55">
        <f t="shared" si="841"/>
        <v>0.72999999999999987</v>
      </c>
      <c r="BQ132" s="55">
        <f t="shared" si="841"/>
        <v>0.70999999999999985</v>
      </c>
      <c r="BR132" s="55">
        <f t="shared" si="841"/>
        <v>0.68999999999999984</v>
      </c>
      <c r="BS132" s="55">
        <f t="shared" si="841"/>
        <v>0.66999999999999982</v>
      </c>
      <c r="BT132" s="55">
        <f t="shared" si="841"/>
        <v>0.6499999999999998</v>
      </c>
      <c r="BU132" s="55">
        <f t="shared" si="841"/>
        <v>0.62999999999999978</v>
      </c>
      <c r="BV132" s="55">
        <f t="shared" si="841"/>
        <v>0.60999999999999976</v>
      </c>
      <c r="BW132" s="55">
        <f t="shared" si="841"/>
        <v>0.58999999999999975</v>
      </c>
      <c r="BX132" s="55">
        <f t="shared" si="841"/>
        <v>0.56999999999999973</v>
      </c>
      <c r="BZ132" s="55">
        <f t="shared" si="508"/>
        <v>0</v>
      </c>
      <c r="CA132" s="55">
        <f t="shared" si="509"/>
        <v>0</v>
      </c>
      <c r="CB132" s="59">
        <f t="shared" si="842"/>
        <v>0</v>
      </c>
      <c r="CC132" s="55">
        <f t="shared" si="843"/>
        <v>0</v>
      </c>
      <c r="CD132" s="59">
        <f t="shared" si="844"/>
        <v>0</v>
      </c>
      <c r="CE132" s="55">
        <f t="shared" si="845"/>
        <v>0</v>
      </c>
      <c r="CF132" s="59">
        <f t="shared" si="846"/>
        <v>0</v>
      </c>
      <c r="CG132" s="55">
        <f t="shared" si="847"/>
        <v>0</v>
      </c>
      <c r="CH132" s="59">
        <f t="shared" si="848"/>
        <v>0</v>
      </c>
      <c r="CI132" s="57">
        <f t="shared" si="849"/>
        <v>0</v>
      </c>
      <c r="CJ132" s="59">
        <f t="shared" si="850"/>
        <v>0</v>
      </c>
      <c r="CK132" s="55">
        <f t="shared" si="851"/>
        <v>0</v>
      </c>
      <c r="CL132" s="59">
        <f t="shared" si="852"/>
        <v>0</v>
      </c>
      <c r="CM132" s="57">
        <f t="shared" si="853"/>
        <v>0</v>
      </c>
      <c r="CN132" s="59">
        <f t="shared" si="854"/>
        <v>0</v>
      </c>
      <c r="CO132" s="60">
        <f t="shared" si="855"/>
        <v>0</v>
      </c>
      <c r="CP132" s="59">
        <f t="shared" si="856"/>
        <v>0</v>
      </c>
      <c r="CQ132" s="57">
        <f t="shared" si="857"/>
        <v>0</v>
      </c>
      <c r="CR132" s="59">
        <f t="shared" si="858"/>
        <v>0</v>
      </c>
      <c r="CS132" s="55">
        <f t="shared" si="859"/>
        <v>0</v>
      </c>
      <c r="CT132" s="59">
        <f t="shared" si="860"/>
        <v>0</v>
      </c>
      <c r="CU132" s="60">
        <f t="shared" si="861"/>
        <v>0</v>
      </c>
      <c r="CV132" s="59">
        <f t="shared" si="862"/>
        <v>0</v>
      </c>
      <c r="CW132" s="60">
        <f t="shared" si="863"/>
        <v>0</v>
      </c>
      <c r="CX132" s="59">
        <f t="shared" si="864"/>
        <v>0</v>
      </c>
      <c r="CY132" s="60">
        <f t="shared" si="865"/>
        <v>0</v>
      </c>
      <c r="CZ132" s="59">
        <f t="shared" si="866"/>
        <v>0</v>
      </c>
      <c r="DA132" s="55">
        <f t="shared" si="867"/>
        <v>0</v>
      </c>
      <c r="DB132" s="59">
        <f t="shared" si="868"/>
        <v>0</v>
      </c>
      <c r="DC132" s="60">
        <f t="shared" si="869"/>
        <v>0</v>
      </c>
      <c r="DD132" s="59">
        <f t="shared" si="870"/>
        <v>0</v>
      </c>
      <c r="DE132" s="60">
        <f t="shared" si="871"/>
        <v>0</v>
      </c>
      <c r="DF132" s="59">
        <f t="shared" si="872"/>
        <v>0</v>
      </c>
      <c r="DG132" s="60">
        <f t="shared" si="873"/>
        <v>0</v>
      </c>
      <c r="DH132" s="59">
        <f t="shared" si="874"/>
        <v>0</v>
      </c>
      <c r="DI132" s="60">
        <f t="shared" si="875"/>
        <v>0</v>
      </c>
      <c r="DJ132" s="59">
        <f t="shared" si="876"/>
        <v>0</v>
      </c>
      <c r="DK132" s="55">
        <f t="shared" si="877"/>
        <v>0</v>
      </c>
      <c r="DL132" s="59">
        <f t="shared" si="878"/>
        <v>0</v>
      </c>
      <c r="DM132" s="60">
        <f t="shared" si="879"/>
        <v>0</v>
      </c>
      <c r="DN132" s="59">
        <f t="shared" si="880"/>
        <v>0</v>
      </c>
      <c r="DO132" s="60">
        <f t="shared" si="881"/>
        <v>0</v>
      </c>
      <c r="DP132" s="59">
        <f t="shared" si="882"/>
        <v>0</v>
      </c>
      <c r="DQ132" s="55">
        <f t="shared" si="883"/>
        <v>0</v>
      </c>
      <c r="DR132" s="59">
        <f t="shared" si="88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92"/>
        <v>0.91</v>
      </c>
      <c r="DZ132" s="55">
        <f t="shared" si="792"/>
        <v>0.89</v>
      </c>
      <c r="EA132" s="55">
        <f t="shared" si="792"/>
        <v>0.87</v>
      </c>
      <c r="EB132" s="55">
        <f t="shared" si="792"/>
        <v>0.85</v>
      </c>
      <c r="EC132" s="55">
        <f t="shared" si="792"/>
        <v>0.83</v>
      </c>
      <c r="ED132" s="55">
        <f t="shared" si="792"/>
        <v>0.80999999999999994</v>
      </c>
      <c r="EE132" s="55">
        <f t="shared" si="792"/>
        <v>0.78999999999999992</v>
      </c>
      <c r="EF132" s="55">
        <f t="shared" si="792"/>
        <v>0.76999999999999991</v>
      </c>
      <c r="EG132" s="55">
        <f t="shared" si="792"/>
        <v>0.74999999999999989</v>
      </c>
      <c r="EH132" s="55">
        <f t="shared" si="792"/>
        <v>0.72999999999999987</v>
      </c>
      <c r="EI132" s="55">
        <f t="shared" si="792"/>
        <v>0.70999999999999985</v>
      </c>
      <c r="EJ132" s="55">
        <f t="shared" si="792"/>
        <v>0.68999999999999984</v>
      </c>
      <c r="EK132" s="55">
        <f t="shared" si="792"/>
        <v>0.66999999999999982</v>
      </c>
      <c r="EL132" s="55">
        <f t="shared" si="792"/>
        <v>0.6499999999999998</v>
      </c>
      <c r="EM132" s="55">
        <f t="shared" si="792"/>
        <v>0.62999999999999978</v>
      </c>
      <c r="EN132" s="55">
        <f t="shared" si="792"/>
        <v>0.60999999999999976</v>
      </c>
      <c r="EO132" s="55">
        <f t="shared" si="792"/>
        <v>0.58999999999999975</v>
      </c>
      <c r="EP132" s="55">
        <f t="shared" si="792"/>
        <v>0.56999999999999973</v>
      </c>
      <c r="ER132" s="55">
        <f t="shared" si="648"/>
        <v>0</v>
      </c>
      <c r="ES132" s="55">
        <f t="shared" si="510"/>
        <v>0</v>
      </c>
      <c r="ET132" s="59">
        <f t="shared" si="885"/>
        <v>0</v>
      </c>
      <c r="EU132" s="55">
        <f t="shared" si="886"/>
        <v>0</v>
      </c>
      <c r="EV132" s="59">
        <f t="shared" si="887"/>
        <v>0</v>
      </c>
      <c r="EW132" s="55">
        <f t="shared" si="888"/>
        <v>0</v>
      </c>
      <c r="EX132" s="59">
        <f t="shared" si="889"/>
        <v>0</v>
      </c>
      <c r="EY132" s="55">
        <f t="shared" si="890"/>
        <v>0</v>
      </c>
      <c r="EZ132" s="59">
        <f t="shared" si="891"/>
        <v>0</v>
      </c>
      <c r="FA132" s="57">
        <f t="shared" si="892"/>
        <v>0</v>
      </c>
      <c r="FB132" s="59">
        <f t="shared" si="893"/>
        <v>0</v>
      </c>
      <c r="FC132" s="55">
        <f t="shared" si="894"/>
        <v>0</v>
      </c>
      <c r="FD132" s="59">
        <f t="shared" si="895"/>
        <v>0</v>
      </c>
      <c r="FE132" s="57">
        <f t="shared" si="896"/>
        <v>0</v>
      </c>
      <c r="FF132" s="59">
        <f t="shared" si="897"/>
        <v>0</v>
      </c>
      <c r="FG132" s="60">
        <f t="shared" si="898"/>
        <v>0</v>
      </c>
      <c r="FH132" s="59">
        <f t="shared" si="899"/>
        <v>0</v>
      </c>
      <c r="FI132" s="57">
        <f t="shared" si="900"/>
        <v>0</v>
      </c>
      <c r="FJ132" s="59">
        <f t="shared" si="901"/>
        <v>0</v>
      </c>
      <c r="FK132" s="55">
        <f t="shared" si="902"/>
        <v>0</v>
      </c>
      <c r="FL132" s="59">
        <f t="shared" si="903"/>
        <v>0</v>
      </c>
      <c r="FM132" s="60">
        <f t="shared" si="904"/>
        <v>0</v>
      </c>
      <c r="FN132" s="59">
        <f t="shared" si="905"/>
        <v>0</v>
      </c>
      <c r="FO132" s="60">
        <f t="shared" si="906"/>
        <v>0</v>
      </c>
      <c r="FP132" s="59">
        <f t="shared" si="907"/>
        <v>0</v>
      </c>
      <c r="FQ132" s="60">
        <f t="shared" si="908"/>
        <v>0</v>
      </c>
      <c r="FR132" s="59">
        <f t="shared" si="909"/>
        <v>0</v>
      </c>
      <c r="FS132" s="55">
        <f t="shared" si="910"/>
        <v>0</v>
      </c>
      <c r="FT132" s="59">
        <f t="shared" si="911"/>
        <v>0</v>
      </c>
      <c r="FU132" s="60">
        <f t="shared" si="912"/>
        <v>0</v>
      </c>
      <c r="FV132" s="59">
        <f t="shared" si="913"/>
        <v>0</v>
      </c>
      <c r="FW132" s="60">
        <f t="shared" si="914"/>
        <v>0</v>
      </c>
      <c r="FX132" s="59">
        <f t="shared" si="915"/>
        <v>0</v>
      </c>
      <c r="FY132" s="60">
        <f t="shared" si="916"/>
        <v>0</v>
      </c>
      <c r="FZ132" s="59">
        <f t="shared" si="917"/>
        <v>0</v>
      </c>
      <c r="GA132" s="60">
        <f t="shared" si="918"/>
        <v>0</v>
      </c>
      <c r="GB132" s="59">
        <f t="shared" si="919"/>
        <v>0</v>
      </c>
      <c r="GC132" s="55">
        <f t="shared" si="920"/>
        <v>0</v>
      </c>
      <c r="GD132" s="59">
        <f t="shared" si="921"/>
        <v>0</v>
      </c>
      <c r="GE132" s="60">
        <f t="shared" si="922"/>
        <v>0</v>
      </c>
      <c r="GF132" s="59">
        <f t="shared" si="923"/>
        <v>0</v>
      </c>
      <c r="GG132" s="60">
        <f t="shared" si="924"/>
        <v>0</v>
      </c>
      <c r="GH132" s="59">
        <f t="shared" si="925"/>
        <v>0</v>
      </c>
      <c r="GI132" s="55">
        <f t="shared" si="926"/>
        <v>0</v>
      </c>
      <c r="GJ132" s="59">
        <f t="shared" si="92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93"/>
        <v>0.91</v>
      </c>
      <c r="GR132" s="55">
        <f t="shared" si="793"/>
        <v>0.89</v>
      </c>
      <c r="GS132" s="55">
        <f t="shared" si="793"/>
        <v>0.87</v>
      </c>
      <c r="GT132" s="55">
        <f t="shared" si="793"/>
        <v>0.85</v>
      </c>
      <c r="GU132" s="55">
        <f t="shared" si="793"/>
        <v>0.83</v>
      </c>
      <c r="GV132" s="55">
        <f t="shared" si="793"/>
        <v>0.80999999999999994</v>
      </c>
      <c r="GW132" s="55">
        <f t="shared" si="793"/>
        <v>0.78999999999999992</v>
      </c>
      <c r="GX132" s="55">
        <f t="shared" si="793"/>
        <v>0.76999999999999991</v>
      </c>
      <c r="GY132" s="55">
        <f t="shared" si="793"/>
        <v>0.74999999999999989</v>
      </c>
      <c r="GZ132" s="55">
        <f t="shared" si="793"/>
        <v>0.72999999999999987</v>
      </c>
      <c r="HA132" s="55">
        <f t="shared" si="793"/>
        <v>0.70999999999999985</v>
      </c>
      <c r="HB132" s="55">
        <f t="shared" si="793"/>
        <v>0.68999999999999984</v>
      </c>
      <c r="HC132" s="55">
        <f t="shared" si="793"/>
        <v>0.66999999999999982</v>
      </c>
      <c r="HD132" s="55">
        <f t="shared" si="793"/>
        <v>0.6499999999999998</v>
      </c>
      <c r="HE132" s="55">
        <f t="shared" si="793"/>
        <v>0.62999999999999978</v>
      </c>
      <c r="HF132" s="55">
        <f t="shared" si="793"/>
        <v>0.60999999999999976</v>
      </c>
      <c r="HG132" s="55">
        <f t="shared" si="793"/>
        <v>0.58999999999999975</v>
      </c>
      <c r="HH132" s="55">
        <f t="shared" si="793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1">
        <f t="shared" si="798"/>
        <v>0</v>
      </c>
      <c r="H133" s="55">
        <f t="shared" si="505"/>
        <v>0</v>
      </c>
      <c r="I133" s="55">
        <f t="shared" si="506"/>
        <v>0</v>
      </c>
      <c r="J133" s="59">
        <f t="shared" si="507"/>
        <v>0</v>
      </c>
      <c r="K133" s="55">
        <f t="shared" si="799"/>
        <v>0</v>
      </c>
      <c r="L133" s="59">
        <f t="shared" si="800"/>
        <v>0</v>
      </c>
      <c r="M133" s="55">
        <f t="shared" si="801"/>
        <v>0</v>
      </c>
      <c r="N133" s="59">
        <f t="shared" si="802"/>
        <v>0</v>
      </c>
      <c r="O133" s="55">
        <f t="shared" si="803"/>
        <v>0</v>
      </c>
      <c r="P133" s="59">
        <f t="shared" si="804"/>
        <v>0</v>
      </c>
      <c r="Q133" s="57">
        <f t="shared" si="805"/>
        <v>0</v>
      </c>
      <c r="R133" s="59">
        <f t="shared" si="806"/>
        <v>0</v>
      </c>
      <c r="S133" s="55">
        <f t="shared" si="807"/>
        <v>0</v>
      </c>
      <c r="T133" s="59">
        <f t="shared" si="808"/>
        <v>0</v>
      </c>
      <c r="U133" s="57">
        <f t="shared" si="809"/>
        <v>0</v>
      </c>
      <c r="V133" s="59">
        <f t="shared" si="810"/>
        <v>0</v>
      </c>
      <c r="W133" s="60">
        <f t="shared" si="811"/>
        <v>0</v>
      </c>
      <c r="X133" s="59">
        <f t="shared" si="812"/>
        <v>0</v>
      </c>
      <c r="Y133" s="57">
        <f t="shared" si="813"/>
        <v>0</v>
      </c>
      <c r="Z133" s="59">
        <f t="shared" si="814"/>
        <v>0</v>
      </c>
      <c r="AA133" s="55">
        <f t="shared" si="815"/>
        <v>0</v>
      </c>
      <c r="AB133" s="59">
        <f t="shared" si="816"/>
        <v>0</v>
      </c>
      <c r="AC133" s="60">
        <f t="shared" si="817"/>
        <v>0</v>
      </c>
      <c r="AD133" s="59">
        <f t="shared" si="818"/>
        <v>0</v>
      </c>
      <c r="AE133" s="60">
        <f t="shared" si="819"/>
        <v>0</v>
      </c>
      <c r="AF133" s="59">
        <f t="shared" si="820"/>
        <v>0</v>
      </c>
      <c r="AG133" s="60">
        <f t="shared" si="821"/>
        <v>0</v>
      </c>
      <c r="AH133" s="59">
        <f t="shared" si="822"/>
        <v>0</v>
      </c>
      <c r="AI133" s="55">
        <f t="shared" si="823"/>
        <v>0</v>
      </c>
      <c r="AJ133" s="59">
        <f t="shared" si="824"/>
        <v>0</v>
      </c>
      <c r="AK133" s="60">
        <f t="shared" si="825"/>
        <v>0</v>
      </c>
      <c r="AL133" s="59">
        <f t="shared" si="826"/>
        <v>0</v>
      </c>
      <c r="AM133" s="60">
        <f t="shared" si="827"/>
        <v>0</v>
      </c>
      <c r="AN133" s="59">
        <f t="shared" si="828"/>
        <v>0</v>
      </c>
      <c r="AO133" s="60">
        <f t="shared" si="829"/>
        <v>0</v>
      </c>
      <c r="AP133" s="59">
        <f t="shared" si="830"/>
        <v>0</v>
      </c>
      <c r="AQ133" s="60">
        <f t="shared" si="831"/>
        <v>0</v>
      </c>
      <c r="AR133" s="59">
        <f t="shared" si="832"/>
        <v>0</v>
      </c>
      <c r="AS133" s="55">
        <f t="shared" si="833"/>
        <v>0</v>
      </c>
      <c r="AT133" s="59">
        <f t="shared" si="834"/>
        <v>0</v>
      </c>
      <c r="AU133" s="60">
        <f t="shared" si="835"/>
        <v>0</v>
      </c>
      <c r="AV133" s="59">
        <f t="shared" si="836"/>
        <v>0</v>
      </c>
      <c r="AW133" s="60">
        <f t="shared" si="837"/>
        <v>0</v>
      </c>
      <c r="AX133" s="59">
        <f t="shared" si="838"/>
        <v>0</v>
      </c>
      <c r="AY133" s="55">
        <f t="shared" si="839"/>
        <v>0</v>
      </c>
      <c r="AZ133" s="59">
        <f t="shared" si="840"/>
        <v>0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41"/>
        <v>0.91</v>
      </c>
      <c r="BH133" s="55">
        <f t="shared" si="841"/>
        <v>0.89</v>
      </c>
      <c r="BI133" s="55">
        <f t="shared" si="841"/>
        <v>0.87</v>
      </c>
      <c r="BJ133" s="55">
        <f t="shared" si="841"/>
        <v>0.85</v>
      </c>
      <c r="BK133" s="55">
        <f t="shared" si="841"/>
        <v>0.83</v>
      </c>
      <c r="BL133" s="55">
        <f t="shared" si="841"/>
        <v>0.80999999999999994</v>
      </c>
      <c r="BM133" s="55">
        <f t="shared" si="841"/>
        <v>0.78999999999999992</v>
      </c>
      <c r="BN133" s="55">
        <f t="shared" si="841"/>
        <v>0.76999999999999991</v>
      </c>
      <c r="BO133" s="55">
        <f t="shared" si="841"/>
        <v>0.74999999999999989</v>
      </c>
      <c r="BP133" s="55">
        <f t="shared" si="841"/>
        <v>0.72999999999999987</v>
      </c>
      <c r="BQ133" s="55">
        <f t="shared" si="841"/>
        <v>0.70999999999999985</v>
      </c>
      <c r="BR133" s="55">
        <f t="shared" si="841"/>
        <v>0.68999999999999984</v>
      </c>
      <c r="BS133" s="55">
        <f t="shared" si="841"/>
        <v>0.66999999999999982</v>
      </c>
      <c r="BT133" s="55">
        <f t="shared" si="841"/>
        <v>0.6499999999999998</v>
      </c>
      <c r="BU133" s="55">
        <f t="shared" si="841"/>
        <v>0.62999999999999978</v>
      </c>
      <c r="BV133" s="55">
        <f t="shared" si="841"/>
        <v>0.60999999999999976</v>
      </c>
      <c r="BW133" s="55">
        <f t="shared" si="841"/>
        <v>0.58999999999999975</v>
      </c>
      <c r="BX133" s="55">
        <f t="shared" si="841"/>
        <v>0.56999999999999973</v>
      </c>
      <c r="BZ133" s="55">
        <f t="shared" si="508"/>
        <v>0</v>
      </c>
      <c r="CA133" s="55">
        <f t="shared" si="509"/>
        <v>0</v>
      </c>
      <c r="CB133" s="59">
        <f t="shared" si="842"/>
        <v>0</v>
      </c>
      <c r="CC133" s="55">
        <f t="shared" si="843"/>
        <v>0</v>
      </c>
      <c r="CD133" s="59">
        <f t="shared" si="844"/>
        <v>0</v>
      </c>
      <c r="CE133" s="55">
        <f t="shared" si="845"/>
        <v>0</v>
      </c>
      <c r="CF133" s="59">
        <f t="shared" si="846"/>
        <v>0</v>
      </c>
      <c r="CG133" s="55">
        <f t="shared" si="847"/>
        <v>0</v>
      </c>
      <c r="CH133" s="59">
        <f t="shared" si="848"/>
        <v>0</v>
      </c>
      <c r="CI133" s="57">
        <f t="shared" si="849"/>
        <v>0</v>
      </c>
      <c r="CJ133" s="59">
        <f t="shared" si="850"/>
        <v>0</v>
      </c>
      <c r="CK133" s="55">
        <f t="shared" si="851"/>
        <v>0</v>
      </c>
      <c r="CL133" s="59">
        <f t="shared" si="852"/>
        <v>0</v>
      </c>
      <c r="CM133" s="57">
        <f t="shared" si="853"/>
        <v>0</v>
      </c>
      <c r="CN133" s="59">
        <f t="shared" si="854"/>
        <v>0</v>
      </c>
      <c r="CO133" s="60">
        <f t="shared" si="855"/>
        <v>0</v>
      </c>
      <c r="CP133" s="59">
        <f t="shared" si="856"/>
        <v>0</v>
      </c>
      <c r="CQ133" s="57">
        <f t="shared" si="857"/>
        <v>0</v>
      </c>
      <c r="CR133" s="59">
        <f t="shared" si="858"/>
        <v>0</v>
      </c>
      <c r="CS133" s="55">
        <f t="shared" si="859"/>
        <v>0</v>
      </c>
      <c r="CT133" s="59">
        <f t="shared" si="860"/>
        <v>0</v>
      </c>
      <c r="CU133" s="60">
        <f t="shared" si="861"/>
        <v>0</v>
      </c>
      <c r="CV133" s="59">
        <f t="shared" si="862"/>
        <v>0</v>
      </c>
      <c r="CW133" s="60">
        <f t="shared" si="863"/>
        <v>0</v>
      </c>
      <c r="CX133" s="59">
        <f t="shared" si="864"/>
        <v>0</v>
      </c>
      <c r="CY133" s="60">
        <f t="shared" si="865"/>
        <v>0</v>
      </c>
      <c r="CZ133" s="59">
        <f t="shared" si="866"/>
        <v>0</v>
      </c>
      <c r="DA133" s="55">
        <f t="shared" si="867"/>
        <v>0</v>
      </c>
      <c r="DB133" s="59">
        <f t="shared" si="868"/>
        <v>0</v>
      </c>
      <c r="DC133" s="60">
        <f t="shared" si="869"/>
        <v>0</v>
      </c>
      <c r="DD133" s="59">
        <f t="shared" si="870"/>
        <v>0</v>
      </c>
      <c r="DE133" s="60">
        <f t="shared" si="871"/>
        <v>0</v>
      </c>
      <c r="DF133" s="59">
        <f t="shared" si="872"/>
        <v>0</v>
      </c>
      <c r="DG133" s="60">
        <f t="shared" si="873"/>
        <v>0</v>
      </c>
      <c r="DH133" s="59">
        <f t="shared" si="874"/>
        <v>0</v>
      </c>
      <c r="DI133" s="60">
        <f t="shared" si="875"/>
        <v>0</v>
      </c>
      <c r="DJ133" s="59">
        <f t="shared" si="876"/>
        <v>0</v>
      </c>
      <c r="DK133" s="55">
        <f t="shared" si="877"/>
        <v>0</v>
      </c>
      <c r="DL133" s="59">
        <f t="shared" si="878"/>
        <v>0</v>
      </c>
      <c r="DM133" s="60">
        <f t="shared" si="879"/>
        <v>0</v>
      </c>
      <c r="DN133" s="59">
        <f t="shared" si="880"/>
        <v>0</v>
      </c>
      <c r="DO133" s="60">
        <f t="shared" si="881"/>
        <v>0</v>
      </c>
      <c r="DP133" s="59">
        <f t="shared" si="882"/>
        <v>0</v>
      </c>
      <c r="DQ133" s="55">
        <f t="shared" si="883"/>
        <v>0</v>
      </c>
      <c r="DR133" s="59">
        <f t="shared" si="884"/>
        <v>0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92"/>
        <v>0.91</v>
      </c>
      <c r="DZ133" s="55">
        <f t="shared" si="792"/>
        <v>0.89</v>
      </c>
      <c r="EA133" s="55">
        <f t="shared" si="792"/>
        <v>0.87</v>
      </c>
      <c r="EB133" s="55">
        <f t="shared" si="792"/>
        <v>0.85</v>
      </c>
      <c r="EC133" s="55">
        <f t="shared" si="792"/>
        <v>0.83</v>
      </c>
      <c r="ED133" s="55">
        <f t="shared" si="792"/>
        <v>0.80999999999999994</v>
      </c>
      <c r="EE133" s="55">
        <f t="shared" si="792"/>
        <v>0.78999999999999992</v>
      </c>
      <c r="EF133" s="55">
        <f t="shared" si="792"/>
        <v>0.76999999999999991</v>
      </c>
      <c r="EG133" s="55">
        <f t="shared" si="792"/>
        <v>0.74999999999999989</v>
      </c>
      <c r="EH133" s="55">
        <f t="shared" si="792"/>
        <v>0.72999999999999987</v>
      </c>
      <c r="EI133" s="55">
        <f t="shared" si="792"/>
        <v>0.70999999999999985</v>
      </c>
      <c r="EJ133" s="55">
        <f t="shared" si="792"/>
        <v>0.68999999999999984</v>
      </c>
      <c r="EK133" s="55">
        <f t="shared" si="792"/>
        <v>0.66999999999999982</v>
      </c>
      <c r="EL133" s="55">
        <f t="shared" si="792"/>
        <v>0.6499999999999998</v>
      </c>
      <c r="EM133" s="55">
        <f t="shared" si="792"/>
        <v>0.62999999999999978</v>
      </c>
      <c r="EN133" s="55">
        <f t="shared" si="792"/>
        <v>0.60999999999999976</v>
      </c>
      <c r="EO133" s="55">
        <f t="shared" si="792"/>
        <v>0.58999999999999975</v>
      </c>
      <c r="EP133" s="55">
        <f t="shared" si="792"/>
        <v>0.56999999999999973</v>
      </c>
      <c r="ER133" s="55">
        <f t="shared" si="648"/>
        <v>0</v>
      </c>
      <c r="ES133" s="55">
        <f t="shared" si="510"/>
        <v>0</v>
      </c>
      <c r="ET133" s="59">
        <f t="shared" si="885"/>
        <v>0</v>
      </c>
      <c r="EU133" s="55">
        <f t="shared" si="886"/>
        <v>0</v>
      </c>
      <c r="EV133" s="59">
        <f t="shared" si="887"/>
        <v>0</v>
      </c>
      <c r="EW133" s="55">
        <f t="shared" si="888"/>
        <v>0</v>
      </c>
      <c r="EX133" s="59">
        <f t="shared" si="889"/>
        <v>0</v>
      </c>
      <c r="EY133" s="55">
        <f t="shared" si="890"/>
        <v>0</v>
      </c>
      <c r="EZ133" s="59">
        <f t="shared" si="891"/>
        <v>0</v>
      </c>
      <c r="FA133" s="57">
        <f t="shared" si="892"/>
        <v>0</v>
      </c>
      <c r="FB133" s="59">
        <f t="shared" si="893"/>
        <v>0</v>
      </c>
      <c r="FC133" s="55">
        <f t="shared" si="894"/>
        <v>0</v>
      </c>
      <c r="FD133" s="59">
        <f t="shared" si="895"/>
        <v>0</v>
      </c>
      <c r="FE133" s="57">
        <f t="shared" si="896"/>
        <v>0</v>
      </c>
      <c r="FF133" s="59">
        <f t="shared" si="897"/>
        <v>0</v>
      </c>
      <c r="FG133" s="60">
        <f t="shared" si="898"/>
        <v>0</v>
      </c>
      <c r="FH133" s="59">
        <f t="shared" si="899"/>
        <v>0</v>
      </c>
      <c r="FI133" s="57">
        <f t="shared" si="900"/>
        <v>0</v>
      </c>
      <c r="FJ133" s="59">
        <f t="shared" si="901"/>
        <v>0</v>
      </c>
      <c r="FK133" s="55">
        <f t="shared" si="902"/>
        <v>0</v>
      </c>
      <c r="FL133" s="59">
        <f t="shared" si="903"/>
        <v>0</v>
      </c>
      <c r="FM133" s="60">
        <f t="shared" si="904"/>
        <v>0</v>
      </c>
      <c r="FN133" s="59">
        <f t="shared" si="905"/>
        <v>0</v>
      </c>
      <c r="FO133" s="60">
        <f t="shared" si="906"/>
        <v>0</v>
      </c>
      <c r="FP133" s="59">
        <f t="shared" si="907"/>
        <v>0</v>
      </c>
      <c r="FQ133" s="60">
        <f t="shared" si="908"/>
        <v>0</v>
      </c>
      <c r="FR133" s="59">
        <f t="shared" si="909"/>
        <v>0</v>
      </c>
      <c r="FS133" s="55">
        <f t="shared" si="910"/>
        <v>0</v>
      </c>
      <c r="FT133" s="59">
        <f t="shared" si="911"/>
        <v>0</v>
      </c>
      <c r="FU133" s="60">
        <f t="shared" si="912"/>
        <v>0</v>
      </c>
      <c r="FV133" s="59">
        <f t="shared" si="913"/>
        <v>0</v>
      </c>
      <c r="FW133" s="60">
        <f t="shared" si="914"/>
        <v>0</v>
      </c>
      <c r="FX133" s="59">
        <f t="shared" si="915"/>
        <v>0</v>
      </c>
      <c r="FY133" s="60">
        <f t="shared" si="916"/>
        <v>0</v>
      </c>
      <c r="FZ133" s="59">
        <f t="shared" si="917"/>
        <v>0</v>
      </c>
      <c r="GA133" s="60">
        <f t="shared" si="918"/>
        <v>0</v>
      </c>
      <c r="GB133" s="59">
        <f t="shared" si="919"/>
        <v>0</v>
      </c>
      <c r="GC133" s="55">
        <f t="shared" si="920"/>
        <v>0</v>
      </c>
      <c r="GD133" s="59">
        <f t="shared" si="921"/>
        <v>0</v>
      </c>
      <c r="GE133" s="60">
        <f t="shared" si="922"/>
        <v>0</v>
      </c>
      <c r="GF133" s="59">
        <f t="shared" si="923"/>
        <v>0</v>
      </c>
      <c r="GG133" s="60">
        <f t="shared" si="924"/>
        <v>0</v>
      </c>
      <c r="GH133" s="59">
        <f t="shared" si="925"/>
        <v>0</v>
      </c>
      <c r="GI133" s="55">
        <f t="shared" si="926"/>
        <v>0</v>
      </c>
      <c r="GJ133" s="59">
        <f t="shared" si="927"/>
        <v>0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93"/>
        <v>0.91</v>
      </c>
      <c r="GR133" s="55">
        <f t="shared" si="793"/>
        <v>0.89</v>
      </c>
      <c r="GS133" s="55">
        <f t="shared" si="793"/>
        <v>0.87</v>
      </c>
      <c r="GT133" s="55">
        <f t="shared" si="793"/>
        <v>0.85</v>
      </c>
      <c r="GU133" s="55">
        <f t="shared" si="793"/>
        <v>0.83</v>
      </c>
      <c r="GV133" s="55">
        <f t="shared" si="793"/>
        <v>0.80999999999999994</v>
      </c>
      <c r="GW133" s="55">
        <f t="shared" si="793"/>
        <v>0.78999999999999992</v>
      </c>
      <c r="GX133" s="55">
        <f t="shared" si="793"/>
        <v>0.76999999999999991</v>
      </c>
      <c r="GY133" s="55">
        <f t="shared" si="793"/>
        <v>0.74999999999999989</v>
      </c>
      <c r="GZ133" s="55">
        <f t="shared" si="793"/>
        <v>0.72999999999999987</v>
      </c>
      <c r="HA133" s="55">
        <f t="shared" si="793"/>
        <v>0.70999999999999985</v>
      </c>
      <c r="HB133" s="55">
        <f t="shared" si="793"/>
        <v>0.68999999999999984</v>
      </c>
      <c r="HC133" s="55">
        <f t="shared" si="793"/>
        <v>0.66999999999999982</v>
      </c>
      <c r="HD133" s="55">
        <f t="shared" si="793"/>
        <v>0.6499999999999998</v>
      </c>
      <c r="HE133" s="55">
        <f t="shared" si="793"/>
        <v>0.62999999999999978</v>
      </c>
      <c r="HF133" s="55">
        <f t="shared" si="793"/>
        <v>0.60999999999999976</v>
      </c>
      <c r="HG133" s="55">
        <f t="shared" si="793"/>
        <v>0.58999999999999975</v>
      </c>
      <c r="HH133" s="55">
        <f t="shared" si="793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1">
        <f t="shared" si="798"/>
        <v>0</v>
      </c>
      <c r="H134" s="55">
        <f t="shared" si="505"/>
        <v>0</v>
      </c>
      <c r="I134" s="55">
        <f t="shared" si="506"/>
        <v>0</v>
      </c>
      <c r="J134" s="59">
        <f t="shared" si="507"/>
        <v>0</v>
      </c>
      <c r="K134" s="55">
        <f t="shared" si="799"/>
        <v>0</v>
      </c>
      <c r="L134" s="59">
        <f t="shared" si="800"/>
        <v>0</v>
      </c>
      <c r="M134" s="55">
        <f t="shared" si="801"/>
        <v>0</v>
      </c>
      <c r="N134" s="59">
        <f t="shared" si="802"/>
        <v>0</v>
      </c>
      <c r="O134" s="55">
        <f t="shared" si="803"/>
        <v>0</v>
      </c>
      <c r="P134" s="59">
        <f t="shared" si="804"/>
        <v>0</v>
      </c>
      <c r="Q134" s="57">
        <f t="shared" si="805"/>
        <v>0</v>
      </c>
      <c r="R134" s="59">
        <f t="shared" si="806"/>
        <v>0</v>
      </c>
      <c r="S134" s="55">
        <f t="shared" si="807"/>
        <v>0</v>
      </c>
      <c r="T134" s="59">
        <f t="shared" si="808"/>
        <v>0</v>
      </c>
      <c r="U134" s="57">
        <f t="shared" si="809"/>
        <v>0</v>
      </c>
      <c r="V134" s="59">
        <f t="shared" si="810"/>
        <v>0</v>
      </c>
      <c r="W134" s="60">
        <f t="shared" si="811"/>
        <v>0</v>
      </c>
      <c r="X134" s="59">
        <f t="shared" si="812"/>
        <v>0</v>
      </c>
      <c r="Y134" s="57">
        <f t="shared" si="813"/>
        <v>0</v>
      </c>
      <c r="Z134" s="59">
        <f t="shared" si="814"/>
        <v>0</v>
      </c>
      <c r="AA134" s="55">
        <f t="shared" si="815"/>
        <v>0</v>
      </c>
      <c r="AB134" s="59">
        <f t="shared" si="816"/>
        <v>0</v>
      </c>
      <c r="AC134" s="60">
        <f t="shared" si="817"/>
        <v>0</v>
      </c>
      <c r="AD134" s="59">
        <f t="shared" si="818"/>
        <v>0</v>
      </c>
      <c r="AE134" s="60">
        <f t="shared" si="819"/>
        <v>0</v>
      </c>
      <c r="AF134" s="59">
        <f t="shared" si="820"/>
        <v>0</v>
      </c>
      <c r="AG134" s="60">
        <f t="shared" si="821"/>
        <v>0</v>
      </c>
      <c r="AH134" s="59">
        <f t="shared" si="822"/>
        <v>0</v>
      </c>
      <c r="AI134" s="55">
        <f t="shared" si="823"/>
        <v>0</v>
      </c>
      <c r="AJ134" s="59">
        <f t="shared" si="824"/>
        <v>0</v>
      </c>
      <c r="AK134" s="60">
        <f t="shared" si="825"/>
        <v>0</v>
      </c>
      <c r="AL134" s="59">
        <f t="shared" si="826"/>
        <v>0</v>
      </c>
      <c r="AM134" s="60">
        <f t="shared" si="827"/>
        <v>0</v>
      </c>
      <c r="AN134" s="59">
        <f t="shared" si="828"/>
        <v>0</v>
      </c>
      <c r="AO134" s="60">
        <f t="shared" si="829"/>
        <v>0</v>
      </c>
      <c r="AP134" s="59">
        <f t="shared" si="830"/>
        <v>0</v>
      </c>
      <c r="AQ134" s="60">
        <f t="shared" si="831"/>
        <v>0</v>
      </c>
      <c r="AR134" s="59">
        <f t="shared" si="832"/>
        <v>0</v>
      </c>
      <c r="AS134" s="55">
        <f t="shared" si="833"/>
        <v>0</v>
      </c>
      <c r="AT134" s="59">
        <f t="shared" si="834"/>
        <v>0</v>
      </c>
      <c r="AU134" s="60">
        <f t="shared" si="835"/>
        <v>0</v>
      </c>
      <c r="AV134" s="59">
        <f t="shared" si="836"/>
        <v>0</v>
      </c>
      <c r="AW134" s="60">
        <f t="shared" si="837"/>
        <v>0</v>
      </c>
      <c r="AX134" s="59">
        <f t="shared" si="838"/>
        <v>0</v>
      </c>
      <c r="AY134" s="55">
        <f t="shared" si="839"/>
        <v>0</v>
      </c>
      <c r="AZ134" s="59">
        <f t="shared" si="840"/>
        <v>0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41"/>
        <v>0.91</v>
      </c>
      <c r="BH134" s="55">
        <f t="shared" si="841"/>
        <v>0.89</v>
      </c>
      <c r="BI134" s="55">
        <f t="shared" si="841"/>
        <v>0.87</v>
      </c>
      <c r="BJ134" s="55">
        <f t="shared" si="841"/>
        <v>0.85</v>
      </c>
      <c r="BK134" s="55">
        <f t="shared" si="841"/>
        <v>0.83</v>
      </c>
      <c r="BL134" s="55">
        <f t="shared" si="841"/>
        <v>0.80999999999999994</v>
      </c>
      <c r="BM134" s="55">
        <f t="shared" si="841"/>
        <v>0.78999999999999992</v>
      </c>
      <c r="BN134" s="55">
        <f t="shared" si="841"/>
        <v>0.76999999999999991</v>
      </c>
      <c r="BO134" s="55">
        <f t="shared" si="841"/>
        <v>0.74999999999999989</v>
      </c>
      <c r="BP134" s="55">
        <f t="shared" si="841"/>
        <v>0.72999999999999987</v>
      </c>
      <c r="BQ134" s="55">
        <f t="shared" si="841"/>
        <v>0.70999999999999985</v>
      </c>
      <c r="BR134" s="55">
        <f t="shared" si="841"/>
        <v>0.68999999999999984</v>
      </c>
      <c r="BS134" s="55">
        <f t="shared" si="841"/>
        <v>0.66999999999999982</v>
      </c>
      <c r="BT134" s="55">
        <f t="shared" si="841"/>
        <v>0.6499999999999998</v>
      </c>
      <c r="BU134" s="55">
        <f t="shared" si="841"/>
        <v>0.62999999999999978</v>
      </c>
      <c r="BV134" s="55">
        <f t="shared" si="841"/>
        <v>0.60999999999999976</v>
      </c>
      <c r="BW134" s="55">
        <f t="shared" si="841"/>
        <v>0.58999999999999975</v>
      </c>
      <c r="BX134" s="55">
        <f t="shared" si="841"/>
        <v>0.56999999999999973</v>
      </c>
      <c r="BZ134" s="55">
        <f t="shared" si="508"/>
        <v>0</v>
      </c>
      <c r="CA134" s="55">
        <f t="shared" si="509"/>
        <v>0</v>
      </c>
      <c r="CB134" s="59">
        <f t="shared" si="842"/>
        <v>0</v>
      </c>
      <c r="CC134" s="55">
        <f t="shared" si="843"/>
        <v>0</v>
      </c>
      <c r="CD134" s="59">
        <f t="shared" si="844"/>
        <v>0</v>
      </c>
      <c r="CE134" s="55">
        <f t="shared" si="845"/>
        <v>0</v>
      </c>
      <c r="CF134" s="59">
        <f t="shared" si="846"/>
        <v>0</v>
      </c>
      <c r="CG134" s="55">
        <f t="shared" si="847"/>
        <v>0</v>
      </c>
      <c r="CH134" s="59">
        <f t="shared" si="848"/>
        <v>0</v>
      </c>
      <c r="CI134" s="57">
        <f t="shared" si="849"/>
        <v>0</v>
      </c>
      <c r="CJ134" s="59">
        <f t="shared" si="850"/>
        <v>0</v>
      </c>
      <c r="CK134" s="55">
        <f t="shared" si="851"/>
        <v>0</v>
      </c>
      <c r="CL134" s="59">
        <f t="shared" si="852"/>
        <v>0</v>
      </c>
      <c r="CM134" s="57">
        <f t="shared" si="853"/>
        <v>0</v>
      </c>
      <c r="CN134" s="59">
        <f t="shared" si="854"/>
        <v>0</v>
      </c>
      <c r="CO134" s="60">
        <f t="shared" si="855"/>
        <v>0</v>
      </c>
      <c r="CP134" s="59">
        <f t="shared" si="856"/>
        <v>0</v>
      </c>
      <c r="CQ134" s="57">
        <f t="shared" si="857"/>
        <v>0</v>
      </c>
      <c r="CR134" s="59">
        <f t="shared" si="858"/>
        <v>0</v>
      </c>
      <c r="CS134" s="55">
        <f t="shared" si="859"/>
        <v>0</v>
      </c>
      <c r="CT134" s="59">
        <f t="shared" si="860"/>
        <v>0</v>
      </c>
      <c r="CU134" s="60">
        <f t="shared" si="861"/>
        <v>0</v>
      </c>
      <c r="CV134" s="59">
        <f t="shared" si="862"/>
        <v>0</v>
      </c>
      <c r="CW134" s="60">
        <f t="shared" si="863"/>
        <v>0</v>
      </c>
      <c r="CX134" s="59">
        <f t="shared" si="864"/>
        <v>0</v>
      </c>
      <c r="CY134" s="60">
        <f t="shared" si="865"/>
        <v>0</v>
      </c>
      <c r="CZ134" s="59">
        <f t="shared" si="866"/>
        <v>0</v>
      </c>
      <c r="DA134" s="55">
        <f t="shared" si="867"/>
        <v>0</v>
      </c>
      <c r="DB134" s="59">
        <f t="shared" si="868"/>
        <v>0</v>
      </c>
      <c r="DC134" s="60">
        <f t="shared" si="869"/>
        <v>0</v>
      </c>
      <c r="DD134" s="59">
        <f t="shared" si="870"/>
        <v>0</v>
      </c>
      <c r="DE134" s="60">
        <f t="shared" si="871"/>
        <v>0</v>
      </c>
      <c r="DF134" s="59">
        <f t="shared" si="872"/>
        <v>0</v>
      </c>
      <c r="DG134" s="60">
        <f t="shared" si="873"/>
        <v>0</v>
      </c>
      <c r="DH134" s="59">
        <f t="shared" si="874"/>
        <v>0</v>
      </c>
      <c r="DI134" s="60">
        <f t="shared" si="875"/>
        <v>0</v>
      </c>
      <c r="DJ134" s="59">
        <f t="shared" si="876"/>
        <v>0</v>
      </c>
      <c r="DK134" s="55">
        <f t="shared" si="877"/>
        <v>0</v>
      </c>
      <c r="DL134" s="59">
        <f t="shared" si="878"/>
        <v>0</v>
      </c>
      <c r="DM134" s="60">
        <f t="shared" si="879"/>
        <v>0</v>
      </c>
      <c r="DN134" s="59">
        <f t="shared" si="880"/>
        <v>0</v>
      </c>
      <c r="DO134" s="60">
        <f t="shared" si="881"/>
        <v>0</v>
      </c>
      <c r="DP134" s="59">
        <f t="shared" si="882"/>
        <v>0</v>
      </c>
      <c r="DQ134" s="55">
        <f t="shared" si="883"/>
        <v>0</v>
      </c>
      <c r="DR134" s="59">
        <f t="shared" si="884"/>
        <v>0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792"/>
        <v>0.91</v>
      </c>
      <c r="DZ134" s="55">
        <f t="shared" si="792"/>
        <v>0.89</v>
      </c>
      <c r="EA134" s="55">
        <f t="shared" si="792"/>
        <v>0.87</v>
      </c>
      <c r="EB134" s="55">
        <f t="shared" si="792"/>
        <v>0.85</v>
      </c>
      <c r="EC134" s="55">
        <f t="shared" si="792"/>
        <v>0.83</v>
      </c>
      <c r="ED134" s="55">
        <f t="shared" si="792"/>
        <v>0.80999999999999994</v>
      </c>
      <c r="EE134" s="55">
        <f t="shared" si="792"/>
        <v>0.78999999999999992</v>
      </c>
      <c r="EF134" s="55">
        <f t="shared" si="792"/>
        <v>0.76999999999999991</v>
      </c>
      <c r="EG134" s="55">
        <f t="shared" si="792"/>
        <v>0.74999999999999989</v>
      </c>
      <c r="EH134" s="55">
        <f t="shared" si="792"/>
        <v>0.72999999999999987</v>
      </c>
      <c r="EI134" s="55">
        <f t="shared" si="792"/>
        <v>0.70999999999999985</v>
      </c>
      <c r="EJ134" s="55">
        <f t="shared" si="792"/>
        <v>0.68999999999999984</v>
      </c>
      <c r="EK134" s="55">
        <f t="shared" si="792"/>
        <v>0.66999999999999982</v>
      </c>
      <c r="EL134" s="55">
        <f t="shared" si="792"/>
        <v>0.6499999999999998</v>
      </c>
      <c r="EM134" s="55">
        <f t="shared" si="792"/>
        <v>0.62999999999999978</v>
      </c>
      <c r="EN134" s="55">
        <f t="shared" si="792"/>
        <v>0.60999999999999976</v>
      </c>
      <c r="EO134" s="55">
        <f t="shared" si="792"/>
        <v>0.58999999999999975</v>
      </c>
      <c r="EP134" s="55">
        <f t="shared" si="792"/>
        <v>0.56999999999999973</v>
      </c>
      <c r="ER134" s="55">
        <f t="shared" si="648"/>
        <v>0</v>
      </c>
      <c r="ES134" s="55">
        <f t="shared" si="510"/>
        <v>0</v>
      </c>
      <c r="ET134" s="59">
        <f t="shared" si="885"/>
        <v>0</v>
      </c>
      <c r="EU134" s="55">
        <f t="shared" si="886"/>
        <v>0</v>
      </c>
      <c r="EV134" s="59">
        <f t="shared" si="887"/>
        <v>0</v>
      </c>
      <c r="EW134" s="55">
        <f t="shared" si="888"/>
        <v>0</v>
      </c>
      <c r="EX134" s="59">
        <f t="shared" si="889"/>
        <v>0</v>
      </c>
      <c r="EY134" s="55">
        <f t="shared" si="890"/>
        <v>0</v>
      </c>
      <c r="EZ134" s="59">
        <f t="shared" si="891"/>
        <v>0</v>
      </c>
      <c r="FA134" s="57">
        <f t="shared" si="892"/>
        <v>0</v>
      </c>
      <c r="FB134" s="59">
        <f t="shared" si="893"/>
        <v>0</v>
      </c>
      <c r="FC134" s="55">
        <f t="shared" si="894"/>
        <v>0</v>
      </c>
      <c r="FD134" s="59">
        <f t="shared" si="895"/>
        <v>0</v>
      </c>
      <c r="FE134" s="57">
        <f t="shared" si="896"/>
        <v>0</v>
      </c>
      <c r="FF134" s="59">
        <f t="shared" si="897"/>
        <v>0</v>
      </c>
      <c r="FG134" s="60">
        <f t="shared" si="898"/>
        <v>0</v>
      </c>
      <c r="FH134" s="59">
        <f t="shared" si="899"/>
        <v>0</v>
      </c>
      <c r="FI134" s="57">
        <f t="shared" si="900"/>
        <v>0</v>
      </c>
      <c r="FJ134" s="59">
        <f t="shared" si="901"/>
        <v>0</v>
      </c>
      <c r="FK134" s="55">
        <f t="shared" si="902"/>
        <v>0</v>
      </c>
      <c r="FL134" s="59">
        <f t="shared" si="903"/>
        <v>0</v>
      </c>
      <c r="FM134" s="60">
        <f t="shared" si="904"/>
        <v>0</v>
      </c>
      <c r="FN134" s="59">
        <f t="shared" si="905"/>
        <v>0</v>
      </c>
      <c r="FO134" s="60">
        <f t="shared" si="906"/>
        <v>0</v>
      </c>
      <c r="FP134" s="59">
        <f t="shared" si="907"/>
        <v>0</v>
      </c>
      <c r="FQ134" s="60">
        <f t="shared" si="908"/>
        <v>0</v>
      </c>
      <c r="FR134" s="59">
        <f t="shared" si="909"/>
        <v>0</v>
      </c>
      <c r="FS134" s="55">
        <f t="shared" si="910"/>
        <v>0</v>
      </c>
      <c r="FT134" s="59">
        <f t="shared" si="911"/>
        <v>0</v>
      </c>
      <c r="FU134" s="60">
        <f t="shared" si="912"/>
        <v>0</v>
      </c>
      <c r="FV134" s="59">
        <f t="shared" si="913"/>
        <v>0</v>
      </c>
      <c r="FW134" s="60">
        <f t="shared" si="914"/>
        <v>0</v>
      </c>
      <c r="FX134" s="59">
        <f t="shared" si="915"/>
        <v>0</v>
      </c>
      <c r="FY134" s="60">
        <f t="shared" si="916"/>
        <v>0</v>
      </c>
      <c r="FZ134" s="59">
        <f t="shared" si="917"/>
        <v>0</v>
      </c>
      <c r="GA134" s="60">
        <f t="shared" si="918"/>
        <v>0</v>
      </c>
      <c r="GB134" s="59">
        <f t="shared" si="919"/>
        <v>0</v>
      </c>
      <c r="GC134" s="55">
        <f t="shared" si="920"/>
        <v>0</v>
      </c>
      <c r="GD134" s="59">
        <f t="shared" si="921"/>
        <v>0</v>
      </c>
      <c r="GE134" s="60">
        <f t="shared" si="922"/>
        <v>0</v>
      </c>
      <c r="GF134" s="59">
        <f t="shared" si="923"/>
        <v>0</v>
      </c>
      <c r="GG134" s="60">
        <f t="shared" si="924"/>
        <v>0</v>
      </c>
      <c r="GH134" s="59">
        <f t="shared" si="925"/>
        <v>0</v>
      </c>
      <c r="GI134" s="55">
        <f t="shared" si="926"/>
        <v>0</v>
      </c>
      <c r="GJ134" s="59">
        <f t="shared" si="927"/>
        <v>0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793"/>
        <v>0.91</v>
      </c>
      <c r="GR134" s="55">
        <f t="shared" si="793"/>
        <v>0.89</v>
      </c>
      <c r="GS134" s="55">
        <f t="shared" si="793"/>
        <v>0.87</v>
      </c>
      <c r="GT134" s="55">
        <f t="shared" si="793"/>
        <v>0.85</v>
      </c>
      <c r="GU134" s="55">
        <f t="shared" si="793"/>
        <v>0.83</v>
      </c>
      <c r="GV134" s="55">
        <f t="shared" si="793"/>
        <v>0.80999999999999994</v>
      </c>
      <c r="GW134" s="55">
        <f t="shared" si="793"/>
        <v>0.78999999999999992</v>
      </c>
      <c r="GX134" s="55">
        <f t="shared" si="793"/>
        <v>0.76999999999999991</v>
      </c>
      <c r="GY134" s="55">
        <f t="shared" si="793"/>
        <v>0.74999999999999989</v>
      </c>
      <c r="GZ134" s="55">
        <f t="shared" si="793"/>
        <v>0.72999999999999987</v>
      </c>
      <c r="HA134" s="55">
        <f t="shared" si="793"/>
        <v>0.70999999999999985</v>
      </c>
      <c r="HB134" s="55">
        <f t="shared" si="793"/>
        <v>0.68999999999999984</v>
      </c>
      <c r="HC134" s="55">
        <f t="shared" si="793"/>
        <v>0.66999999999999982</v>
      </c>
      <c r="HD134" s="55">
        <f t="shared" si="793"/>
        <v>0.6499999999999998</v>
      </c>
      <c r="HE134" s="55">
        <f t="shared" si="793"/>
        <v>0.62999999999999978</v>
      </c>
      <c r="HF134" s="55">
        <f t="shared" si="793"/>
        <v>0.60999999999999976</v>
      </c>
      <c r="HG134" s="55">
        <f t="shared" si="793"/>
        <v>0.58999999999999975</v>
      </c>
      <c r="HH134" s="55">
        <f t="shared" si="793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1">
        <f t="shared" si="798"/>
        <v>0</v>
      </c>
      <c r="H135" s="55">
        <f t="shared" si="505"/>
        <v>0</v>
      </c>
      <c r="I135" s="55">
        <f t="shared" si="506"/>
        <v>0</v>
      </c>
      <c r="J135" s="59">
        <f t="shared" si="507"/>
        <v>0</v>
      </c>
      <c r="K135" s="55">
        <f t="shared" si="799"/>
        <v>0</v>
      </c>
      <c r="L135" s="59">
        <f t="shared" si="800"/>
        <v>0</v>
      </c>
      <c r="M135" s="55">
        <f t="shared" si="801"/>
        <v>0</v>
      </c>
      <c r="N135" s="59">
        <f t="shared" si="802"/>
        <v>0</v>
      </c>
      <c r="O135" s="55">
        <f t="shared" si="803"/>
        <v>0</v>
      </c>
      <c r="P135" s="59">
        <f t="shared" si="804"/>
        <v>0</v>
      </c>
      <c r="Q135" s="57">
        <f t="shared" si="805"/>
        <v>0</v>
      </c>
      <c r="R135" s="59">
        <f t="shared" si="806"/>
        <v>0</v>
      </c>
      <c r="S135" s="55">
        <f t="shared" si="807"/>
        <v>0</v>
      </c>
      <c r="T135" s="59">
        <f t="shared" si="808"/>
        <v>0</v>
      </c>
      <c r="U135" s="57">
        <f t="shared" si="809"/>
        <v>0</v>
      </c>
      <c r="V135" s="59">
        <f t="shared" si="810"/>
        <v>0</v>
      </c>
      <c r="W135" s="60">
        <f t="shared" si="811"/>
        <v>0</v>
      </c>
      <c r="X135" s="59">
        <f t="shared" si="812"/>
        <v>0</v>
      </c>
      <c r="Y135" s="57">
        <f t="shared" si="813"/>
        <v>0</v>
      </c>
      <c r="Z135" s="59">
        <f t="shared" si="814"/>
        <v>0</v>
      </c>
      <c r="AA135" s="55">
        <f t="shared" si="815"/>
        <v>0</v>
      </c>
      <c r="AB135" s="59">
        <f t="shared" si="816"/>
        <v>0</v>
      </c>
      <c r="AC135" s="60">
        <f t="shared" si="817"/>
        <v>0</v>
      </c>
      <c r="AD135" s="59">
        <f t="shared" si="818"/>
        <v>0</v>
      </c>
      <c r="AE135" s="60">
        <f t="shared" si="819"/>
        <v>0</v>
      </c>
      <c r="AF135" s="59">
        <f t="shared" si="820"/>
        <v>0</v>
      </c>
      <c r="AG135" s="60">
        <f t="shared" si="821"/>
        <v>0</v>
      </c>
      <c r="AH135" s="59">
        <f t="shared" si="822"/>
        <v>0</v>
      </c>
      <c r="AI135" s="55">
        <f t="shared" si="823"/>
        <v>0</v>
      </c>
      <c r="AJ135" s="59">
        <f t="shared" si="824"/>
        <v>0</v>
      </c>
      <c r="AK135" s="60">
        <f t="shared" si="825"/>
        <v>0</v>
      </c>
      <c r="AL135" s="59">
        <f t="shared" si="826"/>
        <v>0</v>
      </c>
      <c r="AM135" s="60">
        <f t="shared" si="827"/>
        <v>0</v>
      </c>
      <c r="AN135" s="59">
        <f t="shared" si="828"/>
        <v>0</v>
      </c>
      <c r="AO135" s="60">
        <f t="shared" si="829"/>
        <v>0</v>
      </c>
      <c r="AP135" s="59">
        <f t="shared" si="830"/>
        <v>0</v>
      </c>
      <c r="AQ135" s="60">
        <f t="shared" si="831"/>
        <v>0</v>
      </c>
      <c r="AR135" s="59">
        <f t="shared" si="832"/>
        <v>0</v>
      </c>
      <c r="AS135" s="55">
        <f t="shared" si="833"/>
        <v>0</v>
      </c>
      <c r="AT135" s="59">
        <f t="shared" si="834"/>
        <v>0</v>
      </c>
      <c r="AU135" s="60">
        <f t="shared" si="835"/>
        <v>0</v>
      </c>
      <c r="AV135" s="59">
        <f t="shared" si="836"/>
        <v>0</v>
      </c>
      <c r="AW135" s="60">
        <f t="shared" si="837"/>
        <v>0</v>
      </c>
      <c r="AX135" s="59">
        <f t="shared" si="838"/>
        <v>0</v>
      </c>
      <c r="AY135" s="55">
        <f t="shared" si="839"/>
        <v>0</v>
      </c>
      <c r="AZ135" s="59">
        <f t="shared" si="840"/>
        <v>0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41"/>
        <v>0.91</v>
      </c>
      <c r="BH135" s="55">
        <f t="shared" si="841"/>
        <v>0.89</v>
      </c>
      <c r="BI135" s="55">
        <f t="shared" si="841"/>
        <v>0.87</v>
      </c>
      <c r="BJ135" s="55">
        <f t="shared" si="841"/>
        <v>0.85</v>
      </c>
      <c r="BK135" s="55">
        <f t="shared" si="841"/>
        <v>0.83</v>
      </c>
      <c r="BL135" s="55">
        <f t="shared" si="841"/>
        <v>0.80999999999999994</v>
      </c>
      <c r="BM135" s="55">
        <f t="shared" si="841"/>
        <v>0.78999999999999992</v>
      </c>
      <c r="BN135" s="55">
        <f t="shared" si="841"/>
        <v>0.76999999999999991</v>
      </c>
      <c r="BO135" s="55">
        <f t="shared" si="841"/>
        <v>0.74999999999999989</v>
      </c>
      <c r="BP135" s="55">
        <f t="shared" si="841"/>
        <v>0.72999999999999987</v>
      </c>
      <c r="BQ135" s="55">
        <f t="shared" si="841"/>
        <v>0.70999999999999985</v>
      </c>
      <c r="BR135" s="55">
        <f t="shared" si="841"/>
        <v>0.68999999999999984</v>
      </c>
      <c r="BS135" s="55">
        <f t="shared" si="841"/>
        <v>0.66999999999999982</v>
      </c>
      <c r="BT135" s="55">
        <f t="shared" si="841"/>
        <v>0.6499999999999998</v>
      </c>
      <c r="BU135" s="55">
        <f t="shared" si="841"/>
        <v>0.62999999999999978</v>
      </c>
      <c r="BV135" s="55">
        <f t="shared" si="841"/>
        <v>0.60999999999999976</v>
      </c>
      <c r="BW135" s="55">
        <f t="shared" si="841"/>
        <v>0.58999999999999975</v>
      </c>
      <c r="BX135" s="55">
        <f t="shared" si="841"/>
        <v>0.56999999999999973</v>
      </c>
      <c r="BZ135" s="55">
        <f t="shared" si="508"/>
        <v>0</v>
      </c>
      <c r="CA135" s="55">
        <f t="shared" si="509"/>
        <v>0</v>
      </c>
      <c r="CB135" s="59">
        <f t="shared" si="842"/>
        <v>0</v>
      </c>
      <c r="CC135" s="55">
        <f t="shared" si="843"/>
        <v>0</v>
      </c>
      <c r="CD135" s="59">
        <f t="shared" si="844"/>
        <v>0</v>
      </c>
      <c r="CE135" s="55">
        <f t="shared" si="845"/>
        <v>0</v>
      </c>
      <c r="CF135" s="59">
        <f t="shared" si="846"/>
        <v>0</v>
      </c>
      <c r="CG135" s="55">
        <f t="shared" si="847"/>
        <v>0</v>
      </c>
      <c r="CH135" s="59">
        <f t="shared" si="848"/>
        <v>0</v>
      </c>
      <c r="CI135" s="57">
        <f t="shared" si="849"/>
        <v>0</v>
      </c>
      <c r="CJ135" s="59">
        <f t="shared" si="850"/>
        <v>0</v>
      </c>
      <c r="CK135" s="55">
        <f t="shared" si="851"/>
        <v>0</v>
      </c>
      <c r="CL135" s="59">
        <f t="shared" si="852"/>
        <v>0</v>
      </c>
      <c r="CM135" s="57">
        <f t="shared" si="853"/>
        <v>0</v>
      </c>
      <c r="CN135" s="59">
        <f t="shared" si="854"/>
        <v>0</v>
      </c>
      <c r="CO135" s="60">
        <f t="shared" si="855"/>
        <v>0</v>
      </c>
      <c r="CP135" s="59">
        <f t="shared" si="856"/>
        <v>0</v>
      </c>
      <c r="CQ135" s="57">
        <f t="shared" si="857"/>
        <v>0</v>
      </c>
      <c r="CR135" s="59">
        <f t="shared" si="858"/>
        <v>0</v>
      </c>
      <c r="CS135" s="55">
        <f t="shared" si="859"/>
        <v>0</v>
      </c>
      <c r="CT135" s="59">
        <f t="shared" si="860"/>
        <v>0</v>
      </c>
      <c r="CU135" s="60">
        <f t="shared" si="861"/>
        <v>0</v>
      </c>
      <c r="CV135" s="59">
        <f t="shared" si="862"/>
        <v>0</v>
      </c>
      <c r="CW135" s="60">
        <f t="shared" si="863"/>
        <v>0</v>
      </c>
      <c r="CX135" s="59">
        <f t="shared" si="864"/>
        <v>0</v>
      </c>
      <c r="CY135" s="60">
        <f t="shared" si="865"/>
        <v>0</v>
      </c>
      <c r="CZ135" s="59">
        <f t="shared" si="866"/>
        <v>0</v>
      </c>
      <c r="DA135" s="55">
        <f t="shared" si="867"/>
        <v>0</v>
      </c>
      <c r="DB135" s="59">
        <f t="shared" si="868"/>
        <v>0</v>
      </c>
      <c r="DC135" s="60">
        <f t="shared" si="869"/>
        <v>0</v>
      </c>
      <c r="DD135" s="59">
        <f t="shared" si="870"/>
        <v>0</v>
      </c>
      <c r="DE135" s="60">
        <f t="shared" si="871"/>
        <v>0</v>
      </c>
      <c r="DF135" s="59">
        <f t="shared" si="872"/>
        <v>0</v>
      </c>
      <c r="DG135" s="60">
        <f t="shared" si="873"/>
        <v>0</v>
      </c>
      <c r="DH135" s="59">
        <f t="shared" si="874"/>
        <v>0</v>
      </c>
      <c r="DI135" s="60">
        <f t="shared" si="875"/>
        <v>0</v>
      </c>
      <c r="DJ135" s="59">
        <f t="shared" si="876"/>
        <v>0</v>
      </c>
      <c r="DK135" s="55">
        <f t="shared" si="877"/>
        <v>0</v>
      </c>
      <c r="DL135" s="59">
        <f t="shared" si="878"/>
        <v>0</v>
      </c>
      <c r="DM135" s="60">
        <f t="shared" si="879"/>
        <v>0</v>
      </c>
      <c r="DN135" s="59">
        <f t="shared" si="880"/>
        <v>0</v>
      </c>
      <c r="DO135" s="60">
        <f t="shared" si="881"/>
        <v>0</v>
      </c>
      <c r="DP135" s="59">
        <f t="shared" si="882"/>
        <v>0</v>
      </c>
      <c r="DQ135" s="55">
        <f t="shared" si="883"/>
        <v>0</v>
      </c>
      <c r="DR135" s="59">
        <f t="shared" si="884"/>
        <v>0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792"/>
        <v>0.91</v>
      </c>
      <c r="DZ135" s="55">
        <f t="shared" si="792"/>
        <v>0.89</v>
      </c>
      <c r="EA135" s="55">
        <f t="shared" si="792"/>
        <v>0.87</v>
      </c>
      <c r="EB135" s="55">
        <f t="shared" si="792"/>
        <v>0.85</v>
      </c>
      <c r="EC135" s="55">
        <f t="shared" si="792"/>
        <v>0.83</v>
      </c>
      <c r="ED135" s="55">
        <f t="shared" si="792"/>
        <v>0.80999999999999994</v>
      </c>
      <c r="EE135" s="55">
        <f t="shared" si="792"/>
        <v>0.78999999999999992</v>
      </c>
      <c r="EF135" s="55">
        <f t="shared" si="792"/>
        <v>0.76999999999999991</v>
      </c>
      <c r="EG135" s="55">
        <f t="shared" si="792"/>
        <v>0.74999999999999989</v>
      </c>
      <c r="EH135" s="55">
        <f t="shared" si="792"/>
        <v>0.72999999999999987</v>
      </c>
      <c r="EI135" s="55">
        <f t="shared" si="792"/>
        <v>0.70999999999999985</v>
      </c>
      <c r="EJ135" s="55">
        <f t="shared" si="792"/>
        <v>0.68999999999999984</v>
      </c>
      <c r="EK135" s="55">
        <f t="shared" si="792"/>
        <v>0.66999999999999982</v>
      </c>
      <c r="EL135" s="55">
        <f t="shared" si="792"/>
        <v>0.6499999999999998</v>
      </c>
      <c r="EM135" s="55">
        <f t="shared" si="792"/>
        <v>0.62999999999999978</v>
      </c>
      <c r="EN135" s="55">
        <f t="shared" si="792"/>
        <v>0.60999999999999976</v>
      </c>
      <c r="EO135" s="55">
        <f t="shared" si="792"/>
        <v>0.58999999999999975</v>
      </c>
      <c r="EP135" s="55">
        <f t="shared" si="792"/>
        <v>0.56999999999999973</v>
      </c>
      <c r="ER135" s="55">
        <f t="shared" si="648"/>
        <v>0</v>
      </c>
      <c r="ES135" s="55">
        <f t="shared" si="510"/>
        <v>0</v>
      </c>
      <c r="ET135" s="59">
        <f t="shared" si="885"/>
        <v>0</v>
      </c>
      <c r="EU135" s="55">
        <f t="shared" si="886"/>
        <v>0</v>
      </c>
      <c r="EV135" s="59">
        <f t="shared" si="887"/>
        <v>0</v>
      </c>
      <c r="EW135" s="55">
        <f t="shared" si="888"/>
        <v>0</v>
      </c>
      <c r="EX135" s="59">
        <f t="shared" si="889"/>
        <v>0</v>
      </c>
      <c r="EY135" s="55">
        <f t="shared" si="890"/>
        <v>0</v>
      </c>
      <c r="EZ135" s="59">
        <f t="shared" si="891"/>
        <v>0</v>
      </c>
      <c r="FA135" s="57">
        <f t="shared" si="892"/>
        <v>0</v>
      </c>
      <c r="FB135" s="59">
        <f t="shared" si="893"/>
        <v>0</v>
      </c>
      <c r="FC135" s="55">
        <f t="shared" si="894"/>
        <v>0</v>
      </c>
      <c r="FD135" s="59">
        <f t="shared" si="895"/>
        <v>0</v>
      </c>
      <c r="FE135" s="57">
        <f t="shared" si="896"/>
        <v>0</v>
      </c>
      <c r="FF135" s="59">
        <f t="shared" si="897"/>
        <v>0</v>
      </c>
      <c r="FG135" s="60">
        <f t="shared" si="898"/>
        <v>0</v>
      </c>
      <c r="FH135" s="59">
        <f t="shared" si="899"/>
        <v>0</v>
      </c>
      <c r="FI135" s="57">
        <f t="shared" si="900"/>
        <v>0</v>
      </c>
      <c r="FJ135" s="59">
        <f t="shared" si="901"/>
        <v>0</v>
      </c>
      <c r="FK135" s="55">
        <f t="shared" si="902"/>
        <v>0</v>
      </c>
      <c r="FL135" s="59">
        <f t="shared" si="903"/>
        <v>0</v>
      </c>
      <c r="FM135" s="60">
        <f t="shared" si="904"/>
        <v>0</v>
      </c>
      <c r="FN135" s="59">
        <f t="shared" si="905"/>
        <v>0</v>
      </c>
      <c r="FO135" s="60">
        <f t="shared" si="906"/>
        <v>0</v>
      </c>
      <c r="FP135" s="59">
        <f t="shared" si="907"/>
        <v>0</v>
      </c>
      <c r="FQ135" s="60">
        <f t="shared" si="908"/>
        <v>0</v>
      </c>
      <c r="FR135" s="59">
        <f t="shared" si="909"/>
        <v>0</v>
      </c>
      <c r="FS135" s="55">
        <f t="shared" si="910"/>
        <v>0</v>
      </c>
      <c r="FT135" s="59">
        <f t="shared" si="911"/>
        <v>0</v>
      </c>
      <c r="FU135" s="60">
        <f t="shared" si="912"/>
        <v>0</v>
      </c>
      <c r="FV135" s="59">
        <f t="shared" si="913"/>
        <v>0</v>
      </c>
      <c r="FW135" s="60">
        <f t="shared" si="914"/>
        <v>0</v>
      </c>
      <c r="FX135" s="59">
        <f t="shared" si="915"/>
        <v>0</v>
      </c>
      <c r="FY135" s="60">
        <f t="shared" si="916"/>
        <v>0</v>
      </c>
      <c r="FZ135" s="59">
        <f t="shared" si="917"/>
        <v>0</v>
      </c>
      <c r="GA135" s="60">
        <f t="shared" si="918"/>
        <v>0</v>
      </c>
      <c r="GB135" s="59">
        <f t="shared" si="919"/>
        <v>0</v>
      </c>
      <c r="GC135" s="55">
        <f t="shared" si="920"/>
        <v>0</v>
      </c>
      <c r="GD135" s="59">
        <f t="shared" si="921"/>
        <v>0</v>
      </c>
      <c r="GE135" s="60">
        <f t="shared" si="922"/>
        <v>0</v>
      </c>
      <c r="GF135" s="59">
        <f t="shared" si="923"/>
        <v>0</v>
      </c>
      <c r="GG135" s="60">
        <f t="shared" si="924"/>
        <v>0</v>
      </c>
      <c r="GH135" s="59">
        <f t="shared" si="925"/>
        <v>0</v>
      </c>
      <c r="GI135" s="55">
        <f t="shared" si="926"/>
        <v>0</v>
      </c>
      <c r="GJ135" s="59">
        <f t="shared" si="927"/>
        <v>0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793"/>
        <v>0.91</v>
      </c>
      <c r="GR135" s="55">
        <f t="shared" si="793"/>
        <v>0.89</v>
      </c>
      <c r="GS135" s="55">
        <f t="shared" si="793"/>
        <v>0.87</v>
      </c>
      <c r="GT135" s="55">
        <f t="shared" si="793"/>
        <v>0.85</v>
      </c>
      <c r="GU135" s="55">
        <f t="shared" si="793"/>
        <v>0.83</v>
      </c>
      <c r="GV135" s="55">
        <f t="shared" si="793"/>
        <v>0.80999999999999994</v>
      </c>
      <c r="GW135" s="55">
        <f t="shared" si="793"/>
        <v>0.78999999999999992</v>
      </c>
      <c r="GX135" s="55">
        <f t="shared" si="793"/>
        <v>0.76999999999999991</v>
      </c>
      <c r="GY135" s="55">
        <f t="shared" si="793"/>
        <v>0.74999999999999989</v>
      </c>
      <c r="GZ135" s="55">
        <f t="shared" si="793"/>
        <v>0.72999999999999987</v>
      </c>
      <c r="HA135" s="55">
        <f t="shared" si="793"/>
        <v>0.70999999999999985</v>
      </c>
      <c r="HB135" s="55">
        <f t="shared" si="793"/>
        <v>0.68999999999999984</v>
      </c>
      <c r="HC135" s="55">
        <f t="shared" si="793"/>
        <v>0.66999999999999982</v>
      </c>
      <c r="HD135" s="55">
        <f t="shared" si="793"/>
        <v>0.6499999999999998</v>
      </c>
      <c r="HE135" s="55">
        <f t="shared" si="793"/>
        <v>0.62999999999999978</v>
      </c>
      <c r="HF135" s="55">
        <f t="shared" si="793"/>
        <v>0.60999999999999976</v>
      </c>
      <c r="HG135" s="55">
        <f t="shared" si="793"/>
        <v>0.58999999999999975</v>
      </c>
      <c r="HH135" s="55">
        <f t="shared" si="793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1">
        <f t="shared" si="798"/>
        <v>0</v>
      </c>
      <c r="H136" s="55">
        <f t="shared" si="505"/>
        <v>0</v>
      </c>
      <c r="I136" s="55">
        <f t="shared" si="506"/>
        <v>0</v>
      </c>
      <c r="J136" s="59">
        <f t="shared" si="507"/>
        <v>0</v>
      </c>
      <c r="K136" s="55">
        <f t="shared" si="799"/>
        <v>0</v>
      </c>
      <c r="L136" s="59">
        <f t="shared" si="800"/>
        <v>0</v>
      </c>
      <c r="M136" s="55">
        <f t="shared" si="801"/>
        <v>0</v>
      </c>
      <c r="N136" s="59">
        <f t="shared" si="802"/>
        <v>0</v>
      </c>
      <c r="O136" s="55">
        <f t="shared" si="803"/>
        <v>0</v>
      </c>
      <c r="P136" s="59">
        <f t="shared" si="804"/>
        <v>0</v>
      </c>
      <c r="Q136" s="57">
        <f t="shared" si="805"/>
        <v>0</v>
      </c>
      <c r="R136" s="59">
        <f t="shared" si="806"/>
        <v>0</v>
      </c>
      <c r="S136" s="55">
        <f t="shared" si="807"/>
        <v>0</v>
      </c>
      <c r="T136" s="59">
        <f t="shared" si="808"/>
        <v>0</v>
      </c>
      <c r="U136" s="57">
        <f t="shared" si="809"/>
        <v>0</v>
      </c>
      <c r="V136" s="59">
        <f t="shared" si="810"/>
        <v>0</v>
      </c>
      <c r="W136" s="60">
        <f t="shared" si="811"/>
        <v>0</v>
      </c>
      <c r="X136" s="59">
        <f t="shared" si="812"/>
        <v>0</v>
      </c>
      <c r="Y136" s="57">
        <f t="shared" si="813"/>
        <v>0</v>
      </c>
      <c r="Z136" s="59">
        <f t="shared" si="814"/>
        <v>0</v>
      </c>
      <c r="AA136" s="55">
        <f t="shared" si="815"/>
        <v>0</v>
      </c>
      <c r="AB136" s="59">
        <f t="shared" si="816"/>
        <v>0</v>
      </c>
      <c r="AC136" s="60">
        <f t="shared" si="817"/>
        <v>0</v>
      </c>
      <c r="AD136" s="59">
        <f t="shared" si="818"/>
        <v>0</v>
      </c>
      <c r="AE136" s="60">
        <f t="shared" si="819"/>
        <v>0</v>
      </c>
      <c r="AF136" s="59">
        <f t="shared" si="820"/>
        <v>0</v>
      </c>
      <c r="AG136" s="60">
        <f t="shared" si="821"/>
        <v>0</v>
      </c>
      <c r="AH136" s="59">
        <f t="shared" si="822"/>
        <v>0</v>
      </c>
      <c r="AI136" s="55">
        <f t="shared" si="823"/>
        <v>0</v>
      </c>
      <c r="AJ136" s="59">
        <f t="shared" si="824"/>
        <v>0</v>
      </c>
      <c r="AK136" s="60">
        <f t="shared" si="825"/>
        <v>0</v>
      </c>
      <c r="AL136" s="59">
        <f t="shared" si="826"/>
        <v>0</v>
      </c>
      <c r="AM136" s="60">
        <f t="shared" si="827"/>
        <v>0</v>
      </c>
      <c r="AN136" s="59">
        <f t="shared" si="828"/>
        <v>0</v>
      </c>
      <c r="AO136" s="60">
        <f t="shared" si="829"/>
        <v>0</v>
      </c>
      <c r="AP136" s="59">
        <f t="shared" si="830"/>
        <v>0</v>
      </c>
      <c r="AQ136" s="60">
        <f t="shared" si="831"/>
        <v>0</v>
      </c>
      <c r="AR136" s="59">
        <f t="shared" si="832"/>
        <v>0</v>
      </c>
      <c r="AS136" s="55">
        <f t="shared" si="833"/>
        <v>0</v>
      </c>
      <c r="AT136" s="59">
        <f t="shared" si="834"/>
        <v>0</v>
      </c>
      <c r="AU136" s="60">
        <f t="shared" si="835"/>
        <v>0</v>
      </c>
      <c r="AV136" s="59">
        <f t="shared" si="836"/>
        <v>0</v>
      </c>
      <c r="AW136" s="60">
        <f t="shared" si="837"/>
        <v>0</v>
      </c>
      <c r="AX136" s="59">
        <f t="shared" si="838"/>
        <v>0</v>
      </c>
      <c r="AY136" s="55">
        <f t="shared" si="839"/>
        <v>0</v>
      </c>
      <c r="AZ136" s="59">
        <f t="shared" si="840"/>
        <v>0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41"/>
        <v>0.91</v>
      </c>
      <c r="BH136" s="55">
        <f t="shared" si="841"/>
        <v>0.89</v>
      </c>
      <c r="BI136" s="55">
        <f t="shared" si="841"/>
        <v>0.87</v>
      </c>
      <c r="BJ136" s="55">
        <f t="shared" si="841"/>
        <v>0.85</v>
      </c>
      <c r="BK136" s="55">
        <f t="shared" si="841"/>
        <v>0.83</v>
      </c>
      <c r="BL136" s="55">
        <f t="shared" si="841"/>
        <v>0.80999999999999994</v>
      </c>
      <c r="BM136" s="55">
        <f t="shared" si="841"/>
        <v>0.78999999999999992</v>
      </c>
      <c r="BN136" s="55">
        <f t="shared" si="841"/>
        <v>0.76999999999999991</v>
      </c>
      <c r="BO136" s="55">
        <f t="shared" si="841"/>
        <v>0.74999999999999989</v>
      </c>
      <c r="BP136" s="55">
        <f t="shared" si="841"/>
        <v>0.72999999999999987</v>
      </c>
      <c r="BQ136" s="55">
        <f t="shared" si="841"/>
        <v>0.70999999999999985</v>
      </c>
      <c r="BR136" s="55">
        <f t="shared" si="841"/>
        <v>0.68999999999999984</v>
      </c>
      <c r="BS136" s="55">
        <f t="shared" si="841"/>
        <v>0.66999999999999982</v>
      </c>
      <c r="BT136" s="55">
        <f t="shared" si="841"/>
        <v>0.6499999999999998</v>
      </c>
      <c r="BU136" s="55">
        <f t="shared" si="841"/>
        <v>0.62999999999999978</v>
      </c>
      <c r="BV136" s="55">
        <f t="shared" si="841"/>
        <v>0.60999999999999976</v>
      </c>
      <c r="BW136" s="55">
        <f t="shared" si="841"/>
        <v>0.58999999999999975</v>
      </c>
      <c r="BX136" s="55">
        <f t="shared" si="841"/>
        <v>0.56999999999999973</v>
      </c>
      <c r="BZ136" s="55">
        <f t="shared" si="508"/>
        <v>0</v>
      </c>
      <c r="CA136" s="55">
        <f t="shared" si="509"/>
        <v>0</v>
      </c>
      <c r="CB136" s="59">
        <f t="shared" si="842"/>
        <v>0</v>
      </c>
      <c r="CC136" s="55">
        <f t="shared" si="843"/>
        <v>0</v>
      </c>
      <c r="CD136" s="59">
        <f t="shared" si="844"/>
        <v>0</v>
      </c>
      <c r="CE136" s="55">
        <f t="shared" si="845"/>
        <v>0</v>
      </c>
      <c r="CF136" s="59">
        <f t="shared" si="846"/>
        <v>0</v>
      </c>
      <c r="CG136" s="55">
        <f t="shared" si="847"/>
        <v>0</v>
      </c>
      <c r="CH136" s="59">
        <f t="shared" si="848"/>
        <v>0</v>
      </c>
      <c r="CI136" s="57">
        <f t="shared" si="849"/>
        <v>0</v>
      </c>
      <c r="CJ136" s="59">
        <f t="shared" si="850"/>
        <v>0</v>
      </c>
      <c r="CK136" s="55">
        <f t="shared" si="851"/>
        <v>0</v>
      </c>
      <c r="CL136" s="59">
        <f t="shared" si="852"/>
        <v>0</v>
      </c>
      <c r="CM136" s="57">
        <f t="shared" si="853"/>
        <v>0</v>
      </c>
      <c r="CN136" s="59">
        <f t="shared" si="854"/>
        <v>0</v>
      </c>
      <c r="CO136" s="60">
        <f t="shared" si="855"/>
        <v>0</v>
      </c>
      <c r="CP136" s="59">
        <f t="shared" si="856"/>
        <v>0</v>
      </c>
      <c r="CQ136" s="57">
        <f t="shared" si="857"/>
        <v>0</v>
      </c>
      <c r="CR136" s="59">
        <f t="shared" si="858"/>
        <v>0</v>
      </c>
      <c r="CS136" s="55">
        <f t="shared" si="859"/>
        <v>0</v>
      </c>
      <c r="CT136" s="59">
        <f t="shared" si="860"/>
        <v>0</v>
      </c>
      <c r="CU136" s="60">
        <f t="shared" si="861"/>
        <v>0</v>
      </c>
      <c r="CV136" s="59">
        <f t="shared" si="862"/>
        <v>0</v>
      </c>
      <c r="CW136" s="60">
        <f t="shared" si="863"/>
        <v>0</v>
      </c>
      <c r="CX136" s="59">
        <f t="shared" si="864"/>
        <v>0</v>
      </c>
      <c r="CY136" s="60">
        <f t="shared" si="865"/>
        <v>0</v>
      </c>
      <c r="CZ136" s="59">
        <f t="shared" si="866"/>
        <v>0</v>
      </c>
      <c r="DA136" s="55">
        <f t="shared" si="867"/>
        <v>0</v>
      </c>
      <c r="DB136" s="59">
        <f t="shared" si="868"/>
        <v>0</v>
      </c>
      <c r="DC136" s="60">
        <f t="shared" si="869"/>
        <v>0</v>
      </c>
      <c r="DD136" s="59">
        <f t="shared" si="870"/>
        <v>0</v>
      </c>
      <c r="DE136" s="60">
        <f t="shared" si="871"/>
        <v>0</v>
      </c>
      <c r="DF136" s="59">
        <f t="shared" si="872"/>
        <v>0</v>
      </c>
      <c r="DG136" s="60">
        <f t="shared" si="873"/>
        <v>0</v>
      </c>
      <c r="DH136" s="59">
        <f t="shared" si="874"/>
        <v>0</v>
      </c>
      <c r="DI136" s="60">
        <f t="shared" si="875"/>
        <v>0</v>
      </c>
      <c r="DJ136" s="59">
        <f t="shared" si="876"/>
        <v>0</v>
      </c>
      <c r="DK136" s="55">
        <f t="shared" si="877"/>
        <v>0</v>
      </c>
      <c r="DL136" s="59">
        <f t="shared" si="878"/>
        <v>0</v>
      </c>
      <c r="DM136" s="60">
        <f t="shared" si="879"/>
        <v>0</v>
      </c>
      <c r="DN136" s="59">
        <f t="shared" si="880"/>
        <v>0</v>
      </c>
      <c r="DO136" s="60">
        <f t="shared" si="881"/>
        <v>0</v>
      </c>
      <c r="DP136" s="59">
        <f t="shared" si="882"/>
        <v>0</v>
      </c>
      <c r="DQ136" s="55">
        <f t="shared" si="883"/>
        <v>0</v>
      </c>
      <c r="DR136" s="59">
        <f t="shared" si="884"/>
        <v>0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92"/>
        <v>0.91</v>
      </c>
      <c r="DZ136" s="55">
        <f t="shared" si="792"/>
        <v>0.89</v>
      </c>
      <c r="EA136" s="55">
        <f t="shared" si="792"/>
        <v>0.87</v>
      </c>
      <c r="EB136" s="55">
        <f t="shared" si="792"/>
        <v>0.85</v>
      </c>
      <c r="EC136" s="55">
        <f t="shared" si="792"/>
        <v>0.83</v>
      </c>
      <c r="ED136" s="55">
        <f t="shared" si="792"/>
        <v>0.80999999999999994</v>
      </c>
      <c r="EE136" s="55">
        <f t="shared" si="792"/>
        <v>0.78999999999999992</v>
      </c>
      <c r="EF136" s="55">
        <f t="shared" si="792"/>
        <v>0.76999999999999991</v>
      </c>
      <c r="EG136" s="55">
        <f t="shared" si="792"/>
        <v>0.74999999999999989</v>
      </c>
      <c r="EH136" s="55">
        <f t="shared" si="792"/>
        <v>0.72999999999999987</v>
      </c>
      <c r="EI136" s="55">
        <f t="shared" si="792"/>
        <v>0.70999999999999985</v>
      </c>
      <c r="EJ136" s="55">
        <f t="shared" si="792"/>
        <v>0.68999999999999984</v>
      </c>
      <c r="EK136" s="55">
        <f t="shared" si="792"/>
        <v>0.66999999999999982</v>
      </c>
      <c r="EL136" s="55">
        <f t="shared" si="792"/>
        <v>0.6499999999999998</v>
      </c>
      <c r="EM136" s="55">
        <f t="shared" si="792"/>
        <v>0.62999999999999978</v>
      </c>
      <c r="EN136" s="55">
        <f t="shared" si="792"/>
        <v>0.60999999999999976</v>
      </c>
      <c r="EO136" s="55">
        <f t="shared" si="792"/>
        <v>0.58999999999999975</v>
      </c>
      <c r="EP136" s="55">
        <f t="shared" si="792"/>
        <v>0.56999999999999973</v>
      </c>
      <c r="ER136" s="55">
        <f t="shared" si="648"/>
        <v>0</v>
      </c>
      <c r="ES136" s="55">
        <f t="shared" si="510"/>
        <v>0</v>
      </c>
      <c r="ET136" s="59">
        <f t="shared" si="885"/>
        <v>0</v>
      </c>
      <c r="EU136" s="55">
        <f t="shared" si="886"/>
        <v>0</v>
      </c>
      <c r="EV136" s="59">
        <f t="shared" si="887"/>
        <v>0</v>
      </c>
      <c r="EW136" s="55">
        <f t="shared" si="888"/>
        <v>0</v>
      </c>
      <c r="EX136" s="59">
        <f t="shared" si="889"/>
        <v>0</v>
      </c>
      <c r="EY136" s="55">
        <f t="shared" si="890"/>
        <v>0</v>
      </c>
      <c r="EZ136" s="59">
        <f t="shared" si="891"/>
        <v>0</v>
      </c>
      <c r="FA136" s="57">
        <f t="shared" si="892"/>
        <v>0</v>
      </c>
      <c r="FB136" s="59">
        <f t="shared" si="893"/>
        <v>0</v>
      </c>
      <c r="FC136" s="55">
        <f t="shared" si="894"/>
        <v>0</v>
      </c>
      <c r="FD136" s="59">
        <f t="shared" si="895"/>
        <v>0</v>
      </c>
      <c r="FE136" s="57">
        <f t="shared" si="896"/>
        <v>0</v>
      </c>
      <c r="FF136" s="59">
        <f t="shared" si="897"/>
        <v>0</v>
      </c>
      <c r="FG136" s="60">
        <f t="shared" si="898"/>
        <v>0</v>
      </c>
      <c r="FH136" s="59">
        <f t="shared" si="899"/>
        <v>0</v>
      </c>
      <c r="FI136" s="57">
        <f t="shared" si="900"/>
        <v>0</v>
      </c>
      <c r="FJ136" s="59">
        <f t="shared" si="901"/>
        <v>0</v>
      </c>
      <c r="FK136" s="55">
        <f t="shared" si="902"/>
        <v>0</v>
      </c>
      <c r="FL136" s="59">
        <f t="shared" si="903"/>
        <v>0</v>
      </c>
      <c r="FM136" s="60">
        <f t="shared" si="904"/>
        <v>0</v>
      </c>
      <c r="FN136" s="59">
        <f t="shared" si="905"/>
        <v>0</v>
      </c>
      <c r="FO136" s="60">
        <f t="shared" si="906"/>
        <v>0</v>
      </c>
      <c r="FP136" s="59">
        <f t="shared" si="907"/>
        <v>0</v>
      </c>
      <c r="FQ136" s="60">
        <f t="shared" si="908"/>
        <v>0</v>
      </c>
      <c r="FR136" s="59">
        <f t="shared" si="909"/>
        <v>0</v>
      </c>
      <c r="FS136" s="55">
        <f t="shared" si="910"/>
        <v>0</v>
      </c>
      <c r="FT136" s="59">
        <f t="shared" si="911"/>
        <v>0</v>
      </c>
      <c r="FU136" s="60">
        <f t="shared" si="912"/>
        <v>0</v>
      </c>
      <c r="FV136" s="59">
        <f t="shared" si="913"/>
        <v>0</v>
      </c>
      <c r="FW136" s="60">
        <f t="shared" si="914"/>
        <v>0</v>
      </c>
      <c r="FX136" s="59">
        <f t="shared" si="915"/>
        <v>0</v>
      </c>
      <c r="FY136" s="60">
        <f t="shared" si="916"/>
        <v>0</v>
      </c>
      <c r="FZ136" s="59">
        <f t="shared" si="917"/>
        <v>0</v>
      </c>
      <c r="GA136" s="60">
        <f t="shared" si="918"/>
        <v>0</v>
      </c>
      <c r="GB136" s="59">
        <f t="shared" si="919"/>
        <v>0</v>
      </c>
      <c r="GC136" s="55">
        <f t="shared" si="920"/>
        <v>0</v>
      </c>
      <c r="GD136" s="59">
        <f t="shared" si="921"/>
        <v>0</v>
      </c>
      <c r="GE136" s="60">
        <f t="shared" si="922"/>
        <v>0</v>
      </c>
      <c r="GF136" s="59">
        <f t="shared" si="923"/>
        <v>0</v>
      </c>
      <c r="GG136" s="60">
        <f t="shared" si="924"/>
        <v>0</v>
      </c>
      <c r="GH136" s="59">
        <f t="shared" si="925"/>
        <v>0</v>
      </c>
      <c r="GI136" s="55">
        <f t="shared" si="926"/>
        <v>0</v>
      </c>
      <c r="GJ136" s="59">
        <f t="shared" si="927"/>
        <v>0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93"/>
        <v>0.91</v>
      </c>
      <c r="GR136" s="55">
        <f t="shared" si="793"/>
        <v>0.89</v>
      </c>
      <c r="GS136" s="55">
        <f t="shared" si="793"/>
        <v>0.87</v>
      </c>
      <c r="GT136" s="55">
        <f t="shared" si="793"/>
        <v>0.85</v>
      </c>
      <c r="GU136" s="55">
        <f t="shared" si="793"/>
        <v>0.83</v>
      </c>
      <c r="GV136" s="55">
        <f t="shared" si="793"/>
        <v>0.80999999999999994</v>
      </c>
      <c r="GW136" s="55">
        <f t="shared" si="793"/>
        <v>0.78999999999999992</v>
      </c>
      <c r="GX136" s="55">
        <f t="shared" si="793"/>
        <v>0.76999999999999991</v>
      </c>
      <c r="GY136" s="55">
        <f t="shared" si="793"/>
        <v>0.74999999999999989</v>
      </c>
      <c r="GZ136" s="55">
        <f t="shared" si="793"/>
        <v>0.72999999999999987</v>
      </c>
      <c r="HA136" s="55">
        <f t="shared" si="793"/>
        <v>0.70999999999999985</v>
      </c>
      <c r="HB136" s="55">
        <f t="shared" si="793"/>
        <v>0.68999999999999984</v>
      </c>
      <c r="HC136" s="55">
        <f t="shared" si="793"/>
        <v>0.66999999999999982</v>
      </c>
      <c r="HD136" s="55">
        <f t="shared" si="793"/>
        <v>0.6499999999999998</v>
      </c>
      <c r="HE136" s="55">
        <f t="shared" si="793"/>
        <v>0.62999999999999978</v>
      </c>
      <c r="HF136" s="55">
        <f t="shared" si="793"/>
        <v>0.60999999999999976</v>
      </c>
      <c r="HG136" s="55">
        <f t="shared" si="793"/>
        <v>0.58999999999999975</v>
      </c>
      <c r="HH136" s="55">
        <f t="shared" si="793"/>
        <v>0.56999999999999973</v>
      </c>
    </row>
    <row r="137" spans="1:216" x14ac:dyDescent="0.3">
      <c r="A137" s="2">
        <v>8</v>
      </c>
      <c r="C137" s="38" t="s">
        <v>62</v>
      </c>
      <c r="D137" s="42">
        <v>0</v>
      </c>
      <c r="E137" s="71">
        <f t="shared" si="798"/>
        <v>0</v>
      </c>
      <c r="H137" s="55">
        <f t="shared" si="505"/>
        <v>0</v>
      </c>
      <c r="I137" s="55">
        <f t="shared" si="506"/>
        <v>0</v>
      </c>
      <c r="J137" s="59">
        <f t="shared" si="507"/>
        <v>0</v>
      </c>
      <c r="K137" s="55">
        <f t="shared" si="799"/>
        <v>0</v>
      </c>
      <c r="L137" s="59">
        <f t="shared" si="800"/>
        <v>0</v>
      </c>
      <c r="M137" s="55">
        <f t="shared" si="801"/>
        <v>0</v>
      </c>
      <c r="N137" s="59">
        <f t="shared" si="802"/>
        <v>0</v>
      </c>
      <c r="O137" s="55">
        <f t="shared" si="803"/>
        <v>0</v>
      </c>
      <c r="P137" s="59">
        <f t="shared" si="804"/>
        <v>0</v>
      </c>
      <c r="Q137" s="57">
        <f t="shared" si="805"/>
        <v>0</v>
      </c>
      <c r="R137" s="59">
        <f t="shared" si="806"/>
        <v>0</v>
      </c>
      <c r="S137" s="55">
        <f t="shared" si="807"/>
        <v>0</v>
      </c>
      <c r="T137" s="59">
        <f t="shared" si="808"/>
        <v>0</v>
      </c>
      <c r="U137" s="57">
        <f t="shared" si="809"/>
        <v>0</v>
      </c>
      <c r="V137" s="59">
        <f t="shared" si="810"/>
        <v>0</v>
      </c>
      <c r="W137" s="60">
        <f t="shared" si="811"/>
        <v>0</v>
      </c>
      <c r="X137" s="59">
        <f t="shared" si="812"/>
        <v>0</v>
      </c>
      <c r="Y137" s="57">
        <f t="shared" si="813"/>
        <v>0</v>
      </c>
      <c r="Z137" s="59">
        <f t="shared" si="814"/>
        <v>0</v>
      </c>
      <c r="AA137" s="55">
        <f t="shared" si="815"/>
        <v>0</v>
      </c>
      <c r="AB137" s="59">
        <f t="shared" si="816"/>
        <v>0</v>
      </c>
      <c r="AC137" s="60">
        <f t="shared" si="817"/>
        <v>0</v>
      </c>
      <c r="AD137" s="59">
        <f t="shared" si="818"/>
        <v>0</v>
      </c>
      <c r="AE137" s="60">
        <f t="shared" si="819"/>
        <v>0</v>
      </c>
      <c r="AF137" s="59">
        <f t="shared" si="820"/>
        <v>0</v>
      </c>
      <c r="AG137" s="60">
        <f t="shared" si="821"/>
        <v>0</v>
      </c>
      <c r="AH137" s="59">
        <f t="shared" si="822"/>
        <v>0</v>
      </c>
      <c r="AI137" s="55">
        <f t="shared" si="823"/>
        <v>0</v>
      </c>
      <c r="AJ137" s="59">
        <f t="shared" si="824"/>
        <v>0</v>
      </c>
      <c r="AK137" s="60">
        <f t="shared" si="825"/>
        <v>0</v>
      </c>
      <c r="AL137" s="59">
        <f t="shared" si="826"/>
        <v>0</v>
      </c>
      <c r="AM137" s="60">
        <f t="shared" si="827"/>
        <v>0</v>
      </c>
      <c r="AN137" s="59">
        <f t="shared" si="828"/>
        <v>0</v>
      </c>
      <c r="AO137" s="60">
        <f t="shared" si="829"/>
        <v>0</v>
      </c>
      <c r="AP137" s="59">
        <f t="shared" si="830"/>
        <v>0</v>
      </c>
      <c r="AQ137" s="60">
        <f t="shared" si="831"/>
        <v>0</v>
      </c>
      <c r="AR137" s="59">
        <f t="shared" si="832"/>
        <v>0</v>
      </c>
      <c r="AS137" s="55">
        <f t="shared" si="833"/>
        <v>0</v>
      </c>
      <c r="AT137" s="59">
        <f t="shared" si="834"/>
        <v>0</v>
      </c>
      <c r="AU137" s="60">
        <f t="shared" si="835"/>
        <v>0</v>
      </c>
      <c r="AV137" s="59">
        <f t="shared" si="836"/>
        <v>0</v>
      </c>
      <c r="AW137" s="60">
        <f t="shared" si="837"/>
        <v>0</v>
      </c>
      <c r="AX137" s="59">
        <f t="shared" si="838"/>
        <v>0</v>
      </c>
      <c r="AY137" s="55">
        <f t="shared" si="839"/>
        <v>0</v>
      </c>
      <c r="AZ137" s="59">
        <f t="shared" si="840"/>
        <v>0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41"/>
        <v>0.91</v>
      </c>
      <c r="BH137" s="55">
        <f t="shared" si="841"/>
        <v>0.89</v>
      </c>
      <c r="BI137" s="55">
        <f t="shared" si="841"/>
        <v>0.87</v>
      </c>
      <c r="BJ137" s="55">
        <f t="shared" si="841"/>
        <v>0.85</v>
      </c>
      <c r="BK137" s="55">
        <f t="shared" si="841"/>
        <v>0.83</v>
      </c>
      <c r="BL137" s="55">
        <f t="shared" si="841"/>
        <v>0.80999999999999994</v>
      </c>
      <c r="BM137" s="55">
        <f t="shared" si="841"/>
        <v>0.78999999999999992</v>
      </c>
      <c r="BN137" s="55">
        <f t="shared" si="841"/>
        <v>0.76999999999999991</v>
      </c>
      <c r="BO137" s="55">
        <f t="shared" si="841"/>
        <v>0.74999999999999989</v>
      </c>
      <c r="BP137" s="55">
        <f t="shared" si="841"/>
        <v>0.72999999999999987</v>
      </c>
      <c r="BQ137" s="55">
        <f t="shared" si="841"/>
        <v>0.70999999999999985</v>
      </c>
      <c r="BR137" s="55">
        <f t="shared" si="841"/>
        <v>0.68999999999999984</v>
      </c>
      <c r="BS137" s="55">
        <f t="shared" si="841"/>
        <v>0.66999999999999982</v>
      </c>
      <c r="BT137" s="55">
        <f t="shared" si="841"/>
        <v>0.6499999999999998</v>
      </c>
      <c r="BU137" s="55">
        <f t="shared" si="841"/>
        <v>0.62999999999999978</v>
      </c>
      <c r="BV137" s="55">
        <f t="shared" si="841"/>
        <v>0.60999999999999976</v>
      </c>
      <c r="BW137" s="55">
        <f t="shared" si="841"/>
        <v>0.58999999999999975</v>
      </c>
      <c r="BX137" s="55">
        <f t="shared" si="841"/>
        <v>0.56999999999999973</v>
      </c>
      <c r="BZ137" s="55">
        <f t="shared" si="508"/>
        <v>0</v>
      </c>
      <c r="CA137" s="55">
        <f t="shared" si="509"/>
        <v>0</v>
      </c>
      <c r="CB137" s="59">
        <f t="shared" si="842"/>
        <v>0</v>
      </c>
      <c r="CC137" s="55">
        <f t="shared" si="843"/>
        <v>0</v>
      </c>
      <c r="CD137" s="59">
        <f t="shared" si="844"/>
        <v>0</v>
      </c>
      <c r="CE137" s="55">
        <f t="shared" si="845"/>
        <v>0</v>
      </c>
      <c r="CF137" s="59">
        <f t="shared" si="846"/>
        <v>0</v>
      </c>
      <c r="CG137" s="55">
        <f t="shared" si="847"/>
        <v>0</v>
      </c>
      <c r="CH137" s="59">
        <f t="shared" si="848"/>
        <v>0</v>
      </c>
      <c r="CI137" s="57">
        <f t="shared" si="849"/>
        <v>0</v>
      </c>
      <c r="CJ137" s="59">
        <f t="shared" si="850"/>
        <v>0</v>
      </c>
      <c r="CK137" s="55">
        <f t="shared" si="851"/>
        <v>0</v>
      </c>
      <c r="CL137" s="59">
        <f t="shared" si="852"/>
        <v>0</v>
      </c>
      <c r="CM137" s="57">
        <f t="shared" si="853"/>
        <v>0</v>
      </c>
      <c r="CN137" s="59">
        <f t="shared" si="854"/>
        <v>0</v>
      </c>
      <c r="CO137" s="60">
        <f t="shared" si="855"/>
        <v>0</v>
      </c>
      <c r="CP137" s="59">
        <f t="shared" si="856"/>
        <v>0</v>
      </c>
      <c r="CQ137" s="57">
        <f t="shared" si="857"/>
        <v>0</v>
      </c>
      <c r="CR137" s="59">
        <f t="shared" si="858"/>
        <v>0</v>
      </c>
      <c r="CS137" s="55">
        <f t="shared" si="859"/>
        <v>0</v>
      </c>
      <c r="CT137" s="59">
        <f t="shared" si="860"/>
        <v>0</v>
      </c>
      <c r="CU137" s="60">
        <f t="shared" si="861"/>
        <v>0</v>
      </c>
      <c r="CV137" s="59">
        <f t="shared" si="862"/>
        <v>0</v>
      </c>
      <c r="CW137" s="60">
        <f t="shared" si="863"/>
        <v>0</v>
      </c>
      <c r="CX137" s="59">
        <f t="shared" si="864"/>
        <v>0</v>
      </c>
      <c r="CY137" s="60">
        <f t="shared" si="865"/>
        <v>0</v>
      </c>
      <c r="CZ137" s="59">
        <f t="shared" si="866"/>
        <v>0</v>
      </c>
      <c r="DA137" s="55">
        <f t="shared" si="867"/>
        <v>0</v>
      </c>
      <c r="DB137" s="59">
        <f t="shared" si="868"/>
        <v>0</v>
      </c>
      <c r="DC137" s="60">
        <f t="shared" si="869"/>
        <v>0</v>
      </c>
      <c r="DD137" s="59">
        <f t="shared" si="870"/>
        <v>0</v>
      </c>
      <c r="DE137" s="60">
        <f t="shared" si="871"/>
        <v>0</v>
      </c>
      <c r="DF137" s="59">
        <f t="shared" si="872"/>
        <v>0</v>
      </c>
      <c r="DG137" s="60">
        <f t="shared" si="873"/>
        <v>0</v>
      </c>
      <c r="DH137" s="59">
        <f t="shared" si="874"/>
        <v>0</v>
      </c>
      <c r="DI137" s="60">
        <f t="shared" si="875"/>
        <v>0</v>
      </c>
      <c r="DJ137" s="59">
        <f t="shared" si="876"/>
        <v>0</v>
      </c>
      <c r="DK137" s="55">
        <f t="shared" si="877"/>
        <v>0</v>
      </c>
      <c r="DL137" s="59">
        <f t="shared" si="878"/>
        <v>0</v>
      </c>
      <c r="DM137" s="60">
        <f t="shared" si="879"/>
        <v>0</v>
      </c>
      <c r="DN137" s="59">
        <f t="shared" si="880"/>
        <v>0</v>
      </c>
      <c r="DO137" s="60">
        <f t="shared" si="881"/>
        <v>0</v>
      </c>
      <c r="DP137" s="59">
        <f t="shared" si="882"/>
        <v>0</v>
      </c>
      <c r="DQ137" s="55">
        <f t="shared" si="883"/>
        <v>0</v>
      </c>
      <c r="DR137" s="59">
        <f t="shared" si="884"/>
        <v>0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92"/>
        <v>0.91</v>
      </c>
      <c r="DZ137" s="55">
        <f t="shared" si="792"/>
        <v>0.89</v>
      </c>
      <c r="EA137" s="55">
        <f t="shared" si="792"/>
        <v>0.87</v>
      </c>
      <c r="EB137" s="55">
        <f t="shared" si="792"/>
        <v>0.85</v>
      </c>
      <c r="EC137" s="55">
        <f t="shared" si="792"/>
        <v>0.83</v>
      </c>
      <c r="ED137" s="55">
        <f t="shared" si="792"/>
        <v>0.80999999999999994</v>
      </c>
      <c r="EE137" s="55">
        <f t="shared" si="792"/>
        <v>0.78999999999999992</v>
      </c>
      <c r="EF137" s="55">
        <f t="shared" si="792"/>
        <v>0.76999999999999991</v>
      </c>
      <c r="EG137" s="55">
        <f t="shared" si="792"/>
        <v>0.74999999999999989</v>
      </c>
      <c r="EH137" s="55">
        <f t="shared" si="792"/>
        <v>0.72999999999999987</v>
      </c>
      <c r="EI137" s="55">
        <f t="shared" si="792"/>
        <v>0.70999999999999985</v>
      </c>
      <c r="EJ137" s="55">
        <f t="shared" si="792"/>
        <v>0.68999999999999984</v>
      </c>
      <c r="EK137" s="55">
        <f t="shared" si="792"/>
        <v>0.66999999999999982</v>
      </c>
      <c r="EL137" s="55">
        <f t="shared" si="792"/>
        <v>0.6499999999999998</v>
      </c>
      <c r="EM137" s="55">
        <f t="shared" si="792"/>
        <v>0.62999999999999978</v>
      </c>
      <c r="EN137" s="55">
        <f t="shared" si="792"/>
        <v>0.60999999999999976</v>
      </c>
      <c r="EO137" s="55">
        <f t="shared" si="792"/>
        <v>0.58999999999999975</v>
      </c>
      <c r="EP137" s="55">
        <f t="shared" si="792"/>
        <v>0.56999999999999973</v>
      </c>
      <c r="ER137" s="55">
        <f t="shared" si="648"/>
        <v>0</v>
      </c>
      <c r="ES137" s="55">
        <f t="shared" si="510"/>
        <v>0</v>
      </c>
      <c r="ET137" s="59">
        <f t="shared" si="885"/>
        <v>0</v>
      </c>
      <c r="EU137" s="55">
        <f t="shared" si="886"/>
        <v>0</v>
      </c>
      <c r="EV137" s="59">
        <f t="shared" si="887"/>
        <v>0</v>
      </c>
      <c r="EW137" s="55">
        <f t="shared" si="888"/>
        <v>0</v>
      </c>
      <c r="EX137" s="59">
        <f t="shared" si="889"/>
        <v>0</v>
      </c>
      <c r="EY137" s="55">
        <f t="shared" si="890"/>
        <v>0</v>
      </c>
      <c r="EZ137" s="59">
        <f t="shared" si="891"/>
        <v>0</v>
      </c>
      <c r="FA137" s="57">
        <f t="shared" si="892"/>
        <v>0</v>
      </c>
      <c r="FB137" s="59">
        <f t="shared" si="893"/>
        <v>0</v>
      </c>
      <c r="FC137" s="55">
        <f t="shared" si="894"/>
        <v>0</v>
      </c>
      <c r="FD137" s="59">
        <f t="shared" si="895"/>
        <v>0</v>
      </c>
      <c r="FE137" s="57">
        <f t="shared" si="896"/>
        <v>0</v>
      </c>
      <c r="FF137" s="59">
        <f t="shared" si="897"/>
        <v>0</v>
      </c>
      <c r="FG137" s="60">
        <f t="shared" si="898"/>
        <v>0</v>
      </c>
      <c r="FH137" s="59">
        <f t="shared" si="899"/>
        <v>0</v>
      </c>
      <c r="FI137" s="57">
        <f t="shared" si="900"/>
        <v>0</v>
      </c>
      <c r="FJ137" s="59">
        <f t="shared" si="901"/>
        <v>0</v>
      </c>
      <c r="FK137" s="55">
        <f t="shared" si="902"/>
        <v>0</v>
      </c>
      <c r="FL137" s="59">
        <f t="shared" si="903"/>
        <v>0</v>
      </c>
      <c r="FM137" s="60">
        <f t="shared" si="904"/>
        <v>0</v>
      </c>
      <c r="FN137" s="59">
        <f t="shared" si="905"/>
        <v>0</v>
      </c>
      <c r="FO137" s="60">
        <f t="shared" si="906"/>
        <v>0</v>
      </c>
      <c r="FP137" s="59">
        <f t="shared" si="907"/>
        <v>0</v>
      </c>
      <c r="FQ137" s="60">
        <f t="shared" si="908"/>
        <v>0</v>
      </c>
      <c r="FR137" s="59">
        <f t="shared" si="909"/>
        <v>0</v>
      </c>
      <c r="FS137" s="55">
        <f t="shared" si="910"/>
        <v>0</v>
      </c>
      <c r="FT137" s="59">
        <f t="shared" si="911"/>
        <v>0</v>
      </c>
      <c r="FU137" s="60">
        <f t="shared" si="912"/>
        <v>0</v>
      </c>
      <c r="FV137" s="59">
        <f t="shared" si="913"/>
        <v>0</v>
      </c>
      <c r="FW137" s="60">
        <f t="shared" si="914"/>
        <v>0</v>
      </c>
      <c r="FX137" s="59">
        <f t="shared" si="915"/>
        <v>0</v>
      </c>
      <c r="FY137" s="60">
        <f t="shared" si="916"/>
        <v>0</v>
      </c>
      <c r="FZ137" s="59">
        <f t="shared" si="917"/>
        <v>0</v>
      </c>
      <c r="GA137" s="60">
        <f t="shared" si="918"/>
        <v>0</v>
      </c>
      <c r="GB137" s="59">
        <f t="shared" si="919"/>
        <v>0</v>
      </c>
      <c r="GC137" s="55">
        <f t="shared" si="920"/>
        <v>0</v>
      </c>
      <c r="GD137" s="59">
        <f t="shared" si="921"/>
        <v>0</v>
      </c>
      <c r="GE137" s="60">
        <f t="shared" si="922"/>
        <v>0</v>
      </c>
      <c r="GF137" s="59">
        <f t="shared" si="923"/>
        <v>0</v>
      </c>
      <c r="GG137" s="60">
        <f t="shared" si="924"/>
        <v>0</v>
      </c>
      <c r="GH137" s="59">
        <f t="shared" si="925"/>
        <v>0</v>
      </c>
      <c r="GI137" s="55">
        <f t="shared" si="926"/>
        <v>0</v>
      </c>
      <c r="GJ137" s="59">
        <f t="shared" si="927"/>
        <v>0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93"/>
        <v>0.91</v>
      </c>
      <c r="GR137" s="55">
        <f t="shared" si="793"/>
        <v>0.89</v>
      </c>
      <c r="GS137" s="55">
        <f t="shared" si="793"/>
        <v>0.87</v>
      </c>
      <c r="GT137" s="55">
        <f t="shared" si="793"/>
        <v>0.85</v>
      </c>
      <c r="GU137" s="55">
        <f t="shared" si="793"/>
        <v>0.83</v>
      </c>
      <c r="GV137" s="55">
        <f t="shared" si="793"/>
        <v>0.80999999999999994</v>
      </c>
      <c r="GW137" s="55">
        <f t="shared" si="793"/>
        <v>0.78999999999999992</v>
      </c>
      <c r="GX137" s="55">
        <f t="shared" si="793"/>
        <v>0.76999999999999991</v>
      </c>
      <c r="GY137" s="55">
        <f t="shared" si="793"/>
        <v>0.74999999999999989</v>
      </c>
      <c r="GZ137" s="55">
        <f t="shared" si="793"/>
        <v>0.72999999999999987</v>
      </c>
      <c r="HA137" s="55">
        <f t="shared" si="793"/>
        <v>0.70999999999999985</v>
      </c>
      <c r="HB137" s="55">
        <f t="shared" si="793"/>
        <v>0.68999999999999984</v>
      </c>
      <c r="HC137" s="55">
        <f t="shared" si="793"/>
        <v>0.66999999999999982</v>
      </c>
      <c r="HD137" s="55">
        <f t="shared" si="793"/>
        <v>0.6499999999999998</v>
      </c>
      <c r="HE137" s="55">
        <f t="shared" si="793"/>
        <v>0.62999999999999978</v>
      </c>
      <c r="HF137" s="55">
        <f t="shared" si="793"/>
        <v>0.60999999999999976</v>
      </c>
      <c r="HG137" s="55">
        <f t="shared" si="793"/>
        <v>0.58999999999999975</v>
      </c>
      <c r="HH137" s="55">
        <f t="shared" si="793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1">
        <f t="shared" si="798"/>
        <v>0</v>
      </c>
      <c r="H138" s="55">
        <f t="shared" si="505"/>
        <v>0</v>
      </c>
      <c r="I138" s="55">
        <f t="shared" si="506"/>
        <v>0</v>
      </c>
      <c r="J138" s="59">
        <f t="shared" si="507"/>
        <v>0</v>
      </c>
      <c r="K138" s="55">
        <f t="shared" si="799"/>
        <v>0</v>
      </c>
      <c r="L138" s="59">
        <f t="shared" si="800"/>
        <v>0</v>
      </c>
      <c r="M138" s="55">
        <f t="shared" si="801"/>
        <v>0</v>
      </c>
      <c r="N138" s="59">
        <f t="shared" si="802"/>
        <v>0</v>
      </c>
      <c r="O138" s="55">
        <f t="shared" si="803"/>
        <v>0</v>
      </c>
      <c r="P138" s="59">
        <f t="shared" si="804"/>
        <v>0</v>
      </c>
      <c r="Q138" s="57">
        <f t="shared" si="805"/>
        <v>0</v>
      </c>
      <c r="R138" s="59">
        <f t="shared" si="806"/>
        <v>0</v>
      </c>
      <c r="S138" s="55">
        <f t="shared" si="807"/>
        <v>0</v>
      </c>
      <c r="T138" s="59">
        <f t="shared" si="808"/>
        <v>0</v>
      </c>
      <c r="U138" s="57">
        <f t="shared" si="809"/>
        <v>0</v>
      </c>
      <c r="V138" s="59">
        <f t="shared" si="810"/>
        <v>0</v>
      </c>
      <c r="W138" s="60">
        <f t="shared" si="811"/>
        <v>0</v>
      </c>
      <c r="X138" s="59">
        <f t="shared" si="812"/>
        <v>0</v>
      </c>
      <c r="Y138" s="57">
        <f t="shared" si="813"/>
        <v>0</v>
      </c>
      <c r="Z138" s="59">
        <f t="shared" si="814"/>
        <v>0</v>
      </c>
      <c r="AA138" s="55">
        <f t="shared" si="815"/>
        <v>0</v>
      </c>
      <c r="AB138" s="59">
        <f t="shared" si="816"/>
        <v>0</v>
      </c>
      <c r="AC138" s="60">
        <f t="shared" si="817"/>
        <v>0</v>
      </c>
      <c r="AD138" s="59">
        <f t="shared" si="818"/>
        <v>0</v>
      </c>
      <c r="AE138" s="60">
        <f t="shared" si="819"/>
        <v>0</v>
      </c>
      <c r="AF138" s="59">
        <f t="shared" si="820"/>
        <v>0</v>
      </c>
      <c r="AG138" s="60">
        <f t="shared" si="821"/>
        <v>0</v>
      </c>
      <c r="AH138" s="59">
        <f t="shared" si="822"/>
        <v>0</v>
      </c>
      <c r="AI138" s="55">
        <f t="shared" si="823"/>
        <v>0</v>
      </c>
      <c r="AJ138" s="59">
        <f t="shared" si="824"/>
        <v>0</v>
      </c>
      <c r="AK138" s="60">
        <f t="shared" si="825"/>
        <v>0</v>
      </c>
      <c r="AL138" s="59">
        <f t="shared" si="826"/>
        <v>0</v>
      </c>
      <c r="AM138" s="60">
        <f t="shared" si="827"/>
        <v>0</v>
      </c>
      <c r="AN138" s="59">
        <f t="shared" si="828"/>
        <v>0</v>
      </c>
      <c r="AO138" s="60">
        <f t="shared" si="829"/>
        <v>0</v>
      </c>
      <c r="AP138" s="59">
        <f t="shared" si="830"/>
        <v>0</v>
      </c>
      <c r="AQ138" s="60">
        <f t="shared" si="831"/>
        <v>0</v>
      </c>
      <c r="AR138" s="59">
        <f t="shared" si="832"/>
        <v>0</v>
      </c>
      <c r="AS138" s="55">
        <f t="shared" si="833"/>
        <v>0</v>
      </c>
      <c r="AT138" s="59">
        <f t="shared" si="834"/>
        <v>0</v>
      </c>
      <c r="AU138" s="60">
        <f t="shared" si="835"/>
        <v>0</v>
      </c>
      <c r="AV138" s="59">
        <f t="shared" si="836"/>
        <v>0</v>
      </c>
      <c r="AW138" s="60">
        <f t="shared" si="837"/>
        <v>0</v>
      </c>
      <c r="AX138" s="59">
        <f t="shared" si="838"/>
        <v>0</v>
      </c>
      <c r="AY138" s="55">
        <f t="shared" si="839"/>
        <v>0</v>
      </c>
      <c r="AZ138" s="59">
        <f t="shared" si="840"/>
        <v>0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41"/>
        <v>0.91</v>
      </c>
      <c r="BH138" s="55">
        <f t="shared" si="841"/>
        <v>0.89</v>
      </c>
      <c r="BI138" s="55">
        <f t="shared" si="841"/>
        <v>0.87</v>
      </c>
      <c r="BJ138" s="55">
        <f t="shared" si="841"/>
        <v>0.85</v>
      </c>
      <c r="BK138" s="55">
        <f t="shared" si="841"/>
        <v>0.83</v>
      </c>
      <c r="BL138" s="55">
        <f t="shared" si="841"/>
        <v>0.80999999999999994</v>
      </c>
      <c r="BM138" s="55">
        <f t="shared" si="841"/>
        <v>0.78999999999999992</v>
      </c>
      <c r="BN138" s="55">
        <f t="shared" si="841"/>
        <v>0.76999999999999991</v>
      </c>
      <c r="BO138" s="55">
        <f t="shared" si="841"/>
        <v>0.74999999999999989</v>
      </c>
      <c r="BP138" s="55">
        <f t="shared" si="841"/>
        <v>0.72999999999999987</v>
      </c>
      <c r="BQ138" s="55">
        <f t="shared" si="841"/>
        <v>0.70999999999999985</v>
      </c>
      <c r="BR138" s="55">
        <f t="shared" si="841"/>
        <v>0.68999999999999984</v>
      </c>
      <c r="BS138" s="55">
        <f t="shared" si="841"/>
        <v>0.66999999999999982</v>
      </c>
      <c r="BT138" s="55">
        <f t="shared" si="841"/>
        <v>0.6499999999999998</v>
      </c>
      <c r="BU138" s="55">
        <f t="shared" si="841"/>
        <v>0.62999999999999978</v>
      </c>
      <c r="BV138" s="55">
        <f t="shared" si="841"/>
        <v>0.60999999999999976</v>
      </c>
      <c r="BW138" s="55">
        <f t="shared" si="841"/>
        <v>0.58999999999999975</v>
      </c>
      <c r="BX138" s="55">
        <f t="shared" si="841"/>
        <v>0.56999999999999973</v>
      </c>
      <c r="BZ138" s="55">
        <f t="shared" si="508"/>
        <v>0</v>
      </c>
      <c r="CA138" s="55">
        <f t="shared" si="509"/>
        <v>0</v>
      </c>
      <c r="CB138" s="59">
        <f t="shared" si="842"/>
        <v>0</v>
      </c>
      <c r="CC138" s="55">
        <f t="shared" si="843"/>
        <v>0</v>
      </c>
      <c r="CD138" s="59">
        <f t="shared" si="844"/>
        <v>0</v>
      </c>
      <c r="CE138" s="55">
        <f t="shared" si="845"/>
        <v>0</v>
      </c>
      <c r="CF138" s="59">
        <f t="shared" si="846"/>
        <v>0</v>
      </c>
      <c r="CG138" s="55">
        <f t="shared" si="847"/>
        <v>0</v>
      </c>
      <c r="CH138" s="59">
        <f t="shared" si="848"/>
        <v>0</v>
      </c>
      <c r="CI138" s="57">
        <f t="shared" si="849"/>
        <v>0</v>
      </c>
      <c r="CJ138" s="59">
        <f t="shared" si="850"/>
        <v>0</v>
      </c>
      <c r="CK138" s="55">
        <f t="shared" si="851"/>
        <v>0</v>
      </c>
      <c r="CL138" s="59">
        <f t="shared" si="852"/>
        <v>0</v>
      </c>
      <c r="CM138" s="57">
        <f t="shared" si="853"/>
        <v>0</v>
      </c>
      <c r="CN138" s="59">
        <f t="shared" si="854"/>
        <v>0</v>
      </c>
      <c r="CO138" s="60">
        <f t="shared" si="855"/>
        <v>0</v>
      </c>
      <c r="CP138" s="59">
        <f t="shared" si="856"/>
        <v>0</v>
      </c>
      <c r="CQ138" s="57">
        <f t="shared" si="857"/>
        <v>0</v>
      </c>
      <c r="CR138" s="59">
        <f t="shared" si="858"/>
        <v>0</v>
      </c>
      <c r="CS138" s="55">
        <f t="shared" si="859"/>
        <v>0</v>
      </c>
      <c r="CT138" s="59">
        <f t="shared" si="860"/>
        <v>0</v>
      </c>
      <c r="CU138" s="60">
        <f t="shared" si="861"/>
        <v>0</v>
      </c>
      <c r="CV138" s="59">
        <f t="shared" si="862"/>
        <v>0</v>
      </c>
      <c r="CW138" s="60">
        <f t="shared" si="863"/>
        <v>0</v>
      </c>
      <c r="CX138" s="59">
        <f t="shared" si="864"/>
        <v>0</v>
      </c>
      <c r="CY138" s="60">
        <f t="shared" si="865"/>
        <v>0</v>
      </c>
      <c r="CZ138" s="59">
        <f t="shared" si="866"/>
        <v>0</v>
      </c>
      <c r="DA138" s="55">
        <f t="shared" si="867"/>
        <v>0</v>
      </c>
      <c r="DB138" s="59">
        <f t="shared" si="868"/>
        <v>0</v>
      </c>
      <c r="DC138" s="60">
        <f t="shared" si="869"/>
        <v>0</v>
      </c>
      <c r="DD138" s="59">
        <f t="shared" si="870"/>
        <v>0</v>
      </c>
      <c r="DE138" s="60">
        <f t="shared" si="871"/>
        <v>0</v>
      </c>
      <c r="DF138" s="59">
        <f t="shared" si="872"/>
        <v>0</v>
      </c>
      <c r="DG138" s="60">
        <f t="shared" si="873"/>
        <v>0</v>
      </c>
      <c r="DH138" s="59">
        <f t="shared" si="874"/>
        <v>0</v>
      </c>
      <c r="DI138" s="60">
        <f t="shared" si="875"/>
        <v>0</v>
      </c>
      <c r="DJ138" s="59">
        <f t="shared" si="876"/>
        <v>0</v>
      </c>
      <c r="DK138" s="55">
        <f t="shared" si="877"/>
        <v>0</v>
      </c>
      <c r="DL138" s="59">
        <f t="shared" si="878"/>
        <v>0</v>
      </c>
      <c r="DM138" s="60">
        <f t="shared" si="879"/>
        <v>0</v>
      </c>
      <c r="DN138" s="59">
        <f t="shared" si="880"/>
        <v>0</v>
      </c>
      <c r="DO138" s="60">
        <f t="shared" si="881"/>
        <v>0</v>
      </c>
      <c r="DP138" s="59">
        <f t="shared" si="882"/>
        <v>0</v>
      </c>
      <c r="DQ138" s="55">
        <f t="shared" si="883"/>
        <v>0</v>
      </c>
      <c r="DR138" s="59">
        <f t="shared" si="884"/>
        <v>0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92"/>
        <v>0.91</v>
      </c>
      <c r="DZ138" s="55">
        <f t="shared" si="792"/>
        <v>0.89</v>
      </c>
      <c r="EA138" s="55">
        <f t="shared" si="792"/>
        <v>0.87</v>
      </c>
      <c r="EB138" s="55">
        <f t="shared" ref="EB138:EP138" si="928">+EA138-0.02</f>
        <v>0.85</v>
      </c>
      <c r="EC138" s="55">
        <f t="shared" si="928"/>
        <v>0.83</v>
      </c>
      <c r="ED138" s="55">
        <f t="shared" si="928"/>
        <v>0.80999999999999994</v>
      </c>
      <c r="EE138" s="55">
        <f t="shared" si="928"/>
        <v>0.78999999999999992</v>
      </c>
      <c r="EF138" s="55">
        <f t="shared" si="928"/>
        <v>0.76999999999999991</v>
      </c>
      <c r="EG138" s="55">
        <f t="shared" si="928"/>
        <v>0.74999999999999989</v>
      </c>
      <c r="EH138" s="55">
        <f t="shared" si="928"/>
        <v>0.72999999999999987</v>
      </c>
      <c r="EI138" s="55">
        <f t="shared" si="928"/>
        <v>0.70999999999999985</v>
      </c>
      <c r="EJ138" s="55">
        <f t="shared" si="928"/>
        <v>0.68999999999999984</v>
      </c>
      <c r="EK138" s="55">
        <f t="shared" si="928"/>
        <v>0.66999999999999982</v>
      </c>
      <c r="EL138" s="55">
        <f t="shared" si="928"/>
        <v>0.6499999999999998</v>
      </c>
      <c r="EM138" s="55">
        <f t="shared" si="928"/>
        <v>0.62999999999999978</v>
      </c>
      <c r="EN138" s="55">
        <f t="shared" si="928"/>
        <v>0.60999999999999976</v>
      </c>
      <c r="EO138" s="55">
        <f t="shared" si="928"/>
        <v>0.58999999999999975</v>
      </c>
      <c r="EP138" s="55">
        <f t="shared" si="928"/>
        <v>0.56999999999999973</v>
      </c>
      <c r="ER138" s="55">
        <f t="shared" si="648"/>
        <v>0</v>
      </c>
      <c r="ES138" s="55">
        <f t="shared" si="510"/>
        <v>0</v>
      </c>
      <c r="ET138" s="59">
        <f t="shared" si="885"/>
        <v>0</v>
      </c>
      <c r="EU138" s="55">
        <f t="shared" si="886"/>
        <v>0</v>
      </c>
      <c r="EV138" s="59">
        <f t="shared" si="887"/>
        <v>0</v>
      </c>
      <c r="EW138" s="55">
        <f t="shared" si="888"/>
        <v>0</v>
      </c>
      <c r="EX138" s="59">
        <f t="shared" si="889"/>
        <v>0</v>
      </c>
      <c r="EY138" s="55">
        <f t="shared" si="890"/>
        <v>0</v>
      </c>
      <c r="EZ138" s="59">
        <f t="shared" si="891"/>
        <v>0</v>
      </c>
      <c r="FA138" s="57">
        <f t="shared" si="892"/>
        <v>0</v>
      </c>
      <c r="FB138" s="59">
        <f t="shared" si="893"/>
        <v>0</v>
      </c>
      <c r="FC138" s="55">
        <f t="shared" si="894"/>
        <v>0</v>
      </c>
      <c r="FD138" s="59">
        <f t="shared" si="895"/>
        <v>0</v>
      </c>
      <c r="FE138" s="57">
        <f t="shared" si="896"/>
        <v>0</v>
      </c>
      <c r="FF138" s="59">
        <f t="shared" si="897"/>
        <v>0</v>
      </c>
      <c r="FG138" s="60">
        <f t="shared" si="898"/>
        <v>0</v>
      </c>
      <c r="FH138" s="59">
        <f t="shared" si="899"/>
        <v>0</v>
      </c>
      <c r="FI138" s="57">
        <f t="shared" si="900"/>
        <v>0</v>
      </c>
      <c r="FJ138" s="59">
        <f t="shared" si="901"/>
        <v>0</v>
      </c>
      <c r="FK138" s="55">
        <f t="shared" si="902"/>
        <v>0</v>
      </c>
      <c r="FL138" s="59">
        <f t="shared" si="903"/>
        <v>0</v>
      </c>
      <c r="FM138" s="60">
        <f t="shared" si="904"/>
        <v>0</v>
      </c>
      <c r="FN138" s="59">
        <f t="shared" si="905"/>
        <v>0</v>
      </c>
      <c r="FO138" s="60">
        <f t="shared" si="906"/>
        <v>0</v>
      </c>
      <c r="FP138" s="59">
        <f t="shared" si="907"/>
        <v>0</v>
      </c>
      <c r="FQ138" s="60">
        <f t="shared" si="908"/>
        <v>0</v>
      </c>
      <c r="FR138" s="59">
        <f t="shared" si="909"/>
        <v>0</v>
      </c>
      <c r="FS138" s="55">
        <f t="shared" si="910"/>
        <v>0</v>
      </c>
      <c r="FT138" s="59">
        <f t="shared" si="911"/>
        <v>0</v>
      </c>
      <c r="FU138" s="60">
        <f t="shared" si="912"/>
        <v>0</v>
      </c>
      <c r="FV138" s="59">
        <f t="shared" si="913"/>
        <v>0</v>
      </c>
      <c r="FW138" s="60">
        <f t="shared" si="914"/>
        <v>0</v>
      </c>
      <c r="FX138" s="59">
        <f t="shared" si="915"/>
        <v>0</v>
      </c>
      <c r="FY138" s="60">
        <f t="shared" si="916"/>
        <v>0</v>
      </c>
      <c r="FZ138" s="59">
        <f t="shared" si="917"/>
        <v>0</v>
      </c>
      <c r="GA138" s="60">
        <f t="shared" si="918"/>
        <v>0</v>
      </c>
      <c r="GB138" s="59">
        <f t="shared" si="919"/>
        <v>0</v>
      </c>
      <c r="GC138" s="55">
        <f t="shared" si="920"/>
        <v>0</v>
      </c>
      <c r="GD138" s="59">
        <f t="shared" si="921"/>
        <v>0</v>
      </c>
      <c r="GE138" s="60">
        <f t="shared" si="922"/>
        <v>0</v>
      </c>
      <c r="GF138" s="59">
        <f t="shared" si="923"/>
        <v>0</v>
      </c>
      <c r="GG138" s="60">
        <f t="shared" si="924"/>
        <v>0</v>
      </c>
      <c r="GH138" s="59">
        <f t="shared" si="925"/>
        <v>0</v>
      </c>
      <c r="GI138" s="55">
        <f t="shared" si="926"/>
        <v>0</v>
      </c>
      <c r="GJ138" s="59">
        <f t="shared" si="927"/>
        <v>0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93"/>
        <v>0.91</v>
      </c>
      <c r="GR138" s="55">
        <f t="shared" si="793"/>
        <v>0.89</v>
      </c>
      <c r="GS138" s="55">
        <f t="shared" si="793"/>
        <v>0.87</v>
      </c>
      <c r="GT138" s="55">
        <f t="shared" ref="GT138:HH138" si="929">+GS138-0.02</f>
        <v>0.85</v>
      </c>
      <c r="GU138" s="55">
        <f t="shared" si="929"/>
        <v>0.83</v>
      </c>
      <c r="GV138" s="55">
        <f t="shared" si="929"/>
        <v>0.80999999999999994</v>
      </c>
      <c r="GW138" s="55">
        <f t="shared" si="929"/>
        <v>0.78999999999999992</v>
      </c>
      <c r="GX138" s="55">
        <f t="shared" si="929"/>
        <v>0.76999999999999991</v>
      </c>
      <c r="GY138" s="55">
        <f t="shared" si="929"/>
        <v>0.74999999999999989</v>
      </c>
      <c r="GZ138" s="55">
        <f t="shared" si="929"/>
        <v>0.72999999999999987</v>
      </c>
      <c r="HA138" s="55">
        <f t="shared" si="929"/>
        <v>0.70999999999999985</v>
      </c>
      <c r="HB138" s="55">
        <f t="shared" si="929"/>
        <v>0.68999999999999984</v>
      </c>
      <c r="HC138" s="55">
        <f t="shared" si="929"/>
        <v>0.66999999999999982</v>
      </c>
      <c r="HD138" s="55">
        <f t="shared" si="929"/>
        <v>0.6499999999999998</v>
      </c>
      <c r="HE138" s="55">
        <f t="shared" si="929"/>
        <v>0.62999999999999978</v>
      </c>
      <c r="HF138" s="55">
        <f t="shared" si="929"/>
        <v>0.60999999999999976</v>
      </c>
      <c r="HG138" s="55">
        <f t="shared" si="929"/>
        <v>0.58999999999999975</v>
      </c>
      <c r="HH138" s="55">
        <f t="shared" si="929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72">
        <f t="shared" si="798"/>
        <v>0</v>
      </c>
      <c r="H139" s="55">
        <f t="shared" si="505"/>
        <v>0</v>
      </c>
      <c r="I139" s="55">
        <f t="shared" si="506"/>
        <v>0</v>
      </c>
      <c r="J139" s="59">
        <f t="shared" si="507"/>
        <v>0</v>
      </c>
      <c r="K139" s="55">
        <f t="shared" si="799"/>
        <v>0</v>
      </c>
      <c r="L139" s="59">
        <f t="shared" si="800"/>
        <v>0</v>
      </c>
      <c r="M139" s="55">
        <f t="shared" si="801"/>
        <v>0</v>
      </c>
      <c r="N139" s="59">
        <f t="shared" si="802"/>
        <v>0</v>
      </c>
      <c r="O139" s="55">
        <f t="shared" si="803"/>
        <v>0</v>
      </c>
      <c r="P139" s="59">
        <f t="shared" si="804"/>
        <v>0</v>
      </c>
      <c r="Q139" s="57">
        <f t="shared" si="805"/>
        <v>0</v>
      </c>
      <c r="R139" s="59">
        <f t="shared" si="806"/>
        <v>0</v>
      </c>
      <c r="S139" s="55">
        <f t="shared" si="807"/>
        <v>0</v>
      </c>
      <c r="T139" s="59">
        <f t="shared" si="808"/>
        <v>0</v>
      </c>
      <c r="U139" s="57">
        <f t="shared" si="809"/>
        <v>0</v>
      </c>
      <c r="V139" s="59">
        <f t="shared" si="810"/>
        <v>0</v>
      </c>
      <c r="W139" s="60">
        <f t="shared" si="811"/>
        <v>0</v>
      </c>
      <c r="X139" s="59">
        <f t="shared" si="812"/>
        <v>0</v>
      </c>
      <c r="Y139" s="57">
        <f t="shared" si="813"/>
        <v>0</v>
      </c>
      <c r="Z139" s="59">
        <f t="shared" si="814"/>
        <v>0</v>
      </c>
      <c r="AA139" s="55">
        <f t="shared" si="815"/>
        <v>0</v>
      </c>
      <c r="AB139" s="59">
        <f t="shared" si="816"/>
        <v>0</v>
      </c>
      <c r="AC139" s="60">
        <f t="shared" si="817"/>
        <v>0</v>
      </c>
      <c r="AD139" s="59">
        <f t="shared" si="818"/>
        <v>0</v>
      </c>
      <c r="AE139" s="60">
        <f t="shared" si="819"/>
        <v>0</v>
      </c>
      <c r="AF139" s="59">
        <f t="shared" si="820"/>
        <v>0</v>
      </c>
      <c r="AG139" s="60">
        <f t="shared" si="821"/>
        <v>0</v>
      </c>
      <c r="AH139" s="59">
        <f t="shared" si="822"/>
        <v>0</v>
      </c>
      <c r="AI139" s="55">
        <f t="shared" si="823"/>
        <v>0</v>
      </c>
      <c r="AJ139" s="59">
        <f t="shared" si="824"/>
        <v>0</v>
      </c>
      <c r="AK139" s="60">
        <f t="shared" si="825"/>
        <v>0</v>
      </c>
      <c r="AL139" s="59">
        <f t="shared" si="826"/>
        <v>0</v>
      </c>
      <c r="AM139" s="60">
        <f t="shared" si="827"/>
        <v>0</v>
      </c>
      <c r="AN139" s="59">
        <f t="shared" si="828"/>
        <v>0</v>
      </c>
      <c r="AO139" s="60">
        <f t="shared" si="829"/>
        <v>0</v>
      </c>
      <c r="AP139" s="59">
        <f t="shared" si="830"/>
        <v>0</v>
      </c>
      <c r="AQ139" s="60">
        <f t="shared" si="831"/>
        <v>0</v>
      </c>
      <c r="AR139" s="59">
        <f t="shared" si="832"/>
        <v>0</v>
      </c>
      <c r="AS139" s="55">
        <f t="shared" si="833"/>
        <v>0</v>
      </c>
      <c r="AT139" s="59">
        <f t="shared" si="834"/>
        <v>0</v>
      </c>
      <c r="AU139" s="60">
        <f t="shared" si="835"/>
        <v>0</v>
      </c>
      <c r="AV139" s="59">
        <f t="shared" si="836"/>
        <v>0</v>
      </c>
      <c r="AW139" s="60">
        <f t="shared" si="837"/>
        <v>0</v>
      </c>
      <c r="AX139" s="59">
        <f t="shared" si="838"/>
        <v>0</v>
      </c>
      <c r="AY139" s="55">
        <f t="shared" si="839"/>
        <v>0</v>
      </c>
      <c r="AZ139" s="59">
        <f t="shared" si="84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41"/>
        <v>0.91</v>
      </c>
      <c r="BH139" s="55">
        <f t="shared" si="841"/>
        <v>0.89</v>
      </c>
      <c r="BI139" s="55">
        <f t="shared" si="841"/>
        <v>0.87</v>
      </c>
      <c r="BJ139" s="55">
        <f t="shared" si="841"/>
        <v>0.85</v>
      </c>
      <c r="BK139" s="55">
        <f t="shared" si="841"/>
        <v>0.83</v>
      </c>
      <c r="BL139" s="55">
        <f t="shared" si="841"/>
        <v>0.80999999999999994</v>
      </c>
      <c r="BM139" s="55">
        <f t="shared" si="841"/>
        <v>0.78999999999999992</v>
      </c>
      <c r="BN139" s="55">
        <f t="shared" si="841"/>
        <v>0.76999999999999991</v>
      </c>
      <c r="BO139" s="55">
        <f t="shared" si="841"/>
        <v>0.74999999999999989</v>
      </c>
      <c r="BP139" s="55">
        <f t="shared" si="841"/>
        <v>0.72999999999999987</v>
      </c>
      <c r="BQ139" s="55">
        <f t="shared" si="841"/>
        <v>0.70999999999999985</v>
      </c>
      <c r="BR139" s="55">
        <f t="shared" si="841"/>
        <v>0.68999999999999984</v>
      </c>
      <c r="BS139" s="55">
        <f t="shared" si="841"/>
        <v>0.66999999999999982</v>
      </c>
      <c r="BT139" s="55">
        <f t="shared" si="841"/>
        <v>0.6499999999999998</v>
      </c>
      <c r="BU139" s="55">
        <f t="shared" si="841"/>
        <v>0.62999999999999978</v>
      </c>
      <c r="BV139" s="55">
        <f t="shared" si="841"/>
        <v>0.60999999999999976</v>
      </c>
      <c r="BW139" s="55">
        <f t="shared" si="841"/>
        <v>0.58999999999999975</v>
      </c>
      <c r="BX139" s="55">
        <f t="shared" si="841"/>
        <v>0.56999999999999973</v>
      </c>
      <c r="BZ139" s="55">
        <f t="shared" si="508"/>
        <v>0</v>
      </c>
      <c r="CA139" s="55">
        <f t="shared" si="509"/>
        <v>0</v>
      </c>
      <c r="CB139" s="59">
        <f t="shared" si="842"/>
        <v>0</v>
      </c>
      <c r="CC139" s="55">
        <f t="shared" si="843"/>
        <v>0</v>
      </c>
      <c r="CD139" s="59">
        <f t="shared" si="844"/>
        <v>0</v>
      </c>
      <c r="CE139" s="55">
        <f t="shared" si="845"/>
        <v>0</v>
      </c>
      <c r="CF139" s="59">
        <f t="shared" si="846"/>
        <v>0</v>
      </c>
      <c r="CG139" s="55">
        <f t="shared" si="847"/>
        <v>0</v>
      </c>
      <c r="CH139" s="59">
        <f t="shared" si="848"/>
        <v>0</v>
      </c>
      <c r="CI139" s="57">
        <f t="shared" si="849"/>
        <v>0</v>
      </c>
      <c r="CJ139" s="59">
        <f t="shared" si="850"/>
        <v>0</v>
      </c>
      <c r="CK139" s="55">
        <f t="shared" si="851"/>
        <v>0</v>
      </c>
      <c r="CL139" s="59">
        <f t="shared" si="852"/>
        <v>0</v>
      </c>
      <c r="CM139" s="57">
        <f t="shared" si="853"/>
        <v>0</v>
      </c>
      <c r="CN139" s="59">
        <f t="shared" si="854"/>
        <v>0</v>
      </c>
      <c r="CO139" s="60">
        <f t="shared" si="855"/>
        <v>0</v>
      </c>
      <c r="CP139" s="59">
        <f t="shared" si="856"/>
        <v>0</v>
      </c>
      <c r="CQ139" s="57">
        <f t="shared" si="857"/>
        <v>0</v>
      </c>
      <c r="CR139" s="59">
        <f t="shared" si="858"/>
        <v>0</v>
      </c>
      <c r="CS139" s="55">
        <f t="shared" si="859"/>
        <v>0</v>
      </c>
      <c r="CT139" s="59">
        <f t="shared" si="860"/>
        <v>0</v>
      </c>
      <c r="CU139" s="60">
        <f t="shared" si="861"/>
        <v>0</v>
      </c>
      <c r="CV139" s="59">
        <f t="shared" si="862"/>
        <v>0</v>
      </c>
      <c r="CW139" s="60">
        <f t="shared" si="863"/>
        <v>0</v>
      </c>
      <c r="CX139" s="59">
        <f t="shared" si="864"/>
        <v>0</v>
      </c>
      <c r="CY139" s="60">
        <f t="shared" si="865"/>
        <v>0</v>
      </c>
      <c r="CZ139" s="59">
        <f t="shared" si="866"/>
        <v>0</v>
      </c>
      <c r="DA139" s="55">
        <f t="shared" si="867"/>
        <v>0</v>
      </c>
      <c r="DB139" s="59">
        <f t="shared" si="868"/>
        <v>0</v>
      </c>
      <c r="DC139" s="60">
        <f t="shared" si="869"/>
        <v>0</v>
      </c>
      <c r="DD139" s="59">
        <f t="shared" si="870"/>
        <v>0</v>
      </c>
      <c r="DE139" s="60">
        <f t="shared" si="871"/>
        <v>0</v>
      </c>
      <c r="DF139" s="59">
        <f t="shared" si="872"/>
        <v>0</v>
      </c>
      <c r="DG139" s="60">
        <f t="shared" si="873"/>
        <v>0</v>
      </c>
      <c r="DH139" s="59">
        <f t="shared" si="874"/>
        <v>0</v>
      </c>
      <c r="DI139" s="60">
        <f t="shared" si="875"/>
        <v>0</v>
      </c>
      <c r="DJ139" s="59">
        <f t="shared" si="876"/>
        <v>0</v>
      </c>
      <c r="DK139" s="55">
        <f t="shared" si="877"/>
        <v>0</v>
      </c>
      <c r="DL139" s="59">
        <f t="shared" si="878"/>
        <v>0</v>
      </c>
      <c r="DM139" s="60">
        <f t="shared" si="879"/>
        <v>0</v>
      </c>
      <c r="DN139" s="59">
        <f t="shared" si="880"/>
        <v>0</v>
      </c>
      <c r="DO139" s="60">
        <f t="shared" si="881"/>
        <v>0</v>
      </c>
      <c r="DP139" s="59">
        <f t="shared" si="882"/>
        <v>0</v>
      </c>
      <c r="DQ139" s="55">
        <f t="shared" si="883"/>
        <v>0</v>
      </c>
      <c r="DR139" s="59">
        <f t="shared" si="88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30">+DX139-0.02</f>
        <v>0.91</v>
      </c>
      <c r="DZ139" s="55">
        <f t="shared" si="930"/>
        <v>0.89</v>
      </c>
      <c r="EA139" s="55">
        <f t="shared" si="930"/>
        <v>0.87</v>
      </c>
      <c r="EB139" s="55">
        <f t="shared" si="930"/>
        <v>0.85</v>
      </c>
      <c r="EC139" s="55">
        <f t="shared" si="930"/>
        <v>0.83</v>
      </c>
      <c r="ED139" s="55">
        <f t="shared" si="930"/>
        <v>0.80999999999999994</v>
      </c>
      <c r="EE139" s="55">
        <f t="shared" si="930"/>
        <v>0.78999999999999992</v>
      </c>
      <c r="EF139" s="55">
        <f t="shared" si="930"/>
        <v>0.76999999999999991</v>
      </c>
      <c r="EG139" s="55">
        <f t="shared" si="930"/>
        <v>0.74999999999999989</v>
      </c>
      <c r="EH139" s="55">
        <f t="shared" si="930"/>
        <v>0.72999999999999987</v>
      </c>
      <c r="EI139" s="55">
        <f t="shared" si="930"/>
        <v>0.70999999999999985</v>
      </c>
      <c r="EJ139" s="55">
        <f t="shared" si="930"/>
        <v>0.68999999999999984</v>
      </c>
      <c r="EK139" s="55">
        <f t="shared" si="930"/>
        <v>0.66999999999999982</v>
      </c>
      <c r="EL139" s="55">
        <f t="shared" si="930"/>
        <v>0.6499999999999998</v>
      </c>
      <c r="EM139" s="55">
        <f t="shared" si="930"/>
        <v>0.62999999999999978</v>
      </c>
      <c r="EN139" s="55">
        <f t="shared" si="930"/>
        <v>0.60999999999999976</v>
      </c>
      <c r="EO139" s="55">
        <f t="shared" si="930"/>
        <v>0.58999999999999975</v>
      </c>
      <c r="EP139" s="55">
        <f t="shared" si="930"/>
        <v>0.56999999999999973</v>
      </c>
      <c r="ER139" s="55">
        <f t="shared" si="648"/>
        <v>0</v>
      </c>
      <c r="ES139" s="55">
        <f t="shared" si="510"/>
        <v>0</v>
      </c>
      <c r="ET139" s="59">
        <f t="shared" si="885"/>
        <v>0</v>
      </c>
      <c r="EU139" s="55">
        <f t="shared" si="886"/>
        <v>0</v>
      </c>
      <c r="EV139" s="59">
        <f t="shared" si="887"/>
        <v>0</v>
      </c>
      <c r="EW139" s="55">
        <f t="shared" si="888"/>
        <v>0</v>
      </c>
      <c r="EX139" s="59">
        <f t="shared" si="889"/>
        <v>0</v>
      </c>
      <c r="EY139" s="55">
        <f t="shared" si="890"/>
        <v>0</v>
      </c>
      <c r="EZ139" s="59">
        <f t="shared" si="891"/>
        <v>0</v>
      </c>
      <c r="FA139" s="57">
        <f t="shared" si="892"/>
        <v>0</v>
      </c>
      <c r="FB139" s="59">
        <f t="shared" si="893"/>
        <v>0</v>
      </c>
      <c r="FC139" s="55">
        <f t="shared" si="894"/>
        <v>0</v>
      </c>
      <c r="FD139" s="59">
        <f t="shared" si="895"/>
        <v>0</v>
      </c>
      <c r="FE139" s="57">
        <f t="shared" si="896"/>
        <v>0</v>
      </c>
      <c r="FF139" s="59">
        <f t="shared" si="897"/>
        <v>0</v>
      </c>
      <c r="FG139" s="60">
        <f t="shared" si="898"/>
        <v>0</v>
      </c>
      <c r="FH139" s="59">
        <f t="shared" si="899"/>
        <v>0</v>
      </c>
      <c r="FI139" s="57">
        <f t="shared" si="900"/>
        <v>0</v>
      </c>
      <c r="FJ139" s="59">
        <f t="shared" si="901"/>
        <v>0</v>
      </c>
      <c r="FK139" s="55">
        <f t="shared" si="902"/>
        <v>0</v>
      </c>
      <c r="FL139" s="59">
        <f t="shared" si="903"/>
        <v>0</v>
      </c>
      <c r="FM139" s="60">
        <f t="shared" si="904"/>
        <v>0</v>
      </c>
      <c r="FN139" s="59">
        <f t="shared" si="905"/>
        <v>0</v>
      </c>
      <c r="FO139" s="60">
        <f t="shared" si="906"/>
        <v>0</v>
      </c>
      <c r="FP139" s="59">
        <f t="shared" si="907"/>
        <v>0</v>
      </c>
      <c r="FQ139" s="60">
        <f t="shared" si="908"/>
        <v>0</v>
      </c>
      <c r="FR139" s="59">
        <f t="shared" si="909"/>
        <v>0</v>
      </c>
      <c r="FS139" s="55">
        <f t="shared" si="910"/>
        <v>0</v>
      </c>
      <c r="FT139" s="59">
        <f t="shared" si="911"/>
        <v>0</v>
      </c>
      <c r="FU139" s="60">
        <f t="shared" si="912"/>
        <v>0</v>
      </c>
      <c r="FV139" s="59">
        <f t="shared" si="913"/>
        <v>0</v>
      </c>
      <c r="FW139" s="60">
        <f t="shared" si="914"/>
        <v>0</v>
      </c>
      <c r="FX139" s="59">
        <f t="shared" si="915"/>
        <v>0</v>
      </c>
      <c r="FY139" s="60">
        <f t="shared" si="916"/>
        <v>0</v>
      </c>
      <c r="FZ139" s="59">
        <f t="shared" si="917"/>
        <v>0</v>
      </c>
      <c r="GA139" s="60">
        <f t="shared" si="918"/>
        <v>0</v>
      </c>
      <c r="GB139" s="59">
        <f t="shared" si="919"/>
        <v>0</v>
      </c>
      <c r="GC139" s="55">
        <f t="shared" si="920"/>
        <v>0</v>
      </c>
      <c r="GD139" s="59">
        <f t="shared" si="921"/>
        <v>0</v>
      </c>
      <c r="GE139" s="60">
        <f t="shared" si="922"/>
        <v>0</v>
      </c>
      <c r="GF139" s="59">
        <f t="shared" si="923"/>
        <v>0</v>
      </c>
      <c r="GG139" s="60">
        <f t="shared" si="924"/>
        <v>0</v>
      </c>
      <c r="GH139" s="59">
        <f t="shared" si="925"/>
        <v>0</v>
      </c>
      <c r="GI139" s="55">
        <f t="shared" si="926"/>
        <v>0</v>
      </c>
      <c r="GJ139" s="59">
        <f t="shared" si="92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31">+GP139-0.02</f>
        <v>0.91</v>
      </c>
      <c r="GR139" s="55">
        <f t="shared" si="931"/>
        <v>0.89</v>
      </c>
      <c r="GS139" s="55">
        <f t="shared" si="931"/>
        <v>0.87</v>
      </c>
      <c r="GT139" s="55">
        <f t="shared" si="931"/>
        <v>0.85</v>
      </c>
      <c r="GU139" s="55">
        <f t="shared" si="931"/>
        <v>0.83</v>
      </c>
      <c r="GV139" s="55">
        <f t="shared" si="931"/>
        <v>0.80999999999999994</v>
      </c>
      <c r="GW139" s="55">
        <f t="shared" si="931"/>
        <v>0.78999999999999992</v>
      </c>
      <c r="GX139" s="55">
        <f t="shared" si="931"/>
        <v>0.76999999999999991</v>
      </c>
      <c r="GY139" s="55">
        <f t="shared" si="931"/>
        <v>0.74999999999999989</v>
      </c>
      <c r="GZ139" s="55">
        <f t="shared" si="931"/>
        <v>0.72999999999999987</v>
      </c>
      <c r="HA139" s="55">
        <f t="shared" si="931"/>
        <v>0.70999999999999985</v>
      </c>
      <c r="HB139" s="55">
        <f t="shared" si="931"/>
        <v>0.68999999999999984</v>
      </c>
      <c r="HC139" s="55">
        <f t="shared" si="931"/>
        <v>0.66999999999999982</v>
      </c>
      <c r="HD139" s="55">
        <f t="shared" si="931"/>
        <v>0.6499999999999998</v>
      </c>
      <c r="HE139" s="55">
        <f t="shared" si="931"/>
        <v>0.62999999999999978</v>
      </c>
      <c r="HF139" s="55">
        <f t="shared" si="931"/>
        <v>0.60999999999999976</v>
      </c>
      <c r="HG139" s="55">
        <f t="shared" si="931"/>
        <v>0.58999999999999975</v>
      </c>
      <c r="HH139" s="55">
        <f t="shared" si="93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31740</v>
      </c>
      <c r="E140" s="39">
        <f>SUM(E130:E139)</f>
        <v>104910</v>
      </c>
      <c r="H140" s="55">
        <f t="shared" si="505"/>
        <v>115401.00000000001</v>
      </c>
      <c r="I140" s="55">
        <f t="shared" si="506"/>
        <v>115401.00000000001</v>
      </c>
      <c r="J140" s="59">
        <f t="shared" si="507"/>
        <v>381492.62580000004</v>
      </c>
      <c r="K140" s="55">
        <f t="shared" si="799"/>
        <v>111938.97000000002</v>
      </c>
      <c r="L140" s="59">
        <f t="shared" si="800"/>
        <v>370047.84702600003</v>
      </c>
      <c r="M140" s="55">
        <f t="shared" si="801"/>
        <v>109630.95000000001</v>
      </c>
      <c r="N140" s="59">
        <f t="shared" si="802"/>
        <v>362417.99451000005</v>
      </c>
      <c r="O140" s="55">
        <f t="shared" si="803"/>
        <v>107322.93000000002</v>
      </c>
      <c r="P140" s="59">
        <f t="shared" si="804"/>
        <v>354788.14199400006</v>
      </c>
      <c r="Q140" s="57">
        <f t="shared" si="805"/>
        <v>105014.91000000002</v>
      </c>
      <c r="R140" s="59">
        <f t="shared" si="806"/>
        <v>347158.28947800008</v>
      </c>
      <c r="S140" s="55">
        <f t="shared" si="807"/>
        <v>102706.89000000001</v>
      </c>
      <c r="T140" s="59">
        <f t="shared" si="808"/>
        <v>339528.43696200004</v>
      </c>
      <c r="U140" s="57">
        <f t="shared" si="809"/>
        <v>100398.87000000001</v>
      </c>
      <c r="V140" s="59">
        <f t="shared" si="810"/>
        <v>331898.58444600005</v>
      </c>
      <c r="W140" s="60">
        <f t="shared" si="811"/>
        <v>98090.85</v>
      </c>
      <c r="X140" s="59">
        <f t="shared" si="812"/>
        <v>324268.73193000001</v>
      </c>
      <c r="Y140" s="57">
        <f t="shared" si="813"/>
        <v>95782.83</v>
      </c>
      <c r="Z140" s="59">
        <f t="shared" si="814"/>
        <v>316638.87941400002</v>
      </c>
      <c r="AA140" s="55">
        <f t="shared" si="815"/>
        <v>93474.810000000012</v>
      </c>
      <c r="AB140" s="59">
        <f t="shared" si="816"/>
        <v>309009.02689800004</v>
      </c>
      <c r="AC140" s="60">
        <f t="shared" si="817"/>
        <v>91166.790000000008</v>
      </c>
      <c r="AD140" s="59">
        <f t="shared" si="818"/>
        <v>301379.17438200006</v>
      </c>
      <c r="AE140" s="60">
        <f t="shared" si="819"/>
        <v>88858.77</v>
      </c>
      <c r="AF140" s="59">
        <f t="shared" si="820"/>
        <v>293749.32186600001</v>
      </c>
      <c r="AG140" s="60">
        <f t="shared" si="821"/>
        <v>86550.75</v>
      </c>
      <c r="AH140" s="59">
        <f t="shared" si="822"/>
        <v>286119.46935000003</v>
      </c>
      <c r="AI140" s="55">
        <f t="shared" si="823"/>
        <v>84242.73</v>
      </c>
      <c r="AJ140" s="59">
        <f t="shared" si="824"/>
        <v>278489.61683399999</v>
      </c>
      <c r="AK140" s="60">
        <f t="shared" si="825"/>
        <v>81934.709999999992</v>
      </c>
      <c r="AL140" s="59">
        <f t="shared" si="826"/>
        <v>270859.764318</v>
      </c>
      <c r="AM140" s="60">
        <f t="shared" si="827"/>
        <v>79626.689999999988</v>
      </c>
      <c r="AN140" s="59">
        <f t="shared" si="828"/>
        <v>263229.91180199996</v>
      </c>
      <c r="AO140" s="60">
        <f t="shared" si="829"/>
        <v>77318.669999999984</v>
      </c>
      <c r="AP140" s="59">
        <f t="shared" si="830"/>
        <v>255600.05928599995</v>
      </c>
      <c r="AQ140" s="60">
        <f t="shared" si="831"/>
        <v>75010.64999999998</v>
      </c>
      <c r="AR140" s="59">
        <f t="shared" si="832"/>
        <v>247970.20676999993</v>
      </c>
      <c r="AS140" s="55">
        <f t="shared" si="833"/>
        <v>72702.62999999999</v>
      </c>
      <c r="AT140" s="59">
        <f t="shared" si="834"/>
        <v>240340.35425399998</v>
      </c>
      <c r="AU140" s="60">
        <f t="shared" si="835"/>
        <v>70394.609999999986</v>
      </c>
      <c r="AV140" s="59">
        <f t="shared" si="836"/>
        <v>232710.50173799996</v>
      </c>
      <c r="AW140" s="60">
        <f t="shared" si="837"/>
        <v>68086.589999999982</v>
      </c>
      <c r="AX140" s="59">
        <f t="shared" si="838"/>
        <v>225080.64922199995</v>
      </c>
      <c r="AY140" s="55">
        <f t="shared" si="839"/>
        <v>65778.569999999978</v>
      </c>
      <c r="AZ140" s="59">
        <f t="shared" si="840"/>
        <v>217450.79670599994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41"/>
        <v>0.91</v>
      </c>
      <c r="BH140" s="55">
        <f t="shared" si="841"/>
        <v>0.89</v>
      </c>
      <c r="BI140" s="55">
        <f t="shared" si="841"/>
        <v>0.87</v>
      </c>
      <c r="BJ140" s="55">
        <f t="shared" si="841"/>
        <v>0.85</v>
      </c>
      <c r="BK140" s="55">
        <f t="shared" si="841"/>
        <v>0.83</v>
      </c>
      <c r="BL140" s="55">
        <f t="shared" si="841"/>
        <v>0.80999999999999994</v>
      </c>
      <c r="BM140" s="55">
        <f t="shared" si="841"/>
        <v>0.78999999999999992</v>
      </c>
      <c r="BN140" s="55">
        <f t="shared" si="841"/>
        <v>0.76999999999999991</v>
      </c>
      <c r="BO140" s="55">
        <f t="shared" si="841"/>
        <v>0.74999999999999989</v>
      </c>
      <c r="BP140" s="55">
        <f t="shared" si="841"/>
        <v>0.72999999999999987</v>
      </c>
      <c r="BQ140" s="55">
        <f t="shared" si="841"/>
        <v>0.70999999999999985</v>
      </c>
      <c r="BR140" s="55">
        <f t="shared" si="841"/>
        <v>0.68999999999999984</v>
      </c>
      <c r="BS140" s="55">
        <f t="shared" si="841"/>
        <v>0.66999999999999982</v>
      </c>
      <c r="BT140" s="55">
        <f t="shared" si="841"/>
        <v>0.6499999999999998</v>
      </c>
      <c r="BU140" s="55">
        <f t="shared" si="841"/>
        <v>0.62999999999999978</v>
      </c>
      <c r="BV140" s="55">
        <f t="shared" si="841"/>
        <v>0.60999999999999976</v>
      </c>
      <c r="BW140" s="55">
        <f t="shared" si="841"/>
        <v>0.58999999999999975</v>
      </c>
      <c r="BX140" s="55">
        <f t="shared" si="841"/>
        <v>0.56999999999999973</v>
      </c>
      <c r="BZ140" s="55">
        <f t="shared" si="508"/>
        <v>105014.91000000002</v>
      </c>
      <c r="CA140" s="55">
        <f t="shared" si="509"/>
        <v>105014.91000000002</v>
      </c>
      <c r="CB140" s="59">
        <f t="shared" si="842"/>
        <v>347158.28947800008</v>
      </c>
      <c r="CC140" s="55">
        <f t="shared" si="843"/>
        <v>101864.46270000002</v>
      </c>
      <c r="CD140" s="59">
        <f t="shared" si="844"/>
        <v>336743.54079366004</v>
      </c>
      <c r="CE140" s="55">
        <f t="shared" si="845"/>
        <v>99764.164500000014</v>
      </c>
      <c r="CF140" s="59">
        <f t="shared" si="846"/>
        <v>329800.37500410003</v>
      </c>
      <c r="CG140" s="55">
        <f t="shared" si="847"/>
        <v>97663.866300000023</v>
      </c>
      <c r="CH140" s="59">
        <f t="shared" si="848"/>
        <v>322857.20921454008</v>
      </c>
      <c r="CI140" s="57">
        <f t="shared" si="849"/>
        <v>95563.568100000019</v>
      </c>
      <c r="CJ140" s="59">
        <f t="shared" si="850"/>
        <v>315914.04342498007</v>
      </c>
      <c r="CK140" s="55">
        <f t="shared" si="851"/>
        <v>93463.269900000014</v>
      </c>
      <c r="CL140" s="59">
        <f t="shared" si="852"/>
        <v>308970.87763542007</v>
      </c>
      <c r="CM140" s="57">
        <f t="shared" si="853"/>
        <v>91362.971700000009</v>
      </c>
      <c r="CN140" s="59">
        <f t="shared" si="854"/>
        <v>302027.71184586006</v>
      </c>
      <c r="CO140" s="60">
        <f t="shared" si="855"/>
        <v>89262.673500000019</v>
      </c>
      <c r="CP140" s="59">
        <f t="shared" si="856"/>
        <v>295084.54605630005</v>
      </c>
      <c r="CQ140" s="57">
        <f t="shared" si="857"/>
        <v>87162.375300000014</v>
      </c>
      <c r="CR140" s="59">
        <f t="shared" si="858"/>
        <v>288141.38026674005</v>
      </c>
      <c r="CS140" s="55">
        <f t="shared" si="859"/>
        <v>85062.07710000001</v>
      </c>
      <c r="CT140" s="59">
        <f t="shared" si="860"/>
        <v>281198.21447718004</v>
      </c>
      <c r="CU140" s="60">
        <f t="shared" si="861"/>
        <v>82961.778900000005</v>
      </c>
      <c r="CV140" s="59">
        <f t="shared" si="862"/>
        <v>274255.04868762003</v>
      </c>
      <c r="CW140" s="60">
        <f t="shared" si="863"/>
        <v>80861.4807</v>
      </c>
      <c r="CX140" s="59">
        <f t="shared" si="864"/>
        <v>267311.88289806002</v>
      </c>
      <c r="CY140" s="60">
        <f t="shared" si="865"/>
        <v>78761.182499999995</v>
      </c>
      <c r="CZ140" s="59">
        <f t="shared" si="866"/>
        <v>260368.71710849999</v>
      </c>
      <c r="DA140" s="55">
        <f t="shared" si="867"/>
        <v>76660.884300000005</v>
      </c>
      <c r="DB140" s="59">
        <f t="shared" si="868"/>
        <v>253425.55131894001</v>
      </c>
      <c r="DC140" s="60">
        <f t="shared" si="869"/>
        <v>74560.5861</v>
      </c>
      <c r="DD140" s="59">
        <f t="shared" si="870"/>
        <v>246482.38552938</v>
      </c>
      <c r="DE140" s="60">
        <f t="shared" si="871"/>
        <v>72460.287899999996</v>
      </c>
      <c r="DF140" s="59">
        <f t="shared" si="872"/>
        <v>239539.21973981999</v>
      </c>
      <c r="DG140" s="60">
        <f t="shared" si="873"/>
        <v>70359.989699999991</v>
      </c>
      <c r="DH140" s="59">
        <f t="shared" si="874"/>
        <v>232596.05395025999</v>
      </c>
      <c r="DI140" s="60">
        <f t="shared" si="875"/>
        <v>68259.691499999986</v>
      </c>
      <c r="DJ140" s="59">
        <f t="shared" si="876"/>
        <v>225652.88816069995</v>
      </c>
      <c r="DK140" s="55">
        <f t="shared" si="877"/>
        <v>66159.393299999982</v>
      </c>
      <c r="DL140" s="59">
        <f t="shared" si="878"/>
        <v>218709.72237113994</v>
      </c>
      <c r="DM140" s="60">
        <f t="shared" si="879"/>
        <v>64059.095099999984</v>
      </c>
      <c r="DN140" s="59">
        <f t="shared" si="880"/>
        <v>211766.55658157996</v>
      </c>
      <c r="DO140" s="60">
        <f t="shared" si="881"/>
        <v>61958.796899999987</v>
      </c>
      <c r="DP140" s="59">
        <f t="shared" si="882"/>
        <v>204823.39079201996</v>
      </c>
      <c r="DQ140" s="55">
        <f t="shared" si="883"/>
        <v>59858.498699999982</v>
      </c>
      <c r="DR140" s="59">
        <f t="shared" si="884"/>
        <v>197880.22500245995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30"/>
        <v>0.91</v>
      </c>
      <c r="DZ140" s="55">
        <f t="shared" si="930"/>
        <v>0.89</v>
      </c>
      <c r="EA140" s="55">
        <f t="shared" si="930"/>
        <v>0.87</v>
      </c>
      <c r="EB140" s="55">
        <f t="shared" si="930"/>
        <v>0.85</v>
      </c>
      <c r="EC140" s="55">
        <f t="shared" si="930"/>
        <v>0.83</v>
      </c>
      <c r="ED140" s="55">
        <f t="shared" si="930"/>
        <v>0.80999999999999994</v>
      </c>
      <c r="EE140" s="55">
        <f t="shared" si="930"/>
        <v>0.78999999999999992</v>
      </c>
      <c r="EF140" s="55">
        <f t="shared" si="930"/>
        <v>0.76999999999999991</v>
      </c>
      <c r="EG140" s="55">
        <f t="shared" si="930"/>
        <v>0.74999999999999989</v>
      </c>
      <c r="EH140" s="55">
        <f t="shared" si="930"/>
        <v>0.72999999999999987</v>
      </c>
      <c r="EI140" s="55">
        <f t="shared" si="930"/>
        <v>0.70999999999999985</v>
      </c>
      <c r="EJ140" s="55">
        <f t="shared" si="930"/>
        <v>0.68999999999999984</v>
      </c>
      <c r="EK140" s="55">
        <f t="shared" si="930"/>
        <v>0.66999999999999982</v>
      </c>
      <c r="EL140" s="55">
        <f t="shared" si="930"/>
        <v>0.6499999999999998</v>
      </c>
      <c r="EM140" s="55">
        <f t="shared" si="930"/>
        <v>0.62999999999999978</v>
      </c>
      <c r="EN140" s="55">
        <f t="shared" si="930"/>
        <v>0.60999999999999976</v>
      </c>
      <c r="EO140" s="55">
        <f t="shared" si="930"/>
        <v>0.58999999999999975</v>
      </c>
      <c r="EP140" s="55">
        <f t="shared" si="930"/>
        <v>0.56999999999999973</v>
      </c>
      <c r="ER140" s="55">
        <f t="shared" si="648"/>
        <v>95563.568100000019</v>
      </c>
      <c r="ES140" s="55">
        <f t="shared" si="510"/>
        <v>95563.568100000019</v>
      </c>
      <c r="ET140" s="59">
        <f t="shared" si="885"/>
        <v>315914.04342498007</v>
      </c>
      <c r="EU140" s="55">
        <f t="shared" si="886"/>
        <v>92696.661057000019</v>
      </c>
      <c r="EV140" s="59">
        <f t="shared" si="887"/>
        <v>306436.62212223065</v>
      </c>
      <c r="EW140" s="55">
        <f t="shared" si="888"/>
        <v>90785.38969500002</v>
      </c>
      <c r="EX140" s="59">
        <f t="shared" si="889"/>
        <v>300118.34125373105</v>
      </c>
      <c r="EY140" s="55">
        <f t="shared" si="890"/>
        <v>88874.11833300002</v>
      </c>
      <c r="EZ140" s="59">
        <f t="shared" si="891"/>
        <v>293800.06038523145</v>
      </c>
      <c r="FA140" s="57">
        <f t="shared" si="892"/>
        <v>86962.846971000021</v>
      </c>
      <c r="FB140" s="59">
        <f t="shared" si="893"/>
        <v>287481.77951673185</v>
      </c>
      <c r="FC140" s="55">
        <f t="shared" si="894"/>
        <v>85051.575609000021</v>
      </c>
      <c r="FD140" s="59">
        <f t="shared" si="895"/>
        <v>281163.49864823226</v>
      </c>
      <c r="FE140" s="57">
        <f t="shared" si="896"/>
        <v>83140.304247000022</v>
      </c>
      <c r="FF140" s="59">
        <f t="shared" si="897"/>
        <v>274845.21777973266</v>
      </c>
      <c r="FG140" s="60">
        <f t="shared" si="898"/>
        <v>81229.032885000008</v>
      </c>
      <c r="FH140" s="59">
        <f t="shared" si="899"/>
        <v>268526.93691123306</v>
      </c>
      <c r="FI140" s="57">
        <f t="shared" si="900"/>
        <v>79317.761523000008</v>
      </c>
      <c r="FJ140" s="59">
        <f t="shared" si="901"/>
        <v>262208.6560427334</v>
      </c>
      <c r="FK140" s="55">
        <f t="shared" si="902"/>
        <v>77406.490161000009</v>
      </c>
      <c r="FL140" s="59">
        <f t="shared" si="903"/>
        <v>255890.37517423384</v>
      </c>
      <c r="FM140" s="60">
        <f t="shared" si="904"/>
        <v>75495.218799000009</v>
      </c>
      <c r="FN140" s="59">
        <f t="shared" si="905"/>
        <v>249572.09430573424</v>
      </c>
      <c r="FO140" s="60">
        <f t="shared" si="906"/>
        <v>73583.94743700001</v>
      </c>
      <c r="FP140" s="59">
        <f t="shared" si="907"/>
        <v>243253.81343723464</v>
      </c>
      <c r="FQ140" s="60">
        <f t="shared" si="908"/>
        <v>71672.67607500001</v>
      </c>
      <c r="FR140" s="59">
        <f t="shared" si="909"/>
        <v>236935.53256873504</v>
      </c>
      <c r="FS140" s="55">
        <f t="shared" si="910"/>
        <v>69761.404712999996</v>
      </c>
      <c r="FT140" s="59">
        <f t="shared" si="911"/>
        <v>230617.25170023539</v>
      </c>
      <c r="FU140" s="60">
        <f t="shared" si="912"/>
        <v>67850.133350999997</v>
      </c>
      <c r="FV140" s="59">
        <f t="shared" si="913"/>
        <v>224298.97083173579</v>
      </c>
      <c r="FW140" s="60">
        <f t="shared" si="914"/>
        <v>65938.861988999997</v>
      </c>
      <c r="FX140" s="59">
        <f t="shared" si="915"/>
        <v>217980.68996323619</v>
      </c>
      <c r="FY140" s="60">
        <f t="shared" si="916"/>
        <v>64027.590626999998</v>
      </c>
      <c r="FZ140" s="59">
        <f t="shared" si="917"/>
        <v>211662.40909473659</v>
      </c>
      <c r="GA140" s="60">
        <f t="shared" si="918"/>
        <v>62116.319264999991</v>
      </c>
      <c r="GB140" s="59">
        <f t="shared" si="919"/>
        <v>205344.12822623696</v>
      </c>
      <c r="GC140" s="55">
        <f t="shared" si="920"/>
        <v>60205.047902999991</v>
      </c>
      <c r="GD140" s="59">
        <f t="shared" si="921"/>
        <v>199025.84735773737</v>
      </c>
      <c r="GE140" s="60">
        <f t="shared" si="922"/>
        <v>58293.776540999992</v>
      </c>
      <c r="GF140" s="59">
        <f t="shared" si="923"/>
        <v>192707.56648923777</v>
      </c>
      <c r="GG140" s="60">
        <f t="shared" si="924"/>
        <v>56382.505178999985</v>
      </c>
      <c r="GH140" s="59">
        <f t="shared" si="925"/>
        <v>186389.28562073814</v>
      </c>
      <c r="GI140" s="55">
        <f t="shared" si="926"/>
        <v>54471.233816999986</v>
      </c>
      <c r="GJ140" s="59">
        <f t="shared" si="927"/>
        <v>180071.00475223854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31"/>
        <v>0.91</v>
      </c>
      <c r="GR140" s="55">
        <f t="shared" si="931"/>
        <v>0.89</v>
      </c>
      <c r="GS140" s="55">
        <f t="shared" si="931"/>
        <v>0.87</v>
      </c>
      <c r="GT140" s="55">
        <f t="shared" si="931"/>
        <v>0.85</v>
      </c>
      <c r="GU140" s="55">
        <f t="shared" si="931"/>
        <v>0.83</v>
      </c>
      <c r="GV140" s="55">
        <f t="shared" si="931"/>
        <v>0.80999999999999994</v>
      </c>
      <c r="GW140" s="55">
        <f t="shared" si="931"/>
        <v>0.78999999999999992</v>
      </c>
      <c r="GX140" s="55">
        <f t="shared" si="931"/>
        <v>0.76999999999999991</v>
      </c>
      <c r="GY140" s="55">
        <f t="shared" si="931"/>
        <v>0.74999999999999989</v>
      </c>
      <c r="GZ140" s="55">
        <f t="shared" si="931"/>
        <v>0.72999999999999987</v>
      </c>
      <c r="HA140" s="55">
        <f t="shared" si="931"/>
        <v>0.70999999999999985</v>
      </c>
      <c r="HB140" s="55">
        <f t="shared" si="931"/>
        <v>0.68999999999999984</v>
      </c>
      <c r="HC140" s="55">
        <f t="shared" si="931"/>
        <v>0.66999999999999982</v>
      </c>
      <c r="HD140" s="55">
        <f t="shared" si="931"/>
        <v>0.6499999999999998</v>
      </c>
      <c r="HE140" s="55">
        <f t="shared" si="931"/>
        <v>0.62999999999999978</v>
      </c>
      <c r="HF140" s="55">
        <f t="shared" si="931"/>
        <v>0.60999999999999976</v>
      </c>
      <c r="HG140" s="55">
        <f t="shared" si="931"/>
        <v>0.58999999999999975</v>
      </c>
      <c r="HH140" s="55">
        <f t="shared" si="93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3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33">+DW141-0.02</f>
        <v>0.91</v>
      </c>
      <c r="DY141" s="61">
        <f t="shared" si="933"/>
        <v>0.89</v>
      </c>
      <c r="DZ141" s="61">
        <f t="shared" si="933"/>
        <v>0.87</v>
      </c>
      <c r="EA141" s="61">
        <f t="shared" si="933"/>
        <v>0.85</v>
      </c>
      <c r="EB141" s="61">
        <f t="shared" si="933"/>
        <v>0.83</v>
      </c>
      <c r="EC141" s="61">
        <f t="shared" si="933"/>
        <v>0.80999999999999994</v>
      </c>
      <c r="ED141" s="61">
        <f t="shared" si="933"/>
        <v>0.78999999999999992</v>
      </c>
      <c r="EE141" s="61">
        <f t="shared" si="933"/>
        <v>0.76999999999999991</v>
      </c>
      <c r="EF141" s="61">
        <f t="shared" si="933"/>
        <v>0.74999999999999989</v>
      </c>
      <c r="EG141" s="61">
        <f t="shared" si="933"/>
        <v>0.72999999999999987</v>
      </c>
      <c r="EH141" s="61">
        <f t="shared" si="933"/>
        <v>0.70999999999999985</v>
      </c>
      <c r="EI141" s="61">
        <f t="shared" si="933"/>
        <v>0.68999999999999984</v>
      </c>
      <c r="EJ141" s="61">
        <f t="shared" si="933"/>
        <v>0.66999999999999982</v>
      </c>
      <c r="EK141" s="61">
        <f t="shared" si="933"/>
        <v>0.6499999999999998</v>
      </c>
      <c r="EL141" s="61">
        <f t="shared" si="933"/>
        <v>0.62999999999999978</v>
      </c>
      <c r="EM141" s="61">
        <f t="shared" si="933"/>
        <v>0.60999999999999976</v>
      </c>
      <c r="EN141" s="61">
        <f t="shared" si="933"/>
        <v>0.58999999999999975</v>
      </c>
      <c r="EO141" s="61">
        <f t="shared" si="933"/>
        <v>0.56999999999999973</v>
      </c>
      <c r="EQ141" s="61">
        <f t="shared" ref="EQ141:EQ142" si="93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35">+GO141-0.02</f>
        <v>0.91</v>
      </c>
      <c r="GQ141" s="61">
        <f t="shared" si="935"/>
        <v>0.89</v>
      </c>
      <c r="GR141" s="61">
        <f t="shared" si="935"/>
        <v>0.87</v>
      </c>
      <c r="GS141" s="61">
        <f t="shared" si="935"/>
        <v>0.85</v>
      </c>
      <c r="GT141" s="61">
        <f t="shared" si="935"/>
        <v>0.83</v>
      </c>
      <c r="GU141" s="61">
        <f t="shared" si="935"/>
        <v>0.80999999999999994</v>
      </c>
      <c r="GV141" s="61">
        <f t="shared" si="935"/>
        <v>0.78999999999999992</v>
      </c>
      <c r="GW141" s="61">
        <f t="shared" si="935"/>
        <v>0.76999999999999991</v>
      </c>
      <c r="GX141" s="61">
        <f t="shared" si="935"/>
        <v>0.74999999999999989</v>
      </c>
      <c r="GY141" s="61">
        <f t="shared" si="935"/>
        <v>0.72999999999999987</v>
      </c>
      <c r="GZ141" s="61">
        <f t="shared" si="935"/>
        <v>0.70999999999999985</v>
      </c>
      <c r="HA141" s="61">
        <f t="shared" si="935"/>
        <v>0.68999999999999984</v>
      </c>
      <c r="HB141" s="61">
        <f t="shared" si="935"/>
        <v>0.66999999999999982</v>
      </c>
      <c r="HC141" s="61">
        <f t="shared" si="935"/>
        <v>0.6499999999999998</v>
      </c>
      <c r="HD141" s="61">
        <f t="shared" si="935"/>
        <v>0.62999999999999978</v>
      </c>
      <c r="HE141" s="61">
        <f t="shared" si="935"/>
        <v>0.60999999999999976</v>
      </c>
      <c r="HF141" s="61">
        <f t="shared" si="935"/>
        <v>0.58999999999999975</v>
      </c>
      <c r="HG141" s="61">
        <f t="shared" si="935"/>
        <v>0.56999999999999973</v>
      </c>
    </row>
    <row r="142" spans="1:216" s="64" customFormat="1" ht="17.25" thickBot="1" x14ac:dyDescent="0.35">
      <c r="B142" s="64" t="s">
        <v>302</v>
      </c>
      <c r="C142" s="64" t="s">
        <v>298</v>
      </c>
      <c r="D142" s="65" t="s">
        <v>272</v>
      </c>
      <c r="E142" s="65" t="s">
        <v>155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3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33"/>
        <v>0.91</v>
      </c>
      <c r="DY142" s="61">
        <f t="shared" si="933"/>
        <v>0.89</v>
      </c>
      <c r="DZ142" s="61">
        <f t="shared" si="933"/>
        <v>0.87</v>
      </c>
      <c r="EA142" s="61">
        <f t="shared" si="933"/>
        <v>0.85</v>
      </c>
      <c r="EB142" s="61">
        <f t="shared" si="933"/>
        <v>0.83</v>
      </c>
      <c r="EC142" s="61">
        <f t="shared" si="933"/>
        <v>0.80999999999999994</v>
      </c>
      <c r="ED142" s="61">
        <f t="shared" si="933"/>
        <v>0.78999999999999992</v>
      </c>
      <c r="EE142" s="61">
        <f t="shared" si="933"/>
        <v>0.76999999999999991</v>
      </c>
      <c r="EF142" s="61">
        <f t="shared" si="933"/>
        <v>0.74999999999999989</v>
      </c>
      <c r="EG142" s="61">
        <f t="shared" si="933"/>
        <v>0.72999999999999987</v>
      </c>
      <c r="EH142" s="61">
        <f t="shared" si="933"/>
        <v>0.70999999999999985</v>
      </c>
      <c r="EI142" s="61">
        <f t="shared" si="933"/>
        <v>0.68999999999999984</v>
      </c>
      <c r="EJ142" s="61">
        <f t="shared" si="933"/>
        <v>0.66999999999999982</v>
      </c>
      <c r="EK142" s="61">
        <f t="shared" si="933"/>
        <v>0.6499999999999998</v>
      </c>
      <c r="EL142" s="61">
        <f t="shared" si="933"/>
        <v>0.62999999999999978</v>
      </c>
      <c r="EM142" s="61">
        <f t="shared" si="933"/>
        <v>0.60999999999999976</v>
      </c>
      <c r="EN142" s="61">
        <f t="shared" si="933"/>
        <v>0.58999999999999975</v>
      </c>
      <c r="EO142" s="61">
        <f t="shared" si="933"/>
        <v>0.56999999999999973</v>
      </c>
      <c r="EQ142" s="61">
        <f t="shared" si="93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35"/>
        <v>0.91</v>
      </c>
      <c r="GQ142" s="61">
        <f t="shared" si="935"/>
        <v>0.89</v>
      </c>
      <c r="GR142" s="61">
        <f t="shared" si="935"/>
        <v>0.87</v>
      </c>
      <c r="GS142" s="61">
        <f t="shared" si="935"/>
        <v>0.85</v>
      </c>
      <c r="GT142" s="61">
        <f t="shared" si="935"/>
        <v>0.83</v>
      </c>
      <c r="GU142" s="61">
        <f t="shared" si="935"/>
        <v>0.80999999999999994</v>
      </c>
      <c r="GV142" s="61">
        <f t="shared" si="935"/>
        <v>0.78999999999999992</v>
      </c>
      <c r="GW142" s="61">
        <f t="shared" si="935"/>
        <v>0.76999999999999991</v>
      </c>
      <c r="GX142" s="61">
        <f t="shared" si="935"/>
        <v>0.74999999999999989</v>
      </c>
      <c r="GY142" s="61">
        <f t="shared" si="935"/>
        <v>0.72999999999999987</v>
      </c>
      <c r="GZ142" s="61">
        <f t="shared" si="935"/>
        <v>0.70999999999999985</v>
      </c>
      <c r="HA142" s="61">
        <f t="shared" si="935"/>
        <v>0.68999999999999984</v>
      </c>
      <c r="HB142" s="61">
        <f t="shared" si="935"/>
        <v>0.66999999999999982</v>
      </c>
      <c r="HC142" s="61">
        <f t="shared" si="935"/>
        <v>0.6499999999999998</v>
      </c>
      <c r="HD142" s="61">
        <f t="shared" si="935"/>
        <v>0.62999999999999978</v>
      </c>
      <c r="HE142" s="61">
        <f t="shared" si="935"/>
        <v>0.60999999999999976</v>
      </c>
      <c r="HF142" s="61">
        <f t="shared" si="935"/>
        <v>0.58999999999999975</v>
      </c>
      <c r="HG142" s="61">
        <f t="shared" si="935"/>
        <v>0.56999999999999973</v>
      </c>
    </row>
    <row r="143" spans="1:216" x14ac:dyDescent="0.3">
      <c r="A143" s="2">
        <v>1</v>
      </c>
      <c r="C143" s="38" t="s">
        <v>48</v>
      </c>
      <c r="D143" s="40">
        <v>0</v>
      </c>
      <c r="E143" s="70">
        <f>TRUNC(+D143*3.3058,-1)</f>
        <v>0</v>
      </c>
      <c r="H143" s="55">
        <f t="shared" si="505"/>
        <v>0</v>
      </c>
      <c r="I143" s="55">
        <f t="shared" si="506"/>
        <v>0</v>
      </c>
      <c r="J143" s="59">
        <f t="shared" si="507"/>
        <v>0</v>
      </c>
      <c r="K143" s="55">
        <f t="shared" ref="K143:K148" si="936">+I143*BD143</f>
        <v>0</v>
      </c>
      <c r="L143" s="59">
        <f t="shared" ref="L143:L148" si="937">+K143*3.3058</f>
        <v>0</v>
      </c>
      <c r="M143" s="55">
        <f t="shared" ref="M143:M148" si="938">+I143*BE143</f>
        <v>0</v>
      </c>
      <c r="N143" s="59">
        <f t="shared" ref="N143:N148" si="939">+M143*3.3058</f>
        <v>0</v>
      </c>
      <c r="O143" s="55">
        <f t="shared" ref="O143:O148" si="940">+I143*BF143</f>
        <v>0</v>
      </c>
      <c r="P143" s="59">
        <f t="shared" ref="P143:P148" si="941">+O143*3.3058</f>
        <v>0</v>
      </c>
      <c r="Q143" s="57">
        <f t="shared" ref="Q143:Q148" si="942">+I143*BG143</f>
        <v>0</v>
      </c>
      <c r="R143" s="59">
        <f t="shared" ref="R143:R148" si="943">+Q143*3.3058</f>
        <v>0</v>
      </c>
      <c r="S143" s="55">
        <f t="shared" ref="S143:S148" si="944">+I143*BH143</f>
        <v>0</v>
      </c>
      <c r="T143" s="59">
        <f t="shared" ref="T143:T148" si="945">+S143*3.3058</f>
        <v>0</v>
      </c>
      <c r="U143" s="57">
        <f t="shared" ref="U143:U148" si="946">+I143*BI143</f>
        <v>0</v>
      </c>
      <c r="V143" s="59">
        <f t="shared" ref="V143:V148" si="947">+U143*3.3058</f>
        <v>0</v>
      </c>
      <c r="W143" s="60">
        <f t="shared" ref="W143:W148" si="948">+I143*BJ143</f>
        <v>0</v>
      </c>
      <c r="X143" s="59">
        <f t="shared" ref="X143:X148" si="949">+W143*3.3058</f>
        <v>0</v>
      </c>
      <c r="Y143" s="57">
        <f t="shared" ref="Y143:Y148" si="950">+I143*BK143</f>
        <v>0</v>
      </c>
      <c r="Z143" s="59">
        <f t="shared" ref="Z143:Z148" si="951">+Y143*3.3058</f>
        <v>0</v>
      </c>
      <c r="AA143" s="55">
        <f t="shared" ref="AA143:AA148" si="952">+I143*BL143</f>
        <v>0</v>
      </c>
      <c r="AB143" s="59">
        <f t="shared" ref="AB143:AB148" si="953">+AA143*3.3058</f>
        <v>0</v>
      </c>
      <c r="AC143" s="60">
        <f t="shared" ref="AC143:AC148" si="954">+I143*BM143</f>
        <v>0</v>
      </c>
      <c r="AD143" s="59">
        <f t="shared" ref="AD143:AD148" si="955">+AC143*3.3058</f>
        <v>0</v>
      </c>
      <c r="AE143" s="60">
        <f t="shared" ref="AE143:AE148" si="956">+I143*BN143</f>
        <v>0</v>
      </c>
      <c r="AF143" s="59">
        <f t="shared" ref="AF143:AF148" si="957">+AE143*3.3058</f>
        <v>0</v>
      </c>
      <c r="AG143" s="60">
        <f t="shared" ref="AG143:AG148" si="958">+I143*BO143</f>
        <v>0</v>
      </c>
      <c r="AH143" s="59">
        <f t="shared" ref="AH143:AH148" si="959">+AG143*3.3058</f>
        <v>0</v>
      </c>
      <c r="AI143" s="55">
        <f t="shared" ref="AI143:AI148" si="960">+I143*BP143</f>
        <v>0</v>
      </c>
      <c r="AJ143" s="59">
        <f t="shared" ref="AJ143:AJ148" si="961">+AI143*3.3058</f>
        <v>0</v>
      </c>
      <c r="AK143" s="60">
        <f t="shared" ref="AK143:AK148" si="962">+I143*BQ143</f>
        <v>0</v>
      </c>
      <c r="AL143" s="59">
        <f t="shared" ref="AL143:AL148" si="963">+AK143*3.3058</f>
        <v>0</v>
      </c>
      <c r="AM143" s="60">
        <f t="shared" ref="AM143:AM148" si="964">+I143*BR143</f>
        <v>0</v>
      </c>
      <c r="AN143" s="59">
        <f t="shared" ref="AN143:AN148" si="965">+AM143*3.3058</f>
        <v>0</v>
      </c>
      <c r="AO143" s="60">
        <f t="shared" ref="AO143:AO148" si="966">+I143*BS143</f>
        <v>0</v>
      </c>
      <c r="AP143" s="59">
        <f t="shared" ref="AP143:AP148" si="967">+AO143*3.3058</f>
        <v>0</v>
      </c>
      <c r="AQ143" s="60">
        <f t="shared" ref="AQ143:AQ148" si="968">+I143*BT143</f>
        <v>0</v>
      </c>
      <c r="AR143" s="59">
        <f t="shared" ref="AR143:AR148" si="969">+AQ143*3.3058</f>
        <v>0</v>
      </c>
      <c r="AS143" s="55">
        <f t="shared" ref="AS143:AS148" si="970">+I143*BU143</f>
        <v>0</v>
      </c>
      <c r="AT143" s="59">
        <f t="shared" ref="AT143:AT148" si="971">+AS143*3.3058</f>
        <v>0</v>
      </c>
      <c r="AU143" s="60">
        <f t="shared" ref="AU143:AU148" si="972">+I143*BV143</f>
        <v>0</v>
      </c>
      <c r="AV143" s="59">
        <f t="shared" ref="AV143:AV148" si="973">+AU143*3.3058</f>
        <v>0</v>
      </c>
      <c r="AW143" s="60">
        <f t="shared" ref="AW143:AW148" si="974">+I143*BW143</f>
        <v>0</v>
      </c>
      <c r="AX143" s="59">
        <f t="shared" ref="AX143:AX148" si="975">+AW143*3.3058</f>
        <v>0</v>
      </c>
      <c r="AY143" s="55">
        <f t="shared" ref="AY143:AY148" si="976">+I143*BX143</f>
        <v>0</v>
      </c>
      <c r="AZ143" s="59">
        <f t="shared" ref="AZ143:AZ148" si="977">+AY143*3.3058</f>
        <v>0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78">+BF143-0.02</f>
        <v>0.91</v>
      </c>
      <c r="BH143" s="55">
        <f t="shared" si="978"/>
        <v>0.89</v>
      </c>
      <c r="BI143" s="55">
        <f t="shared" si="978"/>
        <v>0.87</v>
      </c>
      <c r="BJ143" s="55">
        <f t="shared" si="978"/>
        <v>0.85</v>
      </c>
      <c r="BK143" s="55">
        <f t="shared" si="978"/>
        <v>0.83</v>
      </c>
      <c r="BL143" s="55">
        <f t="shared" si="978"/>
        <v>0.80999999999999994</v>
      </c>
      <c r="BM143" s="55">
        <f t="shared" si="978"/>
        <v>0.78999999999999992</v>
      </c>
      <c r="BN143" s="55">
        <f t="shared" si="978"/>
        <v>0.76999999999999991</v>
      </c>
      <c r="BO143" s="55">
        <f t="shared" si="978"/>
        <v>0.74999999999999989</v>
      </c>
      <c r="BP143" s="55">
        <f t="shared" si="978"/>
        <v>0.72999999999999987</v>
      </c>
      <c r="BQ143" s="55">
        <f t="shared" si="978"/>
        <v>0.70999999999999985</v>
      </c>
      <c r="BR143" s="55">
        <f t="shared" si="978"/>
        <v>0.68999999999999984</v>
      </c>
      <c r="BS143" s="55">
        <f t="shared" si="978"/>
        <v>0.66999999999999982</v>
      </c>
      <c r="BT143" s="55">
        <f t="shared" si="978"/>
        <v>0.6499999999999998</v>
      </c>
      <c r="BU143" s="55">
        <f t="shared" si="978"/>
        <v>0.62999999999999978</v>
      </c>
      <c r="BV143" s="55">
        <f t="shared" si="978"/>
        <v>0.60999999999999976</v>
      </c>
      <c r="BW143" s="55">
        <f t="shared" si="978"/>
        <v>0.58999999999999975</v>
      </c>
      <c r="BX143" s="55">
        <f t="shared" si="978"/>
        <v>0.56999999999999973</v>
      </c>
      <c r="BZ143" s="55">
        <f t="shared" si="508"/>
        <v>0</v>
      </c>
      <c r="CA143" s="55">
        <f t="shared" si="509"/>
        <v>0</v>
      </c>
      <c r="CB143" s="59">
        <f t="shared" ref="CB143:CB148" si="979">+CA143*3.3058</f>
        <v>0</v>
      </c>
      <c r="CC143" s="55">
        <f t="shared" ref="CC143:CC148" si="980">+CA143*DV143</f>
        <v>0</v>
      </c>
      <c r="CD143" s="59">
        <f t="shared" ref="CD143:CD148" si="981">+CC143*3.3058</f>
        <v>0</v>
      </c>
      <c r="CE143" s="55">
        <f t="shared" ref="CE143:CE148" si="982">+CA143*DW143</f>
        <v>0</v>
      </c>
      <c r="CF143" s="59">
        <f t="shared" ref="CF143:CF148" si="983">+CE143*3.3058</f>
        <v>0</v>
      </c>
      <c r="CG143" s="55">
        <f t="shared" ref="CG143:CG148" si="984">+CA143*DX143</f>
        <v>0</v>
      </c>
      <c r="CH143" s="59">
        <f t="shared" ref="CH143:CH148" si="985">+CG143*3.3058</f>
        <v>0</v>
      </c>
      <c r="CI143" s="57">
        <f t="shared" ref="CI143:CI148" si="986">+CA143*DY143</f>
        <v>0</v>
      </c>
      <c r="CJ143" s="59">
        <f t="shared" ref="CJ143:CJ148" si="987">+CI143*3.3058</f>
        <v>0</v>
      </c>
      <c r="CK143" s="55">
        <f t="shared" ref="CK143:CK148" si="988">+CA143*DZ143</f>
        <v>0</v>
      </c>
      <c r="CL143" s="59">
        <f t="shared" ref="CL143:CL148" si="989">+CK143*3.3058</f>
        <v>0</v>
      </c>
      <c r="CM143" s="57">
        <f t="shared" ref="CM143:CM148" si="990">+CA143*EA143</f>
        <v>0</v>
      </c>
      <c r="CN143" s="59">
        <f t="shared" ref="CN143:CN148" si="991">+CM143*3.3058</f>
        <v>0</v>
      </c>
      <c r="CO143" s="60">
        <f t="shared" ref="CO143:CO148" si="992">+CA143*EB143</f>
        <v>0</v>
      </c>
      <c r="CP143" s="59">
        <f t="shared" ref="CP143:CP148" si="993">+CO143*3.3058</f>
        <v>0</v>
      </c>
      <c r="CQ143" s="57">
        <f t="shared" ref="CQ143:CQ148" si="994">+CA143*EC143</f>
        <v>0</v>
      </c>
      <c r="CR143" s="59">
        <f t="shared" ref="CR143:CR148" si="995">+CQ143*3.3058</f>
        <v>0</v>
      </c>
      <c r="CS143" s="55">
        <f t="shared" ref="CS143:CS148" si="996">+CA143*ED143</f>
        <v>0</v>
      </c>
      <c r="CT143" s="59">
        <f t="shared" ref="CT143:CT148" si="997">+CS143*3.3058</f>
        <v>0</v>
      </c>
      <c r="CU143" s="60">
        <f t="shared" ref="CU143:CU148" si="998">+CA143*EE143</f>
        <v>0</v>
      </c>
      <c r="CV143" s="59">
        <f t="shared" ref="CV143:CV148" si="999">+CU143*3.3058</f>
        <v>0</v>
      </c>
      <c r="CW143" s="60">
        <f t="shared" ref="CW143:CW148" si="1000">+CA143*EF143</f>
        <v>0</v>
      </c>
      <c r="CX143" s="59">
        <f t="shared" ref="CX143:CX148" si="1001">+CW143*3.3058</f>
        <v>0</v>
      </c>
      <c r="CY143" s="60">
        <f t="shared" ref="CY143:CY148" si="1002">+CA143*EG143</f>
        <v>0</v>
      </c>
      <c r="CZ143" s="59">
        <f t="shared" ref="CZ143:CZ148" si="1003">+CY143*3.3058</f>
        <v>0</v>
      </c>
      <c r="DA143" s="55">
        <f t="shared" ref="DA143:DA148" si="1004">+CA143*EH143</f>
        <v>0</v>
      </c>
      <c r="DB143" s="59">
        <f t="shared" ref="DB143:DB148" si="1005">+DA143*3.3058</f>
        <v>0</v>
      </c>
      <c r="DC143" s="60">
        <f t="shared" ref="DC143:DC148" si="1006">+CA143*EI143</f>
        <v>0</v>
      </c>
      <c r="DD143" s="59">
        <f t="shared" ref="DD143:DD148" si="1007">+DC143*3.3058</f>
        <v>0</v>
      </c>
      <c r="DE143" s="60">
        <f t="shared" ref="DE143:DE148" si="1008">+CA143*EJ143</f>
        <v>0</v>
      </c>
      <c r="DF143" s="59">
        <f t="shared" ref="DF143:DF148" si="1009">+DE143*3.3058</f>
        <v>0</v>
      </c>
      <c r="DG143" s="60">
        <f t="shared" ref="DG143:DG148" si="1010">+CA143*EK143</f>
        <v>0</v>
      </c>
      <c r="DH143" s="59">
        <f t="shared" ref="DH143:DH148" si="1011">+DG143*3.3058</f>
        <v>0</v>
      </c>
      <c r="DI143" s="60">
        <f t="shared" ref="DI143:DI148" si="1012">+CA143*EL143</f>
        <v>0</v>
      </c>
      <c r="DJ143" s="59">
        <f t="shared" ref="DJ143:DJ148" si="1013">+DI143*3.3058</f>
        <v>0</v>
      </c>
      <c r="DK143" s="55">
        <f t="shared" ref="DK143:DK148" si="1014">+CA143*EM143</f>
        <v>0</v>
      </c>
      <c r="DL143" s="59">
        <f t="shared" ref="DL143:DL148" si="1015">+DK143*3.3058</f>
        <v>0</v>
      </c>
      <c r="DM143" s="60">
        <f t="shared" ref="DM143:DM148" si="1016">+CA143*EN143</f>
        <v>0</v>
      </c>
      <c r="DN143" s="59">
        <f t="shared" ref="DN143:DN148" si="1017">+DM143*3.3058</f>
        <v>0</v>
      </c>
      <c r="DO143" s="60">
        <f t="shared" ref="DO143:DO148" si="1018">+CA143*EO143</f>
        <v>0</v>
      </c>
      <c r="DP143" s="59">
        <f t="shared" ref="DP143:DP148" si="1019">+DO143*3.3058</f>
        <v>0</v>
      </c>
      <c r="DQ143" s="55">
        <f t="shared" ref="DQ143:DQ148" si="1020">+CA143*EP143</f>
        <v>0</v>
      </c>
      <c r="DR143" s="59">
        <f t="shared" ref="DR143:DR148" si="1021">+DQ143*3.3058</f>
        <v>0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30"/>
        <v>0.91</v>
      </c>
      <c r="DZ143" s="55">
        <f t="shared" si="930"/>
        <v>0.89</v>
      </c>
      <c r="EA143" s="55">
        <f t="shared" si="930"/>
        <v>0.87</v>
      </c>
      <c r="EB143" s="55">
        <f t="shared" si="930"/>
        <v>0.85</v>
      </c>
      <c r="EC143" s="55">
        <f t="shared" si="930"/>
        <v>0.83</v>
      </c>
      <c r="ED143" s="55">
        <f t="shared" si="930"/>
        <v>0.80999999999999994</v>
      </c>
      <c r="EE143" s="55">
        <f t="shared" si="930"/>
        <v>0.78999999999999992</v>
      </c>
      <c r="EF143" s="55">
        <f t="shared" si="930"/>
        <v>0.76999999999999991</v>
      </c>
      <c r="EG143" s="55">
        <f t="shared" si="930"/>
        <v>0.74999999999999989</v>
      </c>
      <c r="EH143" s="55">
        <f t="shared" si="930"/>
        <v>0.72999999999999987</v>
      </c>
      <c r="EI143" s="55">
        <f t="shared" si="930"/>
        <v>0.70999999999999985</v>
      </c>
      <c r="EJ143" s="55">
        <f t="shared" si="930"/>
        <v>0.68999999999999984</v>
      </c>
      <c r="EK143" s="55">
        <f t="shared" si="930"/>
        <v>0.66999999999999982</v>
      </c>
      <c r="EL143" s="55">
        <f t="shared" si="930"/>
        <v>0.6499999999999998</v>
      </c>
      <c r="EM143" s="55">
        <f t="shared" si="930"/>
        <v>0.62999999999999978</v>
      </c>
      <c r="EN143" s="55">
        <f t="shared" si="930"/>
        <v>0.60999999999999976</v>
      </c>
      <c r="EO143" s="55">
        <f t="shared" si="930"/>
        <v>0.58999999999999975</v>
      </c>
      <c r="EP143" s="55">
        <f t="shared" si="930"/>
        <v>0.56999999999999973</v>
      </c>
      <c r="ER143" s="55">
        <f t="shared" si="648"/>
        <v>0</v>
      </c>
      <c r="ES143" s="55">
        <f t="shared" si="510"/>
        <v>0</v>
      </c>
      <c r="ET143" s="59">
        <f t="shared" ref="ET143:ET148" si="1022">+ES143*3.3058</f>
        <v>0</v>
      </c>
      <c r="EU143" s="55">
        <f t="shared" ref="EU143:EU148" si="1023">+ES143*GN143</f>
        <v>0</v>
      </c>
      <c r="EV143" s="59">
        <f t="shared" ref="EV143:EV148" si="1024">+EU143*3.3058</f>
        <v>0</v>
      </c>
      <c r="EW143" s="55">
        <f t="shared" ref="EW143:EW148" si="1025">+ES143*GO143</f>
        <v>0</v>
      </c>
      <c r="EX143" s="59">
        <f t="shared" ref="EX143:EX148" si="1026">+EW143*3.3058</f>
        <v>0</v>
      </c>
      <c r="EY143" s="55">
        <f t="shared" ref="EY143:EY148" si="1027">+ES143*GP143</f>
        <v>0</v>
      </c>
      <c r="EZ143" s="59">
        <f t="shared" ref="EZ143:EZ148" si="1028">+EY143*3.3058</f>
        <v>0</v>
      </c>
      <c r="FA143" s="57">
        <f t="shared" ref="FA143:FA148" si="1029">+ES143*GQ143</f>
        <v>0</v>
      </c>
      <c r="FB143" s="59">
        <f t="shared" ref="FB143:FB148" si="1030">+FA143*3.3058</f>
        <v>0</v>
      </c>
      <c r="FC143" s="55">
        <f t="shared" ref="FC143:FC148" si="1031">+ES143*GR143</f>
        <v>0</v>
      </c>
      <c r="FD143" s="59">
        <f t="shared" ref="FD143:FD148" si="1032">+FC143*3.3058</f>
        <v>0</v>
      </c>
      <c r="FE143" s="57">
        <f t="shared" ref="FE143:FE148" si="1033">+ES143*GS143</f>
        <v>0</v>
      </c>
      <c r="FF143" s="59">
        <f t="shared" ref="FF143:FF148" si="1034">+FE143*3.3058</f>
        <v>0</v>
      </c>
      <c r="FG143" s="60">
        <f t="shared" ref="FG143:FG148" si="1035">+ES143*GT143</f>
        <v>0</v>
      </c>
      <c r="FH143" s="59">
        <f t="shared" ref="FH143:FH148" si="1036">+FG143*3.3058</f>
        <v>0</v>
      </c>
      <c r="FI143" s="57">
        <f t="shared" ref="FI143:FI148" si="1037">+ES143*GU143</f>
        <v>0</v>
      </c>
      <c r="FJ143" s="59">
        <f t="shared" ref="FJ143:FJ148" si="1038">+FI143*3.3058</f>
        <v>0</v>
      </c>
      <c r="FK143" s="55">
        <f t="shared" ref="FK143:FK148" si="1039">+ES143*GV143</f>
        <v>0</v>
      </c>
      <c r="FL143" s="59">
        <f t="shared" ref="FL143:FL148" si="1040">+FK143*3.3058</f>
        <v>0</v>
      </c>
      <c r="FM143" s="60">
        <f t="shared" ref="FM143:FM148" si="1041">+ES143*GW143</f>
        <v>0</v>
      </c>
      <c r="FN143" s="59">
        <f t="shared" ref="FN143:FN148" si="1042">+FM143*3.3058</f>
        <v>0</v>
      </c>
      <c r="FO143" s="60">
        <f t="shared" ref="FO143:FO148" si="1043">+ES143*GX143</f>
        <v>0</v>
      </c>
      <c r="FP143" s="59">
        <f t="shared" ref="FP143:FP148" si="1044">+FO143*3.3058</f>
        <v>0</v>
      </c>
      <c r="FQ143" s="60">
        <f t="shared" ref="FQ143:FQ148" si="1045">+ES143*GY143</f>
        <v>0</v>
      </c>
      <c r="FR143" s="59">
        <f t="shared" ref="FR143:FR148" si="1046">+FQ143*3.3058</f>
        <v>0</v>
      </c>
      <c r="FS143" s="55">
        <f t="shared" ref="FS143:FS148" si="1047">+ES143*GZ143</f>
        <v>0</v>
      </c>
      <c r="FT143" s="59">
        <f t="shared" ref="FT143:FT148" si="1048">+FS143*3.3058</f>
        <v>0</v>
      </c>
      <c r="FU143" s="60">
        <f t="shared" ref="FU143:FU148" si="1049">+ES143*HA143</f>
        <v>0</v>
      </c>
      <c r="FV143" s="59">
        <f t="shared" ref="FV143:FV148" si="1050">+FU143*3.3058</f>
        <v>0</v>
      </c>
      <c r="FW143" s="60">
        <f t="shared" ref="FW143:FW148" si="1051">+ES143*HB143</f>
        <v>0</v>
      </c>
      <c r="FX143" s="59">
        <f t="shared" ref="FX143:FX148" si="1052">+FW143*3.3058</f>
        <v>0</v>
      </c>
      <c r="FY143" s="60">
        <f t="shared" ref="FY143:FY148" si="1053">+ES143*HC143</f>
        <v>0</v>
      </c>
      <c r="FZ143" s="59">
        <f t="shared" ref="FZ143:FZ148" si="1054">+FY143*3.3058</f>
        <v>0</v>
      </c>
      <c r="GA143" s="60">
        <f t="shared" ref="GA143:GA148" si="1055">+ES143*HD143</f>
        <v>0</v>
      </c>
      <c r="GB143" s="59">
        <f t="shared" ref="GB143:GB148" si="1056">+GA143*3.3058</f>
        <v>0</v>
      </c>
      <c r="GC143" s="55">
        <f t="shared" ref="GC143:GC148" si="1057">+ES143*HE143</f>
        <v>0</v>
      </c>
      <c r="GD143" s="59">
        <f t="shared" ref="GD143:GD148" si="1058">+GC143*3.3058</f>
        <v>0</v>
      </c>
      <c r="GE143" s="60">
        <f t="shared" ref="GE143:GE148" si="1059">+ES143*HF143</f>
        <v>0</v>
      </c>
      <c r="GF143" s="59">
        <f t="shared" ref="GF143:GF148" si="1060">+GE143*3.3058</f>
        <v>0</v>
      </c>
      <c r="GG143" s="60">
        <f t="shared" ref="GG143:GG148" si="1061">+ES143*HG143</f>
        <v>0</v>
      </c>
      <c r="GH143" s="59">
        <f t="shared" ref="GH143:GH148" si="1062">+GG143*3.3058</f>
        <v>0</v>
      </c>
      <c r="GI143" s="55">
        <f t="shared" ref="GI143:GI148" si="1063">+ES143*HH143</f>
        <v>0</v>
      </c>
      <c r="GJ143" s="59">
        <f t="shared" ref="GJ143:GJ148" si="1064">+GI143*3.3058</f>
        <v>0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31"/>
        <v>0.91</v>
      </c>
      <c r="GR143" s="55">
        <f t="shared" si="931"/>
        <v>0.89</v>
      </c>
      <c r="GS143" s="55">
        <f t="shared" si="931"/>
        <v>0.87</v>
      </c>
      <c r="GT143" s="55">
        <f t="shared" si="931"/>
        <v>0.85</v>
      </c>
      <c r="GU143" s="55">
        <f t="shared" si="931"/>
        <v>0.83</v>
      </c>
      <c r="GV143" s="55">
        <f t="shared" si="931"/>
        <v>0.80999999999999994</v>
      </c>
      <c r="GW143" s="55">
        <f t="shared" si="931"/>
        <v>0.78999999999999992</v>
      </c>
      <c r="GX143" s="55">
        <f t="shared" si="931"/>
        <v>0.76999999999999991</v>
      </c>
      <c r="GY143" s="55">
        <f t="shared" si="931"/>
        <v>0.74999999999999989</v>
      </c>
      <c r="GZ143" s="55">
        <f t="shared" si="931"/>
        <v>0.72999999999999987</v>
      </c>
      <c r="HA143" s="55">
        <f t="shared" si="931"/>
        <v>0.70999999999999985</v>
      </c>
      <c r="HB143" s="55">
        <f t="shared" si="931"/>
        <v>0.68999999999999984</v>
      </c>
      <c r="HC143" s="55">
        <f t="shared" si="931"/>
        <v>0.66999999999999982</v>
      </c>
      <c r="HD143" s="55">
        <f t="shared" si="931"/>
        <v>0.6499999999999998</v>
      </c>
      <c r="HE143" s="55">
        <f t="shared" si="931"/>
        <v>0.62999999999999978</v>
      </c>
      <c r="HF143" s="55">
        <f t="shared" si="931"/>
        <v>0.60999999999999976</v>
      </c>
      <c r="HG143" s="55">
        <f t="shared" si="931"/>
        <v>0.58999999999999975</v>
      </c>
      <c r="HH143" s="55">
        <f t="shared" si="931"/>
        <v>0.56999999999999973</v>
      </c>
    </row>
    <row r="144" spans="1:216" x14ac:dyDescent="0.3">
      <c r="A144" s="2">
        <v>2</v>
      </c>
      <c r="C144" s="38" t="s">
        <v>49</v>
      </c>
      <c r="D144" s="42">
        <f>TRUNC(4516.30625981602,-1)</f>
        <v>4510</v>
      </c>
      <c r="E144" s="71">
        <f>TRUNC(+D144*3.3058,-1)</f>
        <v>14900</v>
      </c>
      <c r="H144" s="55">
        <f t="shared" si="505"/>
        <v>16390</v>
      </c>
      <c r="I144" s="55">
        <f t="shared" si="506"/>
        <v>16390</v>
      </c>
      <c r="J144" s="59">
        <f t="shared" si="507"/>
        <v>54182.061999999998</v>
      </c>
      <c r="K144" s="55">
        <f t="shared" si="936"/>
        <v>15898.3</v>
      </c>
      <c r="L144" s="59">
        <f t="shared" si="937"/>
        <v>52556.600140000002</v>
      </c>
      <c r="M144" s="55">
        <f t="shared" si="938"/>
        <v>15570.5</v>
      </c>
      <c r="N144" s="59">
        <f t="shared" si="939"/>
        <v>51472.958899999998</v>
      </c>
      <c r="O144" s="55">
        <f t="shared" si="940"/>
        <v>15242.7</v>
      </c>
      <c r="P144" s="59">
        <f t="shared" si="941"/>
        <v>50389.317660000001</v>
      </c>
      <c r="Q144" s="57">
        <f t="shared" si="942"/>
        <v>14914.9</v>
      </c>
      <c r="R144" s="59">
        <f t="shared" si="943"/>
        <v>49305.676420000003</v>
      </c>
      <c r="S144" s="55">
        <f t="shared" si="944"/>
        <v>14587.1</v>
      </c>
      <c r="T144" s="59">
        <f t="shared" si="945"/>
        <v>48222.035179999999</v>
      </c>
      <c r="U144" s="57">
        <f t="shared" si="946"/>
        <v>14259.3</v>
      </c>
      <c r="V144" s="59">
        <f t="shared" si="947"/>
        <v>47138.393940000002</v>
      </c>
      <c r="W144" s="60">
        <f t="shared" si="948"/>
        <v>13931.5</v>
      </c>
      <c r="X144" s="59">
        <f t="shared" si="949"/>
        <v>46054.752700000005</v>
      </c>
      <c r="Y144" s="57">
        <f t="shared" si="950"/>
        <v>13603.699999999999</v>
      </c>
      <c r="Z144" s="59">
        <f t="shared" si="951"/>
        <v>44971.11146</v>
      </c>
      <c r="AA144" s="55">
        <f t="shared" si="952"/>
        <v>13275.9</v>
      </c>
      <c r="AB144" s="59">
        <f t="shared" si="953"/>
        <v>43887.470220000003</v>
      </c>
      <c r="AC144" s="60">
        <f t="shared" si="954"/>
        <v>12948.099999999999</v>
      </c>
      <c r="AD144" s="59">
        <f t="shared" si="955"/>
        <v>42803.828979999998</v>
      </c>
      <c r="AE144" s="60">
        <f t="shared" si="956"/>
        <v>12620.3</v>
      </c>
      <c r="AF144" s="59">
        <f t="shared" si="957"/>
        <v>41720.187740000001</v>
      </c>
      <c r="AG144" s="60">
        <f t="shared" si="958"/>
        <v>12292.499999999998</v>
      </c>
      <c r="AH144" s="59">
        <f t="shared" si="959"/>
        <v>40636.546499999997</v>
      </c>
      <c r="AI144" s="55">
        <f t="shared" si="960"/>
        <v>11964.699999999997</v>
      </c>
      <c r="AJ144" s="59">
        <f t="shared" si="961"/>
        <v>39552.905259999992</v>
      </c>
      <c r="AK144" s="60">
        <f t="shared" si="962"/>
        <v>11636.899999999998</v>
      </c>
      <c r="AL144" s="59">
        <f t="shared" si="963"/>
        <v>38469.264019999995</v>
      </c>
      <c r="AM144" s="60">
        <f t="shared" si="964"/>
        <v>11309.099999999997</v>
      </c>
      <c r="AN144" s="59">
        <f t="shared" si="965"/>
        <v>37385.622779999991</v>
      </c>
      <c r="AO144" s="60">
        <f t="shared" si="966"/>
        <v>10981.299999999997</v>
      </c>
      <c r="AP144" s="59">
        <f t="shared" si="967"/>
        <v>36301.981539999993</v>
      </c>
      <c r="AQ144" s="60">
        <f t="shared" si="968"/>
        <v>10653.499999999996</v>
      </c>
      <c r="AR144" s="59">
        <f t="shared" si="969"/>
        <v>35218.340299999989</v>
      </c>
      <c r="AS144" s="55">
        <f t="shared" si="970"/>
        <v>10325.699999999997</v>
      </c>
      <c r="AT144" s="59">
        <f t="shared" si="971"/>
        <v>34134.699059999992</v>
      </c>
      <c r="AU144" s="60">
        <f t="shared" si="972"/>
        <v>9997.899999999996</v>
      </c>
      <c r="AV144" s="59">
        <f t="shared" si="973"/>
        <v>33051.057819999987</v>
      </c>
      <c r="AW144" s="60">
        <f t="shared" si="974"/>
        <v>9670.0999999999967</v>
      </c>
      <c r="AX144" s="59">
        <f t="shared" si="975"/>
        <v>31967.41657999999</v>
      </c>
      <c r="AY144" s="55">
        <f t="shared" si="976"/>
        <v>9342.2999999999956</v>
      </c>
      <c r="AZ144" s="59">
        <f t="shared" si="977"/>
        <v>30883.775339999986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78"/>
        <v>0.91</v>
      </c>
      <c r="BH144" s="55">
        <f t="shared" si="978"/>
        <v>0.89</v>
      </c>
      <c r="BI144" s="55">
        <f t="shared" si="978"/>
        <v>0.87</v>
      </c>
      <c r="BJ144" s="55">
        <f t="shared" si="978"/>
        <v>0.85</v>
      </c>
      <c r="BK144" s="55">
        <f t="shared" si="978"/>
        <v>0.83</v>
      </c>
      <c r="BL144" s="55">
        <f t="shared" si="978"/>
        <v>0.80999999999999994</v>
      </c>
      <c r="BM144" s="55">
        <f t="shared" si="978"/>
        <v>0.78999999999999992</v>
      </c>
      <c r="BN144" s="55">
        <f t="shared" si="978"/>
        <v>0.76999999999999991</v>
      </c>
      <c r="BO144" s="55">
        <f t="shared" si="978"/>
        <v>0.74999999999999989</v>
      </c>
      <c r="BP144" s="55">
        <f t="shared" si="978"/>
        <v>0.72999999999999987</v>
      </c>
      <c r="BQ144" s="55">
        <f t="shared" si="978"/>
        <v>0.70999999999999985</v>
      </c>
      <c r="BR144" s="55">
        <f t="shared" si="978"/>
        <v>0.68999999999999984</v>
      </c>
      <c r="BS144" s="55">
        <f t="shared" si="978"/>
        <v>0.66999999999999982</v>
      </c>
      <c r="BT144" s="55">
        <f t="shared" si="978"/>
        <v>0.6499999999999998</v>
      </c>
      <c r="BU144" s="55">
        <f t="shared" si="978"/>
        <v>0.62999999999999978</v>
      </c>
      <c r="BV144" s="55">
        <f t="shared" si="978"/>
        <v>0.60999999999999976</v>
      </c>
      <c r="BW144" s="55">
        <f t="shared" si="978"/>
        <v>0.58999999999999975</v>
      </c>
      <c r="BX144" s="55">
        <f t="shared" si="978"/>
        <v>0.56999999999999973</v>
      </c>
      <c r="BZ144" s="55">
        <f t="shared" si="508"/>
        <v>14914.9</v>
      </c>
      <c r="CA144" s="55">
        <f t="shared" si="509"/>
        <v>14914.9</v>
      </c>
      <c r="CB144" s="59">
        <f t="shared" si="979"/>
        <v>49305.676420000003</v>
      </c>
      <c r="CC144" s="55">
        <f t="shared" si="980"/>
        <v>14467.453</v>
      </c>
      <c r="CD144" s="59">
        <f t="shared" si="981"/>
        <v>47826.506127399996</v>
      </c>
      <c r="CE144" s="55">
        <f t="shared" si="982"/>
        <v>14169.154999999999</v>
      </c>
      <c r="CF144" s="59">
        <f t="shared" si="983"/>
        <v>46840.392598999999</v>
      </c>
      <c r="CG144" s="55">
        <f t="shared" si="984"/>
        <v>13870.857</v>
      </c>
      <c r="CH144" s="59">
        <f t="shared" si="985"/>
        <v>45854.279070600001</v>
      </c>
      <c r="CI144" s="57">
        <f t="shared" si="986"/>
        <v>13572.558999999999</v>
      </c>
      <c r="CJ144" s="59">
        <f t="shared" si="987"/>
        <v>44868.165542199997</v>
      </c>
      <c r="CK144" s="55">
        <f t="shared" si="988"/>
        <v>13274.261</v>
      </c>
      <c r="CL144" s="59">
        <f t="shared" si="989"/>
        <v>43882.052013799999</v>
      </c>
      <c r="CM144" s="57">
        <f t="shared" si="990"/>
        <v>12975.963</v>
      </c>
      <c r="CN144" s="59">
        <f t="shared" si="991"/>
        <v>42895.938485400002</v>
      </c>
      <c r="CO144" s="60">
        <f t="shared" si="992"/>
        <v>12677.664999999999</v>
      </c>
      <c r="CP144" s="59">
        <f t="shared" si="993"/>
        <v>41909.824956999997</v>
      </c>
      <c r="CQ144" s="57">
        <f t="shared" si="994"/>
        <v>12379.366999999998</v>
      </c>
      <c r="CR144" s="59">
        <f t="shared" si="995"/>
        <v>40923.711428599992</v>
      </c>
      <c r="CS144" s="55">
        <f t="shared" si="996"/>
        <v>12081.069</v>
      </c>
      <c r="CT144" s="59">
        <f t="shared" si="997"/>
        <v>39937.597900200002</v>
      </c>
      <c r="CU144" s="60">
        <f t="shared" si="998"/>
        <v>11782.770999999999</v>
      </c>
      <c r="CV144" s="59">
        <f t="shared" si="999"/>
        <v>38951.484371799997</v>
      </c>
      <c r="CW144" s="60">
        <f t="shared" si="1000"/>
        <v>11484.472999999998</v>
      </c>
      <c r="CX144" s="59">
        <f t="shared" si="1001"/>
        <v>37965.370843399993</v>
      </c>
      <c r="CY144" s="60">
        <f t="shared" si="1002"/>
        <v>11186.174999999997</v>
      </c>
      <c r="CZ144" s="59">
        <f t="shared" si="1003"/>
        <v>36979.257314999995</v>
      </c>
      <c r="DA144" s="55">
        <f t="shared" si="1004"/>
        <v>10887.876999999999</v>
      </c>
      <c r="DB144" s="59">
        <f t="shared" si="1005"/>
        <v>35993.143786599998</v>
      </c>
      <c r="DC144" s="60">
        <f t="shared" si="1006"/>
        <v>10589.578999999998</v>
      </c>
      <c r="DD144" s="59">
        <f t="shared" si="1007"/>
        <v>35007.030258199993</v>
      </c>
      <c r="DE144" s="60">
        <f t="shared" si="1008"/>
        <v>10291.280999999997</v>
      </c>
      <c r="DF144" s="59">
        <f t="shared" si="1009"/>
        <v>34020.916729799988</v>
      </c>
      <c r="DG144" s="60">
        <f t="shared" si="1010"/>
        <v>9992.9829999999965</v>
      </c>
      <c r="DH144" s="59">
        <f t="shared" si="1011"/>
        <v>33034.803201399991</v>
      </c>
      <c r="DI144" s="60">
        <f t="shared" si="1012"/>
        <v>9694.6849999999977</v>
      </c>
      <c r="DJ144" s="59">
        <f t="shared" si="1013"/>
        <v>32048.689672999993</v>
      </c>
      <c r="DK144" s="55">
        <f t="shared" si="1014"/>
        <v>9396.386999999997</v>
      </c>
      <c r="DL144" s="59">
        <f t="shared" si="1015"/>
        <v>31062.576144599992</v>
      </c>
      <c r="DM144" s="60">
        <f t="shared" si="1016"/>
        <v>9098.0889999999963</v>
      </c>
      <c r="DN144" s="59">
        <f t="shared" si="1017"/>
        <v>30076.462616199988</v>
      </c>
      <c r="DO144" s="60">
        <f t="shared" si="1018"/>
        <v>8799.7909999999956</v>
      </c>
      <c r="DP144" s="59">
        <f t="shared" si="1019"/>
        <v>29090.349087799987</v>
      </c>
      <c r="DQ144" s="55">
        <f t="shared" si="1020"/>
        <v>8501.4929999999949</v>
      </c>
      <c r="DR144" s="59">
        <f t="shared" si="1021"/>
        <v>28104.235559399986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30"/>
        <v>0.91</v>
      </c>
      <c r="DZ144" s="55">
        <f t="shared" si="930"/>
        <v>0.89</v>
      </c>
      <c r="EA144" s="55">
        <f t="shared" si="930"/>
        <v>0.87</v>
      </c>
      <c r="EB144" s="55">
        <f t="shared" si="930"/>
        <v>0.85</v>
      </c>
      <c r="EC144" s="55">
        <f t="shared" si="930"/>
        <v>0.83</v>
      </c>
      <c r="ED144" s="55">
        <f t="shared" si="930"/>
        <v>0.80999999999999994</v>
      </c>
      <c r="EE144" s="55">
        <f t="shared" si="930"/>
        <v>0.78999999999999992</v>
      </c>
      <c r="EF144" s="55">
        <f t="shared" si="930"/>
        <v>0.76999999999999991</v>
      </c>
      <c r="EG144" s="55">
        <f t="shared" si="930"/>
        <v>0.74999999999999989</v>
      </c>
      <c r="EH144" s="55">
        <f t="shared" si="930"/>
        <v>0.72999999999999987</v>
      </c>
      <c r="EI144" s="55">
        <f t="shared" si="930"/>
        <v>0.70999999999999985</v>
      </c>
      <c r="EJ144" s="55">
        <f t="shared" si="930"/>
        <v>0.68999999999999984</v>
      </c>
      <c r="EK144" s="55">
        <f t="shared" si="930"/>
        <v>0.66999999999999982</v>
      </c>
      <c r="EL144" s="55">
        <f t="shared" si="930"/>
        <v>0.6499999999999998</v>
      </c>
      <c r="EM144" s="55">
        <f t="shared" si="930"/>
        <v>0.62999999999999978</v>
      </c>
      <c r="EN144" s="55">
        <f t="shared" si="930"/>
        <v>0.60999999999999976</v>
      </c>
      <c r="EO144" s="55">
        <f t="shared" si="930"/>
        <v>0.58999999999999975</v>
      </c>
      <c r="EP144" s="55">
        <f t="shared" si="930"/>
        <v>0.56999999999999973</v>
      </c>
      <c r="ER144" s="55">
        <f t="shared" si="648"/>
        <v>13572.558999999999</v>
      </c>
      <c r="ES144" s="55">
        <f t="shared" si="510"/>
        <v>13572.558999999999</v>
      </c>
      <c r="ET144" s="59">
        <f t="shared" si="1022"/>
        <v>44868.165542199997</v>
      </c>
      <c r="EU144" s="55">
        <f t="shared" si="1023"/>
        <v>13165.382229999999</v>
      </c>
      <c r="EV144" s="59">
        <f t="shared" si="1024"/>
        <v>43522.120575934001</v>
      </c>
      <c r="EW144" s="55">
        <f t="shared" si="1025"/>
        <v>12893.931049999999</v>
      </c>
      <c r="EX144" s="59">
        <f t="shared" si="1026"/>
        <v>42624.757265089997</v>
      </c>
      <c r="EY144" s="55">
        <f t="shared" si="1027"/>
        <v>12622.479869999999</v>
      </c>
      <c r="EZ144" s="59">
        <f t="shared" si="1028"/>
        <v>41727.393954245999</v>
      </c>
      <c r="FA144" s="57">
        <f t="shared" si="1029"/>
        <v>12351.028689999999</v>
      </c>
      <c r="FB144" s="59">
        <f t="shared" si="1030"/>
        <v>40830.030643401995</v>
      </c>
      <c r="FC144" s="55">
        <f t="shared" si="1031"/>
        <v>12079.577509999999</v>
      </c>
      <c r="FD144" s="59">
        <f t="shared" si="1032"/>
        <v>39932.667332557998</v>
      </c>
      <c r="FE144" s="57">
        <f t="shared" si="1033"/>
        <v>11808.126329999999</v>
      </c>
      <c r="FF144" s="59">
        <f t="shared" si="1034"/>
        <v>39035.304021714001</v>
      </c>
      <c r="FG144" s="60">
        <f t="shared" si="1035"/>
        <v>11536.675149999999</v>
      </c>
      <c r="FH144" s="59">
        <f t="shared" si="1036"/>
        <v>38137.940710869996</v>
      </c>
      <c r="FI144" s="57">
        <f t="shared" si="1037"/>
        <v>11265.223969999999</v>
      </c>
      <c r="FJ144" s="59">
        <f t="shared" si="1038"/>
        <v>37240.577400025999</v>
      </c>
      <c r="FK144" s="55">
        <f t="shared" si="1039"/>
        <v>10993.772789999999</v>
      </c>
      <c r="FL144" s="59">
        <f t="shared" si="1040"/>
        <v>36343.214089181994</v>
      </c>
      <c r="FM144" s="60">
        <f t="shared" si="1041"/>
        <v>10722.321609999999</v>
      </c>
      <c r="FN144" s="59">
        <f t="shared" si="1042"/>
        <v>35445.850778337997</v>
      </c>
      <c r="FO144" s="60">
        <f t="shared" si="1043"/>
        <v>10450.870429999999</v>
      </c>
      <c r="FP144" s="59">
        <f t="shared" si="1044"/>
        <v>34548.487467494</v>
      </c>
      <c r="FQ144" s="60">
        <f t="shared" si="1045"/>
        <v>10179.419249999997</v>
      </c>
      <c r="FR144" s="59">
        <f t="shared" si="1046"/>
        <v>33651.124156649988</v>
      </c>
      <c r="FS144" s="55">
        <f t="shared" si="1047"/>
        <v>9907.9680699999972</v>
      </c>
      <c r="FT144" s="59">
        <f t="shared" si="1048"/>
        <v>32753.760845805991</v>
      </c>
      <c r="FU144" s="60">
        <f t="shared" si="1049"/>
        <v>9636.5168899999971</v>
      </c>
      <c r="FV144" s="59">
        <f t="shared" si="1050"/>
        <v>31856.39753496199</v>
      </c>
      <c r="FW144" s="60">
        <f t="shared" si="1051"/>
        <v>9365.0657099999971</v>
      </c>
      <c r="FX144" s="59">
        <f t="shared" si="1052"/>
        <v>30959.03422411799</v>
      </c>
      <c r="FY144" s="60">
        <f t="shared" si="1053"/>
        <v>9093.6145299999971</v>
      </c>
      <c r="FZ144" s="59">
        <f t="shared" si="1054"/>
        <v>30061.670913273992</v>
      </c>
      <c r="GA144" s="60">
        <f t="shared" si="1055"/>
        <v>8822.1633499999971</v>
      </c>
      <c r="GB144" s="59">
        <f t="shared" si="1056"/>
        <v>29164.307602429992</v>
      </c>
      <c r="GC144" s="55">
        <f t="shared" si="1057"/>
        <v>8550.7121699999971</v>
      </c>
      <c r="GD144" s="59">
        <f t="shared" si="1058"/>
        <v>28266.944291585991</v>
      </c>
      <c r="GE144" s="60">
        <f t="shared" si="1059"/>
        <v>8279.260989999997</v>
      </c>
      <c r="GF144" s="59">
        <f t="shared" si="1060"/>
        <v>27369.58098074199</v>
      </c>
      <c r="GG144" s="60">
        <f t="shared" si="1061"/>
        <v>8007.8098099999961</v>
      </c>
      <c r="GH144" s="59">
        <f t="shared" si="1062"/>
        <v>26472.217669897989</v>
      </c>
      <c r="GI144" s="55">
        <f t="shared" si="1063"/>
        <v>7736.3586299999961</v>
      </c>
      <c r="GJ144" s="59">
        <f t="shared" si="1064"/>
        <v>25574.854359053988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31"/>
        <v>0.91</v>
      </c>
      <c r="GR144" s="55">
        <f t="shared" si="931"/>
        <v>0.89</v>
      </c>
      <c r="GS144" s="55">
        <f t="shared" si="931"/>
        <v>0.87</v>
      </c>
      <c r="GT144" s="55">
        <f t="shared" si="931"/>
        <v>0.85</v>
      </c>
      <c r="GU144" s="55">
        <f t="shared" si="931"/>
        <v>0.83</v>
      </c>
      <c r="GV144" s="55">
        <f t="shared" si="931"/>
        <v>0.80999999999999994</v>
      </c>
      <c r="GW144" s="55">
        <f t="shared" si="931"/>
        <v>0.78999999999999992</v>
      </c>
      <c r="GX144" s="55">
        <f t="shared" si="931"/>
        <v>0.76999999999999991</v>
      </c>
      <c r="GY144" s="55">
        <f t="shared" si="931"/>
        <v>0.74999999999999989</v>
      </c>
      <c r="GZ144" s="55">
        <f t="shared" si="931"/>
        <v>0.72999999999999987</v>
      </c>
      <c r="HA144" s="55">
        <f t="shared" si="931"/>
        <v>0.70999999999999985</v>
      </c>
      <c r="HB144" s="55">
        <f t="shared" si="931"/>
        <v>0.68999999999999984</v>
      </c>
      <c r="HC144" s="55">
        <f t="shared" si="931"/>
        <v>0.66999999999999982</v>
      </c>
      <c r="HD144" s="55">
        <f t="shared" si="931"/>
        <v>0.6499999999999998</v>
      </c>
      <c r="HE144" s="55">
        <f t="shared" si="931"/>
        <v>0.62999999999999978</v>
      </c>
      <c r="HF144" s="55">
        <f t="shared" si="931"/>
        <v>0.60999999999999976</v>
      </c>
      <c r="HG144" s="55">
        <f t="shared" si="931"/>
        <v>0.58999999999999975</v>
      </c>
      <c r="HH144" s="55">
        <f t="shared" si="931"/>
        <v>0.56999999999999973</v>
      </c>
    </row>
    <row r="145" spans="1:216" x14ac:dyDescent="0.3">
      <c r="A145" s="2">
        <v>3</v>
      </c>
      <c r="C145" s="38" t="s">
        <v>50</v>
      </c>
      <c r="D145" s="42">
        <f>TRUNC(4689.67736145389,-1)</f>
        <v>4680</v>
      </c>
      <c r="E145" s="71">
        <f>TRUNC(+D145*3.3058,-1)</f>
        <v>15470</v>
      </c>
      <c r="H145" s="55">
        <f t="shared" si="505"/>
        <v>17017</v>
      </c>
      <c r="I145" s="55">
        <f t="shared" si="506"/>
        <v>17017</v>
      </c>
      <c r="J145" s="59">
        <f t="shared" si="507"/>
        <v>56254.798600000002</v>
      </c>
      <c r="K145" s="55">
        <f t="shared" si="936"/>
        <v>16506.489999999998</v>
      </c>
      <c r="L145" s="59">
        <f t="shared" si="937"/>
        <v>54567.154641999994</v>
      </c>
      <c r="M145" s="55">
        <f t="shared" si="938"/>
        <v>16166.15</v>
      </c>
      <c r="N145" s="59">
        <f t="shared" si="939"/>
        <v>53442.058669999999</v>
      </c>
      <c r="O145" s="55">
        <f t="shared" si="940"/>
        <v>15825.810000000001</v>
      </c>
      <c r="P145" s="59">
        <f t="shared" si="941"/>
        <v>52316.962698000003</v>
      </c>
      <c r="Q145" s="57">
        <f t="shared" si="942"/>
        <v>15485.470000000001</v>
      </c>
      <c r="R145" s="59">
        <f t="shared" si="943"/>
        <v>51191.866726000007</v>
      </c>
      <c r="S145" s="55">
        <f t="shared" si="944"/>
        <v>15145.130000000001</v>
      </c>
      <c r="T145" s="59">
        <f t="shared" si="945"/>
        <v>50066.770754000005</v>
      </c>
      <c r="U145" s="57">
        <f t="shared" si="946"/>
        <v>14804.789999999999</v>
      </c>
      <c r="V145" s="59">
        <f t="shared" si="947"/>
        <v>48941.674781999995</v>
      </c>
      <c r="W145" s="60">
        <f t="shared" si="948"/>
        <v>14464.449999999999</v>
      </c>
      <c r="X145" s="59">
        <f t="shared" si="949"/>
        <v>47816.578809999999</v>
      </c>
      <c r="Y145" s="57">
        <f t="shared" si="950"/>
        <v>14124.109999999999</v>
      </c>
      <c r="Z145" s="59">
        <f t="shared" si="951"/>
        <v>46691.482837999996</v>
      </c>
      <c r="AA145" s="55">
        <f t="shared" si="952"/>
        <v>13783.769999999999</v>
      </c>
      <c r="AB145" s="59">
        <f t="shared" si="953"/>
        <v>45566.386865999993</v>
      </c>
      <c r="AC145" s="60">
        <f t="shared" si="954"/>
        <v>13443.429999999998</v>
      </c>
      <c r="AD145" s="59">
        <f t="shared" si="955"/>
        <v>44441.290893999998</v>
      </c>
      <c r="AE145" s="60">
        <f t="shared" si="956"/>
        <v>13103.089999999998</v>
      </c>
      <c r="AF145" s="59">
        <f t="shared" si="957"/>
        <v>43316.194921999995</v>
      </c>
      <c r="AG145" s="60">
        <f t="shared" si="958"/>
        <v>12762.749999999998</v>
      </c>
      <c r="AH145" s="59">
        <f t="shared" si="959"/>
        <v>42191.098949999992</v>
      </c>
      <c r="AI145" s="55">
        <f t="shared" si="960"/>
        <v>12422.409999999998</v>
      </c>
      <c r="AJ145" s="59">
        <f t="shared" si="961"/>
        <v>41066.002977999997</v>
      </c>
      <c r="AK145" s="60">
        <f t="shared" si="962"/>
        <v>12082.069999999998</v>
      </c>
      <c r="AL145" s="59">
        <f t="shared" si="963"/>
        <v>39940.907005999994</v>
      </c>
      <c r="AM145" s="60">
        <f t="shared" si="964"/>
        <v>11741.729999999998</v>
      </c>
      <c r="AN145" s="59">
        <f t="shared" si="965"/>
        <v>38815.811033999991</v>
      </c>
      <c r="AO145" s="60">
        <f t="shared" si="966"/>
        <v>11401.389999999998</v>
      </c>
      <c r="AP145" s="59">
        <f t="shared" si="967"/>
        <v>37690.715061999996</v>
      </c>
      <c r="AQ145" s="60">
        <f t="shared" si="968"/>
        <v>11061.049999999997</v>
      </c>
      <c r="AR145" s="59">
        <f t="shared" si="969"/>
        <v>36565.619089999993</v>
      </c>
      <c r="AS145" s="55">
        <f t="shared" si="970"/>
        <v>10720.709999999995</v>
      </c>
      <c r="AT145" s="59">
        <f t="shared" si="971"/>
        <v>35440.523117999983</v>
      </c>
      <c r="AU145" s="60">
        <f t="shared" si="972"/>
        <v>10380.369999999995</v>
      </c>
      <c r="AV145" s="59">
        <f t="shared" si="973"/>
        <v>34315.427145999987</v>
      </c>
      <c r="AW145" s="60">
        <f t="shared" si="974"/>
        <v>10040.029999999995</v>
      </c>
      <c r="AX145" s="59">
        <f t="shared" si="975"/>
        <v>33190.331173999984</v>
      </c>
      <c r="AY145" s="55">
        <f t="shared" si="976"/>
        <v>9699.6899999999951</v>
      </c>
      <c r="AZ145" s="59">
        <f t="shared" si="977"/>
        <v>32065.235201999985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78"/>
        <v>0.91</v>
      </c>
      <c r="BH145" s="55">
        <f t="shared" si="978"/>
        <v>0.89</v>
      </c>
      <c r="BI145" s="55">
        <f t="shared" si="978"/>
        <v>0.87</v>
      </c>
      <c r="BJ145" s="55">
        <f t="shared" si="978"/>
        <v>0.85</v>
      </c>
      <c r="BK145" s="55">
        <f t="shared" si="978"/>
        <v>0.83</v>
      </c>
      <c r="BL145" s="55">
        <f t="shared" si="978"/>
        <v>0.80999999999999994</v>
      </c>
      <c r="BM145" s="55">
        <f t="shared" si="978"/>
        <v>0.78999999999999992</v>
      </c>
      <c r="BN145" s="55">
        <f t="shared" si="978"/>
        <v>0.76999999999999991</v>
      </c>
      <c r="BO145" s="55">
        <f t="shared" si="978"/>
        <v>0.74999999999999989</v>
      </c>
      <c r="BP145" s="55">
        <f t="shared" si="978"/>
        <v>0.72999999999999987</v>
      </c>
      <c r="BQ145" s="55">
        <f t="shared" si="978"/>
        <v>0.70999999999999985</v>
      </c>
      <c r="BR145" s="55">
        <f t="shared" si="978"/>
        <v>0.68999999999999984</v>
      </c>
      <c r="BS145" s="55">
        <f t="shared" si="978"/>
        <v>0.66999999999999982</v>
      </c>
      <c r="BT145" s="55">
        <f t="shared" si="978"/>
        <v>0.6499999999999998</v>
      </c>
      <c r="BU145" s="55">
        <f t="shared" si="978"/>
        <v>0.62999999999999978</v>
      </c>
      <c r="BV145" s="55">
        <f t="shared" si="978"/>
        <v>0.60999999999999976</v>
      </c>
      <c r="BW145" s="55">
        <f t="shared" si="978"/>
        <v>0.58999999999999975</v>
      </c>
      <c r="BX145" s="55">
        <f t="shared" si="978"/>
        <v>0.56999999999999973</v>
      </c>
      <c r="BZ145" s="55">
        <f t="shared" si="508"/>
        <v>15485.470000000001</v>
      </c>
      <c r="CA145" s="55">
        <f t="shared" si="509"/>
        <v>15485.470000000001</v>
      </c>
      <c r="CB145" s="59">
        <f t="shared" si="979"/>
        <v>51191.866726000007</v>
      </c>
      <c r="CC145" s="55">
        <f t="shared" si="980"/>
        <v>15020.905900000002</v>
      </c>
      <c r="CD145" s="59">
        <f t="shared" si="981"/>
        <v>49656.110724220009</v>
      </c>
      <c r="CE145" s="55">
        <f t="shared" si="982"/>
        <v>14711.1965</v>
      </c>
      <c r="CF145" s="59">
        <f t="shared" si="983"/>
        <v>48632.2733897</v>
      </c>
      <c r="CG145" s="55">
        <f t="shared" si="984"/>
        <v>14401.487100000002</v>
      </c>
      <c r="CH145" s="59">
        <f t="shared" si="985"/>
        <v>47608.436055180005</v>
      </c>
      <c r="CI145" s="57">
        <f t="shared" si="986"/>
        <v>14091.777700000002</v>
      </c>
      <c r="CJ145" s="59">
        <f t="shared" si="987"/>
        <v>46584.598720660011</v>
      </c>
      <c r="CK145" s="55">
        <f t="shared" si="988"/>
        <v>13782.068300000001</v>
      </c>
      <c r="CL145" s="59">
        <f t="shared" si="989"/>
        <v>45560.761386140002</v>
      </c>
      <c r="CM145" s="57">
        <f t="shared" si="990"/>
        <v>13472.358900000001</v>
      </c>
      <c r="CN145" s="59">
        <f t="shared" si="991"/>
        <v>44536.924051620008</v>
      </c>
      <c r="CO145" s="60">
        <f t="shared" si="992"/>
        <v>13162.649500000001</v>
      </c>
      <c r="CP145" s="59">
        <f t="shared" si="993"/>
        <v>43513.086717100006</v>
      </c>
      <c r="CQ145" s="57">
        <f t="shared" si="994"/>
        <v>12852.9401</v>
      </c>
      <c r="CR145" s="59">
        <f t="shared" si="995"/>
        <v>42489.249382579997</v>
      </c>
      <c r="CS145" s="55">
        <f t="shared" si="996"/>
        <v>12543.2307</v>
      </c>
      <c r="CT145" s="59">
        <f t="shared" si="997"/>
        <v>41465.412048060003</v>
      </c>
      <c r="CU145" s="60">
        <f t="shared" si="998"/>
        <v>12233.5213</v>
      </c>
      <c r="CV145" s="59">
        <f t="shared" si="999"/>
        <v>40441.574713540002</v>
      </c>
      <c r="CW145" s="60">
        <f t="shared" si="1000"/>
        <v>11923.811899999999</v>
      </c>
      <c r="CX145" s="59">
        <f t="shared" si="1001"/>
        <v>39417.73737902</v>
      </c>
      <c r="CY145" s="60">
        <f t="shared" si="1002"/>
        <v>11614.102499999999</v>
      </c>
      <c r="CZ145" s="59">
        <f t="shared" si="1003"/>
        <v>38393.900044499998</v>
      </c>
      <c r="DA145" s="55">
        <f t="shared" si="1004"/>
        <v>11304.393099999999</v>
      </c>
      <c r="DB145" s="59">
        <f t="shared" si="1005"/>
        <v>37370.062709979997</v>
      </c>
      <c r="DC145" s="60">
        <f t="shared" si="1006"/>
        <v>10994.683699999998</v>
      </c>
      <c r="DD145" s="59">
        <f t="shared" si="1007"/>
        <v>36346.225375459995</v>
      </c>
      <c r="DE145" s="60">
        <f t="shared" si="1008"/>
        <v>10684.974299999998</v>
      </c>
      <c r="DF145" s="59">
        <f t="shared" si="1009"/>
        <v>35322.388040939994</v>
      </c>
      <c r="DG145" s="60">
        <f t="shared" si="1010"/>
        <v>10375.264899999998</v>
      </c>
      <c r="DH145" s="59">
        <f t="shared" si="1011"/>
        <v>34298.550706419992</v>
      </c>
      <c r="DI145" s="60">
        <f t="shared" si="1012"/>
        <v>10065.555499999997</v>
      </c>
      <c r="DJ145" s="59">
        <f t="shared" si="1013"/>
        <v>33274.71337189999</v>
      </c>
      <c r="DK145" s="55">
        <f t="shared" si="1014"/>
        <v>9755.846099999997</v>
      </c>
      <c r="DL145" s="59">
        <f t="shared" si="1015"/>
        <v>32250.876037379992</v>
      </c>
      <c r="DM145" s="60">
        <f t="shared" si="1016"/>
        <v>9446.1366999999973</v>
      </c>
      <c r="DN145" s="59">
        <f t="shared" si="1017"/>
        <v>31227.038702859991</v>
      </c>
      <c r="DO145" s="60">
        <f t="shared" si="1018"/>
        <v>9136.4272999999976</v>
      </c>
      <c r="DP145" s="59">
        <f t="shared" si="1019"/>
        <v>30203.201368339993</v>
      </c>
      <c r="DQ145" s="55">
        <f t="shared" si="1020"/>
        <v>8826.717899999996</v>
      </c>
      <c r="DR145" s="59">
        <f t="shared" si="1021"/>
        <v>29179.364033819988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30"/>
        <v>0.91</v>
      </c>
      <c r="DZ145" s="55">
        <f t="shared" si="930"/>
        <v>0.89</v>
      </c>
      <c r="EA145" s="55">
        <f t="shared" si="930"/>
        <v>0.87</v>
      </c>
      <c r="EB145" s="55">
        <f t="shared" si="930"/>
        <v>0.85</v>
      </c>
      <c r="EC145" s="55">
        <f t="shared" si="930"/>
        <v>0.83</v>
      </c>
      <c r="ED145" s="55">
        <f t="shared" si="930"/>
        <v>0.80999999999999994</v>
      </c>
      <c r="EE145" s="55">
        <f t="shared" si="930"/>
        <v>0.78999999999999992</v>
      </c>
      <c r="EF145" s="55">
        <f t="shared" si="930"/>
        <v>0.76999999999999991</v>
      </c>
      <c r="EG145" s="55">
        <f t="shared" si="930"/>
        <v>0.74999999999999989</v>
      </c>
      <c r="EH145" s="55">
        <f t="shared" si="930"/>
        <v>0.72999999999999987</v>
      </c>
      <c r="EI145" s="55">
        <f t="shared" si="930"/>
        <v>0.70999999999999985</v>
      </c>
      <c r="EJ145" s="55">
        <f t="shared" si="930"/>
        <v>0.68999999999999984</v>
      </c>
      <c r="EK145" s="55">
        <f t="shared" si="930"/>
        <v>0.66999999999999982</v>
      </c>
      <c r="EL145" s="55">
        <f t="shared" si="930"/>
        <v>0.6499999999999998</v>
      </c>
      <c r="EM145" s="55">
        <f t="shared" si="930"/>
        <v>0.62999999999999978</v>
      </c>
      <c r="EN145" s="55">
        <f t="shared" si="930"/>
        <v>0.60999999999999976</v>
      </c>
      <c r="EO145" s="55">
        <f t="shared" si="930"/>
        <v>0.58999999999999975</v>
      </c>
      <c r="EP145" s="55">
        <f t="shared" si="930"/>
        <v>0.56999999999999973</v>
      </c>
      <c r="ER145" s="55">
        <f t="shared" si="648"/>
        <v>14091.777700000002</v>
      </c>
      <c r="ES145" s="55">
        <f t="shared" si="510"/>
        <v>14091.777700000002</v>
      </c>
      <c r="ET145" s="59">
        <f t="shared" si="1022"/>
        <v>46584.598720660011</v>
      </c>
      <c r="EU145" s="55">
        <f t="shared" si="1023"/>
        <v>13669.024369000002</v>
      </c>
      <c r="EV145" s="59">
        <f t="shared" si="1024"/>
        <v>45187.060759040207</v>
      </c>
      <c r="EW145" s="55">
        <f t="shared" si="1025"/>
        <v>13387.188815000001</v>
      </c>
      <c r="EX145" s="59">
        <f t="shared" si="1026"/>
        <v>44255.368784627004</v>
      </c>
      <c r="EY145" s="55">
        <f t="shared" si="1027"/>
        <v>13105.353261000002</v>
      </c>
      <c r="EZ145" s="59">
        <f t="shared" si="1028"/>
        <v>43323.676810213808</v>
      </c>
      <c r="FA145" s="57">
        <f t="shared" si="1029"/>
        <v>12823.517707000003</v>
      </c>
      <c r="FB145" s="59">
        <f t="shared" si="1030"/>
        <v>42391.984835800613</v>
      </c>
      <c r="FC145" s="55">
        <f t="shared" si="1031"/>
        <v>12541.682153000002</v>
      </c>
      <c r="FD145" s="59">
        <f t="shared" si="1032"/>
        <v>41460.292861387403</v>
      </c>
      <c r="FE145" s="57">
        <f t="shared" si="1033"/>
        <v>12259.846599000002</v>
      </c>
      <c r="FF145" s="59">
        <f t="shared" si="1034"/>
        <v>40528.600886974207</v>
      </c>
      <c r="FG145" s="60">
        <f t="shared" si="1035"/>
        <v>11978.011045000001</v>
      </c>
      <c r="FH145" s="59">
        <f t="shared" si="1036"/>
        <v>39596.908912561004</v>
      </c>
      <c r="FI145" s="57">
        <f t="shared" si="1037"/>
        <v>11696.175491000002</v>
      </c>
      <c r="FJ145" s="59">
        <f t="shared" si="1038"/>
        <v>38665.216938147809</v>
      </c>
      <c r="FK145" s="55">
        <f t="shared" si="1039"/>
        <v>11414.339937000001</v>
      </c>
      <c r="FL145" s="59">
        <f t="shared" si="1040"/>
        <v>37733.524963734606</v>
      </c>
      <c r="FM145" s="60">
        <f t="shared" si="1041"/>
        <v>11132.504383000001</v>
      </c>
      <c r="FN145" s="59">
        <f t="shared" si="1042"/>
        <v>36801.832989321403</v>
      </c>
      <c r="FO145" s="60">
        <f t="shared" si="1043"/>
        <v>10850.668829</v>
      </c>
      <c r="FP145" s="59">
        <f t="shared" si="1044"/>
        <v>35870.1410149082</v>
      </c>
      <c r="FQ145" s="60">
        <f t="shared" si="1045"/>
        <v>10568.833275000001</v>
      </c>
      <c r="FR145" s="59">
        <f t="shared" si="1046"/>
        <v>34938.449040495005</v>
      </c>
      <c r="FS145" s="55">
        <f t="shared" si="1047"/>
        <v>10286.997721</v>
      </c>
      <c r="FT145" s="59">
        <f t="shared" si="1048"/>
        <v>34006.757066081802</v>
      </c>
      <c r="FU145" s="60">
        <f t="shared" si="1049"/>
        <v>10005.162167</v>
      </c>
      <c r="FV145" s="59">
        <f t="shared" si="1050"/>
        <v>33075.065091668599</v>
      </c>
      <c r="FW145" s="60">
        <f t="shared" si="1051"/>
        <v>9723.3266129999993</v>
      </c>
      <c r="FX145" s="59">
        <f t="shared" si="1052"/>
        <v>32143.3731172554</v>
      </c>
      <c r="FY145" s="60">
        <f t="shared" si="1053"/>
        <v>9441.4910589999981</v>
      </c>
      <c r="FZ145" s="59">
        <f t="shared" si="1054"/>
        <v>31211.681142842193</v>
      </c>
      <c r="GA145" s="60">
        <f t="shared" si="1055"/>
        <v>9159.6555049999988</v>
      </c>
      <c r="GB145" s="59">
        <f t="shared" si="1056"/>
        <v>30279.989168428998</v>
      </c>
      <c r="GC145" s="55">
        <f t="shared" si="1057"/>
        <v>8877.8199509999977</v>
      </c>
      <c r="GD145" s="59">
        <f t="shared" si="1058"/>
        <v>29348.297194015791</v>
      </c>
      <c r="GE145" s="60">
        <f t="shared" si="1059"/>
        <v>8595.9843969999984</v>
      </c>
      <c r="GF145" s="59">
        <f t="shared" si="1060"/>
        <v>28416.605219602596</v>
      </c>
      <c r="GG145" s="60">
        <f t="shared" si="1061"/>
        <v>8314.1488429999972</v>
      </c>
      <c r="GH145" s="59">
        <f t="shared" si="1062"/>
        <v>27484.913245189393</v>
      </c>
      <c r="GI145" s="55">
        <f t="shared" si="1063"/>
        <v>8032.3132889999979</v>
      </c>
      <c r="GJ145" s="59">
        <f t="shared" si="1064"/>
        <v>26553.221270776194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31"/>
        <v>0.91</v>
      </c>
      <c r="GR145" s="55">
        <f t="shared" si="931"/>
        <v>0.89</v>
      </c>
      <c r="GS145" s="55">
        <f t="shared" si="931"/>
        <v>0.87</v>
      </c>
      <c r="GT145" s="55">
        <f t="shared" si="931"/>
        <v>0.85</v>
      </c>
      <c r="GU145" s="55">
        <f t="shared" si="931"/>
        <v>0.83</v>
      </c>
      <c r="GV145" s="55">
        <f t="shared" si="931"/>
        <v>0.80999999999999994</v>
      </c>
      <c r="GW145" s="55">
        <f t="shared" si="931"/>
        <v>0.78999999999999992</v>
      </c>
      <c r="GX145" s="55">
        <f t="shared" si="931"/>
        <v>0.76999999999999991</v>
      </c>
      <c r="GY145" s="55">
        <f t="shared" si="931"/>
        <v>0.74999999999999989</v>
      </c>
      <c r="GZ145" s="55">
        <f t="shared" si="931"/>
        <v>0.72999999999999987</v>
      </c>
      <c r="HA145" s="55">
        <f t="shared" si="931"/>
        <v>0.70999999999999985</v>
      </c>
      <c r="HB145" s="55">
        <f t="shared" si="931"/>
        <v>0.68999999999999984</v>
      </c>
      <c r="HC145" s="55">
        <f t="shared" si="931"/>
        <v>0.66999999999999982</v>
      </c>
      <c r="HD145" s="55">
        <f t="shared" si="931"/>
        <v>0.6499999999999998</v>
      </c>
      <c r="HE145" s="55">
        <f t="shared" si="931"/>
        <v>0.62999999999999978</v>
      </c>
      <c r="HF145" s="55">
        <f t="shared" si="931"/>
        <v>0.60999999999999976</v>
      </c>
      <c r="HG145" s="55">
        <f t="shared" si="931"/>
        <v>0.58999999999999975</v>
      </c>
      <c r="HH145" s="55">
        <f t="shared" si="931"/>
        <v>0.56999999999999973</v>
      </c>
    </row>
    <row r="146" spans="1:216" x14ac:dyDescent="0.3">
      <c r="A146" s="2">
        <v>4</v>
      </c>
      <c r="C146" s="38" t="s">
        <v>47</v>
      </c>
      <c r="D146" s="42">
        <f>TRUNC(7858.5932241418+1300.27103432802+2520.69104778999+6784.30738164685+24103.7332286291,-1)</f>
        <v>42560</v>
      </c>
      <c r="E146" s="71">
        <f>TRUNC(+D146*3.3058,-1)</f>
        <v>140690</v>
      </c>
      <c r="F146" s="2" t="s">
        <v>314</v>
      </c>
      <c r="H146" s="55">
        <f t="shared" si="505"/>
        <v>154759</v>
      </c>
      <c r="I146" s="55">
        <f t="shared" si="506"/>
        <v>154759</v>
      </c>
      <c r="J146" s="59">
        <f t="shared" si="507"/>
        <v>511602.30220000003</v>
      </c>
      <c r="K146" s="55">
        <f t="shared" si="936"/>
        <v>150116.22999999998</v>
      </c>
      <c r="L146" s="59">
        <f t="shared" si="937"/>
        <v>496254.23313399992</v>
      </c>
      <c r="M146" s="55">
        <f t="shared" si="938"/>
        <v>147021.04999999999</v>
      </c>
      <c r="N146" s="59">
        <f t="shared" si="939"/>
        <v>486022.18708999996</v>
      </c>
      <c r="O146" s="55">
        <f t="shared" si="940"/>
        <v>143925.87</v>
      </c>
      <c r="P146" s="59">
        <f t="shared" si="941"/>
        <v>475790.141046</v>
      </c>
      <c r="Q146" s="57">
        <f t="shared" si="942"/>
        <v>140830.69</v>
      </c>
      <c r="R146" s="59">
        <f t="shared" si="943"/>
        <v>465558.09500200005</v>
      </c>
      <c r="S146" s="55">
        <f t="shared" si="944"/>
        <v>137735.51</v>
      </c>
      <c r="T146" s="59">
        <f t="shared" si="945"/>
        <v>455326.04895800003</v>
      </c>
      <c r="U146" s="57">
        <f t="shared" si="946"/>
        <v>134640.32999999999</v>
      </c>
      <c r="V146" s="59">
        <f t="shared" si="947"/>
        <v>445094.00291399995</v>
      </c>
      <c r="W146" s="60">
        <f t="shared" si="948"/>
        <v>131545.15</v>
      </c>
      <c r="X146" s="59">
        <f t="shared" si="949"/>
        <v>434861.95686999999</v>
      </c>
      <c r="Y146" s="57">
        <f t="shared" si="950"/>
        <v>128449.96999999999</v>
      </c>
      <c r="Z146" s="59">
        <f t="shared" si="951"/>
        <v>424629.91082599998</v>
      </c>
      <c r="AA146" s="55">
        <f t="shared" si="952"/>
        <v>125354.79</v>
      </c>
      <c r="AB146" s="59">
        <f t="shared" si="953"/>
        <v>414397.86478199996</v>
      </c>
      <c r="AC146" s="60">
        <f t="shared" si="954"/>
        <v>122259.60999999999</v>
      </c>
      <c r="AD146" s="59">
        <f t="shared" si="955"/>
        <v>404165.81873799994</v>
      </c>
      <c r="AE146" s="60">
        <f t="shared" si="956"/>
        <v>119164.42999999998</v>
      </c>
      <c r="AF146" s="59">
        <f t="shared" si="957"/>
        <v>393933.77269399993</v>
      </c>
      <c r="AG146" s="60">
        <f t="shared" si="958"/>
        <v>116069.24999999999</v>
      </c>
      <c r="AH146" s="59">
        <f t="shared" si="959"/>
        <v>383701.72664999997</v>
      </c>
      <c r="AI146" s="55">
        <f t="shared" si="960"/>
        <v>112974.06999999998</v>
      </c>
      <c r="AJ146" s="59">
        <f t="shared" si="961"/>
        <v>373469.68060599995</v>
      </c>
      <c r="AK146" s="60">
        <f t="shared" si="962"/>
        <v>109878.88999999997</v>
      </c>
      <c r="AL146" s="59">
        <f t="shared" si="963"/>
        <v>363237.63456199993</v>
      </c>
      <c r="AM146" s="60">
        <f t="shared" si="964"/>
        <v>106783.70999999998</v>
      </c>
      <c r="AN146" s="59">
        <f t="shared" si="965"/>
        <v>353005.58851799992</v>
      </c>
      <c r="AO146" s="60">
        <f t="shared" si="966"/>
        <v>103688.52999999997</v>
      </c>
      <c r="AP146" s="59">
        <f t="shared" si="967"/>
        <v>342773.5424739999</v>
      </c>
      <c r="AQ146" s="60">
        <f t="shared" si="968"/>
        <v>100593.34999999996</v>
      </c>
      <c r="AR146" s="59">
        <f t="shared" si="969"/>
        <v>332541.49642999988</v>
      </c>
      <c r="AS146" s="55">
        <f t="shared" si="970"/>
        <v>97498.169999999969</v>
      </c>
      <c r="AT146" s="59">
        <f t="shared" si="971"/>
        <v>322309.45038599992</v>
      </c>
      <c r="AU146" s="60">
        <f t="shared" si="972"/>
        <v>94402.989999999962</v>
      </c>
      <c r="AV146" s="59">
        <f t="shared" si="973"/>
        <v>312077.40434199991</v>
      </c>
      <c r="AW146" s="60">
        <f t="shared" si="974"/>
        <v>91307.809999999954</v>
      </c>
      <c r="AX146" s="59">
        <f t="shared" si="975"/>
        <v>301845.35829799983</v>
      </c>
      <c r="AY146" s="55">
        <f t="shared" si="976"/>
        <v>88212.629999999961</v>
      </c>
      <c r="AZ146" s="59">
        <f t="shared" si="977"/>
        <v>291613.31225399987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78"/>
        <v>0.91</v>
      </c>
      <c r="BH146" s="55">
        <f t="shared" si="978"/>
        <v>0.89</v>
      </c>
      <c r="BI146" s="55">
        <f t="shared" si="978"/>
        <v>0.87</v>
      </c>
      <c r="BJ146" s="55">
        <f t="shared" si="978"/>
        <v>0.85</v>
      </c>
      <c r="BK146" s="55">
        <f t="shared" si="978"/>
        <v>0.83</v>
      </c>
      <c r="BL146" s="55">
        <f t="shared" si="978"/>
        <v>0.80999999999999994</v>
      </c>
      <c r="BM146" s="55">
        <f t="shared" si="978"/>
        <v>0.78999999999999992</v>
      </c>
      <c r="BN146" s="55">
        <f t="shared" si="978"/>
        <v>0.76999999999999991</v>
      </c>
      <c r="BO146" s="55">
        <f t="shared" si="978"/>
        <v>0.74999999999999989</v>
      </c>
      <c r="BP146" s="55">
        <f t="shared" si="978"/>
        <v>0.72999999999999987</v>
      </c>
      <c r="BQ146" s="55">
        <f t="shared" si="978"/>
        <v>0.70999999999999985</v>
      </c>
      <c r="BR146" s="55">
        <f t="shared" si="978"/>
        <v>0.68999999999999984</v>
      </c>
      <c r="BS146" s="55">
        <f t="shared" si="978"/>
        <v>0.66999999999999982</v>
      </c>
      <c r="BT146" s="55">
        <f t="shared" si="978"/>
        <v>0.6499999999999998</v>
      </c>
      <c r="BU146" s="55">
        <f t="shared" si="978"/>
        <v>0.62999999999999978</v>
      </c>
      <c r="BV146" s="55">
        <f t="shared" si="978"/>
        <v>0.60999999999999976</v>
      </c>
      <c r="BW146" s="55">
        <f t="shared" si="978"/>
        <v>0.58999999999999975</v>
      </c>
      <c r="BX146" s="55">
        <f t="shared" si="978"/>
        <v>0.56999999999999973</v>
      </c>
      <c r="BZ146" s="55">
        <f t="shared" si="508"/>
        <v>140830.69</v>
      </c>
      <c r="CA146" s="55">
        <f t="shared" si="509"/>
        <v>140830.69</v>
      </c>
      <c r="CB146" s="59">
        <f t="shared" si="979"/>
        <v>465558.09500200005</v>
      </c>
      <c r="CC146" s="55">
        <f t="shared" si="980"/>
        <v>136605.76929999999</v>
      </c>
      <c r="CD146" s="59">
        <f t="shared" si="981"/>
        <v>451591.35215193994</v>
      </c>
      <c r="CE146" s="55">
        <f t="shared" si="982"/>
        <v>133789.15549999999</v>
      </c>
      <c r="CF146" s="59">
        <f t="shared" si="983"/>
        <v>442280.1902519</v>
      </c>
      <c r="CG146" s="55">
        <f t="shared" si="984"/>
        <v>130972.54170000002</v>
      </c>
      <c r="CH146" s="59">
        <f t="shared" si="985"/>
        <v>432969.02835186006</v>
      </c>
      <c r="CI146" s="57">
        <f t="shared" si="986"/>
        <v>128155.92790000001</v>
      </c>
      <c r="CJ146" s="59">
        <f t="shared" si="987"/>
        <v>423657.86645182007</v>
      </c>
      <c r="CK146" s="55">
        <f t="shared" si="988"/>
        <v>125339.3141</v>
      </c>
      <c r="CL146" s="59">
        <f t="shared" si="989"/>
        <v>414346.70455178001</v>
      </c>
      <c r="CM146" s="57">
        <f t="shared" si="990"/>
        <v>122522.7003</v>
      </c>
      <c r="CN146" s="59">
        <f t="shared" si="991"/>
        <v>405035.54265174002</v>
      </c>
      <c r="CO146" s="60">
        <f t="shared" si="992"/>
        <v>119706.0865</v>
      </c>
      <c r="CP146" s="59">
        <f t="shared" si="993"/>
        <v>395724.38075170002</v>
      </c>
      <c r="CQ146" s="57">
        <f t="shared" si="994"/>
        <v>116889.4727</v>
      </c>
      <c r="CR146" s="59">
        <f t="shared" si="995"/>
        <v>386413.21885166003</v>
      </c>
      <c r="CS146" s="55">
        <f t="shared" si="996"/>
        <v>114072.85889999999</v>
      </c>
      <c r="CT146" s="59">
        <f t="shared" si="997"/>
        <v>377102.05695161998</v>
      </c>
      <c r="CU146" s="60">
        <f t="shared" si="998"/>
        <v>111256.24509999999</v>
      </c>
      <c r="CV146" s="59">
        <f t="shared" si="999"/>
        <v>367790.89505157998</v>
      </c>
      <c r="CW146" s="60">
        <f t="shared" si="1000"/>
        <v>108439.63129999999</v>
      </c>
      <c r="CX146" s="59">
        <f t="shared" si="1001"/>
        <v>358479.73315153999</v>
      </c>
      <c r="CY146" s="60">
        <f t="shared" si="1002"/>
        <v>105623.01749999999</v>
      </c>
      <c r="CZ146" s="59">
        <f t="shared" si="1003"/>
        <v>349168.57125149999</v>
      </c>
      <c r="DA146" s="55">
        <f t="shared" si="1004"/>
        <v>102806.40369999998</v>
      </c>
      <c r="DB146" s="59">
        <f t="shared" si="1005"/>
        <v>339857.40935145994</v>
      </c>
      <c r="DC146" s="60">
        <f t="shared" si="1006"/>
        <v>99989.789899999974</v>
      </c>
      <c r="DD146" s="59">
        <f t="shared" si="1007"/>
        <v>330546.24745141994</v>
      </c>
      <c r="DE146" s="60">
        <f t="shared" si="1008"/>
        <v>97173.176099999982</v>
      </c>
      <c r="DF146" s="59">
        <f t="shared" si="1009"/>
        <v>321235.08555137995</v>
      </c>
      <c r="DG146" s="60">
        <f t="shared" si="1010"/>
        <v>94356.562299999976</v>
      </c>
      <c r="DH146" s="59">
        <f t="shared" si="1011"/>
        <v>311923.92365133995</v>
      </c>
      <c r="DI146" s="60">
        <f t="shared" si="1012"/>
        <v>91539.948499999969</v>
      </c>
      <c r="DJ146" s="59">
        <f t="shared" si="1013"/>
        <v>302612.7617512999</v>
      </c>
      <c r="DK146" s="55">
        <f t="shared" si="1014"/>
        <v>88723.334699999978</v>
      </c>
      <c r="DL146" s="59">
        <f t="shared" si="1015"/>
        <v>293301.5998512599</v>
      </c>
      <c r="DM146" s="60">
        <f t="shared" si="1016"/>
        <v>85906.720899999971</v>
      </c>
      <c r="DN146" s="59">
        <f t="shared" si="1017"/>
        <v>283990.43795121991</v>
      </c>
      <c r="DO146" s="60">
        <f t="shared" si="1018"/>
        <v>83090.107099999965</v>
      </c>
      <c r="DP146" s="59">
        <f t="shared" si="1019"/>
        <v>274679.27605117991</v>
      </c>
      <c r="DQ146" s="55">
        <f t="shared" si="1020"/>
        <v>80273.493299999958</v>
      </c>
      <c r="DR146" s="59">
        <f t="shared" si="1021"/>
        <v>265368.11415113986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30"/>
        <v>0.91</v>
      </c>
      <c r="DZ146" s="55">
        <f t="shared" si="930"/>
        <v>0.89</v>
      </c>
      <c r="EA146" s="55">
        <f t="shared" si="930"/>
        <v>0.87</v>
      </c>
      <c r="EB146" s="55">
        <f t="shared" si="930"/>
        <v>0.85</v>
      </c>
      <c r="EC146" s="55">
        <f t="shared" si="930"/>
        <v>0.83</v>
      </c>
      <c r="ED146" s="55">
        <f t="shared" si="930"/>
        <v>0.80999999999999994</v>
      </c>
      <c r="EE146" s="55">
        <f t="shared" si="930"/>
        <v>0.78999999999999992</v>
      </c>
      <c r="EF146" s="55">
        <f t="shared" si="930"/>
        <v>0.76999999999999991</v>
      </c>
      <c r="EG146" s="55">
        <f t="shared" si="930"/>
        <v>0.74999999999999989</v>
      </c>
      <c r="EH146" s="55">
        <f t="shared" si="930"/>
        <v>0.72999999999999987</v>
      </c>
      <c r="EI146" s="55">
        <f t="shared" si="930"/>
        <v>0.70999999999999985</v>
      </c>
      <c r="EJ146" s="55">
        <f t="shared" si="930"/>
        <v>0.68999999999999984</v>
      </c>
      <c r="EK146" s="55">
        <f t="shared" si="930"/>
        <v>0.66999999999999982</v>
      </c>
      <c r="EL146" s="55">
        <f t="shared" si="930"/>
        <v>0.6499999999999998</v>
      </c>
      <c r="EM146" s="55">
        <f t="shared" si="930"/>
        <v>0.62999999999999978</v>
      </c>
      <c r="EN146" s="55">
        <f t="shared" si="930"/>
        <v>0.60999999999999976</v>
      </c>
      <c r="EO146" s="55">
        <f t="shared" si="930"/>
        <v>0.58999999999999975</v>
      </c>
      <c r="EP146" s="55">
        <f t="shared" si="930"/>
        <v>0.56999999999999973</v>
      </c>
      <c r="ER146" s="55">
        <f t="shared" si="648"/>
        <v>128155.92790000001</v>
      </c>
      <c r="ES146" s="55">
        <f t="shared" si="510"/>
        <v>128155.92790000001</v>
      </c>
      <c r="ET146" s="59">
        <f t="shared" si="1022"/>
        <v>423657.86645182007</v>
      </c>
      <c r="EU146" s="55">
        <f t="shared" si="1023"/>
        <v>124311.250063</v>
      </c>
      <c r="EV146" s="59">
        <f t="shared" si="1024"/>
        <v>410948.13045826543</v>
      </c>
      <c r="EW146" s="55">
        <f t="shared" si="1025"/>
        <v>121748.131505</v>
      </c>
      <c r="EX146" s="59">
        <f t="shared" si="1026"/>
        <v>402474.97312922898</v>
      </c>
      <c r="EY146" s="55">
        <f t="shared" si="1027"/>
        <v>119185.01294700001</v>
      </c>
      <c r="EZ146" s="59">
        <f t="shared" si="1028"/>
        <v>394001.81580019265</v>
      </c>
      <c r="FA146" s="57">
        <f t="shared" si="1029"/>
        <v>116621.89438900001</v>
      </c>
      <c r="FB146" s="59">
        <f t="shared" si="1030"/>
        <v>385528.65847115626</v>
      </c>
      <c r="FC146" s="55">
        <f t="shared" si="1031"/>
        <v>114058.77583100001</v>
      </c>
      <c r="FD146" s="59">
        <f t="shared" si="1032"/>
        <v>377055.50114211981</v>
      </c>
      <c r="FE146" s="57">
        <f t="shared" si="1033"/>
        <v>111495.657273</v>
      </c>
      <c r="FF146" s="59">
        <f t="shared" si="1034"/>
        <v>368582.34381308343</v>
      </c>
      <c r="FG146" s="60">
        <f t="shared" si="1035"/>
        <v>108932.538715</v>
      </c>
      <c r="FH146" s="59">
        <f t="shared" si="1036"/>
        <v>360109.18648404704</v>
      </c>
      <c r="FI146" s="57">
        <f t="shared" si="1037"/>
        <v>106369.420157</v>
      </c>
      <c r="FJ146" s="59">
        <f t="shared" si="1038"/>
        <v>351636.02915501059</v>
      </c>
      <c r="FK146" s="55">
        <f t="shared" si="1039"/>
        <v>103806.301599</v>
      </c>
      <c r="FL146" s="59">
        <f t="shared" si="1040"/>
        <v>343162.8718259742</v>
      </c>
      <c r="FM146" s="60">
        <f t="shared" si="1041"/>
        <v>101243.183041</v>
      </c>
      <c r="FN146" s="59">
        <f t="shared" si="1042"/>
        <v>334689.71449693781</v>
      </c>
      <c r="FO146" s="60">
        <f t="shared" si="1043"/>
        <v>98680.064482999995</v>
      </c>
      <c r="FP146" s="59">
        <f t="shared" si="1044"/>
        <v>326216.55716790137</v>
      </c>
      <c r="FQ146" s="60">
        <f t="shared" si="1045"/>
        <v>96116.945924999993</v>
      </c>
      <c r="FR146" s="59">
        <f t="shared" si="1046"/>
        <v>317743.39983886498</v>
      </c>
      <c r="FS146" s="55">
        <f t="shared" si="1047"/>
        <v>93553.827366999991</v>
      </c>
      <c r="FT146" s="59">
        <f t="shared" si="1048"/>
        <v>309270.24250982859</v>
      </c>
      <c r="FU146" s="60">
        <f t="shared" si="1049"/>
        <v>90990.708808999989</v>
      </c>
      <c r="FV146" s="59">
        <f t="shared" si="1050"/>
        <v>300797.08518079214</v>
      </c>
      <c r="FW146" s="60">
        <f t="shared" si="1051"/>
        <v>88427.590250999987</v>
      </c>
      <c r="FX146" s="59">
        <f t="shared" si="1052"/>
        <v>292323.92785175575</v>
      </c>
      <c r="FY146" s="60">
        <f t="shared" si="1053"/>
        <v>85864.471692999985</v>
      </c>
      <c r="FZ146" s="59">
        <f t="shared" si="1054"/>
        <v>283850.77052271937</v>
      </c>
      <c r="GA146" s="60">
        <f t="shared" si="1055"/>
        <v>83301.353134999983</v>
      </c>
      <c r="GB146" s="59">
        <f t="shared" si="1056"/>
        <v>275377.61319368298</v>
      </c>
      <c r="GC146" s="55">
        <f t="shared" si="1057"/>
        <v>80738.234576999981</v>
      </c>
      <c r="GD146" s="59">
        <f t="shared" si="1058"/>
        <v>266904.45586464653</v>
      </c>
      <c r="GE146" s="60">
        <f t="shared" si="1059"/>
        <v>78175.116018999979</v>
      </c>
      <c r="GF146" s="59">
        <f t="shared" si="1060"/>
        <v>258431.29853561014</v>
      </c>
      <c r="GG146" s="60">
        <f t="shared" si="1061"/>
        <v>75611.997460999977</v>
      </c>
      <c r="GH146" s="59">
        <f t="shared" si="1062"/>
        <v>249958.14120657372</v>
      </c>
      <c r="GI146" s="55">
        <f t="shared" si="1063"/>
        <v>73048.878902999975</v>
      </c>
      <c r="GJ146" s="59">
        <f t="shared" si="1064"/>
        <v>241484.98387753734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31"/>
        <v>0.91</v>
      </c>
      <c r="GR146" s="55">
        <f t="shared" si="931"/>
        <v>0.89</v>
      </c>
      <c r="GS146" s="55">
        <f t="shared" si="931"/>
        <v>0.87</v>
      </c>
      <c r="GT146" s="55">
        <f t="shared" si="931"/>
        <v>0.85</v>
      </c>
      <c r="GU146" s="55">
        <f t="shared" si="931"/>
        <v>0.83</v>
      </c>
      <c r="GV146" s="55">
        <f t="shared" si="931"/>
        <v>0.80999999999999994</v>
      </c>
      <c r="GW146" s="55">
        <f t="shared" si="931"/>
        <v>0.78999999999999992</v>
      </c>
      <c r="GX146" s="55">
        <f t="shared" si="931"/>
        <v>0.76999999999999991</v>
      </c>
      <c r="GY146" s="55">
        <f t="shared" si="931"/>
        <v>0.74999999999999989</v>
      </c>
      <c r="GZ146" s="55">
        <f t="shared" si="931"/>
        <v>0.72999999999999987</v>
      </c>
      <c r="HA146" s="55">
        <f t="shared" si="931"/>
        <v>0.70999999999999985</v>
      </c>
      <c r="HB146" s="55">
        <f t="shared" si="931"/>
        <v>0.68999999999999984</v>
      </c>
      <c r="HC146" s="55">
        <f t="shared" si="931"/>
        <v>0.66999999999999982</v>
      </c>
      <c r="HD146" s="55">
        <f t="shared" si="931"/>
        <v>0.6499999999999998</v>
      </c>
      <c r="HE146" s="55">
        <f t="shared" si="931"/>
        <v>0.62999999999999978</v>
      </c>
      <c r="HF146" s="55">
        <f t="shared" si="931"/>
        <v>0.60999999999999976</v>
      </c>
      <c r="HG146" s="55">
        <f t="shared" si="931"/>
        <v>0.58999999999999975</v>
      </c>
      <c r="HH146" s="55">
        <f t="shared" si="931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v>0</v>
      </c>
      <c r="E147" s="72">
        <f>TRUNC(+D147*3.3058,-1)</f>
        <v>0</v>
      </c>
      <c r="H147" s="55">
        <f t="shared" si="505"/>
        <v>0</v>
      </c>
      <c r="I147" s="55">
        <f t="shared" si="506"/>
        <v>0</v>
      </c>
      <c r="J147" s="59">
        <f t="shared" si="507"/>
        <v>0</v>
      </c>
      <c r="K147" s="55">
        <f t="shared" si="936"/>
        <v>0</v>
      </c>
      <c r="L147" s="59">
        <f t="shared" si="937"/>
        <v>0</v>
      </c>
      <c r="M147" s="55">
        <f t="shared" si="938"/>
        <v>0</v>
      </c>
      <c r="N147" s="59">
        <f t="shared" si="939"/>
        <v>0</v>
      </c>
      <c r="O147" s="55">
        <f t="shared" si="940"/>
        <v>0</v>
      </c>
      <c r="P147" s="59">
        <f t="shared" si="941"/>
        <v>0</v>
      </c>
      <c r="Q147" s="57">
        <f t="shared" si="942"/>
        <v>0</v>
      </c>
      <c r="R147" s="59">
        <f t="shared" si="943"/>
        <v>0</v>
      </c>
      <c r="S147" s="55">
        <f t="shared" si="944"/>
        <v>0</v>
      </c>
      <c r="T147" s="59">
        <f t="shared" si="945"/>
        <v>0</v>
      </c>
      <c r="U147" s="57">
        <f t="shared" si="946"/>
        <v>0</v>
      </c>
      <c r="V147" s="59">
        <f t="shared" si="947"/>
        <v>0</v>
      </c>
      <c r="W147" s="60">
        <f t="shared" si="948"/>
        <v>0</v>
      </c>
      <c r="X147" s="59">
        <f t="shared" si="949"/>
        <v>0</v>
      </c>
      <c r="Y147" s="57">
        <f t="shared" si="950"/>
        <v>0</v>
      </c>
      <c r="Z147" s="59">
        <f t="shared" si="951"/>
        <v>0</v>
      </c>
      <c r="AA147" s="55">
        <f t="shared" si="952"/>
        <v>0</v>
      </c>
      <c r="AB147" s="59">
        <f t="shared" si="953"/>
        <v>0</v>
      </c>
      <c r="AC147" s="60">
        <f t="shared" si="954"/>
        <v>0</v>
      </c>
      <c r="AD147" s="59">
        <f t="shared" si="955"/>
        <v>0</v>
      </c>
      <c r="AE147" s="60">
        <f t="shared" si="956"/>
        <v>0</v>
      </c>
      <c r="AF147" s="59">
        <f t="shared" si="957"/>
        <v>0</v>
      </c>
      <c r="AG147" s="60">
        <f t="shared" si="958"/>
        <v>0</v>
      </c>
      <c r="AH147" s="59">
        <f t="shared" si="959"/>
        <v>0</v>
      </c>
      <c r="AI147" s="55">
        <f t="shared" si="960"/>
        <v>0</v>
      </c>
      <c r="AJ147" s="59">
        <f t="shared" si="961"/>
        <v>0</v>
      </c>
      <c r="AK147" s="60">
        <f t="shared" si="962"/>
        <v>0</v>
      </c>
      <c r="AL147" s="59">
        <f t="shared" si="963"/>
        <v>0</v>
      </c>
      <c r="AM147" s="60">
        <f t="shared" si="964"/>
        <v>0</v>
      </c>
      <c r="AN147" s="59">
        <f t="shared" si="965"/>
        <v>0</v>
      </c>
      <c r="AO147" s="60">
        <f t="shared" si="966"/>
        <v>0</v>
      </c>
      <c r="AP147" s="59">
        <f t="shared" si="967"/>
        <v>0</v>
      </c>
      <c r="AQ147" s="60">
        <f t="shared" si="968"/>
        <v>0</v>
      </c>
      <c r="AR147" s="59">
        <f t="shared" si="969"/>
        <v>0</v>
      </c>
      <c r="AS147" s="55">
        <f t="shared" si="970"/>
        <v>0</v>
      </c>
      <c r="AT147" s="59">
        <f t="shared" si="971"/>
        <v>0</v>
      </c>
      <c r="AU147" s="60">
        <f t="shared" si="972"/>
        <v>0</v>
      </c>
      <c r="AV147" s="59">
        <f t="shared" si="973"/>
        <v>0</v>
      </c>
      <c r="AW147" s="60">
        <f t="shared" si="974"/>
        <v>0</v>
      </c>
      <c r="AX147" s="59">
        <f t="shared" si="975"/>
        <v>0</v>
      </c>
      <c r="AY147" s="55">
        <f t="shared" si="976"/>
        <v>0</v>
      </c>
      <c r="AZ147" s="59">
        <f t="shared" si="977"/>
        <v>0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78"/>
        <v>0.91</v>
      </c>
      <c r="BH147" s="55">
        <f t="shared" si="978"/>
        <v>0.89</v>
      </c>
      <c r="BI147" s="55">
        <f t="shared" si="978"/>
        <v>0.87</v>
      </c>
      <c r="BJ147" s="55">
        <f t="shared" si="978"/>
        <v>0.85</v>
      </c>
      <c r="BK147" s="55">
        <f t="shared" si="978"/>
        <v>0.83</v>
      </c>
      <c r="BL147" s="55">
        <f t="shared" si="978"/>
        <v>0.80999999999999994</v>
      </c>
      <c r="BM147" s="55">
        <f t="shared" si="978"/>
        <v>0.78999999999999992</v>
      </c>
      <c r="BN147" s="55">
        <f t="shared" si="978"/>
        <v>0.76999999999999991</v>
      </c>
      <c r="BO147" s="55">
        <f t="shared" si="978"/>
        <v>0.74999999999999989</v>
      </c>
      <c r="BP147" s="55">
        <f t="shared" si="978"/>
        <v>0.72999999999999987</v>
      </c>
      <c r="BQ147" s="55">
        <f t="shared" si="978"/>
        <v>0.70999999999999985</v>
      </c>
      <c r="BR147" s="55">
        <f t="shared" si="978"/>
        <v>0.68999999999999984</v>
      </c>
      <c r="BS147" s="55">
        <f t="shared" si="978"/>
        <v>0.66999999999999982</v>
      </c>
      <c r="BT147" s="55">
        <f t="shared" si="978"/>
        <v>0.6499999999999998</v>
      </c>
      <c r="BU147" s="55">
        <f t="shared" si="978"/>
        <v>0.62999999999999978</v>
      </c>
      <c r="BV147" s="55">
        <f t="shared" si="978"/>
        <v>0.60999999999999976</v>
      </c>
      <c r="BW147" s="55">
        <f t="shared" si="978"/>
        <v>0.58999999999999975</v>
      </c>
      <c r="BX147" s="55">
        <f t="shared" si="978"/>
        <v>0.56999999999999973</v>
      </c>
      <c r="BZ147" s="55">
        <f t="shared" si="508"/>
        <v>0</v>
      </c>
      <c r="CA147" s="55">
        <f t="shared" si="509"/>
        <v>0</v>
      </c>
      <c r="CB147" s="59">
        <f t="shared" si="979"/>
        <v>0</v>
      </c>
      <c r="CC147" s="55">
        <f t="shared" si="980"/>
        <v>0</v>
      </c>
      <c r="CD147" s="59">
        <f t="shared" si="981"/>
        <v>0</v>
      </c>
      <c r="CE147" s="55">
        <f t="shared" si="982"/>
        <v>0</v>
      </c>
      <c r="CF147" s="59">
        <f t="shared" si="983"/>
        <v>0</v>
      </c>
      <c r="CG147" s="55">
        <f t="shared" si="984"/>
        <v>0</v>
      </c>
      <c r="CH147" s="59">
        <f t="shared" si="985"/>
        <v>0</v>
      </c>
      <c r="CI147" s="57">
        <f t="shared" si="986"/>
        <v>0</v>
      </c>
      <c r="CJ147" s="59">
        <f t="shared" si="987"/>
        <v>0</v>
      </c>
      <c r="CK147" s="55">
        <f t="shared" si="988"/>
        <v>0</v>
      </c>
      <c r="CL147" s="59">
        <f t="shared" si="989"/>
        <v>0</v>
      </c>
      <c r="CM147" s="57">
        <f t="shared" si="990"/>
        <v>0</v>
      </c>
      <c r="CN147" s="59">
        <f t="shared" si="991"/>
        <v>0</v>
      </c>
      <c r="CO147" s="60">
        <f t="shared" si="992"/>
        <v>0</v>
      </c>
      <c r="CP147" s="59">
        <f t="shared" si="993"/>
        <v>0</v>
      </c>
      <c r="CQ147" s="57">
        <f t="shared" si="994"/>
        <v>0</v>
      </c>
      <c r="CR147" s="59">
        <f t="shared" si="995"/>
        <v>0</v>
      </c>
      <c r="CS147" s="55">
        <f t="shared" si="996"/>
        <v>0</v>
      </c>
      <c r="CT147" s="59">
        <f t="shared" si="997"/>
        <v>0</v>
      </c>
      <c r="CU147" s="60">
        <f t="shared" si="998"/>
        <v>0</v>
      </c>
      <c r="CV147" s="59">
        <f t="shared" si="999"/>
        <v>0</v>
      </c>
      <c r="CW147" s="60">
        <f t="shared" si="1000"/>
        <v>0</v>
      </c>
      <c r="CX147" s="59">
        <f t="shared" si="1001"/>
        <v>0</v>
      </c>
      <c r="CY147" s="60">
        <f t="shared" si="1002"/>
        <v>0</v>
      </c>
      <c r="CZ147" s="59">
        <f t="shared" si="1003"/>
        <v>0</v>
      </c>
      <c r="DA147" s="55">
        <f t="shared" si="1004"/>
        <v>0</v>
      </c>
      <c r="DB147" s="59">
        <f t="shared" si="1005"/>
        <v>0</v>
      </c>
      <c r="DC147" s="60">
        <f t="shared" si="1006"/>
        <v>0</v>
      </c>
      <c r="DD147" s="59">
        <f t="shared" si="1007"/>
        <v>0</v>
      </c>
      <c r="DE147" s="60">
        <f t="shared" si="1008"/>
        <v>0</v>
      </c>
      <c r="DF147" s="59">
        <f t="shared" si="1009"/>
        <v>0</v>
      </c>
      <c r="DG147" s="60">
        <f t="shared" si="1010"/>
        <v>0</v>
      </c>
      <c r="DH147" s="59">
        <f t="shared" si="1011"/>
        <v>0</v>
      </c>
      <c r="DI147" s="60">
        <f t="shared" si="1012"/>
        <v>0</v>
      </c>
      <c r="DJ147" s="59">
        <f t="shared" si="1013"/>
        <v>0</v>
      </c>
      <c r="DK147" s="55">
        <f t="shared" si="1014"/>
        <v>0</v>
      </c>
      <c r="DL147" s="59">
        <f t="shared" si="1015"/>
        <v>0</v>
      </c>
      <c r="DM147" s="60">
        <f t="shared" si="1016"/>
        <v>0</v>
      </c>
      <c r="DN147" s="59">
        <f t="shared" si="1017"/>
        <v>0</v>
      </c>
      <c r="DO147" s="60">
        <f t="shared" si="1018"/>
        <v>0</v>
      </c>
      <c r="DP147" s="59">
        <f t="shared" si="1019"/>
        <v>0</v>
      </c>
      <c r="DQ147" s="55">
        <f t="shared" si="1020"/>
        <v>0</v>
      </c>
      <c r="DR147" s="59">
        <f t="shared" si="1021"/>
        <v>0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30"/>
        <v>0.91</v>
      </c>
      <c r="DZ147" s="55">
        <f t="shared" si="930"/>
        <v>0.89</v>
      </c>
      <c r="EA147" s="55">
        <f t="shared" si="930"/>
        <v>0.87</v>
      </c>
      <c r="EB147" s="55">
        <f t="shared" si="930"/>
        <v>0.85</v>
      </c>
      <c r="EC147" s="55">
        <f t="shared" si="930"/>
        <v>0.83</v>
      </c>
      <c r="ED147" s="55">
        <f t="shared" si="930"/>
        <v>0.80999999999999994</v>
      </c>
      <c r="EE147" s="55">
        <f t="shared" si="930"/>
        <v>0.78999999999999992</v>
      </c>
      <c r="EF147" s="55">
        <f t="shared" si="930"/>
        <v>0.76999999999999991</v>
      </c>
      <c r="EG147" s="55">
        <f t="shared" si="930"/>
        <v>0.74999999999999989</v>
      </c>
      <c r="EH147" s="55">
        <f t="shared" si="930"/>
        <v>0.72999999999999987</v>
      </c>
      <c r="EI147" s="55">
        <f t="shared" si="930"/>
        <v>0.70999999999999985</v>
      </c>
      <c r="EJ147" s="55">
        <f t="shared" si="930"/>
        <v>0.68999999999999984</v>
      </c>
      <c r="EK147" s="55">
        <f t="shared" si="930"/>
        <v>0.66999999999999982</v>
      </c>
      <c r="EL147" s="55">
        <f t="shared" si="930"/>
        <v>0.6499999999999998</v>
      </c>
      <c r="EM147" s="55">
        <f t="shared" si="930"/>
        <v>0.62999999999999978</v>
      </c>
      <c r="EN147" s="55">
        <f t="shared" si="930"/>
        <v>0.60999999999999976</v>
      </c>
      <c r="EO147" s="55">
        <f t="shared" si="930"/>
        <v>0.58999999999999975</v>
      </c>
      <c r="EP147" s="55">
        <f t="shared" si="930"/>
        <v>0.56999999999999973</v>
      </c>
      <c r="ER147" s="55">
        <f t="shared" si="648"/>
        <v>0</v>
      </c>
      <c r="ES147" s="55">
        <f t="shared" si="510"/>
        <v>0</v>
      </c>
      <c r="ET147" s="59">
        <f t="shared" si="1022"/>
        <v>0</v>
      </c>
      <c r="EU147" s="55">
        <f t="shared" si="1023"/>
        <v>0</v>
      </c>
      <c r="EV147" s="59">
        <f t="shared" si="1024"/>
        <v>0</v>
      </c>
      <c r="EW147" s="55">
        <f t="shared" si="1025"/>
        <v>0</v>
      </c>
      <c r="EX147" s="59">
        <f t="shared" si="1026"/>
        <v>0</v>
      </c>
      <c r="EY147" s="55">
        <f t="shared" si="1027"/>
        <v>0</v>
      </c>
      <c r="EZ147" s="59">
        <f t="shared" si="1028"/>
        <v>0</v>
      </c>
      <c r="FA147" s="57">
        <f t="shared" si="1029"/>
        <v>0</v>
      </c>
      <c r="FB147" s="59">
        <f t="shared" si="1030"/>
        <v>0</v>
      </c>
      <c r="FC147" s="55">
        <f t="shared" si="1031"/>
        <v>0</v>
      </c>
      <c r="FD147" s="59">
        <f t="shared" si="1032"/>
        <v>0</v>
      </c>
      <c r="FE147" s="57">
        <f t="shared" si="1033"/>
        <v>0</v>
      </c>
      <c r="FF147" s="59">
        <f t="shared" si="1034"/>
        <v>0</v>
      </c>
      <c r="FG147" s="60">
        <f t="shared" si="1035"/>
        <v>0</v>
      </c>
      <c r="FH147" s="59">
        <f t="shared" si="1036"/>
        <v>0</v>
      </c>
      <c r="FI147" s="57">
        <f t="shared" si="1037"/>
        <v>0</v>
      </c>
      <c r="FJ147" s="59">
        <f t="shared" si="1038"/>
        <v>0</v>
      </c>
      <c r="FK147" s="55">
        <f t="shared" si="1039"/>
        <v>0</v>
      </c>
      <c r="FL147" s="59">
        <f t="shared" si="1040"/>
        <v>0</v>
      </c>
      <c r="FM147" s="60">
        <f t="shared" si="1041"/>
        <v>0</v>
      </c>
      <c r="FN147" s="59">
        <f t="shared" si="1042"/>
        <v>0</v>
      </c>
      <c r="FO147" s="60">
        <f t="shared" si="1043"/>
        <v>0</v>
      </c>
      <c r="FP147" s="59">
        <f t="shared" si="1044"/>
        <v>0</v>
      </c>
      <c r="FQ147" s="60">
        <f t="shared" si="1045"/>
        <v>0</v>
      </c>
      <c r="FR147" s="59">
        <f t="shared" si="1046"/>
        <v>0</v>
      </c>
      <c r="FS147" s="55">
        <f t="shared" si="1047"/>
        <v>0</v>
      </c>
      <c r="FT147" s="59">
        <f t="shared" si="1048"/>
        <v>0</v>
      </c>
      <c r="FU147" s="60">
        <f t="shared" si="1049"/>
        <v>0</v>
      </c>
      <c r="FV147" s="59">
        <f t="shared" si="1050"/>
        <v>0</v>
      </c>
      <c r="FW147" s="60">
        <f t="shared" si="1051"/>
        <v>0</v>
      </c>
      <c r="FX147" s="59">
        <f t="shared" si="1052"/>
        <v>0</v>
      </c>
      <c r="FY147" s="60">
        <f t="shared" si="1053"/>
        <v>0</v>
      </c>
      <c r="FZ147" s="59">
        <f t="shared" si="1054"/>
        <v>0</v>
      </c>
      <c r="GA147" s="60">
        <f t="shared" si="1055"/>
        <v>0</v>
      </c>
      <c r="GB147" s="59">
        <f t="shared" si="1056"/>
        <v>0</v>
      </c>
      <c r="GC147" s="55">
        <f t="shared" si="1057"/>
        <v>0</v>
      </c>
      <c r="GD147" s="59">
        <f t="shared" si="1058"/>
        <v>0</v>
      </c>
      <c r="GE147" s="60">
        <f t="shared" si="1059"/>
        <v>0</v>
      </c>
      <c r="GF147" s="59">
        <f t="shared" si="1060"/>
        <v>0</v>
      </c>
      <c r="GG147" s="60">
        <f t="shared" si="1061"/>
        <v>0</v>
      </c>
      <c r="GH147" s="59">
        <f t="shared" si="1062"/>
        <v>0</v>
      </c>
      <c r="GI147" s="55">
        <f t="shared" si="1063"/>
        <v>0</v>
      </c>
      <c r="GJ147" s="59">
        <f t="shared" si="1064"/>
        <v>0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31"/>
        <v>0.91</v>
      </c>
      <c r="GR147" s="55">
        <f t="shared" si="931"/>
        <v>0.89</v>
      </c>
      <c r="GS147" s="55">
        <f t="shared" si="931"/>
        <v>0.87</v>
      </c>
      <c r="GT147" s="55">
        <f t="shared" si="931"/>
        <v>0.85</v>
      </c>
      <c r="GU147" s="55">
        <f t="shared" si="931"/>
        <v>0.83</v>
      </c>
      <c r="GV147" s="55">
        <f t="shared" si="931"/>
        <v>0.80999999999999994</v>
      </c>
      <c r="GW147" s="55">
        <f t="shared" si="931"/>
        <v>0.78999999999999992</v>
      </c>
      <c r="GX147" s="55">
        <f t="shared" si="931"/>
        <v>0.76999999999999991</v>
      </c>
      <c r="GY147" s="55">
        <f t="shared" si="931"/>
        <v>0.74999999999999989</v>
      </c>
      <c r="GZ147" s="55">
        <f t="shared" si="931"/>
        <v>0.72999999999999987</v>
      </c>
      <c r="HA147" s="55">
        <f t="shared" si="931"/>
        <v>0.70999999999999985</v>
      </c>
      <c r="HB147" s="55">
        <f t="shared" si="931"/>
        <v>0.68999999999999984</v>
      </c>
      <c r="HC147" s="55">
        <f t="shared" si="931"/>
        <v>0.66999999999999982</v>
      </c>
      <c r="HD147" s="55">
        <f t="shared" si="931"/>
        <v>0.6499999999999998</v>
      </c>
      <c r="HE147" s="55">
        <f t="shared" si="931"/>
        <v>0.62999999999999978</v>
      </c>
      <c r="HF147" s="55">
        <f t="shared" si="931"/>
        <v>0.60999999999999976</v>
      </c>
      <c r="HG147" s="55">
        <f t="shared" si="931"/>
        <v>0.58999999999999975</v>
      </c>
      <c r="HH147" s="55">
        <f t="shared" si="93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51750</v>
      </c>
      <c r="E148" s="39">
        <f>SUM(E143:E147)</f>
        <v>171060</v>
      </c>
      <c r="H148" s="55">
        <f t="shared" ref="H148:H155" si="1065">+E148*1.1</f>
        <v>188166.00000000003</v>
      </c>
      <c r="I148" s="55">
        <f t="shared" ref="I148:I155" si="1066">+H148</f>
        <v>188166.00000000003</v>
      </c>
      <c r="J148" s="59">
        <f t="shared" ref="J148:J155" si="1067">+I148*3.3058</f>
        <v>622039.16280000017</v>
      </c>
      <c r="K148" s="55">
        <f t="shared" si="936"/>
        <v>182521.02000000002</v>
      </c>
      <c r="L148" s="59">
        <f t="shared" si="937"/>
        <v>603377.98791600007</v>
      </c>
      <c r="M148" s="55">
        <f t="shared" si="938"/>
        <v>178757.7</v>
      </c>
      <c r="N148" s="59">
        <f t="shared" si="939"/>
        <v>590937.20466000005</v>
      </c>
      <c r="O148" s="55">
        <f t="shared" si="940"/>
        <v>174994.38000000003</v>
      </c>
      <c r="P148" s="59">
        <f t="shared" si="941"/>
        <v>578496.42140400014</v>
      </c>
      <c r="Q148" s="57">
        <f t="shared" si="942"/>
        <v>171231.06000000003</v>
      </c>
      <c r="R148" s="59">
        <f t="shared" si="943"/>
        <v>566055.63814800011</v>
      </c>
      <c r="S148" s="55">
        <f t="shared" si="944"/>
        <v>167467.74000000002</v>
      </c>
      <c r="T148" s="59">
        <f t="shared" si="945"/>
        <v>553614.85489200009</v>
      </c>
      <c r="U148" s="57">
        <f t="shared" si="946"/>
        <v>163704.42000000001</v>
      </c>
      <c r="V148" s="59">
        <f t="shared" si="947"/>
        <v>541174.07163600007</v>
      </c>
      <c r="W148" s="60">
        <f t="shared" si="948"/>
        <v>159941.10000000003</v>
      </c>
      <c r="X148" s="59">
        <f t="shared" si="949"/>
        <v>528733.28838000016</v>
      </c>
      <c r="Y148" s="57">
        <f t="shared" si="950"/>
        <v>156177.78000000003</v>
      </c>
      <c r="Z148" s="59">
        <f t="shared" si="951"/>
        <v>516292.50512400008</v>
      </c>
      <c r="AA148" s="55">
        <f t="shared" si="952"/>
        <v>152414.46000000002</v>
      </c>
      <c r="AB148" s="59">
        <f t="shared" si="953"/>
        <v>503851.72186800005</v>
      </c>
      <c r="AC148" s="60">
        <f t="shared" si="954"/>
        <v>148651.14000000001</v>
      </c>
      <c r="AD148" s="59">
        <f t="shared" si="955"/>
        <v>491410.93861200009</v>
      </c>
      <c r="AE148" s="60">
        <f t="shared" si="956"/>
        <v>144887.82</v>
      </c>
      <c r="AF148" s="59">
        <f t="shared" si="957"/>
        <v>478970.15535600006</v>
      </c>
      <c r="AG148" s="60">
        <f t="shared" si="958"/>
        <v>141124.5</v>
      </c>
      <c r="AH148" s="59">
        <f t="shared" si="959"/>
        <v>466529.37210000004</v>
      </c>
      <c r="AI148" s="55">
        <f t="shared" si="960"/>
        <v>137361.18</v>
      </c>
      <c r="AJ148" s="59">
        <f t="shared" si="961"/>
        <v>454088.58884400001</v>
      </c>
      <c r="AK148" s="60">
        <f t="shared" si="962"/>
        <v>133597.85999999999</v>
      </c>
      <c r="AL148" s="59">
        <f t="shared" si="963"/>
        <v>441647.80558799999</v>
      </c>
      <c r="AM148" s="60">
        <f t="shared" si="964"/>
        <v>129834.54</v>
      </c>
      <c r="AN148" s="59">
        <f t="shared" si="965"/>
        <v>429207.02233199996</v>
      </c>
      <c r="AO148" s="60">
        <f t="shared" si="966"/>
        <v>126071.21999999999</v>
      </c>
      <c r="AP148" s="59">
        <f t="shared" si="967"/>
        <v>416766.23907599994</v>
      </c>
      <c r="AQ148" s="60">
        <f t="shared" si="968"/>
        <v>122307.89999999998</v>
      </c>
      <c r="AR148" s="59">
        <f t="shared" si="969"/>
        <v>404325.45581999992</v>
      </c>
      <c r="AS148" s="55">
        <f t="shared" si="970"/>
        <v>118544.57999999997</v>
      </c>
      <c r="AT148" s="59">
        <f t="shared" si="971"/>
        <v>391884.67256399989</v>
      </c>
      <c r="AU148" s="60">
        <f t="shared" si="972"/>
        <v>114781.25999999998</v>
      </c>
      <c r="AV148" s="59">
        <f t="shared" si="973"/>
        <v>379443.88930799993</v>
      </c>
      <c r="AW148" s="60">
        <f t="shared" si="974"/>
        <v>111017.93999999997</v>
      </c>
      <c r="AX148" s="59">
        <f t="shared" si="975"/>
        <v>367003.1060519999</v>
      </c>
      <c r="AY148" s="55">
        <f t="shared" si="976"/>
        <v>107254.61999999997</v>
      </c>
      <c r="AZ148" s="59">
        <f t="shared" si="977"/>
        <v>354562.32279599988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78"/>
        <v>0.91</v>
      </c>
      <c r="BH148" s="55">
        <f t="shared" si="978"/>
        <v>0.89</v>
      </c>
      <c r="BI148" s="55">
        <f t="shared" si="978"/>
        <v>0.87</v>
      </c>
      <c r="BJ148" s="55">
        <f t="shared" si="978"/>
        <v>0.85</v>
      </c>
      <c r="BK148" s="55">
        <f t="shared" si="978"/>
        <v>0.83</v>
      </c>
      <c r="BL148" s="55">
        <f t="shared" si="978"/>
        <v>0.80999999999999994</v>
      </c>
      <c r="BM148" s="55">
        <f t="shared" si="978"/>
        <v>0.78999999999999992</v>
      </c>
      <c r="BN148" s="55">
        <f t="shared" si="978"/>
        <v>0.76999999999999991</v>
      </c>
      <c r="BO148" s="55">
        <f t="shared" si="978"/>
        <v>0.74999999999999989</v>
      </c>
      <c r="BP148" s="55">
        <f t="shared" si="978"/>
        <v>0.72999999999999987</v>
      </c>
      <c r="BQ148" s="55">
        <f t="shared" si="978"/>
        <v>0.70999999999999985</v>
      </c>
      <c r="BR148" s="55">
        <f t="shared" si="978"/>
        <v>0.68999999999999984</v>
      </c>
      <c r="BS148" s="55">
        <f t="shared" si="978"/>
        <v>0.66999999999999982</v>
      </c>
      <c r="BT148" s="55">
        <f t="shared" si="978"/>
        <v>0.6499999999999998</v>
      </c>
      <c r="BU148" s="55">
        <f t="shared" si="978"/>
        <v>0.62999999999999978</v>
      </c>
      <c r="BV148" s="55">
        <f t="shared" si="978"/>
        <v>0.60999999999999976</v>
      </c>
      <c r="BW148" s="55">
        <f t="shared" si="978"/>
        <v>0.58999999999999975</v>
      </c>
      <c r="BX148" s="55">
        <f t="shared" si="978"/>
        <v>0.56999999999999973</v>
      </c>
      <c r="BZ148" s="55">
        <f t="shared" ref="BZ148:BZ155" si="1068">+H148*0.91</f>
        <v>171231.06000000003</v>
      </c>
      <c r="CA148" s="55">
        <f t="shared" ref="CA148:CA155" si="1069">+BZ148</f>
        <v>171231.06000000003</v>
      </c>
      <c r="CB148" s="59">
        <f t="shared" si="979"/>
        <v>566055.63814800011</v>
      </c>
      <c r="CC148" s="55">
        <f t="shared" si="980"/>
        <v>166094.12820000004</v>
      </c>
      <c r="CD148" s="59">
        <f t="shared" si="981"/>
        <v>549073.96900356014</v>
      </c>
      <c r="CE148" s="55">
        <f t="shared" si="982"/>
        <v>162669.50700000001</v>
      </c>
      <c r="CF148" s="59">
        <f t="shared" si="983"/>
        <v>537752.8562406</v>
      </c>
      <c r="CG148" s="55">
        <f t="shared" si="984"/>
        <v>159244.88580000005</v>
      </c>
      <c r="CH148" s="59">
        <f t="shared" si="985"/>
        <v>526431.74347764021</v>
      </c>
      <c r="CI148" s="57">
        <f t="shared" si="986"/>
        <v>155820.26460000002</v>
      </c>
      <c r="CJ148" s="59">
        <f t="shared" si="987"/>
        <v>515110.63071468007</v>
      </c>
      <c r="CK148" s="55">
        <f t="shared" si="988"/>
        <v>152395.64340000003</v>
      </c>
      <c r="CL148" s="59">
        <f t="shared" si="989"/>
        <v>503789.5179517201</v>
      </c>
      <c r="CM148" s="57">
        <f t="shared" si="990"/>
        <v>148971.02220000004</v>
      </c>
      <c r="CN148" s="59">
        <f t="shared" si="991"/>
        <v>492468.40518876014</v>
      </c>
      <c r="CO148" s="60">
        <f t="shared" si="992"/>
        <v>145546.40100000001</v>
      </c>
      <c r="CP148" s="59">
        <f t="shared" si="993"/>
        <v>481147.29242580006</v>
      </c>
      <c r="CQ148" s="57">
        <f t="shared" si="994"/>
        <v>142121.77980000002</v>
      </c>
      <c r="CR148" s="59">
        <f t="shared" si="995"/>
        <v>469826.17966284009</v>
      </c>
      <c r="CS148" s="55">
        <f t="shared" si="996"/>
        <v>138697.15860000002</v>
      </c>
      <c r="CT148" s="59">
        <f t="shared" si="997"/>
        <v>458505.06689988007</v>
      </c>
      <c r="CU148" s="60">
        <f t="shared" si="998"/>
        <v>135272.5374</v>
      </c>
      <c r="CV148" s="59">
        <f t="shared" si="999"/>
        <v>447183.95413691999</v>
      </c>
      <c r="CW148" s="60">
        <f t="shared" si="1000"/>
        <v>131847.91620000001</v>
      </c>
      <c r="CX148" s="59">
        <f t="shared" si="1001"/>
        <v>435862.84137396002</v>
      </c>
      <c r="CY148" s="60">
        <f t="shared" si="1002"/>
        <v>128423.295</v>
      </c>
      <c r="CZ148" s="59">
        <f t="shared" si="1003"/>
        <v>424541.728611</v>
      </c>
      <c r="DA148" s="55">
        <f t="shared" si="1004"/>
        <v>124998.6738</v>
      </c>
      <c r="DB148" s="59">
        <f t="shared" si="1005"/>
        <v>413220.61584804003</v>
      </c>
      <c r="DC148" s="60">
        <f t="shared" si="1006"/>
        <v>121574.0526</v>
      </c>
      <c r="DD148" s="59">
        <f t="shared" si="1007"/>
        <v>401899.50308508001</v>
      </c>
      <c r="DE148" s="60">
        <f t="shared" si="1008"/>
        <v>118149.43139999999</v>
      </c>
      <c r="DF148" s="59">
        <f t="shared" si="1009"/>
        <v>390578.39032211999</v>
      </c>
      <c r="DG148" s="60">
        <f t="shared" si="1010"/>
        <v>114724.81019999999</v>
      </c>
      <c r="DH148" s="59">
        <f t="shared" si="1011"/>
        <v>379257.27755915996</v>
      </c>
      <c r="DI148" s="60">
        <f t="shared" si="1012"/>
        <v>111300.18899999998</v>
      </c>
      <c r="DJ148" s="59">
        <f t="shared" si="1013"/>
        <v>367936.16479619994</v>
      </c>
      <c r="DK148" s="55">
        <f t="shared" si="1014"/>
        <v>107875.56779999998</v>
      </c>
      <c r="DL148" s="59">
        <f t="shared" si="1015"/>
        <v>356615.05203323992</v>
      </c>
      <c r="DM148" s="60">
        <f t="shared" si="1016"/>
        <v>104450.94659999998</v>
      </c>
      <c r="DN148" s="59">
        <f t="shared" si="1017"/>
        <v>345293.93927027995</v>
      </c>
      <c r="DO148" s="60">
        <f t="shared" si="1018"/>
        <v>101026.32539999997</v>
      </c>
      <c r="DP148" s="59">
        <f t="shared" si="1019"/>
        <v>333972.82650731993</v>
      </c>
      <c r="DQ148" s="55">
        <f t="shared" si="1020"/>
        <v>97601.704199999964</v>
      </c>
      <c r="DR148" s="59">
        <f t="shared" si="1021"/>
        <v>322651.71374435991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30"/>
        <v>0.91</v>
      </c>
      <c r="DZ148" s="55">
        <f t="shared" si="930"/>
        <v>0.89</v>
      </c>
      <c r="EA148" s="55">
        <f t="shared" si="930"/>
        <v>0.87</v>
      </c>
      <c r="EB148" s="55">
        <f t="shared" si="930"/>
        <v>0.85</v>
      </c>
      <c r="EC148" s="55">
        <f t="shared" si="930"/>
        <v>0.83</v>
      </c>
      <c r="ED148" s="55">
        <f t="shared" si="930"/>
        <v>0.80999999999999994</v>
      </c>
      <c r="EE148" s="55">
        <f t="shared" si="930"/>
        <v>0.78999999999999992</v>
      </c>
      <c r="EF148" s="55">
        <f t="shared" si="930"/>
        <v>0.76999999999999991</v>
      </c>
      <c r="EG148" s="55">
        <f t="shared" si="930"/>
        <v>0.74999999999999989</v>
      </c>
      <c r="EH148" s="55">
        <f t="shared" si="930"/>
        <v>0.72999999999999987</v>
      </c>
      <c r="EI148" s="55">
        <f t="shared" si="930"/>
        <v>0.70999999999999985</v>
      </c>
      <c r="EJ148" s="55">
        <f t="shared" si="930"/>
        <v>0.68999999999999984</v>
      </c>
      <c r="EK148" s="55">
        <f t="shared" si="930"/>
        <v>0.66999999999999982</v>
      </c>
      <c r="EL148" s="55">
        <f t="shared" si="930"/>
        <v>0.6499999999999998</v>
      </c>
      <c r="EM148" s="55">
        <f t="shared" si="930"/>
        <v>0.62999999999999978</v>
      </c>
      <c r="EN148" s="55">
        <f t="shared" si="930"/>
        <v>0.60999999999999976</v>
      </c>
      <c r="EO148" s="55">
        <f t="shared" si="930"/>
        <v>0.58999999999999975</v>
      </c>
      <c r="EP148" s="55">
        <f t="shared" si="930"/>
        <v>0.56999999999999973</v>
      </c>
      <c r="ER148" s="55">
        <f t="shared" si="648"/>
        <v>155820.26460000002</v>
      </c>
      <c r="ES148" s="55">
        <f t="shared" ref="ES148:ES155" si="1070">+ER148</f>
        <v>155820.26460000002</v>
      </c>
      <c r="ET148" s="59">
        <f t="shared" si="1022"/>
        <v>515110.63071468007</v>
      </c>
      <c r="EU148" s="55">
        <f t="shared" si="1023"/>
        <v>151145.65666200002</v>
      </c>
      <c r="EV148" s="59">
        <f t="shared" si="1024"/>
        <v>499657.31179323967</v>
      </c>
      <c r="EW148" s="55">
        <f t="shared" si="1025"/>
        <v>148029.25137000001</v>
      </c>
      <c r="EX148" s="59">
        <f t="shared" si="1026"/>
        <v>489355.09917894605</v>
      </c>
      <c r="EY148" s="55">
        <f t="shared" si="1027"/>
        <v>144912.84607800003</v>
      </c>
      <c r="EZ148" s="59">
        <f t="shared" si="1028"/>
        <v>479052.88656465249</v>
      </c>
      <c r="FA148" s="57">
        <f t="shared" si="1029"/>
        <v>141796.44078600002</v>
      </c>
      <c r="FB148" s="59">
        <f t="shared" si="1030"/>
        <v>468750.67395035888</v>
      </c>
      <c r="FC148" s="55">
        <f t="shared" si="1031"/>
        <v>138680.03549400001</v>
      </c>
      <c r="FD148" s="59">
        <f t="shared" si="1032"/>
        <v>458448.46133606526</v>
      </c>
      <c r="FE148" s="57">
        <f t="shared" si="1033"/>
        <v>135563.63020200003</v>
      </c>
      <c r="FF148" s="59">
        <f t="shared" si="1034"/>
        <v>448146.2487217717</v>
      </c>
      <c r="FG148" s="60">
        <f t="shared" si="1035"/>
        <v>132447.22491000002</v>
      </c>
      <c r="FH148" s="59">
        <f t="shared" si="1036"/>
        <v>437844.03610747808</v>
      </c>
      <c r="FI148" s="57">
        <f t="shared" si="1037"/>
        <v>129330.81961800001</v>
      </c>
      <c r="FJ148" s="59">
        <f t="shared" si="1038"/>
        <v>427541.82349318446</v>
      </c>
      <c r="FK148" s="55">
        <f t="shared" si="1039"/>
        <v>126214.41432600001</v>
      </c>
      <c r="FL148" s="59">
        <f t="shared" si="1040"/>
        <v>417239.61087889085</v>
      </c>
      <c r="FM148" s="60">
        <f t="shared" si="1041"/>
        <v>123098.009034</v>
      </c>
      <c r="FN148" s="59">
        <f t="shared" si="1042"/>
        <v>406937.39826459723</v>
      </c>
      <c r="FO148" s="60">
        <f t="shared" si="1043"/>
        <v>119981.60374200001</v>
      </c>
      <c r="FP148" s="59">
        <f t="shared" si="1044"/>
        <v>396635.18565030361</v>
      </c>
      <c r="FQ148" s="60">
        <f t="shared" si="1045"/>
        <v>116865.19845</v>
      </c>
      <c r="FR148" s="59">
        <f t="shared" si="1046"/>
        <v>386332.97303600999</v>
      </c>
      <c r="FS148" s="55">
        <f t="shared" si="1047"/>
        <v>113748.793158</v>
      </c>
      <c r="FT148" s="59">
        <f t="shared" si="1048"/>
        <v>376030.76042171643</v>
      </c>
      <c r="FU148" s="60">
        <f t="shared" si="1049"/>
        <v>110632.38786599999</v>
      </c>
      <c r="FV148" s="59">
        <f t="shared" si="1050"/>
        <v>365728.54780742276</v>
      </c>
      <c r="FW148" s="60">
        <f t="shared" si="1051"/>
        <v>107515.98257399999</v>
      </c>
      <c r="FX148" s="59">
        <f t="shared" si="1052"/>
        <v>355426.3351931292</v>
      </c>
      <c r="FY148" s="60">
        <f t="shared" si="1053"/>
        <v>104399.57728199998</v>
      </c>
      <c r="FZ148" s="59">
        <f t="shared" si="1054"/>
        <v>345124.12257883558</v>
      </c>
      <c r="GA148" s="60">
        <f t="shared" si="1055"/>
        <v>101283.17198999999</v>
      </c>
      <c r="GB148" s="59">
        <f t="shared" si="1056"/>
        <v>334821.90996454196</v>
      </c>
      <c r="GC148" s="55">
        <f t="shared" si="1057"/>
        <v>98166.766697999978</v>
      </c>
      <c r="GD148" s="59">
        <f t="shared" si="1058"/>
        <v>324519.69735024835</v>
      </c>
      <c r="GE148" s="60">
        <f t="shared" si="1059"/>
        <v>95050.361405999982</v>
      </c>
      <c r="GF148" s="59">
        <f t="shared" si="1060"/>
        <v>314217.48473595473</v>
      </c>
      <c r="GG148" s="60">
        <f t="shared" si="1061"/>
        <v>91933.956113999971</v>
      </c>
      <c r="GH148" s="59">
        <f t="shared" si="1062"/>
        <v>303915.27212166111</v>
      </c>
      <c r="GI148" s="55">
        <f t="shared" si="1063"/>
        <v>88817.550821999976</v>
      </c>
      <c r="GJ148" s="59">
        <f t="shared" si="1064"/>
        <v>293613.05950736755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31"/>
        <v>0.91</v>
      </c>
      <c r="GR148" s="55">
        <f t="shared" si="931"/>
        <v>0.89</v>
      </c>
      <c r="GS148" s="55">
        <f t="shared" si="931"/>
        <v>0.87</v>
      </c>
      <c r="GT148" s="55">
        <f t="shared" si="931"/>
        <v>0.85</v>
      </c>
      <c r="GU148" s="55">
        <f t="shared" si="931"/>
        <v>0.83</v>
      </c>
      <c r="GV148" s="55">
        <f t="shared" si="931"/>
        <v>0.80999999999999994</v>
      </c>
      <c r="GW148" s="55">
        <f t="shared" si="931"/>
        <v>0.78999999999999992</v>
      </c>
      <c r="GX148" s="55">
        <f t="shared" si="931"/>
        <v>0.76999999999999991</v>
      </c>
      <c r="GY148" s="55">
        <f t="shared" si="931"/>
        <v>0.74999999999999989</v>
      </c>
      <c r="GZ148" s="55">
        <f t="shared" si="931"/>
        <v>0.72999999999999987</v>
      </c>
      <c r="HA148" s="55">
        <f t="shared" si="931"/>
        <v>0.70999999999999985</v>
      </c>
      <c r="HB148" s="55">
        <f t="shared" si="931"/>
        <v>0.68999999999999984</v>
      </c>
      <c r="HC148" s="55">
        <f t="shared" si="931"/>
        <v>0.66999999999999982</v>
      </c>
      <c r="HD148" s="55">
        <f t="shared" si="931"/>
        <v>0.6499999999999998</v>
      </c>
      <c r="HE148" s="55">
        <f t="shared" si="931"/>
        <v>0.62999999999999978</v>
      </c>
      <c r="HF148" s="55">
        <f t="shared" si="931"/>
        <v>0.60999999999999976</v>
      </c>
      <c r="HG148" s="55">
        <f t="shared" si="931"/>
        <v>0.58999999999999975</v>
      </c>
      <c r="HH148" s="55">
        <f t="shared" si="93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7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72">+DW149-0.02</f>
        <v>0.91</v>
      </c>
      <c r="DY149" s="61">
        <f t="shared" si="1072"/>
        <v>0.89</v>
      </c>
      <c r="DZ149" s="61">
        <f t="shared" si="1072"/>
        <v>0.87</v>
      </c>
      <c r="EA149" s="61">
        <f t="shared" si="1072"/>
        <v>0.85</v>
      </c>
      <c r="EB149" s="61">
        <f t="shared" si="1072"/>
        <v>0.83</v>
      </c>
      <c r="EC149" s="61">
        <f t="shared" si="1072"/>
        <v>0.80999999999999994</v>
      </c>
      <c r="ED149" s="61">
        <f t="shared" si="1072"/>
        <v>0.78999999999999992</v>
      </c>
      <c r="EE149" s="61">
        <f t="shared" si="1072"/>
        <v>0.76999999999999991</v>
      </c>
      <c r="EF149" s="61">
        <f t="shared" si="1072"/>
        <v>0.74999999999999989</v>
      </c>
      <c r="EG149" s="61">
        <f t="shared" si="1072"/>
        <v>0.72999999999999987</v>
      </c>
      <c r="EH149" s="61">
        <f t="shared" si="1072"/>
        <v>0.70999999999999985</v>
      </c>
      <c r="EI149" s="61">
        <f t="shared" si="1072"/>
        <v>0.68999999999999984</v>
      </c>
      <c r="EJ149" s="61">
        <f t="shared" si="1072"/>
        <v>0.66999999999999982</v>
      </c>
      <c r="EK149" s="61">
        <f t="shared" si="1072"/>
        <v>0.6499999999999998</v>
      </c>
      <c r="EL149" s="61">
        <f t="shared" si="1072"/>
        <v>0.62999999999999978</v>
      </c>
      <c r="EM149" s="61">
        <f t="shared" si="1072"/>
        <v>0.60999999999999976</v>
      </c>
      <c r="EN149" s="61">
        <f t="shared" si="1072"/>
        <v>0.58999999999999975</v>
      </c>
      <c r="EO149" s="61">
        <f t="shared" si="1072"/>
        <v>0.56999999999999973</v>
      </c>
      <c r="EQ149" s="61">
        <f t="shared" ref="EQ149:EQ150" si="107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74">+GO149-0.02</f>
        <v>0.91</v>
      </c>
      <c r="GQ149" s="61">
        <f t="shared" si="1074"/>
        <v>0.89</v>
      </c>
      <c r="GR149" s="61">
        <f t="shared" si="1074"/>
        <v>0.87</v>
      </c>
      <c r="GS149" s="61">
        <f t="shared" si="1074"/>
        <v>0.85</v>
      </c>
      <c r="GT149" s="61">
        <f t="shared" si="1074"/>
        <v>0.83</v>
      </c>
      <c r="GU149" s="61">
        <f t="shared" si="1074"/>
        <v>0.80999999999999994</v>
      </c>
      <c r="GV149" s="61">
        <f t="shared" si="1074"/>
        <v>0.78999999999999992</v>
      </c>
      <c r="GW149" s="61">
        <f t="shared" si="1074"/>
        <v>0.76999999999999991</v>
      </c>
      <c r="GX149" s="61">
        <f t="shared" si="1074"/>
        <v>0.74999999999999989</v>
      </c>
      <c r="GY149" s="61">
        <f t="shared" si="1074"/>
        <v>0.72999999999999987</v>
      </c>
      <c r="GZ149" s="61">
        <f t="shared" si="1074"/>
        <v>0.70999999999999985</v>
      </c>
      <c r="HA149" s="61">
        <f t="shared" si="1074"/>
        <v>0.68999999999999984</v>
      </c>
      <c r="HB149" s="61">
        <f t="shared" si="1074"/>
        <v>0.66999999999999982</v>
      </c>
      <c r="HC149" s="61">
        <f t="shared" si="1074"/>
        <v>0.6499999999999998</v>
      </c>
      <c r="HD149" s="61">
        <f t="shared" si="1074"/>
        <v>0.62999999999999978</v>
      </c>
      <c r="HE149" s="61">
        <f t="shared" si="1074"/>
        <v>0.60999999999999976</v>
      </c>
      <c r="HF149" s="61">
        <f t="shared" si="1074"/>
        <v>0.58999999999999975</v>
      </c>
      <c r="HG149" s="61">
        <f t="shared" si="1074"/>
        <v>0.56999999999999973</v>
      </c>
    </row>
    <row r="150" spans="1:216" s="64" customFormat="1" ht="17.25" thickBot="1" x14ac:dyDescent="0.35">
      <c r="B150" s="64" t="s">
        <v>303</v>
      </c>
      <c r="C150" s="64" t="s">
        <v>298</v>
      </c>
      <c r="D150" s="65" t="s">
        <v>272</v>
      </c>
      <c r="E150" s="65" t="s">
        <v>155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7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72"/>
        <v>0.91</v>
      </c>
      <c r="DY150" s="61">
        <f t="shared" si="1072"/>
        <v>0.89</v>
      </c>
      <c r="DZ150" s="61">
        <f t="shared" si="1072"/>
        <v>0.87</v>
      </c>
      <c r="EA150" s="61">
        <f t="shared" si="1072"/>
        <v>0.85</v>
      </c>
      <c r="EB150" s="61">
        <f t="shared" si="1072"/>
        <v>0.83</v>
      </c>
      <c r="EC150" s="61">
        <f t="shared" si="1072"/>
        <v>0.80999999999999994</v>
      </c>
      <c r="ED150" s="61">
        <f t="shared" si="1072"/>
        <v>0.78999999999999992</v>
      </c>
      <c r="EE150" s="61">
        <f t="shared" si="1072"/>
        <v>0.76999999999999991</v>
      </c>
      <c r="EF150" s="61">
        <f t="shared" si="1072"/>
        <v>0.74999999999999989</v>
      </c>
      <c r="EG150" s="61">
        <f t="shared" si="1072"/>
        <v>0.72999999999999987</v>
      </c>
      <c r="EH150" s="61">
        <f t="shared" si="1072"/>
        <v>0.70999999999999985</v>
      </c>
      <c r="EI150" s="61">
        <f t="shared" si="1072"/>
        <v>0.68999999999999984</v>
      </c>
      <c r="EJ150" s="61">
        <f t="shared" si="1072"/>
        <v>0.66999999999999982</v>
      </c>
      <c r="EK150" s="61">
        <f t="shared" si="1072"/>
        <v>0.6499999999999998</v>
      </c>
      <c r="EL150" s="61">
        <f t="shared" si="1072"/>
        <v>0.62999999999999978</v>
      </c>
      <c r="EM150" s="61">
        <f t="shared" si="1072"/>
        <v>0.60999999999999976</v>
      </c>
      <c r="EN150" s="61">
        <f t="shared" si="1072"/>
        <v>0.58999999999999975</v>
      </c>
      <c r="EO150" s="61">
        <f t="shared" si="1072"/>
        <v>0.56999999999999973</v>
      </c>
      <c r="EQ150" s="61">
        <f t="shared" si="107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74"/>
        <v>0.91</v>
      </c>
      <c r="GQ150" s="61">
        <f t="shared" si="1074"/>
        <v>0.89</v>
      </c>
      <c r="GR150" s="61">
        <f t="shared" si="1074"/>
        <v>0.87</v>
      </c>
      <c r="GS150" s="61">
        <f t="shared" si="1074"/>
        <v>0.85</v>
      </c>
      <c r="GT150" s="61">
        <f t="shared" si="1074"/>
        <v>0.83</v>
      </c>
      <c r="GU150" s="61">
        <f t="shared" si="1074"/>
        <v>0.80999999999999994</v>
      </c>
      <c r="GV150" s="61">
        <f t="shared" si="1074"/>
        <v>0.78999999999999992</v>
      </c>
      <c r="GW150" s="61">
        <f t="shared" si="1074"/>
        <v>0.76999999999999991</v>
      </c>
      <c r="GX150" s="61">
        <f t="shared" si="1074"/>
        <v>0.74999999999999989</v>
      </c>
      <c r="GY150" s="61">
        <f t="shared" si="1074"/>
        <v>0.72999999999999987</v>
      </c>
      <c r="GZ150" s="61">
        <f t="shared" si="1074"/>
        <v>0.70999999999999985</v>
      </c>
      <c r="HA150" s="61">
        <f t="shared" si="1074"/>
        <v>0.68999999999999984</v>
      </c>
      <c r="HB150" s="61">
        <f t="shared" si="1074"/>
        <v>0.66999999999999982</v>
      </c>
      <c r="HC150" s="61">
        <f t="shared" si="1074"/>
        <v>0.6499999999999998</v>
      </c>
      <c r="HD150" s="61">
        <f t="shared" si="1074"/>
        <v>0.62999999999999978</v>
      </c>
      <c r="HE150" s="61">
        <f t="shared" si="1074"/>
        <v>0.60999999999999976</v>
      </c>
      <c r="HF150" s="61">
        <f t="shared" si="1074"/>
        <v>0.58999999999999975</v>
      </c>
      <c r="HG150" s="61">
        <f t="shared" si="1074"/>
        <v>0.56999999999999973</v>
      </c>
    </row>
    <row r="151" spans="1:216" x14ac:dyDescent="0.3">
      <c r="A151" s="2">
        <v>1</v>
      </c>
      <c r="C151" s="38" t="s">
        <v>51</v>
      </c>
      <c r="D151" s="40">
        <v>0</v>
      </c>
      <c r="E151" s="70">
        <f>TRUNC(+D151*3.3058,-1)</f>
        <v>0</v>
      </c>
      <c r="H151" s="55">
        <f t="shared" si="1065"/>
        <v>0</v>
      </c>
      <c r="I151" s="55">
        <f t="shared" si="1066"/>
        <v>0</v>
      </c>
      <c r="J151" s="59">
        <f t="shared" si="1067"/>
        <v>0</v>
      </c>
      <c r="K151" s="55">
        <f t="shared" ref="K151:K155" si="1075">+I151*BD151</f>
        <v>0</v>
      </c>
      <c r="L151" s="59">
        <f t="shared" ref="L151:L155" si="1076">+K151*3.3058</f>
        <v>0</v>
      </c>
      <c r="M151" s="55">
        <f t="shared" ref="M151:M155" si="1077">+I151*BE151</f>
        <v>0</v>
      </c>
      <c r="N151" s="59">
        <f t="shared" ref="N151:N155" si="1078">+M151*3.3058</f>
        <v>0</v>
      </c>
      <c r="O151" s="55">
        <f>+I151*BF151</f>
        <v>0</v>
      </c>
      <c r="P151" s="59">
        <f t="shared" ref="P151:P155" si="1079">+O151*3.3058</f>
        <v>0</v>
      </c>
      <c r="Q151" s="57">
        <f>+I151*BG151</f>
        <v>0</v>
      </c>
      <c r="R151" s="59">
        <f t="shared" ref="R151:R155" si="1080">+Q151*3.3058</f>
        <v>0</v>
      </c>
      <c r="S151" s="55">
        <f>+I151*BH151</f>
        <v>0</v>
      </c>
      <c r="T151" s="59">
        <f t="shared" ref="T151:T155" si="1081">+S151*3.3058</f>
        <v>0</v>
      </c>
      <c r="U151" s="57">
        <f>+I151*BI151</f>
        <v>0</v>
      </c>
      <c r="V151" s="59">
        <f t="shared" ref="V151:V155" si="1082">+U151*3.3058</f>
        <v>0</v>
      </c>
      <c r="W151" s="60">
        <f>+I151*BJ151</f>
        <v>0</v>
      </c>
      <c r="X151" s="59">
        <f t="shared" ref="X151:X155" si="1083">+W151*3.3058</f>
        <v>0</v>
      </c>
      <c r="Y151" s="57">
        <f>+I151*BK151</f>
        <v>0</v>
      </c>
      <c r="Z151" s="59">
        <f t="shared" ref="Z151:Z155" si="1084">+Y151*3.3058</f>
        <v>0</v>
      </c>
      <c r="AA151" s="55">
        <f>+I151*BL151</f>
        <v>0</v>
      </c>
      <c r="AB151" s="59">
        <f t="shared" ref="AB151:AB155" si="1085">+AA151*3.3058</f>
        <v>0</v>
      </c>
      <c r="AC151" s="60">
        <f>+I151*BM151</f>
        <v>0</v>
      </c>
      <c r="AD151" s="59">
        <f t="shared" ref="AD151:AD155" si="1086">+AC151*3.3058</f>
        <v>0</v>
      </c>
      <c r="AE151" s="60">
        <f>+I151*BN151</f>
        <v>0</v>
      </c>
      <c r="AF151" s="59">
        <f t="shared" ref="AF151:AF155" si="1087">+AE151*3.3058</f>
        <v>0</v>
      </c>
      <c r="AG151" s="60">
        <f>+I151*BO151</f>
        <v>0</v>
      </c>
      <c r="AH151" s="59">
        <f t="shared" ref="AH151:AH155" si="1088">+AG151*3.3058</f>
        <v>0</v>
      </c>
      <c r="AI151" s="55">
        <f>+I151*BP151</f>
        <v>0</v>
      </c>
      <c r="AJ151" s="59">
        <f t="shared" ref="AJ151:AJ155" si="1089">+AI151*3.3058</f>
        <v>0</v>
      </c>
      <c r="AK151" s="60">
        <f>+I151*BQ151</f>
        <v>0</v>
      </c>
      <c r="AL151" s="59">
        <f t="shared" ref="AL151:AL155" si="1090">+AK151*3.3058</f>
        <v>0</v>
      </c>
      <c r="AM151" s="60">
        <f>+I151*BR151</f>
        <v>0</v>
      </c>
      <c r="AN151" s="59">
        <f t="shared" ref="AN151:AN155" si="1091">+AM151*3.3058</f>
        <v>0</v>
      </c>
      <c r="AO151" s="60">
        <f>+I151*BS151</f>
        <v>0</v>
      </c>
      <c r="AP151" s="59">
        <f t="shared" ref="AP151:AP155" si="1092">+AO151*3.3058</f>
        <v>0</v>
      </c>
      <c r="AQ151" s="60">
        <f>+I151*BT151</f>
        <v>0</v>
      </c>
      <c r="AR151" s="59">
        <f t="shared" ref="AR151:AR155" si="1093">+AQ151*3.3058</f>
        <v>0</v>
      </c>
      <c r="AS151" s="55">
        <f>+I151*BU151</f>
        <v>0</v>
      </c>
      <c r="AT151" s="59">
        <f t="shared" ref="AT151:AT155" si="1094">+AS151*3.3058</f>
        <v>0</v>
      </c>
      <c r="AU151" s="60">
        <f>+I151*BV151</f>
        <v>0</v>
      </c>
      <c r="AV151" s="59">
        <f t="shared" ref="AV151:AV155" si="1095">+AU151*3.3058</f>
        <v>0</v>
      </c>
      <c r="AW151" s="60">
        <f>+I151*BW151</f>
        <v>0</v>
      </c>
      <c r="AX151" s="59">
        <f t="shared" ref="AX151:AX155" si="1096">+AW151*3.3058</f>
        <v>0</v>
      </c>
      <c r="AY151" s="55">
        <f>+I151*BX151</f>
        <v>0</v>
      </c>
      <c r="AZ151" s="59">
        <f t="shared" ref="AZ151:AZ155" si="1097">+AY151*3.3058</f>
        <v>0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098">+BF151-0.02</f>
        <v>0.91</v>
      </c>
      <c r="BH151" s="55">
        <f t="shared" si="1098"/>
        <v>0.89</v>
      </c>
      <c r="BI151" s="55">
        <f t="shared" si="1098"/>
        <v>0.87</v>
      </c>
      <c r="BJ151" s="55">
        <f t="shared" si="1098"/>
        <v>0.85</v>
      </c>
      <c r="BK151" s="55">
        <f t="shared" si="1098"/>
        <v>0.83</v>
      </c>
      <c r="BL151" s="55">
        <f t="shared" si="1098"/>
        <v>0.80999999999999994</v>
      </c>
      <c r="BM151" s="55">
        <f t="shared" si="1098"/>
        <v>0.78999999999999992</v>
      </c>
      <c r="BN151" s="55">
        <f t="shared" si="1098"/>
        <v>0.76999999999999991</v>
      </c>
      <c r="BO151" s="55">
        <f t="shared" si="1098"/>
        <v>0.74999999999999989</v>
      </c>
      <c r="BP151" s="55">
        <f t="shared" si="1098"/>
        <v>0.72999999999999987</v>
      </c>
      <c r="BQ151" s="55">
        <f t="shared" si="1098"/>
        <v>0.70999999999999985</v>
      </c>
      <c r="BR151" s="55">
        <f t="shared" si="1098"/>
        <v>0.68999999999999984</v>
      </c>
      <c r="BS151" s="55">
        <f t="shared" si="1098"/>
        <v>0.66999999999999982</v>
      </c>
      <c r="BT151" s="55">
        <f t="shared" si="1098"/>
        <v>0.6499999999999998</v>
      </c>
      <c r="BU151" s="55">
        <f t="shared" si="1098"/>
        <v>0.62999999999999978</v>
      </c>
      <c r="BV151" s="55">
        <f t="shared" si="1098"/>
        <v>0.60999999999999976</v>
      </c>
      <c r="BW151" s="55">
        <f t="shared" si="1098"/>
        <v>0.58999999999999975</v>
      </c>
      <c r="BX151" s="55">
        <f t="shared" si="1098"/>
        <v>0.56999999999999973</v>
      </c>
      <c r="BZ151" s="55">
        <f t="shared" si="1068"/>
        <v>0</v>
      </c>
      <c r="CA151" s="55">
        <f t="shared" si="1069"/>
        <v>0</v>
      </c>
      <c r="CB151" s="59">
        <f t="shared" ref="CB151:CB155" si="1099">+CA151*3.3058</f>
        <v>0</v>
      </c>
      <c r="CC151" s="55">
        <f t="shared" ref="CC151:CC155" si="1100">+CA151*DV151</f>
        <v>0</v>
      </c>
      <c r="CD151" s="59">
        <f t="shared" ref="CD151:CD155" si="1101">+CC151*3.3058</f>
        <v>0</v>
      </c>
      <c r="CE151" s="55">
        <f t="shared" ref="CE151:CE155" si="1102">+CA151*DW151</f>
        <v>0</v>
      </c>
      <c r="CF151" s="59">
        <f t="shared" ref="CF151:CF155" si="1103">+CE151*3.3058</f>
        <v>0</v>
      </c>
      <c r="CG151" s="55">
        <f>+CA151*DX151</f>
        <v>0</v>
      </c>
      <c r="CH151" s="59">
        <f t="shared" ref="CH151:CH155" si="1104">+CG151*3.3058</f>
        <v>0</v>
      </c>
      <c r="CI151" s="57">
        <f>+CA151*DY151</f>
        <v>0</v>
      </c>
      <c r="CJ151" s="59">
        <f t="shared" ref="CJ151:CJ155" si="1105">+CI151*3.3058</f>
        <v>0</v>
      </c>
      <c r="CK151" s="55">
        <f>+CA151*DZ151</f>
        <v>0</v>
      </c>
      <c r="CL151" s="59">
        <f t="shared" ref="CL151:CL155" si="1106">+CK151*3.3058</f>
        <v>0</v>
      </c>
      <c r="CM151" s="57">
        <f>+CA151*EA151</f>
        <v>0</v>
      </c>
      <c r="CN151" s="59">
        <f t="shared" ref="CN151:CN155" si="1107">+CM151*3.3058</f>
        <v>0</v>
      </c>
      <c r="CO151" s="60">
        <f>+CA151*EB151</f>
        <v>0</v>
      </c>
      <c r="CP151" s="59">
        <f t="shared" ref="CP151:CP155" si="1108">+CO151*3.3058</f>
        <v>0</v>
      </c>
      <c r="CQ151" s="57">
        <f>+CA151*EC151</f>
        <v>0</v>
      </c>
      <c r="CR151" s="59">
        <f t="shared" ref="CR151:CR155" si="1109">+CQ151*3.3058</f>
        <v>0</v>
      </c>
      <c r="CS151" s="55">
        <f>+CA151*ED151</f>
        <v>0</v>
      </c>
      <c r="CT151" s="59">
        <f t="shared" ref="CT151:CT155" si="1110">+CS151*3.3058</f>
        <v>0</v>
      </c>
      <c r="CU151" s="60">
        <f>+CA151*EE151</f>
        <v>0</v>
      </c>
      <c r="CV151" s="59">
        <f t="shared" ref="CV151:CV155" si="1111">+CU151*3.3058</f>
        <v>0</v>
      </c>
      <c r="CW151" s="60">
        <f>+CA151*EF151</f>
        <v>0</v>
      </c>
      <c r="CX151" s="59">
        <f t="shared" ref="CX151:CX155" si="1112">+CW151*3.3058</f>
        <v>0</v>
      </c>
      <c r="CY151" s="60">
        <f>+CA151*EG151</f>
        <v>0</v>
      </c>
      <c r="CZ151" s="59">
        <f t="shared" ref="CZ151:CZ155" si="1113">+CY151*3.3058</f>
        <v>0</v>
      </c>
      <c r="DA151" s="55">
        <f>+CA151*EH151</f>
        <v>0</v>
      </c>
      <c r="DB151" s="59">
        <f t="shared" ref="DB151:DB155" si="1114">+DA151*3.3058</f>
        <v>0</v>
      </c>
      <c r="DC151" s="60">
        <f>+CA151*EI151</f>
        <v>0</v>
      </c>
      <c r="DD151" s="59">
        <f t="shared" ref="DD151:DD155" si="1115">+DC151*3.3058</f>
        <v>0</v>
      </c>
      <c r="DE151" s="60">
        <f>+CA151*EJ151</f>
        <v>0</v>
      </c>
      <c r="DF151" s="59">
        <f t="shared" ref="DF151:DF155" si="1116">+DE151*3.3058</f>
        <v>0</v>
      </c>
      <c r="DG151" s="60">
        <f>+CA151*EK151</f>
        <v>0</v>
      </c>
      <c r="DH151" s="59">
        <f t="shared" ref="DH151:DH155" si="1117">+DG151*3.3058</f>
        <v>0</v>
      </c>
      <c r="DI151" s="60">
        <f>+CA151*EL151</f>
        <v>0</v>
      </c>
      <c r="DJ151" s="59">
        <f t="shared" ref="DJ151:DJ155" si="1118">+DI151*3.3058</f>
        <v>0</v>
      </c>
      <c r="DK151" s="55">
        <f>+CA151*EM151</f>
        <v>0</v>
      </c>
      <c r="DL151" s="59">
        <f t="shared" ref="DL151:DL155" si="1119">+DK151*3.3058</f>
        <v>0</v>
      </c>
      <c r="DM151" s="60">
        <f>+CA151*EN151</f>
        <v>0</v>
      </c>
      <c r="DN151" s="59">
        <f t="shared" ref="DN151:DN155" si="1120">+DM151*3.3058</f>
        <v>0</v>
      </c>
      <c r="DO151" s="60">
        <f>+CA151*EO151</f>
        <v>0</v>
      </c>
      <c r="DP151" s="59">
        <f t="shared" ref="DP151:DP155" si="1121">+DO151*3.3058</f>
        <v>0</v>
      </c>
      <c r="DQ151" s="55">
        <f>+CA151*EP151</f>
        <v>0</v>
      </c>
      <c r="DR151" s="59">
        <f t="shared" ref="DR151:DR155" si="1122">+DQ151*3.3058</f>
        <v>0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30"/>
        <v>0.91</v>
      </c>
      <c r="DZ151" s="55">
        <f t="shared" si="930"/>
        <v>0.89</v>
      </c>
      <c r="EA151" s="55">
        <f t="shared" si="930"/>
        <v>0.87</v>
      </c>
      <c r="EB151" s="55">
        <f t="shared" si="930"/>
        <v>0.85</v>
      </c>
      <c r="EC151" s="55">
        <f t="shared" si="930"/>
        <v>0.83</v>
      </c>
      <c r="ED151" s="55">
        <f t="shared" si="930"/>
        <v>0.80999999999999994</v>
      </c>
      <c r="EE151" s="55">
        <f t="shared" si="930"/>
        <v>0.78999999999999992</v>
      </c>
      <c r="EF151" s="55">
        <f t="shared" si="930"/>
        <v>0.76999999999999991</v>
      </c>
      <c r="EG151" s="55">
        <f t="shared" si="930"/>
        <v>0.74999999999999989</v>
      </c>
      <c r="EH151" s="55">
        <f t="shared" si="930"/>
        <v>0.72999999999999987</v>
      </c>
      <c r="EI151" s="55">
        <f t="shared" si="930"/>
        <v>0.70999999999999985</v>
      </c>
      <c r="EJ151" s="55">
        <f t="shared" si="930"/>
        <v>0.68999999999999984</v>
      </c>
      <c r="EK151" s="55">
        <f t="shared" si="930"/>
        <v>0.66999999999999982</v>
      </c>
      <c r="EL151" s="55">
        <f t="shared" si="930"/>
        <v>0.6499999999999998</v>
      </c>
      <c r="EM151" s="55">
        <f t="shared" si="930"/>
        <v>0.62999999999999978</v>
      </c>
      <c r="EN151" s="55">
        <f t="shared" si="930"/>
        <v>0.60999999999999976</v>
      </c>
      <c r="EO151" s="55">
        <f t="shared" si="930"/>
        <v>0.58999999999999975</v>
      </c>
      <c r="EP151" s="55">
        <f t="shared" si="930"/>
        <v>0.56999999999999973</v>
      </c>
      <c r="ER151" s="55">
        <f t="shared" si="648"/>
        <v>0</v>
      </c>
      <c r="ES151" s="55">
        <f t="shared" si="1070"/>
        <v>0</v>
      </c>
      <c r="ET151" s="59">
        <f t="shared" ref="ET151:ET155" si="1123">+ES151*3.3058</f>
        <v>0</v>
      </c>
      <c r="EU151" s="55">
        <f t="shared" ref="EU151:EU155" si="1124">+ES151*GN151</f>
        <v>0</v>
      </c>
      <c r="EV151" s="59">
        <f t="shared" ref="EV151:EV155" si="1125">+EU151*3.3058</f>
        <v>0</v>
      </c>
      <c r="EW151" s="55">
        <f t="shared" ref="EW151:EW155" si="1126">+ES151*GO151</f>
        <v>0</v>
      </c>
      <c r="EX151" s="59">
        <f t="shared" ref="EX151:EX155" si="1127">+EW151*3.3058</f>
        <v>0</v>
      </c>
      <c r="EY151" s="55">
        <f>+ES151*GP151</f>
        <v>0</v>
      </c>
      <c r="EZ151" s="59">
        <f t="shared" ref="EZ151:EZ155" si="1128">+EY151*3.3058</f>
        <v>0</v>
      </c>
      <c r="FA151" s="57">
        <f>+ES151*GQ151</f>
        <v>0</v>
      </c>
      <c r="FB151" s="59">
        <f t="shared" ref="FB151:FB155" si="1129">+FA151*3.3058</f>
        <v>0</v>
      </c>
      <c r="FC151" s="55">
        <f>+ES151*GR151</f>
        <v>0</v>
      </c>
      <c r="FD151" s="59">
        <f t="shared" ref="FD151:FD155" si="1130">+FC151*3.3058</f>
        <v>0</v>
      </c>
      <c r="FE151" s="57">
        <f>+ES151*GS151</f>
        <v>0</v>
      </c>
      <c r="FF151" s="59">
        <f t="shared" ref="FF151:FF155" si="1131">+FE151*3.3058</f>
        <v>0</v>
      </c>
      <c r="FG151" s="60">
        <f>+ES151*GT151</f>
        <v>0</v>
      </c>
      <c r="FH151" s="59">
        <f t="shared" ref="FH151:FH155" si="1132">+FG151*3.3058</f>
        <v>0</v>
      </c>
      <c r="FI151" s="57">
        <f>+ES151*GU151</f>
        <v>0</v>
      </c>
      <c r="FJ151" s="59">
        <f t="shared" ref="FJ151:FJ155" si="1133">+FI151*3.3058</f>
        <v>0</v>
      </c>
      <c r="FK151" s="55">
        <f>+ES151*GV151</f>
        <v>0</v>
      </c>
      <c r="FL151" s="59">
        <f t="shared" ref="FL151:FL155" si="1134">+FK151*3.3058</f>
        <v>0</v>
      </c>
      <c r="FM151" s="60">
        <f>+ES151*GW151</f>
        <v>0</v>
      </c>
      <c r="FN151" s="59">
        <f t="shared" ref="FN151:FN155" si="1135">+FM151*3.3058</f>
        <v>0</v>
      </c>
      <c r="FO151" s="60">
        <f>+ES151*GX151</f>
        <v>0</v>
      </c>
      <c r="FP151" s="59">
        <f t="shared" ref="FP151:FP155" si="1136">+FO151*3.3058</f>
        <v>0</v>
      </c>
      <c r="FQ151" s="60">
        <f>+ES151*GY151</f>
        <v>0</v>
      </c>
      <c r="FR151" s="59">
        <f t="shared" ref="FR151:FR155" si="1137">+FQ151*3.3058</f>
        <v>0</v>
      </c>
      <c r="FS151" s="55">
        <f>+ES151*GZ151</f>
        <v>0</v>
      </c>
      <c r="FT151" s="59">
        <f t="shared" ref="FT151:FT155" si="1138">+FS151*3.3058</f>
        <v>0</v>
      </c>
      <c r="FU151" s="60">
        <f>+ES151*HA151</f>
        <v>0</v>
      </c>
      <c r="FV151" s="59">
        <f t="shared" ref="FV151:FV155" si="1139">+FU151*3.3058</f>
        <v>0</v>
      </c>
      <c r="FW151" s="60">
        <f>+ES151*HB151</f>
        <v>0</v>
      </c>
      <c r="FX151" s="59">
        <f t="shared" ref="FX151:FX155" si="1140">+FW151*3.3058</f>
        <v>0</v>
      </c>
      <c r="FY151" s="60">
        <f>+ES151*HC151</f>
        <v>0</v>
      </c>
      <c r="FZ151" s="59">
        <f t="shared" ref="FZ151:FZ155" si="1141">+FY151*3.3058</f>
        <v>0</v>
      </c>
      <c r="GA151" s="60">
        <f>+ES151*HD151</f>
        <v>0</v>
      </c>
      <c r="GB151" s="59">
        <f t="shared" ref="GB151:GB155" si="1142">+GA151*3.3058</f>
        <v>0</v>
      </c>
      <c r="GC151" s="55">
        <f>+ES151*HE151</f>
        <v>0</v>
      </c>
      <c r="GD151" s="59">
        <f t="shared" ref="GD151:GD155" si="1143">+GC151*3.3058</f>
        <v>0</v>
      </c>
      <c r="GE151" s="60">
        <f>+ES151*HF151</f>
        <v>0</v>
      </c>
      <c r="GF151" s="59">
        <f t="shared" ref="GF151:GF155" si="1144">+GE151*3.3058</f>
        <v>0</v>
      </c>
      <c r="GG151" s="60">
        <f>+ES151*HG151</f>
        <v>0</v>
      </c>
      <c r="GH151" s="59">
        <f t="shared" ref="GH151:GH155" si="1145">+GG151*3.3058</f>
        <v>0</v>
      </c>
      <c r="GI151" s="55">
        <f>+ES151*HH151</f>
        <v>0</v>
      </c>
      <c r="GJ151" s="59">
        <f t="shared" ref="GJ151:GJ155" si="1146">+GI151*3.3058</f>
        <v>0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31"/>
        <v>0.91</v>
      </c>
      <c r="GR151" s="55">
        <f t="shared" si="931"/>
        <v>0.89</v>
      </c>
      <c r="GS151" s="55">
        <f t="shared" si="931"/>
        <v>0.87</v>
      </c>
      <c r="GT151" s="55">
        <f t="shared" si="931"/>
        <v>0.85</v>
      </c>
      <c r="GU151" s="55">
        <f t="shared" si="931"/>
        <v>0.83</v>
      </c>
      <c r="GV151" s="55">
        <f t="shared" si="931"/>
        <v>0.80999999999999994</v>
      </c>
      <c r="GW151" s="55">
        <f t="shared" si="931"/>
        <v>0.78999999999999992</v>
      </c>
      <c r="GX151" s="55">
        <f t="shared" si="931"/>
        <v>0.76999999999999991</v>
      </c>
      <c r="GY151" s="55">
        <f t="shared" si="931"/>
        <v>0.74999999999999989</v>
      </c>
      <c r="GZ151" s="55">
        <f t="shared" si="931"/>
        <v>0.72999999999999987</v>
      </c>
      <c r="HA151" s="55">
        <f t="shared" si="931"/>
        <v>0.70999999999999985</v>
      </c>
      <c r="HB151" s="55">
        <f t="shared" si="931"/>
        <v>0.68999999999999984</v>
      </c>
      <c r="HC151" s="55">
        <f t="shared" si="931"/>
        <v>0.66999999999999982</v>
      </c>
      <c r="HD151" s="55">
        <f t="shared" si="931"/>
        <v>0.6499999999999998</v>
      </c>
      <c r="HE151" s="55">
        <f t="shared" si="931"/>
        <v>0.62999999999999978</v>
      </c>
      <c r="HF151" s="55">
        <f t="shared" si="931"/>
        <v>0.60999999999999976</v>
      </c>
      <c r="HG151" s="55">
        <f t="shared" si="931"/>
        <v>0.58999999999999975</v>
      </c>
      <c r="HH151" s="55">
        <f t="shared" si="931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71">
        <f>TRUNC(+D152*3.3058,-1)</f>
        <v>0</v>
      </c>
      <c r="H152" s="55">
        <f t="shared" si="1065"/>
        <v>0</v>
      </c>
      <c r="I152" s="55">
        <f t="shared" si="1066"/>
        <v>0</v>
      </c>
      <c r="J152" s="59">
        <f t="shared" si="1067"/>
        <v>0</v>
      </c>
      <c r="K152" s="55">
        <f t="shared" si="1075"/>
        <v>0</v>
      </c>
      <c r="L152" s="59">
        <f t="shared" si="1076"/>
        <v>0</v>
      </c>
      <c r="M152" s="55">
        <f t="shared" si="1077"/>
        <v>0</v>
      </c>
      <c r="N152" s="59">
        <f t="shared" si="1078"/>
        <v>0</v>
      </c>
      <c r="O152" s="55">
        <f>+I152*BF152</f>
        <v>0</v>
      </c>
      <c r="P152" s="59">
        <f t="shared" si="1079"/>
        <v>0</v>
      </c>
      <c r="Q152" s="57">
        <f>+I152*BG152</f>
        <v>0</v>
      </c>
      <c r="R152" s="59">
        <f t="shared" si="1080"/>
        <v>0</v>
      </c>
      <c r="S152" s="55">
        <f>+I152*BH152</f>
        <v>0</v>
      </c>
      <c r="T152" s="59">
        <f t="shared" si="1081"/>
        <v>0</v>
      </c>
      <c r="U152" s="57">
        <f>+I152*BI152</f>
        <v>0</v>
      </c>
      <c r="V152" s="59">
        <f t="shared" si="1082"/>
        <v>0</v>
      </c>
      <c r="W152" s="60">
        <f>+I152*BJ152</f>
        <v>0</v>
      </c>
      <c r="X152" s="59">
        <f t="shared" si="1083"/>
        <v>0</v>
      </c>
      <c r="Y152" s="57">
        <f>+I152*BK152</f>
        <v>0</v>
      </c>
      <c r="Z152" s="59">
        <f t="shared" si="1084"/>
        <v>0</v>
      </c>
      <c r="AA152" s="55">
        <f>+I152*BL152</f>
        <v>0</v>
      </c>
      <c r="AB152" s="59">
        <f t="shared" si="1085"/>
        <v>0</v>
      </c>
      <c r="AC152" s="60">
        <f>+I152*BM152</f>
        <v>0</v>
      </c>
      <c r="AD152" s="59">
        <f t="shared" si="1086"/>
        <v>0</v>
      </c>
      <c r="AE152" s="60">
        <f>+I152*BN152</f>
        <v>0</v>
      </c>
      <c r="AF152" s="59">
        <f t="shared" si="1087"/>
        <v>0</v>
      </c>
      <c r="AG152" s="60">
        <f>+I152*BO152</f>
        <v>0</v>
      </c>
      <c r="AH152" s="59">
        <f t="shared" si="1088"/>
        <v>0</v>
      </c>
      <c r="AI152" s="55">
        <f>+I152*BP152</f>
        <v>0</v>
      </c>
      <c r="AJ152" s="59">
        <f t="shared" si="1089"/>
        <v>0</v>
      </c>
      <c r="AK152" s="60">
        <f>+I152*BQ152</f>
        <v>0</v>
      </c>
      <c r="AL152" s="59">
        <f t="shared" si="1090"/>
        <v>0</v>
      </c>
      <c r="AM152" s="60">
        <f>+I152*BR152</f>
        <v>0</v>
      </c>
      <c r="AN152" s="59">
        <f t="shared" si="1091"/>
        <v>0</v>
      </c>
      <c r="AO152" s="60">
        <f>+I152*BS152</f>
        <v>0</v>
      </c>
      <c r="AP152" s="59">
        <f t="shared" si="1092"/>
        <v>0</v>
      </c>
      <c r="AQ152" s="60">
        <f>+I152*BT152</f>
        <v>0</v>
      </c>
      <c r="AR152" s="59">
        <f t="shared" si="1093"/>
        <v>0</v>
      </c>
      <c r="AS152" s="55">
        <f>+I152*BU152</f>
        <v>0</v>
      </c>
      <c r="AT152" s="59">
        <f t="shared" si="1094"/>
        <v>0</v>
      </c>
      <c r="AU152" s="60">
        <f>+I152*BV152</f>
        <v>0</v>
      </c>
      <c r="AV152" s="59">
        <f t="shared" si="1095"/>
        <v>0</v>
      </c>
      <c r="AW152" s="60">
        <f>+I152*BW152</f>
        <v>0</v>
      </c>
      <c r="AX152" s="59">
        <f t="shared" si="1096"/>
        <v>0</v>
      </c>
      <c r="AY152" s="55">
        <f>+I152*BX152</f>
        <v>0</v>
      </c>
      <c r="AZ152" s="59">
        <f t="shared" si="1097"/>
        <v>0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098"/>
        <v>0.91</v>
      </c>
      <c r="BH152" s="55">
        <f t="shared" si="1098"/>
        <v>0.89</v>
      </c>
      <c r="BI152" s="55">
        <f t="shared" si="1098"/>
        <v>0.87</v>
      </c>
      <c r="BJ152" s="55">
        <f t="shared" si="1098"/>
        <v>0.85</v>
      </c>
      <c r="BK152" s="55">
        <f t="shared" si="1098"/>
        <v>0.83</v>
      </c>
      <c r="BL152" s="55">
        <f t="shared" si="1098"/>
        <v>0.80999999999999994</v>
      </c>
      <c r="BM152" s="55">
        <f t="shared" si="1098"/>
        <v>0.78999999999999992</v>
      </c>
      <c r="BN152" s="55">
        <f t="shared" si="1098"/>
        <v>0.76999999999999991</v>
      </c>
      <c r="BO152" s="55">
        <f t="shared" si="1098"/>
        <v>0.74999999999999989</v>
      </c>
      <c r="BP152" s="55">
        <f t="shared" si="1098"/>
        <v>0.72999999999999987</v>
      </c>
      <c r="BQ152" s="55">
        <f t="shared" si="1098"/>
        <v>0.70999999999999985</v>
      </c>
      <c r="BR152" s="55">
        <f t="shared" si="1098"/>
        <v>0.68999999999999984</v>
      </c>
      <c r="BS152" s="55">
        <f t="shared" si="1098"/>
        <v>0.66999999999999982</v>
      </c>
      <c r="BT152" s="55">
        <f t="shared" si="1098"/>
        <v>0.6499999999999998</v>
      </c>
      <c r="BU152" s="55">
        <f t="shared" si="1098"/>
        <v>0.62999999999999978</v>
      </c>
      <c r="BV152" s="55">
        <f t="shared" si="1098"/>
        <v>0.60999999999999976</v>
      </c>
      <c r="BW152" s="55">
        <f t="shared" si="1098"/>
        <v>0.58999999999999975</v>
      </c>
      <c r="BX152" s="55">
        <f t="shared" si="1098"/>
        <v>0.56999999999999973</v>
      </c>
      <c r="BZ152" s="55">
        <f t="shared" si="1068"/>
        <v>0</v>
      </c>
      <c r="CA152" s="55">
        <f t="shared" si="1069"/>
        <v>0</v>
      </c>
      <c r="CB152" s="59">
        <f t="shared" si="1099"/>
        <v>0</v>
      </c>
      <c r="CC152" s="55">
        <f t="shared" si="1100"/>
        <v>0</v>
      </c>
      <c r="CD152" s="59">
        <f t="shared" si="1101"/>
        <v>0</v>
      </c>
      <c r="CE152" s="55">
        <f t="shared" si="1102"/>
        <v>0</v>
      </c>
      <c r="CF152" s="59">
        <f t="shared" si="1103"/>
        <v>0</v>
      </c>
      <c r="CG152" s="55">
        <f>+CA152*DX152</f>
        <v>0</v>
      </c>
      <c r="CH152" s="59">
        <f t="shared" si="1104"/>
        <v>0</v>
      </c>
      <c r="CI152" s="57">
        <f>+CA152*DY152</f>
        <v>0</v>
      </c>
      <c r="CJ152" s="59">
        <f t="shared" si="1105"/>
        <v>0</v>
      </c>
      <c r="CK152" s="55">
        <f>+CA152*DZ152</f>
        <v>0</v>
      </c>
      <c r="CL152" s="59">
        <f t="shared" si="1106"/>
        <v>0</v>
      </c>
      <c r="CM152" s="57">
        <f>+CA152*EA152</f>
        <v>0</v>
      </c>
      <c r="CN152" s="59">
        <f t="shared" si="1107"/>
        <v>0</v>
      </c>
      <c r="CO152" s="60">
        <f>+CA152*EB152</f>
        <v>0</v>
      </c>
      <c r="CP152" s="59">
        <f t="shared" si="1108"/>
        <v>0</v>
      </c>
      <c r="CQ152" s="57">
        <f>+CA152*EC152</f>
        <v>0</v>
      </c>
      <c r="CR152" s="59">
        <f t="shared" si="1109"/>
        <v>0</v>
      </c>
      <c r="CS152" s="55">
        <f>+CA152*ED152</f>
        <v>0</v>
      </c>
      <c r="CT152" s="59">
        <f t="shared" si="1110"/>
        <v>0</v>
      </c>
      <c r="CU152" s="60">
        <f>+CA152*EE152</f>
        <v>0</v>
      </c>
      <c r="CV152" s="59">
        <f t="shared" si="1111"/>
        <v>0</v>
      </c>
      <c r="CW152" s="60">
        <f>+CA152*EF152</f>
        <v>0</v>
      </c>
      <c r="CX152" s="59">
        <f t="shared" si="1112"/>
        <v>0</v>
      </c>
      <c r="CY152" s="60">
        <f>+CA152*EG152</f>
        <v>0</v>
      </c>
      <c r="CZ152" s="59">
        <f t="shared" si="1113"/>
        <v>0</v>
      </c>
      <c r="DA152" s="55">
        <f>+CA152*EH152</f>
        <v>0</v>
      </c>
      <c r="DB152" s="59">
        <f t="shared" si="1114"/>
        <v>0</v>
      </c>
      <c r="DC152" s="60">
        <f>+CA152*EI152</f>
        <v>0</v>
      </c>
      <c r="DD152" s="59">
        <f t="shared" si="1115"/>
        <v>0</v>
      </c>
      <c r="DE152" s="60">
        <f>+CA152*EJ152</f>
        <v>0</v>
      </c>
      <c r="DF152" s="59">
        <f t="shared" si="1116"/>
        <v>0</v>
      </c>
      <c r="DG152" s="60">
        <f>+CA152*EK152</f>
        <v>0</v>
      </c>
      <c r="DH152" s="59">
        <f t="shared" si="1117"/>
        <v>0</v>
      </c>
      <c r="DI152" s="60">
        <f>+CA152*EL152</f>
        <v>0</v>
      </c>
      <c r="DJ152" s="59">
        <f t="shared" si="1118"/>
        <v>0</v>
      </c>
      <c r="DK152" s="55">
        <f>+CA152*EM152</f>
        <v>0</v>
      </c>
      <c r="DL152" s="59">
        <f t="shared" si="1119"/>
        <v>0</v>
      </c>
      <c r="DM152" s="60">
        <f>+CA152*EN152</f>
        <v>0</v>
      </c>
      <c r="DN152" s="59">
        <f t="shared" si="1120"/>
        <v>0</v>
      </c>
      <c r="DO152" s="60">
        <f>+CA152*EO152</f>
        <v>0</v>
      </c>
      <c r="DP152" s="59">
        <f t="shared" si="1121"/>
        <v>0</v>
      </c>
      <c r="DQ152" s="55">
        <f>+CA152*EP152</f>
        <v>0</v>
      </c>
      <c r="DR152" s="59">
        <f t="shared" si="1122"/>
        <v>0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30"/>
        <v>0.91</v>
      </c>
      <c r="DZ152" s="55">
        <f t="shared" si="930"/>
        <v>0.89</v>
      </c>
      <c r="EA152" s="55">
        <f t="shared" si="930"/>
        <v>0.87</v>
      </c>
      <c r="EB152" s="55">
        <f t="shared" si="930"/>
        <v>0.85</v>
      </c>
      <c r="EC152" s="55">
        <f t="shared" si="930"/>
        <v>0.83</v>
      </c>
      <c r="ED152" s="55">
        <f t="shared" si="930"/>
        <v>0.80999999999999994</v>
      </c>
      <c r="EE152" s="55">
        <f t="shared" si="930"/>
        <v>0.78999999999999992</v>
      </c>
      <c r="EF152" s="55">
        <f t="shared" si="930"/>
        <v>0.76999999999999991</v>
      </c>
      <c r="EG152" s="55">
        <f t="shared" si="930"/>
        <v>0.74999999999999989</v>
      </c>
      <c r="EH152" s="55">
        <f t="shared" si="930"/>
        <v>0.72999999999999987</v>
      </c>
      <c r="EI152" s="55">
        <f t="shared" si="930"/>
        <v>0.70999999999999985</v>
      </c>
      <c r="EJ152" s="55">
        <f t="shared" si="930"/>
        <v>0.68999999999999984</v>
      </c>
      <c r="EK152" s="55">
        <f t="shared" si="930"/>
        <v>0.66999999999999982</v>
      </c>
      <c r="EL152" s="55">
        <f t="shared" si="930"/>
        <v>0.6499999999999998</v>
      </c>
      <c r="EM152" s="55">
        <f t="shared" si="930"/>
        <v>0.62999999999999978</v>
      </c>
      <c r="EN152" s="55">
        <f t="shared" si="930"/>
        <v>0.60999999999999976</v>
      </c>
      <c r="EO152" s="55">
        <f t="shared" si="930"/>
        <v>0.58999999999999975</v>
      </c>
      <c r="EP152" s="55">
        <f t="shared" si="930"/>
        <v>0.56999999999999973</v>
      </c>
      <c r="ER152" s="55">
        <f t="shared" si="648"/>
        <v>0</v>
      </c>
      <c r="ES152" s="55">
        <f t="shared" si="1070"/>
        <v>0</v>
      </c>
      <c r="ET152" s="59">
        <f t="shared" si="1123"/>
        <v>0</v>
      </c>
      <c r="EU152" s="55">
        <f t="shared" si="1124"/>
        <v>0</v>
      </c>
      <c r="EV152" s="59">
        <f t="shared" si="1125"/>
        <v>0</v>
      </c>
      <c r="EW152" s="55">
        <f t="shared" si="1126"/>
        <v>0</v>
      </c>
      <c r="EX152" s="59">
        <f t="shared" si="1127"/>
        <v>0</v>
      </c>
      <c r="EY152" s="55">
        <f>+ES152*GP152</f>
        <v>0</v>
      </c>
      <c r="EZ152" s="59">
        <f t="shared" si="1128"/>
        <v>0</v>
      </c>
      <c r="FA152" s="57">
        <f>+ES152*GQ152</f>
        <v>0</v>
      </c>
      <c r="FB152" s="59">
        <f t="shared" si="1129"/>
        <v>0</v>
      </c>
      <c r="FC152" s="55">
        <f>+ES152*GR152</f>
        <v>0</v>
      </c>
      <c r="FD152" s="59">
        <f t="shared" si="1130"/>
        <v>0</v>
      </c>
      <c r="FE152" s="57">
        <f>+ES152*GS152</f>
        <v>0</v>
      </c>
      <c r="FF152" s="59">
        <f t="shared" si="1131"/>
        <v>0</v>
      </c>
      <c r="FG152" s="60">
        <f>+ES152*GT152</f>
        <v>0</v>
      </c>
      <c r="FH152" s="59">
        <f t="shared" si="1132"/>
        <v>0</v>
      </c>
      <c r="FI152" s="57">
        <f>+ES152*GU152</f>
        <v>0</v>
      </c>
      <c r="FJ152" s="59">
        <f t="shared" si="1133"/>
        <v>0</v>
      </c>
      <c r="FK152" s="55">
        <f>+ES152*GV152</f>
        <v>0</v>
      </c>
      <c r="FL152" s="59">
        <f t="shared" si="1134"/>
        <v>0</v>
      </c>
      <c r="FM152" s="60">
        <f>+ES152*GW152</f>
        <v>0</v>
      </c>
      <c r="FN152" s="59">
        <f t="shared" si="1135"/>
        <v>0</v>
      </c>
      <c r="FO152" s="60">
        <f>+ES152*GX152</f>
        <v>0</v>
      </c>
      <c r="FP152" s="59">
        <f t="shared" si="1136"/>
        <v>0</v>
      </c>
      <c r="FQ152" s="60">
        <f>+ES152*GY152</f>
        <v>0</v>
      </c>
      <c r="FR152" s="59">
        <f t="shared" si="1137"/>
        <v>0</v>
      </c>
      <c r="FS152" s="55">
        <f>+ES152*GZ152</f>
        <v>0</v>
      </c>
      <c r="FT152" s="59">
        <f t="shared" si="1138"/>
        <v>0</v>
      </c>
      <c r="FU152" s="60">
        <f>+ES152*HA152</f>
        <v>0</v>
      </c>
      <c r="FV152" s="59">
        <f t="shared" si="1139"/>
        <v>0</v>
      </c>
      <c r="FW152" s="60">
        <f>+ES152*HB152</f>
        <v>0</v>
      </c>
      <c r="FX152" s="59">
        <f t="shared" si="1140"/>
        <v>0</v>
      </c>
      <c r="FY152" s="60">
        <f>+ES152*HC152</f>
        <v>0</v>
      </c>
      <c r="FZ152" s="59">
        <f t="shared" si="1141"/>
        <v>0</v>
      </c>
      <c r="GA152" s="60">
        <f>+ES152*HD152</f>
        <v>0</v>
      </c>
      <c r="GB152" s="59">
        <f t="shared" si="1142"/>
        <v>0</v>
      </c>
      <c r="GC152" s="55">
        <f>+ES152*HE152</f>
        <v>0</v>
      </c>
      <c r="GD152" s="59">
        <f t="shared" si="1143"/>
        <v>0</v>
      </c>
      <c r="GE152" s="60">
        <f>+ES152*HF152</f>
        <v>0</v>
      </c>
      <c r="GF152" s="59">
        <f t="shared" si="1144"/>
        <v>0</v>
      </c>
      <c r="GG152" s="60">
        <f>+ES152*HG152</f>
        <v>0</v>
      </c>
      <c r="GH152" s="59">
        <f t="shared" si="1145"/>
        <v>0</v>
      </c>
      <c r="GI152" s="55">
        <f>+ES152*HH152</f>
        <v>0</v>
      </c>
      <c r="GJ152" s="59">
        <f t="shared" si="1146"/>
        <v>0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31"/>
        <v>0.91</v>
      </c>
      <c r="GR152" s="55">
        <f t="shared" si="931"/>
        <v>0.89</v>
      </c>
      <c r="GS152" s="55">
        <f t="shared" si="931"/>
        <v>0.87</v>
      </c>
      <c r="GT152" s="55">
        <f t="shared" si="931"/>
        <v>0.85</v>
      </c>
      <c r="GU152" s="55">
        <f t="shared" si="931"/>
        <v>0.83</v>
      </c>
      <c r="GV152" s="55">
        <f t="shared" si="931"/>
        <v>0.80999999999999994</v>
      </c>
      <c r="GW152" s="55">
        <f t="shared" si="931"/>
        <v>0.78999999999999992</v>
      </c>
      <c r="GX152" s="55">
        <f t="shared" si="931"/>
        <v>0.76999999999999991</v>
      </c>
      <c r="GY152" s="55">
        <f t="shared" si="931"/>
        <v>0.74999999999999989</v>
      </c>
      <c r="GZ152" s="55">
        <f t="shared" si="931"/>
        <v>0.72999999999999987</v>
      </c>
      <c r="HA152" s="55">
        <f t="shared" si="931"/>
        <v>0.70999999999999985</v>
      </c>
      <c r="HB152" s="55">
        <f t="shared" si="931"/>
        <v>0.68999999999999984</v>
      </c>
      <c r="HC152" s="55">
        <f t="shared" si="931"/>
        <v>0.66999999999999982</v>
      </c>
      <c r="HD152" s="55">
        <f t="shared" si="931"/>
        <v>0.6499999999999998</v>
      </c>
      <c r="HE152" s="55">
        <f t="shared" si="931"/>
        <v>0.62999999999999978</v>
      </c>
      <c r="HF152" s="55">
        <f t="shared" si="931"/>
        <v>0.60999999999999976</v>
      </c>
      <c r="HG152" s="55">
        <f t="shared" si="931"/>
        <v>0.58999999999999975</v>
      </c>
      <c r="HH152" s="55">
        <f t="shared" si="931"/>
        <v>0.56999999999999973</v>
      </c>
    </row>
    <row r="153" spans="1:216" x14ac:dyDescent="0.3">
      <c r="A153" s="2">
        <v>3</v>
      </c>
      <c r="C153" s="38" t="s">
        <v>47</v>
      </c>
      <c r="D153" s="42">
        <v>0</v>
      </c>
      <c r="E153" s="71">
        <f>TRUNC(+D153*3.3058,-1)</f>
        <v>0</v>
      </c>
      <c r="H153" s="55">
        <f t="shared" si="1065"/>
        <v>0</v>
      </c>
      <c r="I153" s="55">
        <f t="shared" si="1066"/>
        <v>0</v>
      </c>
      <c r="J153" s="59">
        <f t="shared" si="1067"/>
        <v>0</v>
      </c>
      <c r="K153" s="55">
        <f t="shared" si="1075"/>
        <v>0</v>
      </c>
      <c r="L153" s="59">
        <f t="shared" si="1076"/>
        <v>0</v>
      </c>
      <c r="M153" s="55">
        <f t="shared" si="1077"/>
        <v>0</v>
      </c>
      <c r="N153" s="59">
        <f t="shared" si="1078"/>
        <v>0</v>
      </c>
      <c r="O153" s="55">
        <f>+I153*BF153</f>
        <v>0</v>
      </c>
      <c r="P153" s="59">
        <f t="shared" si="1079"/>
        <v>0</v>
      </c>
      <c r="Q153" s="57">
        <f>+I153*BG153</f>
        <v>0</v>
      </c>
      <c r="R153" s="59">
        <f t="shared" si="1080"/>
        <v>0</v>
      </c>
      <c r="S153" s="55">
        <f>+I153*BH153</f>
        <v>0</v>
      </c>
      <c r="T153" s="59">
        <f t="shared" si="1081"/>
        <v>0</v>
      </c>
      <c r="U153" s="57">
        <f>+I153*BI153</f>
        <v>0</v>
      </c>
      <c r="V153" s="59">
        <f t="shared" si="1082"/>
        <v>0</v>
      </c>
      <c r="W153" s="60">
        <f>+I153*BJ153</f>
        <v>0</v>
      </c>
      <c r="X153" s="59">
        <f t="shared" si="1083"/>
        <v>0</v>
      </c>
      <c r="Y153" s="57">
        <f>+I153*BK153</f>
        <v>0</v>
      </c>
      <c r="Z153" s="59">
        <f t="shared" si="1084"/>
        <v>0</v>
      </c>
      <c r="AA153" s="55">
        <f>+I153*BL153</f>
        <v>0</v>
      </c>
      <c r="AB153" s="59">
        <f t="shared" si="1085"/>
        <v>0</v>
      </c>
      <c r="AC153" s="60">
        <f>+I153*BM153</f>
        <v>0</v>
      </c>
      <c r="AD153" s="59">
        <f t="shared" si="1086"/>
        <v>0</v>
      </c>
      <c r="AE153" s="60">
        <f>+I153*BN153</f>
        <v>0</v>
      </c>
      <c r="AF153" s="59">
        <f t="shared" si="1087"/>
        <v>0</v>
      </c>
      <c r="AG153" s="60">
        <f>+I153*BO153</f>
        <v>0</v>
      </c>
      <c r="AH153" s="59">
        <f t="shared" si="1088"/>
        <v>0</v>
      </c>
      <c r="AI153" s="55">
        <f>+I153*BP153</f>
        <v>0</v>
      </c>
      <c r="AJ153" s="59">
        <f t="shared" si="1089"/>
        <v>0</v>
      </c>
      <c r="AK153" s="60">
        <f>+I153*BQ153</f>
        <v>0</v>
      </c>
      <c r="AL153" s="59">
        <f t="shared" si="1090"/>
        <v>0</v>
      </c>
      <c r="AM153" s="60">
        <f>+I153*BR153</f>
        <v>0</v>
      </c>
      <c r="AN153" s="59">
        <f t="shared" si="1091"/>
        <v>0</v>
      </c>
      <c r="AO153" s="60">
        <f>+I153*BS153</f>
        <v>0</v>
      </c>
      <c r="AP153" s="59">
        <f t="shared" si="1092"/>
        <v>0</v>
      </c>
      <c r="AQ153" s="60">
        <f>+I153*BT153</f>
        <v>0</v>
      </c>
      <c r="AR153" s="59">
        <f t="shared" si="1093"/>
        <v>0</v>
      </c>
      <c r="AS153" s="55">
        <f>+I153*BU153</f>
        <v>0</v>
      </c>
      <c r="AT153" s="59">
        <f t="shared" si="1094"/>
        <v>0</v>
      </c>
      <c r="AU153" s="60">
        <f>+I153*BV153</f>
        <v>0</v>
      </c>
      <c r="AV153" s="59">
        <f t="shared" si="1095"/>
        <v>0</v>
      </c>
      <c r="AW153" s="60">
        <f>+I153*BW153</f>
        <v>0</v>
      </c>
      <c r="AX153" s="59">
        <f t="shared" si="1096"/>
        <v>0</v>
      </c>
      <c r="AY153" s="55">
        <f>+I153*BX153</f>
        <v>0</v>
      </c>
      <c r="AZ153" s="59">
        <f t="shared" si="1097"/>
        <v>0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098"/>
        <v>0.91</v>
      </c>
      <c r="BH153" s="55">
        <f t="shared" si="1098"/>
        <v>0.89</v>
      </c>
      <c r="BI153" s="55">
        <f t="shared" si="1098"/>
        <v>0.87</v>
      </c>
      <c r="BJ153" s="55">
        <f t="shared" si="1098"/>
        <v>0.85</v>
      </c>
      <c r="BK153" s="55">
        <f t="shared" si="1098"/>
        <v>0.83</v>
      </c>
      <c r="BL153" s="55">
        <f t="shared" si="1098"/>
        <v>0.80999999999999994</v>
      </c>
      <c r="BM153" s="55">
        <f t="shared" si="1098"/>
        <v>0.78999999999999992</v>
      </c>
      <c r="BN153" s="55">
        <f t="shared" si="1098"/>
        <v>0.76999999999999991</v>
      </c>
      <c r="BO153" s="55">
        <f t="shared" si="1098"/>
        <v>0.74999999999999989</v>
      </c>
      <c r="BP153" s="55">
        <f t="shared" si="1098"/>
        <v>0.72999999999999987</v>
      </c>
      <c r="BQ153" s="55">
        <f t="shared" si="1098"/>
        <v>0.70999999999999985</v>
      </c>
      <c r="BR153" s="55">
        <f t="shared" si="1098"/>
        <v>0.68999999999999984</v>
      </c>
      <c r="BS153" s="55">
        <f t="shared" si="1098"/>
        <v>0.66999999999999982</v>
      </c>
      <c r="BT153" s="55">
        <f t="shared" si="1098"/>
        <v>0.6499999999999998</v>
      </c>
      <c r="BU153" s="55">
        <f t="shared" si="1098"/>
        <v>0.62999999999999978</v>
      </c>
      <c r="BV153" s="55">
        <f t="shared" si="1098"/>
        <v>0.60999999999999976</v>
      </c>
      <c r="BW153" s="55">
        <f t="shared" si="1098"/>
        <v>0.58999999999999975</v>
      </c>
      <c r="BX153" s="55">
        <f t="shared" si="1098"/>
        <v>0.56999999999999973</v>
      </c>
      <c r="BZ153" s="55">
        <f t="shared" si="1068"/>
        <v>0</v>
      </c>
      <c r="CA153" s="55">
        <f t="shared" si="1069"/>
        <v>0</v>
      </c>
      <c r="CB153" s="59">
        <f t="shared" si="1099"/>
        <v>0</v>
      </c>
      <c r="CC153" s="55">
        <f t="shared" si="1100"/>
        <v>0</v>
      </c>
      <c r="CD153" s="59">
        <f t="shared" si="1101"/>
        <v>0</v>
      </c>
      <c r="CE153" s="55">
        <f t="shared" si="1102"/>
        <v>0</v>
      </c>
      <c r="CF153" s="59">
        <f t="shared" si="1103"/>
        <v>0</v>
      </c>
      <c r="CG153" s="55">
        <f>+CA153*DX153</f>
        <v>0</v>
      </c>
      <c r="CH153" s="59">
        <f t="shared" si="1104"/>
        <v>0</v>
      </c>
      <c r="CI153" s="57">
        <f>+CA153*DY153</f>
        <v>0</v>
      </c>
      <c r="CJ153" s="59">
        <f t="shared" si="1105"/>
        <v>0</v>
      </c>
      <c r="CK153" s="55">
        <f>+CA153*DZ153</f>
        <v>0</v>
      </c>
      <c r="CL153" s="59">
        <f t="shared" si="1106"/>
        <v>0</v>
      </c>
      <c r="CM153" s="57">
        <f>+CA153*EA153</f>
        <v>0</v>
      </c>
      <c r="CN153" s="59">
        <f t="shared" si="1107"/>
        <v>0</v>
      </c>
      <c r="CO153" s="60">
        <f>+CA153*EB153</f>
        <v>0</v>
      </c>
      <c r="CP153" s="59">
        <f t="shared" si="1108"/>
        <v>0</v>
      </c>
      <c r="CQ153" s="57">
        <f>+CA153*EC153</f>
        <v>0</v>
      </c>
      <c r="CR153" s="59">
        <f t="shared" si="1109"/>
        <v>0</v>
      </c>
      <c r="CS153" s="55">
        <f>+CA153*ED153</f>
        <v>0</v>
      </c>
      <c r="CT153" s="59">
        <f t="shared" si="1110"/>
        <v>0</v>
      </c>
      <c r="CU153" s="60">
        <f>+CA153*EE153</f>
        <v>0</v>
      </c>
      <c r="CV153" s="59">
        <f t="shared" si="1111"/>
        <v>0</v>
      </c>
      <c r="CW153" s="60">
        <f>+CA153*EF153</f>
        <v>0</v>
      </c>
      <c r="CX153" s="59">
        <f t="shared" si="1112"/>
        <v>0</v>
      </c>
      <c r="CY153" s="60">
        <f>+CA153*EG153</f>
        <v>0</v>
      </c>
      <c r="CZ153" s="59">
        <f t="shared" si="1113"/>
        <v>0</v>
      </c>
      <c r="DA153" s="55">
        <f>+CA153*EH153</f>
        <v>0</v>
      </c>
      <c r="DB153" s="59">
        <f t="shared" si="1114"/>
        <v>0</v>
      </c>
      <c r="DC153" s="60">
        <f>+CA153*EI153</f>
        <v>0</v>
      </c>
      <c r="DD153" s="59">
        <f t="shared" si="1115"/>
        <v>0</v>
      </c>
      <c r="DE153" s="60">
        <f>+CA153*EJ153</f>
        <v>0</v>
      </c>
      <c r="DF153" s="59">
        <f t="shared" si="1116"/>
        <v>0</v>
      </c>
      <c r="DG153" s="60">
        <f>+CA153*EK153</f>
        <v>0</v>
      </c>
      <c r="DH153" s="59">
        <f t="shared" si="1117"/>
        <v>0</v>
      </c>
      <c r="DI153" s="60">
        <f>+CA153*EL153</f>
        <v>0</v>
      </c>
      <c r="DJ153" s="59">
        <f t="shared" si="1118"/>
        <v>0</v>
      </c>
      <c r="DK153" s="55">
        <f>+CA153*EM153</f>
        <v>0</v>
      </c>
      <c r="DL153" s="59">
        <f t="shared" si="1119"/>
        <v>0</v>
      </c>
      <c r="DM153" s="60">
        <f>+CA153*EN153</f>
        <v>0</v>
      </c>
      <c r="DN153" s="59">
        <f t="shared" si="1120"/>
        <v>0</v>
      </c>
      <c r="DO153" s="60">
        <f>+CA153*EO153</f>
        <v>0</v>
      </c>
      <c r="DP153" s="59">
        <f t="shared" si="1121"/>
        <v>0</v>
      </c>
      <c r="DQ153" s="55">
        <f>+CA153*EP153</f>
        <v>0</v>
      </c>
      <c r="DR153" s="59">
        <f t="shared" si="1122"/>
        <v>0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30"/>
        <v>0.91</v>
      </c>
      <c r="DZ153" s="55">
        <f t="shared" si="930"/>
        <v>0.89</v>
      </c>
      <c r="EA153" s="55">
        <f t="shared" si="930"/>
        <v>0.87</v>
      </c>
      <c r="EB153" s="55">
        <f t="shared" ref="EB153:EP153" si="1147">+EA153-0.02</f>
        <v>0.85</v>
      </c>
      <c r="EC153" s="55">
        <f t="shared" si="1147"/>
        <v>0.83</v>
      </c>
      <c r="ED153" s="55">
        <f t="shared" si="1147"/>
        <v>0.80999999999999994</v>
      </c>
      <c r="EE153" s="55">
        <f t="shared" si="1147"/>
        <v>0.78999999999999992</v>
      </c>
      <c r="EF153" s="55">
        <f t="shared" si="1147"/>
        <v>0.76999999999999991</v>
      </c>
      <c r="EG153" s="55">
        <f t="shared" si="1147"/>
        <v>0.74999999999999989</v>
      </c>
      <c r="EH153" s="55">
        <f t="shared" si="1147"/>
        <v>0.72999999999999987</v>
      </c>
      <c r="EI153" s="55">
        <f t="shared" si="1147"/>
        <v>0.70999999999999985</v>
      </c>
      <c r="EJ153" s="55">
        <f t="shared" si="1147"/>
        <v>0.68999999999999984</v>
      </c>
      <c r="EK153" s="55">
        <f t="shared" si="1147"/>
        <v>0.66999999999999982</v>
      </c>
      <c r="EL153" s="55">
        <f t="shared" si="1147"/>
        <v>0.6499999999999998</v>
      </c>
      <c r="EM153" s="55">
        <f t="shared" si="1147"/>
        <v>0.62999999999999978</v>
      </c>
      <c r="EN153" s="55">
        <f t="shared" si="1147"/>
        <v>0.60999999999999976</v>
      </c>
      <c r="EO153" s="55">
        <f t="shared" si="1147"/>
        <v>0.58999999999999975</v>
      </c>
      <c r="EP153" s="55">
        <f t="shared" si="1147"/>
        <v>0.56999999999999973</v>
      </c>
      <c r="ER153" s="55">
        <f t="shared" si="648"/>
        <v>0</v>
      </c>
      <c r="ES153" s="55">
        <f t="shared" si="1070"/>
        <v>0</v>
      </c>
      <c r="ET153" s="59">
        <f t="shared" si="1123"/>
        <v>0</v>
      </c>
      <c r="EU153" s="55">
        <f t="shared" si="1124"/>
        <v>0</v>
      </c>
      <c r="EV153" s="59">
        <f t="shared" si="1125"/>
        <v>0</v>
      </c>
      <c r="EW153" s="55">
        <f t="shared" si="1126"/>
        <v>0</v>
      </c>
      <c r="EX153" s="59">
        <f t="shared" si="1127"/>
        <v>0</v>
      </c>
      <c r="EY153" s="55">
        <f>+ES153*GP153</f>
        <v>0</v>
      </c>
      <c r="EZ153" s="59">
        <f t="shared" si="1128"/>
        <v>0</v>
      </c>
      <c r="FA153" s="57">
        <f>+ES153*GQ153</f>
        <v>0</v>
      </c>
      <c r="FB153" s="59">
        <f t="shared" si="1129"/>
        <v>0</v>
      </c>
      <c r="FC153" s="55">
        <f>+ES153*GR153</f>
        <v>0</v>
      </c>
      <c r="FD153" s="59">
        <f t="shared" si="1130"/>
        <v>0</v>
      </c>
      <c r="FE153" s="57">
        <f>+ES153*GS153</f>
        <v>0</v>
      </c>
      <c r="FF153" s="59">
        <f t="shared" si="1131"/>
        <v>0</v>
      </c>
      <c r="FG153" s="60">
        <f>+ES153*GT153</f>
        <v>0</v>
      </c>
      <c r="FH153" s="59">
        <f t="shared" si="1132"/>
        <v>0</v>
      </c>
      <c r="FI153" s="57">
        <f>+ES153*GU153</f>
        <v>0</v>
      </c>
      <c r="FJ153" s="59">
        <f t="shared" si="1133"/>
        <v>0</v>
      </c>
      <c r="FK153" s="55">
        <f>+ES153*GV153</f>
        <v>0</v>
      </c>
      <c r="FL153" s="59">
        <f t="shared" si="1134"/>
        <v>0</v>
      </c>
      <c r="FM153" s="60">
        <f>+ES153*GW153</f>
        <v>0</v>
      </c>
      <c r="FN153" s="59">
        <f t="shared" si="1135"/>
        <v>0</v>
      </c>
      <c r="FO153" s="60">
        <f>+ES153*GX153</f>
        <v>0</v>
      </c>
      <c r="FP153" s="59">
        <f t="shared" si="1136"/>
        <v>0</v>
      </c>
      <c r="FQ153" s="60">
        <f>+ES153*GY153</f>
        <v>0</v>
      </c>
      <c r="FR153" s="59">
        <f t="shared" si="1137"/>
        <v>0</v>
      </c>
      <c r="FS153" s="55">
        <f>+ES153*GZ153</f>
        <v>0</v>
      </c>
      <c r="FT153" s="59">
        <f t="shared" si="1138"/>
        <v>0</v>
      </c>
      <c r="FU153" s="60">
        <f>+ES153*HA153</f>
        <v>0</v>
      </c>
      <c r="FV153" s="59">
        <f t="shared" si="1139"/>
        <v>0</v>
      </c>
      <c r="FW153" s="60">
        <f>+ES153*HB153</f>
        <v>0</v>
      </c>
      <c r="FX153" s="59">
        <f t="shared" si="1140"/>
        <v>0</v>
      </c>
      <c r="FY153" s="60">
        <f>+ES153*HC153</f>
        <v>0</v>
      </c>
      <c r="FZ153" s="59">
        <f t="shared" si="1141"/>
        <v>0</v>
      </c>
      <c r="GA153" s="60">
        <f>+ES153*HD153</f>
        <v>0</v>
      </c>
      <c r="GB153" s="59">
        <f t="shared" si="1142"/>
        <v>0</v>
      </c>
      <c r="GC153" s="55">
        <f>+ES153*HE153</f>
        <v>0</v>
      </c>
      <c r="GD153" s="59">
        <f t="shared" si="1143"/>
        <v>0</v>
      </c>
      <c r="GE153" s="60">
        <f>+ES153*HF153</f>
        <v>0</v>
      </c>
      <c r="GF153" s="59">
        <f t="shared" si="1144"/>
        <v>0</v>
      </c>
      <c r="GG153" s="60">
        <f>+ES153*HG153</f>
        <v>0</v>
      </c>
      <c r="GH153" s="59">
        <f t="shared" si="1145"/>
        <v>0</v>
      </c>
      <c r="GI153" s="55">
        <f>+ES153*HH153</f>
        <v>0</v>
      </c>
      <c r="GJ153" s="59">
        <f t="shared" si="1146"/>
        <v>0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31"/>
        <v>0.91</v>
      </c>
      <c r="GR153" s="55">
        <f t="shared" si="931"/>
        <v>0.89</v>
      </c>
      <c r="GS153" s="55">
        <f t="shared" si="931"/>
        <v>0.87</v>
      </c>
      <c r="GT153" s="55">
        <f t="shared" ref="GT153:HH153" si="1148">+GS153-0.02</f>
        <v>0.85</v>
      </c>
      <c r="GU153" s="55">
        <f t="shared" si="1148"/>
        <v>0.83</v>
      </c>
      <c r="GV153" s="55">
        <f t="shared" si="1148"/>
        <v>0.80999999999999994</v>
      </c>
      <c r="GW153" s="55">
        <f t="shared" si="1148"/>
        <v>0.78999999999999992</v>
      </c>
      <c r="GX153" s="55">
        <f t="shared" si="1148"/>
        <v>0.76999999999999991</v>
      </c>
      <c r="GY153" s="55">
        <f t="shared" si="1148"/>
        <v>0.74999999999999989</v>
      </c>
      <c r="GZ153" s="55">
        <f t="shared" si="1148"/>
        <v>0.72999999999999987</v>
      </c>
      <c r="HA153" s="55">
        <f t="shared" si="1148"/>
        <v>0.70999999999999985</v>
      </c>
      <c r="HB153" s="55">
        <f t="shared" si="1148"/>
        <v>0.68999999999999984</v>
      </c>
      <c r="HC153" s="55">
        <f t="shared" si="1148"/>
        <v>0.66999999999999982</v>
      </c>
      <c r="HD153" s="55">
        <f t="shared" si="1148"/>
        <v>0.6499999999999998</v>
      </c>
      <c r="HE153" s="55">
        <f t="shared" si="1148"/>
        <v>0.62999999999999978</v>
      </c>
      <c r="HF153" s="55">
        <f t="shared" si="1148"/>
        <v>0.60999999999999976</v>
      </c>
      <c r="HG153" s="55">
        <f t="shared" si="1148"/>
        <v>0.58999999999999975</v>
      </c>
      <c r="HH153" s="55">
        <f t="shared" si="1148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v>0</v>
      </c>
      <c r="E154" s="72">
        <f>TRUNC(+D154*3.3058,-1)</f>
        <v>0</v>
      </c>
      <c r="H154" s="55">
        <f t="shared" si="1065"/>
        <v>0</v>
      </c>
      <c r="I154" s="55">
        <f t="shared" si="1066"/>
        <v>0</v>
      </c>
      <c r="J154" s="59">
        <f t="shared" si="1067"/>
        <v>0</v>
      </c>
      <c r="K154" s="55">
        <f t="shared" si="1075"/>
        <v>0</v>
      </c>
      <c r="L154" s="59">
        <f t="shared" si="1076"/>
        <v>0</v>
      </c>
      <c r="M154" s="55">
        <f t="shared" si="1077"/>
        <v>0</v>
      </c>
      <c r="N154" s="59">
        <f t="shared" si="1078"/>
        <v>0</v>
      </c>
      <c r="O154" s="55">
        <f>+I154*BF154</f>
        <v>0</v>
      </c>
      <c r="P154" s="59">
        <f t="shared" si="1079"/>
        <v>0</v>
      </c>
      <c r="Q154" s="57">
        <f>+I154*BG154</f>
        <v>0</v>
      </c>
      <c r="R154" s="59">
        <f t="shared" si="1080"/>
        <v>0</v>
      </c>
      <c r="S154" s="55">
        <f>+I154*BH154</f>
        <v>0</v>
      </c>
      <c r="T154" s="59">
        <f t="shared" si="1081"/>
        <v>0</v>
      </c>
      <c r="U154" s="57">
        <f>+I154*BI154</f>
        <v>0</v>
      </c>
      <c r="V154" s="59">
        <f t="shared" si="1082"/>
        <v>0</v>
      </c>
      <c r="W154" s="60">
        <f>+I154*BJ154</f>
        <v>0</v>
      </c>
      <c r="X154" s="59">
        <f t="shared" si="1083"/>
        <v>0</v>
      </c>
      <c r="Y154" s="57">
        <f>+I154*BK154</f>
        <v>0</v>
      </c>
      <c r="Z154" s="59">
        <f t="shared" si="1084"/>
        <v>0</v>
      </c>
      <c r="AA154" s="55">
        <f>+I154*BL154</f>
        <v>0</v>
      </c>
      <c r="AB154" s="59">
        <f t="shared" si="1085"/>
        <v>0</v>
      </c>
      <c r="AC154" s="60">
        <f>+I154*BM154</f>
        <v>0</v>
      </c>
      <c r="AD154" s="59">
        <f t="shared" si="1086"/>
        <v>0</v>
      </c>
      <c r="AE154" s="60">
        <f>+I154*BN154</f>
        <v>0</v>
      </c>
      <c r="AF154" s="59">
        <f t="shared" si="1087"/>
        <v>0</v>
      </c>
      <c r="AG154" s="60">
        <f>+I154*BO154</f>
        <v>0</v>
      </c>
      <c r="AH154" s="59">
        <f t="shared" si="1088"/>
        <v>0</v>
      </c>
      <c r="AI154" s="55">
        <f>+I154*BP154</f>
        <v>0</v>
      </c>
      <c r="AJ154" s="59">
        <f t="shared" si="1089"/>
        <v>0</v>
      </c>
      <c r="AK154" s="60">
        <f>+I154*BQ154</f>
        <v>0</v>
      </c>
      <c r="AL154" s="59">
        <f t="shared" si="1090"/>
        <v>0</v>
      </c>
      <c r="AM154" s="60">
        <f>+I154*BR154</f>
        <v>0</v>
      </c>
      <c r="AN154" s="59">
        <f t="shared" si="1091"/>
        <v>0</v>
      </c>
      <c r="AO154" s="60">
        <f>+I154*BS154</f>
        <v>0</v>
      </c>
      <c r="AP154" s="59">
        <f t="shared" si="1092"/>
        <v>0</v>
      </c>
      <c r="AQ154" s="60">
        <f>+I154*BT154</f>
        <v>0</v>
      </c>
      <c r="AR154" s="59">
        <f t="shared" si="1093"/>
        <v>0</v>
      </c>
      <c r="AS154" s="55">
        <f>+I154*BU154</f>
        <v>0</v>
      </c>
      <c r="AT154" s="59">
        <f t="shared" si="1094"/>
        <v>0</v>
      </c>
      <c r="AU154" s="60">
        <f>+I154*BV154</f>
        <v>0</v>
      </c>
      <c r="AV154" s="59">
        <f t="shared" si="1095"/>
        <v>0</v>
      </c>
      <c r="AW154" s="60">
        <f>+I154*BW154</f>
        <v>0</v>
      </c>
      <c r="AX154" s="59">
        <f t="shared" si="1096"/>
        <v>0</v>
      </c>
      <c r="AY154" s="55">
        <f>+I154*BX154</f>
        <v>0</v>
      </c>
      <c r="AZ154" s="59">
        <f t="shared" si="1097"/>
        <v>0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098"/>
        <v>0.91</v>
      </c>
      <c r="BH154" s="55">
        <f t="shared" si="1098"/>
        <v>0.89</v>
      </c>
      <c r="BI154" s="55">
        <f t="shared" si="1098"/>
        <v>0.87</v>
      </c>
      <c r="BJ154" s="55">
        <f t="shared" si="1098"/>
        <v>0.85</v>
      </c>
      <c r="BK154" s="55">
        <f t="shared" si="1098"/>
        <v>0.83</v>
      </c>
      <c r="BL154" s="55">
        <f t="shared" si="1098"/>
        <v>0.80999999999999994</v>
      </c>
      <c r="BM154" s="55">
        <f t="shared" si="1098"/>
        <v>0.78999999999999992</v>
      </c>
      <c r="BN154" s="55">
        <f t="shared" si="1098"/>
        <v>0.76999999999999991</v>
      </c>
      <c r="BO154" s="55">
        <f t="shared" si="1098"/>
        <v>0.74999999999999989</v>
      </c>
      <c r="BP154" s="55">
        <f t="shared" si="1098"/>
        <v>0.72999999999999987</v>
      </c>
      <c r="BQ154" s="55">
        <f t="shared" si="1098"/>
        <v>0.70999999999999985</v>
      </c>
      <c r="BR154" s="55">
        <f t="shared" si="1098"/>
        <v>0.68999999999999984</v>
      </c>
      <c r="BS154" s="55">
        <f t="shared" si="1098"/>
        <v>0.66999999999999982</v>
      </c>
      <c r="BT154" s="55">
        <f t="shared" si="1098"/>
        <v>0.6499999999999998</v>
      </c>
      <c r="BU154" s="55">
        <f t="shared" si="1098"/>
        <v>0.62999999999999978</v>
      </c>
      <c r="BV154" s="55">
        <f t="shared" si="1098"/>
        <v>0.60999999999999976</v>
      </c>
      <c r="BW154" s="55">
        <f t="shared" si="1098"/>
        <v>0.58999999999999975</v>
      </c>
      <c r="BX154" s="55">
        <f t="shared" si="1098"/>
        <v>0.56999999999999973</v>
      </c>
      <c r="BZ154" s="55">
        <f t="shared" si="1068"/>
        <v>0</v>
      </c>
      <c r="CA154" s="55">
        <f t="shared" si="1069"/>
        <v>0</v>
      </c>
      <c r="CB154" s="59">
        <f t="shared" si="1099"/>
        <v>0</v>
      </c>
      <c r="CC154" s="55">
        <f t="shared" si="1100"/>
        <v>0</v>
      </c>
      <c r="CD154" s="59">
        <f t="shared" si="1101"/>
        <v>0</v>
      </c>
      <c r="CE154" s="55">
        <f t="shared" si="1102"/>
        <v>0</v>
      </c>
      <c r="CF154" s="59">
        <f t="shared" si="1103"/>
        <v>0</v>
      </c>
      <c r="CG154" s="55">
        <f>+CA154*DX154</f>
        <v>0</v>
      </c>
      <c r="CH154" s="59">
        <f t="shared" si="1104"/>
        <v>0</v>
      </c>
      <c r="CI154" s="57">
        <f>+CA154*DY154</f>
        <v>0</v>
      </c>
      <c r="CJ154" s="59">
        <f t="shared" si="1105"/>
        <v>0</v>
      </c>
      <c r="CK154" s="55">
        <f>+CA154*DZ154</f>
        <v>0</v>
      </c>
      <c r="CL154" s="59">
        <f t="shared" si="1106"/>
        <v>0</v>
      </c>
      <c r="CM154" s="57">
        <f>+CA154*EA154</f>
        <v>0</v>
      </c>
      <c r="CN154" s="59">
        <f t="shared" si="1107"/>
        <v>0</v>
      </c>
      <c r="CO154" s="60">
        <f>+CA154*EB154</f>
        <v>0</v>
      </c>
      <c r="CP154" s="59">
        <f t="shared" si="1108"/>
        <v>0</v>
      </c>
      <c r="CQ154" s="57">
        <f>+CA154*EC154</f>
        <v>0</v>
      </c>
      <c r="CR154" s="59">
        <f t="shared" si="1109"/>
        <v>0</v>
      </c>
      <c r="CS154" s="55">
        <f>+CA154*ED154</f>
        <v>0</v>
      </c>
      <c r="CT154" s="59">
        <f t="shared" si="1110"/>
        <v>0</v>
      </c>
      <c r="CU154" s="60">
        <f>+CA154*EE154</f>
        <v>0</v>
      </c>
      <c r="CV154" s="59">
        <f t="shared" si="1111"/>
        <v>0</v>
      </c>
      <c r="CW154" s="60">
        <f>+CA154*EF154</f>
        <v>0</v>
      </c>
      <c r="CX154" s="59">
        <f t="shared" si="1112"/>
        <v>0</v>
      </c>
      <c r="CY154" s="60">
        <f>+CA154*EG154</f>
        <v>0</v>
      </c>
      <c r="CZ154" s="59">
        <f t="shared" si="1113"/>
        <v>0</v>
      </c>
      <c r="DA154" s="55">
        <f>+CA154*EH154</f>
        <v>0</v>
      </c>
      <c r="DB154" s="59">
        <f t="shared" si="1114"/>
        <v>0</v>
      </c>
      <c r="DC154" s="60">
        <f>+CA154*EI154</f>
        <v>0</v>
      </c>
      <c r="DD154" s="59">
        <f t="shared" si="1115"/>
        <v>0</v>
      </c>
      <c r="DE154" s="60">
        <f>+CA154*EJ154</f>
        <v>0</v>
      </c>
      <c r="DF154" s="59">
        <f t="shared" si="1116"/>
        <v>0</v>
      </c>
      <c r="DG154" s="60">
        <f>+CA154*EK154</f>
        <v>0</v>
      </c>
      <c r="DH154" s="59">
        <f t="shared" si="1117"/>
        <v>0</v>
      </c>
      <c r="DI154" s="60">
        <f>+CA154*EL154</f>
        <v>0</v>
      </c>
      <c r="DJ154" s="59">
        <f t="shared" si="1118"/>
        <v>0</v>
      </c>
      <c r="DK154" s="55">
        <f>+CA154*EM154</f>
        <v>0</v>
      </c>
      <c r="DL154" s="59">
        <f t="shared" si="1119"/>
        <v>0</v>
      </c>
      <c r="DM154" s="60">
        <f>+CA154*EN154</f>
        <v>0</v>
      </c>
      <c r="DN154" s="59">
        <f t="shared" si="1120"/>
        <v>0</v>
      </c>
      <c r="DO154" s="60">
        <f>+CA154*EO154</f>
        <v>0</v>
      </c>
      <c r="DP154" s="59">
        <f t="shared" si="1121"/>
        <v>0</v>
      </c>
      <c r="DQ154" s="55">
        <f>+CA154*EP154</f>
        <v>0</v>
      </c>
      <c r="DR154" s="59">
        <f t="shared" si="1122"/>
        <v>0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49">+DX154-0.02</f>
        <v>0.91</v>
      </c>
      <c r="DZ154" s="55">
        <f t="shared" si="1149"/>
        <v>0.89</v>
      </c>
      <c r="EA154" s="55">
        <f t="shared" si="1149"/>
        <v>0.87</v>
      </c>
      <c r="EB154" s="55">
        <f t="shared" si="1149"/>
        <v>0.85</v>
      </c>
      <c r="EC154" s="55">
        <f t="shared" si="1149"/>
        <v>0.83</v>
      </c>
      <c r="ED154" s="55">
        <f t="shared" si="1149"/>
        <v>0.80999999999999994</v>
      </c>
      <c r="EE154" s="55">
        <f t="shared" si="1149"/>
        <v>0.78999999999999992</v>
      </c>
      <c r="EF154" s="55">
        <f t="shared" si="1149"/>
        <v>0.76999999999999991</v>
      </c>
      <c r="EG154" s="55">
        <f t="shared" si="1149"/>
        <v>0.74999999999999989</v>
      </c>
      <c r="EH154" s="55">
        <f t="shared" si="1149"/>
        <v>0.72999999999999987</v>
      </c>
      <c r="EI154" s="55">
        <f t="shared" si="1149"/>
        <v>0.70999999999999985</v>
      </c>
      <c r="EJ154" s="55">
        <f t="shared" si="1149"/>
        <v>0.68999999999999984</v>
      </c>
      <c r="EK154" s="55">
        <f t="shared" si="1149"/>
        <v>0.66999999999999982</v>
      </c>
      <c r="EL154" s="55">
        <f t="shared" si="1149"/>
        <v>0.6499999999999998</v>
      </c>
      <c r="EM154" s="55">
        <f t="shared" si="1149"/>
        <v>0.62999999999999978</v>
      </c>
      <c r="EN154" s="55">
        <f t="shared" si="1149"/>
        <v>0.60999999999999976</v>
      </c>
      <c r="EO154" s="55">
        <f t="shared" si="1149"/>
        <v>0.58999999999999975</v>
      </c>
      <c r="EP154" s="55">
        <f t="shared" si="1149"/>
        <v>0.56999999999999973</v>
      </c>
      <c r="ER154" s="55">
        <f t="shared" si="648"/>
        <v>0</v>
      </c>
      <c r="ES154" s="55">
        <f t="shared" si="1070"/>
        <v>0</v>
      </c>
      <c r="ET154" s="59">
        <f t="shared" si="1123"/>
        <v>0</v>
      </c>
      <c r="EU154" s="55">
        <f t="shared" si="1124"/>
        <v>0</v>
      </c>
      <c r="EV154" s="59">
        <f t="shared" si="1125"/>
        <v>0</v>
      </c>
      <c r="EW154" s="55">
        <f t="shared" si="1126"/>
        <v>0</v>
      </c>
      <c r="EX154" s="59">
        <f t="shared" si="1127"/>
        <v>0</v>
      </c>
      <c r="EY154" s="55">
        <f>+ES154*GP154</f>
        <v>0</v>
      </c>
      <c r="EZ154" s="59">
        <f t="shared" si="1128"/>
        <v>0</v>
      </c>
      <c r="FA154" s="57">
        <f>+ES154*GQ154</f>
        <v>0</v>
      </c>
      <c r="FB154" s="59">
        <f t="shared" si="1129"/>
        <v>0</v>
      </c>
      <c r="FC154" s="55">
        <f>+ES154*GR154</f>
        <v>0</v>
      </c>
      <c r="FD154" s="59">
        <f t="shared" si="1130"/>
        <v>0</v>
      </c>
      <c r="FE154" s="57">
        <f>+ES154*GS154</f>
        <v>0</v>
      </c>
      <c r="FF154" s="59">
        <f t="shared" si="1131"/>
        <v>0</v>
      </c>
      <c r="FG154" s="60">
        <f>+ES154*GT154</f>
        <v>0</v>
      </c>
      <c r="FH154" s="59">
        <f t="shared" si="1132"/>
        <v>0</v>
      </c>
      <c r="FI154" s="57">
        <f>+ES154*GU154</f>
        <v>0</v>
      </c>
      <c r="FJ154" s="59">
        <f t="shared" si="1133"/>
        <v>0</v>
      </c>
      <c r="FK154" s="55">
        <f>+ES154*GV154</f>
        <v>0</v>
      </c>
      <c r="FL154" s="59">
        <f t="shared" si="1134"/>
        <v>0</v>
      </c>
      <c r="FM154" s="60">
        <f>+ES154*GW154</f>
        <v>0</v>
      </c>
      <c r="FN154" s="59">
        <f t="shared" si="1135"/>
        <v>0</v>
      </c>
      <c r="FO154" s="60">
        <f>+ES154*GX154</f>
        <v>0</v>
      </c>
      <c r="FP154" s="59">
        <f t="shared" si="1136"/>
        <v>0</v>
      </c>
      <c r="FQ154" s="60">
        <f>+ES154*GY154</f>
        <v>0</v>
      </c>
      <c r="FR154" s="59">
        <f t="shared" si="1137"/>
        <v>0</v>
      </c>
      <c r="FS154" s="55">
        <f>+ES154*GZ154</f>
        <v>0</v>
      </c>
      <c r="FT154" s="59">
        <f t="shared" si="1138"/>
        <v>0</v>
      </c>
      <c r="FU154" s="60">
        <f>+ES154*HA154</f>
        <v>0</v>
      </c>
      <c r="FV154" s="59">
        <f t="shared" si="1139"/>
        <v>0</v>
      </c>
      <c r="FW154" s="60">
        <f>+ES154*HB154</f>
        <v>0</v>
      </c>
      <c r="FX154" s="59">
        <f t="shared" si="1140"/>
        <v>0</v>
      </c>
      <c r="FY154" s="60">
        <f>+ES154*HC154</f>
        <v>0</v>
      </c>
      <c r="FZ154" s="59">
        <f t="shared" si="1141"/>
        <v>0</v>
      </c>
      <c r="GA154" s="60">
        <f>+ES154*HD154</f>
        <v>0</v>
      </c>
      <c r="GB154" s="59">
        <f t="shared" si="1142"/>
        <v>0</v>
      </c>
      <c r="GC154" s="55">
        <f>+ES154*HE154</f>
        <v>0</v>
      </c>
      <c r="GD154" s="59">
        <f t="shared" si="1143"/>
        <v>0</v>
      </c>
      <c r="GE154" s="60">
        <f>+ES154*HF154</f>
        <v>0</v>
      </c>
      <c r="GF154" s="59">
        <f t="shared" si="1144"/>
        <v>0</v>
      </c>
      <c r="GG154" s="60">
        <f>+ES154*HG154</f>
        <v>0</v>
      </c>
      <c r="GH154" s="59">
        <f t="shared" si="1145"/>
        <v>0</v>
      </c>
      <c r="GI154" s="55">
        <f>+ES154*HH154</f>
        <v>0</v>
      </c>
      <c r="GJ154" s="59">
        <f t="shared" si="1146"/>
        <v>0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50">+GP154-0.02</f>
        <v>0.91</v>
      </c>
      <c r="GR154" s="55">
        <f t="shared" si="1150"/>
        <v>0.89</v>
      </c>
      <c r="GS154" s="55">
        <f t="shared" si="1150"/>
        <v>0.87</v>
      </c>
      <c r="GT154" s="55">
        <f t="shared" si="1150"/>
        <v>0.85</v>
      </c>
      <c r="GU154" s="55">
        <f t="shared" si="1150"/>
        <v>0.83</v>
      </c>
      <c r="GV154" s="55">
        <f t="shared" si="1150"/>
        <v>0.80999999999999994</v>
      </c>
      <c r="GW154" s="55">
        <f t="shared" si="1150"/>
        <v>0.78999999999999992</v>
      </c>
      <c r="GX154" s="55">
        <f t="shared" si="1150"/>
        <v>0.76999999999999991</v>
      </c>
      <c r="GY154" s="55">
        <f t="shared" si="1150"/>
        <v>0.74999999999999989</v>
      </c>
      <c r="GZ154" s="55">
        <f t="shared" si="1150"/>
        <v>0.72999999999999987</v>
      </c>
      <c r="HA154" s="55">
        <f t="shared" si="1150"/>
        <v>0.70999999999999985</v>
      </c>
      <c r="HB154" s="55">
        <f t="shared" si="1150"/>
        <v>0.68999999999999984</v>
      </c>
      <c r="HC154" s="55">
        <f t="shared" si="1150"/>
        <v>0.66999999999999982</v>
      </c>
      <c r="HD154" s="55">
        <f t="shared" si="1150"/>
        <v>0.6499999999999998</v>
      </c>
      <c r="HE154" s="55">
        <f t="shared" si="1150"/>
        <v>0.62999999999999978</v>
      </c>
      <c r="HF154" s="55">
        <f t="shared" si="1150"/>
        <v>0.60999999999999976</v>
      </c>
      <c r="HG154" s="55">
        <f t="shared" si="1150"/>
        <v>0.58999999999999975</v>
      </c>
      <c r="HH154" s="55">
        <f t="shared" si="1150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0</v>
      </c>
      <c r="E155" s="39">
        <f>SUM(E150:E154)</f>
        <v>0</v>
      </c>
      <c r="H155" s="55">
        <f t="shared" si="1065"/>
        <v>0</v>
      </c>
      <c r="I155" s="55">
        <f t="shared" si="1066"/>
        <v>0</v>
      </c>
      <c r="J155" s="59">
        <f t="shared" si="1067"/>
        <v>0</v>
      </c>
      <c r="K155" s="55">
        <f t="shared" si="1075"/>
        <v>0</v>
      </c>
      <c r="L155" s="59">
        <f t="shared" si="1076"/>
        <v>0</v>
      </c>
      <c r="M155" s="55">
        <f t="shared" si="1077"/>
        <v>0</v>
      </c>
      <c r="N155" s="59">
        <f t="shared" si="1078"/>
        <v>0</v>
      </c>
      <c r="O155" s="55">
        <f>+I155*BF155</f>
        <v>0</v>
      </c>
      <c r="P155" s="59">
        <f t="shared" si="1079"/>
        <v>0</v>
      </c>
      <c r="Q155" s="57">
        <f>+I155*BG155</f>
        <v>0</v>
      </c>
      <c r="R155" s="59">
        <f t="shared" si="1080"/>
        <v>0</v>
      </c>
      <c r="S155" s="55">
        <f>+I155*BH155</f>
        <v>0</v>
      </c>
      <c r="T155" s="59">
        <f t="shared" si="1081"/>
        <v>0</v>
      </c>
      <c r="U155" s="57">
        <f>+I155*BI155</f>
        <v>0</v>
      </c>
      <c r="V155" s="59">
        <f t="shared" si="1082"/>
        <v>0</v>
      </c>
      <c r="W155" s="60">
        <f>+I155*BJ155</f>
        <v>0</v>
      </c>
      <c r="X155" s="59">
        <f t="shared" si="1083"/>
        <v>0</v>
      </c>
      <c r="Y155" s="57">
        <f>+I155*BK155</f>
        <v>0</v>
      </c>
      <c r="Z155" s="59">
        <f t="shared" si="1084"/>
        <v>0</v>
      </c>
      <c r="AA155" s="55">
        <f>+I155*BL155</f>
        <v>0</v>
      </c>
      <c r="AB155" s="59">
        <f t="shared" si="1085"/>
        <v>0</v>
      </c>
      <c r="AC155" s="60">
        <f>+I155*BM155</f>
        <v>0</v>
      </c>
      <c r="AD155" s="59">
        <f t="shared" si="1086"/>
        <v>0</v>
      </c>
      <c r="AE155" s="60">
        <f>+I155*BN155</f>
        <v>0</v>
      </c>
      <c r="AF155" s="59">
        <f t="shared" si="1087"/>
        <v>0</v>
      </c>
      <c r="AG155" s="60">
        <f>+I155*BO155</f>
        <v>0</v>
      </c>
      <c r="AH155" s="59">
        <f t="shared" si="1088"/>
        <v>0</v>
      </c>
      <c r="AI155" s="55">
        <f>+I155*BP155</f>
        <v>0</v>
      </c>
      <c r="AJ155" s="59">
        <f t="shared" si="1089"/>
        <v>0</v>
      </c>
      <c r="AK155" s="60">
        <f>+I155*BQ155</f>
        <v>0</v>
      </c>
      <c r="AL155" s="59">
        <f t="shared" si="1090"/>
        <v>0</v>
      </c>
      <c r="AM155" s="60">
        <f>+I155*BR155</f>
        <v>0</v>
      </c>
      <c r="AN155" s="59">
        <f t="shared" si="1091"/>
        <v>0</v>
      </c>
      <c r="AO155" s="60">
        <f>+I155*BS155</f>
        <v>0</v>
      </c>
      <c r="AP155" s="59">
        <f t="shared" si="1092"/>
        <v>0</v>
      </c>
      <c r="AQ155" s="60">
        <f>+I155*BT155</f>
        <v>0</v>
      </c>
      <c r="AR155" s="59">
        <f t="shared" si="1093"/>
        <v>0</v>
      </c>
      <c r="AS155" s="55">
        <f>+I155*BU155</f>
        <v>0</v>
      </c>
      <c r="AT155" s="59">
        <f t="shared" si="1094"/>
        <v>0</v>
      </c>
      <c r="AU155" s="60">
        <f>+I155*BV155</f>
        <v>0</v>
      </c>
      <c r="AV155" s="59">
        <f t="shared" si="1095"/>
        <v>0</v>
      </c>
      <c r="AW155" s="60">
        <f>+I155*BW155</f>
        <v>0</v>
      </c>
      <c r="AX155" s="59">
        <f t="shared" si="1096"/>
        <v>0</v>
      </c>
      <c r="AY155" s="55">
        <f>+I155*BX155</f>
        <v>0</v>
      </c>
      <c r="AZ155" s="59">
        <f t="shared" si="1097"/>
        <v>0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098"/>
        <v>0.91</v>
      </c>
      <c r="BH155" s="55">
        <f t="shared" si="1098"/>
        <v>0.89</v>
      </c>
      <c r="BI155" s="55">
        <f t="shared" si="1098"/>
        <v>0.87</v>
      </c>
      <c r="BJ155" s="55">
        <f t="shared" si="1098"/>
        <v>0.85</v>
      </c>
      <c r="BK155" s="55">
        <f t="shared" si="1098"/>
        <v>0.83</v>
      </c>
      <c r="BL155" s="55">
        <f t="shared" si="1098"/>
        <v>0.80999999999999994</v>
      </c>
      <c r="BM155" s="55">
        <f t="shared" si="1098"/>
        <v>0.78999999999999992</v>
      </c>
      <c r="BN155" s="55">
        <f t="shared" si="1098"/>
        <v>0.76999999999999991</v>
      </c>
      <c r="BO155" s="55">
        <f t="shared" si="1098"/>
        <v>0.74999999999999989</v>
      </c>
      <c r="BP155" s="55">
        <f t="shared" si="1098"/>
        <v>0.72999999999999987</v>
      </c>
      <c r="BQ155" s="55">
        <f t="shared" si="1098"/>
        <v>0.70999999999999985</v>
      </c>
      <c r="BR155" s="55">
        <f t="shared" si="1098"/>
        <v>0.68999999999999984</v>
      </c>
      <c r="BS155" s="55">
        <f t="shared" si="1098"/>
        <v>0.66999999999999982</v>
      </c>
      <c r="BT155" s="55">
        <f t="shared" si="1098"/>
        <v>0.6499999999999998</v>
      </c>
      <c r="BU155" s="55">
        <f t="shared" si="1098"/>
        <v>0.62999999999999978</v>
      </c>
      <c r="BV155" s="55">
        <f t="shared" si="1098"/>
        <v>0.60999999999999976</v>
      </c>
      <c r="BW155" s="55">
        <f t="shared" si="1098"/>
        <v>0.58999999999999975</v>
      </c>
      <c r="BX155" s="55">
        <f t="shared" si="1098"/>
        <v>0.56999999999999973</v>
      </c>
      <c r="BZ155" s="55">
        <f t="shared" si="1068"/>
        <v>0</v>
      </c>
      <c r="CA155" s="55">
        <f t="shared" si="1069"/>
        <v>0</v>
      </c>
      <c r="CB155" s="59">
        <f t="shared" si="1099"/>
        <v>0</v>
      </c>
      <c r="CC155" s="55">
        <f t="shared" si="1100"/>
        <v>0</v>
      </c>
      <c r="CD155" s="59">
        <f t="shared" si="1101"/>
        <v>0</v>
      </c>
      <c r="CE155" s="55">
        <f t="shared" si="1102"/>
        <v>0</v>
      </c>
      <c r="CF155" s="59">
        <f t="shared" si="1103"/>
        <v>0</v>
      </c>
      <c r="CG155" s="55">
        <f>+CA155*DX155</f>
        <v>0</v>
      </c>
      <c r="CH155" s="59">
        <f t="shared" si="1104"/>
        <v>0</v>
      </c>
      <c r="CI155" s="57">
        <f>+CA155*DY155</f>
        <v>0</v>
      </c>
      <c r="CJ155" s="59">
        <f t="shared" si="1105"/>
        <v>0</v>
      </c>
      <c r="CK155" s="55">
        <f>+CA155*DZ155</f>
        <v>0</v>
      </c>
      <c r="CL155" s="59">
        <f t="shared" si="1106"/>
        <v>0</v>
      </c>
      <c r="CM155" s="57">
        <f>+CA155*EA155</f>
        <v>0</v>
      </c>
      <c r="CN155" s="59">
        <f t="shared" si="1107"/>
        <v>0</v>
      </c>
      <c r="CO155" s="60">
        <f>+CA155*EB155</f>
        <v>0</v>
      </c>
      <c r="CP155" s="59">
        <f t="shared" si="1108"/>
        <v>0</v>
      </c>
      <c r="CQ155" s="57">
        <f>+CA155*EC155</f>
        <v>0</v>
      </c>
      <c r="CR155" s="59">
        <f t="shared" si="1109"/>
        <v>0</v>
      </c>
      <c r="CS155" s="55">
        <f>+CA155*ED155</f>
        <v>0</v>
      </c>
      <c r="CT155" s="59">
        <f t="shared" si="1110"/>
        <v>0</v>
      </c>
      <c r="CU155" s="60">
        <f>+CA155*EE155</f>
        <v>0</v>
      </c>
      <c r="CV155" s="59">
        <f t="shared" si="1111"/>
        <v>0</v>
      </c>
      <c r="CW155" s="60">
        <f>+CA155*EF155</f>
        <v>0</v>
      </c>
      <c r="CX155" s="59">
        <f t="shared" si="1112"/>
        <v>0</v>
      </c>
      <c r="CY155" s="60">
        <f>+CA155*EG155</f>
        <v>0</v>
      </c>
      <c r="CZ155" s="59">
        <f t="shared" si="1113"/>
        <v>0</v>
      </c>
      <c r="DA155" s="55">
        <f>+CA155*EH155</f>
        <v>0</v>
      </c>
      <c r="DB155" s="59">
        <f t="shared" si="1114"/>
        <v>0</v>
      </c>
      <c r="DC155" s="60">
        <f>+CA155*EI155</f>
        <v>0</v>
      </c>
      <c r="DD155" s="59">
        <f t="shared" si="1115"/>
        <v>0</v>
      </c>
      <c r="DE155" s="60">
        <f>+CA155*EJ155</f>
        <v>0</v>
      </c>
      <c r="DF155" s="59">
        <f t="shared" si="1116"/>
        <v>0</v>
      </c>
      <c r="DG155" s="60">
        <f>+CA155*EK155</f>
        <v>0</v>
      </c>
      <c r="DH155" s="59">
        <f t="shared" si="1117"/>
        <v>0</v>
      </c>
      <c r="DI155" s="60">
        <f>+CA155*EL155</f>
        <v>0</v>
      </c>
      <c r="DJ155" s="59">
        <f t="shared" si="1118"/>
        <v>0</v>
      </c>
      <c r="DK155" s="55">
        <f>+CA155*EM155</f>
        <v>0</v>
      </c>
      <c r="DL155" s="59">
        <f t="shared" si="1119"/>
        <v>0</v>
      </c>
      <c r="DM155" s="60">
        <f>+CA155*EN155</f>
        <v>0</v>
      </c>
      <c r="DN155" s="59">
        <f t="shared" si="1120"/>
        <v>0</v>
      </c>
      <c r="DO155" s="60">
        <f>+CA155*EO155</f>
        <v>0</v>
      </c>
      <c r="DP155" s="59">
        <f t="shared" si="1121"/>
        <v>0</v>
      </c>
      <c r="DQ155" s="55">
        <f>+CA155*EP155</f>
        <v>0</v>
      </c>
      <c r="DR155" s="59">
        <f t="shared" si="1122"/>
        <v>0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49"/>
        <v>0.91</v>
      </c>
      <c r="DZ155" s="55">
        <f t="shared" si="1149"/>
        <v>0.89</v>
      </c>
      <c r="EA155" s="55">
        <f t="shared" si="1149"/>
        <v>0.87</v>
      </c>
      <c r="EB155" s="55">
        <f t="shared" si="1149"/>
        <v>0.85</v>
      </c>
      <c r="EC155" s="55">
        <f t="shared" si="1149"/>
        <v>0.83</v>
      </c>
      <c r="ED155" s="55">
        <f t="shared" si="1149"/>
        <v>0.80999999999999994</v>
      </c>
      <c r="EE155" s="55">
        <f t="shared" si="1149"/>
        <v>0.78999999999999992</v>
      </c>
      <c r="EF155" s="55">
        <f t="shared" si="1149"/>
        <v>0.76999999999999991</v>
      </c>
      <c r="EG155" s="55">
        <f t="shared" si="1149"/>
        <v>0.74999999999999989</v>
      </c>
      <c r="EH155" s="55">
        <f t="shared" si="1149"/>
        <v>0.72999999999999987</v>
      </c>
      <c r="EI155" s="55">
        <f t="shared" si="1149"/>
        <v>0.70999999999999985</v>
      </c>
      <c r="EJ155" s="55">
        <f t="shared" si="1149"/>
        <v>0.68999999999999984</v>
      </c>
      <c r="EK155" s="55">
        <f t="shared" si="1149"/>
        <v>0.66999999999999982</v>
      </c>
      <c r="EL155" s="55">
        <f t="shared" si="1149"/>
        <v>0.6499999999999998</v>
      </c>
      <c r="EM155" s="55">
        <f t="shared" si="1149"/>
        <v>0.62999999999999978</v>
      </c>
      <c r="EN155" s="55">
        <f t="shared" si="1149"/>
        <v>0.60999999999999976</v>
      </c>
      <c r="EO155" s="55">
        <f t="shared" si="1149"/>
        <v>0.58999999999999975</v>
      </c>
      <c r="EP155" s="55">
        <f t="shared" si="1149"/>
        <v>0.56999999999999973</v>
      </c>
      <c r="ER155" s="55">
        <f t="shared" si="648"/>
        <v>0</v>
      </c>
      <c r="ES155" s="55">
        <f t="shared" si="1070"/>
        <v>0</v>
      </c>
      <c r="ET155" s="59">
        <f t="shared" si="1123"/>
        <v>0</v>
      </c>
      <c r="EU155" s="55">
        <f t="shared" si="1124"/>
        <v>0</v>
      </c>
      <c r="EV155" s="59">
        <f t="shared" si="1125"/>
        <v>0</v>
      </c>
      <c r="EW155" s="55">
        <f t="shared" si="1126"/>
        <v>0</v>
      </c>
      <c r="EX155" s="59">
        <f t="shared" si="1127"/>
        <v>0</v>
      </c>
      <c r="EY155" s="55">
        <f>+ES155*GP155</f>
        <v>0</v>
      </c>
      <c r="EZ155" s="59">
        <f t="shared" si="1128"/>
        <v>0</v>
      </c>
      <c r="FA155" s="57">
        <f>+ES155*GQ155</f>
        <v>0</v>
      </c>
      <c r="FB155" s="59">
        <f t="shared" si="1129"/>
        <v>0</v>
      </c>
      <c r="FC155" s="55">
        <f>+ES155*GR155</f>
        <v>0</v>
      </c>
      <c r="FD155" s="59">
        <f t="shared" si="1130"/>
        <v>0</v>
      </c>
      <c r="FE155" s="57">
        <f>+ES155*GS155</f>
        <v>0</v>
      </c>
      <c r="FF155" s="59">
        <f t="shared" si="1131"/>
        <v>0</v>
      </c>
      <c r="FG155" s="60">
        <f>+ES155*GT155</f>
        <v>0</v>
      </c>
      <c r="FH155" s="59">
        <f t="shared" si="1132"/>
        <v>0</v>
      </c>
      <c r="FI155" s="57">
        <f>+ES155*GU155</f>
        <v>0</v>
      </c>
      <c r="FJ155" s="59">
        <f t="shared" si="1133"/>
        <v>0</v>
      </c>
      <c r="FK155" s="55">
        <f>+ES155*GV155</f>
        <v>0</v>
      </c>
      <c r="FL155" s="59">
        <f t="shared" si="1134"/>
        <v>0</v>
      </c>
      <c r="FM155" s="60">
        <f>+ES155*GW155</f>
        <v>0</v>
      </c>
      <c r="FN155" s="59">
        <f t="shared" si="1135"/>
        <v>0</v>
      </c>
      <c r="FO155" s="60">
        <f>+ES155*GX155</f>
        <v>0</v>
      </c>
      <c r="FP155" s="59">
        <f t="shared" si="1136"/>
        <v>0</v>
      </c>
      <c r="FQ155" s="60">
        <f>+ES155*GY155</f>
        <v>0</v>
      </c>
      <c r="FR155" s="59">
        <f t="shared" si="1137"/>
        <v>0</v>
      </c>
      <c r="FS155" s="55">
        <f>+ES155*GZ155</f>
        <v>0</v>
      </c>
      <c r="FT155" s="59">
        <f t="shared" si="1138"/>
        <v>0</v>
      </c>
      <c r="FU155" s="60">
        <f>+ES155*HA155</f>
        <v>0</v>
      </c>
      <c r="FV155" s="59">
        <f t="shared" si="1139"/>
        <v>0</v>
      </c>
      <c r="FW155" s="60">
        <f>+ES155*HB155</f>
        <v>0</v>
      </c>
      <c r="FX155" s="59">
        <f t="shared" si="1140"/>
        <v>0</v>
      </c>
      <c r="FY155" s="60">
        <f>+ES155*HC155</f>
        <v>0</v>
      </c>
      <c r="FZ155" s="59">
        <f t="shared" si="1141"/>
        <v>0</v>
      </c>
      <c r="GA155" s="60">
        <f>+ES155*HD155</f>
        <v>0</v>
      </c>
      <c r="GB155" s="59">
        <f t="shared" si="1142"/>
        <v>0</v>
      </c>
      <c r="GC155" s="55">
        <f>+ES155*HE155</f>
        <v>0</v>
      </c>
      <c r="GD155" s="59">
        <f t="shared" si="1143"/>
        <v>0</v>
      </c>
      <c r="GE155" s="60">
        <f>+ES155*HF155</f>
        <v>0</v>
      </c>
      <c r="GF155" s="59">
        <f t="shared" si="1144"/>
        <v>0</v>
      </c>
      <c r="GG155" s="60">
        <f>+ES155*HG155</f>
        <v>0</v>
      </c>
      <c r="GH155" s="59">
        <f t="shared" si="1145"/>
        <v>0</v>
      </c>
      <c r="GI155" s="55">
        <f>+ES155*HH155</f>
        <v>0</v>
      </c>
      <c r="GJ155" s="59">
        <f t="shared" si="1146"/>
        <v>0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50"/>
        <v>0.91</v>
      </c>
      <c r="GR155" s="55">
        <f t="shared" si="1150"/>
        <v>0.89</v>
      </c>
      <c r="GS155" s="55">
        <f t="shared" si="1150"/>
        <v>0.87</v>
      </c>
      <c r="GT155" s="55">
        <f t="shared" si="1150"/>
        <v>0.85</v>
      </c>
      <c r="GU155" s="55">
        <f t="shared" si="1150"/>
        <v>0.83</v>
      </c>
      <c r="GV155" s="55">
        <f t="shared" si="1150"/>
        <v>0.80999999999999994</v>
      </c>
      <c r="GW155" s="55">
        <f t="shared" si="1150"/>
        <v>0.78999999999999992</v>
      </c>
      <c r="GX155" s="55">
        <f t="shared" si="1150"/>
        <v>0.76999999999999991</v>
      </c>
      <c r="GY155" s="55">
        <f t="shared" si="1150"/>
        <v>0.74999999999999989</v>
      </c>
      <c r="GZ155" s="55">
        <f t="shared" si="1150"/>
        <v>0.72999999999999987</v>
      </c>
      <c r="HA155" s="55">
        <f t="shared" si="1150"/>
        <v>0.70999999999999985</v>
      </c>
      <c r="HB155" s="55">
        <f t="shared" si="1150"/>
        <v>0.68999999999999984</v>
      </c>
      <c r="HC155" s="55">
        <f t="shared" si="1150"/>
        <v>0.66999999999999982</v>
      </c>
      <c r="HD155" s="55">
        <f t="shared" si="1150"/>
        <v>0.6499999999999998</v>
      </c>
      <c r="HE155" s="55">
        <f t="shared" si="1150"/>
        <v>0.62999999999999978</v>
      </c>
      <c r="HF155" s="55">
        <f t="shared" si="1150"/>
        <v>0.60999999999999976</v>
      </c>
      <c r="HG155" s="55">
        <f t="shared" si="1150"/>
        <v>0.58999999999999975</v>
      </c>
      <c r="HH155" s="55">
        <f t="shared" si="1150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2020-05-19T00:35:16Z</dcterms:modified>
</cp:coreProperties>
</file>