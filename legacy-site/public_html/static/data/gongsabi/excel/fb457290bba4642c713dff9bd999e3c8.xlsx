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2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4" i="4" l="1"/>
  <c r="E153" i="4"/>
  <c r="E152" i="4"/>
  <c r="E151" i="4"/>
  <c r="E155" i="4" s="1"/>
  <c r="E147" i="4"/>
  <c r="E146" i="4"/>
  <c r="E145" i="4"/>
  <c r="E144" i="4"/>
  <c r="E148" i="4" s="1"/>
  <c r="E143" i="4"/>
  <c r="E139" i="4"/>
  <c r="E138" i="4"/>
  <c r="E137" i="4"/>
  <c r="E136" i="4"/>
  <c r="E135" i="4"/>
  <c r="E134" i="4"/>
  <c r="E133" i="4"/>
  <c r="E132" i="4"/>
  <c r="E131" i="4"/>
  <c r="E130" i="4"/>
  <c r="E140" i="4" s="1"/>
  <c r="E126" i="4"/>
  <c r="E125" i="4"/>
  <c r="E124" i="4"/>
  <c r="E123" i="4"/>
  <c r="E122" i="4"/>
  <c r="E121" i="4"/>
  <c r="E120" i="4"/>
  <c r="E119" i="4"/>
  <c r="E118" i="4"/>
  <c r="E117" i="4"/>
  <c r="E116" i="4"/>
  <c r="E127" i="4" s="1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113" i="4" s="1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89" i="4" s="1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54" i="4" s="1"/>
  <c r="E31" i="4"/>
  <c r="E27" i="4"/>
  <c r="E26" i="4"/>
  <c r="E25" i="4"/>
  <c r="E24" i="4"/>
  <c r="E23" i="4"/>
  <c r="E22" i="4"/>
  <c r="E21" i="4"/>
  <c r="E20" i="4"/>
  <c r="E28" i="4" s="1"/>
  <c r="E19" i="4"/>
  <c r="E18" i="4"/>
  <c r="D154" i="4" l="1"/>
  <c r="D153" i="4"/>
  <c r="D151" i="4"/>
  <c r="D147" i="4"/>
  <c r="D146" i="4"/>
  <c r="D145" i="4"/>
  <c r="D144" i="4"/>
  <c r="D143" i="4"/>
  <c r="D138" i="4"/>
  <c r="D137" i="4"/>
  <c r="D136" i="4"/>
  <c r="D135" i="4"/>
  <c r="D134" i="4"/>
  <c r="D133" i="4"/>
  <c r="D131" i="4"/>
  <c r="D126" i="4"/>
  <c r="D125" i="4"/>
  <c r="D124" i="4"/>
  <c r="D122" i="4"/>
  <c r="D120" i="4"/>
  <c r="D119" i="4"/>
  <c r="D118" i="4"/>
  <c r="D116" i="4"/>
  <c r="D112" i="4"/>
  <c r="D111" i="4"/>
  <c r="D110" i="4"/>
  <c r="D108" i="4"/>
  <c r="D99" i="4"/>
  <c r="D98" i="4"/>
  <c r="D97" i="4"/>
  <c r="D96" i="4"/>
  <c r="D95" i="4"/>
  <c r="D94" i="4"/>
  <c r="D93" i="4"/>
  <c r="D92" i="4"/>
  <c r="D88" i="4"/>
  <c r="D87" i="4"/>
  <c r="D86" i="4"/>
  <c r="D85" i="4"/>
  <c r="D84" i="4"/>
  <c r="D83" i="4"/>
  <c r="D69" i="4"/>
  <c r="D67" i="4"/>
  <c r="D66" i="4"/>
  <c r="D64" i="4"/>
  <c r="D63" i="4"/>
  <c r="D57" i="4"/>
  <c r="D53" i="4"/>
  <c r="D52" i="4"/>
  <c r="D47" i="4"/>
  <c r="D46" i="4"/>
  <c r="D44" i="4"/>
  <c r="D43" i="4"/>
  <c r="D42" i="4"/>
  <c r="D40" i="4"/>
  <c r="D39" i="4"/>
  <c r="D38" i="4"/>
  <c r="D37" i="4"/>
  <c r="D36" i="4"/>
  <c r="D35" i="4"/>
  <c r="D34" i="4"/>
  <c r="GP150" i="4" l="1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155" i="4"/>
  <c r="D26" i="4" s="1"/>
  <c r="D148" i="4"/>
  <c r="D25" i="4" s="1"/>
  <c r="H25" i="4" s="1"/>
  <c r="BZ25" i="4" s="1"/>
  <c r="D140" i="4"/>
  <c r="D24" i="4" s="1"/>
  <c r="H24" i="4" s="1"/>
  <c r="BZ24" i="4" s="1"/>
  <c r="CA24" i="4" s="1"/>
  <c r="DQ24" i="4" s="1"/>
  <c r="DR24" i="4" s="1"/>
  <c r="D127" i="4"/>
  <c r="D23" i="4" s="1"/>
  <c r="H23" i="4" s="1"/>
  <c r="D113" i="4"/>
  <c r="D22" i="4" s="1"/>
  <c r="H22" i="4" s="1"/>
  <c r="I22" i="4" s="1"/>
  <c r="D89" i="4"/>
  <c r="D21" i="4" s="1"/>
  <c r="H21" i="4" s="1"/>
  <c r="BZ21" i="4" s="1"/>
  <c r="D60" i="4"/>
  <c r="D20" i="4" s="1"/>
  <c r="H20" i="4" s="1"/>
  <c r="BZ20" i="4" s="1"/>
  <c r="D54" i="4"/>
  <c r="D19" i="4" s="1"/>
  <c r="D18" i="4"/>
  <c r="D7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H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H152" i="4"/>
  <c r="BZ152" i="4"/>
  <c r="ER152" i="4"/>
  <c r="ES152" i="4" s="1"/>
  <c r="FE152" i="4" s="1"/>
  <c r="FF152" i="4" s="1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CA152" i="4"/>
  <c r="DM152" i="4"/>
  <c r="DN152" i="4" s="1"/>
  <c r="DE152" i="4"/>
  <c r="DF152" i="4" s="1"/>
  <c r="CW152" i="4"/>
  <c r="CX152" i="4" s="1"/>
  <c r="CO152" i="4"/>
  <c r="CP152" i="4" s="1"/>
  <c r="CG152" i="4"/>
  <c r="CH152" i="4" s="1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I152" i="4"/>
  <c r="AY152" i="4" s="1"/>
  <c r="AZ152" i="4" s="1"/>
  <c r="AW152" i="4"/>
  <c r="AX152" i="4" s="1"/>
  <c r="AU152" i="4"/>
  <c r="AV152" i="4"/>
  <c r="AS152" i="4"/>
  <c r="AT152" i="4" s="1"/>
  <c r="AQ152" i="4"/>
  <c r="AR152" i="4"/>
  <c r="AO152" i="4"/>
  <c r="AP152" i="4" s="1"/>
  <c r="AM152" i="4"/>
  <c r="AN152" i="4"/>
  <c r="AK152" i="4"/>
  <c r="AL152" i="4" s="1"/>
  <c r="AI152" i="4"/>
  <c r="AJ152" i="4"/>
  <c r="AG152" i="4"/>
  <c r="AH152" i="4" s="1"/>
  <c r="AE152" i="4"/>
  <c r="AF152" i="4"/>
  <c r="AC152" i="4"/>
  <c r="AD152" i="4" s="1"/>
  <c r="AA152" i="4"/>
  <c r="AB152" i="4"/>
  <c r="Y152" i="4"/>
  <c r="Z152" i="4" s="1"/>
  <c r="W152" i="4"/>
  <c r="X152" i="4"/>
  <c r="U152" i="4"/>
  <c r="V152" i="4" s="1"/>
  <c r="S152" i="4"/>
  <c r="T152" i="4"/>
  <c r="Q152" i="4"/>
  <c r="R152" i="4" s="1"/>
  <c r="O152" i="4"/>
  <c r="P152" i="4"/>
  <c r="M152" i="4"/>
  <c r="N152" i="4" s="1"/>
  <c r="K152" i="4"/>
  <c r="L152" i="4"/>
  <c r="J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H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H144" i="4"/>
  <c r="H146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H147" i="4"/>
  <c r="I147" i="4" s="1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H145" i="4"/>
  <c r="I145" i="4" s="1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H131" i="4"/>
  <c r="H135" i="4"/>
  <c r="I135" i="4" s="1"/>
  <c r="H137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H139" i="4"/>
  <c r="I139" i="4" s="1"/>
  <c r="BZ139" i="4"/>
  <c r="ER139" i="4" s="1"/>
  <c r="ES139" i="4" s="1"/>
  <c r="GE139" i="4" s="1"/>
  <c r="GF139" i="4" s="1"/>
  <c r="GI139" i="4"/>
  <c r="GJ139" i="4"/>
  <c r="GA139" i="4"/>
  <c r="GB139" i="4" s="1"/>
  <c r="FS139" i="4"/>
  <c r="FT139" i="4"/>
  <c r="FK139" i="4"/>
  <c r="FL139" i="4" s="1"/>
  <c r="FC139" i="4"/>
  <c r="FD139" i="4"/>
  <c r="EU139" i="4"/>
  <c r="EV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CA139" i="4"/>
  <c r="CB139" i="4" s="1"/>
  <c r="DG139" i="4"/>
  <c r="DH139" i="4" s="1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AY139" i="4"/>
  <c r="AZ139" i="4"/>
  <c r="AU139" i="4"/>
  <c r="AV139" i="4"/>
  <c r="AQ139" i="4"/>
  <c r="AR139" i="4"/>
  <c r="AM139" i="4"/>
  <c r="AN139" i="4"/>
  <c r="AI139" i="4"/>
  <c r="AJ139" i="4"/>
  <c r="AE139" i="4"/>
  <c r="AF139" i="4"/>
  <c r="AA139" i="4"/>
  <c r="AB139" i="4"/>
  <c r="W139" i="4"/>
  <c r="X139" i="4"/>
  <c r="S139" i="4"/>
  <c r="T139" i="4"/>
  <c r="O139" i="4"/>
  <c r="P139" i="4"/>
  <c r="K139" i="4"/>
  <c r="L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H138" i="4"/>
  <c r="BZ138" i="4" s="1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H136" i="4"/>
  <c r="BZ136" i="4" s="1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H134" i="4"/>
  <c r="BZ134" i="4" s="1"/>
  <c r="ER134" i="4" s="1"/>
  <c r="ES134" i="4" s="1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H133" i="4"/>
  <c r="BZ133" i="4" s="1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H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H130" i="4"/>
  <c r="BZ130" i="4"/>
  <c r="ER130" i="4"/>
  <c r="ES130" i="4"/>
  <c r="FE130" i="4" s="1"/>
  <c r="FF130" i="4" s="1"/>
  <c r="FU130" i="4"/>
  <c r="FV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CA130" i="4"/>
  <c r="DO130" i="4" s="1"/>
  <c r="DP130" i="4" s="1"/>
  <c r="DQ130" i="4"/>
  <c r="DR130" i="4"/>
  <c r="DM130" i="4"/>
  <c r="DN130" i="4" s="1"/>
  <c r="DI130" i="4"/>
  <c r="DJ130" i="4"/>
  <c r="DE130" i="4"/>
  <c r="DF130" i="4" s="1"/>
  <c r="DA130" i="4"/>
  <c r="DB130" i="4"/>
  <c r="CW130" i="4"/>
  <c r="CX130" i="4" s="1"/>
  <c r="CS130" i="4"/>
  <c r="CT130" i="4"/>
  <c r="CO130" i="4"/>
  <c r="CP130" i="4" s="1"/>
  <c r="CK130" i="4"/>
  <c r="CL130" i="4"/>
  <c r="CG130" i="4"/>
  <c r="CH130" i="4" s="1"/>
  <c r="CC130" i="4"/>
  <c r="CD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I130" i="4"/>
  <c r="AW130" i="4"/>
  <c r="AX130" i="4"/>
  <c r="AS130" i="4"/>
  <c r="AT130" i="4" s="1"/>
  <c r="AO130" i="4"/>
  <c r="AP130" i="4"/>
  <c r="AK130" i="4"/>
  <c r="AL130" i="4" s="1"/>
  <c r="AG130" i="4"/>
  <c r="AH130" i="4"/>
  <c r="AC130" i="4"/>
  <c r="AD130" i="4" s="1"/>
  <c r="Y130" i="4"/>
  <c r="Z130" i="4"/>
  <c r="U130" i="4"/>
  <c r="V130" i="4" s="1"/>
  <c r="Q130" i="4"/>
  <c r="R130" i="4"/>
  <c r="M130" i="4"/>
  <c r="N130" i="4" s="1"/>
  <c r="J130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H116" i="4"/>
  <c r="H124" i="4"/>
  <c r="H125" i="4"/>
  <c r="H126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H123" i="4"/>
  <c r="I123" i="4" s="1"/>
  <c r="BZ123" i="4"/>
  <c r="ER123" i="4"/>
  <c r="ES123" i="4" s="1"/>
  <c r="FU123" i="4" s="1"/>
  <c r="FV123" i="4" s="1"/>
  <c r="FK123" i="4"/>
  <c r="FL123" i="4"/>
  <c r="FA123" i="4"/>
  <c r="FB123" i="4" s="1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CA123" i="4"/>
  <c r="DM123" i="4"/>
  <c r="DN123" i="4" s="1"/>
  <c r="DI123" i="4"/>
  <c r="DJ123" i="4" s="1"/>
  <c r="DG123" i="4"/>
  <c r="DH123" i="4" s="1"/>
  <c r="DC123" i="4"/>
  <c r="DD123" i="4"/>
  <c r="CW123" i="4"/>
  <c r="CX123" i="4" s="1"/>
  <c r="CS123" i="4"/>
  <c r="CT123" i="4" s="1"/>
  <c r="CQ123" i="4"/>
  <c r="CR123" i="4" s="1"/>
  <c r="CM123" i="4"/>
  <c r="CN123" i="4" s="1"/>
  <c r="CG123" i="4"/>
  <c r="CH123" i="4" s="1"/>
  <c r="CC123" i="4"/>
  <c r="CD123" i="4" s="1"/>
  <c r="CB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AY123" i="4"/>
  <c r="AZ123" i="4" s="1"/>
  <c r="AW123" i="4"/>
  <c r="AX123" i="4" s="1"/>
  <c r="AU123" i="4"/>
  <c r="AV123" i="4"/>
  <c r="AS123" i="4"/>
  <c r="AT123" i="4" s="1"/>
  <c r="AQ123" i="4"/>
  <c r="AR123" i="4"/>
  <c r="AO123" i="4"/>
  <c r="AP123" i="4" s="1"/>
  <c r="AM123" i="4"/>
  <c r="AN123" i="4" s="1"/>
  <c r="AK123" i="4"/>
  <c r="AL123" i="4" s="1"/>
  <c r="AI123" i="4"/>
  <c r="AJ123" i="4"/>
  <c r="AG123" i="4"/>
  <c r="AH123" i="4" s="1"/>
  <c r="AE123" i="4"/>
  <c r="AF123" i="4"/>
  <c r="AC123" i="4"/>
  <c r="AD123" i="4" s="1"/>
  <c r="AA123" i="4"/>
  <c r="AB123" i="4"/>
  <c r="Y123" i="4"/>
  <c r="Z123" i="4" s="1"/>
  <c r="W123" i="4"/>
  <c r="X123" i="4" s="1"/>
  <c r="U123" i="4"/>
  <c r="V123" i="4" s="1"/>
  <c r="S123" i="4"/>
  <c r="T123" i="4"/>
  <c r="Q123" i="4"/>
  <c r="R123" i="4" s="1"/>
  <c r="O123" i="4"/>
  <c r="P123" i="4"/>
  <c r="M123" i="4"/>
  <c r="N123" i="4" s="1"/>
  <c r="K123" i="4"/>
  <c r="L123" i="4"/>
  <c r="J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H122" i="4"/>
  <c r="I122" i="4" s="1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H121" i="4"/>
  <c r="BZ121" i="4"/>
  <c r="ER121" i="4"/>
  <c r="ES121" i="4"/>
  <c r="FY121" i="4" s="1"/>
  <c r="FZ121" i="4" s="1"/>
  <c r="GG121" i="4"/>
  <c r="GH121" i="4" s="1"/>
  <c r="FQ121" i="4"/>
  <c r="FR121" i="4" s="1"/>
  <c r="FA121" i="4"/>
  <c r="FB121" i="4" s="1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CA121" i="4"/>
  <c r="DO121" i="4" s="1"/>
  <c r="DP121" i="4" s="1"/>
  <c r="DQ121" i="4"/>
  <c r="DR121" i="4" s="1"/>
  <c r="DM121" i="4"/>
  <c r="DN121" i="4"/>
  <c r="DI121" i="4"/>
  <c r="DJ121" i="4" s="1"/>
  <c r="DE121" i="4"/>
  <c r="DF121" i="4"/>
  <c r="DA121" i="4"/>
  <c r="DB121" i="4" s="1"/>
  <c r="CW121" i="4"/>
  <c r="CX121" i="4"/>
  <c r="CS121" i="4"/>
  <c r="CT121" i="4" s="1"/>
  <c r="CO121" i="4"/>
  <c r="CP121" i="4"/>
  <c r="CK121" i="4"/>
  <c r="CL121" i="4" s="1"/>
  <c r="CG121" i="4"/>
  <c r="CH121" i="4"/>
  <c r="CC121" i="4"/>
  <c r="CD121" i="4" s="1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I121" i="4"/>
  <c r="AS121" i="4"/>
  <c r="AT121" i="4" s="1"/>
  <c r="AC121" i="4"/>
  <c r="AD121" i="4" s="1"/>
  <c r="M121" i="4"/>
  <c r="N121" i="4" s="1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H119" i="4"/>
  <c r="BZ119" i="4" s="1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H118" i="4"/>
  <c r="I118" i="4" s="1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H117" i="4"/>
  <c r="I117" i="4" s="1"/>
  <c r="BZ117" i="4"/>
  <c r="ER117" i="4"/>
  <c r="ES117" i="4" s="1"/>
  <c r="GG117" i="4"/>
  <c r="GH117" i="4" s="1"/>
  <c r="GC117" i="4"/>
  <c r="GD117" i="4" s="1"/>
  <c r="FY117" i="4"/>
  <c r="FZ117" i="4" s="1"/>
  <c r="FU117" i="4"/>
  <c r="FV117" i="4" s="1"/>
  <c r="FQ117" i="4"/>
  <c r="FR117" i="4" s="1"/>
  <c r="FM117" i="4"/>
  <c r="FN117" i="4" s="1"/>
  <c r="FI117" i="4"/>
  <c r="FJ117" i="4" s="1"/>
  <c r="FE117" i="4"/>
  <c r="FF117" i="4" s="1"/>
  <c r="FA117" i="4"/>
  <c r="FB117" i="4" s="1"/>
  <c r="EW117" i="4"/>
  <c r="EX117" i="4" s="1"/>
  <c r="ET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CA117" i="4"/>
  <c r="DI117" i="4" s="1"/>
  <c r="DJ117" i="4" s="1"/>
  <c r="DQ117" i="4"/>
  <c r="DR117" i="4" s="1"/>
  <c r="DA117" i="4"/>
  <c r="DB117" i="4" s="1"/>
  <c r="CK117" i="4"/>
  <c r="CL117" i="4" s="1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H92" i="4"/>
  <c r="H96" i="4"/>
  <c r="I96" i="4" s="1"/>
  <c r="H104" i="4"/>
  <c r="H108" i="4"/>
  <c r="H112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H111" i="4"/>
  <c r="I111" i="4" s="1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H110" i="4"/>
  <c r="BZ110" i="4" s="1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H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H107" i="4"/>
  <c r="I107" i="4" s="1"/>
  <c r="BZ107" i="4"/>
  <c r="ER107" i="4" s="1"/>
  <c r="ES107" i="4"/>
  <c r="FO107" i="4"/>
  <c r="FP107" i="4" s="1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CA107" i="4"/>
  <c r="DG107" i="4"/>
  <c r="DH107" i="4"/>
  <c r="CW107" i="4"/>
  <c r="CX107" i="4" s="1"/>
  <c r="CO107" i="4"/>
  <c r="CP107" i="4" s="1"/>
  <c r="CG107" i="4"/>
  <c r="CH107" i="4" s="1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AW107" i="4"/>
  <c r="AX107" i="4" s="1"/>
  <c r="AS107" i="4"/>
  <c r="AT107" i="4" s="1"/>
  <c r="AO107" i="4"/>
  <c r="AP107" i="4" s="1"/>
  <c r="AK107" i="4"/>
  <c r="AL107" i="4" s="1"/>
  <c r="AG107" i="4"/>
  <c r="AH107" i="4" s="1"/>
  <c r="AC107" i="4"/>
  <c r="AD107" i="4" s="1"/>
  <c r="Y107" i="4"/>
  <c r="Z107" i="4" s="1"/>
  <c r="U107" i="4"/>
  <c r="V107" i="4" s="1"/>
  <c r="Q107" i="4"/>
  <c r="R107" i="4" s="1"/>
  <c r="M107" i="4"/>
  <c r="N107" i="4" s="1"/>
  <c r="J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H106" i="4"/>
  <c r="I106" i="4" s="1"/>
  <c r="BZ106" i="4"/>
  <c r="ER106" i="4" s="1"/>
  <c r="ES106" i="4" s="1"/>
  <c r="GE106" i="4" s="1"/>
  <c r="GF106" i="4" s="1"/>
  <c r="GI106" i="4"/>
  <c r="GJ106" i="4"/>
  <c r="GA106" i="4"/>
  <c r="GB106" i="4"/>
  <c r="FS106" i="4"/>
  <c r="FT106" i="4"/>
  <c r="FK106" i="4"/>
  <c r="FL106" i="4"/>
  <c r="FC106" i="4"/>
  <c r="FD106" i="4"/>
  <c r="EU106" i="4"/>
  <c r="EV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CA106" i="4"/>
  <c r="DO106" i="4"/>
  <c r="DP106" i="4" s="1"/>
  <c r="DG106" i="4"/>
  <c r="DH106" i="4" s="1"/>
  <c r="CY106" i="4"/>
  <c r="CZ106" i="4" s="1"/>
  <c r="CQ106" i="4"/>
  <c r="CR106" i="4" s="1"/>
  <c r="CI106" i="4"/>
  <c r="CJ106" i="4" s="1"/>
  <c r="CB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AY106" i="4"/>
  <c r="AZ106" i="4"/>
  <c r="AU106" i="4"/>
  <c r="AV106" i="4"/>
  <c r="AQ106" i="4"/>
  <c r="AR106" i="4"/>
  <c r="AM106" i="4"/>
  <c r="AN106" i="4"/>
  <c r="AI106" i="4"/>
  <c r="AJ106" i="4"/>
  <c r="AE106" i="4"/>
  <c r="AF106" i="4"/>
  <c r="AA106" i="4"/>
  <c r="AB106" i="4"/>
  <c r="W106" i="4"/>
  <c r="X106" i="4"/>
  <c r="S106" i="4"/>
  <c r="T106" i="4"/>
  <c r="O106" i="4"/>
  <c r="P106" i="4"/>
  <c r="K106" i="4"/>
  <c r="L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H105" i="4"/>
  <c r="BZ105" i="4" s="1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I105" i="4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H103" i="4"/>
  <c r="BZ103" i="4"/>
  <c r="ER103" i="4" s="1"/>
  <c r="ES103" i="4" s="1"/>
  <c r="GI103" i="4"/>
  <c r="GJ103" i="4" s="1"/>
  <c r="GA103" i="4"/>
  <c r="GB103" i="4" s="1"/>
  <c r="FS103" i="4"/>
  <c r="FT103" i="4" s="1"/>
  <c r="FK103" i="4"/>
  <c r="FL103" i="4" s="1"/>
  <c r="FC103" i="4"/>
  <c r="FD103" i="4" s="1"/>
  <c r="EU103" i="4"/>
  <c r="EV103" i="4" s="1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CA103" i="4"/>
  <c r="CU103" i="4"/>
  <c r="CV103" i="4" s="1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I103" i="4"/>
  <c r="AQ103" i="4" s="1"/>
  <c r="AR103" i="4" s="1"/>
  <c r="AY103" i="4"/>
  <c r="AZ103" i="4"/>
  <c r="AU103" i="4"/>
  <c r="AV103" i="4"/>
  <c r="AM103" i="4"/>
  <c r="AN103" i="4" s="1"/>
  <c r="AI103" i="4"/>
  <c r="AJ103" i="4"/>
  <c r="AE103" i="4"/>
  <c r="AF103" i="4"/>
  <c r="W103" i="4"/>
  <c r="X103" i="4" s="1"/>
  <c r="S103" i="4"/>
  <c r="T103" i="4"/>
  <c r="O103" i="4"/>
  <c r="P103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H102" i="4"/>
  <c r="BZ102" i="4" s="1"/>
  <c r="CA102" i="4" s="1"/>
  <c r="ER102" i="4"/>
  <c r="ES102" i="4"/>
  <c r="GA102" i="4" s="1"/>
  <c r="GB102" i="4" s="1"/>
  <c r="GI102" i="4"/>
  <c r="GJ102" i="4" s="1"/>
  <c r="GE102" i="4"/>
  <c r="GF102" i="4" s="1"/>
  <c r="GC102" i="4"/>
  <c r="GD102" i="4" s="1"/>
  <c r="FY102" i="4"/>
  <c r="FZ102" i="4"/>
  <c r="FS102" i="4"/>
  <c r="FT102" i="4" s="1"/>
  <c r="FO102" i="4"/>
  <c r="FP102" i="4" s="1"/>
  <c r="FM102" i="4"/>
  <c r="FN102" i="4" s="1"/>
  <c r="FI102" i="4"/>
  <c r="FJ102" i="4"/>
  <c r="FC102" i="4"/>
  <c r="FD102" i="4" s="1"/>
  <c r="EY102" i="4"/>
  <c r="EZ102" i="4" s="1"/>
  <c r="EW102" i="4"/>
  <c r="EX102" i="4" s="1"/>
  <c r="ET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DQ102" i="4"/>
  <c r="DR102" i="4"/>
  <c r="DO102" i="4"/>
  <c r="DP102" i="4" s="1"/>
  <c r="DM102" i="4"/>
  <c r="DN102" i="4"/>
  <c r="DK102" i="4"/>
  <c r="DL102" i="4" s="1"/>
  <c r="DI102" i="4"/>
  <c r="DJ102" i="4"/>
  <c r="DG102" i="4"/>
  <c r="DH102" i="4" s="1"/>
  <c r="DE102" i="4"/>
  <c r="DF102" i="4"/>
  <c r="DC102" i="4"/>
  <c r="DD102" i="4" s="1"/>
  <c r="DA102" i="4"/>
  <c r="DB102" i="4"/>
  <c r="CY102" i="4"/>
  <c r="CZ102" i="4" s="1"/>
  <c r="CW102" i="4"/>
  <c r="CX102" i="4"/>
  <c r="CU102" i="4"/>
  <c r="CV102" i="4" s="1"/>
  <c r="CS102" i="4"/>
  <c r="CT102" i="4"/>
  <c r="CQ102" i="4"/>
  <c r="CR102" i="4" s="1"/>
  <c r="CO102" i="4"/>
  <c r="CP102" i="4"/>
  <c r="CM102" i="4"/>
  <c r="CN102" i="4" s="1"/>
  <c r="CK102" i="4"/>
  <c r="CL102" i="4"/>
  <c r="CI102" i="4"/>
  <c r="CJ102" i="4" s="1"/>
  <c r="CG102" i="4"/>
  <c r="CH102" i="4"/>
  <c r="CE102" i="4"/>
  <c r="CF102" i="4" s="1"/>
  <c r="CC102" i="4"/>
  <c r="CD102" i="4"/>
  <c r="CB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I102" i="4"/>
  <c r="AW102" i="4" s="1"/>
  <c r="AX102" i="4" s="1"/>
  <c r="AY102" i="4"/>
  <c r="AZ102" i="4" s="1"/>
  <c r="AU102" i="4"/>
  <c r="AV102" i="4" s="1"/>
  <c r="AQ102" i="4"/>
  <c r="AR102" i="4" s="1"/>
  <c r="AM102" i="4"/>
  <c r="AN102" i="4" s="1"/>
  <c r="AI102" i="4"/>
  <c r="AJ102" i="4" s="1"/>
  <c r="AE102" i="4"/>
  <c r="AF102" i="4" s="1"/>
  <c r="AA102" i="4"/>
  <c r="AB102" i="4" s="1"/>
  <c r="W102" i="4"/>
  <c r="X102" i="4" s="1"/>
  <c r="S102" i="4"/>
  <c r="T102" i="4" s="1"/>
  <c r="O102" i="4"/>
  <c r="P102" i="4" s="1"/>
  <c r="K102" i="4"/>
  <c r="L102" i="4" s="1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H101" i="4"/>
  <c r="BZ101" i="4"/>
  <c r="ER101" i="4"/>
  <c r="ES101" i="4"/>
  <c r="FE101" i="4"/>
  <c r="FF101" i="4" s="1"/>
  <c r="EW101" i="4"/>
  <c r="EX101" i="4" s="1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CA101" i="4"/>
  <c r="DO101" i="4" s="1"/>
  <c r="DP101" i="4" s="1"/>
  <c r="DQ101" i="4"/>
  <c r="DR101" i="4"/>
  <c r="DM101" i="4"/>
  <c r="DN101" i="4" s="1"/>
  <c r="DI101" i="4"/>
  <c r="DJ101" i="4"/>
  <c r="DE101" i="4"/>
  <c r="DF101" i="4" s="1"/>
  <c r="DA101" i="4"/>
  <c r="DB101" i="4"/>
  <c r="CW101" i="4"/>
  <c r="CX101" i="4" s="1"/>
  <c r="CS101" i="4"/>
  <c r="CT101" i="4"/>
  <c r="CO101" i="4"/>
  <c r="CP101" i="4" s="1"/>
  <c r="CK101" i="4"/>
  <c r="CL101" i="4"/>
  <c r="CG101" i="4"/>
  <c r="CH101" i="4" s="1"/>
  <c r="CC101" i="4"/>
  <c r="CD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I101" i="4"/>
  <c r="AW101" i="4"/>
  <c r="AX101" i="4"/>
  <c r="AS101" i="4"/>
  <c r="AT101" i="4" s="1"/>
  <c r="AO101" i="4"/>
  <c r="AP101" i="4"/>
  <c r="AK101" i="4"/>
  <c r="AL101" i="4" s="1"/>
  <c r="AG101" i="4"/>
  <c r="AH101" i="4"/>
  <c r="AC101" i="4"/>
  <c r="AD101" i="4" s="1"/>
  <c r="Y101" i="4"/>
  <c r="Z101" i="4" s="1"/>
  <c r="U101" i="4"/>
  <c r="V101" i="4" s="1"/>
  <c r="Q101" i="4"/>
  <c r="R101" i="4" s="1"/>
  <c r="M101" i="4"/>
  <c r="N101" i="4" s="1"/>
  <c r="J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H100" i="4"/>
  <c r="I100" i="4" s="1"/>
  <c r="BZ100" i="4"/>
  <c r="CA100" i="4" s="1"/>
  <c r="DM100" i="4" s="1"/>
  <c r="DN100" i="4" s="1"/>
  <c r="ER100" i="4"/>
  <c r="ES100" i="4" s="1"/>
  <c r="FE100" i="4"/>
  <c r="FF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DE100" i="4"/>
  <c r="DF100" i="4" s="1"/>
  <c r="CO100" i="4"/>
  <c r="CP100" i="4" s="1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AW100" i="4"/>
  <c r="AX100" i="4" s="1"/>
  <c r="AS100" i="4"/>
  <c r="AT100" i="4" s="1"/>
  <c r="AO100" i="4"/>
  <c r="AP100" i="4" s="1"/>
  <c r="AK100" i="4"/>
  <c r="AL100" i="4" s="1"/>
  <c r="AG100" i="4"/>
  <c r="AH100" i="4" s="1"/>
  <c r="AC100" i="4"/>
  <c r="AD100" i="4" s="1"/>
  <c r="Y100" i="4"/>
  <c r="Z100" i="4" s="1"/>
  <c r="U100" i="4"/>
  <c r="V100" i="4" s="1"/>
  <c r="Q100" i="4"/>
  <c r="R100" i="4" s="1"/>
  <c r="M100" i="4"/>
  <c r="N100" i="4" s="1"/>
  <c r="J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H99" i="4"/>
  <c r="BZ99" i="4" s="1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H98" i="4"/>
  <c r="BZ98" i="4" s="1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I98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H97" i="4"/>
  <c r="I97" i="4" s="1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H95" i="4"/>
  <c r="BZ95" i="4" s="1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H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H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H64" i="4"/>
  <c r="H67" i="4"/>
  <c r="H83" i="4"/>
  <c r="H88" i="4"/>
  <c r="BZ88" i="4" s="1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H87" i="4"/>
  <c r="BZ87" i="4" s="1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86" i="4"/>
  <c r="I86" i="4" s="1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H85" i="4"/>
  <c r="BZ85" i="4" s="1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H84" i="4"/>
  <c r="BZ84" i="4" s="1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82" i="4"/>
  <c r="BZ82" i="4" s="1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H81" i="4"/>
  <c r="BZ81" i="4"/>
  <c r="ER81" i="4"/>
  <c r="ES81" i="4" s="1"/>
  <c r="FU81" i="4" s="1"/>
  <c r="FV81" i="4" s="1"/>
  <c r="FE81" i="4"/>
  <c r="FF81" i="4" s="1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CA81" i="4"/>
  <c r="DO81" i="4" s="1"/>
  <c r="DP81" i="4" s="1"/>
  <c r="DQ81" i="4"/>
  <c r="DR81" i="4"/>
  <c r="DM81" i="4"/>
  <c r="DN81" i="4" s="1"/>
  <c r="DK81" i="4"/>
  <c r="DL81" i="4"/>
  <c r="DI81" i="4"/>
  <c r="DJ81" i="4" s="1"/>
  <c r="DG81" i="4"/>
  <c r="DH81" i="4"/>
  <c r="DE81" i="4"/>
  <c r="DF81" i="4" s="1"/>
  <c r="DC81" i="4"/>
  <c r="DD81" i="4"/>
  <c r="DA81" i="4"/>
  <c r="DB81" i="4" s="1"/>
  <c r="CY81" i="4"/>
  <c r="CZ81" i="4" s="1"/>
  <c r="CW81" i="4"/>
  <c r="CX81" i="4"/>
  <c r="CU81" i="4"/>
  <c r="CV81" i="4" s="1"/>
  <c r="CS81" i="4"/>
  <c r="CT81" i="4"/>
  <c r="CQ81" i="4"/>
  <c r="CR81" i="4" s="1"/>
  <c r="CO81" i="4"/>
  <c r="CP81" i="4" s="1"/>
  <c r="CM81" i="4"/>
  <c r="CN81" i="4"/>
  <c r="CK81" i="4"/>
  <c r="CL81" i="4" s="1"/>
  <c r="CI81" i="4"/>
  <c r="CJ81" i="4" s="1"/>
  <c r="CG81" i="4"/>
  <c r="CH81" i="4" s="1"/>
  <c r="CE81" i="4"/>
  <c r="CF81" i="4"/>
  <c r="CC81" i="4"/>
  <c r="CD81" i="4" s="1"/>
  <c r="CB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I81" i="4"/>
  <c r="AY81" i="4"/>
  <c r="AZ81" i="4"/>
  <c r="AW81" i="4"/>
  <c r="AX81" i="4" s="1"/>
  <c r="AU81" i="4"/>
  <c r="AV81" i="4"/>
  <c r="AS81" i="4"/>
  <c r="AT81" i="4" s="1"/>
  <c r="AQ81" i="4"/>
  <c r="AR81" i="4" s="1"/>
  <c r="AO81" i="4"/>
  <c r="AP81" i="4" s="1"/>
  <c r="AM81" i="4"/>
  <c r="AN81" i="4" s="1"/>
  <c r="AK81" i="4"/>
  <c r="AL81" i="4" s="1"/>
  <c r="AI81" i="4"/>
  <c r="AJ81" i="4"/>
  <c r="AG81" i="4"/>
  <c r="AH81" i="4" s="1"/>
  <c r="AE81" i="4"/>
  <c r="AF81" i="4"/>
  <c r="AC81" i="4"/>
  <c r="AD81" i="4" s="1"/>
  <c r="AA81" i="4"/>
  <c r="AB81" i="4" s="1"/>
  <c r="Y81" i="4"/>
  <c r="Z81" i="4" s="1"/>
  <c r="W81" i="4"/>
  <c r="X81" i="4"/>
  <c r="U81" i="4"/>
  <c r="V81" i="4" s="1"/>
  <c r="S81" i="4"/>
  <c r="T81" i="4"/>
  <c r="Q81" i="4"/>
  <c r="R81" i="4" s="1"/>
  <c r="O81" i="4"/>
  <c r="P81" i="4"/>
  <c r="M81" i="4"/>
  <c r="N81" i="4" s="1"/>
  <c r="K81" i="4"/>
  <c r="L81" i="4" s="1"/>
  <c r="J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H80" i="4"/>
  <c r="BZ80" i="4" s="1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I80" i="4"/>
  <c r="AU80" i="4" s="1"/>
  <c r="AV80" i="4" s="1"/>
  <c r="AY80" i="4"/>
  <c r="AZ80" i="4" s="1"/>
  <c r="AQ80" i="4"/>
  <c r="AR80" i="4" s="1"/>
  <c r="AI80" i="4"/>
  <c r="AJ80" i="4" s="1"/>
  <c r="AA80" i="4"/>
  <c r="AB80" i="4" s="1"/>
  <c r="S80" i="4"/>
  <c r="T80" i="4" s="1"/>
  <c r="K80" i="4"/>
  <c r="L80" i="4" s="1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H79" i="4"/>
  <c r="BZ79" i="4" s="1"/>
  <c r="CA79" i="4" s="1"/>
  <c r="ER79" i="4"/>
  <c r="ES79" i="4"/>
  <c r="GC79" i="4"/>
  <c r="GD79" i="4" s="1"/>
  <c r="FM79" i="4"/>
  <c r="FN79" i="4" s="1"/>
  <c r="EW79" i="4"/>
  <c r="EX79" i="4" s="1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DQ79" i="4"/>
  <c r="DR79" i="4" s="1"/>
  <c r="DM79" i="4"/>
  <c r="DN79" i="4"/>
  <c r="DI79" i="4"/>
  <c r="DJ79" i="4" s="1"/>
  <c r="DE79" i="4"/>
  <c r="DF79" i="4"/>
  <c r="DA79" i="4"/>
  <c r="DB79" i="4" s="1"/>
  <c r="CW79" i="4"/>
  <c r="CX79" i="4"/>
  <c r="CS79" i="4"/>
  <c r="CT79" i="4" s="1"/>
  <c r="CO79" i="4"/>
  <c r="CP79" i="4"/>
  <c r="CK79" i="4"/>
  <c r="CL79" i="4" s="1"/>
  <c r="CG79" i="4"/>
  <c r="CH79" i="4"/>
  <c r="CC79" i="4"/>
  <c r="CD79" i="4" s="1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AK79" i="4" s="1"/>
  <c r="AL79" i="4" s="1"/>
  <c r="AS79" i="4"/>
  <c r="AT79" i="4"/>
  <c r="AC79" i="4"/>
  <c r="AD79" i="4"/>
  <c r="M79" i="4"/>
  <c r="N79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78" i="4"/>
  <c r="BZ78" i="4"/>
  <c r="ER78" i="4"/>
  <c r="ES78" i="4" s="1"/>
  <c r="GG78" i="4"/>
  <c r="GH78" i="4" s="1"/>
  <c r="GC78" i="4"/>
  <c r="GD78" i="4" s="1"/>
  <c r="FY78" i="4"/>
  <c r="FZ78" i="4" s="1"/>
  <c r="FU78" i="4"/>
  <c r="FV78" i="4" s="1"/>
  <c r="FQ78" i="4"/>
  <c r="FR78" i="4" s="1"/>
  <c r="FM78" i="4"/>
  <c r="FN78" i="4" s="1"/>
  <c r="FI78" i="4"/>
  <c r="FJ78" i="4" s="1"/>
  <c r="FE78" i="4"/>
  <c r="FF78" i="4" s="1"/>
  <c r="FA78" i="4"/>
  <c r="FB78" i="4" s="1"/>
  <c r="EW78" i="4"/>
  <c r="EX78" i="4" s="1"/>
  <c r="ET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CA78" i="4"/>
  <c r="DQ78" i="4"/>
  <c r="DR78" i="4" s="1"/>
  <c r="DI78" i="4"/>
  <c r="DJ78" i="4" s="1"/>
  <c r="DA78" i="4"/>
  <c r="DB78" i="4" s="1"/>
  <c r="CS78" i="4"/>
  <c r="CT78" i="4" s="1"/>
  <c r="CK78" i="4"/>
  <c r="CL78" i="4" s="1"/>
  <c r="CC78" i="4"/>
  <c r="CD78" i="4" s="1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I78" i="4"/>
  <c r="AY78" i="4" s="1"/>
  <c r="AZ78" i="4"/>
  <c r="AW78" i="4"/>
  <c r="AX78" i="4" s="1"/>
  <c r="AS78" i="4"/>
  <c r="AT78" i="4" s="1"/>
  <c r="AO78" i="4"/>
  <c r="AP78" i="4" s="1"/>
  <c r="AM78" i="4"/>
  <c r="AN78" i="4"/>
  <c r="AK78" i="4"/>
  <c r="AL78" i="4" s="1"/>
  <c r="AI78" i="4"/>
  <c r="AJ78" i="4"/>
  <c r="AG78" i="4"/>
  <c r="AH78" i="4" s="1"/>
  <c r="AE78" i="4"/>
  <c r="AF78" i="4"/>
  <c r="AC78" i="4"/>
  <c r="AD78" i="4" s="1"/>
  <c r="AA78" i="4"/>
  <c r="AB78" i="4"/>
  <c r="Y78" i="4"/>
  <c r="Z78" i="4" s="1"/>
  <c r="W78" i="4"/>
  <c r="X78" i="4"/>
  <c r="U78" i="4"/>
  <c r="V78" i="4" s="1"/>
  <c r="S78" i="4"/>
  <c r="T78" i="4"/>
  <c r="Q78" i="4"/>
  <c r="R78" i="4" s="1"/>
  <c r="O78" i="4"/>
  <c r="P78" i="4"/>
  <c r="M78" i="4"/>
  <c r="N78" i="4" s="1"/>
  <c r="K78" i="4"/>
  <c r="L78" i="4"/>
  <c r="J78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H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H76" i="4"/>
  <c r="BZ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I76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H75" i="4"/>
  <c r="BZ75" i="4"/>
  <c r="ER75" i="4"/>
  <c r="ES75" i="4"/>
  <c r="GC75" i="4" s="1"/>
  <c r="GD75" i="4" s="1"/>
  <c r="GG75" i="4"/>
  <c r="GH75" i="4"/>
  <c r="FY75" i="4"/>
  <c r="FZ75" i="4" s="1"/>
  <c r="FQ75" i="4"/>
  <c r="FR75" i="4"/>
  <c r="FI75" i="4"/>
  <c r="FJ75" i="4" s="1"/>
  <c r="FA75" i="4"/>
  <c r="FB75" i="4"/>
  <c r="ET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CA75" i="4"/>
  <c r="DO75" i="4" s="1"/>
  <c r="DP75" i="4" s="1"/>
  <c r="DQ75" i="4"/>
  <c r="DR75" i="4" s="1"/>
  <c r="DM75" i="4"/>
  <c r="DN75" i="4"/>
  <c r="DI75" i="4"/>
  <c r="DJ75" i="4" s="1"/>
  <c r="DE75" i="4"/>
  <c r="DF75" i="4"/>
  <c r="DA75" i="4"/>
  <c r="DB75" i="4" s="1"/>
  <c r="CW75" i="4"/>
  <c r="CX75" i="4"/>
  <c r="CS75" i="4"/>
  <c r="CT75" i="4" s="1"/>
  <c r="CO75" i="4"/>
  <c r="CP75" i="4"/>
  <c r="CM75" i="4"/>
  <c r="CN75" i="4"/>
  <c r="CK75" i="4"/>
  <c r="CL75" i="4"/>
  <c r="CI75" i="4"/>
  <c r="CJ75" i="4"/>
  <c r="CG75" i="4"/>
  <c r="CH75" i="4"/>
  <c r="CE75" i="4"/>
  <c r="CF75" i="4"/>
  <c r="CC75" i="4"/>
  <c r="CD75" i="4"/>
  <c r="CB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I75" i="4"/>
  <c r="AS75" i="4" s="1"/>
  <c r="AT75" i="4" s="1"/>
  <c r="AW75" i="4"/>
  <c r="AX75" i="4" s="1"/>
  <c r="AO75" i="4"/>
  <c r="AP75" i="4"/>
  <c r="AG75" i="4"/>
  <c r="AH75" i="4" s="1"/>
  <c r="Y75" i="4"/>
  <c r="Z75" i="4"/>
  <c r="Q75" i="4"/>
  <c r="R75" i="4" s="1"/>
  <c r="J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74" i="4"/>
  <c r="BZ74" i="4"/>
  <c r="CA74" i="4" s="1"/>
  <c r="DM74" i="4" s="1"/>
  <c r="DN74" i="4" s="1"/>
  <c r="ER74" i="4"/>
  <c r="ES74" i="4" s="1"/>
  <c r="GC74" i="4" s="1"/>
  <c r="GD74" i="4" s="1"/>
  <c r="FU74" i="4"/>
  <c r="FV74" i="4" s="1"/>
  <c r="FE74" i="4"/>
  <c r="FF74" i="4" s="1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DE74" i="4"/>
  <c r="DF74" i="4" s="1"/>
  <c r="CO74" i="4"/>
  <c r="CP74" i="4" s="1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I74" i="4"/>
  <c r="AY74" i="4"/>
  <c r="AZ74" i="4"/>
  <c r="AW74" i="4"/>
  <c r="AX74" i="4" s="1"/>
  <c r="AU74" i="4"/>
  <c r="AV74" i="4"/>
  <c r="AS74" i="4"/>
  <c r="AT74" i="4" s="1"/>
  <c r="AQ74" i="4"/>
  <c r="AR74" i="4"/>
  <c r="AO74" i="4"/>
  <c r="AP74" i="4" s="1"/>
  <c r="AM74" i="4"/>
  <c r="AN74" i="4"/>
  <c r="AK74" i="4"/>
  <c r="AL74" i="4" s="1"/>
  <c r="AI74" i="4"/>
  <c r="AJ74" i="4"/>
  <c r="AG74" i="4"/>
  <c r="AH74" i="4" s="1"/>
  <c r="AE74" i="4"/>
  <c r="AF74" i="4"/>
  <c r="AC74" i="4"/>
  <c r="AD74" i="4" s="1"/>
  <c r="AA74" i="4"/>
  <c r="AB74" i="4"/>
  <c r="Y74" i="4"/>
  <c r="Z74" i="4" s="1"/>
  <c r="W74" i="4"/>
  <c r="X74" i="4"/>
  <c r="U74" i="4"/>
  <c r="V74" i="4" s="1"/>
  <c r="S74" i="4"/>
  <c r="T74" i="4"/>
  <c r="Q74" i="4"/>
  <c r="R74" i="4" s="1"/>
  <c r="O74" i="4"/>
  <c r="P74" i="4"/>
  <c r="M74" i="4"/>
  <c r="N74" i="4" s="1"/>
  <c r="K74" i="4"/>
  <c r="L74" i="4"/>
  <c r="J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H73" i="4"/>
  <c r="I73" i="4" s="1"/>
  <c r="BZ73" i="4"/>
  <c r="ER73" i="4" s="1"/>
  <c r="ES73" i="4" s="1"/>
  <c r="GE73" i="4" s="1"/>
  <c r="GF73" i="4" s="1"/>
  <c r="GI73" i="4"/>
  <c r="GJ73" i="4"/>
  <c r="GA73" i="4"/>
  <c r="GB73" i="4" s="1"/>
  <c r="FS73" i="4"/>
  <c r="FT73" i="4"/>
  <c r="FK73" i="4"/>
  <c r="FL73" i="4" s="1"/>
  <c r="FC73" i="4"/>
  <c r="FD73" i="4"/>
  <c r="EU73" i="4"/>
  <c r="EV73" i="4" s="1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CA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AY73" i="4"/>
  <c r="AZ73" i="4"/>
  <c r="AU73" i="4"/>
  <c r="AV73" i="4"/>
  <c r="AQ73" i="4"/>
  <c r="AR73" i="4"/>
  <c r="AM73" i="4"/>
  <c r="AN73" i="4"/>
  <c r="AI73" i="4"/>
  <c r="AJ73" i="4"/>
  <c r="AE73" i="4"/>
  <c r="AF73" i="4"/>
  <c r="AA73" i="4"/>
  <c r="AB73" i="4"/>
  <c r="W73" i="4"/>
  <c r="X73" i="4"/>
  <c r="S73" i="4"/>
  <c r="T73" i="4"/>
  <c r="O73" i="4"/>
  <c r="P73" i="4"/>
  <c r="K73" i="4"/>
  <c r="L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H72" i="4"/>
  <c r="BZ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AU72" i="4" s="1"/>
  <c r="AV72" i="4" s="1"/>
  <c r="AY72" i="4"/>
  <c r="AZ72" i="4" s="1"/>
  <c r="AQ72" i="4"/>
  <c r="AR72" i="4" s="1"/>
  <c r="AI72" i="4"/>
  <c r="AJ72" i="4" s="1"/>
  <c r="AA72" i="4"/>
  <c r="AB72" i="4" s="1"/>
  <c r="S72" i="4"/>
  <c r="T72" i="4" s="1"/>
  <c r="K72" i="4"/>
  <c r="L72" i="4" s="1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H71" i="4"/>
  <c r="BZ71" i="4"/>
  <c r="ER71" i="4"/>
  <c r="ES71" i="4" s="1"/>
  <c r="FM71" i="4" s="1"/>
  <c r="FN71" i="4" s="1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CA71" i="4"/>
  <c r="DO71" i="4" s="1"/>
  <c r="DP71" i="4" s="1"/>
  <c r="DQ71" i="4"/>
  <c r="DR71" i="4"/>
  <c r="DM71" i="4"/>
  <c r="DN71" i="4" s="1"/>
  <c r="DI71" i="4"/>
  <c r="DJ71" i="4"/>
  <c r="DE71" i="4"/>
  <c r="DF71" i="4" s="1"/>
  <c r="DA71" i="4"/>
  <c r="DB71" i="4"/>
  <c r="CW71" i="4"/>
  <c r="CX71" i="4" s="1"/>
  <c r="CS71" i="4"/>
  <c r="CT71" i="4"/>
  <c r="CO71" i="4"/>
  <c r="CP71" i="4" s="1"/>
  <c r="CK71" i="4"/>
  <c r="CL71" i="4"/>
  <c r="CG71" i="4"/>
  <c r="CH71" i="4" s="1"/>
  <c r="CC71" i="4"/>
  <c r="CD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I71" i="4"/>
  <c r="AS71" i="4" s="1"/>
  <c r="AT71" i="4" s="1"/>
  <c r="AW71" i="4"/>
  <c r="AX71" i="4"/>
  <c r="AO71" i="4"/>
  <c r="AP71" i="4"/>
  <c r="AG71" i="4"/>
  <c r="AH71" i="4"/>
  <c r="Y71" i="4"/>
  <c r="Z71" i="4"/>
  <c r="Q71" i="4"/>
  <c r="R71" i="4"/>
  <c r="J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H70" i="4"/>
  <c r="I70" i="4" s="1"/>
  <c r="BZ70" i="4"/>
  <c r="CA70" i="4" s="1"/>
  <c r="ER70" i="4"/>
  <c r="ES70" i="4" s="1"/>
  <c r="GC70" i="4" s="1"/>
  <c r="GD70" i="4" s="1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DM70" i="4"/>
  <c r="DN70" i="4" s="1"/>
  <c r="DE70" i="4"/>
  <c r="DF70" i="4" s="1"/>
  <c r="CW70" i="4"/>
  <c r="CX70" i="4" s="1"/>
  <c r="CO70" i="4"/>
  <c r="CP70" i="4" s="1"/>
  <c r="CG70" i="4"/>
  <c r="CH70" i="4" s="1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AW70" i="4"/>
  <c r="AX70" i="4" s="1"/>
  <c r="AS70" i="4"/>
  <c r="AT70" i="4" s="1"/>
  <c r="AO70" i="4"/>
  <c r="AP70" i="4" s="1"/>
  <c r="AK70" i="4"/>
  <c r="AL70" i="4" s="1"/>
  <c r="AG70" i="4"/>
  <c r="AH70" i="4" s="1"/>
  <c r="AC70" i="4"/>
  <c r="AD70" i="4" s="1"/>
  <c r="Y70" i="4"/>
  <c r="Z70" i="4" s="1"/>
  <c r="U70" i="4"/>
  <c r="V70" i="4" s="1"/>
  <c r="Q70" i="4"/>
  <c r="R70" i="4" s="1"/>
  <c r="M70" i="4"/>
  <c r="N70" i="4" s="1"/>
  <c r="J70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H69" i="4"/>
  <c r="I69" i="4" s="1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H68" i="4"/>
  <c r="BZ68" i="4"/>
  <c r="ER68" i="4"/>
  <c r="ES68" i="4" s="1"/>
  <c r="GG68" i="4"/>
  <c r="GH68" i="4" s="1"/>
  <c r="GC68" i="4"/>
  <c r="GD68" i="4" s="1"/>
  <c r="FY68" i="4"/>
  <c r="FZ68" i="4" s="1"/>
  <c r="FU68" i="4"/>
  <c r="FV68" i="4" s="1"/>
  <c r="FQ68" i="4"/>
  <c r="FR68" i="4" s="1"/>
  <c r="FM68" i="4"/>
  <c r="FN68" i="4" s="1"/>
  <c r="FI68" i="4"/>
  <c r="FJ68" i="4" s="1"/>
  <c r="FE68" i="4"/>
  <c r="FF68" i="4" s="1"/>
  <c r="FA68" i="4"/>
  <c r="FB68" i="4" s="1"/>
  <c r="EW68" i="4"/>
  <c r="EX68" i="4" s="1"/>
  <c r="ET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CA68" i="4"/>
  <c r="DQ68" i="4"/>
  <c r="DR68" i="4" s="1"/>
  <c r="DI68" i="4"/>
  <c r="DJ68" i="4" s="1"/>
  <c r="DA68" i="4"/>
  <c r="DB68" i="4" s="1"/>
  <c r="CS68" i="4"/>
  <c r="CT68" i="4" s="1"/>
  <c r="CK68" i="4"/>
  <c r="CL68" i="4" s="1"/>
  <c r="CC68" i="4"/>
  <c r="CD68" i="4" s="1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AY68" i="4"/>
  <c r="AZ68" i="4"/>
  <c r="AW68" i="4"/>
  <c r="AX68" i="4" s="1"/>
  <c r="AU68" i="4"/>
  <c r="AV68" i="4"/>
  <c r="AS68" i="4"/>
  <c r="AT68" i="4" s="1"/>
  <c r="AQ68" i="4"/>
  <c r="AR68" i="4"/>
  <c r="AO68" i="4"/>
  <c r="AP68" i="4" s="1"/>
  <c r="AM68" i="4"/>
  <c r="AN68" i="4"/>
  <c r="AK68" i="4"/>
  <c r="AL68" i="4" s="1"/>
  <c r="AI68" i="4"/>
  <c r="AJ68" i="4"/>
  <c r="AG68" i="4"/>
  <c r="AH68" i="4" s="1"/>
  <c r="AE68" i="4"/>
  <c r="AF68" i="4"/>
  <c r="AC68" i="4"/>
  <c r="AD68" i="4" s="1"/>
  <c r="AA68" i="4"/>
  <c r="AB68" i="4"/>
  <c r="Y68" i="4"/>
  <c r="Z68" i="4" s="1"/>
  <c r="W68" i="4"/>
  <c r="X68" i="4"/>
  <c r="U68" i="4"/>
  <c r="V68" i="4" s="1"/>
  <c r="S68" i="4"/>
  <c r="T68" i="4"/>
  <c r="Q68" i="4"/>
  <c r="R68" i="4" s="1"/>
  <c r="O68" i="4"/>
  <c r="P68" i="4"/>
  <c r="M68" i="4"/>
  <c r="N68" i="4" s="1"/>
  <c r="K68" i="4"/>
  <c r="L68" i="4"/>
  <c r="J68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66" i="4"/>
  <c r="BZ66" i="4" s="1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I66" i="4"/>
  <c r="AW66" i="4" s="1"/>
  <c r="AX66" i="4" s="1"/>
  <c r="AC66" i="4"/>
  <c r="AD66" i="4" s="1"/>
  <c r="U66" i="4"/>
  <c r="V66" i="4" s="1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65" i="4"/>
  <c r="BZ65" i="4" s="1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I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H63" i="4"/>
  <c r="BZ63" i="4" s="1"/>
  <c r="CA63" i="4" s="1"/>
  <c r="CW63" i="4" s="1"/>
  <c r="CX63" i="4" s="1"/>
  <c r="ER63" i="4"/>
  <c r="ES63" i="4" s="1"/>
  <c r="FY63" i="4" s="1"/>
  <c r="FZ63" i="4" s="1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DQ63" i="4"/>
  <c r="DR63" i="4" s="1"/>
  <c r="DM63" i="4"/>
  <c r="DN63" i="4" s="1"/>
  <c r="DA63" i="4"/>
  <c r="DB63" i="4" s="1"/>
  <c r="CK63" i="4"/>
  <c r="CL63" i="4" s="1"/>
  <c r="CG63" i="4"/>
  <c r="CH63" i="4" s="1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I63" i="4"/>
  <c r="AC63" i="4"/>
  <c r="AD63" i="4" s="1"/>
  <c r="U63" i="4"/>
  <c r="V63" i="4" s="1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59" i="4"/>
  <c r="BZ59" i="4"/>
  <c r="ER59" i="4"/>
  <c r="ES59" i="4" s="1"/>
  <c r="GG59" i="4" s="1"/>
  <c r="GH59" i="4" s="1"/>
  <c r="GC59" i="4"/>
  <c r="GD59" i="4" s="1"/>
  <c r="FU59" i="4"/>
  <c r="FV59" i="4" s="1"/>
  <c r="FM59" i="4"/>
  <c r="FN59" i="4" s="1"/>
  <c r="FE59" i="4"/>
  <c r="FF59" i="4" s="1"/>
  <c r="EW59" i="4"/>
  <c r="EX59" i="4" s="1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CA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I59" i="4"/>
  <c r="AY59" i="4" s="1"/>
  <c r="AZ59" i="4" s="1"/>
  <c r="AW59" i="4"/>
  <c r="AX59" i="4" s="1"/>
  <c r="AS59" i="4"/>
  <c r="AT59" i="4" s="1"/>
  <c r="AO59" i="4"/>
  <c r="AP59" i="4" s="1"/>
  <c r="AK59" i="4"/>
  <c r="AL59" i="4" s="1"/>
  <c r="AI59" i="4"/>
  <c r="AJ59" i="4"/>
  <c r="AG59" i="4"/>
  <c r="AH59" i="4" s="1"/>
  <c r="AE59" i="4"/>
  <c r="AF59" i="4"/>
  <c r="AC59" i="4"/>
  <c r="AD59" i="4" s="1"/>
  <c r="AA59" i="4"/>
  <c r="AB59" i="4"/>
  <c r="Y59" i="4"/>
  <c r="Z59" i="4" s="1"/>
  <c r="W59" i="4"/>
  <c r="X59" i="4"/>
  <c r="U59" i="4"/>
  <c r="V59" i="4" s="1"/>
  <c r="S59" i="4"/>
  <c r="T59" i="4"/>
  <c r="Q59" i="4"/>
  <c r="R59" i="4" s="1"/>
  <c r="O59" i="4"/>
  <c r="P59" i="4"/>
  <c r="M59" i="4"/>
  <c r="N59" i="4" s="1"/>
  <c r="K59" i="4"/>
  <c r="L59" i="4"/>
  <c r="J59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H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H34" i="4"/>
  <c r="I34" i="4" s="1"/>
  <c r="H39" i="4"/>
  <c r="H40" i="4"/>
  <c r="H44" i="4"/>
  <c r="H47" i="4"/>
  <c r="H53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50" i="4"/>
  <c r="BZ50" i="4"/>
  <c r="ER50" i="4"/>
  <c r="ES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CA50" i="4"/>
  <c r="DO50" i="4" s="1"/>
  <c r="DP50" i="4" s="1"/>
  <c r="DQ50" i="4"/>
  <c r="DR50" i="4"/>
  <c r="DM50" i="4"/>
  <c r="DN50" i="4"/>
  <c r="DI50" i="4"/>
  <c r="DJ50" i="4"/>
  <c r="DE50" i="4"/>
  <c r="DF50" i="4"/>
  <c r="DA50" i="4"/>
  <c r="DB50" i="4"/>
  <c r="CW50" i="4"/>
  <c r="CX50" i="4"/>
  <c r="CS50" i="4"/>
  <c r="CT50" i="4"/>
  <c r="CO50" i="4"/>
  <c r="CP50" i="4"/>
  <c r="CK50" i="4"/>
  <c r="CL50" i="4"/>
  <c r="CG50" i="4"/>
  <c r="CH50" i="4"/>
  <c r="CC50" i="4"/>
  <c r="CD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I50" i="4"/>
  <c r="AW50" i="4"/>
  <c r="AX50" i="4" s="1"/>
  <c r="AS50" i="4"/>
  <c r="AT50" i="4" s="1"/>
  <c r="AO50" i="4"/>
  <c r="AP50" i="4" s="1"/>
  <c r="AK50" i="4"/>
  <c r="AL50" i="4" s="1"/>
  <c r="AG50" i="4"/>
  <c r="AH50" i="4" s="1"/>
  <c r="AC50" i="4"/>
  <c r="AD50" i="4" s="1"/>
  <c r="Y50" i="4"/>
  <c r="Z50" i="4" s="1"/>
  <c r="U50" i="4"/>
  <c r="V50" i="4" s="1"/>
  <c r="Q50" i="4"/>
  <c r="R50" i="4" s="1"/>
  <c r="M50" i="4"/>
  <c r="N50" i="4" s="1"/>
  <c r="J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49" i="4"/>
  <c r="I49" i="4" s="1"/>
  <c r="BZ49" i="4"/>
  <c r="CA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AW49" i="4"/>
  <c r="AX49" i="4" s="1"/>
  <c r="AS49" i="4"/>
  <c r="AT49" i="4" s="1"/>
  <c r="AO49" i="4"/>
  <c r="AP49" i="4" s="1"/>
  <c r="AK49" i="4"/>
  <c r="AL49" i="4" s="1"/>
  <c r="AG49" i="4"/>
  <c r="AH49" i="4" s="1"/>
  <c r="AC49" i="4"/>
  <c r="AD49" i="4" s="1"/>
  <c r="Y49" i="4"/>
  <c r="Z49" i="4" s="1"/>
  <c r="U49" i="4"/>
  <c r="V49" i="4" s="1"/>
  <c r="Q49" i="4"/>
  <c r="R49" i="4" s="1"/>
  <c r="M49" i="4"/>
  <c r="N49" i="4" s="1"/>
  <c r="J49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48" i="4"/>
  <c r="I48" i="4" s="1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AY48" i="4"/>
  <c r="AZ48" i="4" s="1"/>
  <c r="AU48" i="4"/>
  <c r="AV48" i="4" s="1"/>
  <c r="AQ48" i="4"/>
  <c r="AR48" i="4" s="1"/>
  <c r="AM48" i="4"/>
  <c r="AN48" i="4" s="1"/>
  <c r="AI48" i="4"/>
  <c r="AJ48" i="4" s="1"/>
  <c r="AE48" i="4"/>
  <c r="AF48" i="4" s="1"/>
  <c r="AA48" i="4"/>
  <c r="AB48" i="4" s="1"/>
  <c r="W48" i="4"/>
  <c r="X48" i="4" s="1"/>
  <c r="S48" i="4"/>
  <c r="T48" i="4" s="1"/>
  <c r="O48" i="4"/>
  <c r="P48" i="4" s="1"/>
  <c r="K48" i="4"/>
  <c r="L48" i="4" s="1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46" i="4"/>
  <c r="BZ46" i="4" s="1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I46" i="4"/>
  <c r="AA46" i="4"/>
  <c r="AB46" i="4" s="1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45" i="4"/>
  <c r="BZ45" i="4"/>
  <c r="ER45" i="4"/>
  <c r="ES45" i="4"/>
  <c r="GG45" i="4" s="1"/>
  <c r="GH45" i="4" s="1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CA45" i="4"/>
  <c r="DO45" i="4" s="1"/>
  <c r="DP45" i="4" s="1"/>
  <c r="DQ45" i="4"/>
  <c r="DR45" i="4"/>
  <c r="DM45" i="4"/>
  <c r="DN45" i="4"/>
  <c r="DI45" i="4"/>
  <c r="DJ45" i="4"/>
  <c r="DE45" i="4"/>
  <c r="DF45" i="4"/>
  <c r="DA45" i="4"/>
  <c r="DB45" i="4"/>
  <c r="CW45" i="4"/>
  <c r="CX45" i="4"/>
  <c r="CS45" i="4"/>
  <c r="CT45" i="4"/>
  <c r="CO45" i="4"/>
  <c r="CP45" i="4"/>
  <c r="CK45" i="4"/>
  <c r="CL45" i="4"/>
  <c r="CG45" i="4"/>
  <c r="CH45" i="4"/>
  <c r="CC45" i="4"/>
  <c r="CD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I45" i="4"/>
  <c r="AW45" i="4"/>
  <c r="AX45" i="4" s="1"/>
  <c r="AS45" i="4"/>
  <c r="AT45" i="4" s="1"/>
  <c r="AO45" i="4"/>
  <c r="AP45" i="4" s="1"/>
  <c r="AK45" i="4"/>
  <c r="AL45" i="4" s="1"/>
  <c r="AG45" i="4"/>
  <c r="AH45" i="4" s="1"/>
  <c r="AC45" i="4"/>
  <c r="AD45" i="4" s="1"/>
  <c r="Y45" i="4"/>
  <c r="Z45" i="4" s="1"/>
  <c r="U45" i="4"/>
  <c r="V45" i="4" s="1"/>
  <c r="Q45" i="4"/>
  <c r="R45" i="4" s="1"/>
  <c r="M45" i="4"/>
  <c r="N45" i="4" s="1"/>
  <c r="J45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H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42" i="4"/>
  <c r="BZ42" i="4" s="1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41" i="4"/>
  <c r="I41" i="4" s="1"/>
  <c r="BZ41" i="4"/>
  <c r="ER41" i="4" s="1"/>
  <c r="ES41" i="4" s="1"/>
  <c r="GE41" i="4" s="1"/>
  <c r="GF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AY41" i="4"/>
  <c r="AZ41" i="4"/>
  <c r="AU41" i="4"/>
  <c r="AV41" i="4"/>
  <c r="AQ41" i="4"/>
  <c r="AR41" i="4"/>
  <c r="AM41" i="4"/>
  <c r="AN41" i="4"/>
  <c r="AI41" i="4"/>
  <c r="AJ41" i="4"/>
  <c r="AE41" i="4"/>
  <c r="AF41" i="4"/>
  <c r="AA41" i="4"/>
  <c r="AB41" i="4"/>
  <c r="W41" i="4"/>
  <c r="X41" i="4"/>
  <c r="S41" i="4"/>
  <c r="T41" i="4"/>
  <c r="O41" i="4"/>
  <c r="P41" i="4"/>
  <c r="K41" i="4"/>
  <c r="L41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H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H37" i="4"/>
  <c r="BZ37" i="4" s="1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H36" i="4"/>
  <c r="BZ36" i="4" s="1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I36" i="4"/>
  <c r="AY36" i="4" s="1"/>
  <c r="AZ36" i="4" s="1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H35" i="4"/>
  <c r="BZ35" i="4" s="1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BZ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AW34" i="4"/>
  <c r="AX34" i="4" s="1"/>
  <c r="AS34" i="4"/>
  <c r="AT34" i="4" s="1"/>
  <c r="AK34" i="4"/>
  <c r="AL34" i="4" s="1"/>
  <c r="AG34" i="4"/>
  <c r="AH34" i="4"/>
  <c r="AC34" i="4"/>
  <c r="AD34" i="4" s="1"/>
  <c r="U34" i="4"/>
  <c r="V34" i="4" s="1"/>
  <c r="Q34" i="4"/>
  <c r="R34" i="4" s="1"/>
  <c r="M34" i="4"/>
  <c r="N34" i="4" s="1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BZ33" i="4"/>
  <c r="ER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BZ32" i="4"/>
  <c r="ER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31" i="4"/>
  <c r="BZ31" i="4"/>
  <c r="ER31" i="4"/>
  <c r="ES31" i="4" s="1"/>
  <c r="FM31" i="4"/>
  <c r="FN31" i="4" s="1"/>
  <c r="FE31" i="4"/>
  <c r="FF31" i="4" s="1"/>
  <c r="EW31" i="4"/>
  <c r="EX31" i="4" s="1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CA31" i="4"/>
  <c r="DQ31" i="4"/>
  <c r="DR31" i="4" s="1"/>
  <c r="DM31" i="4"/>
  <c r="DN31" i="4" s="1"/>
  <c r="DI31" i="4"/>
  <c r="DJ31" i="4" s="1"/>
  <c r="DE31" i="4"/>
  <c r="DF31" i="4" s="1"/>
  <c r="DA31" i="4"/>
  <c r="DB31" i="4" s="1"/>
  <c r="CW31" i="4"/>
  <c r="CX31" i="4" s="1"/>
  <c r="CS31" i="4"/>
  <c r="CT31" i="4" s="1"/>
  <c r="CO31" i="4"/>
  <c r="CP31" i="4" s="1"/>
  <c r="CK31" i="4"/>
  <c r="CL31" i="4" s="1"/>
  <c r="CG31" i="4"/>
  <c r="CH31" i="4" s="1"/>
  <c r="CC31" i="4"/>
  <c r="CD31" i="4" s="1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I31" i="4"/>
  <c r="AY31" i="4" s="1"/>
  <c r="AZ31" i="4"/>
  <c r="AW31" i="4"/>
  <c r="AX31" i="4" s="1"/>
  <c r="AS31" i="4"/>
  <c r="AT31" i="4" s="1"/>
  <c r="AQ31" i="4"/>
  <c r="AR31" i="4"/>
  <c r="AO31" i="4"/>
  <c r="AP31" i="4" s="1"/>
  <c r="AM31" i="4"/>
  <c r="AN31" i="4"/>
  <c r="AK31" i="4"/>
  <c r="AL31" i="4" s="1"/>
  <c r="AI31" i="4"/>
  <c r="AJ31" i="4"/>
  <c r="AG31" i="4"/>
  <c r="AH31" i="4" s="1"/>
  <c r="AE31" i="4"/>
  <c r="AF31" i="4"/>
  <c r="AC31" i="4"/>
  <c r="AD31" i="4" s="1"/>
  <c r="AA31" i="4"/>
  <c r="AB31" i="4"/>
  <c r="Y31" i="4"/>
  <c r="Z31" i="4" s="1"/>
  <c r="W31" i="4"/>
  <c r="X31" i="4"/>
  <c r="U31" i="4"/>
  <c r="V31" i="4" s="1"/>
  <c r="S31" i="4"/>
  <c r="T31" i="4"/>
  <c r="Q31" i="4"/>
  <c r="R31" i="4" s="1"/>
  <c r="O31" i="4"/>
  <c r="P31" i="4"/>
  <c r="M31" i="4"/>
  <c r="N31" i="4" s="1"/>
  <c r="K31" i="4"/>
  <c r="L31" i="4"/>
  <c r="J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18" i="4"/>
  <c r="BZ18" i="4"/>
  <c r="H26" i="4"/>
  <c r="BZ26" i="4" s="1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I18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O49" i="4" l="1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DQ49" i="4"/>
  <c r="DR49" i="4" s="1"/>
  <c r="DI49" i="4"/>
  <c r="DJ49" i="4" s="1"/>
  <c r="DA49" i="4"/>
  <c r="DB49" i="4" s="1"/>
  <c r="CS49" i="4"/>
  <c r="CT49" i="4" s="1"/>
  <c r="CK49" i="4"/>
  <c r="CL49" i="4" s="1"/>
  <c r="CC49" i="4"/>
  <c r="CD49" i="4" s="1"/>
  <c r="DM49" i="4"/>
  <c r="DN49" i="4" s="1"/>
  <c r="DE49" i="4"/>
  <c r="DF49" i="4" s="1"/>
  <c r="CW49" i="4"/>
  <c r="CX49" i="4" s="1"/>
  <c r="CO49" i="4"/>
  <c r="CP49" i="4" s="1"/>
  <c r="CG49" i="4"/>
  <c r="CH49" i="4" s="1"/>
  <c r="ER18" i="4"/>
  <c r="ES18" i="4" s="1"/>
  <c r="CA18" i="4"/>
  <c r="GI31" i="4"/>
  <c r="GJ31" i="4" s="1"/>
  <c r="GE31" i="4"/>
  <c r="GF31" i="4" s="1"/>
  <c r="GA31" i="4"/>
  <c r="GB31" i="4" s="1"/>
  <c r="FW31" i="4"/>
  <c r="FX31" i="4" s="1"/>
  <c r="FS31" i="4"/>
  <c r="FT31" i="4" s="1"/>
  <c r="FO31" i="4"/>
  <c r="FP31" i="4" s="1"/>
  <c r="FK31" i="4"/>
  <c r="FL31" i="4" s="1"/>
  <c r="FG31" i="4"/>
  <c r="FH31" i="4" s="1"/>
  <c r="FC31" i="4"/>
  <c r="FD31" i="4" s="1"/>
  <c r="EY31" i="4"/>
  <c r="EZ31" i="4" s="1"/>
  <c r="EU31" i="4"/>
  <c r="EV31" i="4" s="1"/>
  <c r="FE70" i="4"/>
  <c r="FF70" i="4" s="1"/>
  <c r="AW76" i="4"/>
  <c r="AX76" i="4" s="1"/>
  <c r="AS76" i="4"/>
  <c r="AT76" i="4" s="1"/>
  <c r="AO76" i="4"/>
  <c r="AP76" i="4" s="1"/>
  <c r="AK76" i="4"/>
  <c r="AL76" i="4" s="1"/>
  <c r="AG76" i="4"/>
  <c r="AH76" i="4" s="1"/>
  <c r="AC76" i="4"/>
  <c r="AD76" i="4" s="1"/>
  <c r="Y76" i="4"/>
  <c r="Z76" i="4" s="1"/>
  <c r="U76" i="4"/>
  <c r="V76" i="4" s="1"/>
  <c r="Q76" i="4"/>
  <c r="R76" i="4" s="1"/>
  <c r="M76" i="4"/>
  <c r="N76" i="4" s="1"/>
  <c r="J76" i="4"/>
  <c r="AU76" i="4"/>
  <c r="AV76" i="4" s="1"/>
  <c r="AM76" i="4"/>
  <c r="AN76" i="4" s="1"/>
  <c r="AE76" i="4"/>
  <c r="AF76" i="4" s="1"/>
  <c r="W76" i="4"/>
  <c r="X76" i="4" s="1"/>
  <c r="O76" i="4"/>
  <c r="P76" i="4" s="1"/>
  <c r="AQ76" i="4"/>
  <c r="AR76" i="4" s="1"/>
  <c r="AA76" i="4"/>
  <c r="AB76" i="4" s="1"/>
  <c r="K76" i="4"/>
  <c r="L76" i="4" s="1"/>
  <c r="AY76" i="4"/>
  <c r="AZ76" i="4" s="1"/>
  <c r="AI76" i="4"/>
  <c r="AJ76" i="4" s="1"/>
  <c r="S76" i="4"/>
  <c r="T76" i="4" s="1"/>
  <c r="AW18" i="4"/>
  <c r="AX18" i="4" s="1"/>
  <c r="AS18" i="4"/>
  <c r="AT18" i="4" s="1"/>
  <c r="AO18" i="4"/>
  <c r="AP18" i="4" s="1"/>
  <c r="AK18" i="4"/>
  <c r="AL18" i="4" s="1"/>
  <c r="AG18" i="4"/>
  <c r="AH18" i="4" s="1"/>
  <c r="AC18" i="4"/>
  <c r="AD18" i="4" s="1"/>
  <c r="Y18" i="4"/>
  <c r="Z18" i="4" s="1"/>
  <c r="U18" i="4"/>
  <c r="V18" i="4" s="1"/>
  <c r="Q18" i="4"/>
  <c r="R18" i="4" s="1"/>
  <c r="M18" i="4"/>
  <c r="N18" i="4" s="1"/>
  <c r="J18" i="4"/>
  <c r="O18" i="4"/>
  <c r="P18" i="4" s="1"/>
  <c r="W18" i="4"/>
  <c r="X18" i="4" s="1"/>
  <c r="AE18" i="4"/>
  <c r="AF18" i="4" s="1"/>
  <c r="AM18" i="4"/>
  <c r="AN18" i="4" s="1"/>
  <c r="AU18" i="4"/>
  <c r="AV18" i="4" s="1"/>
  <c r="DO31" i="4"/>
  <c r="DP31" i="4" s="1"/>
  <c r="DK31" i="4"/>
  <c r="DL31" i="4" s="1"/>
  <c r="DG31" i="4"/>
  <c r="DH31" i="4" s="1"/>
  <c r="DC31" i="4"/>
  <c r="DD31" i="4" s="1"/>
  <c r="CY31" i="4"/>
  <c r="CZ31" i="4" s="1"/>
  <c r="CU31" i="4"/>
  <c r="CV31" i="4" s="1"/>
  <c r="CQ31" i="4"/>
  <c r="CR31" i="4" s="1"/>
  <c r="CM31" i="4"/>
  <c r="CN31" i="4" s="1"/>
  <c r="CI31" i="4"/>
  <c r="CJ31" i="4" s="1"/>
  <c r="CE31" i="4"/>
  <c r="CF31" i="4" s="1"/>
  <c r="CB31" i="4"/>
  <c r="BZ38" i="4"/>
  <c r="I38" i="4"/>
  <c r="AW38" i="4" s="1"/>
  <c r="AX38" i="4" s="1"/>
  <c r="CA41" i="4"/>
  <c r="EU41" i="4"/>
  <c r="EV41" i="4" s="1"/>
  <c r="FC41" i="4"/>
  <c r="FD41" i="4" s="1"/>
  <c r="FK41" i="4"/>
  <c r="FL41" i="4" s="1"/>
  <c r="FS41" i="4"/>
  <c r="FT41" i="4" s="1"/>
  <c r="GA41" i="4"/>
  <c r="GB41" i="4" s="1"/>
  <c r="GI41" i="4"/>
  <c r="GJ41" i="4" s="1"/>
  <c r="BZ43" i="4"/>
  <c r="CA43" i="4" s="1"/>
  <c r="I43" i="4"/>
  <c r="AW43" i="4" s="1"/>
  <c r="AX43" i="4" s="1"/>
  <c r="EW45" i="4"/>
  <c r="EX45" i="4" s="1"/>
  <c r="FE45" i="4"/>
  <c r="FF45" i="4" s="1"/>
  <c r="FM45" i="4"/>
  <c r="FN45" i="4" s="1"/>
  <c r="FU45" i="4"/>
  <c r="FV45" i="4" s="1"/>
  <c r="GC45" i="4"/>
  <c r="GD45" i="4" s="1"/>
  <c r="ER49" i="4"/>
  <c r="ES49" i="4" s="1"/>
  <c r="I51" i="4"/>
  <c r="BZ51" i="4"/>
  <c r="I58" i="4"/>
  <c r="BZ58" i="4"/>
  <c r="DO59" i="4"/>
  <c r="DP59" i="4" s="1"/>
  <c r="DK59" i="4"/>
  <c r="DL59" i="4" s="1"/>
  <c r="DG59" i="4"/>
  <c r="DH59" i="4" s="1"/>
  <c r="DC59" i="4"/>
  <c r="DD59" i="4" s="1"/>
  <c r="CY59" i="4"/>
  <c r="CZ59" i="4" s="1"/>
  <c r="CU59" i="4"/>
  <c r="CV59" i="4" s="1"/>
  <c r="CQ59" i="4"/>
  <c r="CR59" i="4" s="1"/>
  <c r="CM59" i="4"/>
  <c r="CN59" i="4" s="1"/>
  <c r="CI59" i="4"/>
  <c r="CJ59" i="4" s="1"/>
  <c r="CE59" i="4"/>
  <c r="CF59" i="4" s="1"/>
  <c r="CB59" i="4"/>
  <c r="DM59" i="4"/>
  <c r="DN59" i="4" s="1"/>
  <c r="DE59" i="4"/>
  <c r="DF59" i="4" s="1"/>
  <c r="CW59" i="4"/>
  <c r="CX59" i="4" s="1"/>
  <c r="CO59" i="4"/>
  <c r="CP59" i="4" s="1"/>
  <c r="CG59" i="4"/>
  <c r="CH59" i="4" s="1"/>
  <c r="DQ59" i="4"/>
  <c r="DR59" i="4" s="1"/>
  <c r="DI59" i="4"/>
  <c r="DJ59" i="4" s="1"/>
  <c r="DA59" i="4"/>
  <c r="DB59" i="4" s="1"/>
  <c r="CS59" i="4"/>
  <c r="CT59" i="4" s="1"/>
  <c r="CK59" i="4"/>
  <c r="CL59" i="4" s="1"/>
  <c r="CC59" i="4"/>
  <c r="CD59" i="4" s="1"/>
  <c r="AW65" i="4"/>
  <c r="AX65" i="4" s="1"/>
  <c r="AS65" i="4"/>
  <c r="AT65" i="4" s="1"/>
  <c r="AO65" i="4"/>
  <c r="AP65" i="4" s="1"/>
  <c r="AK65" i="4"/>
  <c r="AL65" i="4" s="1"/>
  <c r="AG65" i="4"/>
  <c r="AH65" i="4" s="1"/>
  <c r="AC65" i="4"/>
  <c r="AD65" i="4" s="1"/>
  <c r="Y65" i="4"/>
  <c r="Z65" i="4" s="1"/>
  <c r="U65" i="4"/>
  <c r="V65" i="4" s="1"/>
  <c r="Q65" i="4"/>
  <c r="R65" i="4" s="1"/>
  <c r="M65" i="4"/>
  <c r="N65" i="4" s="1"/>
  <c r="J65" i="4"/>
  <c r="AU65" i="4"/>
  <c r="AV65" i="4" s="1"/>
  <c r="AM65" i="4"/>
  <c r="AN65" i="4" s="1"/>
  <c r="AE65" i="4"/>
  <c r="AF65" i="4" s="1"/>
  <c r="W65" i="4"/>
  <c r="X65" i="4" s="1"/>
  <c r="O65" i="4"/>
  <c r="P65" i="4" s="1"/>
  <c r="AY65" i="4"/>
  <c r="AZ65" i="4" s="1"/>
  <c r="AQ65" i="4"/>
  <c r="AR65" i="4" s="1"/>
  <c r="AI65" i="4"/>
  <c r="AJ65" i="4" s="1"/>
  <c r="AA65" i="4"/>
  <c r="AB65" i="4" s="1"/>
  <c r="S65" i="4"/>
  <c r="T65" i="4" s="1"/>
  <c r="K65" i="4"/>
  <c r="L65" i="4" s="1"/>
  <c r="EW70" i="4"/>
  <c r="EX70" i="4" s="1"/>
  <c r="EW71" i="4"/>
  <c r="EX71" i="4" s="1"/>
  <c r="GC71" i="4"/>
  <c r="GD71" i="4" s="1"/>
  <c r="DQ73" i="4"/>
  <c r="DR73" i="4" s="1"/>
  <c r="DM73" i="4"/>
  <c r="DN73" i="4" s="1"/>
  <c r="DI73" i="4"/>
  <c r="DJ73" i="4" s="1"/>
  <c r="DE73" i="4"/>
  <c r="DF73" i="4" s="1"/>
  <c r="DA73" i="4"/>
  <c r="DB73" i="4" s="1"/>
  <c r="CW73" i="4"/>
  <c r="CX73" i="4" s="1"/>
  <c r="CS73" i="4"/>
  <c r="CT73" i="4" s="1"/>
  <c r="CO73" i="4"/>
  <c r="CP73" i="4" s="1"/>
  <c r="CK73" i="4"/>
  <c r="CL73" i="4" s="1"/>
  <c r="CG73" i="4"/>
  <c r="CH73" i="4" s="1"/>
  <c r="CC73" i="4"/>
  <c r="CD73" i="4" s="1"/>
  <c r="DK73" i="4"/>
  <c r="DL73" i="4" s="1"/>
  <c r="DC73" i="4"/>
  <c r="DD73" i="4" s="1"/>
  <c r="CU73" i="4"/>
  <c r="CV73" i="4" s="1"/>
  <c r="CM73" i="4"/>
  <c r="CN73" i="4" s="1"/>
  <c r="CE73" i="4"/>
  <c r="CF73" i="4" s="1"/>
  <c r="DG73" i="4"/>
  <c r="DH73" i="4" s="1"/>
  <c r="CQ73" i="4"/>
  <c r="CR73" i="4" s="1"/>
  <c r="CB73" i="4"/>
  <c r="DO73" i="4"/>
  <c r="DP73" i="4" s="1"/>
  <c r="CY73" i="4"/>
  <c r="CZ73" i="4" s="1"/>
  <c r="CI73" i="4"/>
  <c r="CJ73" i="4" s="1"/>
  <c r="GI100" i="4"/>
  <c r="GJ100" i="4" s="1"/>
  <c r="GE100" i="4"/>
  <c r="GF100" i="4" s="1"/>
  <c r="GA100" i="4"/>
  <c r="GB100" i="4" s="1"/>
  <c r="FW100" i="4"/>
  <c r="FX100" i="4" s="1"/>
  <c r="FS100" i="4"/>
  <c r="FT100" i="4" s="1"/>
  <c r="FO100" i="4"/>
  <c r="FP100" i="4" s="1"/>
  <c r="FK100" i="4"/>
  <c r="FL100" i="4" s="1"/>
  <c r="FG100" i="4"/>
  <c r="FH100" i="4" s="1"/>
  <c r="FC100" i="4"/>
  <c r="FD100" i="4" s="1"/>
  <c r="EY100" i="4"/>
  <c r="EZ100" i="4" s="1"/>
  <c r="EU100" i="4"/>
  <c r="EV100" i="4" s="1"/>
  <c r="GG100" i="4"/>
  <c r="GH100" i="4" s="1"/>
  <c r="FY100" i="4"/>
  <c r="FZ100" i="4" s="1"/>
  <c r="FQ100" i="4"/>
  <c r="FR100" i="4" s="1"/>
  <c r="FI100" i="4"/>
  <c r="FJ100" i="4" s="1"/>
  <c r="FA100" i="4"/>
  <c r="FB100" i="4" s="1"/>
  <c r="ET100" i="4"/>
  <c r="GC100" i="4"/>
  <c r="GD100" i="4" s="1"/>
  <c r="FM100" i="4"/>
  <c r="FN100" i="4" s="1"/>
  <c r="EW100" i="4"/>
  <c r="EX100" i="4" s="1"/>
  <c r="FU100" i="4"/>
  <c r="FV100" i="4" s="1"/>
  <c r="GC31" i="4"/>
  <c r="GD31" i="4" s="1"/>
  <c r="GI70" i="4"/>
  <c r="GJ70" i="4" s="1"/>
  <c r="GE70" i="4"/>
  <c r="GF70" i="4" s="1"/>
  <c r="GA70" i="4"/>
  <c r="GB70" i="4" s="1"/>
  <c r="FW70" i="4"/>
  <c r="FX70" i="4" s="1"/>
  <c r="FS70" i="4"/>
  <c r="FT70" i="4" s="1"/>
  <c r="FO70" i="4"/>
  <c r="FP70" i="4" s="1"/>
  <c r="FK70" i="4"/>
  <c r="FL70" i="4" s="1"/>
  <c r="FG70" i="4"/>
  <c r="FH70" i="4" s="1"/>
  <c r="FC70" i="4"/>
  <c r="FD70" i="4" s="1"/>
  <c r="EY70" i="4"/>
  <c r="EZ70" i="4" s="1"/>
  <c r="EU70" i="4"/>
  <c r="EV70" i="4" s="1"/>
  <c r="GG70" i="4"/>
  <c r="GH70" i="4" s="1"/>
  <c r="FY70" i="4"/>
  <c r="FZ70" i="4" s="1"/>
  <c r="FQ70" i="4"/>
  <c r="FR70" i="4" s="1"/>
  <c r="FI70" i="4"/>
  <c r="FJ70" i="4" s="1"/>
  <c r="FA70" i="4"/>
  <c r="FB70" i="4" s="1"/>
  <c r="ET70" i="4"/>
  <c r="FE71" i="4"/>
  <c r="FF71" i="4" s="1"/>
  <c r="BZ154" i="4"/>
  <c r="I154" i="4"/>
  <c r="AW154" i="4" s="1"/>
  <c r="AX154" i="4" s="1"/>
  <c r="K18" i="4"/>
  <c r="L18" i="4" s="1"/>
  <c r="S18" i="4"/>
  <c r="T18" i="4" s="1"/>
  <c r="AA18" i="4"/>
  <c r="AB18" i="4" s="1"/>
  <c r="AI18" i="4"/>
  <c r="AJ18" i="4" s="1"/>
  <c r="AQ18" i="4"/>
  <c r="AR18" i="4" s="1"/>
  <c r="AY18" i="4"/>
  <c r="AZ18" i="4" s="1"/>
  <c r="EY41" i="4"/>
  <c r="EZ41" i="4" s="1"/>
  <c r="FG41" i="4"/>
  <c r="FH41" i="4" s="1"/>
  <c r="FO41" i="4"/>
  <c r="FP41" i="4" s="1"/>
  <c r="FW41" i="4"/>
  <c r="FX41" i="4" s="1"/>
  <c r="AW41" i="4"/>
  <c r="AX41" i="4" s="1"/>
  <c r="AS41" i="4"/>
  <c r="AT41" i="4" s="1"/>
  <c r="AO41" i="4"/>
  <c r="AP41" i="4" s="1"/>
  <c r="AK41" i="4"/>
  <c r="AL41" i="4" s="1"/>
  <c r="AG41" i="4"/>
  <c r="AH41" i="4" s="1"/>
  <c r="AC41" i="4"/>
  <c r="AD41" i="4" s="1"/>
  <c r="Y41" i="4"/>
  <c r="Z41" i="4" s="1"/>
  <c r="U41" i="4"/>
  <c r="V41" i="4" s="1"/>
  <c r="Q41" i="4"/>
  <c r="R41" i="4" s="1"/>
  <c r="M41" i="4"/>
  <c r="N41" i="4" s="1"/>
  <c r="J41" i="4"/>
  <c r="AY45" i="4"/>
  <c r="AZ45" i="4" s="1"/>
  <c r="AU45" i="4"/>
  <c r="AV45" i="4" s="1"/>
  <c r="AQ45" i="4"/>
  <c r="AR45" i="4" s="1"/>
  <c r="AM45" i="4"/>
  <c r="AN45" i="4" s="1"/>
  <c r="AI45" i="4"/>
  <c r="AJ45" i="4" s="1"/>
  <c r="AE45" i="4"/>
  <c r="AF45" i="4" s="1"/>
  <c r="AA45" i="4"/>
  <c r="AB45" i="4" s="1"/>
  <c r="W45" i="4"/>
  <c r="X45" i="4" s="1"/>
  <c r="S45" i="4"/>
  <c r="T45" i="4" s="1"/>
  <c r="O45" i="4"/>
  <c r="P45" i="4" s="1"/>
  <c r="K45" i="4"/>
  <c r="L45" i="4" s="1"/>
  <c r="ET45" i="4"/>
  <c r="FA45" i="4"/>
  <c r="FB45" i="4" s="1"/>
  <c r="FI45" i="4"/>
  <c r="FJ45" i="4" s="1"/>
  <c r="FQ45" i="4"/>
  <c r="FR45" i="4" s="1"/>
  <c r="FY45" i="4"/>
  <c r="FZ45" i="4" s="1"/>
  <c r="AY46" i="4"/>
  <c r="AZ46" i="4" s="1"/>
  <c r="K46" i="4"/>
  <c r="L46" i="4" s="1"/>
  <c r="S46" i="4"/>
  <c r="T46" i="4" s="1"/>
  <c r="BZ48" i="4"/>
  <c r="AY49" i="4"/>
  <c r="AZ49" i="4" s="1"/>
  <c r="AU49" i="4"/>
  <c r="AV49" i="4" s="1"/>
  <c r="AQ49" i="4"/>
  <c r="AR49" i="4" s="1"/>
  <c r="AM49" i="4"/>
  <c r="AN49" i="4" s="1"/>
  <c r="AI49" i="4"/>
  <c r="AJ49" i="4" s="1"/>
  <c r="AE49" i="4"/>
  <c r="AF49" i="4" s="1"/>
  <c r="AA49" i="4"/>
  <c r="AB49" i="4" s="1"/>
  <c r="W49" i="4"/>
  <c r="X49" i="4" s="1"/>
  <c r="S49" i="4"/>
  <c r="T49" i="4" s="1"/>
  <c r="O49" i="4"/>
  <c r="P49" i="4" s="1"/>
  <c r="K49" i="4"/>
  <c r="L49" i="4" s="1"/>
  <c r="AY50" i="4"/>
  <c r="AZ50" i="4" s="1"/>
  <c r="AU50" i="4"/>
  <c r="AV50" i="4" s="1"/>
  <c r="AQ50" i="4"/>
  <c r="AR50" i="4" s="1"/>
  <c r="AM50" i="4"/>
  <c r="AN50" i="4" s="1"/>
  <c r="AI50" i="4"/>
  <c r="AJ50" i="4" s="1"/>
  <c r="AE50" i="4"/>
  <c r="AF50" i="4" s="1"/>
  <c r="AA50" i="4"/>
  <c r="AB50" i="4" s="1"/>
  <c r="W50" i="4"/>
  <c r="X50" i="4" s="1"/>
  <c r="S50" i="4"/>
  <c r="T50" i="4" s="1"/>
  <c r="O50" i="4"/>
  <c r="P50" i="4" s="1"/>
  <c r="K50" i="4"/>
  <c r="L50" i="4" s="1"/>
  <c r="FM70" i="4"/>
  <c r="FN70" i="4" s="1"/>
  <c r="DO70" i="4"/>
  <c r="DP70" i="4" s="1"/>
  <c r="DK70" i="4"/>
  <c r="DL70" i="4" s="1"/>
  <c r="DG70" i="4"/>
  <c r="DH70" i="4" s="1"/>
  <c r="DC70" i="4"/>
  <c r="DD70" i="4" s="1"/>
  <c r="CY70" i="4"/>
  <c r="CZ70" i="4" s="1"/>
  <c r="CU70" i="4"/>
  <c r="CV70" i="4" s="1"/>
  <c r="CQ70" i="4"/>
  <c r="CR70" i="4" s="1"/>
  <c r="CM70" i="4"/>
  <c r="CN70" i="4" s="1"/>
  <c r="CI70" i="4"/>
  <c r="CJ70" i="4" s="1"/>
  <c r="CE70" i="4"/>
  <c r="CF70" i="4" s="1"/>
  <c r="CB70" i="4"/>
  <c r="DQ70" i="4"/>
  <c r="DR70" i="4" s="1"/>
  <c r="DI70" i="4"/>
  <c r="DJ70" i="4" s="1"/>
  <c r="DA70" i="4"/>
  <c r="DB70" i="4" s="1"/>
  <c r="CS70" i="4"/>
  <c r="CT70" i="4" s="1"/>
  <c r="CK70" i="4"/>
  <c r="CL70" i="4" s="1"/>
  <c r="CC70" i="4"/>
  <c r="CD70" i="4" s="1"/>
  <c r="FU31" i="4"/>
  <c r="FV31" i="4" s="1"/>
  <c r="GG41" i="4"/>
  <c r="GH41" i="4" s="1"/>
  <c r="GC41" i="4"/>
  <c r="GD41" i="4" s="1"/>
  <c r="FY41" i="4"/>
  <c r="FZ41" i="4" s="1"/>
  <c r="FU41" i="4"/>
  <c r="FV41" i="4" s="1"/>
  <c r="FQ41" i="4"/>
  <c r="FR41" i="4" s="1"/>
  <c r="FM41" i="4"/>
  <c r="FN41" i="4" s="1"/>
  <c r="FI41" i="4"/>
  <c r="FJ41" i="4" s="1"/>
  <c r="FE41" i="4"/>
  <c r="FF41" i="4" s="1"/>
  <c r="FA41" i="4"/>
  <c r="FB41" i="4" s="1"/>
  <c r="EW41" i="4"/>
  <c r="EX41" i="4" s="1"/>
  <c r="ET41" i="4"/>
  <c r="GG50" i="4"/>
  <c r="GH50" i="4" s="1"/>
  <c r="FY50" i="4"/>
  <c r="FZ50" i="4" s="1"/>
  <c r="FU50" i="4"/>
  <c r="FV50" i="4" s="1"/>
  <c r="FQ50" i="4"/>
  <c r="FR50" i="4" s="1"/>
  <c r="FM50" i="4"/>
  <c r="FN50" i="4" s="1"/>
  <c r="FI50" i="4"/>
  <c r="FJ50" i="4" s="1"/>
  <c r="FE50" i="4"/>
  <c r="FF50" i="4" s="1"/>
  <c r="FA50" i="4"/>
  <c r="FB50" i="4" s="1"/>
  <c r="EW50" i="4"/>
  <c r="EX50" i="4" s="1"/>
  <c r="ET50" i="4"/>
  <c r="GI50" i="4"/>
  <c r="GJ50" i="4" s="1"/>
  <c r="GE50" i="4"/>
  <c r="GF50" i="4" s="1"/>
  <c r="GA50" i="4"/>
  <c r="GB50" i="4" s="1"/>
  <c r="FW50" i="4"/>
  <c r="FX50" i="4" s="1"/>
  <c r="FS50" i="4"/>
  <c r="FT50" i="4" s="1"/>
  <c r="FO50" i="4"/>
  <c r="FP50" i="4" s="1"/>
  <c r="FK50" i="4"/>
  <c r="FL50" i="4" s="1"/>
  <c r="FG50" i="4"/>
  <c r="FH50" i="4" s="1"/>
  <c r="FC50" i="4"/>
  <c r="FD50" i="4" s="1"/>
  <c r="EY50" i="4"/>
  <c r="EZ50" i="4" s="1"/>
  <c r="EU50" i="4"/>
  <c r="EV50" i="4" s="1"/>
  <c r="GI71" i="4"/>
  <c r="GJ71" i="4" s="1"/>
  <c r="GE71" i="4"/>
  <c r="GF71" i="4" s="1"/>
  <c r="GA71" i="4"/>
  <c r="GB71" i="4" s="1"/>
  <c r="FW71" i="4"/>
  <c r="FX71" i="4" s="1"/>
  <c r="FS71" i="4"/>
  <c r="FT71" i="4" s="1"/>
  <c r="FO71" i="4"/>
  <c r="FP71" i="4" s="1"/>
  <c r="FK71" i="4"/>
  <c r="FL71" i="4" s="1"/>
  <c r="FG71" i="4"/>
  <c r="FH71" i="4" s="1"/>
  <c r="FC71" i="4"/>
  <c r="FD71" i="4" s="1"/>
  <c r="EY71" i="4"/>
  <c r="EZ71" i="4" s="1"/>
  <c r="EU71" i="4"/>
  <c r="EV71" i="4" s="1"/>
  <c r="GG71" i="4"/>
  <c r="GH71" i="4" s="1"/>
  <c r="FY71" i="4"/>
  <c r="FZ71" i="4" s="1"/>
  <c r="FQ71" i="4"/>
  <c r="FR71" i="4" s="1"/>
  <c r="FI71" i="4"/>
  <c r="FJ71" i="4" s="1"/>
  <c r="FA71" i="4"/>
  <c r="FB71" i="4" s="1"/>
  <c r="ET71" i="4"/>
  <c r="ET31" i="4"/>
  <c r="FA31" i="4"/>
  <c r="FB31" i="4" s="1"/>
  <c r="FI31" i="4"/>
  <c r="FJ31" i="4" s="1"/>
  <c r="FQ31" i="4"/>
  <c r="FR31" i="4" s="1"/>
  <c r="FY31" i="4"/>
  <c r="FZ31" i="4" s="1"/>
  <c r="GG31" i="4"/>
  <c r="GH31" i="4" s="1"/>
  <c r="GI45" i="4"/>
  <c r="GJ45" i="4" s="1"/>
  <c r="GE45" i="4"/>
  <c r="GF45" i="4" s="1"/>
  <c r="GA45" i="4"/>
  <c r="GB45" i="4" s="1"/>
  <c r="FW45" i="4"/>
  <c r="FX45" i="4" s="1"/>
  <c r="FS45" i="4"/>
  <c r="FT45" i="4" s="1"/>
  <c r="FO45" i="4"/>
  <c r="FP45" i="4" s="1"/>
  <c r="FK45" i="4"/>
  <c r="FL45" i="4" s="1"/>
  <c r="FG45" i="4"/>
  <c r="FH45" i="4" s="1"/>
  <c r="FC45" i="4"/>
  <c r="FD45" i="4" s="1"/>
  <c r="EY45" i="4"/>
  <c r="EZ45" i="4" s="1"/>
  <c r="EU45" i="4"/>
  <c r="EV45" i="4" s="1"/>
  <c r="AW48" i="4"/>
  <c r="AX48" i="4" s="1"/>
  <c r="AS48" i="4"/>
  <c r="AT48" i="4" s="1"/>
  <c r="AO48" i="4"/>
  <c r="AP48" i="4" s="1"/>
  <c r="AK48" i="4"/>
  <c r="AL48" i="4" s="1"/>
  <c r="AG48" i="4"/>
  <c r="AH48" i="4" s="1"/>
  <c r="AC48" i="4"/>
  <c r="AD48" i="4" s="1"/>
  <c r="Y48" i="4"/>
  <c r="Z48" i="4" s="1"/>
  <c r="U48" i="4"/>
  <c r="V48" i="4" s="1"/>
  <c r="Q48" i="4"/>
  <c r="R48" i="4" s="1"/>
  <c r="M48" i="4"/>
  <c r="N48" i="4" s="1"/>
  <c r="J48" i="4"/>
  <c r="GC50" i="4"/>
  <c r="GD50" i="4" s="1"/>
  <c r="FU70" i="4"/>
  <c r="FV70" i="4" s="1"/>
  <c r="FU71" i="4"/>
  <c r="FV71" i="4" s="1"/>
  <c r="I93" i="4"/>
  <c r="BZ93" i="4"/>
  <c r="ER93" i="4" s="1"/>
  <c r="ES93" i="4" s="1"/>
  <c r="CB45" i="4"/>
  <c r="CE45" i="4"/>
  <c r="CF45" i="4" s="1"/>
  <c r="CI45" i="4"/>
  <c r="CJ45" i="4" s="1"/>
  <c r="CM45" i="4"/>
  <c r="CN45" i="4" s="1"/>
  <c r="CQ45" i="4"/>
  <c r="CR45" i="4" s="1"/>
  <c r="CU45" i="4"/>
  <c r="CV45" i="4" s="1"/>
  <c r="CY45" i="4"/>
  <c r="CZ45" i="4" s="1"/>
  <c r="DC45" i="4"/>
  <c r="DD45" i="4" s="1"/>
  <c r="DG45" i="4"/>
  <c r="DH45" i="4" s="1"/>
  <c r="DK45" i="4"/>
  <c r="DL45" i="4" s="1"/>
  <c r="CB50" i="4"/>
  <c r="CE50" i="4"/>
  <c r="CF50" i="4" s="1"/>
  <c r="CI50" i="4"/>
  <c r="CJ50" i="4" s="1"/>
  <c r="CM50" i="4"/>
  <c r="CN50" i="4" s="1"/>
  <c r="CQ50" i="4"/>
  <c r="CR50" i="4" s="1"/>
  <c r="CU50" i="4"/>
  <c r="CV50" i="4" s="1"/>
  <c r="CY50" i="4"/>
  <c r="CZ50" i="4" s="1"/>
  <c r="DC50" i="4"/>
  <c r="DD50" i="4" s="1"/>
  <c r="DG50" i="4"/>
  <c r="DH50" i="4" s="1"/>
  <c r="DK50" i="4"/>
  <c r="DL50" i="4" s="1"/>
  <c r="BZ53" i="4"/>
  <c r="I53" i="4"/>
  <c r="AM53" i="4" s="1"/>
  <c r="AN53" i="4" s="1"/>
  <c r="ET59" i="4"/>
  <c r="FA59" i="4"/>
  <c r="FB59" i="4" s="1"/>
  <c r="FI59" i="4"/>
  <c r="FJ59" i="4" s="1"/>
  <c r="FQ59" i="4"/>
  <c r="FR59" i="4" s="1"/>
  <c r="FY59" i="4"/>
  <c r="FZ59" i="4" s="1"/>
  <c r="M71" i="4"/>
  <c r="N71" i="4" s="1"/>
  <c r="U71" i="4"/>
  <c r="V71" i="4" s="1"/>
  <c r="AC71" i="4"/>
  <c r="AD71" i="4" s="1"/>
  <c r="AK71" i="4"/>
  <c r="AL71" i="4" s="1"/>
  <c r="O72" i="4"/>
  <c r="P72" i="4" s="1"/>
  <c r="W72" i="4"/>
  <c r="X72" i="4" s="1"/>
  <c r="AE72" i="4"/>
  <c r="AF72" i="4" s="1"/>
  <c r="AM72" i="4"/>
  <c r="AN72" i="4" s="1"/>
  <c r="CG74" i="4"/>
  <c r="CH74" i="4" s="1"/>
  <c r="CW74" i="4"/>
  <c r="CX74" i="4" s="1"/>
  <c r="EW74" i="4"/>
  <c r="EX74" i="4" s="1"/>
  <c r="FM74" i="4"/>
  <c r="FN74" i="4" s="1"/>
  <c r="DO78" i="4"/>
  <c r="DP78" i="4" s="1"/>
  <c r="DK78" i="4"/>
  <c r="DL78" i="4" s="1"/>
  <c r="DG78" i="4"/>
  <c r="DH78" i="4" s="1"/>
  <c r="DC78" i="4"/>
  <c r="DD78" i="4" s="1"/>
  <c r="CY78" i="4"/>
  <c r="CZ78" i="4" s="1"/>
  <c r="CU78" i="4"/>
  <c r="CV78" i="4" s="1"/>
  <c r="CQ78" i="4"/>
  <c r="CR78" i="4" s="1"/>
  <c r="CM78" i="4"/>
  <c r="CN78" i="4" s="1"/>
  <c r="CI78" i="4"/>
  <c r="CJ78" i="4" s="1"/>
  <c r="CE78" i="4"/>
  <c r="CF78" i="4" s="1"/>
  <c r="CB78" i="4"/>
  <c r="DM78" i="4"/>
  <c r="DN78" i="4" s="1"/>
  <c r="DE78" i="4"/>
  <c r="DF78" i="4" s="1"/>
  <c r="CW78" i="4"/>
  <c r="CX78" i="4" s="1"/>
  <c r="CO78" i="4"/>
  <c r="CP78" i="4" s="1"/>
  <c r="CG78" i="4"/>
  <c r="CH78" i="4" s="1"/>
  <c r="U79" i="4"/>
  <c r="V79" i="4" s="1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CM103" i="4"/>
  <c r="CN103" i="4" s="1"/>
  <c r="DK103" i="4"/>
  <c r="DL103" i="4" s="1"/>
  <c r="DC103" i="4"/>
  <c r="DD103" i="4" s="1"/>
  <c r="CQ103" i="4"/>
  <c r="CR103" i="4" s="1"/>
  <c r="CB103" i="4"/>
  <c r="DO103" i="4"/>
  <c r="DP103" i="4" s="1"/>
  <c r="DG103" i="4"/>
  <c r="DH103" i="4" s="1"/>
  <c r="CY103" i="4"/>
  <c r="CZ103" i="4" s="1"/>
  <c r="CI103" i="4"/>
  <c r="CJ103" i="4" s="1"/>
  <c r="CE103" i="4"/>
  <c r="CF103" i="4" s="1"/>
  <c r="GI59" i="4"/>
  <c r="GJ59" i="4" s="1"/>
  <c r="GE59" i="4"/>
  <c r="GF59" i="4" s="1"/>
  <c r="GA59" i="4"/>
  <c r="GB59" i="4" s="1"/>
  <c r="FW59" i="4"/>
  <c r="FX59" i="4" s="1"/>
  <c r="FS59" i="4"/>
  <c r="FT59" i="4" s="1"/>
  <c r="FO59" i="4"/>
  <c r="FP59" i="4" s="1"/>
  <c r="FK59" i="4"/>
  <c r="FL59" i="4" s="1"/>
  <c r="FG59" i="4"/>
  <c r="FH59" i="4" s="1"/>
  <c r="FC59" i="4"/>
  <c r="FD59" i="4" s="1"/>
  <c r="EY59" i="4"/>
  <c r="EZ59" i="4" s="1"/>
  <c r="EU59" i="4"/>
  <c r="EV59" i="4" s="1"/>
  <c r="ER65" i="4"/>
  <c r="ES65" i="4" s="1"/>
  <c r="CA65" i="4"/>
  <c r="DO68" i="4"/>
  <c r="DP68" i="4" s="1"/>
  <c r="DK68" i="4"/>
  <c r="DL68" i="4" s="1"/>
  <c r="DG68" i="4"/>
  <c r="DH68" i="4" s="1"/>
  <c r="DC68" i="4"/>
  <c r="DD68" i="4" s="1"/>
  <c r="CY68" i="4"/>
  <c r="CZ68" i="4" s="1"/>
  <c r="CU68" i="4"/>
  <c r="CV68" i="4" s="1"/>
  <c r="CQ68" i="4"/>
  <c r="CR68" i="4" s="1"/>
  <c r="CM68" i="4"/>
  <c r="CN68" i="4" s="1"/>
  <c r="CI68" i="4"/>
  <c r="CJ68" i="4" s="1"/>
  <c r="CE68" i="4"/>
  <c r="CF68" i="4" s="1"/>
  <c r="CB68" i="4"/>
  <c r="GI74" i="4"/>
  <c r="GJ74" i="4" s="1"/>
  <c r="GE74" i="4"/>
  <c r="GF74" i="4" s="1"/>
  <c r="GA74" i="4"/>
  <c r="GB74" i="4" s="1"/>
  <c r="FW74" i="4"/>
  <c r="FX74" i="4" s="1"/>
  <c r="FS74" i="4"/>
  <c r="FT74" i="4" s="1"/>
  <c r="FO74" i="4"/>
  <c r="FP74" i="4" s="1"/>
  <c r="FK74" i="4"/>
  <c r="FL74" i="4" s="1"/>
  <c r="FG74" i="4"/>
  <c r="FH74" i="4" s="1"/>
  <c r="FC74" i="4"/>
  <c r="FD74" i="4" s="1"/>
  <c r="EY74" i="4"/>
  <c r="EZ74" i="4" s="1"/>
  <c r="EU74" i="4"/>
  <c r="EV74" i="4" s="1"/>
  <c r="GG74" i="4"/>
  <c r="GH74" i="4" s="1"/>
  <c r="FY74" i="4"/>
  <c r="FZ74" i="4" s="1"/>
  <c r="FQ74" i="4"/>
  <c r="FR74" i="4" s="1"/>
  <c r="FI74" i="4"/>
  <c r="FJ74" i="4" s="1"/>
  <c r="FA74" i="4"/>
  <c r="FB74" i="4" s="1"/>
  <c r="ET74" i="4"/>
  <c r="I77" i="4"/>
  <c r="BZ77" i="4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FY79" i="4"/>
  <c r="FZ79" i="4" s="1"/>
  <c r="FQ79" i="4"/>
  <c r="FR79" i="4" s="1"/>
  <c r="FI79" i="4"/>
  <c r="FJ79" i="4" s="1"/>
  <c r="FA79" i="4"/>
  <c r="FB79" i="4" s="1"/>
  <c r="ET79" i="4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GG81" i="4"/>
  <c r="GH81" i="4" s="1"/>
  <c r="FY81" i="4"/>
  <c r="FZ81" i="4" s="1"/>
  <c r="FQ81" i="4"/>
  <c r="FR81" i="4" s="1"/>
  <c r="FI81" i="4"/>
  <c r="FJ81" i="4" s="1"/>
  <c r="FA81" i="4"/>
  <c r="FB81" i="4" s="1"/>
  <c r="ET81" i="4"/>
  <c r="GC81" i="4"/>
  <c r="GD81" i="4" s="1"/>
  <c r="FM81" i="4"/>
  <c r="FN81" i="4" s="1"/>
  <c r="EW81" i="4"/>
  <c r="EX81" i="4" s="1"/>
  <c r="AU31" i="4"/>
  <c r="AV31" i="4" s="1"/>
  <c r="AW63" i="4"/>
  <c r="AX63" i="4" s="1"/>
  <c r="AK63" i="4"/>
  <c r="AL63" i="4" s="1"/>
  <c r="AS63" i="4"/>
  <c r="AT63" i="4" s="1"/>
  <c r="M63" i="4"/>
  <c r="N63" i="4" s="1"/>
  <c r="DE63" i="4"/>
  <c r="DF63" i="4" s="1"/>
  <c r="CO63" i="4"/>
  <c r="CP63" i="4" s="1"/>
  <c r="DI63" i="4"/>
  <c r="DJ63" i="4" s="1"/>
  <c r="CS63" i="4"/>
  <c r="CT63" i="4" s="1"/>
  <c r="CC63" i="4"/>
  <c r="CD63" i="4" s="1"/>
  <c r="CG68" i="4"/>
  <c r="CH68" i="4" s="1"/>
  <c r="CO68" i="4"/>
  <c r="CP68" i="4" s="1"/>
  <c r="CW68" i="4"/>
  <c r="CX68" i="4" s="1"/>
  <c r="DE68" i="4"/>
  <c r="DF68" i="4" s="1"/>
  <c r="DM68" i="4"/>
  <c r="DN68" i="4" s="1"/>
  <c r="GI68" i="4"/>
  <c r="GJ68" i="4" s="1"/>
  <c r="GE68" i="4"/>
  <c r="GF68" i="4" s="1"/>
  <c r="GA68" i="4"/>
  <c r="GB68" i="4" s="1"/>
  <c r="FW68" i="4"/>
  <c r="FX68" i="4" s="1"/>
  <c r="FS68" i="4"/>
  <c r="FT68" i="4" s="1"/>
  <c r="FO68" i="4"/>
  <c r="FP68" i="4" s="1"/>
  <c r="FK68" i="4"/>
  <c r="FL68" i="4" s="1"/>
  <c r="FG68" i="4"/>
  <c r="FH68" i="4" s="1"/>
  <c r="FC68" i="4"/>
  <c r="FD68" i="4" s="1"/>
  <c r="EY68" i="4"/>
  <c r="EZ68" i="4" s="1"/>
  <c r="EU68" i="4"/>
  <c r="EV68" i="4" s="1"/>
  <c r="AY70" i="4"/>
  <c r="AZ70" i="4" s="1"/>
  <c r="AU70" i="4"/>
  <c r="AV70" i="4" s="1"/>
  <c r="AQ70" i="4"/>
  <c r="AR70" i="4" s="1"/>
  <c r="AM70" i="4"/>
  <c r="AN70" i="4" s="1"/>
  <c r="AI70" i="4"/>
  <c r="AJ70" i="4" s="1"/>
  <c r="AE70" i="4"/>
  <c r="AF70" i="4" s="1"/>
  <c r="AA70" i="4"/>
  <c r="AB70" i="4" s="1"/>
  <c r="W70" i="4"/>
  <c r="X70" i="4" s="1"/>
  <c r="S70" i="4"/>
  <c r="T70" i="4" s="1"/>
  <c r="O70" i="4"/>
  <c r="P70" i="4" s="1"/>
  <c r="K70" i="4"/>
  <c r="L70" i="4" s="1"/>
  <c r="AY71" i="4"/>
  <c r="AZ71" i="4" s="1"/>
  <c r="AU71" i="4"/>
  <c r="AV71" i="4" s="1"/>
  <c r="AQ71" i="4"/>
  <c r="AR71" i="4" s="1"/>
  <c r="AM71" i="4"/>
  <c r="AN71" i="4" s="1"/>
  <c r="AI71" i="4"/>
  <c r="AJ71" i="4" s="1"/>
  <c r="AE71" i="4"/>
  <c r="AF71" i="4" s="1"/>
  <c r="AA71" i="4"/>
  <c r="AB71" i="4" s="1"/>
  <c r="W71" i="4"/>
  <c r="X71" i="4" s="1"/>
  <c r="S71" i="4"/>
  <c r="T71" i="4" s="1"/>
  <c r="O71" i="4"/>
  <c r="P71" i="4" s="1"/>
  <c r="K71" i="4"/>
  <c r="L71" i="4" s="1"/>
  <c r="AW72" i="4"/>
  <c r="AX72" i="4" s="1"/>
  <c r="AS72" i="4"/>
  <c r="AT72" i="4" s="1"/>
  <c r="AO72" i="4"/>
  <c r="AP72" i="4" s="1"/>
  <c r="AK72" i="4"/>
  <c r="AL72" i="4" s="1"/>
  <c r="AG72" i="4"/>
  <c r="AH72" i="4" s="1"/>
  <c r="AC72" i="4"/>
  <c r="AD72" i="4" s="1"/>
  <c r="Y72" i="4"/>
  <c r="Z72" i="4" s="1"/>
  <c r="U72" i="4"/>
  <c r="V72" i="4" s="1"/>
  <c r="Q72" i="4"/>
  <c r="R72" i="4" s="1"/>
  <c r="M72" i="4"/>
  <c r="N72" i="4" s="1"/>
  <c r="J72" i="4"/>
  <c r="ER72" i="4"/>
  <c r="ES72" i="4" s="1"/>
  <c r="CA72" i="4"/>
  <c r="DO74" i="4"/>
  <c r="DP74" i="4" s="1"/>
  <c r="DK74" i="4"/>
  <c r="DL74" i="4" s="1"/>
  <c r="DG74" i="4"/>
  <c r="DH74" i="4" s="1"/>
  <c r="DC74" i="4"/>
  <c r="DD74" i="4" s="1"/>
  <c r="CY74" i="4"/>
  <c r="CZ74" i="4" s="1"/>
  <c r="CU74" i="4"/>
  <c r="CV74" i="4" s="1"/>
  <c r="CQ74" i="4"/>
  <c r="CR74" i="4" s="1"/>
  <c r="CM74" i="4"/>
  <c r="CN74" i="4" s="1"/>
  <c r="CI74" i="4"/>
  <c r="CJ74" i="4" s="1"/>
  <c r="CE74" i="4"/>
  <c r="CF74" i="4" s="1"/>
  <c r="CB74" i="4"/>
  <c r="DQ74" i="4"/>
  <c r="DR74" i="4" s="1"/>
  <c r="DI74" i="4"/>
  <c r="DJ74" i="4" s="1"/>
  <c r="DA74" i="4"/>
  <c r="DB74" i="4" s="1"/>
  <c r="CS74" i="4"/>
  <c r="CT74" i="4" s="1"/>
  <c r="CK74" i="4"/>
  <c r="CL74" i="4" s="1"/>
  <c r="CC74" i="4"/>
  <c r="CD74" i="4" s="1"/>
  <c r="AY79" i="4"/>
  <c r="AZ79" i="4" s="1"/>
  <c r="AU79" i="4"/>
  <c r="AV79" i="4" s="1"/>
  <c r="AQ79" i="4"/>
  <c r="AR79" i="4" s="1"/>
  <c r="AM79" i="4"/>
  <c r="AN79" i="4" s="1"/>
  <c r="AI79" i="4"/>
  <c r="AJ79" i="4" s="1"/>
  <c r="AE79" i="4"/>
  <c r="AF79" i="4" s="1"/>
  <c r="AA79" i="4"/>
  <c r="AB79" i="4" s="1"/>
  <c r="W79" i="4"/>
  <c r="X79" i="4" s="1"/>
  <c r="S79" i="4"/>
  <c r="T79" i="4" s="1"/>
  <c r="O79" i="4"/>
  <c r="P79" i="4" s="1"/>
  <c r="K79" i="4"/>
  <c r="L79" i="4" s="1"/>
  <c r="AW79" i="4"/>
  <c r="AX79" i="4" s="1"/>
  <c r="AO79" i="4"/>
  <c r="AP79" i="4" s="1"/>
  <c r="AG79" i="4"/>
  <c r="AH79" i="4" s="1"/>
  <c r="Y79" i="4"/>
  <c r="Z79" i="4" s="1"/>
  <c r="Q79" i="4"/>
  <c r="R79" i="4" s="1"/>
  <c r="J79" i="4"/>
  <c r="FE79" i="4"/>
  <c r="FF79" i="4" s="1"/>
  <c r="FU79" i="4"/>
  <c r="FV79" i="4" s="1"/>
  <c r="M66" i="4"/>
  <c r="N66" i="4" s="1"/>
  <c r="CB71" i="4"/>
  <c r="CE71" i="4"/>
  <c r="CF71" i="4" s="1"/>
  <c r="CI71" i="4"/>
  <c r="CJ71" i="4" s="1"/>
  <c r="CM71" i="4"/>
  <c r="CN71" i="4" s="1"/>
  <c r="CQ71" i="4"/>
  <c r="CR71" i="4" s="1"/>
  <c r="CU71" i="4"/>
  <c r="CV71" i="4" s="1"/>
  <c r="CY71" i="4"/>
  <c r="CZ71" i="4" s="1"/>
  <c r="DC71" i="4"/>
  <c r="DD71" i="4" s="1"/>
  <c r="DG71" i="4"/>
  <c r="DH71" i="4" s="1"/>
  <c r="DK71" i="4"/>
  <c r="DL71" i="4" s="1"/>
  <c r="EY73" i="4"/>
  <c r="EZ73" i="4" s="1"/>
  <c r="FG73" i="4"/>
  <c r="FH73" i="4" s="1"/>
  <c r="FO73" i="4"/>
  <c r="FP73" i="4" s="1"/>
  <c r="FW73" i="4"/>
  <c r="FX73" i="4" s="1"/>
  <c r="AW73" i="4"/>
  <c r="AX73" i="4" s="1"/>
  <c r="AS73" i="4"/>
  <c r="AT73" i="4" s="1"/>
  <c r="AO73" i="4"/>
  <c r="AP73" i="4" s="1"/>
  <c r="AK73" i="4"/>
  <c r="AL73" i="4" s="1"/>
  <c r="AG73" i="4"/>
  <c r="AH73" i="4" s="1"/>
  <c r="AC73" i="4"/>
  <c r="AD73" i="4" s="1"/>
  <c r="Y73" i="4"/>
  <c r="Z73" i="4" s="1"/>
  <c r="U73" i="4"/>
  <c r="V73" i="4" s="1"/>
  <c r="Q73" i="4"/>
  <c r="R73" i="4" s="1"/>
  <c r="M73" i="4"/>
  <c r="N73" i="4" s="1"/>
  <c r="J73" i="4"/>
  <c r="M75" i="4"/>
  <c r="N75" i="4" s="1"/>
  <c r="U75" i="4"/>
  <c r="V75" i="4" s="1"/>
  <c r="AC75" i="4"/>
  <c r="AD75" i="4" s="1"/>
  <c r="AK75" i="4"/>
  <c r="AL75" i="4" s="1"/>
  <c r="EW75" i="4"/>
  <c r="EX75" i="4" s="1"/>
  <c r="FE75" i="4"/>
  <c r="FF75" i="4" s="1"/>
  <c r="FM75" i="4"/>
  <c r="FN75" i="4" s="1"/>
  <c r="FU75" i="4"/>
  <c r="FV75" i="4" s="1"/>
  <c r="O80" i="4"/>
  <c r="P80" i="4" s="1"/>
  <c r="W80" i="4"/>
  <c r="X80" i="4" s="1"/>
  <c r="AE80" i="4"/>
  <c r="AF80" i="4" s="1"/>
  <c r="AM80" i="4"/>
  <c r="AN80" i="4" s="1"/>
  <c r="ER80" i="4"/>
  <c r="ES80" i="4" s="1"/>
  <c r="CA80" i="4"/>
  <c r="CG100" i="4"/>
  <c r="CH100" i="4" s="1"/>
  <c r="CW100" i="4"/>
  <c r="CX100" i="4" s="1"/>
  <c r="GG101" i="4"/>
  <c r="GH101" i="4" s="1"/>
  <c r="GC101" i="4"/>
  <c r="GD101" i="4" s="1"/>
  <c r="FY101" i="4"/>
  <c r="FZ101" i="4" s="1"/>
  <c r="FU101" i="4"/>
  <c r="FV101" i="4" s="1"/>
  <c r="FQ101" i="4"/>
  <c r="FR101" i="4" s="1"/>
  <c r="FM101" i="4"/>
  <c r="FN101" i="4" s="1"/>
  <c r="FI101" i="4"/>
  <c r="FJ101" i="4" s="1"/>
  <c r="GI101" i="4"/>
  <c r="GJ101" i="4" s="1"/>
  <c r="GE101" i="4"/>
  <c r="GF101" i="4" s="1"/>
  <c r="GA101" i="4"/>
  <c r="GB101" i="4" s="1"/>
  <c r="FW101" i="4"/>
  <c r="FX101" i="4" s="1"/>
  <c r="FS101" i="4"/>
  <c r="FT101" i="4" s="1"/>
  <c r="FO101" i="4"/>
  <c r="FP101" i="4" s="1"/>
  <c r="FK101" i="4"/>
  <c r="FL101" i="4" s="1"/>
  <c r="FG101" i="4"/>
  <c r="FH101" i="4" s="1"/>
  <c r="FC101" i="4"/>
  <c r="FD101" i="4" s="1"/>
  <c r="EY101" i="4"/>
  <c r="EZ101" i="4" s="1"/>
  <c r="EU101" i="4"/>
  <c r="EV101" i="4" s="1"/>
  <c r="FA101" i="4"/>
  <c r="FB101" i="4" s="1"/>
  <c r="ET101" i="4"/>
  <c r="AM59" i="4"/>
  <c r="AN59" i="4" s="1"/>
  <c r="AQ59" i="4"/>
  <c r="AR59" i="4" s="1"/>
  <c r="AU59" i="4"/>
  <c r="AV59" i="4" s="1"/>
  <c r="GG73" i="4"/>
  <c r="GH73" i="4" s="1"/>
  <c r="GC73" i="4"/>
  <c r="GD73" i="4" s="1"/>
  <c r="FY73" i="4"/>
  <c r="FZ73" i="4" s="1"/>
  <c r="FU73" i="4"/>
  <c r="FV73" i="4" s="1"/>
  <c r="FQ73" i="4"/>
  <c r="FR73" i="4" s="1"/>
  <c r="FM73" i="4"/>
  <c r="FN73" i="4" s="1"/>
  <c r="FI73" i="4"/>
  <c r="FJ73" i="4" s="1"/>
  <c r="FE73" i="4"/>
  <c r="FF73" i="4" s="1"/>
  <c r="FA73" i="4"/>
  <c r="FB73" i="4" s="1"/>
  <c r="EW73" i="4"/>
  <c r="EX73" i="4" s="1"/>
  <c r="ET73" i="4"/>
  <c r="AY75" i="4"/>
  <c r="AZ75" i="4" s="1"/>
  <c r="AU75" i="4"/>
  <c r="AV75" i="4" s="1"/>
  <c r="AQ75" i="4"/>
  <c r="AR75" i="4" s="1"/>
  <c r="AM75" i="4"/>
  <c r="AN75" i="4" s="1"/>
  <c r="AI75" i="4"/>
  <c r="AJ75" i="4" s="1"/>
  <c r="AE75" i="4"/>
  <c r="AF75" i="4" s="1"/>
  <c r="AA75" i="4"/>
  <c r="AB75" i="4" s="1"/>
  <c r="W75" i="4"/>
  <c r="X75" i="4" s="1"/>
  <c r="S75" i="4"/>
  <c r="T75" i="4" s="1"/>
  <c r="O75" i="4"/>
  <c r="P75" i="4" s="1"/>
  <c r="K75" i="4"/>
  <c r="L75" i="4" s="1"/>
  <c r="GI75" i="4"/>
  <c r="GJ75" i="4" s="1"/>
  <c r="GE75" i="4"/>
  <c r="GF75" i="4" s="1"/>
  <c r="GA75" i="4"/>
  <c r="GB75" i="4" s="1"/>
  <c r="FW75" i="4"/>
  <c r="FX75" i="4" s="1"/>
  <c r="FS75" i="4"/>
  <c r="FT75" i="4" s="1"/>
  <c r="FO75" i="4"/>
  <c r="FP75" i="4" s="1"/>
  <c r="FK75" i="4"/>
  <c r="FL75" i="4" s="1"/>
  <c r="FG75" i="4"/>
  <c r="FH75" i="4" s="1"/>
  <c r="FC75" i="4"/>
  <c r="FD75" i="4" s="1"/>
  <c r="EY75" i="4"/>
  <c r="EZ75" i="4" s="1"/>
  <c r="EU75" i="4"/>
  <c r="EV75" i="4" s="1"/>
  <c r="ER76" i="4"/>
  <c r="ES76" i="4" s="1"/>
  <c r="CA76" i="4"/>
  <c r="GI78" i="4"/>
  <c r="GJ78" i="4" s="1"/>
  <c r="GE78" i="4"/>
  <c r="GF78" i="4" s="1"/>
  <c r="GA78" i="4"/>
  <c r="GB78" i="4" s="1"/>
  <c r="FW78" i="4"/>
  <c r="FX78" i="4" s="1"/>
  <c r="FS78" i="4"/>
  <c r="FT78" i="4" s="1"/>
  <c r="FO78" i="4"/>
  <c r="FP78" i="4" s="1"/>
  <c r="FK78" i="4"/>
  <c r="FL78" i="4" s="1"/>
  <c r="FG78" i="4"/>
  <c r="FH78" i="4" s="1"/>
  <c r="FC78" i="4"/>
  <c r="FD78" i="4" s="1"/>
  <c r="EY78" i="4"/>
  <c r="EZ78" i="4" s="1"/>
  <c r="EU78" i="4"/>
  <c r="EV78" i="4" s="1"/>
  <c r="DO79" i="4"/>
  <c r="DP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AW80" i="4"/>
  <c r="AX80" i="4" s="1"/>
  <c r="AS80" i="4"/>
  <c r="AT80" i="4" s="1"/>
  <c r="AO80" i="4"/>
  <c r="AP80" i="4" s="1"/>
  <c r="AK80" i="4"/>
  <c r="AL80" i="4" s="1"/>
  <c r="AG80" i="4"/>
  <c r="AH80" i="4" s="1"/>
  <c r="AC80" i="4"/>
  <c r="AD80" i="4" s="1"/>
  <c r="Y80" i="4"/>
  <c r="Z80" i="4" s="1"/>
  <c r="U80" i="4"/>
  <c r="V80" i="4" s="1"/>
  <c r="Q80" i="4"/>
  <c r="R80" i="4" s="1"/>
  <c r="M80" i="4"/>
  <c r="N80" i="4" s="1"/>
  <c r="J80" i="4"/>
  <c r="DO100" i="4"/>
  <c r="DP100" i="4" s="1"/>
  <c r="DK100" i="4"/>
  <c r="DL100" i="4" s="1"/>
  <c r="DG100" i="4"/>
  <c r="DH100" i="4" s="1"/>
  <c r="DC100" i="4"/>
  <c r="DD100" i="4" s="1"/>
  <c r="CY100" i="4"/>
  <c r="CZ100" i="4" s="1"/>
  <c r="CU100" i="4"/>
  <c r="CV100" i="4" s="1"/>
  <c r="CQ100" i="4"/>
  <c r="CR100" i="4" s="1"/>
  <c r="CM100" i="4"/>
  <c r="CN100" i="4" s="1"/>
  <c r="CI100" i="4"/>
  <c r="CJ100" i="4" s="1"/>
  <c r="CE100" i="4"/>
  <c r="CF100" i="4" s="1"/>
  <c r="CB100" i="4"/>
  <c r="DQ100" i="4"/>
  <c r="DR100" i="4" s="1"/>
  <c r="DI100" i="4"/>
  <c r="DJ100" i="4" s="1"/>
  <c r="DA100" i="4"/>
  <c r="DB100" i="4" s="1"/>
  <c r="CS100" i="4"/>
  <c r="CT100" i="4" s="1"/>
  <c r="CK100" i="4"/>
  <c r="CL100" i="4" s="1"/>
  <c r="CC100" i="4"/>
  <c r="CD100" i="4" s="1"/>
  <c r="AW105" i="4"/>
  <c r="AX105" i="4" s="1"/>
  <c r="AS105" i="4"/>
  <c r="AT105" i="4" s="1"/>
  <c r="AO105" i="4"/>
  <c r="AP105" i="4" s="1"/>
  <c r="AK105" i="4"/>
  <c r="AL105" i="4" s="1"/>
  <c r="AG105" i="4"/>
  <c r="AH105" i="4" s="1"/>
  <c r="AC105" i="4"/>
  <c r="AD105" i="4" s="1"/>
  <c r="Y105" i="4"/>
  <c r="Z105" i="4" s="1"/>
  <c r="U105" i="4"/>
  <c r="V105" i="4" s="1"/>
  <c r="Q105" i="4"/>
  <c r="R105" i="4" s="1"/>
  <c r="M105" i="4"/>
  <c r="N105" i="4" s="1"/>
  <c r="J105" i="4"/>
  <c r="AU105" i="4"/>
  <c r="AV105" i="4" s="1"/>
  <c r="AM105" i="4"/>
  <c r="AN105" i="4" s="1"/>
  <c r="AE105" i="4"/>
  <c r="AF105" i="4" s="1"/>
  <c r="W105" i="4"/>
  <c r="X105" i="4" s="1"/>
  <c r="O105" i="4"/>
  <c r="P105" i="4" s="1"/>
  <c r="AY105" i="4"/>
  <c r="AZ105" i="4" s="1"/>
  <c r="AQ105" i="4"/>
  <c r="AR105" i="4" s="1"/>
  <c r="AI105" i="4"/>
  <c r="AJ105" i="4" s="1"/>
  <c r="AA105" i="4"/>
  <c r="AB105" i="4" s="1"/>
  <c r="S105" i="4"/>
  <c r="T105" i="4" s="1"/>
  <c r="K105" i="4"/>
  <c r="L105" i="4" s="1"/>
  <c r="AY117" i="4"/>
  <c r="AZ117" i="4" s="1"/>
  <c r="AU117" i="4"/>
  <c r="AV117" i="4" s="1"/>
  <c r="AQ117" i="4"/>
  <c r="AR117" i="4" s="1"/>
  <c r="AM117" i="4"/>
  <c r="AN117" i="4" s="1"/>
  <c r="AI117" i="4"/>
  <c r="AJ117" i="4" s="1"/>
  <c r="AE117" i="4"/>
  <c r="AF117" i="4" s="1"/>
  <c r="AA117" i="4"/>
  <c r="AB117" i="4" s="1"/>
  <c r="W117" i="4"/>
  <c r="X117" i="4" s="1"/>
  <c r="S117" i="4"/>
  <c r="T117" i="4" s="1"/>
  <c r="O117" i="4"/>
  <c r="P117" i="4" s="1"/>
  <c r="K117" i="4"/>
  <c r="L117" i="4" s="1"/>
  <c r="AS117" i="4"/>
  <c r="AT117" i="4" s="1"/>
  <c r="AK117" i="4"/>
  <c r="AL117" i="4" s="1"/>
  <c r="AC117" i="4"/>
  <c r="AD117" i="4" s="1"/>
  <c r="U117" i="4"/>
  <c r="V117" i="4" s="1"/>
  <c r="M117" i="4"/>
  <c r="N117" i="4" s="1"/>
  <c r="AO117" i="4"/>
  <c r="AP117" i="4" s="1"/>
  <c r="Y117" i="4"/>
  <c r="Z117" i="4" s="1"/>
  <c r="J117" i="4"/>
  <c r="AW117" i="4"/>
  <c r="AX117" i="4" s="1"/>
  <c r="AG117" i="4"/>
  <c r="AH117" i="4" s="1"/>
  <c r="Q117" i="4"/>
  <c r="R117" i="4" s="1"/>
  <c r="CQ75" i="4"/>
  <c r="CR75" i="4" s="1"/>
  <c r="CU75" i="4"/>
  <c r="CV75" i="4" s="1"/>
  <c r="CY75" i="4"/>
  <c r="CZ75" i="4" s="1"/>
  <c r="DC75" i="4"/>
  <c r="DD75" i="4" s="1"/>
  <c r="DG75" i="4"/>
  <c r="DH75" i="4" s="1"/>
  <c r="DK75" i="4"/>
  <c r="DL75" i="4" s="1"/>
  <c r="ER82" i="4"/>
  <c r="ES82" i="4" s="1"/>
  <c r="CA82" i="4"/>
  <c r="BZ94" i="4"/>
  <c r="I94" i="4"/>
  <c r="AY94" i="4" s="1"/>
  <c r="AZ94" i="4" s="1"/>
  <c r="AS98" i="4"/>
  <c r="AT98" i="4" s="1"/>
  <c r="O98" i="4"/>
  <c r="P98" i="4" s="1"/>
  <c r="GG107" i="4"/>
  <c r="GH107" i="4" s="1"/>
  <c r="GC107" i="4"/>
  <c r="GD107" i="4" s="1"/>
  <c r="FY107" i="4"/>
  <c r="FZ107" i="4" s="1"/>
  <c r="FU107" i="4"/>
  <c r="FV107" i="4" s="1"/>
  <c r="FQ107" i="4"/>
  <c r="FR107" i="4" s="1"/>
  <c r="FM107" i="4"/>
  <c r="FN107" i="4" s="1"/>
  <c r="FI107" i="4"/>
  <c r="FJ107" i="4" s="1"/>
  <c r="FE107" i="4"/>
  <c r="FF107" i="4" s="1"/>
  <c r="FA107" i="4"/>
  <c r="FB107" i="4" s="1"/>
  <c r="EW107" i="4"/>
  <c r="EX107" i="4" s="1"/>
  <c r="ET107" i="4"/>
  <c r="FW107" i="4"/>
  <c r="FX107" i="4" s="1"/>
  <c r="FG107" i="4"/>
  <c r="FH107" i="4" s="1"/>
  <c r="GI107" i="4"/>
  <c r="GJ107" i="4" s="1"/>
  <c r="FS107" i="4"/>
  <c r="FT107" i="4" s="1"/>
  <c r="FC107" i="4"/>
  <c r="FD107" i="4" s="1"/>
  <c r="GE107" i="4"/>
  <c r="GF107" i="4" s="1"/>
  <c r="EY107" i="4"/>
  <c r="EZ107" i="4" s="1"/>
  <c r="GA107" i="4"/>
  <c r="GB107" i="4" s="1"/>
  <c r="EU107" i="4"/>
  <c r="EV107" i="4" s="1"/>
  <c r="FK107" i="4"/>
  <c r="FL107" i="4" s="1"/>
  <c r="AQ78" i="4"/>
  <c r="AR78" i="4" s="1"/>
  <c r="AU78" i="4"/>
  <c r="AV78" i="4" s="1"/>
  <c r="I82" i="4"/>
  <c r="U98" i="4"/>
  <c r="V98" i="4" s="1"/>
  <c r="AY100" i="4"/>
  <c r="AZ100" i="4" s="1"/>
  <c r="AU100" i="4"/>
  <c r="AV100" i="4" s="1"/>
  <c r="AQ100" i="4"/>
  <c r="AR100" i="4" s="1"/>
  <c r="AM100" i="4"/>
  <c r="AN100" i="4" s="1"/>
  <c r="AI100" i="4"/>
  <c r="AJ100" i="4" s="1"/>
  <c r="AE100" i="4"/>
  <c r="AF100" i="4" s="1"/>
  <c r="AA100" i="4"/>
  <c r="AB100" i="4" s="1"/>
  <c r="W100" i="4"/>
  <c r="X100" i="4" s="1"/>
  <c r="S100" i="4"/>
  <c r="T100" i="4" s="1"/>
  <c r="O100" i="4"/>
  <c r="P100" i="4" s="1"/>
  <c r="K100" i="4"/>
  <c r="L100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CB101" i="4"/>
  <c r="CE101" i="4"/>
  <c r="CF101" i="4" s="1"/>
  <c r="CI101" i="4"/>
  <c r="CJ101" i="4" s="1"/>
  <c r="CM101" i="4"/>
  <c r="CN101" i="4" s="1"/>
  <c r="CQ101" i="4"/>
  <c r="CR101" i="4" s="1"/>
  <c r="CU101" i="4"/>
  <c r="CV101" i="4" s="1"/>
  <c r="CY101" i="4"/>
  <c r="CZ101" i="4" s="1"/>
  <c r="DC101" i="4"/>
  <c r="DD101" i="4" s="1"/>
  <c r="DG101" i="4"/>
  <c r="DH101" i="4" s="1"/>
  <c r="DK101" i="4"/>
  <c r="DL101" i="4" s="1"/>
  <c r="FA102" i="4"/>
  <c r="FB102" i="4" s="1"/>
  <c r="FG102" i="4"/>
  <c r="FH102" i="4" s="1"/>
  <c r="FQ102" i="4"/>
  <c r="FR102" i="4" s="1"/>
  <c r="FW102" i="4"/>
  <c r="FX102" i="4" s="1"/>
  <c r="GG102" i="4"/>
  <c r="GH102" i="4" s="1"/>
  <c r="K103" i="4"/>
  <c r="L103" i="4" s="1"/>
  <c r="AA103" i="4"/>
  <c r="AB103" i="4" s="1"/>
  <c r="EY106" i="4"/>
  <c r="EZ106" i="4" s="1"/>
  <c r="FG106" i="4"/>
  <c r="FH106" i="4" s="1"/>
  <c r="FO106" i="4"/>
  <c r="FP106" i="4" s="1"/>
  <c r="FW106" i="4"/>
  <c r="FX106" i="4" s="1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CC117" i="4"/>
  <c r="CD117" i="4" s="1"/>
  <c r="CS117" i="4"/>
  <c r="CT117" i="4" s="1"/>
  <c r="ET121" i="4"/>
  <c r="FI121" i="4"/>
  <c r="FJ121" i="4" s="1"/>
  <c r="EY123" i="4"/>
  <c r="EZ123" i="4" s="1"/>
  <c r="BZ151" i="4"/>
  <c r="CA151" i="4" s="1"/>
  <c r="I151" i="4"/>
  <c r="GG103" i="4"/>
  <c r="GH103" i="4" s="1"/>
  <c r="GC103" i="4"/>
  <c r="GD103" i="4" s="1"/>
  <c r="FY103" i="4"/>
  <c r="FZ103" i="4" s="1"/>
  <c r="FU103" i="4"/>
  <c r="FV103" i="4" s="1"/>
  <c r="FQ103" i="4"/>
  <c r="FR103" i="4" s="1"/>
  <c r="FM103" i="4"/>
  <c r="FN103" i="4" s="1"/>
  <c r="FI103" i="4"/>
  <c r="FJ103" i="4" s="1"/>
  <c r="FE103" i="4"/>
  <c r="FF103" i="4" s="1"/>
  <c r="FA103" i="4"/>
  <c r="FB103" i="4" s="1"/>
  <c r="EW103" i="4"/>
  <c r="EX103" i="4" s="1"/>
  <c r="ET103" i="4"/>
  <c r="ER105" i="4"/>
  <c r="ES105" i="4" s="1"/>
  <c r="CA105" i="4"/>
  <c r="DQ106" i="4"/>
  <c r="DR106" i="4" s="1"/>
  <c r="DM106" i="4"/>
  <c r="DN106" i="4" s="1"/>
  <c r="DI106" i="4"/>
  <c r="DJ106" i="4" s="1"/>
  <c r="DE106" i="4"/>
  <c r="DF106" i="4" s="1"/>
  <c r="DA106" i="4"/>
  <c r="DB106" i="4" s="1"/>
  <c r="CW106" i="4"/>
  <c r="CX106" i="4" s="1"/>
  <c r="CS106" i="4"/>
  <c r="CT106" i="4" s="1"/>
  <c r="CO106" i="4"/>
  <c r="CP106" i="4" s="1"/>
  <c r="CK106" i="4"/>
  <c r="CL106" i="4" s="1"/>
  <c r="CG106" i="4"/>
  <c r="CH106" i="4" s="1"/>
  <c r="CC106" i="4"/>
  <c r="CD106" i="4" s="1"/>
  <c r="DQ107" i="4"/>
  <c r="DR107" i="4" s="1"/>
  <c r="DM107" i="4"/>
  <c r="DN107" i="4" s="1"/>
  <c r="DI107" i="4"/>
  <c r="DJ107" i="4" s="1"/>
  <c r="DE107" i="4"/>
  <c r="DF107" i="4" s="1"/>
  <c r="DC107" i="4"/>
  <c r="DD107" i="4" s="1"/>
  <c r="CY107" i="4"/>
  <c r="CZ107" i="4" s="1"/>
  <c r="CU107" i="4"/>
  <c r="CV107" i="4" s="1"/>
  <c r="CQ107" i="4"/>
  <c r="CR107" i="4" s="1"/>
  <c r="CM107" i="4"/>
  <c r="CN107" i="4" s="1"/>
  <c r="CI107" i="4"/>
  <c r="CJ107" i="4" s="1"/>
  <c r="CE107" i="4"/>
  <c r="CF107" i="4" s="1"/>
  <c r="CB107" i="4"/>
  <c r="DO107" i="4"/>
  <c r="DP107" i="4" s="1"/>
  <c r="BZ109" i="4"/>
  <c r="I109" i="4"/>
  <c r="AY121" i="4"/>
  <c r="AZ121" i="4" s="1"/>
  <c r="AU121" i="4"/>
  <c r="AV121" i="4" s="1"/>
  <c r="AQ121" i="4"/>
  <c r="AR121" i="4" s="1"/>
  <c r="AM121" i="4"/>
  <c r="AN121" i="4" s="1"/>
  <c r="AI121" i="4"/>
  <c r="AJ121" i="4" s="1"/>
  <c r="AE121" i="4"/>
  <c r="AF121" i="4" s="1"/>
  <c r="AA121" i="4"/>
  <c r="AB121" i="4" s="1"/>
  <c r="W121" i="4"/>
  <c r="X121" i="4" s="1"/>
  <c r="S121" i="4"/>
  <c r="T121" i="4" s="1"/>
  <c r="O121" i="4"/>
  <c r="P121" i="4" s="1"/>
  <c r="K121" i="4"/>
  <c r="L121" i="4" s="1"/>
  <c r="AW121" i="4"/>
  <c r="AX121" i="4" s="1"/>
  <c r="AO121" i="4"/>
  <c r="AP121" i="4" s="1"/>
  <c r="AG121" i="4"/>
  <c r="AH121" i="4" s="1"/>
  <c r="Y121" i="4"/>
  <c r="Z121" i="4" s="1"/>
  <c r="Q121" i="4"/>
  <c r="R121" i="4" s="1"/>
  <c r="J121" i="4"/>
  <c r="GI152" i="4"/>
  <c r="GJ152" i="4" s="1"/>
  <c r="GE152" i="4"/>
  <c r="GF152" i="4" s="1"/>
  <c r="GA152" i="4"/>
  <c r="GB152" i="4" s="1"/>
  <c r="FW152" i="4"/>
  <c r="FX152" i="4" s="1"/>
  <c r="FS152" i="4"/>
  <c r="FT152" i="4" s="1"/>
  <c r="FO152" i="4"/>
  <c r="FP152" i="4" s="1"/>
  <c r="FK152" i="4"/>
  <c r="FL152" i="4" s="1"/>
  <c r="FG152" i="4"/>
  <c r="FH152" i="4" s="1"/>
  <c r="FC152" i="4"/>
  <c r="FD152" i="4" s="1"/>
  <c r="EY152" i="4"/>
  <c r="EZ152" i="4" s="1"/>
  <c r="EU152" i="4"/>
  <c r="EV152" i="4" s="1"/>
  <c r="GG152" i="4"/>
  <c r="GH152" i="4" s="1"/>
  <c r="FY152" i="4"/>
  <c r="FZ152" i="4" s="1"/>
  <c r="FQ152" i="4"/>
  <c r="FR152" i="4" s="1"/>
  <c r="FI152" i="4"/>
  <c r="FJ152" i="4" s="1"/>
  <c r="FA152" i="4"/>
  <c r="FB152" i="4" s="1"/>
  <c r="ET152" i="4"/>
  <c r="GC152" i="4"/>
  <c r="GD152" i="4" s="1"/>
  <c r="FM152" i="4"/>
  <c r="FN152" i="4" s="1"/>
  <c r="EW152" i="4"/>
  <c r="EX152" i="4" s="1"/>
  <c r="FU152" i="4"/>
  <c r="FV152" i="4" s="1"/>
  <c r="J102" i="4"/>
  <c r="M102" i="4"/>
  <c r="N102" i="4" s="1"/>
  <c r="Q102" i="4"/>
  <c r="R102" i="4" s="1"/>
  <c r="U102" i="4"/>
  <c r="V102" i="4" s="1"/>
  <c r="Y102" i="4"/>
  <c r="Z102" i="4" s="1"/>
  <c r="AC102" i="4"/>
  <c r="AD102" i="4" s="1"/>
  <c r="AG102" i="4"/>
  <c r="AH102" i="4" s="1"/>
  <c r="AK102" i="4"/>
  <c r="AL102" i="4" s="1"/>
  <c r="AO102" i="4"/>
  <c r="AP102" i="4" s="1"/>
  <c r="AS102" i="4"/>
  <c r="AT102" i="4" s="1"/>
  <c r="EU102" i="4"/>
  <c r="EV102" i="4" s="1"/>
  <c r="FE102" i="4"/>
  <c r="FF102" i="4" s="1"/>
  <c r="FK102" i="4"/>
  <c r="FL102" i="4" s="1"/>
  <c r="FU102" i="4"/>
  <c r="FV102" i="4" s="1"/>
  <c r="AW103" i="4"/>
  <c r="AX103" i="4" s="1"/>
  <c r="AS103" i="4"/>
  <c r="AT103" i="4" s="1"/>
  <c r="AO103" i="4"/>
  <c r="AP103" i="4" s="1"/>
  <c r="AK103" i="4"/>
  <c r="AL103" i="4" s="1"/>
  <c r="AG103" i="4"/>
  <c r="AH103" i="4" s="1"/>
  <c r="AC103" i="4"/>
  <c r="AD103" i="4" s="1"/>
  <c r="Y103" i="4"/>
  <c r="Z103" i="4" s="1"/>
  <c r="U103" i="4"/>
  <c r="V103" i="4" s="1"/>
  <c r="Q103" i="4"/>
  <c r="R103" i="4" s="1"/>
  <c r="M103" i="4"/>
  <c r="N103" i="4" s="1"/>
  <c r="J103" i="4"/>
  <c r="EY103" i="4"/>
  <c r="EZ103" i="4" s="1"/>
  <c r="FG103" i="4"/>
  <c r="FH103" i="4" s="1"/>
  <c r="FO103" i="4"/>
  <c r="FP103" i="4" s="1"/>
  <c r="FW103" i="4"/>
  <c r="FX103" i="4" s="1"/>
  <c r="GE103" i="4"/>
  <c r="GF103" i="4" s="1"/>
  <c r="CE106" i="4"/>
  <c r="CF106" i="4" s="1"/>
  <c r="CM106" i="4"/>
  <c r="CN106" i="4" s="1"/>
  <c r="CU106" i="4"/>
  <c r="CV106" i="4" s="1"/>
  <c r="DC106" i="4"/>
  <c r="DD106" i="4" s="1"/>
  <c r="DK106" i="4"/>
  <c r="DL106" i="4" s="1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CC107" i="4"/>
  <c r="CD107" i="4" s="1"/>
  <c r="CK107" i="4"/>
  <c r="CL107" i="4" s="1"/>
  <c r="CS107" i="4"/>
  <c r="CT107" i="4" s="1"/>
  <c r="DA107" i="4"/>
  <c r="DB107" i="4" s="1"/>
  <c r="DK107" i="4"/>
  <c r="DL107" i="4" s="1"/>
  <c r="AY107" i="4"/>
  <c r="AZ107" i="4" s="1"/>
  <c r="AU107" i="4"/>
  <c r="AV107" i="4" s="1"/>
  <c r="AQ107" i="4"/>
  <c r="AR107" i="4" s="1"/>
  <c r="AM107" i="4"/>
  <c r="AN107" i="4" s="1"/>
  <c r="AI107" i="4"/>
  <c r="AJ107" i="4" s="1"/>
  <c r="AE107" i="4"/>
  <c r="AF107" i="4" s="1"/>
  <c r="AA107" i="4"/>
  <c r="AB107" i="4" s="1"/>
  <c r="W107" i="4"/>
  <c r="X107" i="4" s="1"/>
  <c r="S107" i="4"/>
  <c r="T107" i="4" s="1"/>
  <c r="O107" i="4"/>
  <c r="P107" i="4" s="1"/>
  <c r="K107" i="4"/>
  <c r="L107" i="4" s="1"/>
  <c r="DO117" i="4"/>
  <c r="DP117" i="4" s="1"/>
  <c r="DK117" i="4"/>
  <c r="DL117" i="4" s="1"/>
  <c r="DG117" i="4"/>
  <c r="DH117" i="4" s="1"/>
  <c r="DC117" i="4"/>
  <c r="DD117" i="4" s="1"/>
  <c r="CY117" i="4"/>
  <c r="CZ117" i="4" s="1"/>
  <c r="CU117" i="4"/>
  <c r="CV117" i="4" s="1"/>
  <c r="CQ117" i="4"/>
  <c r="CR117" i="4" s="1"/>
  <c r="CM117" i="4"/>
  <c r="CN117" i="4" s="1"/>
  <c r="CI117" i="4"/>
  <c r="CJ117" i="4" s="1"/>
  <c r="CE117" i="4"/>
  <c r="CF117" i="4" s="1"/>
  <c r="CB117" i="4"/>
  <c r="DM117" i="4"/>
  <c r="DN117" i="4" s="1"/>
  <c r="DE117" i="4"/>
  <c r="DF117" i="4" s="1"/>
  <c r="CW117" i="4"/>
  <c r="CX117" i="4" s="1"/>
  <c r="CO117" i="4"/>
  <c r="CP117" i="4" s="1"/>
  <c r="CG117" i="4"/>
  <c r="CH117" i="4" s="1"/>
  <c r="U121" i="4"/>
  <c r="V121" i="4" s="1"/>
  <c r="AK121" i="4"/>
  <c r="AL121" i="4" s="1"/>
  <c r="GI121" i="4"/>
  <c r="GJ121" i="4" s="1"/>
  <c r="GE121" i="4"/>
  <c r="GF121" i="4" s="1"/>
  <c r="GA121" i="4"/>
  <c r="GB121" i="4" s="1"/>
  <c r="FW121" i="4"/>
  <c r="FX121" i="4" s="1"/>
  <c r="FS121" i="4"/>
  <c r="FT121" i="4" s="1"/>
  <c r="FO121" i="4"/>
  <c r="FP121" i="4" s="1"/>
  <c r="FK121" i="4"/>
  <c r="FL121" i="4" s="1"/>
  <c r="FG121" i="4"/>
  <c r="FH121" i="4" s="1"/>
  <c r="FC121" i="4"/>
  <c r="FD121" i="4" s="1"/>
  <c r="EY121" i="4"/>
  <c r="EZ121" i="4" s="1"/>
  <c r="EU121" i="4"/>
  <c r="EV121" i="4" s="1"/>
  <c r="GC121" i="4"/>
  <c r="GD121" i="4" s="1"/>
  <c r="FU121" i="4"/>
  <c r="FV121" i="4" s="1"/>
  <c r="FM121" i="4"/>
  <c r="FN121" i="4" s="1"/>
  <c r="FE121" i="4"/>
  <c r="FF121" i="4" s="1"/>
  <c r="EW121" i="4"/>
  <c r="EX121" i="4" s="1"/>
  <c r="GI123" i="4"/>
  <c r="GJ123" i="4" s="1"/>
  <c r="GE123" i="4"/>
  <c r="GF123" i="4" s="1"/>
  <c r="GA123" i="4"/>
  <c r="GB123" i="4" s="1"/>
  <c r="FW123" i="4"/>
  <c r="FX123" i="4" s="1"/>
  <c r="FM123" i="4"/>
  <c r="FN123" i="4" s="1"/>
  <c r="FG123" i="4"/>
  <c r="FH123" i="4" s="1"/>
  <c r="EW123" i="4"/>
  <c r="EX123" i="4" s="1"/>
  <c r="GG123" i="4"/>
  <c r="GH123" i="4" s="1"/>
  <c r="FY123" i="4"/>
  <c r="FZ123" i="4" s="1"/>
  <c r="FS123" i="4"/>
  <c r="FT123" i="4" s="1"/>
  <c r="FI123" i="4"/>
  <c r="FJ123" i="4" s="1"/>
  <c r="FC123" i="4"/>
  <c r="FD123" i="4" s="1"/>
  <c r="ET123" i="4"/>
  <c r="FO123" i="4"/>
  <c r="FP123" i="4" s="1"/>
  <c r="FE123" i="4"/>
  <c r="FF123" i="4" s="1"/>
  <c r="GC123" i="4"/>
  <c r="GD123" i="4" s="1"/>
  <c r="FQ123" i="4"/>
  <c r="FR123" i="4" s="1"/>
  <c r="EU123" i="4"/>
  <c r="EV123" i="4" s="1"/>
  <c r="GI130" i="4"/>
  <c r="GJ130" i="4" s="1"/>
  <c r="GE130" i="4"/>
  <c r="GF130" i="4" s="1"/>
  <c r="GA130" i="4"/>
  <c r="GB130" i="4" s="1"/>
  <c r="FW130" i="4"/>
  <c r="FX130" i="4" s="1"/>
  <c r="FS130" i="4"/>
  <c r="FT130" i="4" s="1"/>
  <c r="FO130" i="4"/>
  <c r="FP130" i="4" s="1"/>
  <c r="FK130" i="4"/>
  <c r="FL130" i="4" s="1"/>
  <c r="FG130" i="4"/>
  <c r="FH130" i="4" s="1"/>
  <c r="FC130" i="4"/>
  <c r="FD130" i="4" s="1"/>
  <c r="EY130" i="4"/>
  <c r="EZ130" i="4" s="1"/>
  <c r="EU130" i="4"/>
  <c r="EV130" i="4" s="1"/>
  <c r="GG130" i="4"/>
  <c r="GH130" i="4" s="1"/>
  <c r="FY130" i="4"/>
  <c r="FZ130" i="4" s="1"/>
  <c r="FQ130" i="4"/>
  <c r="FR130" i="4" s="1"/>
  <c r="FI130" i="4"/>
  <c r="FJ130" i="4" s="1"/>
  <c r="FA130" i="4"/>
  <c r="FB130" i="4" s="1"/>
  <c r="ET130" i="4"/>
  <c r="GC130" i="4"/>
  <c r="GD130" i="4" s="1"/>
  <c r="FM130" i="4"/>
  <c r="FN130" i="4" s="1"/>
  <c r="EW130" i="4"/>
  <c r="EX130" i="4" s="1"/>
  <c r="DQ139" i="4"/>
  <c r="DR139" i="4" s="1"/>
  <c r="DM139" i="4"/>
  <c r="DN139" i="4" s="1"/>
  <c r="DI139" i="4"/>
  <c r="DJ139" i="4" s="1"/>
  <c r="DE139" i="4"/>
  <c r="DF139" i="4" s="1"/>
  <c r="DA139" i="4"/>
  <c r="DB139" i="4" s="1"/>
  <c r="CW139" i="4"/>
  <c r="CX139" i="4" s="1"/>
  <c r="CS139" i="4"/>
  <c r="CT139" i="4" s="1"/>
  <c r="CO139" i="4"/>
  <c r="CP139" i="4" s="1"/>
  <c r="CK139" i="4"/>
  <c r="CL139" i="4" s="1"/>
  <c r="CG139" i="4"/>
  <c r="CH139" i="4" s="1"/>
  <c r="CC139" i="4"/>
  <c r="CD139" i="4" s="1"/>
  <c r="DK139" i="4"/>
  <c r="DL139" i="4" s="1"/>
  <c r="DC139" i="4"/>
  <c r="DD139" i="4" s="1"/>
  <c r="CU139" i="4"/>
  <c r="CV139" i="4" s="1"/>
  <c r="CM139" i="4"/>
  <c r="CN139" i="4" s="1"/>
  <c r="CE139" i="4"/>
  <c r="CF139" i="4" s="1"/>
  <c r="DO139" i="4"/>
  <c r="DP139" i="4" s="1"/>
  <c r="CY139" i="4"/>
  <c r="CZ139" i="4" s="1"/>
  <c r="CI139" i="4"/>
  <c r="CJ139" i="4" s="1"/>
  <c r="CQ139" i="4"/>
  <c r="CR139" i="4" s="1"/>
  <c r="DO123" i="4"/>
  <c r="DP123" i="4" s="1"/>
  <c r="DE123" i="4"/>
  <c r="DF123" i="4" s="1"/>
  <c r="CY123" i="4"/>
  <c r="CZ123" i="4" s="1"/>
  <c r="CO123" i="4"/>
  <c r="CP123" i="4" s="1"/>
  <c r="CI123" i="4"/>
  <c r="CJ123" i="4" s="1"/>
  <c r="DQ123" i="4"/>
  <c r="DR123" i="4" s="1"/>
  <c r="DK123" i="4"/>
  <c r="DL123" i="4" s="1"/>
  <c r="DA123" i="4"/>
  <c r="DB123" i="4" s="1"/>
  <c r="CU123" i="4"/>
  <c r="CV123" i="4" s="1"/>
  <c r="CK123" i="4"/>
  <c r="CL123" i="4" s="1"/>
  <c r="CE123" i="4"/>
  <c r="CF123" i="4" s="1"/>
  <c r="GI117" i="4"/>
  <c r="GJ117" i="4" s="1"/>
  <c r="GE117" i="4"/>
  <c r="GF117" i="4" s="1"/>
  <c r="GA117" i="4"/>
  <c r="GB117" i="4" s="1"/>
  <c r="FW117" i="4"/>
  <c r="FX117" i="4" s="1"/>
  <c r="FS117" i="4"/>
  <c r="FT117" i="4" s="1"/>
  <c r="FO117" i="4"/>
  <c r="FP117" i="4" s="1"/>
  <c r="FK117" i="4"/>
  <c r="FL117" i="4" s="1"/>
  <c r="FG117" i="4"/>
  <c r="FH117" i="4" s="1"/>
  <c r="FC117" i="4"/>
  <c r="FD117" i="4" s="1"/>
  <c r="EY117" i="4"/>
  <c r="EZ117" i="4" s="1"/>
  <c r="EU117" i="4"/>
  <c r="EV117" i="4" s="1"/>
  <c r="CB121" i="4"/>
  <c r="CE121" i="4"/>
  <c r="CF121" i="4" s="1"/>
  <c r="CI121" i="4"/>
  <c r="CJ121" i="4" s="1"/>
  <c r="CM121" i="4"/>
  <c r="CN121" i="4" s="1"/>
  <c r="CQ121" i="4"/>
  <c r="CR121" i="4" s="1"/>
  <c r="CU121" i="4"/>
  <c r="CV121" i="4" s="1"/>
  <c r="CY121" i="4"/>
  <c r="CZ121" i="4" s="1"/>
  <c r="DC121" i="4"/>
  <c r="DD121" i="4" s="1"/>
  <c r="DG121" i="4"/>
  <c r="DH121" i="4" s="1"/>
  <c r="DK121" i="4"/>
  <c r="DL121" i="4" s="1"/>
  <c r="AY130" i="4"/>
  <c r="AZ130" i="4" s="1"/>
  <c r="AU130" i="4"/>
  <c r="AV130" i="4" s="1"/>
  <c r="AQ130" i="4"/>
  <c r="AR130" i="4" s="1"/>
  <c r="AM130" i="4"/>
  <c r="AN130" i="4" s="1"/>
  <c r="AI130" i="4"/>
  <c r="AJ130" i="4" s="1"/>
  <c r="AE130" i="4"/>
  <c r="AF130" i="4" s="1"/>
  <c r="AA130" i="4"/>
  <c r="AB130" i="4" s="1"/>
  <c r="W130" i="4"/>
  <c r="X130" i="4" s="1"/>
  <c r="S130" i="4"/>
  <c r="T130" i="4" s="1"/>
  <c r="O130" i="4"/>
  <c r="P130" i="4" s="1"/>
  <c r="K130" i="4"/>
  <c r="L130" i="4" s="1"/>
  <c r="DO152" i="4"/>
  <c r="DP152" i="4" s="1"/>
  <c r="DK152" i="4"/>
  <c r="DL152" i="4" s="1"/>
  <c r="DG152" i="4"/>
  <c r="DH152" i="4" s="1"/>
  <c r="DC152" i="4"/>
  <c r="DD152" i="4" s="1"/>
  <c r="CY152" i="4"/>
  <c r="CZ152" i="4" s="1"/>
  <c r="CU152" i="4"/>
  <c r="CV152" i="4" s="1"/>
  <c r="CQ152" i="4"/>
  <c r="CR152" i="4" s="1"/>
  <c r="CM152" i="4"/>
  <c r="CN152" i="4" s="1"/>
  <c r="CI152" i="4"/>
  <c r="CJ152" i="4" s="1"/>
  <c r="CE152" i="4"/>
  <c r="CF152" i="4" s="1"/>
  <c r="CB152" i="4"/>
  <c r="DQ152" i="4"/>
  <c r="DR152" i="4" s="1"/>
  <c r="DI152" i="4"/>
  <c r="DJ152" i="4" s="1"/>
  <c r="DA152" i="4"/>
  <c r="DB152" i="4" s="1"/>
  <c r="CS152" i="4"/>
  <c r="CT152" i="4" s="1"/>
  <c r="CK152" i="4"/>
  <c r="CL152" i="4" s="1"/>
  <c r="CC152" i="4"/>
  <c r="CD152" i="4" s="1"/>
  <c r="BZ132" i="4"/>
  <c r="I132" i="4"/>
  <c r="CB130" i="4"/>
  <c r="CE130" i="4"/>
  <c r="CF130" i="4" s="1"/>
  <c r="CI130" i="4"/>
  <c r="CJ130" i="4" s="1"/>
  <c r="CM130" i="4"/>
  <c r="CN130" i="4" s="1"/>
  <c r="CQ130" i="4"/>
  <c r="CR130" i="4" s="1"/>
  <c r="CU130" i="4"/>
  <c r="CV130" i="4" s="1"/>
  <c r="CY130" i="4"/>
  <c r="CZ130" i="4" s="1"/>
  <c r="DC130" i="4"/>
  <c r="DD130" i="4" s="1"/>
  <c r="DG130" i="4"/>
  <c r="DH130" i="4" s="1"/>
  <c r="DK130" i="4"/>
  <c r="DL130" i="4" s="1"/>
  <c r="EY139" i="4"/>
  <c r="EZ139" i="4" s="1"/>
  <c r="FG139" i="4"/>
  <c r="FH139" i="4" s="1"/>
  <c r="FO139" i="4"/>
  <c r="FP139" i="4" s="1"/>
  <c r="FW139" i="4"/>
  <c r="FX139" i="4" s="1"/>
  <c r="AW139" i="4"/>
  <c r="AX139" i="4" s="1"/>
  <c r="AS139" i="4"/>
  <c r="AT139" i="4" s="1"/>
  <c r="AO139" i="4"/>
  <c r="AP139" i="4" s="1"/>
  <c r="AK139" i="4"/>
  <c r="AL139" i="4" s="1"/>
  <c r="AG139" i="4"/>
  <c r="AH139" i="4" s="1"/>
  <c r="AC139" i="4"/>
  <c r="AD139" i="4" s="1"/>
  <c r="Y139" i="4"/>
  <c r="Z139" i="4" s="1"/>
  <c r="U139" i="4"/>
  <c r="V139" i="4" s="1"/>
  <c r="Q139" i="4"/>
  <c r="R139" i="4" s="1"/>
  <c r="M139" i="4"/>
  <c r="N139" i="4" s="1"/>
  <c r="J139" i="4"/>
  <c r="GG139" i="4"/>
  <c r="GH139" i="4" s="1"/>
  <c r="GC139" i="4"/>
  <c r="GD139" i="4" s="1"/>
  <c r="FY139" i="4"/>
  <c r="FZ139" i="4" s="1"/>
  <c r="FU139" i="4"/>
  <c r="FV139" i="4" s="1"/>
  <c r="FQ139" i="4"/>
  <c r="FR139" i="4" s="1"/>
  <c r="FM139" i="4"/>
  <c r="FN139" i="4" s="1"/>
  <c r="FI139" i="4"/>
  <c r="FJ139" i="4" s="1"/>
  <c r="FE139" i="4"/>
  <c r="FF139" i="4" s="1"/>
  <c r="FA139" i="4"/>
  <c r="FB139" i="4" s="1"/>
  <c r="EW139" i="4"/>
  <c r="EX139" i="4" s="1"/>
  <c r="ET139" i="4"/>
  <c r="ER154" i="4"/>
  <c r="ES154" i="4" s="1"/>
  <c r="GE154" i="4" s="1"/>
  <c r="GF154" i="4" s="1"/>
  <c r="CA154" i="4"/>
  <c r="DO154" i="4" s="1"/>
  <c r="DP154" i="4" s="1"/>
  <c r="K154" i="4"/>
  <c r="L154" i="4" s="1"/>
  <c r="S154" i="4"/>
  <c r="T154" i="4" s="1"/>
  <c r="AA154" i="4"/>
  <c r="AB154" i="4" s="1"/>
  <c r="AI154" i="4"/>
  <c r="AJ154" i="4" s="1"/>
  <c r="AQ154" i="4"/>
  <c r="AR154" i="4" s="1"/>
  <c r="AY154" i="4"/>
  <c r="AZ154" i="4" s="1"/>
  <c r="H155" i="4"/>
  <c r="O154" i="4"/>
  <c r="P154" i="4" s="1"/>
  <c r="W154" i="4"/>
  <c r="X154" i="4" s="1"/>
  <c r="AE154" i="4"/>
  <c r="AF154" i="4" s="1"/>
  <c r="AM154" i="4"/>
  <c r="AN154" i="4" s="1"/>
  <c r="AU154" i="4"/>
  <c r="AV154" i="4" s="1"/>
  <c r="H153" i="4"/>
  <c r="I153" i="4" s="1"/>
  <c r="AS153" i="4" s="1"/>
  <c r="AT153" i="4" s="1"/>
  <c r="CK151" i="4"/>
  <c r="CL151" i="4" s="1"/>
  <c r="DE151" i="4"/>
  <c r="DF151" i="4" s="1"/>
  <c r="I146" i="4"/>
  <c r="AY146" i="4" s="1"/>
  <c r="AZ146" i="4" s="1"/>
  <c r="BZ146" i="4"/>
  <c r="ER146" i="4" s="1"/>
  <c r="ES146" i="4" s="1"/>
  <c r="GE146" i="4" s="1"/>
  <c r="GF146" i="4" s="1"/>
  <c r="I138" i="4"/>
  <c r="I136" i="4"/>
  <c r="I134" i="4"/>
  <c r="BZ131" i="4"/>
  <c r="I131" i="4"/>
  <c r="BZ122" i="4"/>
  <c r="I119" i="4"/>
  <c r="I110" i="4"/>
  <c r="AK110" i="4" s="1"/>
  <c r="AL110" i="4" s="1"/>
  <c r="I99" i="4"/>
  <c r="AW99" i="4" s="1"/>
  <c r="AX99" i="4" s="1"/>
  <c r="ER98" i="4"/>
  <c r="ES98" i="4" s="1"/>
  <c r="CA98" i="4"/>
  <c r="J98" i="4"/>
  <c r="S98" i="4"/>
  <c r="T98" i="4" s="1"/>
  <c r="Y98" i="4"/>
  <c r="Z98" i="4" s="1"/>
  <c r="AI98" i="4"/>
  <c r="AJ98" i="4" s="1"/>
  <c r="AO98" i="4"/>
  <c r="AP98" i="4" s="1"/>
  <c r="AY98" i="4"/>
  <c r="AZ98" i="4" s="1"/>
  <c r="AK98" i="4"/>
  <c r="AL98" i="4" s="1"/>
  <c r="AU98" i="4"/>
  <c r="AV98" i="4" s="1"/>
  <c r="K98" i="4"/>
  <c r="L98" i="4" s="1"/>
  <c r="Q98" i="4"/>
  <c r="R98" i="4" s="1"/>
  <c r="AA98" i="4"/>
  <c r="AB98" i="4" s="1"/>
  <c r="AG98" i="4"/>
  <c r="AH98" i="4" s="1"/>
  <c r="AQ98" i="4"/>
  <c r="AR98" i="4" s="1"/>
  <c r="AW98" i="4"/>
  <c r="AX98" i="4" s="1"/>
  <c r="AE98" i="4"/>
  <c r="AF98" i="4" s="1"/>
  <c r="M98" i="4"/>
  <c r="N98" i="4" s="1"/>
  <c r="W98" i="4"/>
  <c r="X98" i="4" s="1"/>
  <c r="AC98" i="4"/>
  <c r="AD98" i="4" s="1"/>
  <c r="AM98" i="4"/>
  <c r="AN98" i="4" s="1"/>
  <c r="AW97" i="4"/>
  <c r="AX97" i="4" s="1"/>
  <c r="AU97" i="4"/>
  <c r="AV97" i="4" s="1"/>
  <c r="AM97" i="4"/>
  <c r="AN97" i="4" s="1"/>
  <c r="AI97" i="4"/>
  <c r="AJ97" i="4" s="1"/>
  <c r="AE97" i="4"/>
  <c r="AF97" i="4" s="1"/>
  <c r="AA97" i="4"/>
  <c r="AB97" i="4" s="1"/>
  <c r="W97" i="4"/>
  <c r="X97" i="4" s="1"/>
  <c r="S97" i="4"/>
  <c r="T97" i="4" s="1"/>
  <c r="O97" i="4"/>
  <c r="P97" i="4" s="1"/>
  <c r="AQ97" i="4"/>
  <c r="AR97" i="4" s="1"/>
  <c r="AC97" i="4"/>
  <c r="AD97" i="4" s="1"/>
  <c r="U97" i="4"/>
  <c r="V97" i="4" s="1"/>
  <c r="M97" i="4"/>
  <c r="N97" i="4" s="1"/>
  <c r="J97" i="4"/>
  <c r="AY97" i="4"/>
  <c r="AZ97" i="4" s="1"/>
  <c r="AK97" i="4"/>
  <c r="AL97" i="4" s="1"/>
  <c r="Y97" i="4"/>
  <c r="Z97" i="4" s="1"/>
  <c r="Q97" i="4"/>
  <c r="R97" i="4" s="1"/>
  <c r="K97" i="4"/>
  <c r="L97" i="4" s="1"/>
  <c r="AG97" i="4"/>
  <c r="AH97" i="4" s="1"/>
  <c r="BZ97" i="4"/>
  <c r="I95" i="4"/>
  <c r="AW95" i="4" s="1"/>
  <c r="AX95" i="4" s="1"/>
  <c r="CA94" i="4"/>
  <c r="ER94" i="4"/>
  <c r="ES94" i="4" s="1"/>
  <c r="S94" i="4"/>
  <c r="T94" i="4" s="1"/>
  <c r="O94" i="4"/>
  <c r="P94" i="4" s="1"/>
  <c r="M94" i="4"/>
  <c r="N94" i="4" s="1"/>
  <c r="Q94" i="4"/>
  <c r="R94" i="4" s="1"/>
  <c r="AU93" i="4"/>
  <c r="AV93" i="4" s="1"/>
  <c r="CA93" i="4"/>
  <c r="DO93" i="4" s="1"/>
  <c r="DP93" i="4" s="1"/>
  <c r="I87" i="4"/>
  <c r="AQ87" i="4" s="1"/>
  <c r="AR87" i="4" s="1"/>
  <c r="I85" i="4"/>
  <c r="AW85" i="4" s="1"/>
  <c r="AX85" i="4" s="1"/>
  <c r="I84" i="4"/>
  <c r="AS66" i="4"/>
  <c r="AT66" i="4" s="1"/>
  <c r="K66" i="4"/>
  <c r="L66" i="4" s="1"/>
  <c r="S66" i="4"/>
  <c r="T66" i="4" s="1"/>
  <c r="AA66" i="4"/>
  <c r="AB66" i="4" s="1"/>
  <c r="AI66" i="4"/>
  <c r="AJ66" i="4" s="1"/>
  <c r="AQ66" i="4"/>
  <c r="AR66" i="4" s="1"/>
  <c r="AY66" i="4"/>
  <c r="AZ66" i="4" s="1"/>
  <c r="O66" i="4"/>
  <c r="P66" i="4" s="1"/>
  <c r="W66" i="4"/>
  <c r="X66" i="4" s="1"/>
  <c r="AE66" i="4"/>
  <c r="AF66" i="4" s="1"/>
  <c r="AM66" i="4"/>
  <c r="AN66" i="4" s="1"/>
  <c r="AU66" i="4"/>
  <c r="AV66" i="4" s="1"/>
  <c r="AK66" i="4"/>
  <c r="AL66" i="4" s="1"/>
  <c r="J66" i="4"/>
  <c r="Q66" i="4"/>
  <c r="R66" i="4" s="1"/>
  <c r="Y66" i="4"/>
  <c r="Z66" i="4" s="1"/>
  <c r="AG66" i="4"/>
  <c r="AH66" i="4" s="1"/>
  <c r="AO66" i="4"/>
  <c r="AP66" i="4" s="1"/>
  <c r="I64" i="4"/>
  <c r="BZ64" i="4"/>
  <c r="EW63" i="4"/>
  <c r="EX63" i="4" s="1"/>
  <c r="K63" i="4"/>
  <c r="L63" i="4" s="1"/>
  <c r="S63" i="4"/>
  <c r="T63" i="4" s="1"/>
  <c r="AA63" i="4"/>
  <c r="AB63" i="4" s="1"/>
  <c r="AI63" i="4"/>
  <c r="AJ63" i="4" s="1"/>
  <c r="AQ63" i="4"/>
  <c r="AR63" i="4" s="1"/>
  <c r="AY63" i="4"/>
  <c r="AZ63" i="4" s="1"/>
  <c r="FM63" i="4"/>
  <c r="FN63" i="4" s="1"/>
  <c r="GG63" i="4"/>
  <c r="GH63" i="4" s="1"/>
  <c r="O63" i="4"/>
  <c r="P63" i="4" s="1"/>
  <c r="W63" i="4"/>
  <c r="X63" i="4" s="1"/>
  <c r="AE63" i="4"/>
  <c r="AF63" i="4" s="1"/>
  <c r="AM63" i="4"/>
  <c r="AN63" i="4" s="1"/>
  <c r="AU63" i="4"/>
  <c r="AV63" i="4" s="1"/>
  <c r="FA63" i="4"/>
  <c r="FB63" i="4" s="1"/>
  <c r="FU63" i="4"/>
  <c r="FV63" i="4" s="1"/>
  <c r="FQ63" i="4"/>
  <c r="FR63" i="4" s="1"/>
  <c r="J63" i="4"/>
  <c r="Q63" i="4"/>
  <c r="R63" i="4" s="1"/>
  <c r="Y63" i="4"/>
  <c r="Z63" i="4" s="1"/>
  <c r="AG63" i="4"/>
  <c r="AH63" i="4" s="1"/>
  <c r="AO63" i="4"/>
  <c r="AP63" i="4" s="1"/>
  <c r="FE63" i="4"/>
  <c r="FF63" i="4" s="1"/>
  <c r="GC63" i="4"/>
  <c r="GD63" i="4" s="1"/>
  <c r="BZ47" i="4"/>
  <c r="I47" i="4"/>
  <c r="AQ46" i="4"/>
  <c r="AR46" i="4" s="1"/>
  <c r="J46" i="4"/>
  <c r="Q46" i="4"/>
  <c r="R46" i="4" s="1"/>
  <c r="Y46" i="4"/>
  <c r="Z46" i="4" s="1"/>
  <c r="AG46" i="4"/>
  <c r="AH46" i="4" s="1"/>
  <c r="AO46" i="4"/>
  <c r="AP46" i="4" s="1"/>
  <c r="AW46" i="4"/>
  <c r="AX46" i="4" s="1"/>
  <c r="M46" i="4"/>
  <c r="N46" i="4" s="1"/>
  <c r="U46" i="4"/>
  <c r="V46" i="4" s="1"/>
  <c r="AC46" i="4"/>
  <c r="AD46" i="4" s="1"/>
  <c r="AK46" i="4"/>
  <c r="AL46" i="4" s="1"/>
  <c r="AS46" i="4"/>
  <c r="AT46" i="4" s="1"/>
  <c r="AI46" i="4"/>
  <c r="AJ46" i="4" s="1"/>
  <c r="O46" i="4"/>
  <c r="P46" i="4" s="1"/>
  <c r="W46" i="4"/>
  <c r="X46" i="4" s="1"/>
  <c r="AE46" i="4"/>
  <c r="AF46" i="4" s="1"/>
  <c r="AM46" i="4"/>
  <c r="AN46" i="4" s="1"/>
  <c r="AU46" i="4"/>
  <c r="AV46" i="4" s="1"/>
  <c r="BZ44" i="4"/>
  <c r="I44" i="4"/>
  <c r="O43" i="4"/>
  <c r="P43" i="4" s="1"/>
  <c r="AM43" i="4"/>
  <c r="AN43" i="4" s="1"/>
  <c r="M43" i="4"/>
  <c r="N43" i="4" s="1"/>
  <c r="U43" i="4"/>
  <c r="V43" i="4" s="1"/>
  <c r="AC43" i="4"/>
  <c r="AD43" i="4" s="1"/>
  <c r="AK43" i="4"/>
  <c r="AL43" i="4" s="1"/>
  <c r="AY43" i="4"/>
  <c r="AZ43" i="4" s="1"/>
  <c r="W43" i="4"/>
  <c r="X43" i="4" s="1"/>
  <c r="AE43" i="4"/>
  <c r="AF43" i="4" s="1"/>
  <c r="J43" i="4"/>
  <c r="Q43" i="4"/>
  <c r="R43" i="4" s="1"/>
  <c r="Y43" i="4"/>
  <c r="Z43" i="4" s="1"/>
  <c r="AG43" i="4"/>
  <c r="AH43" i="4" s="1"/>
  <c r="AQ43" i="4"/>
  <c r="AR43" i="4" s="1"/>
  <c r="K43" i="4"/>
  <c r="L43" i="4" s="1"/>
  <c r="S43" i="4"/>
  <c r="T43" i="4" s="1"/>
  <c r="AA43" i="4"/>
  <c r="AB43" i="4" s="1"/>
  <c r="AI43" i="4"/>
  <c r="AJ43" i="4" s="1"/>
  <c r="AU43" i="4"/>
  <c r="AV43" i="4" s="1"/>
  <c r="BZ40" i="4"/>
  <c r="I40" i="4"/>
  <c r="AK40" i="4" s="1"/>
  <c r="AL40" i="4" s="1"/>
  <c r="I37" i="4"/>
  <c r="AQ37" i="4" s="1"/>
  <c r="AR37" i="4" s="1"/>
  <c r="ER36" i="4"/>
  <c r="ES36" i="4" s="1"/>
  <c r="CA36" i="4"/>
  <c r="DO36" i="4" s="1"/>
  <c r="DP36" i="4" s="1"/>
  <c r="K36" i="4"/>
  <c r="L36" i="4" s="1"/>
  <c r="M36" i="4"/>
  <c r="N36" i="4" s="1"/>
  <c r="Q36" i="4"/>
  <c r="R36" i="4" s="1"/>
  <c r="U36" i="4"/>
  <c r="V36" i="4" s="1"/>
  <c r="Y36" i="4"/>
  <c r="Z36" i="4" s="1"/>
  <c r="AC36" i="4"/>
  <c r="AD36" i="4" s="1"/>
  <c r="AG36" i="4"/>
  <c r="AH36" i="4" s="1"/>
  <c r="J36" i="4"/>
  <c r="O36" i="4"/>
  <c r="P36" i="4" s="1"/>
  <c r="S36" i="4"/>
  <c r="T36" i="4" s="1"/>
  <c r="W36" i="4"/>
  <c r="X36" i="4" s="1"/>
  <c r="AA36" i="4"/>
  <c r="AB36" i="4" s="1"/>
  <c r="AE36" i="4"/>
  <c r="AF36" i="4" s="1"/>
  <c r="AI36" i="4"/>
  <c r="AJ36" i="4" s="1"/>
  <c r="I35" i="4"/>
  <c r="GI154" i="4"/>
  <c r="GJ154" i="4" s="1"/>
  <c r="FS154" i="4"/>
  <c r="FT154" i="4" s="1"/>
  <c r="FO154" i="4"/>
  <c r="FP154" i="4" s="1"/>
  <c r="FK154" i="4"/>
  <c r="FL154" i="4" s="1"/>
  <c r="FG154" i="4"/>
  <c r="FH154" i="4" s="1"/>
  <c r="FC154" i="4"/>
  <c r="FD154" i="4" s="1"/>
  <c r="EY154" i="4"/>
  <c r="EZ154" i="4" s="1"/>
  <c r="EU154" i="4"/>
  <c r="EV154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J154" i="4"/>
  <c r="M154" i="4"/>
  <c r="N154" i="4" s="1"/>
  <c r="Q154" i="4"/>
  <c r="R154" i="4" s="1"/>
  <c r="U154" i="4"/>
  <c r="V154" i="4" s="1"/>
  <c r="Y154" i="4"/>
  <c r="Z154" i="4" s="1"/>
  <c r="AC154" i="4"/>
  <c r="AD154" i="4" s="1"/>
  <c r="AG154" i="4"/>
  <c r="AH154" i="4" s="1"/>
  <c r="AK154" i="4"/>
  <c r="AL154" i="4" s="1"/>
  <c r="AO154" i="4"/>
  <c r="AP154" i="4" s="1"/>
  <c r="AS154" i="4"/>
  <c r="AT154" i="4" s="1"/>
  <c r="CC154" i="4"/>
  <c r="CD154" i="4" s="1"/>
  <c r="CG154" i="4"/>
  <c r="CH154" i="4" s="1"/>
  <c r="CK154" i="4"/>
  <c r="CL154" i="4" s="1"/>
  <c r="CO154" i="4"/>
  <c r="CP154" i="4" s="1"/>
  <c r="CS154" i="4"/>
  <c r="CT154" i="4" s="1"/>
  <c r="CW154" i="4"/>
  <c r="CX154" i="4" s="1"/>
  <c r="DA154" i="4"/>
  <c r="DB154" i="4" s="1"/>
  <c r="DE154" i="4"/>
  <c r="DF154" i="4" s="1"/>
  <c r="DI154" i="4"/>
  <c r="DJ154" i="4" s="1"/>
  <c r="DM154" i="4"/>
  <c r="DN154" i="4" s="1"/>
  <c r="DQ154" i="4"/>
  <c r="DR154" i="4" s="1"/>
  <c r="CB154" i="4"/>
  <c r="CE154" i="4"/>
  <c r="CF154" i="4" s="1"/>
  <c r="CI154" i="4"/>
  <c r="CJ154" i="4" s="1"/>
  <c r="CM154" i="4"/>
  <c r="CN154" i="4" s="1"/>
  <c r="CQ154" i="4"/>
  <c r="CR154" i="4" s="1"/>
  <c r="CU154" i="4"/>
  <c r="CV154" i="4" s="1"/>
  <c r="CY154" i="4"/>
  <c r="CZ154" i="4" s="1"/>
  <c r="DC154" i="4"/>
  <c r="DD154" i="4" s="1"/>
  <c r="DG154" i="4"/>
  <c r="DH154" i="4" s="1"/>
  <c r="DK154" i="4"/>
  <c r="DL154" i="4" s="1"/>
  <c r="AW147" i="4"/>
  <c r="AX147" i="4" s="1"/>
  <c r="AS147" i="4"/>
  <c r="AT147" i="4" s="1"/>
  <c r="AO147" i="4"/>
  <c r="AP147" i="4" s="1"/>
  <c r="AK147" i="4"/>
  <c r="AL147" i="4" s="1"/>
  <c r="AG147" i="4"/>
  <c r="AH147" i="4" s="1"/>
  <c r="AC147" i="4"/>
  <c r="AD147" i="4" s="1"/>
  <c r="Y147" i="4"/>
  <c r="Z147" i="4" s="1"/>
  <c r="U147" i="4"/>
  <c r="V147" i="4" s="1"/>
  <c r="Q147" i="4"/>
  <c r="R147" i="4" s="1"/>
  <c r="M147" i="4"/>
  <c r="N147" i="4" s="1"/>
  <c r="J147" i="4"/>
  <c r="AU147" i="4"/>
  <c r="AV147" i="4" s="1"/>
  <c r="AI147" i="4"/>
  <c r="AJ147" i="4" s="1"/>
  <c r="W147" i="4"/>
  <c r="X147" i="4" s="1"/>
  <c r="K147" i="4"/>
  <c r="L147" i="4" s="1"/>
  <c r="AQ147" i="4"/>
  <c r="AR147" i="4" s="1"/>
  <c r="AE147" i="4"/>
  <c r="AF147" i="4" s="1"/>
  <c r="S147" i="4"/>
  <c r="T147" i="4" s="1"/>
  <c r="AY147" i="4"/>
  <c r="AZ147" i="4" s="1"/>
  <c r="AM147" i="4"/>
  <c r="AN147" i="4" s="1"/>
  <c r="AA147" i="4"/>
  <c r="AB147" i="4" s="1"/>
  <c r="O147" i="4"/>
  <c r="P147" i="4" s="1"/>
  <c r="BZ147" i="4"/>
  <c r="I125" i="4"/>
  <c r="BZ125" i="4"/>
  <c r="AW111" i="4"/>
  <c r="AX111" i="4" s="1"/>
  <c r="AS111" i="4"/>
  <c r="AT111" i="4" s="1"/>
  <c r="AO111" i="4"/>
  <c r="AP111" i="4" s="1"/>
  <c r="AK111" i="4"/>
  <c r="AL111" i="4" s="1"/>
  <c r="AG111" i="4"/>
  <c r="AH111" i="4" s="1"/>
  <c r="AC111" i="4"/>
  <c r="AD111" i="4" s="1"/>
  <c r="Y111" i="4"/>
  <c r="Z111" i="4" s="1"/>
  <c r="U111" i="4"/>
  <c r="V111" i="4" s="1"/>
  <c r="Q111" i="4"/>
  <c r="R111" i="4" s="1"/>
  <c r="M111" i="4"/>
  <c r="N111" i="4" s="1"/>
  <c r="J111" i="4"/>
  <c r="AU111" i="4"/>
  <c r="AV111" i="4" s="1"/>
  <c r="AE111" i="4"/>
  <c r="AF111" i="4" s="1"/>
  <c r="W111" i="4"/>
  <c r="X111" i="4" s="1"/>
  <c r="K111" i="4"/>
  <c r="L111" i="4" s="1"/>
  <c r="AQ111" i="4"/>
  <c r="AR111" i="4" s="1"/>
  <c r="AI111" i="4"/>
  <c r="AJ111" i="4" s="1"/>
  <c r="S111" i="4"/>
  <c r="T111" i="4" s="1"/>
  <c r="AY111" i="4"/>
  <c r="AZ111" i="4" s="1"/>
  <c r="AM111" i="4"/>
  <c r="AN111" i="4" s="1"/>
  <c r="AA111" i="4"/>
  <c r="AB111" i="4" s="1"/>
  <c r="O111" i="4"/>
  <c r="P111" i="4" s="1"/>
  <c r="BZ111" i="4"/>
  <c r="CA87" i="4"/>
  <c r="ER87" i="4"/>
  <c r="ES87" i="4" s="1"/>
  <c r="AU87" i="4"/>
  <c r="AV87" i="4" s="1"/>
  <c r="AU53" i="4"/>
  <c r="AV53" i="4" s="1"/>
  <c r="AE53" i="4"/>
  <c r="AF53" i="4" s="1"/>
  <c r="O53" i="4"/>
  <c r="P53" i="4" s="1"/>
  <c r="AO53" i="4"/>
  <c r="AP53" i="4" s="1"/>
  <c r="Y53" i="4"/>
  <c r="Z53" i="4" s="1"/>
  <c r="J53" i="4"/>
  <c r="ER53" i="4"/>
  <c r="ES53" i="4" s="1"/>
  <c r="CA53" i="4"/>
  <c r="AO153" i="4"/>
  <c r="AP153" i="4" s="1"/>
  <c r="U153" i="4"/>
  <c r="V153" i="4" s="1"/>
  <c r="AM153" i="4"/>
  <c r="AN153" i="4" s="1"/>
  <c r="K153" i="4"/>
  <c r="L153" i="4" s="1"/>
  <c r="BZ155" i="4"/>
  <c r="I155" i="4"/>
  <c r="I26" i="4"/>
  <c r="O26" i="4" s="1"/>
  <c r="P26" i="4" s="1"/>
  <c r="CA26" i="4"/>
  <c r="ER26" i="4"/>
  <c r="ES26" i="4" s="1"/>
  <c r="CC151" i="4"/>
  <c r="CD151" i="4" s="1"/>
  <c r="CS151" i="4"/>
  <c r="CT151" i="4" s="1"/>
  <c r="ER151" i="4"/>
  <c r="ES151" i="4" s="1"/>
  <c r="W26" i="4"/>
  <c r="X26" i="4" s="1"/>
  <c r="DO151" i="4"/>
  <c r="DP151" i="4" s="1"/>
  <c r="DK151" i="4"/>
  <c r="DL151" i="4" s="1"/>
  <c r="DG151" i="4"/>
  <c r="DH151" i="4" s="1"/>
  <c r="DC151" i="4"/>
  <c r="DD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Q146" i="4"/>
  <c r="R146" i="4" s="1"/>
  <c r="O146" i="4"/>
  <c r="P146" i="4" s="1"/>
  <c r="AG146" i="4"/>
  <c r="AH146" i="4" s="1"/>
  <c r="I25" i="4"/>
  <c r="O25" i="4" s="1"/>
  <c r="P25" i="4" s="1"/>
  <c r="CA146" i="4"/>
  <c r="DO146" i="4" s="1"/>
  <c r="DP146" i="4" s="1"/>
  <c r="FW146" i="4"/>
  <c r="FX146" i="4" s="1"/>
  <c r="FG146" i="4"/>
  <c r="FH146" i="4" s="1"/>
  <c r="GG146" i="4"/>
  <c r="GH146" i="4" s="1"/>
  <c r="FQ146" i="4"/>
  <c r="FR146" i="4" s="1"/>
  <c r="FA146" i="4"/>
  <c r="FB146" i="4" s="1"/>
  <c r="AK146" i="4"/>
  <c r="AL146" i="4" s="1"/>
  <c r="CC146" i="4"/>
  <c r="CD146" i="4" s="1"/>
  <c r="CS146" i="4"/>
  <c r="CT146" i="4" s="1"/>
  <c r="DI146" i="4"/>
  <c r="DJ146" i="4" s="1"/>
  <c r="AQ146" i="4"/>
  <c r="AR146" i="4" s="1"/>
  <c r="CB146" i="4"/>
  <c r="CQ146" i="4"/>
  <c r="CR146" i="4" s="1"/>
  <c r="DG146" i="4"/>
  <c r="DH146" i="4" s="1"/>
  <c r="AW145" i="4"/>
  <c r="AX145" i="4" s="1"/>
  <c r="AS145" i="4"/>
  <c r="AT145" i="4" s="1"/>
  <c r="AO145" i="4"/>
  <c r="AP145" i="4" s="1"/>
  <c r="AK145" i="4"/>
  <c r="AL145" i="4" s="1"/>
  <c r="AG145" i="4"/>
  <c r="AH145" i="4" s="1"/>
  <c r="AC145" i="4"/>
  <c r="AD145" i="4" s="1"/>
  <c r="Y145" i="4"/>
  <c r="Z145" i="4" s="1"/>
  <c r="U145" i="4"/>
  <c r="V145" i="4" s="1"/>
  <c r="Q145" i="4"/>
  <c r="R145" i="4" s="1"/>
  <c r="M145" i="4"/>
  <c r="N145" i="4" s="1"/>
  <c r="J145" i="4"/>
  <c r="AQ145" i="4"/>
  <c r="AR145" i="4" s="1"/>
  <c r="AI145" i="4"/>
  <c r="AJ145" i="4" s="1"/>
  <c r="AA145" i="4"/>
  <c r="AB145" i="4" s="1"/>
  <c r="O145" i="4"/>
  <c r="P145" i="4" s="1"/>
  <c r="AU145" i="4"/>
  <c r="AV145" i="4" s="1"/>
  <c r="AM145" i="4"/>
  <c r="AN145" i="4" s="1"/>
  <c r="W145" i="4"/>
  <c r="X145" i="4" s="1"/>
  <c r="K145" i="4"/>
  <c r="L145" i="4" s="1"/>
  <c r="AY145" i="4"/>
  <c r="AZ145" i="4" s="1"/>
  <c r="AE145" i="4"/>
  <c r="AF145" i="4" s="1"/>
  <c r="S145" i="4"/>
  <c r="T145" i="4" s="1"/>
  <c r="BZ145" i="4"/>
  <c r="BZ144" i="4"/>
  <c r="I144" i="4"/>
  <c r="H143" i="4"/>
  <c r="H148" i="4"/>
  <c r="CA25" i="4"/>
  <c r="ER25" i="4"/>
  <c r="ES25" i="4" s="1"/>
  <c r="ER20" i="4"/>
  <c r="ES20" i="4" s="1"/>
  <c r="CA20" i="4"/>
  <c r="I20" i="4"/>
  <c r="H60" i="4"/>
  <c r="H57" i="4"/>
  <c r="AK131" i="4"/>
  <c r="AL131" i="4" s="1"/>
  <c r="AO131" i="4"/>
  <c r="AP131" i="4" s="1"/>
  <c r="AS131" i="4"/>
  <c r="AT131" i="4" s="1"/>
  <c r="AW131" i="4"/>
  <c r="AX131" i="4" s="1"/>
  <c r="CA138" i="4"/>
  <c r="ER138" i="4"/>
  <c r="ES138" i="4" s="1"/>
  <c r="I137" i="4"/>
  <c r="BZ137" i="4"/>
  <c r="CS24" i="4"/>
  <c r="CT24" i="4" s="1"/>
  <c r="CA133" i="4"/>
  <c r="ER133" i="4"/>
  <c r="ES133" i="4" s="1"/>
  <c r="I133" i="4"/>
  <c r="H140" i="4"/>
  <c r="BZ140" i="4" s="1"/>
  <c r="ER140" i="4" s="1"/>
  <c r="ES140" i="4" s="1"/>
  <c r="AW135" i="4"/>
  <c r="AX135" i="4" s="1"/>
  <c r="AS135" i="4"/>
  <c r="AT135" i="4" s="1"/>
  <c r="AO135" i="4"/>
  <c r="AP135" i="4" s="1"/>
  <c r="AK135" i="4"/>
  <c r="AL135" i="4" s="1"/>
  <c r="AG135" i="4"/>
  <c r="AH135" i="4" s="1"/>
  <c r="AC135" i="4"/>
  <c r="AD135" i="4" s="1"/>
  <c r="Y135" i="4"/>
  <c r="Z135" i="4" s="1"/>
  <c r="U135" i="4"/>
  <c r="V135" i="4" s="1"/>
  <c r="Q135" i="4"/>
  <c r="R135" i="4" s="1"/>
  <c r="M135" i="4"/>
  <c r="N135" i="4" s="1"/>
  <c r="J135" i="4"/>
  <c r="AQ135" i="4"/>
  <c r="AR135" i="4" s="1"/>
  <c r="AE135" i="4"/>
  <c r="AF135" i="4" s="1"/>
  <c r="S135" i="4"/>
  <c r="T135" i="4" s="1"/>
  <c r="AU135" i="4"/>
  <c r="AV135" i="4" s="1"/>
  <c r="AI135" i="4"/>
  <c r="AJ135" i="4" s="1"/>
  <c r="W135" i="4"/>
  <c r="X135" i="4" s="1"/>
  <c r="K135" i="4"/>
  <c r="L135" i="4" s="1"/>
  <c r="AY135" i="4"/>
  <c r="AZ135" i="4" s="1"/>
  <c r="AM135" i="4"/>
  <c r="AN135" i="4" s="1"/>
  <c r="AA135" i="4"/>
  <c r="AB135" i="4" s="1"/>
  <c r="O135" i="4"/>
  <c r="P135" i="4" s="1"/>
  <c r="BZ135" i="4"/>
  <c r="CA136" i="4"/>
  <c r="ER136" i="4"/>
  <c r="ES136" i="4" s="1"/>
  <c r="I24" i="4"/>
  <c r="AW24" i="4" s="1"/>
  <c r="AX24" i="4" s="1"/>
  <c r="DE24" i="4"/>
  <c r="DF24" i="4" s="1"/>
  <c r="CB24" i="4"/>
  <c r="CE24" i="4"/>
  <c r="CF24" i="4" s="1"/>
  <c r="CI24" i="4"/>
  <c r="CJ24" i="4" s="1"/>
  <c r="CM24" i="4"/>
  <c r="CN24" i="4" s="1"/>
  <c r="CQ24" i="4"/>
  <c r="CR24" i="4" s="1"/>
  <c r="DA24" i="4"/>
  <c r="DB24" i="4" s="1"/>
  <c r="GI134" i="4"/>
  <c r="GJ134" i="4" s="1"/>
  <c r="GE134" i="4"/>
  <c r="GF134" i="4" s="1"/>
  <c r="GA134" i="4"/>
  <c r="GB134" i="4" s="1"/>
  <c r="FW134" i="4"/>
  <c r="FX134" i="4" s="1"/>
  <c r="FS134" i="4"/>
  <c r="FT134" i="4" s="1"/>
  <c r="FO134" i="4"/>
  <c r="FP134" i="4" s="1"/>
  <c r="FK134" i="4"/>
  <c r="FL134" i="4" s="1"/>
  <c r="FG134" i="4"/>
  <c r="FH134" i="4" s="1"/>
  <c r="FC134" i="4"/>
  <c r="FD134" i="4" s="1"/>
  <c r="EY134" i="4"/>
  <c r="EZ134" i="4" s="1"/>
  <c r="EU134" i="4"/>
  <c r="EV134" i="4" s="1"/>
  <c r="GG134" i="4"/>
  <c r="GH134" i="4" s="1"/>
  <c r="GC134" i="4"/>
  <c r="GD134" i="4" s="1"/>
  <c r="FY134" i="4"/>
  <c r="FZ134" i="4" s="1"/>
  <c r="FU134" i="4"/>
  <c r="FV134" i="4" s="1"/>
  <c r="FQ134" i="4"/>
  <c r="FR134" i="4" s="1"/>
  <c r="FM134" i="4"/>
  <c r="FN134" i="4" s="1"/>
  <c r="FI134" i="4"/>
  <c r="FJ134" i="4" s="1"/>
  <c r="FE134" i="4"/>
  <c r="FF134" i="4" s="1"/>
  <c r="FA134" i="4"/>
  <c r="FB134" i="4" s="1"/>
  <c r="EW134" i="4"/>
  <c r="EX134" i="4" s="1"/>
  <c r="ET134" i="4"/>
  <c r="DO24" i="4"/>
  <c r="DP24" i="4" s="1"/>
  <c r="DK24" i="4"/>
  <c r="DL24" i="4" s="1"/>
  <c r="DG24" i="4"/>
  <c r="DH24" i="4" s="1"/>
  <c r="DC24" i="4"/>
  <c r="DD24" i="4" s="1"/>
  <c r="CY24" i="4"/>
  <c r="CZ24" i="4" s="1"/>
  <c r="CU24" i="4"/>
  <c r="CV24" i="4" s="1"/>
  <c r="AS24" i="4"/>
  <c r="AT24" i="4" s="1"/>
  <c r="CC24" i="4"/>
  <c r="CD24" i="4" s="1"/>
  <c r="CG24" i="4"/>
  <c r="CH24" i="4" s="1"/>
  <c r="CK24" i="4"/>
  <c r="CL24" i="4" s="1"/>
  <c r="CO24" i="4"/>
  <c r="CP24" i="4" s="1"/>
  <c r="DI24" i="4"/>
  <c r="DJ24" i="4" s="1"/>
  <c r="ER24" i="4"/>
  <c r="ES24" i="4" s="1"/>
  <c r="CA134" i="4"/>
  <c r="CW24" i="4"/>
  <c r="CX24" i="4" s="1"/>
  <c r="DM24" i="4"/>
  <c r="DN24" i="4" s="1"/>
  <c r="AS134" i="4"/>
  <c r="AT134" i="4" s="1"/>
  <c r="AY122" i="4"/>
  <c r="AZ122" i="4" s="1"/>
  <c r="AU122" i="4"/>
  <c r="AV122" i="4" s="1"/>
  <c r="AQ122" i="4"/>
  <c r="AR122" i="4" s="1"/>
  <c r="AM122" i="4"/>
  <c r="AN122" i="4" s="1"/>
  <c r="AI122" i="4"/>
  <c r="AJ122" i="4" s="1"/>
  <c r="AE122" i="4"/>
  <c r="AF122" i="4" s="1"/>
  <c r="AA122" i="4"/>
  <c r="AB122" i="4" s="1"/>
  <c r="W122" i="4"/>
  <c r="X122" i="4" s="1"/>
  <c r="S122" i="4"/>
  <c r="T122" i="4" s="1"/>
  <c r="O122" i="4"/>
  <c r="P122" i="4" s="1"/>
  <c r="K122" i="4"/>
  <c r="L122" i="4" s="1"/>
  <c r="AW122" i="4"/>
  <c r="AX122" i="4" s="1"/>
  <c r="AS122" i="4"/>
  <c r="AT122" i="4" s="1"/>
  <c r="AO122" i="4"/>
  <c r="AP122" i="4" s="1"/>
  <c r="AK122" i="4"/>
  <c r="AL122" i="4" s="1"/>
  <c r="AG122" i="4"/>
  <c r="AH122" i="4" s="1"/>
  <c r="AC122" i="4"/>
  <c r="AD122" i="4" s="1"/>
  <c r="Y122" i="4"/>
  <c r="Z122" i="4" s="1"/>
  <c r="U122" i="4"/>
  <c r="V122" i="4" s="1"/>
  <c r="Q122" i="4"/>
  <c r="R122" i="4" s="1"/>
  <c r="M122" i="4"/>
  <c r="N122" i="4" s="1"/>
  <c r="J122" i="4"/>
  <c r="BZ126" i="4"/>
  <c r="I126" i="4"/>
  <c r="AW118" i="4"/>
  <c r="AX118" i="4" s="1"/>
  <c r="AS118" i="4"/>
  <c r="AT118" i="4" s="1"/>
  <c r="AO118" i="4"/>
  <c r="AP118" i="4" s="1"/>
  <c r="AK118" i="4"/>
  <c r="AL118" i="4" s="1"/>
  <c r="AG118" i="4"/>
  <c r="AH118" i="4" s="1"/>
  <c r="AC118" i="4"/>
  <c r="AD118" i="4" s="1"/>
  <c r="Y118" i="4"/>
  <c r="Z118" i="4" s="1"/>
  <c r="U118" i="4"/>
  <c r="V118" i="4" s="1"/>
  <c r="Q118" i="4"/>
  <c r="R118" i="4" s="1"/>
  <c r="M118" i="4"/>
  <c r="N118" i="4" s="1"/>
  <c r="J118" i="4"/>
  <c r="AU118" i="4"/>
  <c r="AV118" i="4" s="1"/>
  <c r="AI118" i="4"/>
  <c r="AJ118" i="4" s="1"/>
  <c r="W118" i="4"/>
  <c r="X118" i="4" s="1"/>
  <c r="O118" i="4"/>
  <c r="P118" i="4" s="1"/>
  <c r="AQ118" i="4"/>
  <c r="AR118" i="4" s="1"/>
  <c r="AE118" i="4"/>
  <c r="AF118" i="4" s="1"/>
  <c r="S118" i="4"/>
  <c r="T118" i="4" s="1"/>
  <c r="AY118" i="4"/>
  <c r="AZ118" i="4" s="1"/>
  <c r="AM118" i="4"/>
  <c r="AN118" i="4" s="1"/>
  <c r="AA118" i="4"/>
  <c r="AB118" i="4" s="1"/>
  <c r="K118" i="4"/>
  <c r="L118" i="4" s="1"/>
  <c r="BZ118" i="4"/>
  <c r="CA119" i="4"/>
  <c r="ER119" i="4"/>
  <c r="ES119" i="4" s="1"/>
  <c r="BZ116" i="4"/>
  <c r="I116" i="4"/>
  <c r="I124" i="4"/>
  <c r="BZ124" i="4"/>
  <c r="BZ23" i="4"/>
  <c r="CA23" i="4" s="1"/>
  <c r="I23" i="4"/>
  <c r="AW23" i="4" s="1"/>
  <c r="AX23" i="4" s="1"/>
  <c r="H127" i="4"/>
  <c r="H120" i="4"/>
  <c r="I112" i="4"/>
  <c r="BZ112" i="4"/>
  <c r="CA99" i="4"/>
  <c r="ER99" i="4"/>
  <c r="ES99" i="4" s="1"/>
  <c r="K99" i="4"/>
  <c r="L99" i="4" s="1"/>
  <c r="O99" i="4"/>
  <c r="P99" i="4" s="1"/>
  <c r="S99" i="4"/>
  <c r="T99" i="4" s="1"/>
  <c r="W99" i="4"/>
  <c r="X99" i="4" s="1"/>
  <c r="AA99" i="4"/>
  <c r="AB99" i="4" s="1"/>
  <c r="AE99" i="4"/>
  <c r="AF99" i="4" s="1"/>
  <c r="AI99" i="4"/>
  <c r="AJ99" i="4" s="1"/>
  <c r="AM99" i="4"/>
  <c r="AN99" i="4" s="1"/>
  <c r="AQ99" i="4"/>
  <c r="AR99" i="4" s="1"/>
  <c r="AU99" i="4"/>
  <c r="AV99" i="4" s="1"/>
  <c r="AY99" i="4"/>
  <c r="AZ99" i="4" s="1"/>
  <c r="J99" i="4"/>
  <c r="M99" i="4"/>
  <c r="N99" i="4" s="1"/>
  <c r="Q99" i="4"/>
  <c r="R99" i="4" s="1"/>
  <c r="U99" i="4"/>
  <c r="V99" i="4" s="1"/>
  <c r="Y99" i="4"/>
  <c r="Z99" i="4" s="1"/>
  <c r="AC99" i="4"/>
  <c r="AD99" i="4" s="1"/>
  <c r="AG99" i="4"/>
  <c r="AH99" i="4" s="1"/>
  <c r="AK99" i="4"/>
  <c r="AL99" i="4" s="1"/>
  <c r="AO99" i="4"/>
  <c r="AP99" i="4" s="1"/>
  <c r="AS99" i="4"/>
  <c r="AT99" i="4" s="1"/>
  <c r="GI98" i="4"/>
  <c r="GJ98" i="4" s="1"/>
  <c r="GE98" i="4"/>
  <c r="GF98" i="4" s="1"/>
  <c r="GA98" i="4"/>
  <c r="GB98" i="4" s="1"/>
  <c r="FW98" i="4"/>
  <c r="FX98" i="4" s="1"/>
  <c r="FS98" i="4"/>
  <c r="FT98" i="4" s="1"/>
  <c r="FO98" i="4"/>
  <c r="FP98" i="4" s="1"/>
  <c r="FK98" i="4"/>
  <c r="FL98" i="4" s="1"/>
  <c r="FG98" i="4"/>
  <c r="FH98" i="4" s="1"/>
  <c r="FC98" i="4"/>
  <c r="FD98" i="4" s="1"/>
  <c r="EY98" i="4"/>
  <c r="EZ98" i="4" s="1"/>
  <c r="EU98" i="4"/>
  <c r="EV98" i="4" s="1"/>
  <c r="GC98" i="4"/>
  <c r="GD98" i="4" s="1"/>
  <c r="FQ98" i="4"/>
  <c r="FR98" i="4" s="1"/>
  <c r="FI98" i="4"/>
  <c r="FJ98" i="4" s="1"/>
  <c r="EW98" i="4"/>
  <c r="EX98" i="4" s="1"/>
  <c r="FU98" i="4"/>
  <c r="FV98" i="4" s="1"/>
  <c r="FE98" i="4"/>
  <c r="FF98" i="4" s="1"/>
  <c r="ET98" i="4"/>
  <c r="GG98" i="4"/>
  <c r="GH98" i="4" s="1"/>
  <c r="FY98" i="4"/>
  <c r="FZ98" i="4" s="1"/>
  <c r="FM98" i="4"/>
  <c r="FN98" i="4" s="1"/>
  <c r="FA98" i="4"/>
  <c r="FB98" i="4" s="1"/>
  <c r="CM98" i="4"/>
  <c r="CN98" i="4" s="1"/>
  <c r="CQ98" i="4"/>
  <c r="CR98" i="4" s="1"/>
  <c r="CU98" i="4"/>
  <c r="CV98" i="4" s="1"/>
  <c r="CY98" i="4"/>
  <c r="CZ98" i="4" s="1"/>
  <c r="DC98" i="4"/>
  <c r="DD98" i="4" s="1"/>
  <c r="DG98" i="4"/>
  <c r="DH98" i="4" s="1"/>
  <c r="DK98" i="4"/>
  <c r="DL98" i="4" s="1"/>
  <c r="AO97" i="4"/>
  <c r="AP97" i="4" s="1"/>
  <c r="AS97" i="4"/>
  <c r="AT97" i="4" s="1"/>
  <c r="AW96" i="4"/>
  <c r="AX96" i="4" s="1"/>
  <c r="AS96" i="4"/>
  <c r="AT96" i="4" s="1"/>
  <c r="AO96" i="4"/>
  <c r="AP96" i="4" s="1"/>
  <c r="AK96" i="4"/>
  <c r="AL96" i="4" s="1"/>
  <c r="AG96" i="4"/>
  <c r="AH96" i="4" s="1"/>
  <c r="AC96" i="4"/>
  <c r="AD96" i="4" s="1"/>
  <c r="Y96" i="4"/>
  <c r="Z96" i="4" s="1"/>
  <c r="U96" i="4"/>
  <c r="V96" i="4" s="1"/>
  <c r="Q96" i="4"/>
  <c r="R96" i="4" s="1"/>
  <c r="M96" i="4"/>
  <c r="N96" i="4" s="1"/>
  <c r="J96" i="4"/>
  <c r="AQ96" i="4"/>
  <c r="AR96" i="4" s="1"/>
  <c r="AE96" i="4"/>
  <c r="AF96" i="4" s="1"/>
  <c r="S96" i="4"/>
  <c r="T96" i="4" s="1"/>
  <c r="AY96" i="4"/>
  <c r="AZ96" i="4" s="1"/>
  <c r="AM96" i="4"/>
  <c r="AN96" i="4" s="1"/>
  <c r="AA96" i="4"/>
  <c r="AB96" i="4" s="1"/>
  <c r="O96" i="4"/>
  <c r="P96" i="4" s="1"/>
  <c r="AU96" i="4"/>
  <c r="AV96" i="4" s="1"/>
  <c r="AI96" i="4"/>
  <c r="AJ96" i="4" s="1"/>
  <c r="W96" i="4"/>
  <c r="X96" i="4" s="1"/>
  <c r="K96" i="4"/>
  <c r="L96" i="4" s="1"/>
  <c r="BZ96" i="4"/>
  <c r="CA95" i="4"/>
  <c r="ER95" i="4"/>
  <c r="ES95" i="4" s="1"/>
  <c r="S95" i="4"/>
  <c r="T95" i="4" s="1"/>
  <c r="AM95" i="4"/>
  <c r="AN95" i="4" s="1"/>
  <c r="Q95" i="4"/>
  <c r="R95" i="4" s="1"/>
  <c r="AK95" i="4"/>
  <c r="AL95" i="4" s="1"/>
  <c r="GI94" i="4"/>
  <c r="GJ94" i="4" s="1"/>
  <c r="GE94" i="4"/>
  <c r="GF94" i="4" s="1"/>
  <c r="GA94" i="4"/>
  <c r="GB94" i="4" s="1"/>
  <c r="FW94" i="4"/>
  <c r="FX94" i="4" s="1"/>
  <c r="FS94" i="4"/>
  <c r="FT94" i="4" s="1"/>
  <c r="FO94" i="4"/>
  <c r="FP94" i="4" s="1"/>
  <c r="FK94" i="4"/>
  <c r="FL94" i="4" s="1"/>
  <c r="FG94" i="4"/>
  <c r="FH94" i="4" s="1"/>
  <c r="FC94" i="4"/>
  <c r="FD94" i="4" s="1"/>
  <c r="EY94" i="4"/>
  <c r="EZ94" i="4" s="1"/>
  <c r="EU94" i="4"/>
  <c r="EV94" i="4" s="1"/>
  <c r="FU94" i="4"/>
  <c r="FV94" i="4" s="1"/>
  <c r="FE94" i="4"/>
  <c r="FF94" i="4" s="1"/>
  <c r="GC94" i="4"/>
  <c r="GD94" i="4" s="1"/>
  <c r="FQ94" i="4"/>
  <c r="FR94" i="4" s="1"/>
  <c r="FI94" i="4"/>
  <c r="FJ94" i="4" s="1"/>
  <c r="EW94" i="4"/>
  <c r="EX94" i="4" s="1"/>
  <c r="GG94" i="4"/>
  <c r="GH94" i="4" s="1"/>
  <c r="FY94" i="4"/>
  <c r="FZ94" i="4" s="1"/>
  <c r="FM94" i="4"/>
  <c r="FN94" i="4" s="1"/>
  <c r="FA94" i="4"/>
  <c r="FB94" i="4" s="1"/>
  <c r="ET94" i="4"/>
  <c r="AI94" i="4"/>
  <c r="AJ94" i="4" s="1"/>
  <c r="CE94" i="4"/>
  <c r="CF94" i="4" s="1"/>
  <c r="CI94" i="4"/>
  <c r="CJ94" i="4" s="1"/>
  <c r="CM94" i="4"/>
  <c r="CN94" i="4" s="1"/>
  <c r="CQ94" i="4"/>
  <c r="CR94" i="4" s="1"/>
  <c r="CU94" i="4"/>
  <c r="CV94" i="4" s="1"/>
  <c r="CY94" i="4"/>
  <c r="CZ94" i="4" s="1"/>
  <c r="DC94" i="4"/>
  <c r="DD94" i="4" s="1"/>
  <c r="DG94" i="4"/>
  <c r="DH94" i="4" s="1"/>
  <c r="DK94" i="4"/>
  <c r="DL94" i="4" s="1"/>
  <c r="GI93" i="4"/>
  <c r="GJ93" i="4" s="1"/>
  <c r="GE93" i="4"/>
  <c r="GF93" i="4" s="1"/>
  <c r="GA93" i="4"/>
  <c r="GB93" i="4" s="1"/>
  <c r="FW93" i="4"/>
  <c r="FX93" i="4" s="1"/>
  <c r="FS93" i="4"/>
  <c r="FT93" i="4" s="1"/>
  <c r="FO93" i="4"/>
  <c r="FP93" i="4" s="1"/>
  <c r="FK93" i="4"/>
  <c r="FL93" i="4" s="1"/>
  <c r="FG93" i="4"/>
  <c r="FH93" i="4" s="1"/>
  <c r="FC93" i="4"/>
  <c r="FD93" i="4" s="1"/>
  <c r="EY93" i="4"/>
  <c r="EZ93" i="4" s="1"/>
  <c r="EU93" i="4"/>
  <c r="EV93" i="4" s="1"/>
  <c r="GG93" i="4"/>
  <c r="GH93" i="4" s="1"/>
  <c r="GC93" i="4"/>
  <c r="GD93" i="4" s="1"/>
  <c r="FY93" i="4"/>
  <c r="FZ93" i="4" s="1"/>
  <c r="FU93" i="4"/>
  <c r="FV93" i="4" s="1"/>
  <c r="FQ93" i="4"/>
  <c r="FR93" i="4" s="1"/>
  <c r="FM93" i="4"/>
  <c r="FN93" i="4" s="1"/>
  <c r="FI93" i="4"/>
  <c r="FJ93" i="4" s="1"/>
  <c r="FE93" i="4"/>
  <c r="FF93" i="4" s="1"/>
  <c r="FA93" i="4"/>
  <c r="FB93" i="4" s="1"/>
  <c r="EW93" i="4"/>
  <c r="EX93" i="4" s="1"/>
  <c r="ET93" i="4"/>
  <c r="AS93" i="4"/>
  <c r="AT93" i="4" s="1"/>
  <c r="CC93" i="4"/>
  <c r="CD93" i="4" s="1"/>
  <c r="CG93" i="4"/>
  <c r="CH93" i="4" s="1"/>
  <c r="CK93" i="4"/>
  <c r="CL93" i="4" s="1"/>
  <c r="CO93" i="4"/>
  <c r="CP93" i="4" s="1"/>
  <c r="CS93" i="4"/>
  <c r="CT93" i="4" s="1"/>
  <c r="CW93" i="4"/>
  <c r="CX93" i="4" s="1"/>
  <c r="DA93" i="4"/>
  <c r="DB93" i="4" s="1"/>
  <c r="DE93" i="4"/>
  <c r="DF93" i="4" s="1"/>
  <c r="DI93" i="4"/>
  <c r="DJ93" i="4" s="1"/>
  <c r="DM93" i="4"/>
  <c r="DN93" i="4" s="1"/>
  <c r="DQ93" i="4"/>
  <c r="DR93" i="4" s="1"/>
  <c r="CB93" i="4"/>
  <c r="CE93" i="4"/>
  <c r="CF93" i="4" s="1"/>
  <c r="CI93" i="4"/>
  <c r="CJ93" i="4" s="1"/>
  <c r="CM93" i="4"/>
  <c r="CN93" i="4" s="1"/>
  <c r="CQ93" i="4"/>
  <c r="CR93" i="4" s="1"/>
  <c r="CU93" i="4"/>
  <c r="CV93" i="4" s="1"/>
  <c r="CY93" i="4"/>
  <c r="CZ93" i="4" s="1"/>
  <c r="DC93" i="4"/>
  <c r="DD93" i="4" s="1"/>
  <c r="DG93" i="4"/>
  <c r="DH93" i="4" s="1"/>
  <c r="DK93" i="4"/>
  <c r="DL93" i="4" s="1"/>
  <c r="I104" i="4"/>
  <c r="BZ104" i="4"/>
  <c r="BZ108" i="4"/>
  <c r="I108" i="4"/>
  <c r="I92" i="4"/>
  <c r="BZ92" i="4"/>
  <c r="H113" i="4"/>
  <c r="BZ113" i="4" s="1"/>
  <c r="BZ22" i="4"/>
  <c r="ER22" i="4" s="1"/>
  <c r="ES22" i="4" s="1"/>
  <c r="FW22" i="4" s="1"/>
  <c r="FX22" i="4" s="1"/>
  <c r="AI22" i="4"/>
  <c r="AJ22" i="4" s="1"/>
  <c r="AY22" i="4"/>
  <c r="AZ22" i="4" s="1"/>
  <c r="AU22" i="4"/>
  <c r="AV22" i="4" s="1"/>
  <c r="AQ22" i="4"/>
  <c r="AR22" i="4" s="1"/>
  <c r="AM22" i="4"/>
  <c r="AN22" i="4" s="1"/>
  <c r="AE22" i="4"/>
  <c r="AF22" i="4" s="1"/>
  <c r="AA22" i="4"/>
  <c r="AB22" i="4" s="1"/>
  <c r="W22" i="4"/>
  <c r="X22" i="4" s="1"/>
  <c r="S22" i="4"/>
  <c r="T22" i="4" s="1"/>
  <c r="O22" i="4"/>
  <c r="P22" i="4" s="1"/>
  <c r="K22" i="4"/>
  <c r="L22" i="4" s="1"/>
  <c r="AW22" i="4"/>
  <c r="AX22" i="4" s="1"/>
  <c r="AS22" i="4"/>
  <c r="AT22" i="4" s="1"/>
  <c r="AO22" i="4"/>
  <c r="AP22" i="4" s="1"/>
  <c r="AK22" i="4"/>
  <c r="AL22" i="4" s="1"/>
  <c r="AG22" i="4"/>
  <c r="AH22" i="4" s="1"/>
  <c r="AC22" i="4"/>
  <c r="AD22" i="4" s="1"/>
  <c r="Y22" i="4"/>
  <c r="Z22" i="4" s="1"/>
  <c r="U22" i="4"/>
  <c r="V22" i="4" s="1"/>
  <c r="Q22" i="4"/>
  <c r="R22" i="4" s="1"/>
  <c r="M22" i="4"/>
  <c r="N22" i="4" s="1"/>
  <c r="J22" i="4"/>
  <c r="CA110" i="4"/>
  <c r="ER110" i="4"/>
  <c r="ES110" i="4" s="1"/>
  <c r="Y110" i="4"/>
  <c r="Z110" i="4" s="1"/>
  <c r="AM110" i="4"/>
  <c r="AN110" i="4" s="1"/>
  <c r="AW69" i="4"/>
  <c r="AX69" i="4" s="1"/>
  <c r="AS69" i="4"/>
  <c r="AT69" i="4" s="1"/>
  <c r="AO69" i="4"/>
  <c r="AP69" i="4" s="1"/>
  <c r="AK69" i="4"/>
  <c r="AL69" i="4" s="1"/>
  <c r="AG69" i="4"/>
  <c r="AH69" i="4" s="1"/>
  <c r="AC69" i="4"/>
  <c r="AD69" i="4" s="1"/>
  <c r="Y69" i="4"/>
  <c r="Z69" i="4" s="1"/>
  <c r="U69" i="4"/>
  <c r="V69" i="4" s="1"/>
  <c r="Q69" i="4"/>
  <c r="R69" i="4" s="1"/>
  <c r="M69" i="4"/>
  <c r="N69" i="4" s="1"/>
  <c r="J69" i="4"/>
  <c r="AU69" i="4"/>
  <c r="AV69" i="4" s="1"/>
  <c r="AI69" i="4"/>
  <c r="AJ69" i="4" s="1"/>
  <c r="W69" i="4"/>
  <c r="X69" i="4" s="1"/>
  <c r="AQ69" i="4"/>
  <c r="AR69" i="4" s="1"/>
  <c r="AE69" i="4"/>
  <c r="AF69" i="4" s="1"/>
  <c r="O69" i="4"/>
  <c r="P69" i="4" s="1"/>
  <c r="AY69" i="4"/>
  <c r="AZ69" i="4" s="1"/>
  <c r="AM69" i="4"/>
  <c r="AN69" i="4" s="1"/>
  <c r="AA69" i="4"/>
  <c r="AB69" i="4" s="1"/>
  <c r="S69" i="4"/>
  <c r="T69" i="4" s="1"/>
  <c r="K69" i="4"/>
  <c r="L69" i="4" s="1"/>
  <c r="BZ69" i="4"/>
  <c r="AW86" i="4"/>
  <c r="AX86" i="4" s="1"/>
  <c r="AS86" i="4"/>
  <c r="AT86" i="4" s="1"/>
  <c r="AO86" i="4"/>
  <c r="AP86" i="4" s="1"/>
  <c r="AK86" i="4"/>
  <c r="AL86" i="4" s="1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U86" i="4"/>
  <c r="AV86" i="4" s="1"/>
  <c r="AI86" i="4"/>
  <c r="AJ86" i="4" s="1"/>
  <c r="W86" i="4"/>
  <c r="X86" i="4" s="1"/>
  <c r="K86" i="4"/>
  <c r="L86" i="4" s="1"/>
  <c r="AY86" i="4"/>
  <c r="AZ86" i="4" s="1"/>
  <c r="AM86" i="4"/>
  <c r="AN86" i="4" s="1"/>
  <c r="AA86" i="4"/>
  <c r="AB86" i="4" s="1"/>
  <c r="O86" i="4"/>
  <c r="P86" i="4" s="1"/>
  <c r="AQ86" i="4"/>
  <c r="AR86" i="4" s="1"/>
  <c r="AE86" i="4"/>
  <c r="AF86" i="4" s="1"/>
  <c r="S86" i="4"/>
  <c r="T86" i="4" s="1"/>
  <c r="BZ86" i="4"/>
  <c r="CA85" i="4"/>
  <c r="ER85" i="4"/>
  <c r="ES85" i="4" s="1"/>
  <c r="K85" i="4"/>
  <c r="L85" i="4" s="1"/>
  <c r="O85" i="4"/>
  <c r="P85" i="4" s="1"/>
  <c r="S85" i="4"/>
  <c r="T85" i="4" s="1"/>
  <c r="W85" i="4"/>
  <c r="X85" i="4" s="1"/>
  <c r="AA85" i="4"/>
  <c r="AB85" i="4" s="1"/>
  <c r="AE85" i="4"/>
  <c r="AF85" i="4" s="1"/>
  <c r="AI85" i="4"/>
  <c r="AJ85" i="4" s="1"/>
  <c r="AM85" i="4"/>
  <c r="AN85" i="4" s="1"/>
  <c r="AQ85" i="4"/>
  <c r="AR85" i="4" s="1"/>
  <c r="AU85" i="4"/>
  <c r="AV85" i="4" s="1"/>
  <c r="AY85" i="4"/>
  <c r="AZ85" i="4" s="1"/>
  <c r="J85" i="4"/>
  <c r="M85" i="4"/>
  <c r="N85" i="4" s="1"/>
  <c r="Q85" i="4"/>
  <c r="R85" i="4" s="1"/>
  <c r="U85" i="4"/>
  <c r="V85" i="4" s="1"/>
  <c r="Y85" i="4"/>
  <c r="Z85" i="4" s="1"/>
  <c r="AC85" i="4"/>
  <c r="AD85" i="4" s="1"/>
  <c r="AG85" i="4"/>
  <c r="AH85" i="4" s="1"/>
  <c r="AK85" i="4"/>
  <c r="AL85" i="4" s="1"/>
  <c r="AO85" i="4"/>
  <c r="AP85" i="4" s="1"/>
  <c r="AS85" i="4"/>
  <c r="AT85" i="4" s="1"/>
  <c r="CA84" i="4"/>
  <c r="ER84" i="4"/>
  <c r="ES84" i="4" s="1"/>
  <c r="I88" i="4"/>
  <c r="BZ83" i="4"/>
  <c r="I83" i="4"/>
  <c r="BZ67" i="4"/>
  <c r="I67" i="4"/>
  <c r="H89" i="4"/>
  <c r="I89" i="4" s="1"/>
  <c r="CA66" i="4"/>
  <c r="ER66" i="4"/>
  <c r="ES66" i="4" s="1"/>
  <c r="CA21" i="4"/>
  <c r="DA21" i="4" s="1"/>
  <c r="DB21" i="4" s="1"/>
  <c r="ER21" i="4"/>
  <c r="ES21" i="4" s="1"/>
  <c r="FY21" i="4" s="1"/>
  <c r="FZ21" i="4" s="1"/>
  <c r="ER88" i="4"/>
  <c r="ES88" i="4" s="1"/>
  <c r="CA88" i="4"/>
  <c r="AY64" i="4"/>
  <c r="AZ64" i="4" s="1"/>
  <c r="AU64" i="4"/>
  <c r="AV64" i="4" s="1"/>
  <c r="AQ64" i="4"/>
  <c r="AR64" i="4" s="1"/>
  <c r="AM64" i="4"/>
  <c r="AN64" i="4" s="1"/>
  <c r="AI64" i="4"/>
  <c r="AJ64" i="4" s="1"/>
  <c r="AE64" i="4"/>
  <c r="AF64" i="4" s="1"/>
  <c r="AA64" i="4"/>
  <c r="AB64" i="4" s="1"/>
  <c r="W64" i="4"/>
  <c r="X64" i="4" s="1"/>
  <c r="S64" i="4"/>
  <c r="T64" i="4" s="1"/>
  <c r="O64" i="4"/>
  <c r="P64" i="4" s="1"/>
  <c r="K64" i="4"/>
  <c r="L64" i="4" s="1"/>
  <c r="AW64" i="4"/>
  <c r="AX64" i="4" s="1"/>
  <c r="AS64" i="4"/>
  <c r="AT64" i="4" s="1"/>
  <c r="AO64" i="4"/>
  <c r="AP64" i="4" s="1"/>
  <c r="AK64" i="4"/>
  <c r="AL64" i="4" s="1"/>
  <c r="AG64" i="4"/>
  <c r="AH64" i="4" s="1"/>
  <c r="AC64" i="4"/>
  <c r="AD64" i="4" s="1"/>
  <c r="Y64" i="4"/>
  <c r="Z64" i="4" s="1"/>
  <c r="U64" i="4"/>
  <c r="V64" i="4" s="1"/>
  <c r="Q64" i="4"/>
  <c r="R64" i="4" s="1"/>
  <c r="M64" i="4"/>
  <c r="N64" i="4" s="1"/>
  <c r="J64" i="4"/>
  <c r="ET63" i="4"/>
  <c r="FI63" i="4"/>
  <c r="FJ63" i="4" s="1"/>
  <c r="DO63" i="4"/>
  <c r="DP63" i="4" s="1"/>
  <c r="DK63" i="4"/>
  <c r="DL63" i="4" s="1"/>
  <c r="DG63" i="4"/>
  <c r="DH63" i="4" s="1"/>
  <c r="DC63" i="4"/>
  <c r="DD63" i="4" s="1"/>
  <c r="CY63" i="4"/>
  <c r="CZ63" i="4" s="1"/>
  <c r="CU63" i="4"/>
  <c r="CV63" i="4" s="1"/>
  <c r="CQ63" i="4"/>
  <c r="CR63" i="4" s="1"/>
  <c r="CM63" i="4"/>
  <c r="CN63" i="4" s="1"/>
  <c r="CI63" i="4"/>
  <c r="CJ63" i="4" s="1"/>
  <c r="CE63" i="4"/>
  <c r="CF63" i="4" s="1"/>
  <c r="CB63" i="4"/>
  <c r="I21" i="4"/>
  <c r="GI63" i="4"/>
  <c r="GJ63" i="4" s="1"/>
  <c r="GE63" i="4"/>
  <c r="GF63" i="4" s="1"/>
  <c r="GA63" i="4"/>
  <c r="GB63" i="4" s="1"/>
  <c r="FW63" i="4"/>
  <c r="FX63" i="4" s="1"/>
  <c r="FS63" i="4"/>
  <c r="FT63" i="4" s="1"/>
  <c r="FO63" i="4"/>
  <c r="FP63" i="4" s="1"/>
  <c r="FK63" i="4"/>
  <c r="FL63" i="4" s="1"/>
  <c r="FG63" i="4"/>
  <c r="FH63" i="4" s="1"/>
  <c r="FC63" i="4"/>
  <c r="FD63" i="4" s="1"/>
  <c r="EY63" i="4"/>
  <c r="EZ63" i="4" s="1"/>
  <c r="EU63" i="4"/>
  <c r="EV63" i="4" s="1"/>
  <c r="D27" i="4"/>
  <c r="H27" i="4" s="1"/>
  <c r="I27" i="4" s="1"/>
  <c r="J27" i="4" s="1"/>
  <c r="CA46" i="4"/>
  <c r="ER46" i="4"/>
  <c r="ES46" i="4" s="1"/>
  <c r="ER47" i="4"/>
  <c r="ES47" i="4" s="1"/>
  <c r="CA47" i="4"/>
  <c r="AS47" i="4"/>
  <c r="AT47" i="4" s="1"/>
  <c r="AS44" i="4"/>
  <c r="AT44" i="4" s="1"/>
  <c r="AW44" i="4"/>
  <c r="AX44" i="4" s="1"/>
  <c r="AO43" i="4"/>
  <c r="AP43" i="4" s="1"/>
  <c r="AS43" i="4"/>
  <c r="AT43" i="4" s="1"/>
  <c r="CA42" i="4"/>
  <c r="ER42" i="4"/>
  <c r="ES42" i="4" s="1"/>
  <c r="I42" i="4"/>
  <c r="BZ39" i="4"/>
  <c r="I39" i="4"/>
  <c r="AC40" i="4"/>
  <c r="AD40" i="4" s="1"/>
  <c r="AG40" i="4"/>
  <c r="AH40" i="4" s="1"/>
  <c r="AS40" i="4"/>
  <c r="AT40" i="4" s="1"/>
  <c r="AW40" i="4"/>
  <c r="AX40" i="4" s="1"/>
  <c r="CA38" i="4"/>
  <c r="ER38" i="4"/>
  <c r="ES38" i="4" s="1"/>
  <c r="W38" i="4"/>
  <c r="X38" i="4" s="1"/>
  <c r="AM38" i="4"/>
  <c r="AN38" i="4" s="1"/>
  <c r="H54" i="4"/>
  <c r="BZ54" i="4" s="1"/>
  <c r="U38" i="4"/>
  <c r="V38" i="4" s="1"/>
  <c r="AK38" i="4"/>
  <c r="AL38" i="4" s="1"/>
  <c r="CA37" i="4"/>
  <c r="ER37" i="4"/>
  <c r="ES37" i="4" s="1"/>
  <c r="GI36" i="4"/>
  <c r="GJ36" i="4" s="1"/>
  <c r="GE36" i="4"/>
  <c r="GF36" i="4" s="1"/>
  <c r="GA36" i="4"/>
  <c r="GB36" i="4" s="1"/>
  <c r="FW36" i="4"/>
  <c r="FX36" i="4" s="1"/>
  <c r="FS36" i="4"/>
  <c r="FT36" i="4" s="1"/>
  <c r="FO36" i="4"/>
  <c r="FP36" i="4" s="1"/>
  <c r="FK36" i="4"/>
  <c r="FL36" i="4" s="1"/>
  <c r="FG36" i="4"/>
  <c r="FH36" i="4" s="1"/>
  <c r="FC36" i="4"/>
  <c r="FD36" i="4" s="1"/>
  <c r="EY36" i="4"/>
  <c r="EZ36" i="4" s="1"/>
  <c r="EU36" i="4"/>
  <c r="EV36" i="4" s="1"/>
  <c r="GG36" i="4"/>
  <c r="GH36" i="4" s="1"/>
  <c r="GC36" i="4"/>
  <c r="GD36" i="4" s="1"/>
  <c r="FY36" i="4"/>
  <c r="FZ36" i="4" s="1"/>
  <c r="FU36" i="4"/>
  <c r="FV36" i="4" s="1"/>
  <c r="FQ36" i="4"/>
  <c r="FR36" i="4" s="1"/>
  <c r="FM36" i="4"/>
  <c r="FN36" i="4" s="1"/>
  <c r="FI36" i="4"/>
  <c r="FJ36" i="4" s="1"/>
  <c r="FE36" i="4"/>
  <c r="FF36" i="4" s="1"/>
  <c r="FA36" i="4"/>
  <c r="FB36" i="4" s="1"/>
  <c r="EW36" i="4"/>
  <c r="EX36" i="4" s="1"/>
  <c r="ET36" i="4"/>
  <c r="AK36" i="4"/>
  <c r="AL36" i="4" s="1"/>
  <c r="AO36" i="4"/>
  <c r="AP36" i="4" s="1"/>
  <c r="AS36" i="4"/>
  <c r="AT36" i="4" s="1"/>
  <c r="AW36" i="4"/>
  <c r="AX36" i="4" s="1"/>
  <c r="CC36" i="4"/>
  <c r="CD36" i="4" s="1"/>
  <c r="CG36" i="4"/>
  <c r="CH36" i="4" s="1"/>
  <c r="CK36" i="4"/>
  <c r="CL36" i="4" s="1"/>
  <c r="CO36" i="4"/>
  <c r="CP36" i="4" s="1"/>
  <c r="CS36" i="4"/>
  <c r="CT36" i="4" s="1"/>
  <c r="CW36" i="4"/>
  <c r="CX36" i="4" s="1"/>
  <c r="DA36" i="4"/>
  <c r="DB36" i="4" s="1"/>
  <c r="DE36" i="4"/>
  <c r="DF36" i="4" s="1"/>
  <c r="DI36" i="4"/>
  <c r="DJ36" i="4" s="1"/>
  <c r="DM36" i="4"/>
  <c r="DN36" i="4" s="1"/>
  <c r="DQ36" i="4"/>
  <c r="DR36" i="4" s="1"/>
  <c r="AM36" i="4"/>
  <c r="AN36" i="4" s="1"/>
  <c r="AQ36" i="4"/>
  <c r="AR36" i="4" s="1"/>
  <c r="AU36" i="4"/>
  <c r="AV36" i="4" s="1"/>
  <c r="CB36" i="4"/>
  <c r="CE36" i="4"/>
  <c r="CF36" i="4" s="1"/>
  <c r="CI36" i="4"/>
  <c r="CJ36" i="4" s="1"/>
  <c r="CM36" i="4"/>
  <c r="CN36" i="4" s="1"/>
  <c r="CQ36" i="4"/>
  <c r="CR36" i="4" s="1"/>
  <c r="CU36" i="4"/>
  <c r="CV36" i="4" s="1"/>
  <c r="CY36" i="4"/>
  <c r="CZ36" i="4" s="1"/>
  <c r="DC36" i="4"/>
  <c r="DD36" i="4" s="1"/>
  <c r="DG36" i="4"/>
  <c r="DH36" i="4" s="1"/>
  <c r="DK36" i="4"/>
  <c r="DL36" i="4" s="1"/>
  <c r="ER35" i="4"/>
  <c r="ES35" i="4" s="1"/>
  <c r="CA35" i="4"/>
  <c r="AU35" i="4"/>
  <c r="AV35" i="4" s="1"/>
  <c r="AY35" i="4"/>
  <c r="AZ35" i="4" s="1"/>
  <c r="AK35" i="4"/>
  <c r="AL35" i="4" s="1"/>
  <c r="AO35" i="4"/>
  <c r="AP35" i="4" s="1"/>
  <c r="AS35" i="4"/>
  <c r="AT35" i="4" s="1"/>
  <c r="H52" i="4"/>
  <c r="H19" i="4"/>
  <c r="ER34" i="4"/>
  <c r="ES34" i="4" s="1"/>
  <c r="CA34" i="4"/>
  <c r="AY34" i="4"/>
  <c r="AZ34" i="4" s="1"/>
  <c r="AU34" i="4"/>
  <c r="AV34" i="4" s="1"/>
  <c r="AQ34" i="4"/>
  <c r="AR34" i="4" s="1"/>
  <c r="AM34" i="4"/>
  <c r="AN34" i="4" s="1"/>
  <c r="AI34" i="4"/>
  <c r="AJ34" i="4" s="1"/>
  <c r="AE34" i="4"/>
  <c r="AF34" i="4" s="1"/>
  <c r="AA34" i="4"/>
  <c r="AB34" i="4" s="1"/>
  <c r="W34" i="4"/>
  <c r="X34" i="4" s="1"/>
  <c r="S34" i="4"/>
  <c r="T34" i="4" s="1"/>
  <c r="O34" i="4"/>
  <c r="P34" i="4" s="1"/>
  <c r="K34" i="4"/>
  <c r="L34" i="4" s="1"/>
  <c r="AO34" i="4"/>
  <c r="AP34" i="4" s="1"/>
  <c r="Y34" i="4"/>
  <c r="Z34" i="4" s="1"/>
  <c r="J34" i="4"/>
  <c r="GG105" i="4" l="1"/>
  <c r="GH105" i="4" s="1"/>
  <c r="GC105" i="4"/>
  <c r="GD105" i="4" s="1"/>
  <c r="FY105" i="4"/>
  <c r="FZ105" i="4" s="1"/>
  <c r="FU105" i="4"/>
  <c r="FV105" i="4" s="1"/>
  <c r="FQ105" i="4"/>
  <c r="FR105" i="4" s="1"/>
  <c r="FM105" i="4"/>
  <c r="FN105" i="4" s="1"/>
  <c r="FI105" i="4"/>
  <c r="FJ105" i="4" s="1"/>
  <c r="FE105" i="4"/>
  <c r="FF105" i="4" s="1"/>
  <c r="FA105" i="4"/>
  <c r="FB105" i="4" s="1"/>
  <c r="EW105" i="4"/>
  <c r="EX105" i="4" s="1"/>
  <c r="ET105" i="4"/>
  <c r="GE105" i="4"/>
  <c r="GF105" i="4" s="1"/>
  <c r="FW105" i="4"/>
  <c r="FX105" i="4" s="1"/>
  <c r="FO105" i="4"/>
  <c r="FP105" i="4" s="1"/>
  <c r="FG105" i="4"/>
  <c r="FH105" i="4" s="1"/>
  <c r="EY105" i="4"/>
  <c r="EZ105" i="4" s="1"/>
  <c r="GI105" i="4"/>
  <c r="GJ105" i="4" s="1"/>
  <c r="GA105" i="4"/>
  <c r="GB105" i="4" s="1"/>
  <c r="FS105" i="4"/>
  <c r="FT105" i="4" s="1"/>
  <c r="FK105" i="4"/>
  <c r="FL105" i="4" s="1"/>
  <c r="FC105" i="4"/>
  <c r="FD105" i="4" s="1"/>
  <c r="EU105" i="4"/>
  <c r="EV105" i="4" s="1"/>
  <c r="AY151" i="4"/>
  <c r="AZ151" i="4" s="1"/>
  <c r="AQ151" i="4"/>
  <c r="AR151" i="4" s="1"/>
  <c r="AI151" i="4"/>
  <c r="AJ151" i="4" s="1"/>
  <c r="AA151" i="4"/>
  <c r="AB151" i="4" s="1"/>
  <c r="S151" i="4"/>
  <c r="T151" i="4" s="1"/>
  <c r="K151" i="4"/>
  <c r="L151" i="4" s="1"/>
  <c r="AS151" i="4"/>
  <c r="AT151" i="4" s="1"/>
  <c r="AK151" i="4"/>
  <c r="AL151" i="4" s="1"/>
  <c r="AC151" i="4"/>
  <c r="AD151" i="4" s="1"/>
  <c r="U151" i="4"/>
  <c r="V151" i="4" s="1"/>
  <c r="M151" i="4"/>
  <c r="N151" i="4" s="1"/>
  <c r="AM151" i="4"/>
  <c r="AN151" i="4" s="1"/>
  <c r="W151" i="4"/>
  <c r="X151" i="4" s="1"/>
  <c r="AO151" i="4"/>
  <c r="AP151" i="4" s="1"/>
  <c r="Y151" i="4"/>
  <c r="Z151" i="4" s="1"/>
  <c r="J151" i="4"/>
  <c r="AE151" i="4"/>
  <c r="AF151" i="4" s="1"/>
  <c r="AG151" i="4"/>
  <c r="AH151" i="4" s="1"/>
  <c r="O151" i="4"/>
  <c r="P151" i="4" s="1"/>
  <c r="Q151" i="4"/>
  <c r="R151" i="4" s="1"/>
  <c r="AU151" i="4"/>
  <c r="AV151" i="4" s="1"/>
  <c r="AW151" i="4"/>
  <c r="AX151" i="4" s="1"/>
  <c r="DQ72" i="4"/>
  <c r="DR72" i="4" s="1"/>
  <c r="DM72" i="4"/>
  <c r="DN72" i="4" s="1"/>
  <c r="DI72" i="4"/>
  <c r="DJ72" i="4" s="1"/>
  <c r="DE72" i="4"/>
  <c r="DF72" i="4" s="1"/>
  <c r="DA72" i="4"/>
  <c r="DB72" i="4" s="1"/>
  <c r="CW72" i="4"/>
  <c r="CX72" i="4" s="1"/>
  <c r="CS72" i="4"/>
  <c r="CT72" i="4" s="1"/>
  <c r="CO72" i="4"/>
  <c r="CP72" i="4" s="1"/>
  <c r="CK72" i="4"/>
  <c r="CL72" i="4" s="1"/>
  <c r="CG72" i="4"/>
  <c r="CH72" i="4" s="1"/>
  <c r="CC72" i="4"/>
  <c r="CD72" i="4" s="1"/>
  <c r="DO72" i="4"/>
  <c r="DP72" i="4" s="1"/>
  <c r="DG72" i="4"/>
  <c r="DH72" i="4" s="1"/>
  <c r="CY72" i="4"/>
  <c r="CZ72" i="4" s="1"/>
  <c r="CQ72" i="4"/>
  <c r="CR72" i="4" s="1"/>
  <c r="CI72" i="4"/>
  <c r="CJ72" i="4" s="1"/>
  <c r="CB72" i="4"/>
  <c r="DK72" i="4"/>
  <c r="DL72" i="4" s="1"/>
  <c r="DC72" i="4"/>
  <c r="DD72" i="4" s="1"/>
  <c r="CU72" i="4"/>
  <c r="CV72" i="4" s="1"/>
  <c r="CM72" i="4"/>
  <c r="CN72" i="4" s="1"/>
  <c r="CE72" i="4"/>
  <c r="CF72" i="4" s="1"/>
  <c r="DQ65" i="4"/>
  <c r="DR65" i="4" s="1"/>
  <c r="DM65" i="4"/>
  <c r="DN65" i="4" s="1"/>
  <c r="DI65" i="4"/>
  <c r="DJ65" i="4" s="1"/>
  <c r="DE65" i="4"/>
  <c r="DF65" i="4" s="1"/>
  <c r="DA65" i="4"/>
  <c r="DB65" i="4" s="1"/>
  <c r="CW65" i="4"/>
  <c r="CX65" i="4" s="1"/>
  <c r="CS65" i="4"/>
  <c r="CT65" i="4" s="1"/>
  <c r="CO65" i="4"/>
  <c r="CP65" i="4" s="1"/>
  <c r="CK65" i="4"/>
  <c r="CL65" i="4" s="1"/>
  <c r="CG65" i="4"/>
  <c r="CH65" i="4" s="1"/>
  <c r="CC65" i="4"/>
  <c r="CD65" i="4" s="1"/>
  <c r="DK65" i="4"/>
  <c r="DL65" i="4" s="1"/>
  <c r="DC65" i="4"/>
  <c r="DD65" i="4" s="1"/>
  <c r="CU65" i="4"/>
  <c r="CV65" i="4" s="1"/>
  <c r="CM65" i="4"/>
  <c r="CN65" i="4" s="1"/>
  <c r="CE65" i="4"/>
  <c r="CF65" i="4" s="1"/>
  <c r="DO65" i="4"/>
  <c r="DP65" i="4" s="1"/>
  <c r="DG65" i="4"/>
  <c r="DH65" i="4" s="1"/>
  <c r="CY65" i="4"/>
  <c r="CZ65" i="4" s="1"/>
  <c r="CQ65" i="4"/>
  <c r="CR65" i="4" s="1"/>
  <c r="CI65" i="4"/>
  <c r="CJ65" i="4" s="1"/>
  <c r="CB65" i="4"/>
  <c r="AU37" i="4"/>
  <c r="AV37" i="4" s="1"/>
  <c r="AS38" i="4"/>
  <c r="AT38" i="4" s="1"/>
  <c r="AC38" i="4"/>
  <c r="AD38" i="4" s="1"/>
  <c r="M38" i="4"/>
  <c r="N38" i="4" s="1"/>
  <c r="AU38" i="4"/>
  <c r="AV38" i="4" s="1"/>
  <c r="O38" i="4"/>
  <c r="P38" i="4" s="1"/>
  <c r="ER43" i="4"/>
  <c r="ES43" i="4" s="1"/>
  <c r="FU43" i="4" s="1"/>
  <c r="FV43" i="4" s="1"/>
  <c r="AO38" i="4"/>
  <c r="AP38" i="4" s="1"/>
  <c r="Y38" i="4"/>
  <c r="Z38" i="4" s="1"/>
  <c r="J38" i="4"/>
  <c r="AQ38" i="4"/>
  <c r="AR38" i="4" s="1"/>
  <c r="AA38" i="4"/>
  <c r="AB38" i="4" s="1"/>
  <c r="K38" i="4"/>
  <c r="L38" i="4" s="1"/>
  <c r="AE110" i="4"/>
  <c r="AF110" i="4" s="1"/>
  <c r="Q110" i="4"/>
  <c r="R110" i="4" s="1"/>
  <c r="AW110" i="4"/>
  <c r="AX110" i="4" s="1"/>
  <c r="AM94" i="4"/>
  <c r="AN94" i="4" s="1"/>
  <c r="AO95" i="4"/>
  <c r="AP95" i="4" s="1"/>
  <c r="U95" i="4"/>
  <c r="V95" i="4" s="1"/>
  <c r="AU95" i="4"/>
  <c r="AV95" i="4" s="1"/>
  <c r="W95" i="4"/>
  <c r="X95" i="4" s="1"/>
  <c r="DK146" i="4"/>
  <c r="DL146" i="4" s="1"/>
  <c r="CU146" i="4"/>
  <c r="CV146" i="4" s="1"/>
  <c r="CE146" i="4"/>
  <c r="CF146" i="4" s="1"/>
  <c r="DM146" i="4"/>
  <c r="DN146" i="4" s="1"/>
  <c r="CW146" i="4"/>
  <c r="CX146" i="4" s="1"/>
  <c r="CG146" i="4"/>
  <c r="CH146" i="4" s="1"/>
  <c r="EW146" i="4"/>
  <c r="EX146" i="4" s="1"/>
  <c r="FM146" i="4"/>
  <c r="FN146" i="4" s="1"/>
  <c r="GC146" i="4"/>
  <c r="GD146" i="4" s="1"/>
  <c r="FC146" i="4"/>
  <c r="FD146" i="4" s="1"/>
  <c r="FS146" i="4"/>
  <c r="FT146" i="4" s="1"/>
  <c r="GI146" i="4"/>
  <c r="GJ146" i="4" s="1"/>
  <c r="AQ153" i="4"/>
  <c r="AR153" i="4" s="1"/>
  <c r="O153" i="4"/>
  <c r="P153" i="4" s="1"/>
  <c r="Q153" i="4"/>
  <c r="R153" i="4" s="1"/>
  <c r="AK153" i="4"/>
  <c r="AL153" i="4" s="1"/>
  <c r="U53" i="4"/>
  <c r="V53" i="4" s="1"/>
  <c r="AK53" i="4"/>
  <c r="AL53" i="4" s="1"/>
  <c r="K53" i="4"/>
  <c r="L53" i="4" s="1"/>
  <c r="AA53" i="4"/>
  <c r="AB53" i="4" s="1"/>
  <c r="AQ53" i="4"/>
  <c r="AR53" i="4" s="1"/>
  <c r="AA94" i="4"/>
  <c r="AB94" i="4" s="1"/>
  <c r="W94" i="4"/>
  <c r="X94" i="4" s="1"/>
  <c r="U94" i="4"/>
  <c r="V94" i="4" s="1"/>
  <c r="Y94" i="4"/>
  <c r="Z94" i="4" s="1"/>
  <c r="AY132" i="4"/>
  <c r="AZ132" i="4" s="1"/>
  <c r="AU132" i="4"/>
  <c r="AV132" i="4" s="1"/>
  <c r="AQ132" i="4"/>
  <c r="AR132" i="4" s="1"/>
  <c r="AM132" i="4"/>
  <c r="AN132" i="4" s="1"/>
  <c r="AI132" i="4"/>
  <c r="AJ132" i="4" s="1"/>
  <c r="AE132" i="4"/>
  <c r="AF132" i="4" s="1"/>
  <c r="AA132" i="4"/>
  <c r="AB132" i="4" s="1"/>
  <c r="W132" i="4"/>
  <c r="X132" i="4" s="1"/>
  <c r="S132" i="4"/>
  <c r="T132" i="4" s="1"/>
  <c r="O132" i="4"/>
  <c r="P132" i="4" s="1"/>
  <c r="K132" i="4"/>
  <c r="L132" i="4" s="1"/>
  <c r="AS132" i="4"/>
  <c r="AT132" i="4" s="1"/>
  <c r="AK132" i="4"/>
  <c r="AL132" i="4" s="1"/>
  <c r="AC132" i="4"/>
  <c r="AD132" i="4" s="1"/>
  <c r="U132" i="4"/>
  <c r="V132" i="4" s="1"/>
  <c r="M132" i="4"/>
  <c r="N132" i="4" s="1"/>
  <c r="AW132" i="4"/>
  <c r="AX132" i="4" s="1"/>
  <c r="AG132" i="4"/>
  <c r="AH132" i="4" s="1"/>
  <c r="Q132" i="4"/>
  <c r="R132" i="4" s="1"/>
  <c r="AO132" i="4"/>
  <c r="AP132" i="4" s="1"/>
  <c r="J132" i="4"/>
  <c r="Y132" i="4"/>
  <c r="Z132" i="4" s="1"/>
  <c r="DQ105" i="4"/>
  <c r="DR105" i="4" s="1"/>
  <c r="DM105" i="4"/>
  <c r="DN105" i="4" s="1"/>
  <c r="DI105" i="4"/>
  <c r="DJ105" i="4" s="1"/>
  <c r="DE105" i="4"/>
  <c r="DF105" i="4" s="1"/>
  <c r="DA105" i="4"/>
  <c r="DB105" i="4" s="1"/>
  <c r="CW105" i="4"/>
  <c r="CX105" i="4" s="1"/>
  <c r="CS105" i="4"/>
  <c r="CT105" i="4" s="1"/>
  <c r="CO105" i="4"/>
  <c r="CP105" i="4" s="1"/>
  <c r="CK105" i="4"/>
  <c r="CL105" i="4" s="1"/>
  <c r="CG105" i="4"/>
  <c r="CH105" i="4" s="1"/>
  <c r="CC105" i="4"/>
  <c r="CD105" i="4" s="1"/>
  <c r="DK105" i="4"/>
  <c r="DL105" i="4" s="1"/>
  <c r="DC105" i="4"/>
  <c r="DD105" i="4" s="1"/>
  <c r="CU105" i="4"/>
  <c r="CV105" i="4" s="1"/>
  <c r="CM105" i="4"/>
  <c r="CN105" i="4" s="1"/>
  <c r="CE105" i="4"/>
  <c r="CF105" i="4" s="1"/>
  <c r="DO105" i="4"/>
  <c r="DP105" i="4" s="1"/>
  <c r="DG105" i="4"/>
  <c r="DH105" i="4" s="1"/>
  <c r="CY105" i="4"/>
  <c r="CZ105" i="4" s="1"/>
  <c r="CQ105" i="4"/>
  <c r="CR105" i="4" s="1"/>
  <c r="CI105" i="4"/>
  <c r="CJ105" i="4" s="1"/>
  <c r="CB105" i="4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E82" i="4"/>
  <c r="GF82" i="4" s="1"/>
  <c r="FW82" i="4"/>
  <c r="FX82" i="4" s="1"/>
  <c r="FO82" i="4"/>
  <c r="FP82" i="4" s="1"/>
  <c r="FG82" i="4"/>
  <c r="FH82" i="4" s="1"/>
  <c r="EY82" i="4"/>
  <c r="EZ82" i="4" s="1"/>
  <c r="GI82" i="4"/>
  <c r="GJ82" i="4" s="1"/>
  <c r="FS82" i="4"/>
  <c r="FT82" i="4" s="1"/>
  <c r="FC82" i="4"/>
  <c r="FD82" i="4" s="1"/>
  <c r="GA82" i="4"/>
  <c r="GB82" i="4" s="1"/>
  <c r="EU82" i="4"/>
  <c r="EV82" i="4" s="1"/>
  <c r="FK82" i="4"/>
  <c r="FL82" i="4" s="1"/>
  <c r="AW77" i="4"/>
  <c r="AX77" i="4" s="1"/>
  <c r="AS77" i="4"/>
  <c r="AT77" i="4" s="1"/>
  <c r="AO77" i="4"/>
  <c r="AP77" i="4" s="1"/>
  <c r="AK77" i="4"/>
  <c r="AL77" i="4" s="1"/>
  <c r="AG77" i="4"/>
  <c r="AH77" i="4" s="1"/>
  <c r="AC77" i="4"/>
  <c r="AD77" i="4" s="1"/>
  <c r="Y77" i="4"/>
  <c r="Z77" i="4" s="1"/>
  <c r="U77" i="4"/>
  <c r="V77" i="4" s="1"/>
  <c r="Q77" i="4"/>
  <c r="R77" i="4" s="1"/>
  <c r="M77" i="4"/>
  <c r="N77" i="4" s="1"/>
  <c r="J77" i="4"/>
  <c r="AY77" i="4"/>
  <c r="AZ77" i="4" s="1"/>
  <c r="AQ77" i="4"/>
  <c r="AR77" i="4" s="1"/>
  <c r="AI77" i="4"/>
  <c r="AJ77" i="4" s="1"/>
  <c r="AA77" i="4"/>
  <c r="AB77" i="4" s="1"/>
  <c r="S77" i="4"/>
  <c r="T77" i="4" s="1"/>
  <c r="K77" i="4"/>
  <c r="L77" i="4" s="1"/>
  <c r="AU77" i="4"/>
  <c r="AV77" i="4" s="1"/>
  <c r="AE77" i="4"/>
  <c r="AF77" i="4" s="1"/>
  <c r="O77" i="4"/>
  <c r="P77" i="4" s="1"/>
  <c r="AM77" i="4"/>
  <c r="AN77" i="4" s="1"/>
  <c r="W77" i="4"/>
  <c r="X77" i="4" s="1"/>
  <c r="AW93" i="4"/>
  <c r="AX93" i="4" s="1"/>
  <c r="AK93" i="4"/>
  <c r="AL93" i="4" s="1"/>
  <c r="AE93" i="4"/>
  <c r="AF93" i="4" s="1"/>
  <c r="Y93" i="4"/>
  <c r="Z93" i="4" s="1"/>
  <c r="S93" i="4"/>
  <c r="T93" i="4" s="1"/>
  <c r="M93" i="4"/>
  <c r="N93" i="4" s="1"/>
  <c r="AQ93" i="4"/>
  <c r="AR93" i="4" s="1"/>
  <c r="AG93" i="4"/>
  <c r="AH93" i="4" s="1"/>
  <c r="U93" i="4"/>
  <c r="V93" i="4" s="1"/>
  <c r="O93" i="4"/>
  <c r="P93" i="4" s="1"/>
  <c r="J93" i="4"/>
  <c r="AY93" i="4"/>
  <c r="AZ93" i="4" s="1"/>
  <c r="AI93" i="4"/>
  <c r="AJ93" i="4" s="1"/>
  <c r="W93" i="4"/>
  <c r="X93" i="4" s="1"/>
  <c r="K93" i="4"/>
  <c r="L93" i="4" s="1"/>
  <c r="AM93" i="4"/>
  <c r="AN93" i="4" s="1"/>
  <c r="Q93" i="4"/>
  <c r="R93" i="4" s="1"/>
  <c r="AO93" i="4"/>
  <c r="AP93" i="4" s="1"/>
  <c r="AA93" i="4"/>
  <c r="AB93" i="4" s="1"/>
  <c r="AC93" i="4"/>
  <c r="AD93" i="4" s="1"/>
  <c r="ER51" i="4"/>
  <c r="ES51" i="4" s="1"/>
  <c r="CA51" i="4"/>
  <c r="DQ41" i="4"/>
  <c r="DR41" i="4" s="1"/>
  <c r="DM41" i="4"/>
  <c r="DN41" i="4" s="1"/>
  <c r="DI41" i="4"/>
  <c r="DJ41" i="4" s="1"/>
  <c r="DE41" i="4"/>
  <c r="DF41" i="4" s="1"/>
  <c r="DA41" i="4"/>
  <c r="DB41" i="4" s="1"/>
  <c r="CW41" i="4"/>
  <c r="CX41" i="4" s="1"/>
  <c r="CS41" i="4"/>
  <c r="CT41" i="4" s="1"/>
  <c r="CO41" i="4"/>
  <c r="CP41" i="4" s="1"/>
  <c r="CK41" i="4"/>
  <c r="CL41" i="4" s="1"/>
  <c r="CG41" i="4"/>
  <c r="CH41" i="4" s="1"/>
  <c r="CC41" i="4"/>
  <c r="CD41" i="4" s="1"/>
  <c r="DO41" i="4"/>
  <c r="DP41" i="4" s="1"/>
  <c r="DG41" i="4"/>
  <c r="DH41" i="4" s="1"/>
  <c r="CY41" i="4"/>
  <c r="CZ41" i="4" s="1"/>
  <c r="CQ41" i="4"/>
  <c r="CR41" i="4" s="1"/>
  <c r="CI41" i="4"/>
  <c r="CJ41" i="4" s="1"/>
  <c r="CB41" i="4"/>
  <c r="CU41" i="4"/>
  <c r="CV41" i="4" s="1"/>
  <c r="DC41" i="4"/>
  <c r="DD41" i="4" s="1"/>
  <c r="CE41" i="4"/>
  <c r="CF41" i="4" s="1"/>
  <c r="DK41" i="4"/>
  <c r="DL41" i="4" s="1"/>
  <c r="CM41" i="4"/>
  <c r="CN41" i="4" s="1"/>
  <c r="DQ18" i="4"/>
  <c r="DR18" i="4" s="1"/>
  <c r="DM18" i="4"/>
  <c r="DN18" i="4" s="1"/>
  <c r="DI18" i="4"/>
  <c r="DJ18" i="4" s="1"/>
  <c r="DE18" i="4"/>
  <c r="DF18" i="4" s="1"/>
  <c r="DA18" i="4"/>
  <c r="DB18" i="4" s="1"/>
  <c r="CW18" i="4"/>
  <c r="CX18" i="4" s="1"/>
  <c r="CS18" i="4"/>
  <c r="CT18" i="4" s="1"/>
  <c r="CO18" i="4"/>
  <c r="CP18" i="4" s="1"/>
  <c r="CK18" i="4"/>
  <c r="CL18" i="4" s="1"/>
  <c r="CG18" i="4"/>
  <c r="CH18" i="4" s="1"/>
  <c r="CC18" i="4"/>
  <c r="CD18" i="4" s="1"/>
  <c r="DO18" i="4"/>
  <c r="DP18" i="4" s="1"/>
  <c r="DG18" i="4"/>
  <c r="DH18" i="4" s="1"/>
  <c r="CY18" i="4"/>
  <c r="CZ18" i="4" s="1"/>
  <c r="CQ18" i="4"/>
  <c r="CR18" i="4" s="1"/>
  <c r="CI18" i="4"/>
  <c r="CJ18" i="4" s="1"/>
  <c r="CB18" i="4"/>
  <c r="DK18" i="4"/>
  <c r="DL18" i="4" s="1"/>
  <c r="DC18" i="4"/>
  <c r="DD18" i="4" s="1"/>
  <c r="CU18" i="4"/>
  <c r="CV18" i="4" s="1"/>
  <c r="CM18" i="4"/>
  <c r="CN18" i="4" s="1"/>
  <c r="CE18" i="4"/>
  <c r="CF18" i="4" s="1"/>
  <c r="DQ76" i="4"/>
  <c r="DR76" i="4" s="1"/>
  <c r="DM76" i="4"/>
  <c r="DN76" i="4" s="1"/>
  <c r="DI76" i="4"/>
  <c r="DJ76" i="4" s="1"/>
  <c r="DE76" i="4"/>
  <c r="DF76" i="4" s="1"/>
  <c r="DA76" i="4"/>
  <c r="DB76" i="4" s="1"/>
  <c r="CW76" i="4"/>
  <c r="CX76" i="4" s="1"/>
  <c r="CS76" i="4"/>
  <c r="CT76" i="4" s="1"/>
  <c r="CO76" i="4"/>
  <c r="CP76" i="4" s="1"/>
  <c r="CK76" i="4"/>
  <c r="CL76" i="4" s="1"/>
  <c r="CG76" i="4"/>
  <c r="CH76" i="4" s="1"/>
  <c r="CC76" i="4"/>
  <c r="CD76" i="4" s="1"/>
  <c r="DK76" i="4"/>
  <c r="DL76" i="4" s="1"/>
  <c r="DC76" i="4"/>
  <c r="DD76" i="4" s="1"/>
  <c r="CU76" i="4"/>
  <c r="CV76" i="4" s="1"/>
  <c r="CM76" i="4"/>
  <c r="CN76" i="4" s="1"/>
  <c r="CE76" i="4"/>
  <c r="CF76" i="4" s="1"/>
  <c r="DO76" i="4"/>
  <c r="DP76" i="4" s="1"/>
  <c r="CY76" i="4"/>
  <c r="CZ76" i="4" s="1"/>
  <c r="CI76" i="4"/>
  <c r="CJ76" i="4" s="1"/>
  <c r="DG76" i="4"/>
  <c r="DH76" i="4" s="1"/>
  <c r="CQ76" i="4"/>
  <c r="CR76" i="4" s="1"/>
  <c r="CB76" i="4"/>
  <c r="DQ80" i="4"/>
  <c r="DR80" i="4" s="1"/>
  <c r="DM80" i="4"/>
  <c r="DN80" i="4" s="1"/>
  <c r="DI80" i="4"/>
  <c r="DJ80" i="4" s="1"/>
  <c r="DE80" i="4"/>
  <c r="DF80" i="4" s="1"/>
  <c r="DA80" i="4"/>
  <c r="DB80" i="4" s="1"/>
  <c r="CW80" i="4"/>
  <c r="CX80" i="4" s="1"/>
  <c r="CS80" i="4"/>
  <c r="CT80" i="4" s="1"/>
  <c r="CO80" i="4"/>
  <c r="CP80" i="4" s="1"/>
  <c r="CK80" i="4"/>
  <c r="CL80" i="4" s="1"/>
  <c r="CG80" i="4"/>
  <c r="CH80" i="4" s="1"/>
  <c r="CC80" i="4"/>
  <c r="CD80" i="4" s="1"/>
  <c r="DK80" i="4"/>
  <c r="DL80" i="4" s="1"/>
  <c r="DC80" i="4"/>
  <c r="DD80" i="4" s="1"/>
  <c r="CU80" i="4"/>
  <c r="CV80" i="4" s="1"/>
  <c r="CM80" i="4"/>
  <c r="CN80" i="4" s="1"/>
  <c r="CE80" i="4"/>
  <c r="CF80" i="4" s="1"/>
  <c r="DO80" i="4"/>
  <c r="DP80" i="4" s="1"/>
  <c r="CY80" i="4"/>
  <c r="CZ80" i="4" s="1"/>
  <c r="CI80" i="4"/>
  <c r="CJ80" i="4" s="1"/>
  <c r="CB80" i="4"/>
  <c r="CQ80" i="4"/>
  <c r="CR80" i="4" s="1"/>
  <c r="DG80" i="4"/>
  <c r="DH80" i="4" s="1"/>
  <c r="AG38" i="4"/>
  <c r="AH38" i="4" s="1"/>
  <c r="Q38" i="4"/>
  <c r="R38" i="4" s="1"/>
  <c r="AY38" i="4"/>
  <c r="AZ38" i="4" s="1"/>
  <c r="AI38" i="4"/>
  <c r="AJ38" i="4" s="1"/>
  <c r="S38" i="4"/>
  <c r="T38" i="4" s="1"/>
  <c r="O110" i="4"/>
  <c r="P110" i="4" s="1"/>
  <c r="AU110" i="4"/>
  <c r="AV110" i="4" s="1"/>
  <c r="AG110" i="4"/>
  <c r="AH110" i="4" s="1"/>
  <c r="AU94" i="4"/>
  <c r="AV94" i="4" s="1"/>
  <c r="AG95" i="4"/>
  <c r="AH95" i="4" s="1"/>
  <c r="J95" i="4"/>
  <c r="AI95" i="4"/>
  <c r="AJ95" i="4" s="1"/>
  <c r="O95" i="4"/>
  <c r="P95" i="4" s="1"/>
  <c r="DC146" i="4"/>
  <c r="DD146" i="4" s="1"/>
  <c r="CM146" i="4"/>
  <c r="CN146" i="4" s="1"/>
  <c r="DE146" i="4"/>
  <c r="DF146" i="4" s="1"/>
  <c r="CO146" i="4"/>
  <c r="CP146" i="4" s="1"/>
  <c r="FE146" i="4"/>
  <c r="FF146" i="4" s="1"/>
  <c r="FU146" i="4"/>
  <c r="FV146" i="4" s="1"/>
  <c r="EU146" i="4"/>
  <c r="EV146" i="4" s="1"/>
  <c r="FK146" i="4"/>
  <c r="FL146" i="4" s="1"/>
  <c r="GA146" i="4"/>
  <c r="GB146" i="4" s="1"/>
  <c r="AI153" i="4"/>
  <c r="AJ153" i="4" s="1"/>
  <c r="AY153" i="4"/>
  <c r="AZ153" i="4" s="1"/>
  <c r="Y153" i="4"/>
  <c r="Z153" i="4" s="1"/>
  <c r="AW153" i="4"/>
  <c r="AX153" i="4" s="1"/>
  <c r="M53" i="4"/>
  <c r="N53" i="4" s="1"/>
  <c r="AC53" i="4"/>
  <c r="AD53" i="4" s="1"/>
  <c r="AS53" i="4"/>
  <c r="AT53" i="4" s="1"/>
  <c r="S53" i="4"/>
  <c r="T53" i="4" s="1"/>
  <c r="AI53" i="4"/>
  <c r="AJ53" i="4" s="1"/>
  <c r="AY53" i="4"/>
  <c r="AZ53" i="4" s="1"/>
  <c r="AW94" i="4"/>
  <c r="AX94" i="4" s="1"/>
  <c r="K94" i="4"/>
  <c r="L94" i="4" s="1"/>
  <c r="AS94" i="4"/>
  <c r="AT94" i="4" s="1"/>
  <c r="AK94" i="4"/>
  <c r="AL94" i="4" s="1"/>
  <c r="J94" i="4"/>
  <c r="AW109" i="4"/>
  <c r="AX109" i="4" s="1"/>
  <c r="AS109" i="4"/>
  <c r="AT109" i="4" s="1"/>
  <c r="AO109" i="4"/>
  <c r="AP109" i="4" s="1"/>
  <c r="AK109" i="4"/>
  <c r="AL109" i="4" s="1"/>
  <c r="AY109" i="4"/>
  <c r="AZ109" i="4" s="1"/>
  <c r="AQ109" i="4"/>
  <c r="AR109" i="4" s="1"/>
  <c r="AI109" i="4"/>
  <c r="AJ109" i="4" s="1"/>
  <c r="AC109" i="4"/>
  <c r="AD109" i="4" s="1"/>
  <c r="S109" i="4"/>
  <c r="T109" i="4" s="1"/>
  <c r="M109" i="4"/>
  <c r="N109" i="4" s="1"/>
  <c r="AE109" i="4"/>
  <c r="AF109" i="4" s="1"/>
  <c r="Y109" i="4"/>
  <c r="Z109" i="4" s="1"/>
  <c r="O109" i="4"/>
  <c r="P109" i="4" s="1"/>
  <c r="J109" i="4"/>
  <c r="Q109" i="4"/>
  <c r="R109" i="4" s="1"/>
  <c r="AM109" i="4"/>
  <c r="AN109" i="4" s="1"/>
  <c r="AA109" i="4"/>
  <c r="AB109" i="4" s="1"/>
  <c r="AU109" i="4"/>
  <c r="AV109" i="4" s="1"/>
  <c r="U109" i="4"/>
  <c r="V109" i="4" s="1"/>
  <c r="K109" i="4"/>
  <c r="L109" i="4" s="1"/>
  <c r="W109" i="4"/>
  <c r="X109" i="4" s="1"/>
  <c r="AG109" i="4"/>
  <c r="AH109" i="4" s="1"/>
  <c r="DI151" i="4"/>
  <c r="DJ151" i="4" s="1"/>
  <c r="DQ151" i="4"/>
  <c r="DR151" i="4" s="1"/>
  <c r="CO151" i="4"/>
  <c r="CP151" i="4" s="1"/>
  <c r="CW151" i="4"/>
  <c r="CX151" i="4" s="1"/>
  <c r="DM151" i="4"/>
  <c r="DN151" i="4" s="1"/>
  <c r="CG151" i="4"/>
  <c r="CH151" i="4" s="1"/>
  <c r="DA151" i="4"/>
  <c r="DB151" i="4" s="1"/>
  <c r="GG76" i="4"/>
  <c r="GH76" i="4" s="1"/>
  <c r="GC76" i="4"/>
  <c r="GD76" i="4" s="1"/>
  <c r="FY76" i="4"/>
  <c r="FZ76" i="4" s="1"/>
  <c r="FU76" i="4"/>
  <c r="FV76" i="4" s="1"/>
  <c r="FQ76" i="4"/>
  <c r="FR76" i="4" s="1"/>
  <c r="FM76" i="4"/>
  <c r="FN76" i="4" s="1"/>
  <c r="FI76" i="4"/>
  <c r="FJ76" i="4" s="1"/>
  <c r="FE76" i="4"/>
  <c r="FF76" i="4" s="1"/>
  <c r="FA76" i="4"/>
  <c r="FB76" i="4" s="1"/>
  <c r="EW76" i="4"/>
  <c r="EX76" i="4" s="1"/>
  <c r="ET76" i="4"/>
  <c r="GE76" i="4"/>
  <c r="GF76" i="4" s="1"/>
  <c r="FW76" i="4"/>
  <c r="FX76" i="4" s="1"/>
  <c r="FO76" i="4"/>
  <c r="FP76" i="4" s="1"/>
  <c r="FG76" i="4"/>
  <c r="FH76" i="4" s="1"/>
  <c r="EY76" i="4"/>
  <c r="EZ76" i="4" s="1"/>
  <c r="GA76" i="4"/>
  <c r="GB76" i="4" s="1"/>
  <c r="FK76" i="4"/>
  <c r="FL76" i="4" s="1"/>
  <c r="EU76" i="4"/>
  <c r="EV76" i="4" s="1"/>
  <c r="GI76" i="4"/>
  <c r="GJ76" i="4" s="1"/>
  <c r="FS76" i="4"/>
  <c r="FT76" i="4" s="1"/>
  <c r="FC76" i="4"/>
  <c r="FD76" i="4" s="1"/>
  <c r="GG80" i="4"/>
  <c r="GH80" i="4" s="1"/>
  <c r="GC80" i="4"/>
  <c r="GD80" i="4" s="1"/>
  <c r="FY80" i="4"/>
  <c r="FZ80" i="4" s="1"/>
  <c r="FU80" i="4"/>
  <c r="FV80" i="4" s="1"/>
  <c r="FQ80" i="4"/>
  <c r="FR80" i="4" s="1"/>
  <c r="FM80" i="4"/>
  <c r="FN80" i="4" s="1"/>
  <c r="FI80" i="4"/>
  <c r="FJ80" i="4" s="1"/>
  <c r="FE80" i="4"/>
  <c r="FF80" i="4" s="1"/>
  <c r="FA80" i="4"/>
  <c r="FB80" i="4" s="1"/>
  <c r="EW80" i="4"/>
  <c r="EX80" i="4" s="1"/>
  <c r="ET80" i="4"/>
  <c r="GE80" i="4"/>
  <c r="GF80" i="4" s="1"/>
  <c r="FW80" i="4"/>
  <c r="FX80" i="4" s="1"/>
  <c r="FO80" i="4"/>
  <c r="FP80" i="4" s="1"/>
  <c r="FG80" i="4"/>
  <c r="FH80" i="4" s="1"/>
  <c r="EY80" i="4"/>
  <c r="EZ80" i="4" s="1"/>
  <c r="GA80" i="4"/>
  <c r="GB80" i="4" s="1"/>
  <c r="FK80" i="4"/>
  <c r="FL80" i="4" s="1"/>
  <c r="EU80" i="4"/>
  <c r="EV80" i="4" s="1"/>
  <c r="GI80" i="4"/>
  <c r="GJ80" i="4" s="1"/>
  <c r="FS80" i="4"/>
  <c r="FT80" i="4" s="1"/>
  <c r="FC80" i="4"/>
  <c r="FD80" i="4" s="1"/>
  <c r="GG72" i="4"/>
  <c r="GH72" i="4" s="1"/>
  <c r="GC72" i="4"/>
  <c r="GD72" i="4" s="1"/>
  <c r="FY72" i="4"/>
  <c r="FZ72" i="4" s="1"/>
  <c r="FU72" i="4"/>
  <c r="FV72" i="4" s="1"/>
  <c r="FQ72" i="4"/>
  <c r="FR72" i="4" s="1"/>
  <c r="FM72" i="4"/>
  <c r="FN72" i="4" s="1"/>
  <c r="FI72" i="4"/>
  <c r="FJ72" i="4" s="1"/>
  <c r="FE72" i="4"/>
  <c r="FF72" i="4" s="1"/>
  <c r="FA72" i="4"/>
  <c r="FB72" i="4" s="1"/>
  <c r="EW72" i="4"/>
  <c r="EX72" i="4" s="1"/>
  <c r="ET72" i="4"/>
  <c r="GI72" i="4"/>
  <c r="GJ72" i="4" s="1"/>
  <c r="GA72" i="4"/>
  <c r="GB72" i="4" s="1"/>
  <c r="FS72" i="4"/>
  <c r="FT72" i="4" s="1"/>
  <c r="FW72" i="4"/>
  <c r="FX72" i="4" s="1"/>
  <c r="FK72" i="4"/>
  <c r="FL72" i="4" s="1"/>
  <c r="FC72" i="4"/>
  <c r="FD72" i="4" s="1"/>
  <c r="EU72" i="4"/>
  <c r="EV72" i="4" s="1"/>
  <c r="FO72" i="4"/>
  <c r="FP72" i="4" s="1"/>
  <c r="FG72" i="4"/>
  <c r="FH72" i="4" s="1"/>
  <c r="EY72" i="4"/>
  <c r="EZ72" i="4" s="1"/>
  <c r="GE72" i="4"/>
  <c r="GF72" i="4" s="1"/>
  <c r="GG65" i="4"/>
  <c r="GH65" i="4" s="1"/>
  <c r="GC65" i="4"/>
  <c r="GD65" i="4" s="1"/>
  <c r="FY65" i="4"/>
  <c r="FZ65" i="4" s="1"/>
  <c r="FU65" i="4"/>
  <c r="FV65" i="4" s="1"/>
  <c r="FQ65" i="4"/>
  <c r="FR65" i="4" s="1"/>
  <c r="FM65" i="4"/>
  <c r="FN65" i="4" s="1"/>
  <c r="FI65" i="4"/>
  <c r="FJ65" i="4" s="1"/>
  <c r="FE65" i="4"/>
  <c r="FF65" i="4" s="1"/>
  <c r="FA65" i="4"/>
  <c r="FB65" i="4" s="1"/>
  <c r="EW65" i="4"/>
  <c r="EX65" i="4" s="1"/>
  <c r="ET65" i="4"/>
  <c r="GE65" i="4"/>
  <c r="GF65" i="4" s="1"/>
  <c r="FW65" i="4"/>
  <c r="FX65" i="4" s="1"/>
  <c r="FO65" i="4"/>
  <c r="FP65" i="4" s="1"/>
  <c r="FG65" i="4"/>
  <c r="FH65" i="4" s="1"/>
  <c r="EY65" i="4"/>
  <c r="EZ65" i="4" s="1"/>
  <c r="GI65" i="4"/>
  <c r="GJ65" i="4" s="1"/>
  <c r="GA65" i="4"/>
  <c r="GB65" i="4" s="1"/>
  <c r="FS65" i="4"/>
  <c r="FT65" i="4" s="1"/>
  <c r="FK65" i="4"/>
  <c r="FL65" i="4" s="1"/>
  <c r="FC65" i="4"/>
  <c r="FD65" i="4" s="1"/>
  <c r="EU65" i="4"/>
  <c r="EV65" i="4" s="1"/>
  <c r="ER48" i="4"/>
  <c r="ES48" i="4" s="1"/>
  <c r="CA48" i="4"/>
  <c r="ER58" i="4"/>
  <c r="ES58" i="4" s="1"/>
  <c r="CA58" i="4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GG49" i="4"/>
  <c r="GH49" i="4" s="1"/>
  <c r="FY49" i="4"/>
  <c r="FZ49" i="4" s="1"/>
  <c r="FQ49" i="4"/>
  <c r="FR49" i="4" s="1"/>
  <c r="FI49" i="4"/>
  <c r="FJ49" i="4" s="1"/>
  <c r="FA49" i="4"/>
  <c r="FB49" i="4" s="1"/>
  <c r="ET49" i="4"/>
  <c r="GC49" i="4"/>
  <c r="GD49" i="4" s="1"/>
  <c r="FU49" i="4"/>
  <c r="FV49" i="4" s="1"/>
  <c r="FM49" i="4"/>
  <c r="FN49" i="4" s="1"/>
  <c r="FE49" i="4"/>
  <c r="FF49" i="4" s="1"/>
  <c r="EW49" i="4"/>
  <c r="EX49" i="4" s="1"/>
  <c r="ER132" i="4"/>
  <c r="ES132" i="4" s="1"/>
  <c r="CA132" i="4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AQ51" i="4"/>
  <c r="AR51" i="4" s="1"/>
  <c r="AA51" i="4"/>
  <c r="AB51" i="4" s="1"/>
  <c r="K51" i="4"/>
  <c r="L51" i="4" s="1"/>
  <c r="AY51" i="4"/>
  <c r="AZ51" i="4" s="1"/>
  <c r="AM51" i="4"/>
  <c r="AN51" i="4" s="1"/>
  <c r="W51" i="4"/>
  <c r="X51" i="4" s="1"/>
  <c r="S51" i="4"/>
  <c r="T51" i="4" s="1"/>
  <c r="AU51" i="4"/>
  <c r="AV51" i="4" s="1"/>
  <c r="AE51" i="4"/>
  <c r="AF51" i="4" s="1"/>
  <c r="O51" i="4"/>
  <c r="P51" i="4" s="1"/>
  <c r="AI51" i="4"/>
  <c r="AJ51" i="4" s="1"/>
  <c r="GG18" i="4"/>
  <c r="GH18" i="4" s="1"/>
  <c r="GC18" i="4"/>
  <c r="GD18" i="4" s="1"/>
  <c r="FY18" i="4"/>
  <c r="FZ18" i="4" s="1"/>
  <c r="FU18" i="4"/>
  <c r="FV18" i="4" s="1"/>
  <c r="FQ18" i="4"/>
  <c r="FR18" i="4" s="1"/>
  <c r="FM18" i="4"/>
  <c r="FN18" i="4" s="1"/>
  <c r="FI18" i="4"/>
  <c r="FJ18" i="4" s="1"/>
  <c r="FE18" i="4"/>
  <c r="FF18" i="4" s="1"/>
  <c r="FA18" i="4"/>
  <c r="FB18" i="4" s="1"/>
  <c r="EW18" i="4"/>
  <c r="EX18" i="4" s="1"/>
  <c r="ET18" i="4"/>
  <c r="GI18" i="4"/>
  <c r="GJ18" i="4" s="1"/>
  <c r="GA18" i="4"/>
  <c r="GB18" i="4" s="1"/>
  <c r="FS18" i="4"/>
  <c r="FT18" i="4" s="1"/>
  <c r="FK18" i="4"/>
  <c r="FL18" i="4" s="1"/>
  <c r="FC18" i="4"/>
  <c r="FD18" i="4" s="1"/>
  <c r="EU18" i="4"/>
  <c r="EV18" i="4" s="1"/>
  <c r="GE18" i="4"/>
  <c r="GF18" i="4" s="1"/>
  <c r="FW18" i="4"/>
  <c r="FX18" i="4" s="1"/>
  <c r="FO18" i="4"/>
  <c r="FP18" i="4" s="1"/>
  <c r="FG18" i="4"/>
  <c r="FH18" i="4" s="1"/>
  <c r="EY18" i="4"/>
  <c r="EZ18" i="4" s="1"/>
  <c r="AE38" i="4"/>
  <c r="AF38" i="4" s="1"/>
  <c r="W110" i="4"/>
  <c r="X110" i="4" s="1"/>
  <c r="J110" i="4"/>
  <c r="AO110" i="4"/>
  <c r="AP110" i="4" s="1"/>
  <c r="AQ94" i="4"/>
  <c r="AR94" i="4" s="1"/>
  <c r="Y95" i="4"/>
  <c r="Z95" i="4" s="1"/>
  <c r="AY95" i="4"/>
  <c r="AZ95" i="4" s="1"/>
  <c r="AE95" i="4"/>
  <c r="AF95" i="4" s="1"/>
  <c r="CY146" i="4"/>
  <c r="CZ146" i="4" s="1"/>
  <c r="CI146" i="4"/>
  <c r="CJ146" i="4" s="1"/>
  <c r="DQ146" i="4"/>
  <c r="DR146" i="4" s="1"/>
  <c r="DA146" i="4"/>
  <c r="DB146" i="4" s="1"/>
  <c r="CK146" i="4"/>
  <c r="CL146" i="4" s="1"/>
  <c r="ET146" i="4"/>
  <c r="FI146" i="4"/>
  <c r="FJ146" i="4" s="1"/>
  <c r="FY146" i="4"/>
  <c r="FZ146" i="4" s="1"/>
  <c r="EY146" i="4"/>
  <c r="EZ146" i="4" s="1"/>
  <c r="FO146" i="4"/>
  <c r="FP146" i="4" s="1"/>
  <c r="BZ153" i="4"/>
  <c r="AE153" i="4"/>
  <c r="AF153" i="4" s="1"/>
  <c r="AU153" i="4"/>
  <c r="AV153" i="4" s="1"/>
  <c r="J153" i="4"/>
  <c r="AG153" i="4"/>
  <c r="AH153" i="4" s="1"/>
  <c r="Q53" i="4"/>
  <c r="R53" i="4" s="1"/>
  <c r="AG53" i="4"/>
  <c r="AH53" i="4" s="1"/>
  <c r="AW53" i="4"/>
  <c r="AX53" i="4" s="1"/>
  <c r="W53" i="4"/>
  <c r="X53" i="4" s="1"/>
  <c r="AG94" i="4"/>
  <c r="AH94" i="4" s="1"/>
  <c r="AC94" i="4"/>
  <c r="AD94" i="4" s="1"/>
  <c r="AE94" i="4"/>
  <c r="AF94" i="4" s="1"/>
  <c r="AO94" i="4"/>
  <c r="AP94" i="4" s="1"/>
  <c r="ER109" i="4"/>
  <c r="ES109" i="4" s="1"/>
  <c r="CA109" i="4"/>
  <c r="AW82" i="4"/>
  <c r="AX82" i="4" s="1"/>
  <c r="AS82" i="4"/>
  <c r="AT82" i="4" s="1"/>
  <c r="AO82" i="4"/>
  <c r="AP82" i="4" s="1"/>
  <c r="AK82" i="4"/>
  <c r="AL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AU82" i="4"/>
  <c r="AV82" i="4" s="1"/>
  <c r="AM82" i="4"/>
  <c r="AN82" i="4" s="1"/>
  <c r="AE82" i="4"/>
  <c r="AF82" i="4" s="1"/>
  <c r="W82" i="4"/>
  <c r="X82" i="4" s="1"/>
  <c r="O82" i="4"/>
  <c r="P82" i="4" s="1"/>
  <c r="AQ82" i="4"/>
  <c r="AR82" i="4" s="1"/>
  <c r="AA82" i="4"/>
  <c r="AB82" i="4" s="1"/>
  <c r="K82" i="4"/>
  <c r="L82" i="4" s="1"/>
  <c r="AY82" i="4"/>
  <c r="AZ82" i="4" s="1"/>
  <c r="S82" i="4"/>
  <c r="T82" i="4" s="1"/>
  <c r="AI82" i="4"/>
  <c r="AJ82" i="4" s="1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DK82" i="4"/>
  <c r="DL82" i="4" s="1"/>
  <c r="DC82" i="4"/>
  <c r="DD82" i="4" s="1"/>
  <c r="CU82" i="4"/>
  <c r="CV82" i="4" s="1"/>
  <c r="CM82" i="4"/>
  <c r="CN82" i="4" s="1"/>
  <c r="CE82" i="4"/>
  <c r="CF82" i="4" s="1"/>
  <c r="DG82" i="4"/>
  <c r="DH82" i="4" s="1"/>
  <c r="CQ82" i="4"/>
  <c r="CR82" i="4" s="1"/>
  <c r="CB82" i="4"/>
  <c r="DO82" i="4"/>
  <c r="DP82" i="4" s="1"/>
  <c r="CI82" i="4"/>
  <c r="CJ82" i="4" s="1"/>
  <c r="CY82" i="4"/>
  <c r="CZ82" i="4" s="1"/>
  <c r="ER77" i="4"/>
  <c r="ES77" i="4" s="1"/>
  <c r="CA77" i="4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 s="1"/>
  <c r="J58" i="4"/>
  <c r="AY58" i="4"/>
  <c r="AZ58" i="4" s="1"/>
  <c r="AQ58" i="4"/>
  <c r="AR58" i="4" s="1"/>
  <c r="AI58" i="4"/>
  <c r="AJ58" i="4" s="1"/>
  <c r="AA58" i="4"/>
  <c r="AB58" i="4" s="1"/>
  <c r="S58" i="4"/>
  <c r="T58" i="4" s="1"/>
  <c r="K58" i="4"/>
  <c r="L58" i="4" s="1"/>
  <c r="AE58" i="4"/>
  <c r="AF58" i="4" s="1"/>
  <c r="O58" i="4"/>
  <c r="P58" i="4" s="1"/>
  <c r="W58" i="4"/>
  <c r="X58" i="4" s="1"/>
  <c r="AU58" i="4"/>
  <c r="AV58" i="4" s="1"/>
  <c r="AM58" i="4"/>
  <c r="AN58" i="4" s="1"/>
  <c r="FW154" i="4"/>
  <c r="FX154" i="4" s="1"/>
  <c r="GA154" i="4"/>
  <c r="GB154" i="4" s="1"/>
  <c r="AM26" i="4"/>
  <c r="AN26" i="4" s="1"/>
  <c r="S153" i="4"/>
  <c r="T153" i="4" s="1"/>
  <c r="W153" i="4"/>
  <c r="X153" i="4" s="1"/>
  <c r="AA153" i="4"/>
  <c r="AB153" i="4" s="1"/>
  <c r="M153" i="4"/>
  <c r="N153" i="4" s="1"/>
  <c r="AC153" i="4"/>
  <c r="AD153" i="4" s="1"/>
  <c r="S26" i="4"/>
  <c r="T26" i="4" s="1"/>
  <c r="AQ26" i="4"/>
  <c r="AR26" i="4" s="1"/>
  <c r="AM146" i="4"/>
  <c r="AN146" i="4" s="1"/>
  <c r="AW146" i="4"/>
  <c r="AX146" i="4" s="1"/>
  <c r="M146" i="4"/>
  <c r="N146" i="4" s="1"/>
  <c r="K146" i="4"/>
  <c r="L146" i="4" s="1"/>
  <c r="U146" i="4"/>
  <c r="V146" i="4" s="1"/>
  <c r="W146" i="4"/>
  <c r="X146" i="4" s="1"/>
  <c r="AS146" i="4"/>
  <c r="AT146" i="4" s="1"/>
  <c r="S146" i="4"/>
  <c r="T146" i="4" s="1"/>
  <c r="Y146" i="4"/>
  <c r="Z146" i="4" s="1"/>
  <c r="AC146" i="4"/>
  <c r="AD146" i="4" s="1"/>
  <c r="AI146" i="4"/>
  <c r="AJ146" i="4" s="1"/>
  <c r="AU146" i="4"/>
  <c r="AV146" i="4" s="1"/>
  <c r="AO146" i="4"/>
  <c r="AP146" i="4" s="1"/>
  <c r="AA146" i="4"/>
  <c r="AB146" i="4" s="1"/>
  <c r="AE146" i="4"/>
  <c r="AF146" i="4" s="1"/>
  <c r="J146" i="4"/>
  <c r="AC25" i="4"/>
  <c r="AD25" i="4" s="1"/>
  <c r="AG25" i="4"/>
  <c r="AH25" i="4" s="1"/>
  <c r="AW25" i="4"/>
  <c r="AX25" i="4" s="1"/>
  <c r="AS25" i="4"/>
  <c r="AT25" i="4" s="1"/>
  <c r="AY138" i="4"/>
  <c r="AZ138" i="4" s="1"/>
  <c r="AQ138" i="4"/>
  <c r="AR138" i="4" s="1"/>
  <c r="AI138" i="4"/>
  <c r="AJ138" i="4" s="1"/>
  <c r="AA138" i="4"/>
  <c r="AB138" i="4" s="1"/>
  <c r="S138" i="4"/>
  <c r="T138" i="4" s="1"/>
  <c r="K138" i="4"/>
  <c r="L138" i="4" s="1"/>
  <c r="AM138" i="4"/>
  <c r="AN138" i="4" s="1"/>
  <c r="AE138" i="4"/>
  <c r="AF138" i="4" s="1"/>
  <c r="O138" i="4"/>
  <c r="P138" i="4" s="1"/>
  <c r="AW138" i="4"/>
  <c r="AX138" i="4" s="1"/>
  <c r="AO138" i="4"/>
  <c r="AP138" i="4" s="1"/>
  <c r="AG138" i="4"/>
  <c r="AH138" i="4" s="1"/>
  <c r="Y138" i="4"/>
  <c r="Z138" i="4" s="1"/>
  <c r="Q138" i="4"/>
  <c r="R138" i="4" s="1"/>
  <c r="J138" i="4"/>
  <c r="AU138" i="4"/>
  <c r="AV138" i="4" s="1"/>
  <c r="W138" i="4"/>
  <c r="X138" i="4" s="1"/>
  <c r="AS138" i="4"/>
  <c r="AT138" i="4" s="1"/>
  <c r="AK138" i="4"/>
  <c r="AL138" i="4" s="1"/>
  <c r="AC138" i="4"/>
  <c r="AD138" i="4" s="1"/>
  <c r="U138" i="4"/>
  <c r="V138" i="4" s="1"/>
  <c r="M138" i="4"/>
  <c r="N138" i="4" s="1"/>
  <c r="AY136" i="4"/>
  <c r="AZ136" i="4" s="1"/>
  <c r="AQ136" i="4"/>
  <c r="AR136" i="4" s="1"/>
  <c r="AI136" i="4"/>
  <c r="AJ136" i="4" s="1"/>
  <c r="AA136" i="4"/>
  <c r="AB136" i="4" s="1"/>
  <c r="S136" i="4"/>
  <c r="T136" i="4" s="1"/>
  <c r="K136" i="4"/>
  <c r="L136" i="4" s="1"/>
  <c r="AM136" i="4"/>
  <c r="AN136" i="4" s="1"/>
  <c r="AE136" i="4"/>
  <c r="AF136" i="4" s="1"/>
  <c r="O136" i="4"/>
  <c r="P136" i="4" s="1"/>
  <c r="AW136" i="4"/>
  <c r="AX136" i="4" s="1"/>
  <c r="AO136" i="4"/>
  <c r="AP136" i="4" s="1"/>
  <c r="AG136" i="4"/>
  <c r="AH136" i="4" s="1"/>
  <c r="Y136" i="4"/>
  <c r="Z136" i="4" s="1"/>
  <c r="Q136" i="4"/>
  <c r="R136" i="4" s="1"/>
  <c r="J136" i="4"/>
  <c r="AU136" i="4"/>
  <c r="AV136" i="4" s="1"/>
  <c r="W136" i="4"/>
  <c r="X136" i="4" s="1"/>
  <c r="AS136" i="4"/>
  <c r="AT136" i="4" s="1"/>
  <c r="AK136" i="4"/>
  <c r="AL136" i="4" s="1"/>
  <c r="AC136" i="4"/>
  <c r="AD136" i="4" s="1"/>
  <c r="U136" i="4"/>
  <c r="V136" i="4" s="1"/>
  <c r="M136" i="4"/>
  <c r="N136" i="4" s="1"/>
  <c r="AW134" i="4"/>
  <c r="AX134" i="4" s="1"/>
  <c r="AU134" i="4"/>
  <c r="AV134" i="4" s="1"/>
  <c r="AO134" i="4"/>
  <c r="AP134" i="4" s="1"/>
  <c r="AI134" i="4"/>
  <c r="AJ134" i="4" s="1"/>
  <c r="Y134" i="4"/>
  <c r="Z134" i="4" s="1"/>
  <c r="S134" i="4"/>
  <c r="T134" i="4" s="1"/>
  <c r="J134" i="4"/>
  <c r="AY134" i="4"/>
  <c r="AZ134" i="4" s="1"/>
  <c r="AA134" i="4"/>
  <c r="AB134" i="4" s="1"/>
  <c r="AM134" i="4"/>
  <c r="AN134" i="4" s="1"/>
  <c r="AC134" i="4"/>
  <c r="AD134" i="4" s="1"/>
  <c r="W134" i="4"/>
  <c r="X134" i="4" s="1"/>
  <c r="M134" i="4"/>
  <c r="N134" i="4" s="1"/>
  <c r="AQ134" i="4"/>
  <c r="AR134" i="4" s="1"/>
  <c r="AG134" i="4"/>
  <c r="AH134" i="4" s="1"/>
  <c r="AK134" i="4"/>
  <c r="AL134" i="4" s="1"/>
  <c r="AE134" i="4"/>
  <c r="AF134" i="4" s="1"/>
  <c r="U134" i="4"/>
  <c r="V134" i="4" s="1"/>
  <c r="O134" i="4"/>
  <c r="P134" i="4" s="1"/>
  <c r="Q134" i="4"/>
  <c r="R134" i="4" s="1"/>
  <c r="K134" i="4"/>
  <c r="L134" i="4" s="1"/>
  <c r="AY131" i="4"/>
  <c r="AZ131" i="4" s="1"/>
  <c r="AE131" i="4"/>
  <c r="AF131" i="4" s="1"/>
  <c r="U131" i="4"/>
  <c r="V131" i="4" s="1"/>
  <c r="O131" i="4"/>
  <c r="P131" i="4" s="1"/>
  <c r="W131" i="4"/>
  <c r="X131" i="4" s="1"/>
  <c r="M131" i="4"/>
  <c r="N131" i="4" s="1"/>
  <c r="AQ131" i="4"/>
  <c r="AR131" i="4" s="1"/>
  <c r="AI131" i="4"/>
  <c r="AJ131" i="4" s="1"/>
  <c r="Y131" i="4"/>
  <c r="Z131" i="4" s="1"/>
  <c r="S131" i="4"/>
  <c r="T131" i="4" s="1"/>
  <c r="J131" i="4"/>
  <c r="AU131" i="4"/>
  <c r="AV131" i="4" s="1"/>
  <c r="AM131" i="4"/>
  <c r="AN131" i="4" s="1"/>
  <c r="AG131" i="4"/>
  <c r="AH131" i="4" s="1"/>
  <c r="AA131" i="4"/>
  <c r="AB131" i="4" s="1"/>
  <c r="Q131" i="4"/>
  <c r="R131" i="4" s="1"/>
  <c r="K131" i="4"/>
  <c r="L131" i="4" s="1"/>
  <c r="AC131" i="4"/>
  <c r="AD131" i="4" s="1"/>
  <c r="ER131" i="4"/>
  <c r="ES131" i="4" s="1"/>
  <c r="CA131" i="4"/>
  <c r="ER122" i="4"/>
  <c r="ES122" i="4" s="1"/>
  <c r="CA122" i="4"/>
  <c r="Y23" i="4"/>
  <c r="Z23" i="4" s="1"/>
  <c r="AY119" i="4"/>
  <c r="AZ119" i="4" s="1"/>
  <c r="AQ119" i="4"/>
  <c r="AR119" i="4" s="1"/>
  <c r="AI119" i="4"/>
  <c r="AJ119" i="4" s="1"/>
  <c r="AA119" i="4"/>
  <c r="AB119" i="4" s="1"/>
  <c r="S119" i="4"/>
  <c r="T119" i="4" s="1"/>
  <c r="K119" i="4"/>
  <c r="L119" i="4" s="1"/>
  <c r="AU119" i="4"/>
  <c r="AV119" i="4" s="1"/>
  <c r="AE119" i="4"/>
  <c r="AF119" i="4" s="1"/>
  <c r="O119" i="4"/>
  <c r="P119" i="4" s="1"/>
  <c r="AW119" i="4"/>
  <c r="AX119" i="4" s="1"/>
  <c r="AO119" i="4"/>
  <c r="AP119" i="4" s="1"/>
  <c r="AG119" i="4"/>
  <c r="AH119" i="4" s="1"/>
  <c r="Y119" i="4"/>
  <c r="Z119" i="4" s="1"/>
  <c r="Q119" i="4"/>
  <c r="R119" i="4" s="1"/>
  <c r="J119" i="4"/>
  <c r="AM119" i="4"/>
  <c r="AN119" i="4" s="1"/>
  <c r="W119" i="4"/>
  <c r="X119" i="4" s="1"/>
  <c r="AS119" i="4"/>
  <c r="AT119" i="4" s="1"/>
  <c r="AK119" i="4"/>
  <c r="AL119" i="4" s="1"/>
  <c r="AC119" i="4"/>
  <c r="AD119" i="4" s="1"/>
  <c r="U119" i="4"/>
  <c r="V119" i="4" s="1"/>
  <c r="M119" i="4"/>
  <c r="N119" i="4" s="1"/>
  <c r="K110" i="4"/>
  <c r="L110" i="4" s="1"/>
  <c r="AA110" i="4"/>
  <c r="AB110" i="4" s="1"/>
  <c r="AQ110" i="4"/>
  <c r="AR110" i="4" s="1"/>
  <c r="M110" i="4"/>
  <c r="N110" i="4" s="1"/>
  <c r="AC110" i="4"/>
  <c r="AD110" i="4" s="1"/>
  <c r="AS110" i="4"/>
  <c r="AT110" i="4" s="1"/>
  <c r="S110" i="4"/>
  <c r="T110" i="4" s="1"/>
  <c r="AI110" i="4"/>
  <c r="AJ110" i="4" s="1"/>
  <c r="AY110" i="4"/>
  <c r="AZ110" i="4" s="1"/>
  <c r="U110" i="4"/>
  <c r="V110" i="4" s="1"/>
  <c r="DO98" i="4"/>
  <c r="DP98" i="4" s="1"/>
  <c r="DQ98" i="4"/>
  <c r="DR98" i="4" s="1"/>
  <c r="DA98" i="4"/>
  <c r="DB98" i="4" s="1"/>
  <c r="CK98" i="4"/>
  <c r="CL98" i="4" s="1"/>
  <c r="CE98" i="4"/>
  <c r="CF98" i="4" s="1"/>
  <c r="DM98" i="4"/>
  <c r="DN98" i="4" s="1"/>
  <c r="CW98" i="4"/>
  <c r="CX98" i="4" s="1"/>
  <c r="CI98" i="4"/>
  <c r="CJ98" i="4" s="1"/>
  <c r="CS98" i="4"/>
  <c r="CT98" i="4" s="1"/>
  <c r="CC98" i="4"/>
  <c r="CD98" i="4" s="1"/>
  <c r="DE98" i="4"/>
  <c r="DF98" i="4" s="1"/>
  <c r="CO98" i="4"/>
  <c r="CP98" i="4" s="1"/>
  <c r="CG98" i="4"/>
  <c r="CH98" i="4" s="1"/>
  <c r="CB98" i="4"/>
  <c r="DI98" i="4"/>
  <c r="DJ98" i="4" s="1"/>
  <c r="ER97" i="4"/>
  <c r="ES97" i="4" s="1"/>
  <c r="CA97" i="4"/>
  <c r="AS95" i="4"/>
  <c r="AT95" i="4" s="1"/>
  <c r="AC95" i="4"/>
  <c r="AD95" i="4" s="1"/>
  <c r="M95" i="4"/>
  <c r="N95" i="4" s="1"/>
  <c r="AQ95" i="4"/>
  <c r="AR95" i="4" s="1"/>
  <c r="AA95" i="4"/>
  <c r="AB95" i="4" s="1"/>
  <c r="K95" i="4"/>
  <c r="L95" i="4" s="1"/>
  <c r="DO94" i="4"/>
  <c r="DP94" i="4" s="1"/>
  <c r="DE94" i="4"/>
  <c r="DF94" i="4" s="1"/>
  <c r="CO94" i="4"/>
  <c r="CP94" i="4" s="1"/>
  <c r="CB94" i="4"/>
  <c r="DQ94" i="4"/>
  <c r="DR94" i="4" s="1"/>
  <c r="DA94" i="4"/>
  <c r="DB94" i="4" s="1"/>
  <c r="CK94" i="4"/>
  <c r="CL94" i="4" s="1"/>
  <c r="CS94" i="4"/>
  <c r="CT94" i="4" s="1"/>
  <c r="CC94" i="4"/>
  <c r="CD94" i="4" s="1"/>
  <c r="DM94" i="4"/>
  <c r="DN94" i="4" s="1"/>
  <c r="CW94" i="4"/>
  <c r="CX94" i="4" s="1"/>
  <c r="CG94" i="4"/>
  <c r="CH94" i="4" s="1"/>
  <c r="DI94" i="4"/>
  <c r="DJ94" i="4" s="1"/>
  <c r="AY87" i="4"/>
  <c r="AZ87" i="4" s="1"/>
  <c r="AO87" i="4"/>
  <c r="AP87" i="4" s="1"/>
  <c r="AG87" i="4"/>
  <c r="AH87" i="4" s="1"/>
  <c r="Y87" i="4"/>
  <c r="Z87" i="4" s="1"/>
  <c r="Q87" i="4"/>
  <c r="R87" i="4" s="1"/>
  <c r="J87" i="4"/>
  <c r="AM87" i="4"/>
  <c r="AN87" i="4" s="1"/>
  <c r="AE87" i="4"/>
  <c r="AF87" i="4" s="1"/>
  <c r="W87" i="4"/>
  <c r="X87" i="4" s="1"/>
  <c r="O87" i="4"/>
  <c r="P87" i="4" s="1"/>
  <c r="AW87" i="4"/>
  <c r="AX87" i="4" s="1"/>
  <c r="AK87" i="4"/>
  <c r="AL87" i="4" s="1"/>
  <c r="AC87" i="4"/>
  <c r="AD87" i="4" s="1"/>
  <c r="U87" i="4"/>
  <c r="V87" i="4" s="1"/>
  <c r="M87" i="4"/>
  <c r="N87" i="4" s="1"/>
  <c r="AS87" i="4"/>
  <c r="AT87" i="4" s="1"/>
  <c r="AI87" i="4"/>
  <c r="AJ87" i="4" s="1"/>
  <c r="AA87" i="4"/>
  <c r="AB87" i="4" s="1"/>
  <c r="S87" i="4"/>
  <c r="T87" i="4" s="1"/>
  <c r="K87" i="4"/>
  <c r="L87" i="4" s="1"/>
  <c r="AY84" i="4"/>
  <c r="AZ84" i="4" s="1"/>
  <c r="AQ84" i="4"/>
  <c r="AR84" i="4" s="1"/>
  <c r="AI84" i="4"/>
  <c r="AJ84" i="4" s="1"/>
  <c r="AA84" i="4"/>
  <c r="AB84" i="4" s="1"/>
  <c r="S84" i="4"/>
  <c r="T84" i="4" s="1"/>
  <c r="K84" i="4"/>
  <c r="L84" i="4" s="1"/>
  <c r="AU84" i="4"/>
  <c r="AV84" i="4" s="1"/>
  <c r="AE84" i="4"/>
  <c r="AF84" i="4" s="1"/>
  <c r="AW84" i="4"/>
  <c r="AX84" i="4" s="1"/>
  <c r="AO84" i="4"/>
  <c r="AP84" i="4" s="1"/>
  <c r="AG84" i="4"/>
  <c r="AH84" i="4" s="1"/>
  <c r="Y84" i="4"/>
  <c r="Z84" i="4" s="1"/>
  <c r="Q84" i="4"/>
  <c r="R84" i="4" s="1"/>
  <c r="J84" i="4"/>
  <c r="AM84" i="4"/>
  <c r="AN84" i="4" s="1"/>
  <c r="W84" i="4"/>
  <c r="X84" i="4" s="1"/>
  <c r="O84" i="4"/>
  <c r="P84" i="4" s="1"/>
  <c r="AS84" i="4"/>
  <c r="AT84" i="4" s="1"/>
  <c r="AK84" i="4"/>
  <c r="AL84" i="4" s="1"/>
  <c r="AC84" i="4"/>
  <c r="AD84" i="4" s="1"/>
  <c r="U84" i="4"/>
  <c r="V84" i="4" s="1"/>
  <c r="M84" i="4"/>
  <c r="N84" i="4" s="1"/>
  <c r="ER64" i="4"/>
  <c r="ES64" i="4" s="1"/>
  <c r="CA64" i="4"/>
  <c r="AW47" i="4"/>
  <c r="AX47" i="4" s="1"/>
  <c r="AM47" i="4"/>
  <c r="AN47" i="4" s="1"/>
  <c r="AC47" i="4"/>
  <c r="AD47" i="4" s="1"/>
  <c r="U47" i="4"/>
  <c r="V47" i="4" s="1"/>
  <c r="M47" i="4"/>
  <c r="N47" i="4" s="1"/>
  <c r="S47" i="4"/>
  <c r="T47" i="4" s="1"/>
  <c r="AQ47" i="4"/>
  <c r="AR47" i="4" s="1"/>
  <c r="AE47" i="4"/>
  <c r="AF47" i="4" s="1"/>
  <c r="W47" i="4"/>
  <c r="X47" i="4" s="1"/>
  <c r="O47" i="4"/>
  <c r="P47" i="4" s="1"/>
  <c r="AY47" i="4"/>
  <c r="AZ47" i="4" s="1"/>
  <c r="AI47" i="4"/>
  <c r="AJ47" i="4" s="1"/>
  <c r="AA47" i="4"/>
  <c r="AB47" i="4" s="1"/>
  <c r="K47" i="4"/>
  <c r="L47" i="4" s="1"/>
  <c r="AU47" i="4"/>
  <c r="AV47" i="4" s="1"/>
  <c r="AG47" i="4"/>
  <c r="AH47" i="4" s="1"/>
  <c r="Y47" i="4"/>
  <c r="Z47" i="4" s="1"/>
  <c r="Q47" i="4"/>
  <c r="R47" i="4" s="1"/>
  <c r="J47" i="4"/>
  <c r="AK47" i="4"/>
  <c r="AL47" i="4" s="1"/>
  <c r="AO47" i="4"/>
  <c r="AP47" i="4" s="1"/>
  <c r="AY44" i="4"/>
  <c r="AZ44" i="4" s="1"/>
  <c r="K44" i="4"/>
  <c r="L44" i="4" s="1"/>
  <c r="AQ44" i="4"/>
  <c r="AR44" i="4" s="1"/>
  <c r="AM44" i="4"/>
  <c r="AN44" i="4" s="1"/>
  <c r="AI44" i="4"/>
  <c r="AJ44" i="4" s="1"/>
  <c r="AE44" i="4"/>
  <c r="AF44" i="4" s="1"/>
  <c r="AA44" i="4"/>
  <c r="AB44" i="4" s="1"/>
  <c r="W44" i="4"/>
  <c r="X44" i="4" s="1"/>
  <c r="S44" i="4"/>
  <c r="T44" i="4" s="1"/>
  <c r="O44" i="4"/>
  <c r="P44" i="4" s="1"/>
  <c r="AU44" i="4"/>
  <c r="AV44" i="4" s="1"/>
  <c r="AO44" i="4"/>
  <c r="AP44" i="4" s="1"/>
  <c r="AK44" i="4"/>
  <c r="AL44" i="4" s="1"/>
  <c r="AG44" i="4"/>
  <c r="AH44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ER44" i="4"/>
  <c r="ES44" i="4" s="1"/>
  <c r="CA44" i="4"/>
  <c r="AY40" i="4"/>
  <c r="AZ40" i="4" s="1"/>
  <c r="AU40" i="4"/>
  <c r="AV40" i="4" s="1"/>
  <c r="AM40" i="4"/>
  <c r="AN40" i="4" s="1"/>
  <c r="AE40" i="4"/>
  <c r="AF40" i="4" s="1"/>
  <c r="Y40" i="4"/>
  <c r="Z40" i="4" s="1"/>
  <c r="U40" i="4"/>
  <c r="V40" i="4" s="1"/>
  <c r="Q40" i="4"/>
  <c r="R40" i="4" s="1"/>
  <c r="M40" i="4"/>
  <c r="N40" i="4" s="1"/>
  <c r="J40" i="4"/>
  <c r="AQ40" i="4"/>
  <c r="AR40" i="4" s="1"/>
  <c r="W40" i="4"/>
  <c r="X40" i="4" s="1"/>
  <c r="O40" i="4"/>
  <c r="P40" i="4" s="1"/>
  <c r="AA40" i="4"/>
  <c r="AB40" i="4" s="1"/>
  <c r="K40" i="4"/>
  <c r="L40" i="4" s="1"/>
  <c r="AI40" i="4"/>
  <c r="AJ40" i="4" s="1"/>
  <c r="S40" i="4"/>
  <c r="T40" i="4" s="1"/>
  <c r="AO40" i="4"/>
  <c r="AP40" i="4" s="1"/>
  <c r="ER40" i="4"/>
  <c r="ES40" i="4" s="1"/>
  <c r="CA40" i="4"/>
  <c r="AY37" i="4"/>
  <c r="AZ37" i="4" s="1"/>
  <c r="AS37" i="4"/>
  <c r="AT37" i="4" s="1"/>
  <c r="AI37" i="4"/>
  <c r="AJ37" i="4" s="1"/>
  <c r="AA37" i="4"/>
  <c r="AB37" i="4" s="1"/>
  <c r="S37" i="4"/>
  <c r="T37" i="4" s="1"/>
  <c r="K37" i="4"/>
  <c r="L37" i="4" s="1"/>
  <c r="AO37" i="4"/>
  <c r="AP37" i="4" s="1"/>
  <c r="AG37" i="4"/>
  <c r="AH37" i="4" s="1"/>
  <c r="Y37" i="4"/>
  <c r="Z37" i="4" s="1"/>
  <c r="Q37" i="4"/>
  <c r="R37" i="4" s="1"/>
  <c r="J37" i="4"/>
  <c r="AM37" i="4"/>
  <c r="AN37" i="4" s="1"/>
  <c r="AE37" i="4"/>
  <c r="AF37" i="4" s="1"/>
  <c r="W37" i="4"/>
  <c r="X37" i="4" s="1"/>
  <c r="O37" i="4"/>
  <c r="P37" i="4" s="1"/>
  <c r="AW37" i="4"/>
  <c r="AX37" i="4" s="1"/>
  <c r="AK37" i="4"/>
  <c r="AL37" i="4" s="1"/>
  <c r="AC37" i="4"/>
  <c r="AD37" i="4" s="1"/>
  <c r="U37" i="4"/>
  <c r="V37" i="4" s="1"/>
  <c r="M37" i="4"/>
  <c r="N37" i="4" s="1"/>
  <c r="AW35" i="4"/>
  <c r="AX35" i="4" s="1"/>
  <c r="AI35" i="4"/>
  <c r="AJ35" i="4" s="1"/>
  <c r="AC35" i="4"/>
  <c r="AD35" i="4" s="1"/>
  <c r="Q35" i="4"/>
  <c r="R35" i="4" s="1"/>
  <c r="J35" i="4"/>
  <c r="AQ35" i="4"/>
  <c r="AR35" i="4" s="1"/>
  <c r="U35" i="4"/>
  <c r="V35" i="4" s="1"/>
  <c r="AG35" i="4"/>
  <c r="AH35" i="4" s="1"/>
  <c r="W35" i="4"/>
  <c r="X35" i="4" s="1"/>
  <c r="O35" i="4"/>
  <c r="P35" i="4" s="1"/>
  <c r="AA35" i="4"/>
  <c r="AB35" i="4" s="1"/>
  <c r="M35" i="4"/>
  <c r="N35" i="4" s="1"/>
  <c r="AM35" i="4"/>
  <c r="AN35" i="4" s="1"/>
  <c r="AE35" i="4"/>
  <c r="AF35" i="4" s="1"/>
  <c r="Y35" i="4"/>
  <c r="Z35" i="4" s="1"/>
  <c r="S35" i="4"/>
  <c r="T35" i="4" s="1"/>
  <c r="K35" i="4"/>
  <c r="L35" i="4" s="1"/>
  <c r="AA26" i="4"/>
  <c r="AB26" i="4" s="1"/>
  <c r="AI26" i="4"/>
  <c r="AJ26" i="4" s="1"/>
  <c r="K26" i="4"/>
  <c r="L26" i="4" s="1"/>
  <c r="ER147" i="4"/>
  <c r="ES147" i="4" s="1"/>
  <c r="CA147" i="4"/>
  <c r="CA125" i="4"/>
  <c r="ER125" i="4"/>
  <c r="ES125" i="4" s="1"/>
  <c r="AY125" i="4"/>
  <c r="AZ125" i="4" s="1"/>
  <c r="AU125" i="4"/>
  <c r="AV125" i="4" s="1"/>
  <c r="AQ125" i="4"/>
  <c r="AR125" i="4" s="1"/>
  <c r="AM125" i="4"/>
  <c r="AN125" i="4" s="1"/>
  <c r="AI125" i="4"/>
  <c r="AJ125" i="4" s="1"/>
  <c r="AE125" i="4"/>
  <c r="AF125" i="4" s="1"/>
  <c r="AA125" i="4"/>
  <c r="AB125" i="4" s="1"/>
  <c r="W125" i="4"/>
  <c r="X125" i="4" s="1"/>
  <c r="S125" i="4"/>
  <c r="T125" i="4" s="1"/>
  <c r="O125" i="4"/>
  <c r="P125" i="4" s="1"/>
  <c r="K125" i="4"/>
  <c r="L125" i="4" s="1"/>
  <c r="AW125" i="4"/>
  <c r="AX125" i="4" s="1"/>
  <c r="AS125" i="4"/>
  <c r="AT125" i="4" s="1"/>
  <c r="AO125" i="4"/>
  <c r="AP125" i="4" s="1"/>
  <c r="AK125" i="4"/>
  <c r="AL125" i="4" s="1"/>
  <c r="AG125" i="4"/>
  <c r="AH125" i="4" s="1"/>
  <c r="AC125" i="4"/>
  <c r="AD125" i="4" s="1"/>
  <c r="Y125" i="4"/>
  <c r="Z125" i="4" s="1"/>
  <c r="U125" i="4"/>
  <c r="V125" i="4" s="1"/>
  <c r="Q125" i="4"/>
  <c r="R125" i="4" s="1"/>
  <c r="M125" i="4"/>
  <c r="N125" i="4" s="1"/>
  <c r="J125" i="4"/>
  <c r="ER111" i="4"/>
  <c r="ES111" i="4" s="1"/>
  <c r="CA111" i="4"/>
  <c r="FK22" i="4"/>
  <c r="FL22" i="4" s="1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GC87" i="4"/>
  <c r="GD87" i="4" s="1"/>
  <c r="FU87" i="4"/>
  <c r="FV87" i="4" s="1"/>
  <c r="FI87" i="4"/>
  <c r="FJ87" i="4" s="1"/>
  <c r="EW87" i="4"/>
  <c r="EX87" i="4" s="1"/>
  <c r="FQ87" i="4"/>
  <c r="FR87" i="4" s="1"/>
  <c r="FA87" i="4"/>
  <c r="FB87" i="4" s="1"/>
  <c r="GG87" i="4"/>
  <c r="GH87" i="4" s="1"/>
  <c r="FY87" i="4"/>
  <c r="FZ87" i="4" s="1"/>
  <c r="FM87" i="4"/>
  <c r="FN87" i="4" s="1"/>
  <c r="FE87" i="4"/>
  <c r="FF87" i="4" s="1"/>
  <c r="ET87" i="4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DQ87" i="4"/>
  <c r="DR87" i="4" s="1"/>
  <c r="DE87" i="4"/>
  <c r="DF87" i="4" s="1"/>
  <c r="CS87" i="4"/>
  <c r="CT87" i="4" s="1"/>
  <c r="CG87" i="4"/>
  <c r="CH87" i="4" s="1"/>
  <c r="DM87" i="4"/>
  <c r="DN87" i="4" s="1"/>
  <c r="CW87" i="4"/>
  <c r="CX87" i="4" s="1"/>
  <c r="CO87" i="4"/>
  <c r="CP87" i="4" s="1"/>
  <c r="CC87" i="4"/>
  <c r="CD87" i="4" s="1"/>
  <c r="DI87" i="4"/>
  <c r="DJ87" i="4" s="1"/>
  <c r="DA87" i="4"/>
  <c r="DB87" i="4" s="1"/>
  <c r="CK87" i="4"/>
  <c r="CL87" i="4" s="1"/>
  <c r="DO53" i="4"/>
  <c r="DP53" i="4" s="1"/>
  <c r="DK53" i="4"/>
  <c r="DL53" i="4" s="1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 s="1"/>
  <c r="CB53" i="4"/>
  <c r="DQ53" i="4"/>
  <c r="DR53" i="4" s="1"/>
  <c r="DM53" i="4"/>
  <c r="DN53" i="4" s="1"/>
  <c r="DI53" i="4"/>
  <c r="DJ53" i="4" s="1"/>
  <c r="DE53" i="4"/>
  <c r="DF53" i="4" s="1"/>
  <c r="DA53" i="4"/>
  <c r="DB53" i="4" s="1"/>
  <c r="CW53" i="4"/>
  <c r="CX53" i="4" s="1"/>
  <c r="CS53" i="4"/>
  <c r="CT53" i="4" s="1"/>
  <c r="CO53" i="4"/>
  <c r="CP53" i="4" s="1"/>
  <c r="CK53" i="4"/>
  <c r="CL53" i="4" s="1"/>
  <c r="CG53" i="4"/>
  <c r="CH53" i="4" s="1"/>
  <c r="CC53" i="4"/>
  <c r="CD53" i="4" s="1"/>
  <c r="GI53" i="4"/>
  <c r="GJ53" i="4" s="1"/>
  <c r="GE53" i="4"/>
  <c r="GF53" i="4" s="1"/>
  <c r="GA53" i="4"/>
  <c r="GB53" i="4" s="1"/>
  <c r="FW53" i="4"/>
  <c r="FX53" i="4" s="1"/>
  <c r="FS53" i="4"/>
  <c r="FT53" i="4" s="1"/>
  <c r="FO53" i="4"/>
  <c r="FP53" i="4" s="1"/>
  <c r="FK53" i="4"/>
  <c r="FL53" i="4" s="1"/>
  <c r="FG53" i="4"/>
  <c r="FH53" i="4" s="1"/>
  <c r="FC53" i="4"/>
  <c r="FD53" i="4" s="1"/>
  <c r="EY53" i="4"/>
  <c r="EZ53" i="4" s="1"/>
  <c r="EU53" i="4"/>
  <c r="EV53" i="4" s="1"/>
  <c r="GG53" i="4"/>
  <c r="GH53" i="4" s="1"/>
  <c r="GC53" i="4"/>
  <c r="GD53" i="4" s="1"/>
  <c r="FY53" i="4"/>
  <c r="FZ53" i="4" s="1"/>
  <c r="FU53" i="4"/>
  <c r="FV53" i="4" s="1"/>
  <c r="FQ53" i="4"/>
  <c r="FR53" i="4" s="1"/>
  <c r="FM53" i="4"/>
  <c r="FN53" i="4" s="1"/>
  <c r="FI53" i="4"/>
  <c r="FJ53" i="4" s="1"/>
  <c r="FE53" i="4"/>
  <c r="FF53" i="4" s="1"/>
  <c r="FA53" i="4"/>
  <c r="FB53" i="4" s="1"/>
  <c r="EW53" i="4"/>
  <c r="EX53" i="4" s="1"/>
  <c r="ET53" i="4"/>
  <c r="AU26" i="4"/>
  <c r="AV26" i="4" s="1"/>
  <c r="AE26" i="4"/>
  <c r="AF26" i="4" s="1"/>
  <c r="AW155" i="4"/>
  <c r="AX155" i="4" s="1"/>
  <c r="AQ155" i="4"/>
  <c r="AR155" i="4" s="1"/>
  <c r="AG155" i="4"/>
  <c r="AH155" i="4" s="1"/>
  <c r="AA155" i="4"/>
  <c r="AB155" i="4" s="1"/>
  <c r="Q155" i="4"/>
  <c r="R155" i="4" s="1"/>
  <c r="K155" i="4"/>
  <c r="L155" i="4" s="1"/>
  <c r="S155" i="4"/>
  <c r="T155" i="4" s="1"/>
  <c r="J155" i="4"/>
  <c r="AU155" i="4"/>
  <c r="AV155" i="4" s="1"/>
  <c r="AK155" i="4"/>
  <c r="AL155" i="4" s="1"/>
  <c r="AE155" i="4"/>
  <c r="AF155" i="4" s="1"/>
  <c r="U155" i="4"/>
  <c r="V155" i="4" s="1"/>
  <c r="O155" i="4"/>
  <c r="P155" i="4" s="1"/>
  <c r="AO155" i="4"/>
  <c r="AP155" i="4" s="1"/>
  <c r="AS155" i="4"/>
  <c r="AT155" i="4" s="1"/>
  <c r="AM155" i="4"/>
  <c r="AN155" i="4" s="1"/>
  <c r="AC155" i="4"/>
  <c r="AD155" i="4" s="1"/>
  <c r="W155" i="4"/>
  <c r="X155" i="4" s="1"/>
  <c r="M155" i="4"/>
  <c r="N155" i="4" s="1"/>
  <c r="AY155" i="4"/>
  <c r="AZ155" i="4" s="1"/>
  <c r="AI155" i="4"/>
  <c r="AJ155" i="4" s="1"/>
  <c r="Y155" i="4"/>
  <c r="Z155" i="4" s="1"/>
  <c r="ER153" i="4"/>
  <c r="ES153" i="4" s="1"/>
  <c r="CA153" i="4"/>
  <c r="ER155" i="4"/>
  <c r="ES155" i="4" s="1"/>
  <c r="CA155" i="4"/>
  <c r="AY26" i="4"/>
  <c r="AZ26" i="4" s="1"/>
  <c r="AW26" i="4"/>
  <c r="AX26" i="4" s="1"/>
  <c r="AG26" i="4"/>
  <c r="AH26" i="4" s="1"/>
  <c r="Q26" i="4"/>
  <c r="R26" i="4" s="1"/>
  <c r="Y26" i="4"/>
  <c r="Z26" i="4" s="1"/>
  <c r="AS26" i="4"/>
  <c r="AT26" i="4" s="1"/>
  <c r="AC26" i="4"/>
  <c r="AD26" i="4" s="1"/>
  <c r="M26" i="4"/>
  <c r="N26" i="4" s="1"/>
  <c r="J26" i="4"/>
  <c r="AK26" i="4"/>
  <c r="AL26" i="4" s="1"/>
  <c r="U26" i="4"/>
  <c r="V26" i="4" s="1"/>
  <c r="AO26" i="4"/>
  <c r="AP26" i="4" s="1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GI26" i="4"/>
  <c r="GJ26" i="4" s="1"/>
  <c r="GE26" i="4"/>
  <c r="GF26" i="4" s="1"/>
  <c r="GA26" i="4"/>
  <c r="GB26" i="4" s="1"/>
  <c r="FW26" i="4"/>
  <c r="FX26" i="4" s="1"/>
  <c r="FS26" i="4"/>
  <c r="FT26" i="4" s="1"/>
  <c r="FO26" i="4"/>
  <c r="FP26" i="4" s="1"/>
  <c r="FK26" i="4"/>
  <c r="FL26" i="4" s="1"/>
  <c r="FG26" i="4"/>
  <c r="FH26" i="4" s="1"/>
  <c r="FC26" i="4"/>
  <c r="FD26" i="4" s="1"/>
  <c r="EY26" i="4"/>
  <c r="EZ26" i="4" s="1"/>
  <c r="EU26" i="4"/>
  <c r="EV26" i="4" s="1"/>
  <c r="GI151" i="4"/>
  <c r="GJ151" i="4" s="1"/>
  <c r="GE151" i="4"/>
  <c r="GF151" i="4" s="1"/>
  <c r="GA151" i="4"/>
  <c r="GB151" i="4" s="1"/>
  <c r="FW151" i="4"/>
  <c r="FX151" i="4" s="1"/>
  <c r="FS151" i="4"/>
  <c r="FT151" i="4" s="1"/>
  <c r="FO151" i="4"/>
  <c r="FP151" i="4" s="1"/>
  <c r="FK151" i="4"/>
  <c r="FL151" i="4" s="1"/>
  <c r="FG151" i="4"/>
  <c r="FH151" i="4" s="1"/>
  <c r="FC151" i="4"/>
  <c r="FD151" i="4" s="1"/>
  <c r="EY151" i="4"/>
  <c r="EZ151" i="4" s="1"/>
  <c r="EU151" i="4"/>
  <c r="EV151" i="4" s="1"/>
  <c r="FY151" i="4"/>
  <c r="FZ151" i="4" s="1"/>
  <c r="FI151" i="4"/>
  <c r="FJ151" i="4" s="1"/>
  <c r="ET151" i="4"/>
  <c r="FA151" i="4"/>
  <c r="FB151" i="4" s="1"/>
  <c r="FU151" i="4"/>
  <c r="FV151" i="4" s="1"/>
  <c r="FE151" i="4"/>
  <c r="FF151" i="4" s="1"/>
  <c r="GG151" i="4"/>
  <c r="GH151" i="4" s="1"/>
  <c r="GC151" i="4"/>
  <c r="GD151" i="4" s="1"/>
  <c r="FM151" i="4"/>
  <c r="FN151" i="4" s="1"/>
  <c r="EW151" i="4"/>
  <c r="EX151" i="4" s="1"/>
  <c r="FQ151" i="4"/>
  <c r="FR151" i="4" s="1"/>
  <c r="DQ26" i="4"/>
  <c r="DR26" i="4" s="1"/>
  <c r="DM26" i="4"/>
  <c r="DN26" i="4" s="1"/>
  <c r="DI26" i="4"/>
  <c r="DJ26" i="4" s="1"/>
  <c r="DE26" i="4"/>
  <c r="DF26" i="4" s="1"/>
  <c r="DA26" i="4"/>
  <c r="DB26" i="4" s="1"/>
  <c r="CW26" i="4"/>
  <c r="CX26" i="4" s="1"/>
  <c r="CS26" i="4"/>
  <c r="CT26" i="4" s="1"/>
  <c r="CO26" i="4"/>
  <c r="CP26" i="4" s="1"/>
  <c r="CK26" i="4"/>
  <c r="CL26" i="4" s="1"/>
  <c r="DO26" i="4"/>
  <c r="DP26" i="4" s="1"/>
  <c r="DK26" i="4"/>
  <c r="DL26" i="4" s="1"/>
  <c r="DG26" i="4"/>
  <c r="DH26" i="4" s="1"/>
  <c r="DC26" i="4"/>
  <c r="DD26" i="4" s="1"/>
  <c r="CY26" i="4"/>
  <c r="CZ26" i="4" s="1"/>
  <c r="CU26" i="4"/>
  <c r="CV26" i="4" s="1"/>
  <c r="CQ26" i="4"/>
  <c r="CR26" i="4" s="1"/>
  <c r="CM26" i="4"/>
  <c r="CN26" i="4" s="1"/>
  <c r="CI26" i="4"/>
  <c r="CJ26" i="4" s="1"/>
  <c r="CE26" i="4"/>
  <c r="CF26" i="4" s="1"/>
  <c r="CB26" i="4"/>
  <c r="CC26" i="4"/>
  <c r="CD26" i="4" s="1"/>
  <c r="CG26" i="4"/>
  <c r="CH26" i="4" s="1"/>
  <c r="AY25" i="4"/>
  <c r="AZ25" i="4" s="1"/>
  <c r="K25" i="4"/>
  <c r="L25" i="4" s="1"/>
  <c r="AU25" i="4"/>
  <c r="AV25" i="4" s="1"/>
  <c r="AM25" i="4"/>
  <c r="AN25" i="4" s="1"/>
  <c r="U25" i="4"/>
  <c r="V25" i="4" s="1"/>
  <c r="Y25" i="4"/>
  <c r="Z25" i="4" s="1"/>
  <c r="AO25" i="4"/>
  <c r="AP25" i="4" s="1"/>
  <c r="AE25" i="4"/>
  <c r="AF25" i="4" s="1"/>
  <c r="M25" i="4"/>
  <c r="N25" i="4" s="1"/>
  <c r="Q25" i="4"/>
  <c r="R25" i="4" s="1"/>
  <c r="AA25" i="4"/>
  <c r="AB25" i="4" s="1"/>
  <c r="W25" i="4"/>
  <c r="X25" i="4" s="1"/>
  <c r="AK25" i="4"/>
  <c r="AL25" i="4" s="1"/>
  <c r="AI25" i="4"/>
  <c r="AJ25" i="4" s="1"/>
  <c r="AQ25" i="4"/>
  <c r="AR25" i="4" s="1"/>
  <c r="J25" i="4"/>
  <c r="S25" i="4"/>
  <c r="T25" i="4" s="1"/>
  <c r="ER145" i="4"/>
  <c r="ES145" i="4" s="1"/>
  <c r="CA145" i="4"/>
  <c r="AW144" i="4"/>
  <c r="AX144" i="4" s="1"/>
  <c r="AS144" i="4"/>
  <c r="AT144" i="4" s="1"/>
  <c r="AO144" i="4"/>
  <c r="AP144" i="4" s="1"/>
  <c r="AK144" i="4"/>
  <c r="AL144" i="4" s="1"/>
  <c r="AG144" i="4"/>
  <c r="AH144" i="4" s="1"/>
  <c r="AC144" i="4"/>
  <c r="AD144" i="4" s="1"/>
  <c r="Y144" i="4"/>
  <c r="Z144" i="4" s="1"/>
  <c r="U144" i="4"/>
  <c r="V144" i="4" s="1"/>
  <c r="Q144" i="4"/>
  <c r="R144" i="4" s="1"/>
  <c r="M144" i="4"/>
  <c r="N144" i="4" s="1"/>
  <c r="J144" i="4"/>
  <c r="AY144" i="4"/>
  <c r="AZ144" i="4" s="1"/>
  <c r="AU144" i="4"/>
  <c r="AV144" i="4" s="1"/>
  <c r="AQ144" i="4"/>
  <c r="AR144" i="4" s="1"/>
  <c r="AM144" i="4"/>
  <c r="AN144" i="4" s="1"/>
  <c r="AI144" i="4"/>
  <c r="AJ144" i="4" s="1"/>
  <c r="AE144" i="4"/>
  <c r="AF144" i="4" s="1"/>
  <c r="AA144" i="4"/>
  <c r="AB144" i="4" s="1"/>
  <c r="W144" i="4"/>
  <c r="X144" i="4" s="1"/>
  <c r="S144" i="4"/>
  <c r="T144" i="4" s="1"/>
  <c r="O144" i="4"/>
  <c r="P144" i="4" s="1"/>
  <c r="K144" i="4"/>
  <c r="L144" i="4" s="1"/>
  <c r="CA144" i="4"/>
  <c r="ER144" i="4"/>
  <c r="ES144" i="4" s="1"/>
  <c r="DQ25" i="4"/>
  <c r="DR25" i="4" s="1"/>
  <c r="DM25" i="4"/>
  <c r="DN25" i="4" s="1"/>
  <c r="DI25" i="4"/>
  <c r="DJ25" i="4" s="1"/>
  <c r="DE25" i="4"/>
  <c r="DF25" i="4" s="1"/>
  <c r="DO25" i="4"/>
  <c r="DP25" i="4" s="1"/>
  <c r="DK25" i="4"/>
  <c r="DL25" i="4" s="1"/>
  <c r="DG25" i="4"/>
  <c r="DH25" i="4" s="1"/>
  <c r="DC25" i="4"/>
  <c r="DD25" i="4" s="1"/>
  <c r="CY25" i="4"/>
  <c r="CZ25" i="4" s="1"/>
  <c r="CU25" i="4"/>
  <c r="CV25" i="4" s="1"/>
  <c r="CQ25" i="4"/>
  <c r="CR25" i="4" s="1"/>
  <c r="CM25" i="4"/>
  <c r="CN25" i="4" s="1"/>
  <c r="CI25" i="4"/>
  <c r="CJ25" i="4" s="1"/>
  <c r="CE25" i="4"/>
  <c r="CF25" i="4" s="1"/>
  <c r="CB25" i="4"/>
  <c r="CW25" i="4"/>
  <c r="CX25" i="4" s="1"/>
  <c r="CK25" i="4"/>
  <c r="CL25" i="4" s="1"/>
  <c r="DA25" i="4"/>
  <c r="DB25" i="4" s="1"/>
  <c r="CO25" i="4"/>
  <c r="CP25" i="4" s="1"/>
  <c r="CC25" i="4"/>
  <c r="CD25" i="4" s="1"/>
  <c r="CS25" i="4"/>
  <c r="CT25" i="4" s="1"/>
  <c r="CG25" i="4"/>
  <c r="CH25" i="4" s="1"/>
  <c r="GG25" i="4"/>
  <c r="GH25" i="4" s="1"/>
  <c r="GC25" i="4"/>
  <c r="GD25" i="4" s="1"/>
  <c r="FY25" i="4"/>
  <c r="FZ25" i="4" s="1"/>
  <c r="FU25" i="4"/>
  <c r="FV25" i="4" s="1"/>
  <c r="FQ25" i="4"/>
  <c r="FR25" i="4" s="1"/>
  <c r="FM25" i="4"/>
  <c r="FN25" i="4" s="1"/>
  <c r="FI25" i="4"/>
  <c r="FJ25" i="4" s="1"/>
  <c r="FE25" i="4"/>
  <c r="FF25" i="4" s="1"/>
  <c r="FA25" i="4"/>
  <c r="FB25" i="4" s="1"/>
  <c r="EW25" i="4"/>
  <c r="EX25" i="4" s="1"/>
  <c r="ET25" i="4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BZ148" i="4"/>
  <c r="I148" i="4"/>
  <c r="I143" i="4"/>
  <c r="BZ143" i="4"/>
  <c r="AS20" i="4"/>
  <c r="AT20" i="4" s="1"/>
  <c r="AK20" i="4"/>
  <c r="AL20" i="4" s="1"/>
  <c r="AC20" i="4"/>
  <c r="AD20" i="4" s="1"/>
  <c r="U20" i="4"/>
  <c r="V20" i="4" s="1"/>
  <c r="J20" i="4"/>
  <c r="AU20" i="4"/>
  <c r="AV20" i="4" s="1"/>
  <c r="AI20" i="4"/>
  <c r="AJ20" i="4" s="1"/>
  <c r="W20" i="4"/>
  <c r="X20" i="4" s="1"/>
  <c r="AY20" i="4"/>
  <c r="AZ20" i="4" s="1"/>
  <c r="AM20" i="4"/>
  <c r="AN20" i="4" s="1"/>
  <c r="AA20" i="4"/>
  <c r="AB20" i="4" s="1"/>
  <c r="O20" i="4"/>
  <c r="P20" i="4" s="1"/>
  <c r="AW20" i="4"/>
  <c r="AX20" i="4" s="1"/>
  <c r="AO20" i="4"/>
  <c r="AP20" i="4" s="1"/>
  <c r="AG20" i="4"/>
  <c r="AH20" i="4" s="1"/>
  <c r="Y20" i="4"/>
  <c r="Z20" i="4" s="1"/>
  <c r="Q20" i="4"/>
  <c r="R20" i="4" s="1"/>
  <c r="M20" i="4"/>
  <c r="N20" i="4" s="1"/>
  <c r="AQ20" i="4"/>
  <c r="AR20" i="4" s="1"/>
  <c r="AE20" i="4"/>
  <c r="AF20" i="4" s="1"/>
  <c r="S20" i="4"/>
  <c r="T20" i="4" s="1"/>
  <c r="K20" i="4"/>
  <c r="L20" i="4" s="1"/>
  <c r="I60" i="4"/>
  <c r="BZ60" i="4"/>
  <c r="DO20" i="4"/>
  <c r="DP20" i="4" s="1"/>
  <c r="DK20" i="4"/>
  <c r="DL20" i="4" s="1"/>
  <c r="DG20" i="4"/>
  <c r="DH20" i="4" s="1"/>
  <c r="DC20" i="4"/>
  <c r="DD20" i="4" s="1"/>
  <c r="DQ20" i="4"/>
  <c r="DR20" i="4" s="1"/>
  <c r="DM20" i="4"/>
  <c r="DN20" i="4" s="1"/>
  <c r="DI20" i="4"/>
  <c r="DJ20" i="4" s="1"/>
  <c r="DE20" i="4"/>
  <c r="DF20" i="4" s="1"/>
  <c r="DA20" i="4"/>
  <c r="DB20" i="4" s="1"/>
  <c r="CS20" i="4"/>
  <c r="CT20" i="4" s="1"/>
  <c r="CK20" i="4"/>
  <c r="CL20" i="4" s="1"/>
  <c r="CC20" i="4"/>
  <c r="CD20" i="4" s="1"/>
  <c r="CQ20" i="4"/>
  <c r="CR20" i="4" s="1"/>
  <c r="CE20" i="4"/>
  <c r="CF20" i="4" s="1"/>
  <c r="CW20" i="4"/>
  <c r="CX20" i="4" s="1"/>
  <c r="CU20" i="4"/>
  <c r="CV20" i="4" s="1"/>
  <c r="CI20" i="4"/>
  <c r="CJ20" i="4" s="1"/>
  <c r="CY20" i="4"/>
  <c r="CZ20" i="4" s="1"/>
  <c r="CO20" i="4"/>
  <c r="CP20" i="4" s="1"/>
  <c r="CG20" i="4"/>
  <c r="CH20" i="4" s="1"/>
  <c r="CM20" i="4"/>
  <c r="CN20" i="4" s="1"/>
  <c r="CB20" i="4"/>
  <c r="I57" i="4"/>
  <c r="BZ57" i="4"/>
  <c r="GI20" i="4"/>
  <c r="GJ20" i="4" s="1"/>
  <c r="GE20" i="4"/>
  <c r="GF20" i="4" s="1"/>
  <c r="GA20" i="4"/>
  <c r="GB20" i="4" s="1"/>
  <c r="FW20" i="4"/>
  <c r="FX20" i="4" s="1"/>
  <c r="FS20" i="4"/>
  <c r="FT20" i="4" s="1"/>
  <c r="FO20" i="4"/>
  <c r="FP20" i="4" s="1"/>
  <c r="FK20" i="4"/>
  <c r="FL20" i="4" s="1"/>
  <c r="FG20" i="4"/>
  <c r="FH20" i="4" s="1"/>
  <c r="FC20" i="4"/>
  <c r="FD20" i="4" s="1"/>
  <c r="EY20" i="4"/>
  <c r="EZ20" i="4" s="1"/>
  <c r="EU20" i="4"/>
  <c r="EV20" i="4" s="1"/>
  <c r="GG20" i="4"/>
  <c r="GH20" i="4" s="1"/>
  <c r="GC20" i="4"/>
  <c r="GD20" i="4" s="1"/>
  <c r="FY20" i="4"/>
  <c r="FZ20" i="4" s="1"/>
  <c r="FU20" i="4"/>
  <c r="FV20" i="4" s="1"/>
  <c r="FQ20" i="4"/>
  <c r="FR20" i="4" s="1"/>
  <c r="FM20" i="4"/>
  <c r="FN20" i="4" s="1"/>
  <c r="FI20" i="4"/>
  <c r="FJ20" i="4" s="1"/>
  <c r="FE20" i="4"/>
  <c r="FF20" i="4" s="1"/>
  <c r="FA20" i="4"/>
  <c r="FB20" i="4" s="1"/>
  <c r="EW20" i="4"/>
  <c r="EX20" i="4" s="1"/>
  <c r="ET20" i="4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GC138" i="4"/>
  <c r="GD138" i="4" s="1"/>
  <c r="FU138" i="4"/>
  <c r="FV138" i="4" s="1"/>
  <c r="FI138" i="4"/>
  <c r="FJ138" i="4" s="1"/>
  <c r="EW138" i="4"/>
  <c r="EX138" i="4" s="1"/>
  <c r="FQ138" i="4"/>
  <c r="FR138" i="4" s="1"/>
  <c r="FE138" i="4"/>
  <c r="FF138" i="4" s="1"/>
  <c r="ET138" i="4"/>
  <c r="GG138" i="4"/>
  <c r="GH138" i="4" s="1"/>
  <c r="FY138" i="4"/>
  <c r="FZ138" i="4" s="1"/>
  <c r="FM138" i="4"/>
  <c r="FN138" i="4" s="1"/>
  <c r="FA138" i="4"/>
  <c r="FB138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I138" i="4"/>
  <c r="DJ138" i="4" s="1"/>
  <c r="CW138" i="4"/>
  <c r="CX138" i="4" s="1"/>
  <c r="CK138" i="4"/>
  <c r="CL138" i="4" s="1"/>
  <c r="DM138" i="4"/>
  <c r="DN138" i="4" s="1"/>
  <c r="DA138" i="4"/>
  <c r="DB138" i="4" s="1"/>
  <c r="CO138" i="4"/>
  <c r="CP138" i="4" s="1"/>
  <c r="CC138" i="4"/>
  <c r="CD138" i="4" s="1"/>
  <c r="DQ138" i="4"/>
  <c r="DR138" i="4" s="1"/>
  <c r="DE138" i="4"/>
  <c r="DF138" i="4" s="1"/>
  <c r="CS138" i="4"/>
  <c r="CT138" i="4" s="1"/>
  <c r="CG138" i="4"/>
  <c r="CH138" i="4" s="1"/>
  <c r="I140" i="4"/>
  <c r="AC24" i="4"/>
  <c r="AD24" i="4" s="1"/>
  <c r="AY24" i="4"/>
  <c r="AZ24" i="4" s="1"/>
  <c r="CA137" i="4"/>
  <c r="ER137" i="4"/>
  <c r="ES137" i="4" s="1"/>
  <c r="M24" i="4"/>
  <c r="N24" i="4" s="1"/>
  <c r="AI24" i="4"/>
  <c r="AJ24" i="4" s="1"/>
  <c r="AY137" i="4"/>
  <c r="AZ137" i="4" s="1"/>
  <c r="AU137" i="4"/>
  <c r="AV137" i="4" s="1"/>
  <c r="AQ137" i="4"/>
  <c r="AR137" i="4" s="1"/>
  <c r="AM137" i="4"/>
  <c r="AN137" i="4" s="1"/>
  <c r="AI137" i="4"/>
  <c r="AJ137" i="4" s="1"/>
  <c r="AE137" i="4"/>
  <c r="AF137" i="4" s="1"/>
  <c r="AA137" i="4"/>
  <c r="AB137" i="4" s="1"/>
  <c r="W137" i="4"/>
  <c r="X137" i="4" s="1"/>
  <c r="S137" i="4"/>
  <c r="T137" i="4" s="1"/>
  <c r="O137" i="4"/>
  <c r="P137" i="4" s="1"/>
  <c r="K137" i="4"/>
  <c r="L137" i="4" s="1"/>
  <c r="AW137" i="4"/>
  <c r="AX137" i="4" s="1"/>
  <c r="AS137" i="4"/>
  <c r="AT137" i="4" s="1"/>
  <c r="AO137" i="4"/>
  <c r="AP137" i="4" s="1"/>
  <c r="AK137" i="4"/>
  <c r="AL137" i="4" s="1"/>
  <c r="AG137" i="4"/>
  <c r="AH137" i="4" s="1"/>
  <c r="AC137" i="4"/>
  <c r="AD137" i="4" s="1"/>
  <c r="Y137" i="4"/>
  <c r="Z137" i="4" s="1"/>
  <c r="U137" i="4"/>
  <c r="V137" i="4" s="1"/>
  <c r="Q137" i="4"/>
  <c r="R137" i="4" s="1"/>
  <c r="M137" i="4"/>
  <c r="N137" i="4" s="1"/>
  <c r="J137" i="4"/>
  <c r="AW133" i="4"/>
  <c r="AX133" i="4" s="1"/>
  <c r="AS133" i="4"/>
  <c r="AT133" i="4" s="1"/>
  <c r="AO133" i="4"/>
  <c r="AP133" i="4" s="1"/>
  <c r="AK133" i="4"/>
  <c r="AL133" i="4" s="1"/>
  <c r="AG133" i="4"/>
  <c r="AH133" i="4" s="1"/>
  <c r="AC133" i="4"/>
  <c r="AD133" i="4" s="1"/>
  <c r="Y133" i="4"/>
  <c r="Z133" i="4" s="1"/>
  <c r="U133" i="4"/>
  <c r="V133" i="4" s="1"/>
  <c r="Q133" i="4"/>
  <c r="R133" i="4" s="1"/>
  <c r="M133" i="4"/>
  <c r="N133" i="4" s="1"/>
  <c r="J133" i="4"/>
  <c r="AM133" i="4"/>
  <c r="AN133" i="4" s="1"/>
  <c r="W133" i="4"/>
  <c r="X133" i="4" s="1"/>
  <c r="AU133" i="4"/>
  <c r="AV133" i="4" s="1"/>
  <c r="AY133" i="4"/>
  <c r="AZ133" i="4" s="1"/>
  <c r="AI133" i="4"/>
  <c r="AJ133" i="4" s="1"/>
  <c r="S133" i="4"/>
  <c r="T133" i="4" s="1"/>
  <c r="O133" i="4"/>
  <c r="P133" i="4" s="1"/>
  <c r="AQ133" i="4"/>
  <c r="AR133" i="4" s="1"/>
  <c r="AA133" i="4"/>
  <c r="AB133" i="4" s="1"/>
  <c r="K133" i="4"/>
  <c r="L133" i="4" s="1"/>
  <c r="AE133" i="4"/>
  <c r="AF133" i="4" s="1"/>
  <c r="DO133" i="4"/>
  <c r="DP133" i="4" s="1"/>
  <c r="DK133" i="4"/>
  <c r="DL133" i="4" s="1"/>
  <c r="DG133" i="4"/>
  <c r="DH133" i="4" s="1"/>
  <c r="DC133" i="4"/>
  <c r="DD133" i="4" s="1"/>
  <c r="CY133" i="4"/>
  <c r="CZ133" i="4" s="1"/>
  <c r="CU133" i="4"/>
  <c r="CV133" i="4" s="1"/>
  <c r="DQ133" i="4"/>
  <c r="DR133" i="4" s="1"/>
  <c r="DM133" i="4"/>
  <c r="DN133" i="4" s="1"/>
  <c r="DI133" i="4"/>
  <c r="DJ133" i="4" s="1"/>
  <c r="DE133" i="4"/>
  <c r="DF133" i="4" s="1"/>
  <c r="DA133" i="4"/>
  <c r="DB133" i="4" s="1"/>
  <c r="CW133" i="4"/>
  <c r="CX133" i="4" s="1"/>
  <c r="CS133" i="4"/>
  <c r="CT133" i="4" s="1"/>
  <c r="CO133" i="4"/>
  <c r="CP133" i="4" s="1"/>
  <c r="CK133" i="4"/>
  <c r="CL133" i="4" s="1"/>
  <c r="CG133" i="4"/>
  <c r="CH133" i="4" s="1"/>
  <c r="CC133" i="4"/>
  <c r="CD133" i="4" s="1"/>
  <c r="CI133" i="4"/>
  <c r="CJ133" i="4" s="1"/>
  <c r="CE133" i="4"/>
  <c r="CF133" i="4" s="1"/>
  <c r="CB133" i="4"/>
  <c r="CM133" i="4"/>
  <c r="CN133" i="4" s="1"/>
  <c r="CQ133" i="4"/>
  <c r="CR133" i="4" s="1"/>
  <c r="GI133" i="4"/>
  <c r="GJ133" i="4" s="1"/>
  <c r="GE133" i="4"/>
  <c r="GF133" i="4" s="1"/>
  <c r="GA133" i="4"/>
  <c r="GB133" i="4" s="1"/>
  <c r="FW133" i="4"/>
  <c r="FX133" i="4" s="1"/>
  <c r="FS133" i="4"/>
  <c r="FT133" i="4" s="1"/>
  <c r="FO133" i="4"/>
  <c r="FP133" i="4" s="1"/>
  <c r="FK133" i="4"/>
  <c r="FL133" i="4" s="1"/>
  <c r="FG133" i="4"/>
  <c r="FH133" i="4" s="1"/>
  <c r="FC133" i="4"/>
  <c r="FD133" i="4" s="1"/>
  <c r="EY133" i="4"/>
  <c r="EZ133" i="4" s="1"/>
  <c r="EU133" i="4"/>
  <c r="EV133" i="4" s="1"/>
  <c r="GG133" i="4"/>
  <c r="GH133" i="4" s="1"/>
  <c r="GC133" i="4"/>
  <c r="GD133" i="4" s="1"/>
  <c r="FY133" i="4"/>
  <c r="FZ133" i="4" s="1"/>
  <c r="FU133" i="4"/>
  <c r="FV133" i="4" s="1"/>
  <c r="FQ133" i="4"/>
  <c r="FR133" i="4" s="1"/>
  <c r="FM133" i="4"/>
  <c r="FN133" i="4" s="1"/>
  <c r="FI133" i="4"/>
  <c r="FJ133" i="4" s="1"/>
  <c r="FE133" i="4"/>
  <c r="FF133" i="4" s="1"/>
  <c r="FA133" i="4"/>
  <c r="FB133" i="4" s="1"/>
  <c r="EW133" i="4"/>
  <c r="EX133" i="4" s="1"/>
  <c r="ET133" i="4"/>
  <c r="CA140" i="4"/>
  <c r="DQ140" i="4" s="1"/>
  <c r="DR140" i="4" s="1"/>
  <c r="ER135" i="4"/>
  <c r="ES135" i="4" s="1"/>
  <c r="CA135" i="4"/>
  <c r="S24" i="4"/>
  <c r="T24" i="4" s="1"/>
  <c r="AG24" i="4"/>
  <c r="AH24" i="4" s="1"/>
  <c r="Q24" i="4"/>
  <c r="R24" i="4" s="1"/>
  <c r="AM24" i="4"/>
  <c r="AN24" i="4" s="1"/>
  <c r="W24" i="4"/>
  <c r="X24" i="4" s="1"/>
  <c r="AO24" i="4"/>
  <c r="AP24" i="4" s="1"/>
  <c r="Y24" i="4"/>
  <c r="Z24" i="4" s="1"/>
  <c r="J24" i="4"/>
  <c r="AU24" i="4"/>
  <c r="AV24" i="4" s="1"/>
  <c r="AE24" i="4"/>
  <c r="AF24" i="4" s="1"/>
  <c r="O24" i="4"/>
  <c r="P24" i="4" s="1"/>
  <c r="GI136" i="4"/>
  <c r="GJ136" i="4" s="1"/>
  <c r="GE136" i="4"/>
  <c r="GF136" i="4" s="1"/>
  <c r="GA136" i="4"/>
  <c r="GB136" i="4" s="1"/>
  <c r="FW136" i="4"/>
  <c r="FX136" i="4" s="1"/>
  <c r="FS136" i="4"/>
  <c r="FT136" i="4" s="1"/>
  <c r="FO136" i="4"/>
  <c r="FP136" i="4" s="1"/>
  <c r="FK136" i="4"/>
  <c r="FL136" i="4" s="1"/>
  <c r="FG136" i="4"/>
  <c r="FH136" i="4" s="1"/>
  <c r="FC136" i="4"/>
  <c r="FD136" i="4" s="1"/>
  <c r="EY136" i="4"/>
  <c r="EZ136" i="4" s="1"/>
  <c r="EU136" i="4"/>
  <c r="EV136" i="4" s="1"/>
  <c r="GG136" i="4"/>
  <c r="GH136" i="4" s="1"/>
  <c r="FY136" i="4"/>
  <c r="FZ136" i="4" s="1"/>
  <c r="FQ136" i="4"/>
  <c r="FR136" i="4" s="1"/>
  <c r="FI136" i="4"/>
  <c r="FJ136" i="4" s="1"/>
  <c r="FA136" i="4"/>
  <c r="FB136" i="4" s="1"/>
  <c r="ET136" i="4"/>
  <c r="GC136" i="4"/>
  <c r="GD136" i="4" s="1"/>
  <c r="FU136" i="4"/>
  <c r="FV136" i="4" s="1"/>
  <c r="FM136" i="4"/>
  <c r="FN136" i="4" s="1"/>
  <c r="FE136" i="4"/>
  <c r="FF136" i="4" s="1"/>
  <c r="EW136" i="4"/>
  <c r="EX136" i="4" s="1"/>
  <c r="AK24" i="4"/>
  <c r="AL24" i="4" s="1"/>
  <c r="U24" i="4"/>
  <c r="V24" i="4" s="1"/>
  <c r="AQ24" i="4"/>
  <c r="AR24" i="4" s="1"/>
  <c r="AA24" i="4"/>
  <c r="AB24" i="4" s="1"/>
  <c r="K24" i="4"/>
  <c r="L24" i="4" s="1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DQ136" i="4"/>
  <c r="DR136" i="4" s="1"/>
  <c r="DE136" i="4"/>
  <c r="DF136" i="4" s="1"/>
  <c r="CW136" i="4"/>
  <c r="CX136" i="4" s="1"/>
  <c r="CO136" i="4"/>
  <c r="CP136" i="4" s="1"/>
  <c r="CG136" i="4"/>
  <c r="CH136" i="4" s="1"/>
  <c r="DM136" i="4"/>
  <c r="DN136" i="4" s="1"/>
  <c r="DI136" i="4"/>
  <c r="DJ136" i="4" s="1"/>
  <c r="DA136" i="4"/>
  <c r="DB136" i="4" s="1"/>
  <c r="CS136" i="4"/>
  <c r="CT136" i="4" s="1"/>
  <c r="CK136" i="4"/>
  <c r="CL136" i="4" s="1"/>
  <c r="CC136" i="4"/>
  <c r="CD136" i="4" s="1"/>
  <c r="GG140" i="4"/>
  <c r="GH140" i="4" s="1"/>
  <c r="GC140" i="4"/>
  <c r="GD140" i="4" s="1"/>
  <c r="FY140" i="4"/>
  <c r="FZ140" i="4" s="1"/>
  <c r="FU140" i="4"/>
  <c r="FV140" i="4" s="1"/>
  <c r="FQ140" i="4"/>
  <c r="FR140" i="4" s="1"/>
  <c r="FM140" i="4"/>
  <c r="FN140" i="4" s="1"/>
  <c r="FI140" i="4"/>
  <c r="FJ140" i="4" s="1"/>
  <c r="FE140" i="4"/>
  <c r="FF140" i="4" s="1"/>
  <c r="FA140" i="4"/>
  <c r="FB140" i="4" s="1"/>
  <c r="EW140" i="4"/>
  <c r="EX140" i="4" s="1"/>
  <c r="ET140" i="4"/>
  <c r="GI140" i="4"/>
  <c r="GJ140" i="4" s="1"/>
  <c r="GE140" i="4"/>
  <c r="GF140" i="4" s="1"/>
  <c r="GA140" i="4"/>
  <c r="GB140" i="4" s="1"/>
  <c r="FW140" i="4"/>
  <c r="FX140" i="4" s="1"/>
  <c r="FS140" i="4"/>
  <c r="FT140" i="4" s="1"/>
  <c r="FO140" i="4"/>
  <c r="FP140" i="4" s="1"/>
  <c r="FK140" i="4"/>
  <c r="FL140" i="4" s="1"/>
  <c r="FG140" i="4"/>
  <c r="FH140" i="4" s="1"/>
  <c r="FC140" i="4"/>
  <c r="FD140" i="4" s="1"/>
  <c r="EY140" i="4"/>
  <c r="EZ140" i="4" s="1"/>
  <c r="EU140" i="4"/>
  <c r="EV140" i="4" s="1"/>
  <c r="DO134" i="4"/>
  <c r="DP134" i="4" s="1"/>
  <c r="DK134" i="4"/>
  <c r="DL134" i="4" s="1"/>
  <c r="DG134" i="4"/>
  <c r="DH134" i="4" s="1"/>
  <c r="DC134" i="4"/>
  <c r="DD134" i="4" s="1"/>
  <c r="CY134" i="4"/>
  <c r="CZ134" i="4" s="1"/>
  <c r="CU134" i="4"/>
  <c r="CV134" i="4" s="1"/>
  <c r="CQ134" i="4"/>
  <c r="CR134" i="4" s="1"/>
  <c r="CM134" i="4"/>
  <c r="CN134" i="4" s="1"/>
  <c r="CI134" i="4"/>
  <c r="CJ134" i="4" s="1"/>
  <c r="CE134" i="4"/>
  <c r="CF134" i="4" s="1"/>
  <c r="CB134" i="4"/>
  <c r="DQ134" i="4"/>
  <c r="DR134" i="4" s="1"/>
  <c r="DM134" i="4"/>
  <c r="DN134" i="4" s="1"/>
  <c r="DI134" i="4"/>
  <c r="DJ134" i="4" s="1"/>
  <c r="DE134" i="4"/>
  <c r="DF134" i="4" s="1"/>
  <c r="DA134" i="4"/>
  <c r="DB134" i="4" s="1"/>
  <c r="CW134" i="4"/>
  <c r="CX134" i="4" s="1"/>
  <c r="CS134" i="4"/>
  <c r="CT134" i="4" s="1"/>
  <c r="CO134" i="4"/>
  <c r="CP134" i="4" s="1"/>
  <c r="CK134" i="4"/>
  <c r="CL134" i="4" s="1"/>
  <c r="CG134" i="4"/>
  <c r="CH134" i="4" s="1"/>
  <c r="CC134" i="4"/>
  <c r="CD134" i="4" s="1"/>
  <c r="GI24" i="4"/>
  <c r="GJ24" i="4" s="1"/>
  <c r="GE24" i="4"/>
  <c r="GF24" i="4" s="1"/>
  <c r="GA24" i="4"/>
  <c r="GB24" i="4" s="1"/>
  <c r="FW24" i="4"/>
  <c r="FX24" i="4" s="1"/>
  <c r="FS24" i="4"/>
  <c r="FT24" i="4" s="1"/>
  <c r="FO24" i="4"/>
  <c r="FP24" i="4" s="1"/>
  <c r="FK24" i="4"/>
  <c r="FL24" i="4" s="1"/>
  <c r="FG24" i="4"/>
  <c r="FH24" i="4" s="1"/>
  <c r="FC24" i="4"/>
  <c r="FD24" i="4" s="1"/>
  <c r="EY24" i="4"/>
  <c r="EZ24" i="4" s="1"/>
  <c r="EU24" i="4"/>
  <c r="EV24" i="4" s="1"/>
  <c r="FY24" i="4"/>
  <c r="FZ24" i="4" s="1"/>
  <c r="FI24" i="4"/>
  <c r="FJ24" i="4" s="1"/>
  <c r="ET24" i="4"/>
  <c r="FQ24" i="4"/>
  <c r="FR24" i="4" s="1"/>
  <c r="FU24" i="4"/>
  <c r="FV24" i="4" s="1"/>
  <c r="FE24" i="4"/>
  <c r="FF24" i="4" s="1"/>
  <c r="FA24" i="4"/>
  <c r="FB24" i="4" s="1"/>
  <c r="GC24" i="4"/>
  <c r="GD24" i="4" s="1"/>
  <c r="FM24" i="4"/>
  <c r="FN24" i="4" s="1"/>
  <c r="EW24" i="4"/>
  <c r="EX24" i="4" s="1"/>
  <c r="GG24" i="4"/>
  <c r="GH24" i="4" s="1"/>
  <c r="AS23" i="4"/>
  <c r="AT23" i="4" s="1"/>
  <c r="AY23" i="4"/>
  <c r="AZ23" i="4" s="1"/>
  <c r="AW126" i="4"/>
  <c r="AX126" i="4" s="1"/>
  <c r="AS126" i="4"/>
  <c r="AT126" i="4" s="1"/>
  <c r="AO126" i="4"/>
  <c r="AP126" i="4" s="1"/>
  <c r="AK126" i="4"/>
  <c r="AL126" i="4" s="1"/>
  <c r="AG126" i="4"/>
  <c r="AH126" i="4" s="1"/>
  <c r="AC126" i="4"/>
  <c r="AD126" i="4" s="1"/>
  <c r="Y126" i="4"/>
  <c r="Z126" i="4" s="1"/>
  <c r="U126" i="4"/>
  <c r="V126" i="4" s="1"/>
  <c r="Q126" i="4"/>
  <c r="R126" i="4" s="1"/>
  <c r="M126" i="4"/>
  <c r="N126" i="4" s="1"/>
  <c r="J126" i="4"/>
  <c r="AY126" i="4"/>
  <c r="AZ126" i="4" s="1"/>
  <c r="AU126" i="4"/>
  <c r="AV126" i="4" s="1"/>
  <c r="AQ126" i="4"/>
  <c r="AR126" i="4" s="1"/>
  <c r="AM126" i="4"/>
  <c r="AN126" i="4" s="1"/>
  <c r="AI126" i="4"/>
  <c r="AJ126" i="4" s="1"/>
  <c r="AE126" i="4"/>
  <c r="AF126" i="4" s="1"/>
  <c r="AA126" i="4"/>
  <c r="AB126" i="4" s="1"/>
  <c r="W126" i="4"/>
  <c r="X126" i="4" s="1"/>
  <c r="S126" i="4"/>
  <c r="T126" i="4" s="1"/>
  <c r="O126" i="4"/>
  <c r="P126" i="4" s="1"/>
  <c r="K126" i="4"/>
  <c r="L126" i="4" s="1"/>
  <c r="CA126" i="4"/>
  <c r="ER126" i="4"/>
  <c r="ES126" i="4" s="1"/>
  <c r="AA23" i="4"/>
  <c r="AB23" i="4" s="1"/>
  <c r="AC23" i="4"/>
  <c r="AD23" i="4" s="1"/>
  <c r="J23" i="4"/>
  <c r="AI23" i="4"/>
  <c r="AJ23" i="4" s="1"/>
  <c r="K23" i="4"/>
  <c r="L23" i="4" s="1"/>
  <c r="AO23" i="4"/>
  <c r="AP23" i="4" s="1"/>
  <c r="U23" i="4"/>
  <c r="V23" i="4" s="1"/>
  <c r="AQ23" i="4"/>
  <c r="AR23" i="4" s="1"/>
  <c r="W23" i="4"/>
  <c r="X23" i="4" s="1"/>
  <c r="ER118" i="4"/>
  <c r="ES118" i="4" s="1"/>
  <c r="CA118" i="4"/>
  <c r="AK23" i="4"/>
  <c r="AL23" i="4" s="1"/>
  <c r="M23" i="4"/>
  <c r="N23" i="4" s="1"/>
  <c r="AM23" i="4"/>
  <c r="AN23" i="4" s="1"/>
  <c r="S23" i="4"/>
  <c r="T23" i="4" s="1"/>
  <c r="GI119" i="4"/>
  <c r="GJ119" i="4" s="1"/>
  <c r="GE119" i="4"/>
  <c r="GF119" i="4" s="1"/>
  <c r="GA119" i="4"/>
  <c r="GB119" i="4" s="1"/>
  <c r="FW119" i="4"/>
  <c r="FX119" i="4" s="1"/>
  <c r="FS119" i="4"/>
  <c r="FT119" i="4" s="1"/>
  <c r="FO119" i="4"/>
  <c r="FP119" i="4" s="1"/>
  <c r="FK119" i="4"/>
  <c r="FL119" i="4" s="1"/>
  <c r="FG119" i="4"/>
  <c r="FH119" i="4" s="1"/>
  <c r="FC119" i="4"/>
  <c r="FD119" i="4" s="1"/>
  <c r="EY119" i="4"/>
  <c r="EZ119" i="4" s="1"/>
  <c r="EU119" i="4"/>
  <c r="EV119" i="4" s="1"/>
  <c r="GG119" i="4"/>
  <c r="GH119" i="4" s="1"/>
  <c r="FQ119" i="4"/>
  <c r="FR119" i="4" s="1"/>
  <c r="FE119" i="4"/>
  <c r="FF119" i="4" s="1"/>
  <c r="FY119" i="4"/>
  <c r="FZ119" i="4" s="1"/>
  <c r="FI119" i="4"/>
  <c r="FJ119" i="4" s="1"/>
  <c r="EW119" i="4"/>
  <c r="EX119" i="4" s="1"/>
  <c r="GC119" i="4"/>
  <c r="GD119" i="4" s="1"/>
  <c r="FU119" i="4"/>
  <c r="FV119" i="4" s="1"/>
  <c r="FM119" i="4"/>
  <c r="FN119" i="4" s="1"/>
  <c r="FA119" i="4"/>
  <c r="FB119" i="4" s="1"/>
  <c r="ET119" i="4"/>
  <c r="DO119" i="4"/>
  <c r="DP119" i="4" s="1"/>
  <c r="DK119" i="4"/>
  <c r="DL119" i="4" s="1"/>
  <c r="DG119" i="4"/>
  <c r="DH119" i="4" s="1"/>
  <c r="DC119" i="4"/>
  <c r="DD119" i="4" s="1"/>
  <c r="CY119" i="4"/>
  <c r="CZ119" i="4" s="1"/>
  <c r="CU119" i="4"/>
  <c r="CV119" i="4" s="1"/>
  <c r="CQ119" i="4"/>
  <c r="CR119" i="4" s="1"/>
  <c r="CM119" i="4"/>
  <c r="CN119" i="4" s="1"/>
  <c r="CI119" i="4"/>
  <c r="CJ119" i="4" s="1"/>
  <c r="CE119" i="4"/>
  <c r="CF119" i="4" s="1"/>
  <c r="CB119" i="4"/>
  <c r="DQ119" i="4"/>
  <c r="DR119" i="4" s="1"/>
  <c r="DE119" i="4"/>
  <c r="DF119" i="4" s="1"/>
  <c r="CS119" i="4"/>
  <c r="CT119" i="4" s="1"/>
  <c r="CG119" i="4"/>
  <c r="CH119" i="4" s="1"/>
  <c r="DM119" i="4"/>
  <c r="DN119" i="4" s="1"/>
  <c r="CW119" i="4"/>
  <c r="CX119" i="4" s="1"/>
  <c r="CK119" i="4"/>
  <c r="CL119" i="4" s="1"/>
  <c r="DI119" i="4"/>
  <c r="DJ119" i="4" s="1"/>
  <c r="DA119" i="4"/>
  <c r="DB119" i="4" s="1"/>
  <c r="CO119" i="4"/>
  <c r="CP119" i="4" s="1"/>
  <c r="CC119" i="4"/>
  <c r="CD119" i="4" s="1"/>
  <c r="ER23" i="4"/>
  <c r="ES23" i="4" s="1"/>
  <c r="GC23" i="4" s="1"/>
  <c r="GD23" i="4" s="1"/>
  <c r="AG23" i="4"/>
  <c r="AH23" i="4" s="1"/>
  <c r="Q23" i="4"/>
  <c r="R23" i="4" s="1"/>
  <c r="AU23" i="4"/>
  <c r="AV23" i="4" s="1"/>
  <c r="AE23" i="4"/>
  <c r="AF23" i="4" s="1"/>
  <c r="O23" i="4"/>
  <c r="P23" i="4" s="1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J116" i="4"/>
  <c r="AY116" i="4"/>
  <c r="AZ116" i="4" s="1"/>
  <c r="AU116" i="4"/>
  <c r="AV116" i="4" s="1"/>
  <c r="AQ116" i="4"/>
  <c r="AR116" i="4" s="1"/>
  <c r="AM116" i="4"/>
  <c r="AN116" i="4" s="1"/>
  <c r="AI116" i="4"/>
  <c r="AJ116" i="4" s="1"/>
  <c r="AE116" i="4"/>
  <c r="AF116" i="4" s="1"/>
  <c r="AA116" i="4"/>
  <c r="AB116" i="4" s="1"/>
  <c r="W116" i="4"/>
  <c r="X116" i="4" s="1"/>
  <c r="S116" i="4"/>
  <c r="T116" i="4" s="1"/>
  <c r="O116" i="4"/>
  <c r="P116" i="4" s="1"/>
  <c r="K116" i="4"/>
  <c r="L116" i="4" s="1"/>
  <c r="CA116" i="4"/>
  <c r="ER116" i="4"/>
  <c r="ES116" i="4" s="1"/>
  <c r="CA124" i="4"/>
  <c r="ER124" i="4"/>
  <c r="ES124" i="4" s="1"/>
  <c r="AY124" i="4"/>
  <c r="AZ124" i="4" s="1"/>
  <c r="AU124" i="4"/>
  <c r="AV124" i="4" s="1"/>
  <c r="AQ124" i="4"/>
  <c r="AR124" i="4" s="1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 s="1"/>
  <c r="AS124" i="4"/>
  <c r="AT124" i="4" s="1"/>
  <c r="AC124" i="4"/>
  <c r="AD124" i="4" s="1"/>
  <c r="M124" i="4"/>
  <c r="N124" i="4" s="1"/>
  <c r="AO124" i="4"/>
  <c r="AP124" i="4" s="1"/>
  <c r="Y124" i="4"/>
  <c r="Z124" i="4" s="1"/>
  <c r="J124" i="4"/>
  <c r="U124" i="4"/>
  <c r="V124" i="4" s="1"/>
  <c r="AW124" i="4"/>
  <c r="AX124" i="4" s="1"/>
  <c r="AG124" i="4"/>
  <c r="AH124" i="4" s="1"/>
  <c r="Q124" i="4"/>
  <c r="R124" i="4" s="1"/>
  <c r="AK124" i="4"/>
  <c r="AL124" i="4" s="1"/>
  <c r="I120" i="4"/>
  <c r="BZ120" i="4"/>
  <c r="I127" i="4"/>
  <c r="BZ127" i="4"/>
  <c r="DQ23" i="4"/>
  <c r="DR23" i="4" s="1"/>
  <c r="DM23" i="4"/>
  <c r="DN23" i="4" s="1"/>
  <c r="DI23" i="4"/>
  <c r="DJ23" i="4" s="1"/>
  <c r="DE23" i="4"/>
  <c r="DF23" i="4" s="1"/>
  <c r="DA23" i="4"/>
  <c r="DB23" i="4" s="1"/>
  <c r="DO23" i="4"/>
  <c r="DP23" i="4" s="1"/>
  <c r="DK23" i="4"/>
  <c r="DL23" i="4" s="1"/>
  <c r="DG23" i="4"/>
  <c r="DH23" i="4" s="1"/>
  <c r="DC23" i="4"/>
  <c r="DD23" i="4" s="1"/>
  <c r="CY23" i="4"/>
  <c r="CZ23" i="4" s="1"/>
  <c r="CW23" i="4"/>
  <c r="CX23" i="4" s="1"/>
  <c r="CS23" i="4"/>
  <c r="CT23" i="4" s="1"/>
  <c r="CO23" i="4"/>
  <c r="CP23" i="4" s="1"/>
  <c r="CK23" i="4"/>
  <c r="CL23" i="4" s="1"/>
  <c r="CG23" i="4"/>
  <c r="CH23" i="4" s="1"/>
  <c r="CC23" i="4"/>
  <c r="CD23" i="4" s="1"/>
  <c r="CU23" i="4"/>
  <c r="CV23" i="4" s="1"/>
  <c r="CQ23" i="4"/>
  <c r="CR23" i="4" s="1"/>
  <c r="CM23" i="4"/>
  <c r="CN23" i="4" s="1"/>
  <c r="CI23" i="4"/>
  <c r="CJ23" i="4" s="1"/>
  <c r="CE23" i="4"/>
  <c r="CF23" i="4" s="1"/>
  <c r="CB23" i="4"/>
  <c r="CA112" i="4"/>
  <c r="ER112" i="4"/>
  <c r="ES112" i="4" s="1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W112" i="4"/>
  <c r="AX112" i="4" s="1"/>
  <c r="AS112" i="4"/>
  <c r="AT112" i="4" s="1"/>
  <c r="AO112" i="4"/>
  <c r="AP112" i="4" s="1"/>
  <c r="AK112" i="4"/>
  <c r="AL112" i="4" s="1"/>
  <c r="AG112" i="4"/>
  <c r="AH112" i="4" s="1"/>
  <c r="AC112" i="4"/>
  <c r="AD112" i="4" s="1"/>
  <c r="Y112" i="4"/>
  <c r="Z112" i="4" s="1"/>
  <c r="U112" i="4"/>
  <c r="V112" i="4" s="1"/>
  <c r="Q112" i="4"/>
  <c r="R112" i="4" s="1"/>
  <c r="M112" i="4"/>
  <c r="N112" i="4" s="1"/>
  <c r="J112" i="4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GI99" i="4"/>
  <c r="GJ99" i="4" s="1"/>
  <c r="GE99" i="4"/>
  <c r="GF99" i="4" s="1"/>
  <c r="GA99" i="4"/>
  <c r="GB99" i="4" s="1"/>
  <c r="FW99" i="4"/>
  <c r="FX99" i="4" s="1"/>
  <c r="FS99" i="4"/>
  <c r="FT99" i="4" s="1"/>
  <c r="FO99" i="4"/>
  <c r="FP99" i="4" s="1"/>
  <c r="FK99" i="4"/>
  <c r="FL99" i="4" s="1"/>
  <c r="FG99" i="4"/>
  <c r="FH99" i="4" s="1"/>
  <c r="FC99" i="4"/>
  <c r="FD99" i="4" s="1"/>
  <c r="EY99" i="4"/>
  <c r="EZ99" i="4" s="1"/>
  <c r="EU99" i="4"/>
  <c r="EV99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O99" i="4"/>
  <c r="DP99" i="4" s="1"/>
  <c r="DK99" i="4"/>
  <c r="DL99" i="4" s="1"/>
  <c r="DG99" i="4"/>
  <c r="DH99" i="4" s="1"/>
  <c r="DC99" i="4"/>
  <c r="DD99" i="4" s="1"/>
  <c r="CY99" i="4"/>
  <c r="CZ99" i="4" s="1"/>
  <c r="CU99" i="4"/>
  <c r="CV99" i="4" s="1"/>
  <c r="CQ99" i="4"/>
  <c r="CR99" i="4" s="1"/>
  <c r="CM99" i="4"/>
  <c r="CN99" i="4" s="1"/>
  <c r="CI99" i="4"/>
  <c r="CJ99" i="4" s="1"/>
  <c r="CE99" i="4"/>
  <c r="CF99" i="4" s="1"/>
  <c r="CB99" i="4"/>
  <c r="CA22" i="4"/>
  <c r="DK22" i="4" s="1"/>
  <c r="DL22" i="4" s="1"/>
  <c r="GC22" i="4"/>
  <c r="GD22" i="4" s="1"/>
  <c r="GA22" i="4"/>
  <c r="GB22" i="4" s="1"/>
  <c r="FE22" i="4"/>
  <c r="FF22" i="4" s="1"/>
  <c r="FI22" i="4"/>
  <c r="FJ22" i="4" s="1"/>
  <c r="FY22" i="4"/>
  <c r="FZ22" i="4" s="1"/>
  <c r="GE22" i="4"/>
  <c r="GF22" i="4" s="1"/>
  <c r="ER96" i="4"/>
  <c r="ES96" i="4" s="1"/>
  <c r="CA96" i="4"/>
  <c r="FC22" i="4"/>
  <c r="FD22" i="4" s="1"/>
  <c r="GG95" i="4"/>
  <c r="GH95" i="4" s="1"/>
  <c r="GC95" i="4"/>
  <c r="GD95" i="4" s="1"/>
  <c r="FY95" i="4"/>
  <c r="FZ95" i="4" s="1"/>
  <c r="FU95" i="4"/>
  <c r="FV95" i="4" s="1"/>
  <c r="FQ95" i="4"/>
  <c r="FR95" i="4" s="1"/>
  <c r="FM95" i="4"/>
  <c r="FN95" i="4" s="1"/>
  <c r="FI95" i="4"/>
  <c r="FJ95" i="4" s="1"/>
  <c r="FE95" i="4"/>
  <c r="FF95" i="4" s="1"/>
  <c r="FA95" i="4"/>
  <c r="FB95" i="4" s="1"/>
  <c r="EW95" i="4"/>
  <c r="EX95" i="4" s="1"/>
  <c r="ET95" i="4"/>
  <c r="GI95" i="4"/>
  <c r="GJ95" i="4" s="1"/>
  <c r="GE95" i="4"/>
  <c r="GF95" i="4" s="1"/>
  <c r="GA95" i="4"/>
  <c r="GB95" i="4" s="1"/>
  <c r="FW95" i="4"/>
  <c r="FX95" i="4" s="1"/>
  <c r="FS95" i="4"/>
  <c r="FT95" i="4" s="1"/>
  <c r="FO95" i="4"/>
  <c r="FP95" i="4" s="1"/>
  <c r="FK95" i="4"/>
  <c r="FL95" i="4" s="1"/>
  <c r="FG95" i="4"/>
  <c r="FH95" i="4" s="1"/>
  <c r="FC95" i="4"/>
  <c r="FD95" i="4" s="1"/>
  <c r="EY95" i="4"/>
  <c r="EZ95" i="4" s="1"/>
  <c r="EU95" i="4"/>
  <c r="EV95" i="4" s="1"/>
  <c r="DQ95" i="4"/>
  <c r="DR95" i="4" s="1"/>
  <c r="DM95" i="4"/>
  <c r="DN95" i="4" s="1"/>
  <c r="DI95" i="4"/>
  <c r="DJ95" i="4" s="1"/>
  <c r="DE95" i="4"/>
  <c r="DF95" i="4" s="1"/>
  <c r="DA95" i="4"/>
  <c r="DB95" i="4" s="1"/>
  <c r="CW95" i="4"/>
  <c r="CX95" i="4" s="1"/>
  <c r="CS95" i="4"/>
  <c r="CT95" i="4" s="1"/>
  <c r="CO95" i="4"/>
  <c r="CP95" i="4" s="1"/>
  <c r="CK95" i="4"/>
  <c r="CL95" i="4" s="1"/>
  <c r="CG95" i="4"/>
  <c r="CH95" i="4" s="1"/>
  <c r="CC95" i="4"/>
  <c r="CD95" i="4" s="1"/>
  <c r="DO95" i="4"/>
  <c r="DP95" i="4" s="1"/>
  <c r="DK95" i="4"/>
  <c r="DL95" i="4" s="1"/>
  <c r="DG95" i="4"/>
  <c r="DH95" i="4" s="1"/>
  <c r="DC95" i="4"/>
  <c r="DD95" i="4" s="1"/>
  <c r="CY95" i="4"/>
  <c r="CZ95" i="4" s="1"/>
  <c r="CU95" i="4"/>
  <c r="CV95" i="4" s="1"/>
  <c r="CQ95" i="4"/>
  <c r="CR95" i="4" s="1"/>
  <c r="CM95" i="4"/>
  <c r="CN95" i="4" s="1"/>
  <c r="CI95" i="4"/>
  <c r="CJ95" i="4" s="1"/>
  <c r="CE95" i="4"/>
  <c r="CF95" i="4" s="1"/>
  <c r="CB95" i="4"/>
  <c r="ET22" i="4"/>
  <c r="FM22" i="4"/>
  <c r="FN22" i="4" s="1"/>
  <c r="EU22" i="4"/>
  <c r="EV22" i="4" s="1"/>
  <c r="FO22" i="4"/>
  <c r="FP22" i="4" s="1"/>
  <c r="GI22" i="4"/>
  <c r="GJ22" i="4" s="1"/>
  <c r="EW22" i="4"/>
  <c r="EX22" i="4" s="1"/>
  <c r="FU22" i="4"/>
  <c r="FV22" i="4" s="1"/>
  <c r="EY22" i="4"/>
  <c r="EZ22" i="4" s="1"/>
  <c r="FS22" i="4"/>
  <c r="FT22" i="4" s="1"/>
  <c r="ER104" i="4"/>
  <c r="ES104" i="4" s="1"/>
  <c r="CA104" i="4"/>
  <c r="AY104" i="4"/>
  <c r="AZ104" i="4" s="1"/>
  <c r="AU104" i="4"/>
  <c r="AV104" i="4" s="1"/>
  <c r="AQ104" i="4"/>
  <c r="AR104" i="4" s="1"/>
  <c r="AM104" i="4"/>
  <c r="AN104" i="4" s="1"/>
  <c r="AI104" i="4"/>
  <c r="AJ104" i="4" s="1"/>
  <c r="AE104" i="4"/>
  <c r="AF104" i="4" s="1"/>
  <c r="AA104" i="4"/>
  <c r="AB104" i="4" s="1"/>
  <c r="W104" i="4"/>
  <c r="X104" i="4" s="1"/>
  <c r="S104" i="4"/>
  <c r="T104" i="4" s="1"/>
  <c r="O104" i="4"/>
  <c r="P104" i="4" s="1"/>
  <c r="K104" i="4"/>
  <c r="L104" i="4" s="1"/>
  <c r="AW104" i="4"/>
  <c r="AX104" i="4" s="1"/>
  <c r="AS104" i="4"/>
  <c r="AT104" i="4" s="1"/>
  <c r="AO104" i="4"/>
  <c r="AP104" i="4" s="1"/>
  <c r="AK104" i="4"/>
  <c r="AL104" i="4" s="1"/>
  <c r="AG104" i="4"/>
  <c r="AH104" i="4" s="1"/>
  <c r="AC104" i="4"/>
  <c r="AD104" i="4" s="1"/>
  <c r="Y104" i="4"/>
  <c r="Z104" i="4" s="1"/>
  <c r="U104" i="4"/>
  <c r="V104" i="4" s="1"/>
  <c r="Q104" i="4"/>
  <c r="R104" i="4" s="1"/>
  <c r="M104" i="4"/>
  <c r="N104" i="4" s="1"/>
  <c r="J104" i="4"/>
  <c r="FA22" i="4"/>
  <c r="FB22" i="4" s="1"/>
  <c r="FQ22" i="4"/>
  <c r="FR22" i="4" s="1"/>
  <c r="GG22" i="4"/>
  <c r="GH22" i="4" s="1"/>
  <c r="FG22" i="4"/>
  <c r="FH22" i="4" s="1"/>
  <c r="AY108" i="4"/>
  <c r="AZ108" i="4" s="1"/>
  <c r="AU108" i="4"/>
  <c r="AV108" i="4" s="1"/>
  <c r="AQ108" i="4"/>
  <c r="AR108" i="4" s="1"/>
  <c r="AM108" i="4"/>
  <c r="AN108" i="4" s="1"/>
  <c r="AI108" i="4"/>
  <c r="AJ108" i="4" s="1"/>
  <c r="AE108" i="4"/>
  <c r="AF108" i="4" s="1"/>
  <c r="AA108" i="4"/>
  <c r="AB108" i="4" s="1"/>
  <c r="W108" i="4"/>
  <c r="X108" i="4" s="1"/>
  <c r="S108" i="4"/>
  <c r="T108" i="4" s="1"/>
  <c r="O108" i="4"/>
  <c r="P108" i="4" s="1"/>
  <c r="K108" i="4"/>
  <c r="L108" i="4" s="1"/>
  <c r="AW108" i="4"/>
  <c r="AX108" i="4" s="1"/>
  <c r="AK108" i="4"/>
  <c r="AL108" i="4" s="1"/>
  <c r="Y108" i="4"/>
  <c r="Z108" i="4" s="1"/>
  <c r="M108" i="4"/>
  <c r="N108" i="4" s="1"/>
  <c r="AS108" i="4"/>
  <c r="AT108" i="4" s="1"/>
  <c r="AC108" i="4"/>
  <c r="AD108" i="4" s="1"/>
  <c r="Q108" i="4"/>
  <c r="R108" i="4" s="1"/>
  <c r="AO108" i="4"/>
  <c r="AP108" i="4" s="1"/>
  <c r="AG108" i="4"/>
  <c r="AH108" i="4" s="1"/>
  <c r="U108" i="4"/>
  <c r="V108" i="4" s="1"/>
  <c r="J108" i="4"/>
  <c r="CA108" i="4"/>
  <c r="ER108" i="4"/>
  <c r="ES108" i="4" s="1"/>
  <c r="I113" i="4"/>
  <c r="AY113" i="4" s="1"/>
  <c r="AZ113" i="4" s="1"/>
  <c r="CA92" i="4"/>
  <c r="ER92" i="4"/>
  <c r="ES92" i="4" s="1"/>
  <c r="AY92" i="4"/>
  <c r="AZ92" i="4" s="1"/>
  <c r="AU92" i="4"/>
  <c r="AV92" i="4" s="1"/>
  <c r="AQ92" i="4"/>
  <c r="AR92" i="4" s="1"/>
  <c r="AM92" i="4"/>
  <c r="AN92" i="4" s="1"/>
  <c r="AI92" i="4"/>
  <c r="AJ92" i="4" s="1"/>
  <c r="AE92" i="4"/>
  <c r="AF92" i="4" s="1"/>
  <c r="AA92" i="4"/>
  <c r="AB92" i="4" s="1"/>
  <c r="W92" i="4"/>
  <c r="X92" i="4" s="1"/>
  <c r="S92" i="4"/>
  <c r="T92" i="4" s="1"/>
  <c r="O92" i="4"/>
  <c r="P92" i="4" s="1"/>
  <c r="K92" i="4"/>
  <c r="L92" i="4" s="1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GG110" i="4"/>
  <c r="GH110" i="4" s="1"/>
  <c r="GC110" i="4"/>
  <c r="GD110" i="4" s="1"/>
  <c r="FY110" i="4"/>
  <c r="FZ110" i="4" s="1"/>
  <c r="FU110" i="4"/>
  <c r="FV110" i="4" s="1"/>
  <c r="FQ110" i="4"/>
  <c r="FR110" i="4" s="1"/>
  <c r="FM110" i="4"/>
  <c r="FN110" i="4" s="1"/>
  <c r="FI110" i="4"/>
  <c r="FJ110" i="4" s="1"/>
  <c r="FE110" i="4"/>
  <c r="FF110" i="4" s="1"/>
  <c r="FA110" i="4"/>
  <c r="FB110" i="4" s="1"/>
  <c r="EW110" i="4"/>
  <c r="EX110" i="4" s="1"/>
  <c r="ET110" i="4"/>
  <c r="GI110" i="4"/>
  <c r="GJ110" i="4" s="1"/>
  <c r="GE110" i="4"/>
  <c r="GF110" i="4" s="1"/>
  <c r="GA110" i="4"/>
  <c r="GB110" i="4" s="1"/>
  <c r="FW110" i="4"/>
  <c r="FX110" i="4" s="1"/>
  <c r="FS110" i="4"/>
  <c r="FT110" i="4" s="1"/>
  <c r="FO110" i="4"/>
  <c r="FP110" i="4" s="1"/>
  <c r="FK110" i="4"/>
  <c r="FL110" i="4" s="1"/>
  <c r="FG110" i="4"/>
  <c r="FH110" i="4" s="1"/>
  <c r="FC110" i="4"/>
  <c r="FD110" i="4" s="1"/>
  <c r="EY110" i="4"/>
  <c r="EZ110" i="4" s="1"/>
  <c r="EU110" i="4"/>
  <c r="EV110" i="4" s="1"/>
  <c r="DQ110" i="4"/>
  <c r="DR110" i="4" s="1"/>
  <c r="DM110" i="4"/>
  <c r="DN110" i="4" s="1"/>
  <c r="DI110" i="4"/>
  <c r="DJ110" i="4" s="1"/>
  <c r="DE110" i="4"/>
  <c r="DF110" i="4" s="1"/>
  <c r="DA110" i="4"/>
  <c r="DB110" i="4" s="1"/>
  <c r="CW110" i="4"/>
  <c r="CX110" i="4" s="1"/>
  <c r="CS110" i="4"/>
  <c r="CT110" i="4" s="1"/>
  <c r="CO110" i="4"/>
  <c r="CP110" i="4" s="1"/>
  <c r="CK110" i="4"/>
  <c r="CL110" i="4" s="1"/>
  <c r="CG110" i="4"/>
  <c r="CH110" i="4" s="1"/>
  <c r="CC110" i="4"/>
  <c r="CD110" i="4" s="1"/>
  <c r="DO110" i="4"/>
  <c r="DP110" i="4" s="1"/>
  <c r="DK110" i="4"/>
  <c r="DL110" i="4" s="1"/>
  <c r="DG110" i="4"/>
  <c r="DH110" i="4" s="1"/>
  <c r="DC110" i="4"/>
  <c r="DD110" i="4" s="1"/>
  <c r="CY110" i="4"/>
  <c r="CZ110" i="4" s="1"/>
  <c r="CU110" i="4"/>
  <c r="CV110" i="4" s="1"/>
  <c r="CQ110" i="4"/>
  <c r="CR110" i="4" s="1"/>
  <c r="CM110" i="4"/>
  <c r="CN110" i="4" s="1"/>
  <c r="CI110" i="4"/>
  <c r="CJ110" i="4" s="1"/>
  <c r="CE110" i="4"/>
  <c r="CF110" i="4" s="1"/>
  <c r="CB110" i="4"/>
  <c r="CA113" i="4"/>
  <c r="ER113" i="4"/>
  <c r="ES113" i="4" s="1"/>
  <c r="ER69" i="4"/>
  <c r="ES69" i="4" s="1"/>
  <c r="CA69" i="4"/>
  <c r="ER86" i="4"/>
  <c r="ES86" i="4" s="1"/>
  <c r="CA86" i="4"/>
  <c r="DQ85" i="4"/>
  <c r="DR85" i="4" s="1"/>
  <c r="DM85" i="4"/>
  <c r="DN85" i="4" s="1"/>
  <c r="DI85" i="4"/>
  <c r="DJ85" i="4" s="1"/>
  <c r="DE85" i="4"/>
  <c r="DF85" i="4" s="1"/>
  <c r="DA85" i="4"/>
  <c r="DB85" i="4" s="1"/>
  <c r="CW85" i="4"/>
  <c r="CX85" i="4" s="1"/>
  <c r="CS85" i="4"/>
  <c r="CT85" i="4" s="1"/>
  <c r="CO85" i="4"/>
  <c r="CP85" i="4" s="1"/>
  <c r="CK85" i="4"/>
  <c r="CL85" i="4" s="1"/>
  <c r="CG85" i="4"/>
  <c r="CH85" i="4" s="1"/>
  <c r="CC85" i="4"/>
  <c r="CD85" i="4" s="1"/>
  <c r="DO85" i="4"/>
  <c r="DP85" i="4" s="1"/>
  <c r="DK85" i="4"/>
  <c r="DL85" i="4" s="1"/>
  <c r="DG85" i="4"/>
  <c r="DH85" i="4" s="1"/>
  <c r="DC85" i="4"/>
  <c r="DD85" i="4" s="1"/>
  <c r="CY85" i="4"/>
  <c r="CZ85" i="4" s="1"/>
  <c r="CU85" i="4"/>
  <c r="CV85" i="4" s="1"/>
  <c r="CQ85" i="4"/>
  <c r="CR85" i="4" s="1"/>
  <c r="CM85" i="4"/>
  <c r="CN85" i="4" s="1"/>
  <c r="CI85" i="4"/>
  <c r="CJ85" i="4" s="1"/>
  <c r="CE85" i="4"/>
  <c r="CF85" i="4" s="1"/>
  <c r="CB85" i="4"/>
  <c r="EY21" i="4"/>
  <c r="EZ21" i="4" s="1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CQ21" i="4"/>
  <c r="CR21" i="4" s="1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GG84" i="4"/>
  <c r="GH84" i="4" s="1"/>
  <c r="GC84" i="4"/>
  <c r="GD84" i="4" s="1"/>
  <c r="FU84" i="4"/>
  <c r="FV84" i="4" s="1"/>
  <c r="FM84" i="4"/>
  <c r="FN84" i="4" s="1"/>
  <c r="FE84" i="4"/>
  <c r="FF84" i="4" s="1"/>
  <c r="EW84" i="4"/>
  <c r="EX84" i="4" s="1"/>
  <c r="ET84" i="4"/>
  <c r="FY84" i="4"/>
  <c r="FZ84" i="4" s="1"/>
  <c r="FQ84" i="4"/>
  <c r="FR84" i="4" s="1"/>
  <c r="FI84" i="4"/>
  <c r="FJ84" i="4" s="1"/>
  <c r="FA84" i="4"/>
  <c r="FB84" i="4" s="1"/>
  <c r="CE21" i="4"/>
  <c r="CF21" i="4" s="1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DQ84" i="4"/>
  <c r="DR84" i="4" s="1"/>
  <c r="DI84" i="4"/>
  <c r="DJ84" i="4" s="1"/>
  <c r="DA84" i="4"/>
  <c r="DB84" i="4" s="1"/>
  <c r="CS84" i="4"/>
  <c r="CT84" i="4" s="1"/>
  <c r="CK84" i="4"/>
  <c r="CL84" i="4" s="1"/>
  <c r="CC84" i="4"/>
  <c r="CD84" i="4" s="1"/>
  <c r="DM84" i="4"/>
  <c r="DN84" i="4" s="1"/>
  <c r="DE84" i="4"/>
  <c r="DF84" i="4" s="1"/>
  <c r="CW84" i="4"/>
  <c r="CX84" i="4" s="1"/>
  <c r="CO84" i="4"/>
  <c r="CP84" i="4" s="1"/>
  <c r="CG84" i="4"/>
  <c r="CH84" i="4" s="1"/>
  <c r="EU21" i="4"/>
  <c r="EV21" i="4" s="1"/>
  <c r="AY88" i="4"/>
  <c r="AZ88" i="4" s="1"/>
  <c r="AW88" i="4"/>
  <c r="AX88" i="4" s="1"/>
  <c r="AO88" i="4"/>
  <c r="AP88" i="4" s="1"/>
  <c r="AG88" i="4"/>
  <c r="AH88" i="4" s="1"/>
  <c r="Y88" i="4"/>
  <c r="Z88" i="4" s="1"/>
  <c r="Q88" i="4"/>
  <c r="R88" i="4" s="1"/>
  <c r="J88" i="4"/>
  <c r="M88" i="4"/>
  <c r="N88" i="4" s="1"/>
  <c r="AU88" i="4"/>
  <c r="AV88" i="4" s="1"/>
  <c r="AM88" i="4"/>
  <c r="AN88" i="4" s="1"/>
  <c r="AE88" i="4"/>
  <c r="AF88" i="4" s="1"/>
  <c r="W88" i="4"/>
  <c r="X88" i="4" s="1"/>
  <c r="O88" i="4"/>
  <c r="P88" i="4" s="1"/>
  <c r="AK88" i="4"/>
  <c r="AL88" i="4" s="1"/>
  <c r="U88" i="4"/>
  <c r="V88" i="4" s="1"/>
  <c r="AQ88" i="4"/>
  <c r="AR88" i="4" s="1"/>
  <c r="AI88" i="4"/>
  <c r="AJ88" i="4" s="1"/>
  <c r="AA88" i="4"/>
  <c r="AB88" i="4" s="1"/>
  <c r="S88" i="4"/>
  <c r="T88" i="4" s="1"/>
  <c r="K88" i="4"/>
  <c r="L88" i="4" s="1"/>
  <c r="AS88" i="4"/>
  <c r="AT88" i="4" s="1"/>
  <c r="AC88" i="4"/>
  <c r="AD88" i="4" s="1"/>
  <c r="DQ21" i="4"/>
  <c r="DR21" i="4" s="1"/>
  <c r="FU21" i="4"/>
  <c r="FV21" i="4" s="1"/>
  <c r="BZ89" i="4"/>
  <c r="CA89" i="4" s="1"/>
  <c r="AW83" i="4"/>
  <c r="AX83" i="4" s="1"/>
  <c r="AS83" i="4"/>
  <c r="AT83" i="4" s="1"/>
  <c r="AO83" i="4"/>
  <c r="AP83" i="4" s="1"/>
  <c r="AK83" i="4"/>
  <c r="AL83" i="4" s="1"/>
  <c r="AG83" i="4"/>
  <c r="AH83" i="4" s="1"/>
  <c r="AC83" i="4"/>
  <c r="AD83" i="4" s="1"/>
  <c r="Y83" i="4"/>
  <c r="Z83" i="4" s="1"/>
  <c r="U83" i="4"/>
  <c r="V83" i="4" s="1"/>
  <c r="Q83" i="4"/>
  <c r="R83" i="4" s="1"/>
  <c r="M83" i="4"/>
  <c r="N83" i="4" s="1"/>
  <c r="J83" i="4"/>
  <c r="AY83" i="4"/>
  <c r="AZ83" i="4" s="1"/>
  <c r="AU83" i="4"/>
  <c r="AV83" i="4" s="1"/>
  <c r="AQ83" i="4"/>
  <c r="AR83" i="4" s="1"/>
  <c r="AM83" i="4"/>
  <c r="AN83" i="4" s="1"/>
  <c r="AI83" i="4"/>
  <c r="AJ83" i="4" s="1"/>
  <c r="AE83" i="4"/>
  <c r="AF83" i="4" s="1"/>
  <c r="AA83" i="4"/>
  <c r="AB83" i="4" s="1"/>
  <c r="W83" i="4"/>
  <c r="X83" i="4" s="1"/>
  <c r="S83" i="4"/>
  <c r="T83" i="4" s="1"/>
  <c r="O83" i="4"/>
  <c r="P83" i="4" s="1"/>
  <c r="K83" i="4"/>
  <c r="L83" i="4" s="1"/>
  <c r="CA83" i="4"/>
  <c r="ER83" i="4"/>
  <c r="ES83" i="4" s="1"/>
  <c r="FW21" i="4"/>
  <c r="FX21" i="4" s="1"/>
  <c r="GC21" i="4"/>
  <c r="GD21" i="4" s="1"/>
  <c r="AW67" i="4"/>
  <c r="AX67" i="4" s="1"/>
  <c r="AS67" i="4"/>
  <c r="AT67" i="4" s="1"/>
  <c r="AO67" i="4"/>
  <c r="AP67" i="4" s="1"/>
  <c r="AK67" i="4"/>
  <c r="AL67" i="4" s="1"/>
  <c r="AG67" i="4"/>
  <c r="AH67" i="4" s="1"/>
  <c r="AC67" i="4"/>
  <c r="AD67" i="4" s="1"/>
  <c r="Y67" i="4"/>
  <c r="Z67" i="4" s="1"/>
  <c r="U67" i="4"/>
  <c r="V67" i="4" s="1"/>
  <c r="Q67" i="4"/>
  <c r="R67" i="4" s="1"/>
  <c r="M67" i="4"/>
  <c r="N67" i="4" s="1"/>
  <c r="J67" i="4"/>
  <c r="AY67" i="4"/>
  <c r="AZ67" i="4" s="1"/>
  <c r="AU67" i="4"/>
  <c r="AV67" i="4" s="1"/>
  <c r="AQ67" i="4"/>
  <c r="AR67" i="4" s="1"/>
  <c r="AM67" i="4"/>
  <c r="AN67" i="4" s="1"/>
  <c r="AI67" i="4"/>
  <c r="AJ67" i="4" s="1"/>
  <c r="AE67" i="4"/>
  <c r="AF67" i="4" s="1"/>
  <c r="AA67" i="4"/>
  <c r="AB67" i="4" s="1"/>
  <c r="W67" i="4"/>
  <c r="X67" i="4" s="1"/>
  <c r="S67" i="4"/>
  <c r="T67" i="4" s="1"/>
  <c r="O67" i="4"/>
  <c r="P67" i="4" s="1"/>
  <c r="K67" i="4"/>
  <c r="L67" i="4" s="1"/>
  <c r="D28" i="4"/>
  <c r="CC21" i="4"/>
  <c r="CD21" i="4" s="1"/>
  <c r="GA21" i="4"/>
  <c r="GB21" i="4" s="1"/>
  <c r="FM21" i="4"/>
  <c r="FN21" i="4" s="1"/>
  <c r="GI21" i="4"/>
  <c r="GJ21" i="4" s="1"/>
  <c r="EW21" i="4"/>
  <c r="EX21" i="4" s="1"/>
  <c r="CS21" i="4"/>
  <c r="CT21" i="4" s="1"/>
  <c r="FC21" i="4"/>
  <c r="FD21" i="4" s="1"/>
  <c r="FE21" i="4"/>
  <c r="FF21" i="4" s="1"/>
  <c r="CA67" i="4"/>
  <c r="ER67" i="4"/>
  <c r="ES67" i="4" s="1"/>
  <c r="CK21" i="4"/>
  <c r="CL21" i="4" s="1"/>
  <c r="DK21" i="4"/>
  <c r="DL21" i="4" s="1"/>
  <c r="DG21" i="4"/>
  <c r="DH21" i="4" s="1"/>
  <c r="CG21" i="4"/>
  <c r="CH21" i="4" s="1"/>
  <c r="DM21" i="4"/>
  <c r="DN21" i="4" s="1"/>
  <c r="CW21" i="4"/>
  <c r="CX21" i="4" s="1"/>
  <c r="CY21" i="4"/>
  <c r="CZ21" i="4" s="1"/>
  <c r="CI21" i="4"/>
  <c r="CJ21" i="4" s="1"/>
  <c r="CO21" i="4"/>
  <c r="CP21" i="4" s="1"/>
  <c r="DE21" i="4"/>
  <c r="DF21" i="4" s="1"/>
  <c r="CU21" i="4"/>
  <c r="CV21" i="4" s="1"/>
  <c r="CB21" i="4"/>
  <c r="GI66" i="4"/>
  <c r="GJ66" i="4" s="1"/>
  <c r="GE66" i="4"/>
  <c r="GF66" i="4" s="1"/>
  <c r="GA66" i="4"/>
  <c r="GB66" i="4" s="1"/>
  <c r="FW66" i="4"/>
  <c r="FX66" i="4" s="1"/>
  <c r="FS66" i="4"/>
  <c r="FT66" i="4" s="1"/>
  <c r="FO66" i="4"/>
  <c r="FP66" i="4" s="1"/>
  <c r="FK66" i="4"/>
  <c r="FL66" i="4" s="1"/>
  <c r="FG66" i="4"/>
  <c r="FH66" i="4" s="1"/>
  <c r="FC66" i="4"/>
  <c r="FD66" i="4" s="1"/>
  <c r="EY66" i="4"/>
  <c r="EZ66" i="4" s="1"/>
  <c r="EU66" i="4"/>
  <c r="EV66" i="4" s="1"/>
  <c r="GG66" i="4"/>
  <c r="GH66" i="4" s="1"/>
  <c r="FU66" i="4"/>
  <c r="FV66" i="4" s="1"/>
  <c r="FI66" i="4"/>
  <c r="FJ66" i="4" s="1"/>
  <c r="ET66" i="4"/>
  <c r="GC66" i="4"/>
  <c r="GD66" i="4" s="1"/>
  <c r="FQ66" i="4"/>
  <c r="FR66" i="4" s="1"/>
  <c r="FE66" i="4"/>
  <c r="FF66" i="4" s="1"/>
  <c r="EW66" i="4"/>
  <c r="EX66" i="4" s="1"/>
  <c r="FY66" i="4"/>
  <c r="FZ66" i="4" s="1"/>
  <c r="FM66" i="4"/>
  <c r="FN66" i="4" s="1"/>
  <c r="FA66" i="4"/>
  <c r="FB66" i="4" s="1"/>
  <c r="DI21" i="4"/>
  <c r="DJ21" i="4" s="1"/>
  <c r="DO66" i="4"/>
  <c r="DP66" i="4" s="1"/>
  <c r="DK66" i="4"/>
  <c r="DL66" i="4" s="1"/>
  <c r="DG66" i="4"/>
  <c r="DH66" i="4" s="1"/>
  <c r="DC66" i="4"/>
  <c r="DD66" i="4" s="1"/>
  <c r="CY66" i="4"/>
  <c r="CZ66" i="4" s="1"/>
  <c r="CU66" i="4"/>
  <c r="CV66" i="4" s="1"/>
  <c r="CQ66" i="4"/>
  <c r="CR66" i="4" s="1"/>
  <c r="CM66" i="4"/>
  <c r="CN66" i="4" s="1"/>
  <c r="CI66" i="4"/>
  <c r="CJ66" i="4" s="1"/>
  <c r="CE66" i="4"/>
  <c r="CF66" i="4" s="1"/>
  <c r="CB66" i="4"/>
  <c r="DM66" i="4"/>
  <c r="DN66" i="4" s="1"/>
  <c r="CW66" i="4"/>
  <c r="CX66" i="4" s="1"/>
  <c r="CK66" i="4"/>
  <c r="CL66" i="4" s="1"/>
  <c r="DQ66" i="4"/>
  <c r="DR66" i="4" s="1"/>
  <c r="DE66" i="4"/>
  <c r="DF66" i="4" s="1"/>
  <c r="CS66" i="4"/>
  <c r="CT66" i="4" s="1"/>
  <c r="CC66" i="4"/>
  <c r="CD66" i="4" s="1"/>
  <c r="DI66" i="4"/>
  <c r="DJ66" i="4" s="1"/>
  <c r="DA66" i="4"/>
  <c r="DB66" i="4" s="1"/>
  <c r="CO66" i="4"/>
  <c r="CP66" i="4" s="1"/>
  <c r="CG66" i="4"/>
  <c r="CH66" i="4" s="1"/>
  <c r="DM88" i="4"/>
  <c r="DN88" i="4" s="1"/>
  <c r="DI88" i="4"/>
  <c r="DJ88" i="4" s="1"/>
  <c r="CW88" i="4"/>
  <c r="CX88" i="4" s="1"/>
  <c r="CO88" i="4"/>
  <c r="CP88" i="4" s="1"/>
  <c r="CG88" i="4"/>
  <c r="CH88" i="4" s="1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 s="1"/>
  <c r="CI88" i="4"/>
  <c r="CJ88" i="4" s="1"/>
  <c r="CE88" i="4"/>
  <c r="CF88" i="4" s="1"/>
  <c r="CB88" i="4"/>
  <c r="DQ88" i="4"/>
  <c r="DR88" i="4" s="1"/>
  <c r="DE88" i="4"/>
  <c r="DF88" i="4" s="1"/>
  <c r="DA88" i="4"/>
  <c r="DB88" i="4" s="1"/>
  <c r="CS88" i="4"/>
  <c r="CT88" i="4" s="1"/>
  <c r="CK88" i="4"/>
  <c r="CL88" i="4" s="1"/>
  <c r="CC88" i="4"/>
  <c r="CD88" i="4" s="1"/>
  <c r="FG21" i="4"/>
  <c r="FH21" i="4" s="1"/>
  <c r="FS21" i="4"/>
  <c r="FT21" i="4" s="1"/>
  <c r="FK21" i="4"/>
  <c r="FL21" i="4" s="1"/>
  <c r="ET21" i="4"/>
  <c r="FI21" i="4"/>
  <c r="FJ21" i="4" s="1"/>
  <c r="GG88" i="4"/>
  <c r="GH88" i="4" s="1"/>
  <c r="GC88" i="4"/>
  <c r="GD88" i="4" s="1"/>
  <c r="FU88" i="4"/>
  <c r="FV88" i="4" s="1"/>
  <c r="FM88" i="4"/>
  <c r="FN88" i="4" s="1"/>
  <c r="FE88" i="4"/>
  <c r="FF88" i="4" s="1"/>
  <c r="EW88" i="4"/>
  <c r="EX88" i="4" s="1"/>
  <c r="GI88" i="4"/>
  <c r="GJ88" i="4" s="1"/>
  <c r="GE88" i="4"/>
  <c r="GF88" i="4" s="1"/>
  <c r="GA88" i="4"/>
  <c r="GB88" i="4" s="1"/>
  <c r="FW88" i="4"/>
  <c r="FX88" i="4" s="1"/>
  <c r="FS88" i="4"/>
  <c r="FT88" i="4" s="1"/>
  <c r="FO88" i="4"/>
  <c r="FP88" i="4" s="1"/>
  <c r="FK88" i="4"/>
  <c r="FL88" i="4" s="1"/>
  <c r="FG88" i="4"/>
  <c r="FH88" i="4" s="1"/>
  <c r="FC88" i="4"/>
  <c r="FD88" i="4" s="1"/>
  <c r="EY88" i="4"/>
  <c r="EZ88" i="4" s="1"/>
  <c r="EU88" i="4"/>
  <c r="EV88" i="4" s="1"/>
  <c r="FY88" i="4"/>
  <c r="FZ88" i="4" s="1"/>
  <c r="FQ88" i="4"/>
  <c r="FR88" i="4" s="1"/>
  <c r="FI88" i="4"/>
  <c r="FJ88" i="4" s="1"/>
  <c r="FA88" i="4"/>
  <c r="FB88" i="4" s="1"/>
  <c r="ET88" i="4"/>
  <c r="BZ27" i="4"/>
  <c r="ER27" i="4" s="1"/>
  <c r="ES27" i="4" s="1"/>
  <c r="GE21" i="4"/>
  <c r="GF21" i="4" s="1"/>
  <c r="FO21" i="4"/>
  <c r="FP21" i="4" s="1"/>
  <c r="FA21" i="4"/>
  <c r="FB21" i="4" s="1"/>
  <c r="FQ21" i="4"/>
  <c r="FR21" i="4" s="1"/>
  <c r="GG21" i="4"/>
  <c r="GH21" i="4" s="1"/>
  <c r="DC21" i="4"/>
  <c r="DD21" i="4" s="1"/>
  <c r="DO21" i="4"/>
  <c r="DP21" i="4" s="1"/>
  <c r="CM21" i="4"/>
  <c r="CN21" i="4" s="1"/>
  <c r="AW21" i="4"/>
  <c r="AX21" i="4" s="1"/>
  <c r="AS21" i="4"/>
  <c r="AT21" i="4" s="1"/>
  <c r="AO21" i="4"/>
  <c r="AP21" i="4" s="1"/>
  <c r="AK21" i="4"/>
  <c r="AL21" i="4" s="1"/>
  <c r="AG21" i="4"/>
  <c r="AH21" i="4" s="1"/>
  <c r="AC21" i="4"/>
  <c r="AD21" i="4" s="1"/>
  <c r="U21" i="4"/>
  <c r="V21" i="4" s="1"/>
  <c r="Q21" i="4"/>
  <c r="R21" i="4" s="1"/>
  <c r="J21" i="4"/>
  <c r="AQ21" i="4"/>
  <c r="AR21" i="4" s="1"/>
  <c r="AE21" i="4"/>
  <c r="AF21" i="4" s="1"/>
  <c r="S21" i="4"/>
  <c r="T21" i="4" s="1"/>
  <c r="AY21" i="4"/>
  <c r="AZ21" i="4" s="1"/>
  <c r="AI21" i="4"/>
  <c r="AJ21" i="4" s="1"/>
  <c r="AA21" i="4"/>
  <c r="AB21" i="4" s="1"/>
  <c r="O21" i="4"/>
  <c r="P21" i="4" s="1"/>
  <c r="Y21" i="4"/>
  <c r="Z21" i="4" s="1"/>
  <c r="M21" i="4"/>
  <c r="N21" i="4" s="1"/>
  <c r="AU21" i="4"/>
  <c r="AV21" i="4" s="1"/>
  <c r="AM21" i="4"/>
  <c r="AN21" i="4" s="1"/>
  <c r="W21" i="4"/>
  <c r="X21" i="4" s="1"/>
  <c r="K21" i="4"/>
  <c r="L21" i="4" s="1"/>
  <c r="AW89" i="4"/>
  <c r="AX89" i="4" s="1"/>
  <c r="AS89" i="4"/>
  <c r="AT89" i="4" s="1"/>
  <c r="AO89" i="4"/>
  <c r="AP89" i="4" s="1"/>
  <c r="AK89" i="4"/>
  <c r="AL89" i="4" s="1"/>
  <c r="AG89" i="4"/>
  <c r="AH89" i="4" s="1"/>
  <c r="AC89" i="4"/>
  <c r="AD89" i="4" s="1"/>
  <c r="Y89" i="4"/>
  <c r="Z89" i="4" s="1"/>
  <c r="U89" i="4"/>
  <c r="V89" i="4" s="1"/>
  <c r="Q89" i="4"/>
  <c r="R89" i="4" s="1"/>
  <c r="M89" i="4"/>
  <c r="N89" i="4" s="1"/>
  <c r="J89" i="4"/>
  <c r="AM89" i="4"/>
  <c r="AN89" i="4" s="1"/>
  <c r="W89" i="4"/>
  <c r="X89" i="4" s="1"/>
  <c r="AU89" i="4"/>
  <c r="AV89" i="4" s="1"/>
  <c r="AY89" i="4"/>
  <c r="AZ89" i="4" s="1"/>
  <c r="AI89" i="4"/>
  <c r="AJ89" i="4" s="1"/>
  <c r="S89" i="4"/>
  <c r="T89" i="4" s="1"/>
  <c r="O89" i="4"/>
  <c r="P89" i="4" s="1"/>
  <c r="AQ89" i="4"/>
  <c r="AR89" i="4" s="1"/>
  <c r="AA89" i="4"/>
  <c r="AB89" i="4" s="1"/>
  <c r="K89" i="4"/>
  <c r="L89" i="4" s="1"/>
  <c r="AE89" i="4"/>
  <c r="AF89" i="4" s="1"/>
  <c r="DO46" i="4"/>
  <c r="DP46" i="4" s="1"/>
  <c r="DK46" i="4"/>
  <c r="DL46" i="4" s="1"/>
  <c r="DG46" i="4"/>
  <c r="DH46" i="4" s="1"/>
  <c r="DC46" i="4"/>
  <c r="DD46" i="4" s="1"/>
  <c r="CY46" i="4"/>
  <c r="CZ46" i="4" s="1"/>
  <c r="CU46" i="4"/>
  <c r="CV46" i="4" s="1"/>
  <c r="CQ46" i="4"/>
  <c r="CR46" i="4" s="1"/>
  <c r="CM46" i="4"/>
  <c r="CN46" i="4" s="1"/>
  <c r="CI46" i="4"/>
  <c r="CJ46" i="4" s="1"/>
  <c r="CE46" i="4"/>
  <c r="CF46" i="4" s="1"/>
  <c r="CB46" i="4"/>
  <c r="DI46" i="4"/>
  <c r="DJ46" i="4" s="1"/>
  <c r="CW46" i="4"/>
  <c r="CX46" i="4" s="1"/>
  <c r="CK46" i="4"/>
  <c r="CL46" i="4" s="1"/>
  <c r="DM46" i="4"/>
  <c r="DN46" i="4" s="1"/>
  <c r="DE46" i="4"/>
  <c r="DF46" i="4" s="1"/>
  <c r="CS46" i="4"/>
  <c r="CT46" i="4" s="1"/>
  <c r="CG46" i="4"/>
  <c r="CH46" i="4" s="1"/>
  <c r="DQ46" i="4"/>
  <c r="DR46" i="4" s="1"/>
  <c r="DA46" i="4"/>
  <c r="DB46" i="4" s="1"/>
  <c r="CO46" i="4"/>
  <c r="CP46" i="4" s="1"/>
  <c r="CC46" i="4"/>
  <c r="CD46" i="4" s="1"/>
  <c r="GI46" i="4"/>
  <c r="GJ46" i="4" s="1"/>
  <c r="GE46" i="4"/>
  <c r="GF46" i="4" s="1"/>
  <c r="GA46" i="4"/>
  <c r="GB46" i="4" s="1"/>
  <c r="FW46" i="4"/>
  <c r="FX46" i="4" s="1"/>
  <c r="FS46" i="4"/>
  <c r="FT46" i="4" s="1"/>
  <c r="FO46" i="4"/>
  <c r="FP46" i="4" s="1"/>
  <c r="FK46" i="4"/>
  <c r="FL46" i="4" s="1"/>
  <c r="FG46" i="4"/>
  <c r="FH46" i="4" s="1"/>
  <c r="FC46" i="4"/>
  <c r="FD46" i="4" s="1"/>
  <c r="EY46" i="4"/>
  <c r="EZ46" i="4" s="1"/>
  <c r="EU46" i="4"/>
  <c r="EV46" i="4" s="1"/>
  <c r="GC46" i="4"/>
  <c r="GD46" i="4" s="1"/>
  <c r="FQ46" i="4"/>
  <c r="FR46" i="4" s="1"/>
  <c r="FE46" i="4"/>
  <c r="FF46" i="4" s="1"/>
  <c r="ET46" i="4"/>
  <c r="GG46" i="4"/>
  <c r="GH46" i="4" s="1"/>
  <c r="FU46" i="4"/>
  <c r="FV46" i="4" s="1"/>
  <c r="FI46" i="4"/>
  <c r="FJ46" i="4" s="1"/>
  <c r="EW46" i="4"/>
  <c r="EX46" i="4" s="1"/>
  <c r="FY46" i="4"/>
  <c r="FZ46" i="4" s="1"/>
  <c r="FM46" i="4"/>
  <c r="FN46" i="4" s="1"/>
  <c r="FA46" i="4"/>
  <c r="FB46" i="4" s="1"/>
  <c r="GG47" i="4"/>
  <c r="GH47" i="4" s="1"/>
  <c r="GC47" i="4"/>
  <c r="GD47" i="4" s="1"/>
  <c r="FY47" i="4"/>
  <c r="FZ47" i="4" s="1"/>
  <c r="FU47" i="4"/>
  <c r="FV47" i="4" s="1"/>
  <c r="FQ47" i="4"/>
  <c r="FR47" i="4" s="1"/>
  <c r="FM47" i="4"/>
  <c r="FN47" i="4" s="1"/>
  <c r="FI47" i="4"/>
  <c r="FJ47" i="4" s="1"/>
  <c r="FE47" i="4"/>
  <c r="FF47" i="4" s="1"/>
  <c r="FA47" i="4"/>
  <c r="FB47" i="4" s="1"/>
  <c r="EW47" i="4"/>
  <c r="EX47" i="4" s="1"/>
  <c r="ET47" i="4"/>
  <c r="GI47" i="4"/>
  <c r="GJ47" i="4" s="1"/>
  <c r="GE47" i="4"/>
  <c r="GF47" i="4" s="1"/>
  <c r="GA47" i="4"/>
  <c r="GB47" i="4" s="1"/>
  <c r="FW47" i="4"/>
  <c r="FX47" i="4" s="1"/>
  <c r="FS47" i="4"/>
  <c r="FT47" i="4" s="1"/>
  <c r="FO47" i="4"/>
  <c r="FP47" i="4" s="1"/>
  <c r="FK47" i="4"/>
  <c r="FL47" i="4" s="1"/>
  <c r="FG47" i="4"/>
  <c r="FH47" i="4" s="1"/>
  <c r="FC47" i="4"/>
  <c r="FD47" i="4" s="1"/>
  <c r="EY47" i="4"/>
  <c r="EZ47" i="4" s="1"/>
  <c r="EU47" i="4"/>
  <c r="EV47" i="4" s="1"/>
  <c r="DQ47" i="4"/>
  <c r="DR47" i="4" s="1"/>
  <c r="DM47" i="4"/>
  <c r="DN47" i="4" s="1"/>
  <c r="DI47" i="4"/>
  <c r="DJ47" i="4" s="1"/>
  <c r="DE47" i="4"/>
  <c r="DF47" i="4" s="1"/>
  <c r="DA47" i="4"/>
  <c r="DB47" i="4" s="1"/>
  <c r="CW47" i="4"/>
  <c r="CX47" i="4" s="1"/>
  <c r="CS47" i="4"/>
  <c r="CT47" i="4" s="1"/>
  <c r="CO47" i="4"/>
  <c r="CP47" i="4" s="1"/>
  <c r="CK47" i="4"/>
  <c r="CL47" i="4" s="1"/>
  <c r="CG47" i="4"/>
  <c r="CH47" i="4" s="1"/>
  <c r="CC47" i="4"/>
  <c r="CD47" i="4" s="1"/>
  <c r="DO47" i="4"/>
  <c r="DP47" i="4" s="1"/>
  <c r="DK47" i="4"/>
  <c r="DL47" i="4" s="1"/>
  <c r="DG47" i="4"/>
  <c r="DH47" i="4" s="1"/>
  <c r="DC47" i="4"/>
  <c r="DD47" i="4" s="1"/>
  <c r="CY47" i="4"/>
  <c r="CZ47" i="4" s="1"/>
  <c r="CU47" i="4"/>
  <c r="CV47" i="4" s="1"/>
  <c r="CQ47" i="4"/>
  <c r="CR47" i="4" s="1"/>
  <c r="CM47" i="4"/>
  <c r="CN47" i="4" s="1"/>
  <c r="CI47" i="4"/>
  <c r="CJ47" i="4" s="1"/>
  <c r="CE47" i="4"/>
  <c r="CF47" i="4" s="1"/>
  <c r="CB47" i="4"/>
  <c r="GC43" i="4"/>
  <c r="GD43" i="4" s="1"/>
  <c r="FM43" i="4"/>
  <c r="FN43" i="4" s="1"/>
  <c r="EW43" i="4"/>
  <c r="EX43" i="4" s="1"/>
  <c r="GA43" i="4"/>
  <c r="GB43" i="4" s="1"/>
  <c r="FK43" i="4"/>
  <c r="FL43" i="4" s="1"/>
  <c r="EU43" i="4"/>
  <c r="EV43" i="4" s="1"/>
  <c r="DQ43" i="4"/>
  <c r="DR43" i="4" s="1"/>
  <c r="DM43" i="4"/>
  <c r="DN43" i="4" s="1"/>
  <c r="DI43" i="4"/>
  <c r="DJ43" i="4" s="1"/>
  <c r="DE43" i="4"/>
  <c r="DF43" i="4" s="1"/>
  <c r="DA43" i="4"/>
  <c r="DB43" i="4" s="1"/>
  <c r="CW43" i="4"/>
  <c r="CX43" i="4" s="1"/>
  <c r="CS43" i="4"/>
  <c r="CT43" i="4" s="1"/>
  <c r="CO43" i="4"/>
  <c r="CP43" i="4" s="1"/>
  <c r="CK43" i="4"/>
  <c r="CL43" i="4" s="1"/>
  <c r="CG43" i="4"/>
  <c r="CH43" i="4" s="1"/>
  <c r="CC43" i="4"/>
  <c r="CD43" i="4" s="1"/>
  <c r="DO43" i="4"/>
  <c r="DP43" i="4" s="1"/>
  <c r="DK43" i="4"/>
  <c r="DL43" i="4" s="1"/>
  <c r="DG43" i="4"/>
  <c r="DH43" i="4" s="1"/>
  <c r="DC43" i="4"/>
  <c r="DD43" i="4" s="1"/>
  <c r="CY43" i="4"/>
  <c r="CZ43" i="4" s="1"/>
  <c r="CU43" i="4"/>
  <c r="CV43" i="4" s="1"/>
  <c r="CQ43" i="4"/>
  <c r="CR43" i="4" s="1"/>
  <c r="CM43" i="4"/>
  <c r="CN43" i="4" s="1"/>
  <c r="CI43" i="4"/>
  <c r="CJ43" i="4" s="1"/>
  <c r="CE43" i="4"/>
  <c r="CF43" i="4" s="1"/>
  <c r="CB43" i="4"/>
  <c r="AW42" i="4"/>
  <c r="AX42" i="4" s="1"/>
  <c r="AS42" i="4"/>
  <c r="AT42" i="4" s="1"/>
  <c r="AO42" i="4"/>
  <c r="AP42" i="4" s="1"/>
  <c r="AK42" i="4"/>
  <c r="AL42" i="4" s="1"/>
  <c r="AG42" i="4"/>
  <c r="AH42" i="4" s="1"/>
  <c r="AC42" i="4"/>
  <c r="AD42" i="4" s="1"/>
  <c r="Y42" i="4"/>
  <c r="Z42" i="4" s="1"/>
  <c r="U42" i="4"/>
  <c r="V42" i="4" s="1"/>
  <c r="Q42" i="4"/>
  <c r="R42" i="4" s="1"/>
  <c r="M42" i="4"/>
  <c r="N42" i="4" s="1"/>
  <c r="J42" i="4"/>
  <c r="AY42" i="4"/>
  <c r="AZ42" i="4" s="1"/>
  <c r="AI42" i="4"/>
  <c r="AJ42" i="4" s="1"/>
  <c r="S42" i="4"/>
  <c r="T42" i="4" s="1"/>
  <c r="K42" i="4"/>
  <c r="L42" i="4" s="1"/>
  <c r="AU42" i="4"/>
  <c r="AV42" i="4" s="1"/>
  <c r="AE42" i="4"/>
  <c r="AF42" i="4" s="1"/>
  <c r="O42" i="4"/>
  <c r="P42" i="4" s="1"/>
  <c r="AA42" i="4"/>
  <c r="AB42" i="4" s="1"/>
  <c r="AM42" i="4"/>
  <c r="AN42" i="4" s="1"/>
  <c r="W42" i="4"/>
  <c r="X42" i="4" s="1"/>
  <c r="AQ42" i="4"/>
  <c r="AR42" i="4" s="1"/>
  <c r="GG42" i="4"/>
  <c r="GH42" i="4" s="1"/>
  <c r="GC42" i="4"/>
  <c r="GD42" i="4" s="1"/>
  <c r="FY42" i="4"/>
  <c r="FZ42" i="4" s="1"/>
  <c r="FU42" i="4"/>
  <c r="FV42" i="4" s="1"/>
  <c r="FQ42" i="4"/>
  <c r="FR42" i="4" s="1"/>
  <c r="FM42" i="4"/>
  <c r="FN42" i="4" s="1"/>
  <c r="FI42" i="4"/>
  <c r="FJ42" i="4" s="1"/>
  <c r="FE42" i="4"/>
  <c r="FF42" i="4" s="1"/>
  <c r="FA42" i="4"/>
  <c r="FB42" i="4" s="1"/>
  <c r="EW42" i="4"/>
  <c r="EX42" i="4" s="1"/>
  <c r="ET42" i="4"/>
  <c r="GI42" i="4"/>
  <c r="GJ42" i="4" s="1"/>
  <c r="GE42" i="4"/>
  <c r="GF42" i="4" s="1"/>
  <c r="GA42" i="4"/>
  <c r="GB42" i="4" s="1"/>
  <c r="FW42" i="4"/>
  <c r="FX42" i="4" s="1"/>
  <c r="FS42" i="4"/>
  <c r="FT42" i="4" s="1"/>
  <c r="FO42" i="4"/>
  <c r="FP42" i="4" s="1"/>
  <c r="FK42" i="4"/>
  <c r="FL42" i="4" s="1"/>
  <c r="FG42" i="4"/>
  <c r="FH42" i="4" s="1"/>
  <c r="FC42" i="4"/>
  <c r="FD42" i="4" s="1"/>
  <c r="EY42" i="4"/>
  <c r="EZ42" i="4" s="1"/>
  <c r="EU42" i="4"/>
  <c r="EV42" i="4" s="1"/>
  <c r="DQ42" i="4"/>
  <c r="DR42" i="4" s="1"/>
  <c r="DM42" i="4"/>
  <c r="DN42" i="4" s="1"/>
  <c r="DI42" i="4"/>
  <c r="DJ42" i="4" s="1"/>
  <c r="DE42" i="4"/>
  <c r="DF42" i="4" s="1"/>
  <c r="DA42" i="4"/>
  <c r="DB42" i="4" s="1"/>
  <c r="CW42" i="4"/>
  <c r="CX42" i="4" s="1"/>
  <c r="CS42" i="4"/>
  <c r="CT42" i="4" s="1"/>
  <c r="CO42" i="4"/>
  <c r="CP42" i="4" s="1"/>
  <c r="CK42" i="4"/>
  <c r="CL42" i="4" s="1"/>
  <c r="CG42" i="4"/>
  <c r="CH42" i="4" s="1"/>
  <c r="CC42" i="4"/>
  <c r="CD42" i="4" s="1"/>
  <c r="DO42" i="4"/>
  <c r="DP42" i="4" s="1"/>
  <c r="DK42" i="4"/>
  <c r="DL42" i="4" s="1"/>
  <c r="DG42" i="4"/>
  <c r="DH42" i="4" s="1"/>
  <c r="DC42" i="4"/>
  <c r="DD42" i="4" s="1"/>
  <c r="CY42" i="4"/>
  <c r="CZ42" i="4" s="1"/>
  <c r="CU42" i="4"/>
  <c r="CV42" i="4" s="1"/>
  <c r="CQ42" i="4"/>
  <c r="CR42" i="4" s="1"/>
  <c r="CE42" i="4"/>
  <c r="CF42" i="4" s="1"/>
  <c r="CM42" i="4"/>
  <c r="CN42" i="4" s="1"/>
  <c r="CB42" i="4"/>
  <c r="CI42" i="4"/>
  <c r="CJ42" i="4" s="1"/>
  <c r="AY39" i="4"/>
  <c r="AZ39" i="4" s="1"/>
  <c r="AU39" i="4"/>
  <c r="AV39" i="4" s="1"/>
  <c r="AQ39" i="4"/>
  <c r="AR39" i="4" s="1"/>
  <c r="AM39" i="4"/>
  <c r="AN39" i="4" s="1"/>
  <c r="AI39" i="4"/>
  <c r="AJ39" i="4" s="1"/>
  <c r="AE39" i="4"/>
  <c r="AF39" i="4" s="1"/>
  <c r="AA39" i="4"/>
  <c r="AB39" i="4" s="1"/>
  <c r="W39" i="4"/>
  <c r="X39" i="4" s="1"/>
  <c r="S39" i="4"/>
  <c r="T39" i="4" s="1"/>
  <c r="O39" i="4"/>
  <c r="P39" i="4" s="1"/>
  <c r="K39" i="4"/>
  <c r="L39" i="4" s="1"/>
  <c r="AW39" i="4"/>
  <c r="AX39" i="4" s="1"/>
  <c r="AK39" i="4"/>
  <c r="AL39" i="4" s="1"/>
  <c r="Y39" i="4"/>
  <c r="Z39" i="4" s="1"/>
  <c r="Q39" i="4"/>
  <c r="R39" i="4" s="1"/>
  <c r="AS39" i="4"/>
  <c r="AT39" i="4" s="1"/>
  <c r="AG39" i="4"/>
  <c r="AH39" i="4" s="1"/>
  <c r="U39" i="4"/>
  <c r="V39" i="4" s="1"/>
  <c r="J39" i="4"/>
  <c r="AO39" i="4"/>
  <c r="AP39" i="4" s="1"/>
  <c r="AC39" i="4"/>
  <c r="AD39" i="4" s="1"/>
  <c r="M39" i="4"/>
  <c r="N39" i="4" s="1"/>
  <c r="ER39" i="4"/>
  <c r="ES39" i="4" s="1"/>
  <c r="CA39" i="4"/>
  <c r="I54" i="4"/>
  <c r="AU54" i="4" s="1"/>
  <c r="AV54" i="4" s="1"/>
  <c r="AK27" i="4"/>
  <c r="AL27" i="4" s="1"/>
  <c r="GG38" i="4"/>
  <c r="GH38" i="4" s="1"/>
  <c r="GC38" i="4"/>
  <c r="GD38" i="4" s="1"/>
  <c r="FY38" i="4"/>
  <c r="FZ38" i="4" s="1"/>
  <c r="FU38" i="4"/>
  <c r="FV38" i="4" s="1"/>
  <c r="FQ38" i="4"/>
  <c r="FR38" i="4" s="1"/>
  <c r="FM38" i="4"/>
  <c r="FN38" i="4" s="1"/>
  <c r="FI38" i="4"/>
  <c r="FJ38" i="4" s="1"/>
  <c r="FE38" i="4"/>
  <c r="FF38" i="4" s="1"/>
  <c r="FA38" i="4"/>
  <c r="FB38" i="4" s="1"/>
  <c r="EW38" i="4"/>
  <c r="EX38" i="4" s="1"/>
  <c r="ET38" i="4"/>
  <c r="GI38" i="4"/>
  <c r="GJ38" i="4" s="1"/>
  <c r="GE38" i="4"/>
  <c r="GF38" i="4" s="1"/>
  <c r="GA38" i="4"/>
  <c r="GB38" i="4" s="1"/>
  <c r="FW38" i="4"/>
  <c r="FX38" i="4" s="1"/>
  <c r="FS38" i="4"/>
  <c r="FT38" i="4" s="1"/>
  <c r="FO38" i="4"/>
  <c r="FP38" i="4" s="1"/>
  <c r="FK38" i="4"/>
  <c r="FL38" i="4" s="1"/>
  <c r="FG38" i="4"/>
  <c r="FH38" i="4" s="1"/>
  <c r="FC38" i="4"/>
  <c r="FD38" i="4" s="1"/>
  <c r="EY38" i="4"/>
  <c r="EZ38" i="4" s="1"/>
  <c r="EU38" i="4"/>
  <c r="EV38" i="4" s="1"/>
  <c r="DQ38" i="4"/>
  <c r="DR38" i="4" s="1"/>
  <c r="DM38" i="4"/>
  <c r="DN38" i="4" s="1"/>
  <c r="DI38" i="4"/>
  <c r="DJ38" i="4" s="1"/>
  <c r="DE38" i="4"/>
  <c r="DF38" i="4" s="1"/>
  <c r="DA38" i="4"/>
  <c r="DB38" i="4" s="1"/>
  <c r="CW38" i="4"/>
  <c r="CX38" i="4" s="1"/>
  <c r="CS38" i="4"/>
  <c r="CT38" i="4" s="1"/>
  <c r="CO38" i="4"/>
  <c r="CP38" i="4" s="1"/>
  <c r="CK38" i="4"/>
  <c r="CL38" i="4" s="1"/>
  <c r="CG38" i="4"/>
  <c r="CH38" i="4" s="1"/>
  <c r="CC38" i="4"/>
  <c r="CD38" i="4" s="1"/>
  <c r="DO38" i="4"/>
  <c r="DP38" i="4" s="1"/>
  <c r="DK38" i="4"/>
  <c r="DL38" i="4" s="1"/>
  <c r="DG38" i="4"/>
  <c r="DH38" i="4" s="1"/>
  <c r="DC38" i="4"/>
  <c r="DD38" i="4" s="1"/>
  <c r="CY38" i="4"/>
  <c r="CZ38" i="4" s="1"/>
  <c r="CU38" i="4"/>
  <c r="CV38" i="4" s="1"/>
  <c r="CQ38" i="4"/>
  <c r="CR38" i="4" s="1"/>
  <c r="CM38" i="4"/>
  <c r="CN38" i="4" s="1"/>
  <c r="CI38" i="4"/>
  <c r="CJ38" i="4" s="1"/>
  <c r="CE38" i="4"/>
  <c r="CF38" i="4" s="1"/>
  <c r="CB38" i="4"/>
  <c r="DO37" i="4"/>
  <c r="DP37" i="4" s="1"/>
  <c r="DK37" i="4"/>
  <c r="DL37" i="4" s="1"/>
  <c r="DG37" i="4"/>
  <c r="DH37" i="4" s="1"/>
  <c r="DC37" i="4"/>
  <c r="DD37" i="4" s="1"/>
  <c r="CY37" i="4"/>
  <c r="CZ37" i="4" s="1"/>
  <c r="CU37" i="4"/>
  <c r="CV37" i="4" s="1"/>
  <c r="CQ37" i="4"/>
  <c r="CR37" i="4" s="1"/>
  <c r="CM37" i="4"/>
  <c r="CN37" i="4" s="1"/>
  <c r="CI37" i="4"/>
  <c r="CJ37" i="4" s="1"/>
  <c r="CE37" i="4"/>
  <c r="CF37" i="4" s="1"/>
  <c r="CB37" i="4"/>
  <c r="DI37" i="4"/>
  <c r="DJ37" i="4" s="1"/>
  <c r="CW37" i="4"/>
  <c r="CX37" i="4" s="1"/>
  <c r="CC37" i="4"/>
  <c r="CD37" i="4" s="1"/>
  <c r="DM37" i="4"/>
  <c r="DN37" i="4" s="1"/>
  <c r="DA37" i="4"/>
  <c r="DB37" i="4" s="1"/>
  <c r="CO37" i="4"/>
  <c r="CP37" i="4" s="1"/>
  <c r="CG37" i="4"/>
  <c r="CH37" i="4" s="1"/>
  <c r="DQ37" i="4"/>
  <c r="DR37" i="4" s="1"/>
  <c r="DE37" i="4"/>
  <c r="DF37" i="4" s="1"/>
  <c r="CS37" i="4"/>
  <c r="CT37" i="4" s="1"/>
  <c r="CK37" i="4"/>
  <c r="CL37" i="4" s="1"/>
  <c r="GI37" i="4"/>
  <c r="GJ37" i="4" s="1"/>
  <c r="GE37" i="4"/>
  <c r="GF37" i="4" s="1"/>
  <c r="GA37" i="4"/>
  <c r="GB37" i="4" s="1"/>
  <c r="FW37" i="4"/>
  <c r="FX37" i="4" s="1"/>
  <c r="FS37" i="4"/>
  <c r="FT37" i="4" s="1"/>
  <c r="FO37" i="4"/>
  <c r="FP37" i="4" s="1"/>
  <c r="FK37" i="4"/>
  <c r="FL37" i="4" s="1"/>
  <c r="FG37" i="4"/>
  <c r="FH37" i="4" s="1"/>
  <c r="FC37" i="4"/>
  <c r="FD37" i="4" s="1"/>
  <c r="EY37" i="4"/>
  <c r="EZ37" i="4" s="1"/>
  <c r="EU37" i="4"/>
  <c r="EV37" i="4" s="1"/>
  <c r="GC37" i="4"/>
  <c r="GD37" i="4" s="1"/>
  <c r="FU37" i="4"/>
  <c r="FV37" i="4" s="1"/>
  <c r="FI37" i="4"/>
  <c r="FJ37" i="4" s="1"/>
  <c r="ET37" i="4"/>
  <c r="GG37" i="4"/>
  <c r="GH37" i="4" s="1"/>
  <c r="FY37" i="4"/>
  <c r="FZ37" i="4" s="1"/>
  <c r="FM37" i="4"/>
  <c r="FN37" i="4" s="1"/>
  <c r="FA37" i="4"/>
  <c r="FB37" i="4" s="1"/>
  <c r="FQ37" i="4"/>
  <c r="FR37" i="4" s="1"/>
  <c r="FE37" i="4"/>
  <c r="FF37" i="4" s="1"/>
  <c r="EW37" i="4"/>
  <c r="EX37" i="4" s="1"/>
  <c r="AG27" i="4"/>
  <c r="AH27" i="4" s="1"/>
  <c r="U27" i="4"/>
  <c r="V27" i="4" s="1"/>
  <c r="H28" i="4"/>
  <c r="I28" i="4" s="1"/>
  <c r="AQ28" i="4" s="1"/>
  <c r="AR28" i="4" s="1"/>
  <c r="GG35" i="4"/>
  <c r="GH35" i="4" s="1"/>
  <c r="GC35" i="4"/>
  <c r="GD35" i="4" s="1"/>
  <c r="FY35" i="4"/>
  <c r="FZ35" i="4" s="1"/>
  <c r="FU35" i="4"/>
  <c r="FV35" i="4" s="1"/>
  <c r="FQ35" i="4"/>
  <c r="FR35" i="4" s="1"/>
  <c r="FM35" i="4"/>
  <c r="FN35" i="4" s="1"/>
  <c r="FI35" i="4"/>
  <c r="FJ35" i="4" s="1"/>
  <c r="FE35" i="4"/>
  <c r="FF35" i="4" s="1"/>
  <c r="FA35" i="4"/>
  <c r="FB35" i="4" s="1"/>
  <c r="EW35" i="4"/>
  <c r="EX35" i="4" s="1"/>
  <c r="ET35" i="4"/>
  <c r="GI35" i="4"/>
  <c r="GJ35" i="4" s="1"/>
  <c r="GE35" i="4"/>
  <c r="GF35" i="4" s="1"/>
  <c r="GA35" i="4"/>
  <c r="GB35" i="4" s="1"/>
  <c r="FW35" i="4"/>
  <c r="FX35" i="4" s="1"/>
  <c r="FS35" i="4"/>
  <c r="FT35" i="4" s="1"/>
  <c r="FO35" i="4"/>
  <c r="FP35" i="4" s="1"/>
  <c r="FK35" i="4"/>
  <c r="FL35" i="4" s="1"/>
  <c r="FG35" i="4"/>
  <c r="FH35" i="4" s="1"/>
  <c r="FC35" i="4"/>
  <c r="FD35" i="4" s="1"/>
  <c r="EY35" i="4"/>
  <c r="EZ35" i="4" s="1"/>
  <c r="EU35" i="4"/>
  <c r="EV35" i="4" s="1"/>
  <c r="Q27" i="4"/>
  <c r="R27" i="4" s="1"/>
  <c r="DQ35" i="4"/>
  <c r="DR35" i="4" s="1"/>
  <c r="DM35" i="4"/>
  <c r="DN35" i="4" s="1"/>
  <c r="DI35" i="4"/>
  <c r="DJ35" i="4" s="1"/>
  <c r="DE35" i="4"/>
  <c r="DF35" i="4" s="1"/>
  <c r="DA35" i="4"/>
  <c r="DB35" i="4" s="1"/>
  <c r="CW35" i="4"/>
  <c r="CX35" i="4" s="1"/>
  <c r="CS35" i="4"/>
  <c r="CT35" i="4" s="1"/>
  <c r="CO35" i="4"/>
  <c r="CP35" i="4" s="1"/>
  <c r="CK35" i="4"/>
  <c r="CL35" i="4" s="1"/>
  <c r="CG35" i="4"/>
  <c r="CH35" i="4" s="1"/>
  <c r="CC35" i="4"/>
  <c r="CD35" i="4" s="1"/>
  <c r="DO35" i="4"/>
  <c r="DP35" i="4" s="1"/>
  <c r="DK35" i="4"/>
  <c r="DL35" i="4" s="1"/>
  <c r="DG35" i="4"/>
  <c r="DH35" i="4" s="1"/>
  <c r="DC35" i="4"/>
  <c r="DD35" i="4" s="1"/>
  <c r="CY35" i="4"/>
  <c r="CZ35" i="4" s="1"/>
  <c r="CU35" i="4"/>
  <c r="CV35" i="4" s="1"/>
  <c r="CQ35" i="4"/>
  <c r="CR35" i="4" s="1"/>
  <c r="CM35" i="4"/>
  <c r="CN35" i="4" s="1"/>
  <c r="CI35" i="4"/>
  <c r="CJ35" i="4" s="1"/>
  <c r="CE35" i="4"/>
  <c r="CF35" i="4" s="1"/>
  <c r="CB35" i="4"/>
  <c r="AS27" i="4"/>
  <c r="AT27" i="4" s="1"/>
  <c r="AC27" i="4"/>
  <c r="AD27" i="4" s="1"/>
  <c r="M27" i="4"/>
  <c r="N27" i="4" s="1"/>
  <c r="AO27" i="4"/>
  <c r="AP27" i="4" s="1"/>
  <c r="Y27" i="4"/>
  <c r="Z27" i="4" s="1"/>
  <c r="I52" i="4"/>
  <c r="BZ52" i="4"/>
  <c r="AW27" i="4"/>
  <c r="AX27" i="4" s="1"/>
  <c r="AU27" i="4"/>
  <c r="AV27" i="4" s="1"/>
  <c r="AE27" i="4"/>
  <c r="AF27" i="4" s="1"/>
  <c r="O27" i="4"/>
  <c r="P27" i="4" s="1"/>
  <c r="AM27" i="4"/>
  <c r="AN27" i="4" s="1"/>
  <c r="AQ27" i="4"/>
  <c r="AR27" i="4" s="1"/>
  <c r="AA27" i="4"/>
  <c r="AB27" i="4" s="1"/>
  <c r="K27" i="4"/>
  <c r="L27" i="4" s="1"/>
  <c r="W27" i="4"/>
  <c r="X27" i="4" s="1"/>
  <c r="S27" i="4"/>
  <c r="T27" i="4" s="1"/>
  <c r="AI27" i="4"/>
  <c r="AJ27" i="4" s="1"/>
  <c r="AY27" i="4"/>
  <c r="AZ27" i="4" s="1"/>
  <c r="ER54" i="4"/>
  <c r="ES54" i="4" s="1"/>
  <c r="CA54" i="4"/>
  <c r="DO34" i="4"/>
  <c r="DP34" i="4" s="1"/>
  <c r="DK34" i="4"/>
  <c r="DL34" i="4" s="1"/>
  <c r="DG34" i="4"/>
  <c r="DH34" i="4" s="1"/>
  <c r="DC34" i="4"/>
  <c r="DD34" i="4" s="1"/>
  <c r="CY34" i="4"/>
  <c r="CZ34" i="4" s="1"/>
  <c r="CU34" i="4"/>
  <c r="CV34" i="4" s="1"/>
  <c r="CQ34" i="4"/>
  <c r="CR34" i="4" s="1"/>
  <c r="CM34" i="4"/>
  <c r="CN34" i="4" s="1"/>
  <c r="CI34" i="4"/>
  <c r="CJ34" i="4" s="1"/>
  <c r="CE34" i="4"/>
  <c r="CF34" i="4" s="1"/>
  <c r="CB34" i="4"/>
  <c r="DQ34" i="4"/>
  <c r="DR34" i="4" s="1"/>
  <c r="DM34" i="4"/>
  <c r="DN34" i="4" s="1"/>
  <c r="DI34" i="4"/>
  <c r="DJ34" i="4" s="1"/>
  <c r="CS34" i="4"/>
  <c r="CT34" i="4" s="1"/>
  <c r="CC34" i="4"/>
  <c r="CD34" i="4" s="1"/>
  <c r="DA34" i="4"/>
  <c r="DB34" i="4" s="1"/>
  <c r="CK34" i="4"/>
  <c r="CL34" i="4" s="1"/>
  <c r="CO34" i="4"/>
  <c r="CP34" i="4" s="1"/>
  <c r="CG34" i="4"/>
  <c r="CH34" i="4" s="1"/>
  <c r="CW34" i="4"/>
  <c r="CX34" i="4" s="1"/>
  <c r="DE34" i="4"/>
  <c r="DF34" i="4" s="1"/>
  <c r="GI34" i="4"/>
  <c r="GJ34" i="4" s="1"/>
  <c r="GE34" i="4"/>
  <c r="GF34" i="4" s="1"/>
  <c r="GA34" i="4"/>
  <c r="GB34" i="4" s="1"/>
  <c r="FW34" i="4"/>
  <c r="FX34" i="4" s="1"/>
  <c r="FS34" i="4"/>
  <c r="FT34" i="4" s="1"/>
  <c r="FO34" i="4"/>
  <c r="FP34" i="4" s="1"/>
  <c r="FK34" i="4"/>
  <c r="FL34" i="4" s="1"/>
  <c r="FG34" i="4"/>
  <c r="FH34" i="4" s="1"/>
  <c r="FC34" i="4"/>
  <c r="FD34" i="4" s="1"/>
  <c r="EY34" i="4"/>
  <c r="EZ34" i="4" s="1"/>
  <c r="EU34" i="4"/>
  <c r="EV34" i="4" s="1"/>
  <c r="GG34" i="4"/>
  <c r="GH34" i="4" s="1"/>
  <c r="GC34" i="4"/>
  <c r="GD34" i="4" s="1"/>
  <c r="FY34" i="4"/>
  <c r="FZ34" i="4" s="1"/>
  <c r="FU34" i="4"/>
  <c r="FV34" i="4" s="1"/>
  <c r="FQ34" i="4"/>
  <c r="FR34" i="4" s="1"/>
  <c r="FM34" i="4"/>
  <c r="FN34" i="4" s="1"/>
  <c r="FI34" i="4"/>
  <c r="FJ34" i="4" s="1"/>
  <c r="FE34" i="4"/>
  <c r="FF34" i="4" s="1"/>
  <c r="FA34" i="4"/>
  <c r="FB34" i="4" s="1"/>
  <c r="EW34" i="4"/>
  <c r="EX34" i="4" s="1"/>
  <c r="ET34" i="4"/>
  <c r="BZ19" i="4"/>
  <c r="I19" i="4"/>
  <c r="DQ109" i="4" l="1"/>
  <c r="DR109" i="4" s="1"/>
  <c r="DM109" i="4"/>
  <c r="DN109" i="4" s="1"/>
  <c r="DI109" i="4"/>
  <c r="DJ109" i="4" s="1"/>
  <c r="DE109" i="4"/>
  <c r="DF109" i="4" s="1"/>
  <c r="DA109" i="4"/>
  <c r="DB109" i="4" s="1"/>
  <c r="CW109" i="4"/>
  <c r="CX109" i="4" s="1"/>
  <c r="CS109" i="4"/>
  <c r="CT109" i="4" s="1"/>
  <c r="CO109" i="4"/>
  <c r="CP109" i="4" s="1"/>
  <c r="CK109" i="4"/>
  <c r="CL109" i="4" s="1"/>
  <c r="CG109" i="4"/>
  <c r="CH109" i="4" s="1"/>
  <c r="CC109" i="4"/>
  <c r="CD109" i="4" s="1"/>
  <c r="DO109" i="4"/>
  <c r="DP109" i="4" s="1"/>
  <c r="DG109" i="4"/>
  <c r="DH109" i="4" s="1"/>
  <c r="CY109" i="4"/>
  <c r="CZ109" i="4" s="1"/>
  <c r="CQ109" i="4"/>
  <c r="CR109" i="4" s="1"/>
  <c r="CI109" i="4"/>
  <c r="CJ109" i="4" s="1"/>
  <c r="CB109" i="4"/>
  <c r="DC109" i="4"/>
  <c r="DD109" i="4" s="1"/>
  <c r="CM109" i="4"/>
  <c r="CN109" i="4" s="1"/>
  <c r="DK109" i="4"/>
  <c r="DL109" i="4" s="1"/>
  <c r="CU109" i="4"/>
  <c r="CV109" i="4" s="1"/>
  <c r="CE109" i="4"/>
  <c r="CF109" i="4" s="1"/>
  <c r="FG43" i="4"/>
  <c r="FH43" i="4" s="1"/>
  <c r="FW43" i="4"/>
  <c r="FX43" i="4" s="1"/>
  <c r="ET43" i="4"/>
  <c r="FI43" i="4"/>
  <c r="FJ43" i="4" s="1"/>
  <c r="FY43" i="4"/>
  <c r="FZ43" i="4" s="1"/>
  <c r="GG77" i="4"/>
  <c r="GH77" i="4" s="1"/>
  <c r="GC77" i="4"/>
  <c r="GD77" i="4" s="1"/>
  <c r="FY77" i="4"/>
  <c r="FZ77" i="4" s="1"/>
  <c r="FU77" i="4"/>
  <c r="FV77" i="4" s="1"/>
  <c r="FQ77" i="4"/>
  <c r="FR77" i="4" s="1"/>
  <c r="FM77" i="4"/>
  <c r="FN77" i="4" s="1"/>
  <c r="FI77" i="4"/>
  <c r="FJ77" i="4" s="1"/>
  <c r="FE77" i="4"/>
  <c r="FF77" i="4" s="1"/>
  <c r="FA77" i="4"/>
  <c r="FB77" i="4" s="1"/>
  <c r="EW77" i="4"/>
  <c r="EX77" i="4" s="1"/>
  <c r="ET77" i="4"/>
  <c r="GI77" i="4"/>
  <c r="GJ77" i="4" s="1"/>
  <c r="GA77" i="4"/>
  <c r="GB77" i="4" s="1"/>
  <c r="FS77" i="4"/>
  <c r="FT77" i="4" s="1"/>
  <c r="FK77" i="4"/>
  <c r="FL77" i="4" s="1"/>
  <c r="FC77" i="4"/>
  <c r="FD77" i="4" s="1"/>
  <c r="EU77" i="4"/>
  <c r="EV77" i="4" s="1"/>
  <c r="FW77" i="4"/>
  <c r="FX77" i="4" s="1"/>
  <c r="FG77" i="4"/>
  <c r="FH77" i="4" s="1"/>
  <c r="GE77" i="4"/>
  <c r="GF77" i="4" s="1"/>
  <c r="FO77" i="4"/>
  <c r="FP77" i="4" s="1"/>
  <c r="EY77" i="4"/>
  <c r="EZ77" i="4" s="1"/>
  <c r="DQ48" i="4"/>
  <c r="DR48" i="4" s="1"/>
  <c r="DM48" i="4"/>
  <c r="DN48" i="4" s="1"/>
  <c r="DI48" i="4"/>
  <c r="DJ48" i="4" s="1"/>
  <c r="DE48" i="4"/>
  <c r="DF48" i="4" s="1"/>
  <c r="DA48" i="4"/>
  <c r="DB48" i="4" s="1"/>
  <c r="CW48" i="4"/>
  <c r="CX48" i="4" s="1"/>
  <c r="CS48" i="4"/>
  <c r="CT48" i="4" s="1"/>
  <c r="CO48" i="4"/>
  <c r="CP48" i="4" s="1"/>
  <c r="CK48" i="4"/>
  <c r="CL48" i="4" s="1"/>
  <c r="CG48" i="4"/>
  <c r="CH48" i="4" s="1"/>
  <c r="CC48" i="4"/>
  <c r="CD48" i="4" s="1"/>
  <c r="DK48" i="4"/>
  <c r="DL48" i="4" s="1"/>
  <c r="DC48" i="4"/>
  <c r="DD48" i="4" s="1"/>
  <c r="CU48" i="4"/>
  <c r="CV48" i="4" s="1"/>
  <c r="CM48" i="4"/>
  <c r="CN48" i="4" s="1"/>
  <c r="CE48" i="4"/>
  <c r="CF48" i="4" s="1"/>
  <c r="DO48" i="4"/>
  <c r="DP48" i="4" s="1"/>
  <c r="DG48" i="4"/>
  <c r="DH48" i="4" s="1"/>
  <c r="CY48" i="4"/>
  <c r="CZ48" i="4" s="1"/>
  <c r="CQ48" i="4"/>
  <c r="CR48" i="4" s="1"/>
  <c r="CI48" i="4"/>
  <c r="CJ48" i="4" s="1"/>
  <c r="CB48" i="4"/>
  <c r="DQ51" i="4"/>
  <c r="DR51" i="4" s="1"/>
  <c r="DM51" i="4"/>
  <c r="DN51" i="4" s="1"/>
  <c r="DI51" i="4"/>
  <c r="DJ51" i="4" s="1"/>
  <c r="DE51" i="4"/>
  <c r="DF51" i="4" s="1"/>
  <c r="DA51" i="4"/>
  <c r="DB51" i="4" s="1"/>
  <c r="CW51" i="4"/>
  <c r="CX51" i="4" s="1"/>
  <c r="CS51" i="4"/>
  <c r="CT51" i="4" s="1"/>
  <c r="CO51" i="4"/>
  <c r="CP51" i="4" s="1"/>
  <c r="CK51" i="4"/>
  <c r="CL51" i="4" s="1"/>
  <c r="CG51" i="4"/>
  <c r="CH51" i="4" s="1"/>
  <c r="CC51" i="4"/>
  <c r="CD51" i="4" s="1"/>
  <c r="DC51" i="4"/>
  <c r="DD51" i="4" s="1"/>
  <c r="CM51" i="4"/>
  <c r="CN51" i="4" s="1"/>
  <c r="DK51" i="4"/>
  <c r="DL51" i="4" s="1"/>
  <c r="DO51" i="4"/>
  <c r="DP51" i="4" s="1"/>
  <c r="CY51" i="4"/>
  <c r="CZ51" i="4" s="1"/>
  <c r="CI51" i="4"/>
  <c r="CJ51" i="4" s="1"/>
  <c r="CE51" i="4"/>
  <c r="CF51" i="4" s="1"/>
  <c r="DG51" i="4"/>
  <c r="DH51" i="4" s="1"/>
  <c r="CQ51" i="4"/>
  <c r="CR51" i="4" s="1"/>
  <c r="CB51" i="4"/>
  <c r="CU51" i="4"/>
  <c r="CV51" i="4" s="1"/>
  <c r="GG48" i="4"/>
  <c r="GH48" i="4" s="1"/>
  <c r="GC48" i="4"/>
  <c r="GD48" i="4" s="1"/>
  <c r="FY48" i="4"/>
  <c r="FZ48" i="4" s="1"/>
  <c r="FU48" i="4"/>
  <c r="FV48" i="4" s="1"/>
  <c r="FQ48" i="4"/>
  <c r="FR48" i="4" s="1"/>
  <c r="FM48" i="4"/>
  <c r="FN48" i="4" s="1"/>
  <c r="FI48" i="4"/>
  <c r="FJ48" i="4" s="1"/>
  <c r="FE48" i="4"/>
  <c r="FF48" i="4" s="1"/>
  <c r="FA48" i="4"/>
  <c r="FB48" i="4" s="1"/>
  <c r="EW48" i="4"/>
  <c r="EX48" i="4" s="1"/>
  <c r="ET48" i="4"/>
  <c r="GE48" i="4"/>
  <c r="GF48" i="4" s="1"/>
  <c r="FW48" i="4"/>
  <c r="FX48" i="4" s="1"/>
  <c r="FO48" i="4"/>
  <c r="FP48" i="4" s="1"/>
  <c r="FG48" i="4"/>
  <c r="FH48" i="4" s="1"/>
  <c r="EY48" i="4"/>
  <c r="EZ48" i="4" s="1"/>
  <c r="GI48" i="4"/>
  <c r="GJ48" i="4" s="1"/>
  <c r="FC48" i="4"/>
  <c r="FD48" i="4" s="1"/>
  <c r="GA48" i="4"/>
  <c r="GB48" i="4" s="1"/>
  <c r="FK48" i="4"/>
  <c r="FL48" i="4" s="1"/>
  <c r="FS48" i="4"/>
  <c r="FT48" i="4" s="1"/>
  <c r="EU48" i="4"/>
  <c r="EV48" i="4" s="1"/>
  <c r="EY43" i="4"/>
  <c r="EZ43" i="4" s="1"/>
  <c r="FO43" i="4"/>
  <c r="FP43" i="4" s="1"/>
  <c r="GE43" i="4"/>
  <c r="GF43" i="4" s="1"/>
  <c r="FA43" i="4"/>
  <c r="FB43" i="4" s="1"/>
  <c r="FQ43" i="4"/>
  <c r="FR43" i="4" s="1"/>
  <c r="GG43" i="4"/>
  <c r="GH43" i="4" s="1"/>
  <c r="GG109" i="4"/>
  <c r="GH109" i="4" s="1"/>
  <c r="GC109" i="4"/>
  <c r="GD109" i="4" s="1"/>
  <c r="FY109" i="4"/>
  <c r="FZ109" i="4" s="1"/>
  <c r="FU109" i="4"/>
  <c r="FV109" i="4" s="1"/>
  <c r="FQ109" i="4"/>
  <c r="FR109" i="4" s="1"/>
  <c r="FM109" i="4"/>
  <c r="FN109" i="4" s="1"/>
  <c r="FI109" i="4"/>
  <c r="FJ109" i="4" s="1"/>
  <c r="FE109" i="4"/>
  <c r="FF109" i="4" s="1"/>
  <c r="FA109" i="4"/>
  <c r="FB109" i="4" s="1"/>
  <c r="EW109" i="4"/>
  <c r="EX109" i="4" s="1"/>
  <c r="ET109" i="4"/>
  <c r="GI109" i="4"/>
  <c r="GJ109" i="4" s="1"/>
  <c r="GA109" i="4"/>
  <c r="GB109" i="4" s="1"/>
  <c r="FS109" i="4"/>
  <c r="FT109" i="4" s="1"/>
  <c r="FK109" i="4"/>
  <c r="FL109" i="4" s="1"/>
  <c r="FC109" i="4"/>
  <c r="FD109" i="4" s="1"/>
  <c r="EU109" i="4"/>
  <c r="EV109" i="4" s="1"/>
  <c r="FW109" i="4"/>
  <c r="FX109" i="4" s="1"/>
  <c r="FG109" i="4"/>
  <c r="FH109" i="4" s="1"/>
  <c r="GE109" i="4"/>
  <c r="GF109" i="4" s="1"/>
  <c r="FO109" i="4"/>
  <c r="FP109" i="4" s="1"/>
  <c r="EY109" i="4"/>
  <c r="EZ109" i="4" s="1"/>
  <c r="DQ132" i="4"/>
  <c r="DR132" i="4" s="1"/>
  <c r="DO132" i="4"/>
  <c r="DP132" i="4" s="1"/>
  <c r="DK132" i="4"/>
  <c r="DL132" i="4" s="1"/>
  <c r="DG132" i="4"/>
  <c r="DH132" i="4" s="1"/>
  <c r="DC132" i="4"/>
  <c r="DD132" i="4" s="1"/>
  <c r="CY132" i="4"/>
  <c r="CZ132" i="4" s="1"/>
  <c r="CU132" i="4"/>
  <c r="CV132" i="4" s="1"/>
  <c r="CQ132" i="4"/>
  <c r="CR132" i="4" s="1"/>
  <c r="CM132" i="4"/>
  <c r="CN132" i="4" s="1"/>
  <c r="CI132" i="4"/>
  <c r="CJ132" i="4" s="1"/>
  <c r="CE132" i="4"/>
  <c r="CF132" i="4" s="1"/>
  <c r="CB132" i="4"/>
  <c r="DM132" i="4"/>
  <c r="DN132" i="4" s="1"/>
  <c r="DE132" i="4"/>
  <c r="DF132" i="4" s="1"/>
  <c r="CW132" i="4"/>
  <c r="CX132" i="4" s="1"/>
  <c r="CO132" i="4"/>
  <c r="CP132" i="4" s="1"/>
  <c r="CG132" i="4"/>
  <c r="CH132" i="4" s="1"/>
  <c r="DI132" i="4"/>
  <c r="DJ132" i="4" s="1"/>
  <c r="CS132" i="4"/>
  <c r="CT132" i="4" s="1"/>
  <c r="CC132" i="4"/>
  <c r="CD132" i="4" s="1"/>
  <c r="CK132" i="4"/>
  <c r="CL132" i="4" s="1"/>
  <c r="DA132" i="4"/>
  <c r="DB132" i="4" s="1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DO58" i="4"/>
  <c r="DP58" i="4" s="1"/>
  <c r="DG58" i="4"/>
  <c r="DH58" i="4" s="1"/>
  <c r="CY58" i="4"/>
  <c r="CZ58" i="4" s="1"/>
  <c r="CQ58" i="4"/>
  <c r="CR58" i="4" s="1"/>
  <c r="CI58" i="4"/>
  <c r="CJ58" i="4" s="1"/>
  <c r="CB58" i="4"/>
  <c r="DK58" i="4"/>
  <c r="DL58" i="4" s="1"/>
  <c r="DC58" i="4"/>
  <c r="DD58" i="4" s="1"/>
  <c r="CU58" i="4"/>
  <c r="CV58" i="4" s="1"/>
  <c r="CM58" i="4"/>
  <c r="CN58" i="4" s="1"/>
  <c r="CE58" i="4"/>
  <c r="CF58" i="4" s="1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I51" i="4"/>
  <c r="GJ51" i="4" s="1"/>
  <c r="FS51" i="4"/>
  <c r="FT51" i="4" s="1"/>
  <c r="FC51" i="4"/>
  <c r="FD51" i="4" s="1"/>
  <c r="EU51" i="4"/>
  <c r="EV51" i="4" s="1"/>
  <c r="GE51" i="4"/>
  <c r="GF51" i="4" s="1"/>
  <c r="FO51" i="4"/>
  <c r="FP51" i="4" s="1"/>
  <c r="EY51" i="4"/>
  <c r="EZ51" i="4" s="1"/>
  <c r="GA51" i="4"/>
  <c r="GB51" i="4" s="1"/>
  <c r="FW51" i="4"/>
  <c r="FX51" i="4" s="1"/>
  <c r="FG51" i="4"/>
  <c r="FH51" i="4" s="1"/>
  <c r="FK51" i="4"/>
  <c r="FL51" i="4" s="1"/>
  <c r="FC43" i="4"/>
  <c r="FD43" i="4" s="1"/>
  <c r="FS43" i="4"/>
  <c r="FT43" i="4" s="1"/>
  <c r="GI43" i="4"/>
  <c r="GJ43" i="4" s="1"/>
  <c r="FE43" i="4"/>
  <c r="FF43" i="4" s="1"/>
  <c r="DQ77" i="4"/>
  <c r="DR77" i="4" s="1"/>
  <c r="DM77" i="4"/>
  <c r="DN77" i="4" s="1"/>
  <c r="DI77" i="4"/>
  <c r="DJ77" i="4" s="1"/>
  <c r="DE77" i="4"/>
  <c r="DF77" i="4" s="1"/>
  <c r="DA77" i="4"/>
  <c r="DB77" i="4" s="1"/>
  <c r="CW77" i="4"/>
  <c r="CX77" i="4" s="1"/>
  <c r="CS77" i="4"/>
  <c r="CT77" i="4" s="1"/>
  <c r="CO77" i="4"/>
  <c r="CP77" i="4" s="1"/>
  <c r="CK77" i="4"/>
  <c r="CL77" i="4" s="1"/>
  <c r="CG77" i="4"/>
  <c r="CH77" i="4" s="1"/>
  <c r="CC77" i="4"/>
  <c r="CD77" i="4" s="1"/>
  <c r="DK77" i="4"/>
  <c r="DL77" i="4" s="1"/>
  <c r="DC77" i="4"/>
  <c r="DD77" i="4" s="1"/>
  <c r="CU77" i="4"/>
  <c r="CV77" i="4" s="1"/>
  <c r="CM77" i="4"/>
  <c r="CN77" i="4" s="1"/>
  <c r="CE77" i="4"/>
  <c r="CF77" i="4" s="1"/>
  <c r="DG77" i="4"/>
  <c r="DH77" i="4" s="1"/>
  <c r="CQ77" i="4"/>
  <c r="CR77" i="4" s="1"/>
  <c r="CB77" i="4"/>
  <c r="DO77" i="4"/>
  <c r="DP77" i="4" s="1"/>
  <c r="CY77" i="4"/>
  <c r="CZ77" i="4" s="1"/>
  <c r="CI77" i="4"/>
  <c r="CJ77" i="4" s="1"/>
  <c r="GG132" i="4"/>
  <c r="GH132" i="4" s="1"/>
  <c r="GC132" i="4"/>
  <c r="GD132" i="4" s="1"/>
  <c r="FY132" i="4"/>
  <c r="FZ132" i="4" s="1"/>
  <c r="FU132" i="4"/>
  <c r="FV132" i="4" s="1"/>
  <c r="FQ132" i="4"/>
  <c r="FR132" i="4" s="1"/>
  <c r="FM132" i="4"/>
  <c r="FN132" i="4" s="1"/>
  <c r="FI132" i="4"/>
  <c r="FJ132" i="4" s="1"/>
  <c r="FE132" i="4"/>
  <c r="FF132" i="4" s="1"/>
  <c r="FA132" i="4"/>
  <c r="FB132" i="4" s="1"/>
  <c r="EW132" i="4"/>
  <c r="EX132" i="4" s="1"/>
  <c r="ET132" i="4"/>
  <c r="GI132" i="4"/>
  <c r="GJ132" i="4" s="1"/>
  <c r="GA132" i="4"/>
  <c r="GB132" i="4" s="1"/>
  <c r="FS132" i="4"/>
  <c r="FT132" i="4" s="1"/>
  <c r="FK132" i="4"/>
  <c r="FL132" i="4" s="1"/>
  <c r="FC132" i="4"/>
  <c r="FD132" i="4" s="1"/>
  <c r="EU132" i="4"/>
  <c r="EV132" i="4" s="1"/>
  <c r="FW132" i="4"/>
  <c r="FX132" i="4" s="1"/>
  <c r="FG132" i="4"/>
  <c r="FH132" i="4" s="1"/>
  <c r="GE132" i="4"/>
  <c r="GF132" i="4" s="1"/>
  <c r="EY132" i="4"/>
  <c r="EZ132" i="4" s="1"/>
  <c r="FO132" i="4"/>
  <c r="FP132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I58" i="4"/>
  <c r="GJ58" i="4" s="1"/>
  <c r="GA58" i="4"/>
  <c r="GB58" i="4" s="1"/>
  <c r="FS58" i="4"/>
  <c r="FT58" i="4" s="1"/>
  <c r="FK58" i="4"/>
  <c r="FL58" i="4" s="1"/>
  <c r="FC58" i="4"/>
  <c r="FD58" i="4" s="1"/>
  <c r="EU58" i="4"/>
  <c r="EV58" i="4" s="1"/>
  <c r="GE58" i="4"/>
  <c r="GF58" i="4" s="1"/>
  <c r="EY58" i="4"/>
  <c r="EZ58" i="4" s="1"/>
  <c r="FW58" i="4"/>
  <c r="FX58" i="4" s="1"/>
  <c r="FG58" i="4"/>
  <c r="FH58" i="4" s="1"/>
  <c r="FO58" i="4"/>
  <c r="FP58" i="4" s="1"/>
  <c r="DO131" i="4"/>
  <c r="DP131" i="4" s="1"/>
  <c r="CC131" i="4"/>
  <c r="CD131" i="4" s="1"/>
  <c r="CS131" i="4"/>
  <c r="CT131" i="4" s="1"/>
  <c r="DI131" i="4"/>
  <c r="DJ131" i="4" s="1"/>
  <c r="CE131" i="4"/>
  <c r="CF131" i="4" s="1"/>
  <c r="CU131" i="4"/>
  <c r="CV131" i="4" s="1"/>
  <c r="DK131" i="4"/>
  <c r="DL131" i="4" s="1"/>
  <c r="DA131" i="4"/>
  <c r="DB131" i="4" s="1"/>
  <c r="DQ131" i="4"/>
  <c r="DR131" i="4" s="1"/>
  <c r="CG131" i="4"/>
  <c r="CH131" i="4" s="1"/>
  <c r="CW131" i="4"/>
  <c r="CX131" i="4" s="1"/>
  <c r="DM131" i="4"/>
  <c r="DN131" i="4" s="1"/>
  <c r="CI131" i="4"/>
  <c r="CJ131" i="4" s="1"/>
  <c r="CY131" i="4"/>
  <c r="CZ131" i="4" s="1"/>
  <c r="CK131" i="4"/>
  <c r="CL131" i="4" s="1"/>
  <c r="CM131" i="4"/>
  <c r="CN131" i="4" s="1"/>
  <c r="CO131" i="4"/>
  <c r="CP131" i="4" s="1"/>
  <c r="DE131" i="4"/>
  <c r="DF131" i="4" s="1"/>
  <c r="CB131" i="4"/>
  <c r="CQ131" i="4"/>
  <c r="CR131" i="4" s="1"/>
  <c r="DG131" i="4"/>
  <c r="DH131" i="4" s="1"/>
  <c r="DC131" i="4"/>
  <c r="DD131" i="4" s="1"/>
  <c r="GA131" i="4"/>
  <c r="GB131" i="4" s="1"/>
  <c r="FK131" i="4"/>
  <c r="FL131" i="4" s="1"/>
  <c r="EU131" i="4"/>
  <c r="EV131" i="4" s="1"/>
  <c r="FU131" i="4"/>
  <c r="FV131" i="4" s="1"/>
  <c r="FE131" i="4"/>
  <c r="FF131" i="4" s="1"/>
  <c r="FC131" i="4"/>
  <c r="FD131" i="4" s="1"/>
  <c r="EW131" i="4"/>
  <c r="EX131" i="4" s="1"/>
  <c r="FW131" i="4"/>
  <c r="FX131" i="4" s="1"/>
  <c r="FG131" i="4"/>
  <c r="FH131" i="4" s="1"/>
  <c r="GG131" i="4"/>
  <c r="GH131" i="4" s="1"/>
  <c r="FQ131" i="4"/>
  <c r="FR131" i="4" s="1"/>
  <c r="FA131" i="4"/>
  <c r="FB131" i="4" s="1"/>
  <c r="GI131" i="4"/>
  <c r="GJ131" i="4" s="1"/>
  <c r="GC131" i="4"/>
  <c r="GD131" i="4" s="1"/>
  <c r="GE131" i="4"/>
  <c r="GF131" i="4" s="1"/>
  <c r="FO131" i="4"/>
  <c r="FP131" i="4" s="1"/>
  <c r="EY131" i="4"/>
  <c r="EZ131" i="4" s="1"/>
  <c r="FY131" i="4"/>
  <c r="FZ131" i="4" s="1"/>
  <c r="FI131" i="4"/>
  <c r="FJ131" i="4" s="1"/>
  <c r="ET131" i="4"/>
  <c r="FS131" i="4"/>
  <c r="FT131" i="4" s="1"/>
  <c r="FM131" i="4"/>
  <c r="FN131" i="4" s="1"/>
  <c r="CY140" i="4"/>
  <c r="CZ140" i="4" s="1"/>
  <c r="DO122" i="4"/>
  <c r="DP122" i="4" s="1"/>
  <c r="CC122" i="4"/>
  <c r="CD122" i="4" s="1"/>
  <c r="CS122" i="4"/>
  <c r="CT122" i="4" s="1"/>
  <c r="DI122" i="4"/>
  <c r="DJ122" i="4" s="1"/>
  <c r="CE122" i="4"/>
  <c r="CF122" i="4" s="1"/>
  <c r="CU122" i="4"/>
  <c r="CV122" i="4" s="1"/>
  <c r="DK122" i="4"/>
  <c r="DL122" i="4" s="1"/>
  <c r="DQ122" i="4"/>
  <c r="DR122" i="4" s="1"/>
  <c r="CG122" i="4"/>
  <c r="CH122" i="4" s="1"/>
  <c r="CW122" i="4"/>
  <c r="CX122" i="4" s="1"/>
  <c r="DM122" i="4"/>
  <c r="DN122" i="4" s="1"/>
  <c r="CI122" i="4"/>
  <c r="CJ122" i="4" s="1"/>
  <c r="CY122" i="4"/>
  <c r="CZ122" i="4" s="1"/>
  <c r="CK122" i="4"/>
  <c r="CL122" i="4" s="1"/>
  <c r="DA122" i="4"/>
  <c r="DB122" i="4" s="1"/>
  <c r="CM122" i="4"/>
  <c r="CN122" i="4" s="1"/>
  <c r="DC122" i="4"/>
  <c r="DD122" i="4" s="1"/>
  <c r="CO122" i="4"/>
  <c r="CP122" i="4" s="1"/>
  <c r="DE122" i="4"/>
  <c r="DF122" i="4" s="1"/>
  <c r="CB122" i="4"/>
  <c r="CQ122" i="4"/>
  <c r="CR122" i="4" s="1"/>
  <c r="DG122" i="4"/>
  <c r="DH122" i="4" s="1"/>
  <c r="GI122" i="4"/>
  <c r="GJ122" i="4" s="1"/>
  <c r="FS122" i="4"/>
  <c r="FT122" i="4" s="1"/>
  <c r="FC122" i="4"/>
  <c r="FD122" i="4" s="1"/>
  <c r="GC122" i="4"/>
  <c r="GD122" i="4" s="1"/>
  <c r="FM122" i="4"/>
  <c r="FN122" i="4" s="1"/>
  <c r="EW122" i="4"/>
  <c r="EX122" i="4" s="1"/>
  <c r="FK122" i="4"/>
  <c r="FL122" i="4" s="1"/>
  <c r="GE122" i="4"/>
  <c r="GF122" i="4" s="1"/>
  <c r="FO122" i="4"/>
  <c r="FP122" i="4" s="1"/>
  <c r="EY122" i="4"/>
  <c r="EZ122" i="4" s="1"/>
  <c r="FY122" i="4"/>
  <c r="FZ122" i="4" s="1"/>
  <c r="FI122" i="4"/>
  <c r="FJ122" i="4" s="1"/>
  <c r="ET122" i="4"/>
  <c r="GA122" i="4"/>
  <c r="GB122" i="4" s="1"/>
  <c r="EU122" i="4"/>
  <c r="EV122" i="4" s="1"/>
  <c r="FU122" i="4"/>
  <c r="FV122" i="4" s="1"/>
  <c r="FE122" i="4"/>
  <c r="FF122" i="4" s="1"/>
  <c r="FW122" i="4"/>
  <c r="FX122" i="4" s="1"/>
  <c r="FG122" i="4"/>
  <c r="FH122" i="4" s="1"/>
  <c r="GG122" i="4"/>
  <c r="GH122" i="4" s="1"/>
  <c r="FQ122" i="4"/>
  <c r="FR122" i="4" s="1"/>
  <c r="FA122" i="4"/>
  <c r="FB122" i="4" s="1"/>
  <c r="FW23" i="4"/>
  <c r="FX23" i="4" s="1"/>
  <c r="EY23" i="4"/>
  <c r="EZ23" i="4" s="1"/>
  <c r="GI23" i="4"/>
  <c r="GJ23" i="4" s="1"/>
  <c r="FI23" i="4"/>
  <c r="FJ23" i="4" s="1"/>
  <c r="AK113" i="4"/>
  <c r="AL113" i="4" s="1"/>
  <c r="CG22" i="4"/>
  <c r="CH22" i="4" s="1"/>
  <c r="CU22" i="4"/>
  <c r="CV22" i="4" s="1"/>
  <c r="DE22" i="4"/>
  <c r="DF22" i="4" s="1"/>
  <c r="CK22" i="4"/>
  <c r="CL22" i="4" s="1"/>
  <c r="DM22" i="4"/>
  <c r="DN22" i="4" s="1"/>
  <c r="CE22" i="4"/>
  <c r="CF22" i="4" s="1"/>
  <c r="DO22" i="4"/>
  <c r="DP22" i="4" s="1"/>
  <c r="DO97" i="4"/>
  <c r="DP97" i="4" s="1"/>
  <c r="CK97" i="4"/>
  <c r="CL97" i="4" s="1"/>
  <c r="DA97" i="4"/>
  <c r="DB97" i="4" s="1"/>
  <c r="DQ97" i="4"/>
  <c r="DR97" i="4" s="1"/>
  <c r="CM97" i="4"/>
  <c r="CN97" i="4" s="1"/>
  <c r="DC97" i="4"/>
  <c r="DD97" i="4" s="1"/>
  <c r="CG97" i="4"/>
  <c r="CH97" i="4" s="1"/>
  <c r="CI97" i="4"/>
  <c r="CJ97" i="4" s="1"/>
  <c r="CO97" i="4"/>
  <c r="CP97" i="4" s="1"/>
  <c r="DE97" i="4"/>
  <c r="DF97" i="4" s="1"/>
  <c r="CB97" i="4"/>
  <c r="CQ97" i="4"/>
  <c r="CR97" i="4" s="1"/>
  <c r="DG97" i="4"/>
  <c r="DH97" i="4" s="1"/>
  <c r="CC97" i="4"/>
  <c r="CD97" i="4" s="1"/>
  <c r="CS97" i="4"/>
  <c r="CT97" i="4" s="1"/>
  <c r="DI97" i="4"/>
  <c r="DJ97" i="4" s="1"/>
  <c r="CE97" i="4"/>
  <c r="CF97" i="4" s="1"/>
  <c r="CU97" i="4"/>
  <c r="CV97" i="4" s="1"/>
  <c r="DK97" i="4"/>
  <c r="DL97" i="4" s="1"/>
  <c r="CW97" i="4"/>
  <c r="CX97" i="4" s="1"/>
  <c r="DM97" i="4"/>
  <c r="DN97" i="4" s="1"/>
  <c r="CY97" i="4"/>
  <c r="CZ97" i="4" s="1"/>
  <c r="GA97" i="4"/>
  <c r="GB97" i="4" s="1"/>
  <c r="FK97" i="4"/>
  <c r="FL97" i="4" s="1"/>
  <c r="EU97" i="4"/>
  <c r="EV97" i="4" s="1"/>
  <c r="FU97" i="4"/>
  <c r="FV97" i="4" s="1"/>
  <c r="FE97" i="4"/>
  <c r="FF97" i="4" s="1"/>
  <c r="EW97" i="4"/>
  <c r="EX97" i="4" s="1"/>
  <c r="FO97" i="4"/>
  <c r="FP97" i="4" s="1"/>
  <c r="EY97" i="4"/>
  <c r="EZ97" i="4" s="1"/>
  <c r="FI97" i="4"/>
  <c r="FJ97" i="4" s="1"/>
  <c r="FW97" i="4"/>
  <c r="FX97" i="4" s="1"/>
  <c r="FG97" i="4"/>
  <c r="FH97" i="4" s="1"/>
  <c r="GG97" i="4"/>
  <c r="GH97" i="4" s="1"/>
  <c r="FQ97" i="4"/>
  <c r="FR97" i="4" s="1"/>
  <c r="FA97" i="4"/>
  <c r="FB97" i="4" s="1"/>
  <c r="GI97" i="4"/>
  <c r="GJ97" i="4" s="1"/>
  <c r="FS97" i="4"/>
  <c r="FT97" i="4" s="1"/>
  <c r="FC97" i="4"/>
  <c r="FD97" i="4" s="1"/>
  <c r="GC97" i="4"/>
  <c r="GD97" i="4" s="1"/>
  <c r="FM97" i="4"/>
  <c r="FN97" i="4" s="1"/>
  <c r="GE97" i="4"/>
  <c r="GF97" i="4" s="1"/>
  <c r="FY97" i="4"/>
  <c r="FZ97" i="4" s="1"/>
  <c r="ET97" i="4"/>
  <c r="DO64" i="4"/>
  <c r="DP64" i="4" s="1"/>
  <c r="CK64" i="4"/>
  <c r="CL64" i="4" s="1"/>
  <c r="DA64" i="4"/>
  <c r="DB64" i="4" s="1"/>
  <c r="DQ64" i="4"/>
  <c r="DR64" i="4" s="1"/>
  <c r="CM64" i="4"/>
  <c r="CN64" i="4" s="1"/>
  <c r="DC64" i="4"/>
  <c r="DD64" i="4" s="1"/>
  <c r="CE64" i="4"/>
  <c r="CF64" i="4" s="1"/>
  <c r="CO64" i="4"/>
  <c r="CP64" i="4" s="1"/>
  <c r="DE64" i="4"/>
  <c r="DF64" i="4" s="1"/>
  <c r="CB64" i="4"/>
  <c r="CQ64" i="4"/>
  <c r="CR64" i="4" s="1"/>
  <c r="DG64" i="4"/>
  <c r="DH64" i="4" s="1"/>
  <c r="CC64" i="4"/>
  <c r="CD64" i="4" s="1"/>
  <c r="CS64" i="4"/>
  <c r="CT64" i="4" s="1"/>
  <c r="CU64" i="4"/>
  <c r="CV64" i="4" s="1"/>
  <c r="CG64" i="4"/>
  <c r="CH64" i="4" s="1"/>
  <c r="CW64" i="4"/>
  <c r="CX64" i="4" s="1"/>
  <c r="DM64" i="4"/>
  <c r="DN64" i="4" s="1"/>
  <c r="CI64" i="4"/>
  <c r="CJ64" i="4" s="1"/>
  <c r="CY64" i="4"/>
  <c r="CZ64" i="4" s="1"/>
  <c r="DI64" i="4"/>
  <c r="DJ64" i="4" s="1"/>
  <c r="DK64" i="4"/>
  <c r="DL64" i="4" s="1"/>
  <c r="GA64" i="4"/>
  <c r="GB64" i="4" s="1"/>
  <c r="FK64" i="4"/>
  <c r="FL64" i="4" s="1"/>
  <c r="EU64" i="4"/>
  <c r="EV64" i="4" s="1"/>
  <c r="FU64" i="4"/>
  <c r="FV64" i="4" s="1"/>
  <c r="FE64" i="4"/>
  <c r="FF64" i="4" s="1"/>
  <c r="FW64" i="4"/>
  <c r="FX64" i="4" s="1"/>
  <c r="FG64" i="4"/>
  <c r="FH64" i="4" s="1"/>
  <c r="GG64" i="4"/>
  <c r="GH64" i="4" s="1"/>
  <c r="FQ64" i="4"/>
  <c r="FR64" i="4" s="1"/>
  <c r="FA64" i="4"/>
  <c r="FB64" i="4" s="1"/>
  <c r="FS64" i="4"/>
  <c r="FT64" i="4" s="1"/>
  <c r="FC64" i="4"/>
  <c r="FD64" i="4" s="1"/>
  <c r="FM64" i="4"/>
  <c r="FN64" i="4" s="1"/>
  <c r="GE64" i="4"/>
  <c r="GF64" i="4" s="1"/>
  <c r="FO64" i="4"/>
  <c r="FP64" i="4" s="1"/>
  <c r="EY64" i="4"/>
  <c r="EZ64" i="4" s="1"/>
  <c r="FY64" i="4"/>
  <c r="FZ64" i="4" s="1"/>
  <c r="FI64" i="4"/>
  <c r="FJ64" i="4" s="1"/>
  <c r="ET64" i="4"/>
  <c r="GI64" i="4"/>
  <c r="GJ64" i="4" s="1"/>
  <c r="GC64" i="4"/>
  <c r="GD64" i="4" s="1"/>
  <c r="EW64" i="4"/>
  <c r="EX64" i="4" s="1"/>
  <c r="DO44" i="4"/>
  <c r="DP44" i="4" s="1"/>
  <c r="CK44" i="4"/>
  <c r="CL44" i="4" s="1"/>
  <c r="DA44" i="4"/>
  <c r="DB44" i="4" s="1"/>
  <c r="DQ44" i="4"/>
  <c r="DR44" i="4" s="1"/>
  <c r="CM44" i="4"/>
  <c r="CN44" i="4" s="1"/>
  <c r="DC44" i="4"/>
  <c r="DD44" i="4" s="1"/>
  <c r="CO44" i="4"/>
  <c r="CP44" i="4" s="1"/>
  <c r="DE44" i="4"/>
  <c r="DF44" i="4" s="1"/>
  <c r="CB44" i="4"/>
  <c r="CQ44" i="4"/>
  <c r="CR44" i="4" s="1"/>
  <c r="DG44" i="4"/>
  <c r="DH44" i="4" s="1"/>
  <c r="CS44" i="4"/>
  <c r="CT44" i="4" s="1"/>
  <c r="CE44" i="4"/>
  <c r="CF44" i="4" s="1"/>
  <c r="DK44" i="4"/>
  <c r="DL44" i="4" s="1"/>
  <c r="CG44" i="4"/>
  <c r="CH44" i="4" s="1"/>
  <c r="CW44" i="4"/>
  <c r="CX44" i="4" s="1"/>
  <c r="DM44" i="4"/>
  <c r="DN44" i="4" s="1"/>
  <c r="CI44" i="4"/>
  <c r="CJ44" i="4" s="1"/>
  <c r="CY44" i="4"/>
  <c r="CZ44" i="4" s="1"/>
  <c r="CC44" i="4"/>
  <c r="CD44" i="4" s="1"/>
  <c r="DI44" i="4"/>
  <c r="DJ44" i="4" s="1"/>
  <c r="CU44" i="4"/>
  <c r="CV44" i="4" s="1"/>
  <c r="GA44" i="4"/>
  <c r="GB44" i="4" s="1"/>
  <c r="FK44" i="4"/>
  <c r="FL44" i="4" s="1"/>
  <c r="EU44" i="4"/>
  <c r="EV44" i="4" s="1"/>
  <c r="FU44" i="4"/>
  <c r="FV44" i="4" s="1"/>
  <c r="FE44" i="4"/>
  <c r="FF44" i="4" s="1"/>
  <c r="FW44" i="4"/>
  <c r="FX44" i="4" s="1"/>
  <c r="FG44" i="4"/>
  <c r="FH44" i="4" s="1"/>
  <c r="GG44" i="4"/>
  <c r="GH44" i="4" s="1"/>
  <c r="FQ44" i="4"/>
  <c r="FR44" i="4" s="1"/>
  <c r="FA44" i="4"/>
  <c r="FB44" i="4" s="1"/>
  <c r="GI44" i="4"/>
  <c r="GJ44" i="4" s="1"/>
  <c r="GC44" i="4"/>
  <c r="GD44" i="4" s="1"/>
  <c r="EW44" i="4"/>
  <c r="EX44" i="4" s="1"/>
  <c r="GE44" i="4"/>
  <c r="GF44" i="4" s="1"/>
  <c r="FO44" i="4"/>
  <c r="FP44" i="4" s="1"/>
  <c r="EY44" i="4"/>
  <c r="EZ44" i="4" s="1"/>
  <c r="FY44" i="4"/>
  <c r="FZ44" i="4" s="1"/>
  <c r="FI44" i="4"/>
  <c r="FJ44" i="4" s="1"/>
  <c r="ET44" i="4"/>
  <c r="FS44" i="4"/>
  <c r="FT44" i="4" s="1"/>
  <c r="FC44" i="4"/>
  <c r="FD44" i="4" s="1"/>
  <c r="FM44" i="4"/>
  <c r="FN44" i="4" s="1"/>
  <c r="DO40" i="4"/>
  <c r="DP40" i="4" s="1"/>
  <c r="CG40" i="4"/>
  <c r="CH40" i="4" s="1"/>
  <c r="CW40" i="4"/>
  <c r="CX40" i="4" s="1"/>
  <c r="DM40" i="4"/>
  <c r="DN40" i="4" s="1"/>
  <c r="CI40" i="4"/>
  <c r="CJ40" i="4" s="1"/>
  <c r="CY40" i="4"/>
  <c r="CZ40" i="4" s="1"/>
  <c r="DQ40" i="4"/>
  <c r="DR40" i="4" s="1"/>
  <c r="DC40" i="4"/>
  <c r="DD40" i="4" s="1"/>
  <c r="CQ40" i="4"/>
  <c r="CR40" i="4" s="1"/>
  <c r="CK40" i="4"/>
  <c r="CL40" i="4" s="1"/>
  <c r="DA40" i="4"/>
  <c r="DB40" i="4" s="1"/>
  <c r="CM40" i="4"/>
  <c r="CN40" i="4" s="1"/>
  <c r="CO40" i="4"/>
  <c r="CP40" i="4" s="1"/>
  <c r="DE40" i="4"/>
  <c r="DF40" i="4" s="1"/>
  <c r="CB40" i="4"/>
  <c r="DG40" i="4"/>
  <c r="DH40" i="4" s="1"/>
  <c r="CC40" i="4"/>
  <c r="CD40" i="4" s="1"/>
  <c r="CS40" i="4"/>
  <c r="CT40" i="4" s="1"/>
  <c r="DI40" i="4"/>
  <c r="DJ40" i="4" s="1"/>
  <c r="CE40" i="4"/>
  <c r="CF40" i="4" s="1"/>
  <c r="CU40" i="4"/>
  <c r="CV40" i="4" s="1"/>
  <c r="DK40" i="4"/>
  <c r="DL40" i="4" s="1"/>
  <c r="GE40" i="4"/>
  <c r="GF40" i="4" s="1"/>
  <c r="FO40" i="4"/>
  <c r="FP40" i="4" s="1"/>
  <c r="EY40" i="4"/>
  <c r="EZ40" i="4" s="1"/>
  <c r="FY40" i="4"/>
  <c r="FZ40" i="4" s="1"/>
  <c r="FI40" i="4"/>
  <c r="FJ40" i="4" s="1"/>
  <c r="ET40" i="4"/>
  <c r="GA40" i="4"/>
  <c r="GB40" i="4" s="1"/>
  <c r="EU40" i="4"/>
  <c r="EV40" i="4" s="1"/>
  <c r="FU40" i="4"/>
  <c r="FV40" i="4" s="1"/>
  <c r="FE40" i="4"/>
  <c r="FF40" i="4" s="1"/>
  <c r="GG40" i="4"/>
  <c r="GH40" i="4" s="1"/>
  <c r="FQ40" i="4"/>
  <c r="FR40" i="4" s="1"/>
  <c r="FK40" i="4"/>
  <c r="FL40" i="4" s="1"/>
  <c r="FW40" i="4"/>
  <c r="FX40" i="4" s="1"/>
  <c r="FA40" i="4"/>
  <c r="FB40" i="4" s="1"/>
  <c r="GI40" i="4"/>
  <c r="GJ40" i="4" s="1"/>
  <c r="FS40" i="4"/>
  <c r="FT40" i="4" s="1"/>
  <c r="FC40" i="4"/>
  <c r="FD40" i="4" s="1"/>
  <c r="GC40" i="4"/>
  <c r="GD40" i="4" s="1"/>
  <c r="FM40" i="4"/>
  <c r="FN40" i="4" s="1"/>
  <c r="EW40" i="4"/>
  <c r="EX40" i="4" s="1"/>
  <c r="FG40" i="4"/>
  <c r="FH40" i="4" s="1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O147" i="4"/>
  <c r="DP147" i="4" s="1"/>
  <c r="DC147" i="4"/>
  <c r="DD147" i="4" s="1"/>
  <c r="CQ147" i="4"/>
  <c r="CR147" i="4" s="1"/>
  <c r="CE147" i="4"/>
  <c r="CF147" i="4" s="1"/>
  <c r="DK147" i="4"/>
  <c r="DL147" i="4" s="1"/>
  <c r="CY147" i="4"/>
  <c r="CZ147" i="4" s="1"/>
  <c r="CM147" i="4"/>
  <c r="CN147" i="4" s="1"/>
  <c r="CB147" i="4"/>
  <c r="DG147" i="4"/>
  <c r="DH147" i="4" s="1"/>
  <c r="CU147" i="4"/>
  <c r="CV147" i="4" s="1"/>
  <c r="CI147" i="4"/>
  <c r="CJ147" i="4" s="1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GE147" i="4"/>
  <c r="GF147" i="4" s="1"/>
  <c r="FW147" i="4"/>
  <c r="FX147" i="4" s="1"/>
  <c r="FK147" i="4"/>
  <c r="FL147" i="4" s="1"/>
  <c r="FC147" i="4"/>
  <c r="FD147" i="4" s="1"/>
  <c r="GI147" i="4"/>
  <c r="GJ147" i="4" s="1"/>
  <c r="GA147" i="4"/>
  <c r="GB147" i="4" s="1"/>
  <c r="FS147" i="4"/>
  <c r="FT147" i="4" s="1"/>
  <c r="FG147" i="4"/>
  <c r="FH147" i="4" s="1"/>
  <c r="EY147" i="4"/>
  <c r="EZ147" i="4" s="1"/>
  <c r="FO147" i="4"/>
  <c r="FP147" i="4" s="1"/>
  <c r="EU147" i="4"/>
  <c r="EV147" i="4" s="1"/>
  <c r="GI125" i="4"/>
  <c r="GJ125" i="4" s="1"/>
  <c r="GE125" i="4"/>
  <c r="GF125" i="4" s="1"/>
  <c r="GA125" i="4"/>
  <c r="GB125" i="4" s="1"/>
  <c r="FW125" i="4"/>
  <c r="FX125" i="4" s="1"/>
  <c r="FS125" i="4"/>
  <c r="FT125" i="4" s="1"/>
  <c r="FO125" i="4"/>
  <c r="FP125" i="4" s="1"/>
  <c r="FK125" i="4"/>
  <c r="FL125" i="4" s="1"/>
  <c r="FG125" i="4"/>
  <c r="FH125" i="4" s="1"/>
  <c r="FC125" i="4"/>
  <c r="FD125" i="4" s="1"/>
  <c r="EY125" i="4"/>
  <c r="EZ125" i="4" s="1"/>
  <c r="EU125" i="4"/>
  <c r="EV125" i="4" s="1"/>
  <c r="GG125" i="4"/>
  <c r="GH125" i="4" s="1"/>
  <c r="GC125" i="4"/>
  <c r="GD125" i="4" s="1"/>
  <c r="FY125" i="4"/>
  <c r="FZ125" i="4" s="1"/>
  <c r="FU125" i="4"/>
  <c r="FV125" i="4" s="1"/>
  <c r="FQ125" i="4"/>
  <c r="FR125" i="4" s="1"/>
  <c r="FM125" i="4"/>
  <c r="FN125" i="4" s="1"/>
  <c r="FI125" i="4"/>
  <c r="FJ125" i="4" s="1"/>
  <c r="FE125" i="4"/>
  <c r="FF125" i="4" s="1"/>
  <c r="FA125" i="4"/>
  <c r="FB125" i="4" s="1"/>
  <c r="EW125" i="4"/>
  <c r="EX125" i="4" s="1"/>
  <c r="ET125" i="4"/>
  <c r="DO125" i="4"/>
  <c r="DP125" i="4" s="1"/>
  <c r="DK125" i="4"/>
  <c r="DL125" i="4" s="1"/>
  <c r="DG125" i="4"/>
  <c r="DH125" i="4" s="1"/>
  <c r="DC125" i="4"/>
  <c r="DD125" i="4" s="1"/>
  <c r="CY125" i="4"/>
  <c r="CZ125" i="4" s="1"/>
  <c r="CU125" i="4"/>
  <c r="CV125" i="4" s="1"/>
  <c r="CQ125" i="4"/>
  <c r="CR125" i="4" s="1"/>
  <c r="CM125" i="4"/>
  <c r="CN125" i="4" s="1"/>
  <c r="CI125" i="4"/>
  <c r="CJ125" i="4" s="1"/>
  <c r="CE125" i="4"/>
  <c r="CF125" i="4" s="1"/>
  <c r="CB125" i="4"/>
  <c r="DQ125" i="4"/>
  <c r="DR125" i="4" s="1"/>
  <c r="DM125" i="4"/>
  <c r="DN125" i="4" s="1"/>
  <c r="DI125" i="4"/>
  <c r="DJ125" i="4" s="1"/>
  <c r="DE125" i="4"/>
  <c r="DF125" i="4" s="1"/>
  <c r="DA125" i="4"/>
  <c r="DB125" i="4" s="1"/>
  <c r="CW125" i="4"/>
  <c r="CX125" i="4" s="1"/>
  <c r="CS125" i="4"/>
  <c r="CT125" i="4" s="1"/>
  <c r="CO125" i="4"/>
  <c r="CP125" i="4" s="1"/>
  <c r="CK125" i="4"/>
  <c r="CL125" i="4" s="1"/>
  <c r="CG125" i="4"/>
  <c r="CH125" i="4" s="1"/>
  <c r="CC125" i="4"/>
  <c r="CD125" i="4" s="1"/>
  <c r="CI22" i="4"/>
  <c r="CJ22" i="4" s="1"/>
  <c r="CY22" i="4"/>
  <c r="CZ22" i="4" s="1"/>
  <c r="DQ111" i="4"/>
  <c r="DR111" i="4" s="1"/>
  <c r="DM111" i="4"/>
  <c r="DN111" i="4" s="1"/>
  <c r="DI111" i="4"/>
  <c r="DJ111" i="4" s="1"/>
  <c r="DE111" i="4"/>
  <c r="DF111" i="4" s="1"/>
  <c r="DA111" i="4"/>
  <c r="DB111" i="4" s="1"/>
  <c r="CW111" i="4"/>
  <c r="CX111" i="4" s="1"/>
  <c r="CS111" i="4"/>
  <c r="CT111" i="4" s="1"/>
  <c r="CO111" i="4"/>
  <c r="CP111" i="4" s="1"/>
  <c r="CK111" i="4"/>
  <c r="CL111" i="4" s="1"/>
  <c r="CG111" i="4"/>
  <c r="CH111" i="4" s="1"/>
  <c r="CC111" i="4"/>
  <c r="CD111" i="4" s="1"/>
  <c r="DK111" i="4"/>
  <c r="DL111" i="4" s="1"/>
  <c r="CY111" i="4"/>
  <c r="CZ111" i="4" s="1"/>
  <c r="CU111" i="4"/>
  <c r="CV111" i="4" s="1"/>
  <c r="CI111" i="4"/>
  <c r="CJ111" i="4" s="1"/>
  <c r="CB111" i="4"/>
  <c r="DO111" i="4"/>
  <c r="DP111" i="4" s="1"/>
  <c r="DC111" i="4"/>
  <c r="DD111" i="4" s="1"/>
  <c r="CQ111" i="4"/>
  <c r="CR111" i="4" s="1"/>
  <c r="CE111" i="4"/>
  <c r="CF111" i="4" s="1"/>
  <c r="DG111" i="4"/>
  <c r="DH111" i="4" s="1"/>
  <c r="CM111" i="4"/>
  <c r="CN111" i="4" s="1"/>
  <c r="GG111" i="4"/>
  <c r="GH111" i="4" s="1"/>
  <c r="GC111" i="4"/>
  <c r="GD111" i="4" s="1"/>
  <c r="FY111" i="4"/>
  <c r="FZ111" i="4" s="1"/>
  <c r="FU111" i="4"/>
  <c r="FV111" i="4" s="1"/>
  <c r="FQ111" i="4"/>
  <c r="FR111" i="4" s="1"/>
  <c r="FM111" i="4"/>
  <c r="FN111" i="4" s="1"/>
  <c r="FI111" i="4"/>
  <c r="FJ111" i="4" s="1"/>
  <c r="FE111" i="4"/>
  <c r="FF111" i="4" s="1"/>
  <c r="FA111" i="4"/>
  <c r="FB111" i="4" s="1"/>
  <c r="EW111" i="4"/>
  <c r="EX111" i="4" s="1"/>
  <c r="ET111" i="4"/>
  <c r="GI111" i="4"/>
  <c r="GJ111" i="4" s="1"/>
  <c r="FW111" i="4"/>
  <c r="FX111" i="4" s="1"/>
  <c r="FO111" i="4"/>
  <c r="FP111" i="4" s="1"/>
  <c r="FG111" i="4"/>
  <c r="FH111" i="4" s="1"/>
  <c r="EU111" i="4"/>
  <c r="EV111" i="4" s="1"/>
  <c r="GE111" i="4"/>
  <c r="GF111" i="4" s="1"/>
  <c r="GA111" i="4"/>
  <c r="GB111" i="4" s="1"/>
  <c r="FS111" i="4"/>
  <c r="FT111" i="4" s="1"/>
  <c r="FK111" i="4"/>
  <c r="FL111" i="4" s="1"/>
  <c r="FC111" i="4"/>
  <c r="FD111" i="4" s="1"/>
  <c r="EY111" i="4"/>
  <c r="EZ111" i="4" s="1"/>
  <c r="FY155" i="4"/>
  <c r="FZ155" i="4" s="1"/>
  <c r="FI155" i="4"/>
  <c r="FJ155" i="4" s="1"/>
  <c r="ET155" i="4"/>
  <c r="FQ155" i="4"/>
  <c r="FR155" i="4" s="1"/>
  <c r="FU155" i="4"/>
  <c r="FV155" i="4" s="1"/>
  <c r="FE155" i="4"/>
  <c r="FF155" i="4" s="1"/>
  <c r="GC155" i="4"/>
  <c r="GD155" i="4" s="1"/>
  <c r="FM155" i="4"/>
  <c r="FN155" i="4" s="1"/>
  <c r="EW155" i="4"/>
  <c r="EX155" i="4" s="1"/>
  <c r="GG155" i="4"/>
  <c r="GH155" i="4" s="1"/>
  <c r="FA155" i="4"/>
  <c r="FB155" i="4" s="1"/>
  <c r="GE155" i="4"/>
  <c r="GF155" i="4" s="1"/>
  <c r="FO155" i="4"/>
  <c r="FP155" i="4" s="1"/>
  <c r="EY155" i="4"/>
  <c r="EZ155" i="4" s="1"/>
  <c r="FG155" i="4"/>
  <c r="FH155" i="4" s="1"/>
  <c r="GA155" i="4"/>
  <c r="GB155" i="4" s="1"/>
  <c r="FK155" i="4"/>
  <c r="FL155" i="4" s="1"/>
  <c r="EU155" i="4"/>
  <c r="EV155" i="4" s="1"/>
  <c r="FW155" i="4"/>
  <c r="FX155" i="4" s="1"/>
  <c r="GI155" i="4"/>
  <c r="GJ155" i="4" s="1"/>
  <c r="FS155" i="4"/>
  <c r="FT155" i="4" s="1"/>
  <c r="FC155" i="4"/>
  <c r="FD155" i="4" s="1"/>
  <c r="DO155" i="4"/>
  <c r="DP155" i="4" s="1"/>
  <c r="DQ155" i="4"/>
  <c r="DR155" i="4" s="1"/>
  <c r="DA155" i="4"/>
  <c r="DB155" i="4" s="1"/>
  <c r="CK155" i="4"/>
  <c r="CL155" i="4" s="1"/>
  <c r="DI155" i="4"/>
  <c r="DJ155" i="4" s="1"/>
  <c r="CC155" i="4"/>
  <c r="CD155" i="4" s="1"/>
  <c r="DM155" i="4"/>
  <c r="DN155" i="4" s="1"/>
  <c r="CW155" i="4"/>
  <c r="CX155" i="4" s="1"/>
  <c r="CG155" i="4"/>
  <c r="CH155" i="4" s="1"/>
  <c r="DE155" i="4"/>
  <c r="DF155" i="4" s="1"/>
  <c r="CO155" i="4"/>
  <c r="CP155" i="4" s="1"/>
  <c r="CS155" i="4"/>
  <c r="CT155" i="4" s="1"/>
  <c r="CE155" i="4"/>
  <c r="CF155" i="4" s="1"/>
  <c r="CU155" i="4"/>
  <c r="CV155" i="4" s="1"/>
  <c r="DK155" i="4"/>
  <c r="DL155" i="4" s="1"/>
  <c r="CM155" i="4"/>
  <c r="CN155" i="4" s="1"/>
  <c r="CI155" i="4"/>
  <c r="CJ155" i="4" s="1"/>
  <c r="CY155" i="4"/>
  <c r="CZ155" i="4" s="1"/>
  <c r="DC155" i="4"/>
  <c r="DD155" i="4" s="1"/>
  <c r="CB155" i="4"/>
  <c r="CQ155" i="4"/>
  <c r="CR155" i="4" s="1"/>
  <c r="DG155" i="4"/>
  <c r="DH155" i="4" s="1"/>
  <c r="DQ153" i="4"/>
  <c r="DR153" i="4" s="1"/>
  <c r="DM153" i="4"/>
  <c r="DN153" i="4" s="1"/>
  <c r="DI153" i="4"/>
  <c r="DJ153" i="4" s="1"/>
  <c r="DE153" i="4"/>
  <c r="DF153" i="4" s="1"/>
  <c r="DA153" i="4"/>
  <c r="DB153" i="4" s="1"/>
  <c r="CW153" i="4"/>
  <c r="CX153" i="4" s="1"/>
  <c r="CS153" i="4"/>
  <c r="CT153" i="4" s="1"/>
  <c r="CO153" i="4"/>
  <c r="CP153" i="4" s="1"/>
  <c r="CK153" i="4"/>
  <c r="CL153" i="4" s="1"/>
  <c r="CG153" i="4"/>
  <c r="CH153" i="4" s="1"/>
  <c r="CC153" i="4"/>
  <c r="CD153" i="4" s="1"/>
  <c r="DG153" i="4"/>
  <c r="DH153" i="4" s="1"/>
  <c r="CU153" i="4"/>
  <c r="CV153" i="4" s="1"/>
  <c r="CI153" i="4"/>
  <c r="CJ153" i="4" s="1"/>
  <c r="DK153" i="4"/>
  <c r="DL153" i="4" s="1"/>
  <c r="CY153" i="4"/>
  <c r="CZ153" i="4" s="1"/>
  <c r="CQ153" i="4"/>
  <c r="CR153" i="4" s="1"/>
  <c r="CE153" i="4"/>
  <c r="CF153" i="4" s="1"/>
  <c r="DO153" i="4"/>
  <c r="DP153" i="4" s="1"/>
  <c r="DC153" i="4"/>
  <c r="DD153" i="4" s="1"/>
  <c r="CM153" i="4"/>
  <c r="CN153" i="4" s="1"/>
  <c r="CB153" i="4"/>
  <c r="GG153" i="4"/>
  <c r="GH153" i="4" s="1"/>
  <c r="GC153" i="4"/>
  <c r="GD153" i="4" s="1"/>
  <c r="FY153" i="4"/>
  <c r="FZ153" i="4" s="1"/>
  <c r="FU153" i="4"/>
  <c r="FV153" i="4" s="1"/>
  <c r="FQ153" i="4"/>
  <c r="FR153" i="4" s="1"/>
  <c r="FM153" i="4"/>
  <c r="FN153" i="4" s="1"/>
  <c r="FI153" i="4"/>
  <c r="FJ153" i="4" s="1"/>
  <c r="FE153" i="4"/>
  <c r="FF153" i="4" s="1"/>
  <c r="FA153" i="4"/>
  <c r="FB153" i="4" s="1"/>
  <c r="EW153" i="4"/>
  <c r="EX153" i="4" s="1"/>
  <c r="ET153" i="4"/>
  <c r="FK153" i="4"/>
  <c r="FL153" i="4" s="1"/>
  <c r="EU153" i="4"/>
  <c r="EV153" i="4" s="1"/>
  <c r="GI153" i="4"/>
  <c r="GJ153" i="4" s="1"/>
  <c r="FW153" i="4"/>
  <c r="FX153" i="4" s="1"/>
  <c r="FO153" i="4"/>
  <c r="FP153" i="4" s="1"/>
  <c r="FC153" i="4"/>
  <c r="FD153" i="4" s="1"/>
  <c r="GE153" i="4"/>
  <c r="GF153" i="4" s="1"/>
  <c r="GA153" i="4"/>
  <c r="GB153" i="4" s="1"/>
  <c r="FS153" i="4"/>
  <c r="FT153" i="4" s="1"/>
  <c r="FG153" i="4"/>
  <c r="FH153" i="4" s="1"/>
  <c r="EY153" i="4"/>
  <c r="EZ153" i="4" s="1"/>
  <c r="DQ145" i="4"/>
  <c r="DR145" i="4" s="1"/>
  <c r="DM145" i="4"/>
  <c r="DN145" i="4" s="1"/>
  <c r="DI145" i="4"/>
  <c r="DJ145" i="4" s="1"/>
  <c r="DE145" i="4"/>
  <c r="DF145" i="4" s="1"/>
  <c r="DA145" i="4"/>
  <c r="DB145" i="4" s="1"/>
  <c r="CW145" i="4"/>
  <c r="CX145" i="4" s="1"/>
  <c r="CS145" i="4"/>
  <c r="CT145" i="4" s="1"/>
  <c r="CO145" i="4"/>
  <c r="CP145" i="4" s="1"/>
  <c r="CK145" i="4"/>
  <c r="CL145" i="4" s="1"/>
  <c r="CG145" i="4"/>
  <c r="CH145" i="4" s="1"/>
  <c r="CC145" i="4"/>
  <c r="CD145" i="4" s="1"/>
  <c r="DK145" i="4"/>
  <c r="DL145" i="4" s="1"/>
  <c r="CY145" i="4"/>
  <c r="CZ145" i="4" s="1"/>
  <c r="CI145" i="4"/>
  <c r="CJ145" i="4" s="1"/>
  <c r="DO145" i="4"/>
  <c r="DP145" i="4" s="1"/>
  <c r="DC145" i="4"/>
  <c r="DD145" i="4" s="1"/>
  <c r="CQ145" i="4"/>
  <c r="CR145" i="4" s="1"/>
  <c r="CE145" i="4"/>
  <c r="CF145" i="4" s="1"/>
  <c r="DG145" i="4"/>
  <c r="DH145" i="4" s="1"/>
  <c r="CU145" i="4"/>
  <c r="CV145" i="4" s="1"/>
  <c r="CM145" i="4"/>
  <c r="CN145" i="4" s="1"/>
  <c r="CB145" i="4"/>
  <c r="GG145" i="4"/>
  <c r="GH145" i="4" s="1"/>
  <c r="GC145" i="4"/>
  <c r="GD145" i="4" s="1"/>
  <c r="FY145" i="4"/>
  <c r="FZ145" i="4" s="1"/>
  <c r="FU145" i="4"/>
  <c r="FV145" i="4" s="1"/>
  <c r="FQ145" i="4"/>
  <c r="FR145" i="4" s="1"/>
  <c r="FM145" i="4"/>
  <c r="FN145" i="4" s="1"/>
  <c r="FI145" i="4"/>
  <c r="FJ145" i="4" s="1"/>
  <c r="FE145" i="4"/>
  <c r="FF145" i="4" s="1"/>
  <c r="FA145" i="4"/>
  <c r="FB145" i="4" s="1"/>
  <c r="EW145" i="4"/>
  <c r="EX145" i="4" s="1"/>
  <c r="ET145" i="4"/>
  <c r="FK145" i="4"/>
  <c r="FL145" i="4" s="1"/>
  <c r="GI145" i="4"/>
  <c r="GJ145" i="4" s="1"/>
  <c r="FW145" i="4"/>
  <c r="FX145" i="4" s="1"/>
  <c r="FO145" i="4"/>
  <c r="FP145" i="4" s="1"/>
  <c r="FC145" i="4"/>
  <c r="FD145" i="4" s="1"/>
  <c r="EY145" i="4"/>
  <c r="EZ145" i="4" s="1"/>
  <c r="GE145" i="4"/>
  <c r="GF145" i="4" s="1"/>
  <c r="GA145" i="4"/>
  <c r="GB145" i="4" s="1"/>
  <c r="FS145" i="4"/>
  <c r="FT145" i="4" s="1"/>
  <c r="FG145" i="4"/>
  <c r="FH145" i="4" s="1"/>
  <c r="EU145" i="4"/>
  <c r="EV145" i="4" s="1"/>
  <c r="GG144" i="4"/>
  <c r="GH144" i="4" s="1"/>
  <c r="GC144" i="4"/>
  <c r="GD144" i="4" s="1"/>
  <c r="FY144" i="4"/>
  <c r="FZ144" i="4" s="1"/>
  <c r="FU144" i="4"/>
  <c r="FV144" i="4" s="1"/>
  <c r="FQ144" i="4"/>
  <c r="FR144" i="4" s="1"/>
  <c r="FM144" i="4"/>
  <c r="FN144" i="4" s="1"/>
  <c r="FI144" i="4"/>
  <c r="FJ144" i="4" s="1"/>
  <c r="FE144" i="4"/>
  <c r="FF144" i="4" s="1"/>
  <c r="FA144" i="4"/>
  <c r="FB144" i="4" s="1"/>
  <c r="EW144" i="4"/>
  <c r="EX144" i="4" s="1"/>
  <c r="ET144" i="4"/>
  <c r="GI144" i="4"/>
  <c r="GJ144" i="4" s="1"/>
  <c r="GE144" i="4"/>
  <c r="GF144" i="4" s="1"/>
  <c r="GA144" i="4"/>
  <c r="GB144" i="4" s="1"/>
  <c r="FW144" i="4"/>
  <c r="FX144" i="4" s="1"/>
  <c r="FS144" i="4"/>
  <c r="FT144" i="4" s="1"/>
  <c r="FO144" i="4"/>
  <c r="FP144" i="4" s="1"/>
  <c r="FK144" i="4"/>
  <c r="FL144" i="4" s="1"/>
  <c r="FG144" i="4"/>
  <c r="FH144" i="4" s="1"/>
  <c r="FC144" i="4"/>
  <c r="FD144" i="4" s="1"/>
  <c r="EY144" i="4"/>
  <c r="EZ144" i="4" s="1"/>
  <c r="EU144" i="4"/>
  <c r="EV144" i="4" s="1"/>
  <c r="DQ144" i="4"/>
  <c r="DR144" i="4" s="1"/>
  <c r="DM144" i="4"/>
  <c r="DN144" i="4" s="1"/>
  <c r="DI144" i="4"/>
  <c r="DJ144" i="4" s="1"/>
  <c r="DE144" i="4"/>
  <c r="DF144" i="4" s="1"/>
  <c r="DA144" i="4"/>
  <c r="DB144" i="4" s="1"/>
  <c r="CW144" i="4"/>
  <c r="CX144" i="4" s="1"/>
  <c r="CS144" i="4"/>
  <c r="CT144" i="4" s="1"/>
  <c r="CO144" i="4"/>
  <c r="CP144" i="4" s="1"/>
  <c r="CK144" i="4"/>
  <c r="CL144" i="4" s="1"/>
  <c r="CG144" i="4"/>
  <c r="CH144" i="4" s="1"/>
  <c r="CC144" i="4"/>
  <c r="CD144" i="4" s="1"/>
  <c r="DO144" i="4"/>
  <c r="DP144" i="4" s="1"/>
  <c r="DK144" i="4"/>
  <c r="DL144" i="4" s="1"/>
  <c r="DG144" i="4"/>
  <c r="DH144" i="4" s="1"/>
  <c r="DC144" i="4"/>
  <c r="DD144" i="4" s="1"/>
  <c r="CY144" i="4"/>
  <c r="CZ144" i="4" s="1"/>
  <c r="CU144" i="4"/>
  <c r="CV144" i="4" s="1"/>
  <c r="CQ144" i="4"/>
  <c r="CR144" i="4" s="1"/>
  <c r="CM144" i="4"/>
  <c r="CN144" i="4" s="1"/>
  <c r="CI144" i="4"/>
  <c r="CJ144" i="4" s="1"/>
  <c r="CE144" i="4"/>
  <c r="CF144" i="4" s="1"/>
  <c r="CB144" i="4"/>
  <c r="ER143" i="4"/>
  <c r="ES143" i="4" s="1"/>
  <c r="CA143" i="4"/>
  <c r="AY148" i="4"/>
  <c r="AZ148" i="4" s="1"/>
  <c r="AU148" i="4"/>
  <c r="AV148" i="4" s="1"/>
  <c r="AQ148" i="4"/>
  <c r="AR148" i="4" s="1"/>
  <c r="AM148" i="4"/>
  <c r="AN148" i="4" s="1"/>
  <c r="AI148" i="4"/>
  <c r="AJ148" i="4" s="1"/>
  <c r="AE148" i="4"/>
  <c r="AF148" i="4" s="1"/>
  <c r="AA148" i="4"/>
  <c r="AB148" i="4" s="1"/>
  <c r="W148" i="4"/>
  <c r="X148" i="4" s="1"/>
  <c r="S148" i="4"/>
  <c r="T148" i="4" s="1"/>
  <c r="O148" i="4"/>
  <c r="P148" i="4" s="1"/>
  <c r="K148" i="4"/>
  <c r="L148" i="4" s="1"/>
  <c r="AK148" i="4"/>
  <c r="AL148" i="4" s="1"/>
  <c r="U148" i="4"/>
  <c r="V148" i="4" s="1"/>
  <c r="AS148" i="4"/>
  <c r="AT148" i="4" s="1"/>
  <c r="AW148" i="4"/>
  <c r="AX148" i="4" s="1"/>
  <c r="AG148" i="4"/>
  <c r="AH148" i="4" s="1"/>
  <c r="Q148" i="4"/>
  <c r="R148" i="4" s="1"/>
  <c r="M148" i="4"/>
  <c r="N148" i="4" s="1"/>
  <c r="AO148" i="4"/>
  <c r="AP148" i="4" s="1"/>
  <c r="Y148" i="4"/>
  <c r="Z148" i="4" s="1"/>
  <c r="J148" i="4"/>
  <c r="AC148" i="4"/>
  <c r="AD148" i="4" s="1"/>
  <c r="AY143" i="4"/>
  <c r="AZ143" i="4" s="1"/>
  <c r="AU143" i="4"/>
  <c r="AV143" i="4" s="1"/>
  <c r="AQ143" i="4"/>
  <c r="AR143" i="4" s="1"/>
  <c r="AM143" i="4"/>
  <c r="AN143" i="4" s="1"/>
  <c r="AI143" i="4"/>
  <c r="AJ143" i="4" s="1"/>
  <c r="AE143" i="4"/>
  <c r="AF143" i="4" s="1"/>
  <c r="AA143" i="4"/>
  <c r="AB143" i="4" s="1"/>
  <c r="W143" i="4"/>
  <c r="X143" i="4" s="1"/>
  <c r="S143" i="4"/>
  <c r="T143" i="4" s="1"/>
  <c r="O143" i="4"/>
  <c r="P143" i="4" s="1"/>
  <c r="K143" i="4"/>
  <c r="L143" i="4" s="1"/>
  <c r="AW143" i="4"/>
  <c r="AX143" i="4" s="1"/>
  <c r="AS143" i="4"/>
  <c r="AT143" i="4" s="1"/>
  <c r="AO143" i="4"/>
  <c r="AP143" i="4" s="1"/>
  <c r="AK143" i="4"/>
  <c r="AL143" i="4" s="1"/>
  <c r="AG143" i="4"/>
  <c r="AH143" i="4" s="1"/>
  <c r="AC143" i="4"/>
  <c r="AD143" i="4" s="1"/>
  <c r="Y143" i="4"/>
  <c r="Z143" i="4" s="1"/>
  <c r="U143" i="4"/>
  <c r="V143" i="4" s="1"/>
  <c r="Q143" i="4"/>
  <c r="R143" i="4" s="1"/>
  <c r="M143" i="4"/>
  <c r="N143" i="4" s="1"/>
  <c r="J143" i="4"/>
  <c r="CA148" i="4"/>
  <c r="ER148" i="4"/>
  <c r="ES148" i="4" s="1"/>
  <c r="ER57" i="4"/>
  <c r="ES57" i="4" s="1"/>
  <c r="CA57" i="4"/>
  <c r="ER60" i="4"/>
  <c r="ES60" i="4" s="1"/>
  <c r="CA60" i="4"/>
  <c r="AY57" i="4"/>
  <c r="AZ57" i="4" s="1"/>
  <c r="AU57" i="4"/>
  <c r="AV57" i="4" s="1"/>
  <c r="AQ57" i="4"/>
  <c r="AR57" i="4" s="1"/>
  <c r="AM57" i="4"/>
  <c r="AN57" i="4" s="1"/>
  <c r="AI57" i="4"/>
  <c r="AJ57" i="4" s="1"/>
  <c r="AE57" i="4"/>
  <c r="AF57" i="4" s="1"/>
  <c r="AA57" i="4"/>
  <c r="AB57" i="4" s="1"/>
  <c r="W57" i="4"/>
  <c r="X57" i="4" s="1"/>
  <c r="S57" i="4"/>
  <c r="T57" i="4" s="1"/>
  <c r="O57" i="4"/>
  <c r="P57" i="4" s="1"/>
  <c r="K57" i="4"/>
  <c r="L57" i="4" s="1"/>
  <c r="AW57" i="4"/>
  <c r="AX57" i="4" s="1"/>
  <c r="AS57" i="4"/>
  <c r="AT57" i="4" s="1"/>
  <c r="AO57" i="4"/>
  <c r="AP57" i="4" s="1"/>
  <c r="AK57" i="4"/>
  <c r="AL57" i="4" s="1"/>
  <c r="AG57" i="4"/>
  <c r="AH57" i="4" s="1"/>
  <c r="AC57" i="4"/>
  <c r="AD57" i="4" s="1"/>
  <c r="Y57" i="4"/>
  <c r="Z57" i="4" s="1"/>
  <c r="U57" i="4"/>
  <c r="V57" i="4" s="1"/>
  <c r="Q57" i="4"/>
  <c r="R57" i="4" s="1"/>
  <c r="M57" i="4"/>
  <c r="N57" i="4" s="1"/>
  <c r="J57" i="4"/>
  <c r="AW60" i="4"/>
  <c r="AX60" i="4" s="1"/>
  <c r="AS60" i="4"/>
  <c r="AT60" i="4" s="1"/>
  <c r="AO60" i="4"/>
  <c r="AP60" i="4" s="1"/>
  <c r="AK60" i="4"/>
  <c r="AL60" i="4" s="1"/>
  <c r="AG60" i="4"/>
  <c r="AH60" i="4" s="1"/>
  <c r="AC60" i="4"/>
  <c r="AD60" i="4" s="1"/>
  <c r="Y60" i="4"/>
  <c r="Z60" i="4" s="1"/>
  <c r="U60" i="4"/>
  <c r="V60" i="4" s="1"/>
  <c r="Q60" i="4"/>
  <c r="R60" i="4" s="1"/>
  <c r="M60" i="4"/>
  <c r="N60" i="4" s="1"/>
  <c r="J60" i="4"/>
  <c r="AU60" i="4"/>
  <c r="AV60" i="4" s="1"/>
  <c r="AE60" i="4"/>
  <c r="AF60" i="4" s="1"/>
  <c r="O60" i="4"/>
  <c r="P60" i="4" s="1"/>
  <c r="AM60" i="4"/>
  <c r="AN60" i="4" s="1"/>
  <c r="AQ60" i="4"/>
  <c r="AR60" i="4" s="1"/>
  <c r="AA60" i="4"/>
  <c r="AB60" i="4" s="1"/>
  <c r="K60" i="4"/>
  <c r="L60" i="4" s="1"/>
  <c r="AY60" i="4"/>
  <c r="AZ60" i="4" s="1"/>
  <c r="AI60" i="4"/>
  <c r="AJ60" i="4" s="1"/>
  <c r="S60" i="4"/>
  <c r="T60" i="4" s="1"/>
  <c r="W60" i="4"/>
  <c r="X60" i="4" s="1"/>
  <c r="CG140" i="4"/>
  <c r="CH140" i="4" s="1"/>
  <c r="CO140" i="4"/>
  <c r="CP140" i="4" s="1"/>
  <c r="CQ140" i="4"/>
  <c r="CR140" i="4" s="1"/>
  <c r="DM140" i="4"/>
  <c r="DN140" i="4" s="1"/>
  <c r="DO137" i="4"/>
  <c r="DP137" i="4" s="1"/>
  <c r="DK137" i="4"/>
  <c r="DL137" i="4" s="1"/>
  <c r="DG137" i="4"/>
  <c r="DH137" i="4" s="1"/>
  <c r="DC137" i="4"/>
  <c r="DD137" i="4" s="1"/>
  <c r="CY137" i="4"/>
  <c r="CZ137" i="4" s="1"/>
  <c r="CU137" i="4"/>
  <c r="CV137" i="4" s="1"/>
  <c r="CQ137" i="4"/>
  <c r="CR137" i="4" s="1"/>
  <c r="CM137" i="4"/>
  <c r="CN137" i="4" s="1"/>
  <c r="CI137" i="4"/>
  <c r="CJ137" i="4" s="1"/>
  <c r="CE137" i="4"/>
  <c r="CF137" i="4" s="1"/>
  <c r="CB137" i="4"/>
  <c r="DQ137" i="4"/>
  <c r="DR137" i="4" s="1"/>
  <c r="DM137" i="4"/>
  <c r="DN137" i="4" s="1"/>
  <c r="DI137" i="4"/>
  <c r="DJ137" i="4" s="1"/>
  <c r="DE137" i="4"/>
  <c r="DF137" i="4" s="1"/>
  <c r="DA137" i="4"/>
  <c r="DB137" i="4" s="1"/>
  <c r="CW137" i="4"/>
  <c r="CX137" i="4" s="1"/>
  <c r="CS137" i="4"/>
  <c r="CT137" i="4" s="1"/>
  <c r="CO137" i="4"/>
  <c r="CP137" i="4" s="1"/>
  <c r="CK137" i="4"/>
  <c r="CL137" i="4" s="1"/>
  <c r="CG137" i="4"/>
  <c r="CH137" i="4" s="1"/>
  <c r="CC137" i="4"/>
  <c r="CD137" i="4" s="1"/>
  <c r="GI137" i="4"/>
  <c r="GJ137" i="4" s="1"/>
  <c r="GE137" i="4"/>
  <c r="GF137" i="4" s="1"/>
  <c r="GA137" i="4"/>
  <c r="GB137" i="4" s="1"/>
  <c r="FW137" i="4"/>
  <c r="FX137" i="4" s="1"/>
  <c r="FS137" i="4"/>
  <c r="FT137" i="4" s="1"/>
  <c r="FO137" i="4"/>
  <c r="FP137" i="4" s="1"/>
  <c r="FK137" i="4"/>
  <c r="FL137" i="4" s="1"/>
  <c r="FG137" i="4"/>
  <c r="FH137" i="4" s="1"/>
  <c r="FC137" i="4"/>
  <c r="FD137" i="4" s="1"/>
  <c r="EY137" i="4"/>
  <c r="EZ137" i="4" s="1"/>
  <c r="EU137" i="4"/>
  <c r="EV137" i="4" s="1"/>
  <c r="GG137" i="4"/>
  <c r="GH137" i="4" s="1"/>
  <c r="GC137" i="4"/>
  <c r="GD137" i="4" s="1"/>
  <c r="FY137" i="4"/>
  <c r="FZ137" i="4" s="1"/>
  <c r="FU137" i="4"/>
  <c r="FV137" i="4" s="1"/>
  <c r="FQ137" i="4"/>
  <c r="FR137" i="4" s="1"/>
  <c r="FM137" i="4"/>
  <c r="FN137" i="4" s="1"/>
  <c r="FI137" i="4"/>
  <c r="FJ137" i="4" s="1"/>
  <c r="FE137" i="4"/>
  <c r="FF137" i="4" s="1"/>
  <c r="FA137" i="4"/>
  <c r="FB137" i="4" s="1"/>
  <c r="EW137" i="4"/>
  <c r="EX137" i="4" s="1"/>
  <c r="ET137" i="4"/>
  <c r="AW140" i="4"/>
  <c r="AX140" i="4" s="1"/>
  <c r="AG140" i="4"/>
  <c r="AH140" i="4" s="1"/>
  <c r="Q140" i="4"/>
  <c r="R140" i="4" s="1"/>
  <c r="AU140" i="4"/>
  <c r="AV140" i="4" s="1"/>
  <c r="AE140" i="4"/>
  <c r="AF140" i="4" s="1"/>
  <c r="O140" i="4"/>
  <c r="P140" i="4" s="1"/>
  <c r="AO140" i="4"/>
  <c r="AP140" i="4" s="1"/>
  <c r="Y140" i="4"/>
  <c r="Z140" i="4" s="1"/>
  <c r="AM140" i="4"/>
  <c r="AN140" i="4" s="1"/>
  <c r="AS140" i="4"/>
  <c r="AT140" i="4" s="1"/>
  <c r="AC140" i="4"/>
  <c r="AD140" i="4" s="1"/>
  <c r="M140" i="4"/>
  <c r="N140" i="4" s="1"/>
  <c r="AQ140" i="4"/>
  <c r="AR140" i="4" s="1"/>
  <c r="AA140" i="4"/>
  <c r="AB140" i="4" s="1"/>
  <c r="K140" i="4"/>
  <c r="L140" i="4" s="1"/>
  <c r="J140" i="4"/>
  <c r="W140" i="4"/>
  <c r="X140" i="4" s="1"/>
  <c r="AK140" i="4"/>
  <c r="AL140" i="4" s="1"/>
  <c r="U140" i="4"/>
  <c r="V140" i="4" s="1"/>
  <c r="AY140" i="4"/>
  <c r="AZ140" i="4" s="1"/>
  <c r="AI140" i="4"/>
  <c r="AJ140" i="4" s="1"/>
  <c r="S140" i="4"/>
  <c r="T140" i="4" s="1"/>
  <c r="CB140" i="4"/>
  <c r="DG140" i="4"/>
  <c r="DH140" i="4" s="1"/>
  <c r="CW140" i="4"/>
  <c r="CX140" i="4" s="1"/>
  <c r="CI140" i="4"/>
  <c r="CJ140" i="4" s="1"/>
  <c r="DO140" i="4"/>
  <c r="DP140" i="4" s="1"/>
  <c r="DE140" i="4"/>
  <c r="DF140" i="4" s="1"/>
  <c r="CM140" i="4"/>
  <c r="CN140" i="4" s="1"/>
  <c r="DC140" i="4"/>
  <c r="DD140" i="4" s="1"/>
  <c r="CC140" i="4"/>
  <c r="CD140" i="4" s="1"/>
  <c r="CS140" i="4"/>
  <c r="CT140" i="4" s="1"/>
  <c r="DI140" i="4"/>
  <c r="DJ140" i="4" s="1"/>
  <c r="DQ135" i="4"/>
  <c r="DR135" i="4" s="1"/>
  <c r="DM135" i="4"/>
  <c r="DN135" i="4" s="1"/>
  <c r="DI135" i="4"/>
  <c r="DJ135" i="4" s="1"/>
  <c r="DE135" i="4"/>
  <c r="DF135" i="4" s="1"/>
  <c r="DA135" i="4"/>
  <c r="DB135" i="4" s="1"/>
  <c r="CW135" i="4"/>
  <c r="CX135" i="4" s="1"/>
  <c r="CS135" i="4"/>
  <c r="CT135" i="4" s="1"/>
  <c r="CO135" i="4"/>
  <c r="CP135" i="4" s="1"/>
  <c r="CK135" i="4"/>
  <c r="CL135" i="4" s="1"/>
  <c r="CG135" i="4"/>
  <c r="CH135" i="4" s="1"/>
  <c r="CC135" i="4"/>
  <c r="CD135" i="4" s="1"/>
  <c r="DO135" i="4"/>
  <c r="DP135" i="4" s="1"/>
  <c r="DC135" i="4"/>
  <c r="DD135" i="4" s="1"/>
  <c r="CQ135" i="4"/>
  <c r="CR135" i="4" s="1"/>
  <c r="CB135" i="4"/>
  <c r="DK135" i="4"/>
  <c r="DL135" i="4" s="1"/>
  <c r="CY135" i="4"/>
  <c r="CZ135" i="4" s="1"/>
  <c r="CM135" i="4"/>
  <c r="CN135" i="4" s="1"/>
  <c r="CE135" i="4"/>
  <c r="CF135" i="4" s="1"/>
  <c r="DG135" i="4"/>
  <c r="DH135" i="4" s="1"/>
  <c r="CU135" i="4"/>
  <c r="CV135" i="4" s="1"/>
  <c r="CI135" i="4"/>
  <c r="CJ135" i="4" s="1"/>
  <c r="CE140" i="4"/>
  <c r="CF140" i="4" s="1"/>
  <c r="CU140" i="4"/>
  <c r="CV140" i="4" s="1"/>
  <c r="DK140" i="4"/>
  <c r="DL140" i="4" s="1"/>
  <c r="CK140" i="4"/>
  <c r="CL140" i="4" s="1"/>
  <c r="DA140" i="4"/>
  <c r="DB140" i="4" s="1"/>
  <c r="GG135" i="4"/>
  <c r="GH135" i="4" s="1"/>
  <c r="GC135" i="4"/>
  <c r="GD135" i="4" s="1"/>
  <c r="FY135" i="4"/>
  <c r="FZ135" i="4" s="1"/>
  <c r="FU135" i="4"/>
  <c r="FV135" i="4" s="1"/>
  <c r="FQ135" i="4"/>
  <c r="FR135" i="4" s="1"/>
  <c r="FM135" i="4"/>
  <c r="FN135" i="4" s="1"/>
  <c r="FI135" i="4"/>
  <c r="FJ135" i="4" s="1"/>
  <c r="FE135" i="4"/>
  <c r="FF135" i="4" s="1"/>
  <c r="FA135" i="4"/>
  <c r="FB135" i="4" s="1"/>
  <c r="EW135" i="4"/>
  <c r="EX135" i="4" s="1"/>
  <c r="ET135" i="4"/>
  <c r="GE135" i="4"/>
  <c r="GF135" i="4" s="1"/>
  <c r="GA135" i="4"/>
  <c r="GB135" i="4" s="1"/>
  <c r="FW135" i="4"/>
  <c r="FX135" i="4" s="1"/>
  <c r="FK135" i="4"/>
  <c r="FL135" i="4" s="1"/>
  <c r="FC135" i="4"/>
  <c r="FD135" i="4" s="1"/>
  <c r="GI135" i="4"/>
  <c r="GJ135" i="4" s="1"/>
  <c r="FS135" i="4"/>
  <c r="FT135" i="4" s="1"/>
  <c r="FG135" i="4"/>
  <c r="FH135" i="4" s="1"/>
  <c r="EU135" i="4"/>
  <c r="EV135" i="4" s="1"/>
  <c r="FO135" i="4"/>
  <c r="FP135" i="4" s="1"/>
  <c r="EY135" i="4"/>
  <c r="EZ135" i="4" s="1"/>
  <c r="FC23" i="4"/>
  <c r="FD23" i="4" s="1"/>
  <c r="FQ23" i="4"/>
  <c r="FR23" i="4" s="1"/>
  <c r="FS23" i="4"/>
  <c r="FT23" i="4" s="1"/>
  <c r="FA23" i="4"/>
  <c r="FB23" i="4" s="1"/>
  <c r="GG23" i="4"/>
  <c r="GH23" i="4" s="1"/>
  <c r="GG126" i="4"/>
  <c r="GH126" i="4" s="1"/>
  <c r="GC126" i="4"/>
  <c r="GD126" i="4" s="1"/>
  <c r="FY126" i="4"/>
  <c r="FZ126" i="4" s="1"/>
  <c r="FU126" i="4"/>
  <c r="FV126" i="4" s="1"/>
  <c r="FQ126" i="4"/>
  <c r="FR126" i="4" s="1"/>
  <c r="FM126" i="4"/>
  <c r="FN126" i="4" s="1"/>
  <c r="FI126" i="4"/>
  <c r="FJ126" i="4" s="1"/>
  <c r="FE126" i="4"/>
  <c r="FF126" i="4" s="1"/>
  <c r="FA126" i="4"/>
  <c r="FB126" i="4" s="1"/>
  <c r="EW126" i="4"/>
  <c r="EX126" i="4" s="1"/>
  <c r="ET126" i="4"/>
  <c r="GI126" i="4"/>
  <c r="GJ126" i="4" s="1"/>
  <c r="GE126" i="4"/>
  <c r="GF126" i="4" s="1"/>
  <c r="GA126" i="4"/>
  <c r="GB126" i="4" s="1"/>
  <c r="FW126" i="4"/>
  <c r="FX126" i="4" s="1"/>
  <c r="FS126" i="4"/>
  <c r="FT126" i="4" s="1"/>
  <c r="FO126" i="4"/>
  <c r="FP126" i="4" s="1"/>
  <c r="FK126" i="4"/>
  <c r="FL126" i="4" s="1"/>
  <c r="FG126" i="4"/>
  <c r="FH126" i="4" s="1"/>
  <c r="FC126" i="4"/>
  <c r="FD126" i="4" s="1"/>
  <c r="EY126" i="4"/>
  <c r="EZ126" i="4" s="1"/>
  <c r="EU126" i="4"/>
  <c r="EV126" i="4" s="1"/>
  <c r="FO23" i="4"/>
  <c r="FP23" i="4" s="1"/>
  <c r="ET23" i="4"/>
  <c r="FU23" i="4"/>
  <c r="FV23" i="4" s="1"/>
  <c r="DQ126" i="4"/>
  <c r="DR126" i="4" s="1"/>
  <c r="DM126" i="4"/>
  <c r="DN126" i="4" s="1"/>
  <c r="DI126" i="4"/>
  <c r="DJ126" i="4" s="1"/>
  <c r="DE126" i="4"/>
  <c r="DF126" i="4" s="1"/>
  <c r="DA126" i="4"/>
  <c r="DB126" i="4" s="1"/>
  <c r="CW126" i="4"/>
  <c r="CX126" i="4" s="1"/>
  <c r="CS126" i="4"/>
  <c r="CT126" i="4" s="1"/>
  <c r="CO126" i="4"/>
  <c r="CP126" i="4" s="1"/>
  <c r="CK126" i="4"/>
  <c r="CL126" i="4" s="1"/>
  <c r="CG126" i="4"/>
  <c r="CH126" i="4" s="1"/>
  <c r="CC126" i="4"/>
  <c r="CD126" i="4" s="1"/>
  <c r="DO126" i="4"/>
  <c r="DP126" i="4" s="1"/>
  <c r="DK126" i="4"/>
  <c r="DL126" i="4" s="1"/>
  <c r="DG126" i="4"/>
  <c r="DH126" i="4" s="1"/>
  <c r="DC126" i="4"/>
  <c r="DD126" i="4" s="1"/>
  <c r="CY126" i="4"/>
  <c r="CZ126" i="4" s="1"/>
  <c r="CU126" i="4"/>
  <c r="CV126" i="4" s="1"/>
  <c r="CQ126" i="4"/>
  <c r="CR126" i="4" s="1"/>
  <c r="CM126" i="4"/>
  <c r="CN126" i="4" s="1"/>
  <c r="CI126" i="4"/>
  <c r="CJ126" i="4" s="1"/>
  <c r="CE126" i="4"/>
  <c r="CF126" i="4" s="1"/>
  <c r="CB126" i="4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DO118" i="4"/>
  <c r="DP118" i="4" s="1"/>
  <c r="CU118" i="4"/>
  <c r="CV118" i="4" s="1"/>
  <c r="CB118" i="4"/>
  <c r="DK118" i="4"/>
  <c r="DL118" i="4" s="1"/>
  <c r="DC118" i="4"/>
  <c r="DD118" i="4" s="1"/>
  <c r="CQ118" i="4"/>
  <c r="CR118" i="4" s="1"/>
  <c r="CE118" i="4"/>
  <c r="CF118" i="4" s="1"/>
  <c r="DG118" i="4"/>
  <c r="DH118" i="4" s="1"/>
  <c r="CY118" i="4"/>
  <c r="CZ118" i="4" s="1"/>
  <c r="CM118" i="4"/>
  <c r="CN118" i="4" s="1"/>
  <c r="CI118" i="4"/>
  <c r="CJ118" i="4" s="1"/>
  <c r="GG118" i="4"/>
  <c r="GH118" i="4" s="1"/>
  <c r="GC118" i="4"/>
  <c r="GD118" i="4" s="1"/>
  <c r="FY118" i="4"/>
  <c r="FZ118" i="4" s="1"/>
  <c r="FU118" i="4"/>
  <c r="FV118" i="4" s="1"/>
  <c r="FQ118" i="4"/>
  <c r="FR118" i="4" s="1"/>
  <c r="FM118" i="4"/>
  <c r="FN118" i="4" s="1"/>
  <c r="FI118" i="4"/>
  <c r="FJ118" i="4" s="1"/>
  <c r="FE118" i="4"/>
  <c r="FF118" i="4" s="1"/>
  <c r="FA118" i="4"/>
  <c r="FB118" i="4" s="1"/>
  <c r="EW118" i="4"/>
  <c r="EX118" i="4" s="1"/>
  <c r="ET118" i="4"/>
  <c r="FO118" i="4"/>
  <c r="FP118" i="4" s="1"/>
  <c r="GE118" i="4"/>
  <c r="GF118" i="4" s="1"/>
  <c r="FW118" i="4"/>
  <c r="FX118" i="4" s="1"/>
  <c r="FK118" i="4"/>
  <c r="FL118" i="4" s="1"/>
  <c r="FC118" i="4"/>
  <c r="FD118" i="4" s="1"/>
  <c r="EU118" i="4"/>
  <c r="EV118" i="4" s="1"/>
  <c r="GI118" i="4"/>
  <c r="GJ118" i="4" s="1"/>
  <c r="GA118" i="4"/>
  <c r="GB118" i="4" s="1"/>
  <c r="FS118" i="4"/>
  <c r="FT118" i="4" s="1"/>
  <c r="FG118" i="4"/>
  <c r="FH118" i="4" s="1"/>
  <c r="EY118" i="4"/>
  <c r="EZ118" i="4" s="1"/>
  <c r="FG23" i="4"/>
  <c r="FH23" i="4" s="1"/>
  <c r="GE23" i="4"/>
  <c r="GF23" i="4" s="1"/>
  <c r="FE23" i="4"/>
  <c r="FF23" i="4" s="1"/>
  <c r="FY23" i="4"/>
  <c r="FZ23" i="4" s="1"/>
  <c r="EU23" i="4"/>
  <c r="EV23" i="4" s="1"/>
  <c r="FK23" i="4"/>
  <c r="FL23" i="4" s="1"/>
  <c r="GA23" i="4"/>
  <c r="GB23" i="4" s="1"/>
  <c r="EW23" i="4"/>
  <c r="EX23" i="4" s="1"/>
  <c r="FM23" i="4"/>
  <c r="FN23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GI116" i="4"/>
  <c r="GJ116" i="4" s="1"/>
  <c r="GE116" i="4"/>
  <c r="GF116" i="4" s="1"/>
  <c r="GA116" i="4"/>
  <c r="GB116" i="4" s="1"/>
  <c r="FW116" i="4"/>
  <c r="FX116" i="4" s="1"/>
  <c r="FS116" i="4"/>
  <c r="FT116" i="4" s="1"/>
  <c r="FO116" i="4"/>
  <c r="FP116" i="4" s="1"/>
  <c r="FK116" i="4"/>
  <c r="FL116" i="4" s="1"/>
  <c r="FG116" i="4"/>
  <c r="FH116" i="4" s="1"/>
  <c r="FC116" i="4"/>
  <c r="FD116" i="4" s="1"/>
  <c r="EY116" i="4"/>
  <c r="EZ116" i="4" s="1"/>
  <c r="EU116" i="4"/>
  <c r="EV116" i="4" s="1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DO116" i="4"/>
  <c r="DP116" i="4" s="1"/>
  <c r="DK116" i="4"/>
  <c r="DL116" i="4" s="1"/>
  <c r="DG116" i="4"/>
  <c r="DH116" i="4" s="1"/>
  <c r="DC116" i="4"/>
  <c r="DD116" i="4" s="1"/>
  <c r="CY116" i="4"/>
  <c r="CZ116" i="4" s="1"/>
  <c r="CU116" i="4"/>
  <c r="CV116" i="4" s="1"/>
  <c r="CQ116" i="4"/>
  <c r="CR116" i="4" s="1"/>
  <c r="CM116" i="4"/>
  <c r="CN116" i="4" s="1"/>
  <c r="CI116" i="4"/>
  <c r="CJ116" i="4" s="1"/>
  <c r="CE116" i="4"/>
  <c r="CF116" i="4" s="1"/>
  <c r="CB116" i="4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DQ124" i="4"/>
  <c r="DR124" i="4" s="1"/>
  <c r="DM124" i="4"/>
  <c r="DN124" i="4" s="1"/>
  <c r="DI124" i="4"/>
  <c r="DJ124" i="4" s="1"/>
  <c r="DE124" i="4"/>
  <c r="DF124" i="4" s="1"/>
  <c r="DA124" i="4"/>
  <c r="DB124" i="4" s="1"/>
  <c r="DO124" i="4"/>
  <c r="DP124" i="4" s="1"/>
  <c r="DK124" i="4"/>
  <c r="DL124" i="4" s="1"/>
  <c r="DG124" i="4"/>
  <c r="DH124" i="4" s="1"/>
  <c r="DC124" i="4"/>
  <c r="DD124" i="4" s="1"/>
  <c r="CY124" i="4"/>
  <c r="CZ124" i="4" s="1"/>
  <c r="CU124" i="4"/>
  <c r="CV124" i="4" s="1"/>
  <c r="CQ124" i="4"/>
  <c r="CR124" i="4" s="1"/>
  <c r="CM124" i="4"/>
  <c r="CN124" i="4" s="1"/>
  <c r="CI124" i="4"/>
  <c r="CJ124" i="4" s="1"/>
  <c r="CE124" i="4"/>
  <c r="CF124" i="4" s="1"/>
  <c r="CB124" i="4"/>
  <c r="CS124" i="4"/>
  <c r="CT124" i="4" s="1"/>
  <c r="CC124" i="4"/>
  <c r="CD124" i="4" s="1"/>
  <c r="CO124" i="4"/>
  <c r="CP124" i="4" s="1"/>
  <c r="CW124" i="4"/>
  <c r="CX124" i="4" s="1"/>
  <c r="CG124" i="4"/>
  <c r="CH124" i="4" s="1"/>
  <c r="CK124" i="4"/>
  <c r="CL124" i="4" s="1"/>
  <c r="AW127" i="4"/>
  <c r="AX127" i="4" s="1"/>
  <c r="AS127" i="4"/>
  <c r="AT127" i="4" s="1"/>
  <c r="AO127" i="4"/>
  <c r="AP127" i="4" s="1"/>
  <c r="AK127" i="4"/>
  <c r="AL127" i="4" s="1"/>
  <c r="AG127" i="4"/>
  <c r="AH127" i="4" s="1"/>
  <c r="AC127" i="4"/>
  <c r="AD127" i="4" s="1"/>
  <c r="Y127" i="4"/>
  <c r="Z127" i="4" s="1"/>
  <c r="U127" i="4"/>
  <c r="V127" i="4" s="1"/>
  <c r="Q127" i="4"/>
  <c r="R127" i="4" s="1"/>
  <c r="M127" i="4"/>
  <c r="N127" i="4" s="1"/>
  <c r="J127" i="4"/>
  <c r="AY127" i="4"/>
  <c r="AZ127" i="4" s="1"/>
  <c r="AI127" i="4"/>
  <c r="AJ127" i="4" s="1"/>
  <c r="S127" i="4"/>
  <c r="T127" i="4" s="1"/>
  <c r="K127" i="4"/>
  <c r="L127" i="4" s="1"/>
  <c r="AU127" i="4"/>
  <c r="AV127" i="4" s="1"/>
  <c r="AE127" i="4"/>
  <c r="AF127" i="4" s="1"/>
  <c r="O127" i="4"/>
  <c r="P127" i="4" s="1"/>
  <c r="AA127" i="4"/>
  <c r="AB127" i="4" s="1"/>
  <c r="AM127" i="4"/>
  <c r="AN127" i="4" s="1"/>
  <c r="W127" i="4"/>
  <c r="X127" i="4" s="1"/>
  <c r="AQ127" i="4"/>
  <c r="AR127" i="4" s="1"/>
  <c r="ER120" i="4"/>
  <c r="ES120" i="4" s="1"/>
  <c r="CA120" i="4"/>
  <c r="ER127" i="4"/>
  <c r="ES127" i="4" s="1"/>
  <c r="CA127" i="4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W120" i="4"/>
  <c r="AX120" i="4" s="1"/>
  <c r="AS120" i="4"/>
  <c r="AT120" i="4" s="1"/>
  <c r="AO120" i="4"/>
  <c r="AP120" i="4" s="1"/>
  <c r="AK120" i="4"/>
  <c r="AL120" i="4" s="1"/>
  <c r="AG120" i="4"/>
  <c r="AH120" i="4" s="1"/>
  <c r="AC120" i="4"/>
  <c r="AD120" i="4" s="1"/>
  <c r="Y120" i="4"/>
  <c r="Z120" i="4" s="1"/>
  <c r="U120" i="4"/>
  <c r="V120" i="4" s="1"/>
  <c r="Q120" i="4"/>
  <c r="R120" i="4" s="1"/>
  <c r="M120" i="4"/>
  <c r="N120" i="4" s="1"/>
  <c r="J120" i="4"/>
  <c r="CB22" i="4"/>
  <c r="CW22" i="4"/>
  <c r="CX22" i="4" s="1"/>
  <c r="DC22" i="4"/>
  <c r="DD22" i="4" s="1"/>
  <c r="GI112" i="4"/>
  <c r="GJ112" i="4" s="1"/>
  <c r="GE112" i="4"/>
  <c r="GF112" i="4" s="1"/>
  <c r="GA112" i="4"/>
  <c r="GB112" i="4" s="1"/>
  <c r="FW112" i="4"/>
  <c r="FX112" i="4" s="1"/>
  <c r="FS112" i="4"/>
  <c r="FT112" i="4" s="1"/>
  <c r="FO112" i="4"/>
  <c r="FP112" i="4" s="1"/>
  <c r="FK112" i="4"/>
  <c r="FL112" i="4" s="1"/>
  <c r="FG112" i="4"/>
  <c r="FH112" i="4" s="1"/>
  <c r="FC112" i="4"/>
  <c r="FD112" i="4" s="1"/>
  <c r="EY112" i="4"/>
  <c r="EZ112" i="4" s="1"/>
  <c r="EU112" i="4"/>
  <c r="EV112" i="4" s="1"/>
  <c r="GG112" i="4"/>
  <c r="GH112" i="4" s="1"/>
  <c r="GC112" i="4"/>
  <c r="GD112" i="4" s="1"/>
  <c r="FY112" i="4"/>
  <c r="FZ112" i="4" s="1"/>
  <c r="FU112" i="4"/>
  <c r="FV112" i="4" s="1"/>
  <c r="FQ112" i="4"/>
  <c r="FR112" i="4" s="1"/>
  <c r="FM112" i="4"/>
  <c r="FN112" i="4" s="1"/>
  <c r="FI112" i="4"/>
  <c r="FJ112" i="4" s="1"/>
  <c r="FE112" i="4"/>
  <c r="FF112" i="4" s="1"/>
  <c r="FA112" i="4"/>
  <c r="FB112" i="4" s="1"/>
  <c r="EW112" i="4"/>
  <c r="EX112" i="4" s="1"/>
  <c r="ET112" i="4"/>
  <c r="DO112" i="4"/>
  <c r="DP112" i="4" s="1"/>
  <c r="DK112" i="4"/>
  <c r="DL112" i="4" s="1"/>
  <c r="DG112" i="4"/>
  <c r="DH112" i="4" s="1"/>
  <c r="DC112" i="4"/>
  <c r="DD112" i="4" s="1"/>
  <c r="CY112" i="4"/>
  <c r="CZ112" i="4" s="1"/>
  <c r="CU112" i="4"/>
  <c r="CV112" i="4" s="1"/>
  <c r="CQ112" i="4"/>
  <c r="CR112" i="4" s="1"/>
  <c r="CM112" i="4"/>
  <c r="CN112" i="4" s="1"/>
  <c r="CI112" i="4"/>
  <c r="CJ112" i="4" s="1"/>
  <c r="CE112" i="4"/>
  <c r="CF112" i="4" s="1"/>
  <c r="CB112" i="4"/>
  <c r="DQ112" i="4"/>
  <c r="DR112" i="4" s="1"/>
  <c r="DM112" i="4"/>
  <c r="DN112" i="4" s="1"/>
  <c r="DI112" i="4"/>
  <c r="DJ112" i="4" s="1"/>
  <c r="DE112" i="4"/>
  <c r="DF112" i="4" s="1"/>
  <c r="DA112" i="4"/>
  <c r="DB112" i="4" s="1"/>
  <c r="CW112" i="4"/>
  <c r="CX112" i="4" s="1"/>
  <c r="CS112" i="4"/>
  <c r="CT112" i="4" s="1"/>
  <c r="CO112" i="4"/>
  <c r="CP112" i="4" s="1"/>
  <c r="CK112" i="4"/>
  <c r="CL112" i="4" s="1"/>
  <c r="CG112" i="4"/>
  <c r="CH112" i="4" s="1"/>
  <c r="CC112" i="4"/>
  <c r="CD112" i="4" s="1"/>
  <c r="CO22" i="4"/>
  <c r="CP22" i="4" s="1"/>
  <c r="CQ22" i="4"/>
  <c r="CR22" i="4" s="1"/>
  <c r="DI22" i="4"/>
  <c r="DJ22" i="4" s="1"/>
  <c r="DG22" i="4"/>
  <c r="DH22" i="4" s="1"/>
  <c r="CC22" i="4"/>
  <c r="CD22" i="4" s="1"/>
  <c r="CS22" i="4"/>
  <c r="CT22" i="4" s="1"/>
  <c r="CM22" i="4"/>
  <c r="CN22" i="4" s="1"/>
  <c r="DA22" i="4"/>
  <c r="DB22" i="4" s="1"/>
  <c r="DQ22" i="4"/>
  <c r="DR22" i="4" s="1"/>
  <c r="GG96" i="4"/>
  <c r="GH96" i="4" s="1"/>
  <c r="GC96" i="4"/>
  <c r="GD96" i="4" s="1"/>
  <c r="FY96" i="4"/>
  <c r="FZ96" i="4" s="1"/>
  <c r="FU96" i="4"/>
  <c r="FV96" i="4" s="1"/>
  <c r="FQ96" i="4"/>
  <c r="FR96" i="4" s="1"/>
  <c r="FM96" i="4"/>
  <c r="FN96" i="4" s="1"/>
  <c r="FI96" i="4"/>
  <c r="FJ96" i="4" s="1"/>
  <c r="FE96" i="4"/>
  <c r="FF96" i="4" s="1"/>
  <c r="FA96" i="4"/>
  <c r="FB96" i="4" s="1"/>
  <c r="EW96" i="4"/>
  <c r="EX96" i="4" s="1"/>
  <c r="ET96" i="4"/>
  <c r="GI96" i="4"/>
  <c r="GJ96" i="4" s="1"/>
  <c r="GA96" i="4"/>
  <c r="GB96" i="4" s="1"/>
  <c r="FS96" i="4"/>
  <c r="FT96" i="4" s="1"/>
  <c r="FK96" i="4"/>
  <c r="FL96" i="4" s="1"/>
  <c r="EY96" i="4"/>
  <c r="EZ96" i="4" s="1"/>
  <c r="EU96" i="4"/>
  <c r="EV96" i="4" s="1"/>
  <c r="FG96" i="4"/>
  <c r="FH96" i="4" s="1"/>
  <c r="GE96" i="4"/>
  <c r="GF96" i="4" s="1"/>
  <c r="FW96" i="4"/>
  <c r="FX96" i="4" s="1"/>
  <c r="FO96" i="4"/>
  <c r="FP96" i="4" s="1"/>
  <c r="FC96" i="4"/>
  <c r="FD96" i="4" s="1"/>
  <c r="DQ96" i="4"/>
  <c r="DR96" i="4" s="1"/>
  <c r="DM96" i="4"/>
  <c r="DN96" i="4" s="1"/>
  <c r="DI96" i="4"/>
  <c r="DJ96" i="4" s="1"/>
  <c r="DE96" i="4"/>
  <c r="DF96" i="4" s="1"/>
  <c r="DA96" i="4"/>
  <c r="DB96" i="4" s="1"/>
  <c r="CW96" i="4"/>
  <c r="CX96" i="4" s="1"/>
  <c r="CS96" i="4"/>
  <c r="CT96" i="4" s="1"/>
  <c r="CO96" i="4"/>
  <c r="CP96" i="4" s="1"/>
  <c r="CK96" i="4"/>
  <c r="CL96" i="4" s="1"/>
  <c r="CG96" i="4"/>
  <c r="CH96" i="4" s="1"/>
  <c r="CC96" i="4"/>
  <c r="CD96" i="4" s="1"/>
  <c r="DO96" i="4"/>
  <c r="DP96" i="4" s="1"/>
  <c r="DC96" i="4"/>
  <c r="DD96" i="4" s="1"/>
  <c r="CQ96" i="4"/>
  <c r="CR96" i="4" s="1"/>
  <c r="CI96" i="4"/>
  <c r="CJ96" i="4" s="1"/>
  <c r="DG96" i="4"/>
  <c r="DH96" i="4" s="1"/>
  <c r="CU96" i="4"/>
  <c r="CV96" i="4" s="1"/>
  <c r="CB96" i="4"/>
  <c r="DK96" i="4"/>
  <c r="DL96" i="4" s="1"/>
  <c r="CY96" i="4"/>
  <c r="CZ96" i="4" s="1"/>
  <c r="CM96" i="4"/>
  <c r="CN96" i="4" s="1"/>
  <c r="CE96" i="4"/>
  <c r="CF96" i="4" s="1"/>
  <c r="K113" i="4"/>
  <c r="L113" i="4" s="1"/>
  <c r="M113" i="4"/>
  <c r="N113" i="4" s="1"/>
  <c r="AG113" i="4"/>
  <c r="AH113" i="4" s="1"/>
  <c r="W113" i="4"/>
  <c r="X113" i="4" s="1"/>
  <c r="AW113" i="4"/>
  <c r="AX113" i="4" s="1"/>
  <c r="AO113" i="4"/>
  <c r="AP113" i="4" s="1"/>
  <c r="AE113" i="4"/>
  <c r="AF113" i="4" s="1"/>
  <c r="AM113" i="4"/>
  <c r="AN113" i="4" s="1"/>
  <c r="Y113" i="4"/>
  <c r="Z113" i="4" s="1"/>
  <c r="O113" i="4"/>
  <c r="P113" i="4" s="1"/>
  <c r="AQ113" i="4"/>
  <c r="AR113" i="4" s="1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M104" i="4"/>
  <c r="DN104" i="4" s="1"/>
  <c r="DI104" i="4"/>
  <c r="DJ104" i="4" s="1"/>
  <c r="DE104" i="4"/>
  <c r="DF104" i="4" s="1"/>
  <c r="DA104" i="4"/>
  <c r="DB104" i="4" s="1"/>
  <c r="CW104" i="4"/>
  <c r="CX104" i="4" s="1"/>
  <c r="CS104" i="4"/>
  <c r="CT104" i="4" s="1"/>
  <c r="CO104" i="4"/>
  <c r="CP104" i="4" s="1"/>
  <c r="CK104" i="4"/>
  <c r="CL104" i="4" s="1"/>
  <c r="CG104" i="4"/>
  <c r="CH104" i="4" s="1"/>
  <c r="CC104" i="4"/>
  <c r="CD104" i="4" s="1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GC104" i="4"/>
  <c r="GD104" i="4" s="1"/>
  <c r="FY104" i="4"/>
  <c r="FZ104" i="4" s="1"/>
  <c r="FU104" i="4"/>
  <c r="FV104" i="4" s="1"/>
  <c r="FQ104" i="4"/>
  <c r="FR104" i="4" s="1"/>
  <c r="FM104" i="4"/>
  <c r="FN104" i="4" s="1"/>
  <c r="FI104" i="4"/>
  <c r="FJ104" i="4" s="1"/>
  <c r="FE104" i="4"/>
  <c r="FF104" i="4" s="1"/>
  <c r="FA104" i="4"/>
  <c r="FB104" i="4" s="1"/>
  <c r="EW104" i="4"/>
  <c r="EX104" i="4" s="1"/>
  <c r="ET104" i="4"/>
  <c r="U113" i="4"/>
  <c r="V113" i="4" s="1"/>
  <c r="AS113" i="4"/>
  <c r="AT113" i="4" s="1"/>
  <c r="AA113" i="4"/>
  <c r="AB113" i="4" s="1"/>
  <c r="AU113" i="4"/>
  <c r="AV113" i="4" s="1"/>
  <c r="GI108" i="4"/>
  <c r="GJ108" i="4" s="1"/>
  <c r="GE108" i="4"/>
  <c r="GF108" i="4" s="1"/>
  <c r="GA108" i="4"/>
  <c r="GB108" i="4" s="1"/>
  <c r="FW108" i="4"/>
  <c r="FX108" i="4" s="1"/>
  <c r="FS108" i="4"/>
  <c r="FT108" i="4" s="1"/>
  <c r="FO108" i="4"/>
  <c r="FP108" i="4" s="1"/>
  <c r="FK108" i="4"/>
  <c r="FL108" i="4" s="1"/>
  <c r="FG108" i="4"/>
  <c r="FH108" i="4" s="1"/>
  <c r="FC108" i="4"/>
  <c r="FD108" i="4" s="1"/>
  <c r="EY108" i="4"/>
  <c r="EZ108" i="4" s="1"/>
  <c r="EU108" i="4"/>
  <c r="EV108" i="4" s="1"/>
  <c r="GC108" i="4"/>
  <c r="GD108" i="4" s="1"/>
  <c r="FQ108" i="4"/>
  <c r="FR108" i="4" s="1"/>
  <c r="FI108" i="4"/>
  <c r="FJ108" i="4" s="1"/>
  <c r="EW108" i="4"/>
  <c r="EX108" i="4" s="1"/>
  <c r="GG108" i="4"/>
  <c r="GH108" i="4" s="1"/>
  <c r="FY108" i="4"/>
  <c r="FZ108" i="4" s="1"/>
  <c r="FM108" i="4"/>
  <c r="FN108" i="4" s="1"/>
  <c r="FA108" i="4"/>
  <c r="FB108" i="4" s="1"/>
  <c r="FU108" i="4"/>
  <c r="FV108" i="4" s="1"/>
  <c r="FE108" i="4"/>
  <c r="FF108" i="4" s="1"/>
  <c r="ET108" i="4"/>
  <c r="DO108" i="4"/>
  <c r="DP108" i="4" s="1"/>
  <c r="DK108" i="4"/>
  <c r="DL108" i="4" s="1"/>
  <c r="DG108" i="4"/>
  <c r="DH108" i="4" s="1"/>
  <c r="DC108" i="4"/>
  <c r="DD108" i="4" s="1"/>
  <c r="CY108" i="4"/>
  <c r="CZ108" i="4" s="1"/>
  <c r="CU108" i="4"/>
  <c r="CV108" i="4" s="1"/>
  <c r="CQ108" i="4"/>
  <c r="CR108" i="4" s="1"/>
  <c r="CM108" i="4"/>
  <c r="CN108" i="4" s="1"/>
  <c r="CI108" i="4"/>
  <c r="CJ108" i="4" s="1"/>
  <c r="CE108" i="4"/>
  <c r="CF108" i="4" s="1"/>
  <c r="CB108" i="4"/>
  <c r="DM108" i="4"/>
  <c r="DN108" i="4" s="1"/>
  <c r="CW108" i="4"/>
  <c r="CX108" i="4" s="1"/>
  <c r="CK108" i="4"/>
  <c r="CL108" i="4" s="1"/>
  <c r="CC108" i="4"/>
  <c r="CD108" i="4" s="1"/>
  <c r="DI108" i="4"/>
  <c r="DJ108" i="4" s="1"/>
  <c r="DA108" i="4"/>
  <c r="DB108" i="4" s="1"/>
  <c r="CS108" i="4"/>
  <c r="CT108" i="4" s="1"/>
  <c r="CG108" i="4"/>
  <c r="CH108" i="4" s="1"/>
  <c r="DQ108" i="4"/>
  <c r="DR108" i="4" s="1"/>
  <c r="DE108" i="4"/>
  <c r="DF108" i="4" s="1"/>
  <c r="CO108" i="4"/>
  <c r="CP108" i="4" s="1"/>
  <c r="Q113" i="4"/>
  <c r="R113" i="4" s="1"/>
  <c r="J113" i="4"/>
  <c r="AC113" i="4"/>
  <c r="AD113" i="4" s="1"/>
  <c r="S113" i="4"/>
  <c r="T113" i="4" s="1"/>
  <c r="AI113" i="4"/>
  <c r="AJ113" i="4" s="1"/>
  <c r="GI92" i="4"/>
  <c r="GJ92" i="4" s="1"/>
  <c r="GE92" i="4"/>
  <c r="GF92" i="4" s="1"/>
  <c r="GA92" i="4"/>
  <c r="GB92" i="4" s="1"/>
  <c r="FW92" i="4"/>
  <c r="FX92" i="4" s="1"/>
  <c r="FS92" i="4"/>
  <c r="FT92" i="4" s="1"/>
  <c r="FO92" i="4"/>
  <c r="FP92" i="4" s="1"/>
  <c r="FK92" i="4"/>
  <c r="FL92" i="4" s="1"/>
  <c r="FG92" i="4"/>
  <c r="FH92" i="4" s="1"/>
  <c r="FC92" i="4"/>
  <c r="FD92" i="4" s="1"/>
  <c r="EY92" i="4"/>
  <c r="EZ92" i="4" s="1"/>
  <c r="EU92" i="4"/>
  <c r="EV92" i="4" s="1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DO92" i="4"/>
  <c r="DP92" i="4" s="1"/>
  <c r="DK92" i="4"/>
  <c r="DL92" i="4" s="1"/>
  <c r="DG92" i="4"/>
  <c r="DH92" i="4" s="1"/>
  <c r="DC92" i="4"/>
  <c r="DD92" i="4" s="1"/>
  <c r="CY92" i="4"/>
  <c r="CZ92" i="4" s="1"/>
  <c r="CU92" i="4"/>
  <c r="CV92" i="4" s="1"/>
  <c r="CQ92" i="4"/>
  <c r="CR92" i="4" s="1"/>
  <c r="CM92" i="4"/>
  <c r="CN92" i="4" s="1"/>
  <c r="CI92" i="4"/>
  <c r="CJ92" i="4" s="1"/>
  <c r="CE92" i="4"/>
  <c r="CF92" i="4" s="1"/>
  <c r="CB92" i="4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GI113" i="4"/>
  <c r="GJ113" i="4" s="1"/>
  <c r="GE113" i="4"/>
  <c r="GF113" i="4" s="1"/>
  <c r="GA113" i="4"/>
  <c r="GB113" i="4" s="1"/>
  <c r="FW113" i="4"/>
  <c r="FX113" i="4" s="1"/>
  <c r="FS113" i="4"/>
  <c r="FT113" i="4" s="1"/>
  <c r="FO113" i="4"/>
  <c r="FP113" i="4" s="1"/>
  <c r="FK113" i="4"/>
  <c r="FL113" i="4" s="1"/>
  <c r="FG113" i="4"/>
  <c r="FH113" i="4" s="1"/>
  <c r="FC113" i="4"/>
  <c r="FD113" i="4" s="1"/>
  <c r="EY113" i="4"/>
  <c r="EZ113" i="4" s="1"/>
  <c r="EU113" i="4"/>
  <c r="EV113" i="4" s="1"/>
  <c r="FU113" i="4"/>
  <c r="FV113" i="4" s="1"/>
  <c r="FE113" i="4"/>
  <c r="FF113" i="4" s="1"/>
  <c r="GC113" i="4"/>
  <c r="GD113" i="4" s="1"/>
  <c r="GG113" i="4"/>
  <c r="GH113" i="4" s="1"/>
  <c r="FQ113" i="4"/>
  <c r="FR113" i="4" s="1"/>
  <c r="FA113" i="4"/>
  <c r="FB113" i="4" s="1"/>
  <c r="EW113" i="4"/>
  <c r="EX113" i="4" s="1"/>
  <c r="FY113" i="4"/>
  <c r="FZ113" i="4" s="1"/>
  <c r="FI113" i="4"/>
  <c r="FJ113" i="4" s="1"/>
  <c r="ET113" i="4"/>
  <c r="FM113" i="4"/>
  <c r="FN113" i="4" s="1"/>
  <c r="DO113" i="4"/>
  <c r="DP113" i="4" s="1"/>
  <c r="DK113" i="4"/>
  <c r="DL113" i="4" s="1"/>
  <c r="DG113" i="4"/>
  <c r="DH113" i="4" s="1"/>
  <c r="DC113" i="4"/>
  <c r="DD113" i="4" s="1"/>
  <c r="CY113" i="4"/>
  <c r="CZ113" i="4" s="1"/>
  <c r="CU113" i="4"/>
  <c r="CV113" i="4" s="1"/>
  <c r="CQ113" i="4"/>
  <c r="CR113" i="4" s="1"/>
  <c r="CM113" i="4"/>
  <c r="CN113" i="4" s="1"/>
  <c r="CI113" i="4"/>
  <c r="CJ113" i="4" s="1"/>
  <c r="CE113" i="4"/>
  <c r="CF113" i="4" s="1"/>
  <c r="CB113" i="4"/>
  <c r="DI113" i="4"/>
  <c r="DJ113" i="4" s="1"/>
  <c r="CS113" i="4"/>
  <c r="CT113" i="4" s="1"/>
  <c r="CC113" i="4"/>
  <c r="CD113" i="4" s="1"/>
  <c r="DA113" i="4"/>
  <c r="DB113" i="4" s="1"/>
  <c r="DE113" i="4"/>
  <c r="DF113" i="4" s="1"/>
  <c r="CO113" i="4"/>
  <c r="CP113" i="4" s="1"/>
  <c r="DQ113" i="4"/>
  <c r="DR113" i="4" s="1"/>
  <c r="DM113" i="4"/>
  <c r="DN113" i="4" s="1"/>
  <c r="CW113" i="4"/>
  <c r="CX113" i="4" s="1"/>
  <c r="CG113" i="4"/>
  <c r="CH113" i="4" s="1"/>
  <c r="CK113" i="4"/>
  <c r="CL113" i="4" s="1"/>
  <c r="DQ69" i="4"/>
  <c r="DR69" i="4" s="1"/>
  <c r="DM69" i="4"/>
  <c r="DN69" i="4" s="1"/>
  <c r="DI69" i="4"/>
  <c r="DJ69" i="4" s="1"/>
  <c r="DE69" i="4"/>
  <c r="DF69" i="4" s="1"/>
  <c r="DA69" i="4"/>
  <c r="DB69" i="4" s="1"/>
  <c r="CW69" i="4"/>
  <c r="CX69" i="4" s="1"/>
  <c r="CS69" i="4"/>
  <c r="CT69" i="4" s="1"/>
  <c r="CO69" i="4"/>
  <c r="CP69" i="4" s="1"/>
  <c r="CK69" i="4"/>
  <c r="CL69" i="4" s="1"/>
  <c r="CG69" i="4"/>
  <c r="CH69" i="4" s="1"/>
  <c r="CC69" i="4"/>
  <c r="CD69" i="4" s="1"/>
  <c r="DK69" i="4"/>
  <c r="DL69" i="4" s="1"/>
  <c r="CY69" i="4"/>
  <c r="CZ69" i="4" s="1"/>
  <c r="CQ69" i="4"/>
  <c r="CR69" i="4" s="1"/>
  <c r="CE69" i="4"/>
  <c r="CF69" i="4" s="1"/>
  <c r="DO69" i="4"/>
  <c r="DP69" i="4" s="1"/>
  <c r="DC69" i="4"/>
  <c r="DD69" i="4" s="1"/>
  <c r="CU69" i="4"/>
  <c r="CV69" i="4" s="1"/>
  <c r="CM69" i="4"/>
  <c r="CN69" i="4" s="1"/>
  <c r="CB69" i="4"/>
  <c r="DG69" i="4"/>
  <c r="DH69" i="4" s="1"/>
  <c r="CI69" i="4"/>
  <c r="CJ69" i="4" s="1"/>
  <c r="GG69" i="4"/>
  <c r="GH69" i="4" s="1"/>
  <c r="GC69" i="4"/>
  <c r="GD69" i="4" s="1"/>
  <c r="FY69" i="4"/>
  <c r="FZ69" i="4" s="1"/>
  <c r="FU69" i="4"/>
  <c r="FV69" i="4" s="1"/>
  <c r="FQ69" i="4"/>
  <c r="FR69" i="4" s="1"/>
  <c r="FM69" i="4"/>
  <c r="FN69" i="4" s="1"/>
  <c r="FI69" i="4"/>
  <c r="FJ69" i="4" s="1"/>
  <c r="FE69" i="4"/>
  <c r="FF69" i="4" s="1"/>
  <c r="FA69" i="4"/>
  <c r="FB69" i="4" s="1"/>
  <c r="EW69" i="4"/>
  <c r="EX69" i="4" s="1"/>
  <c r="ET69" i="4"/>
  <c r="GE69" i="4"/>
  <c r="GF69" i="4" s="1"/>
  <c r="GA69" i="4"/>
  <c r="GB69" i="4" s="1"/>
  <c r="FS69" i="4"/>
  <c r="FT69" i="4" s="1"/>
  <c r="FK69" i="4"/>
  <c r="FL69" i="4" s="1"/>
  <c r="FC69" i="4"/>
  <c r="FD69" i="4" s="1"/>
  <c r="EU69" i="4"/>
  <c r="EV69" i="4" s="1"/>
  <c r="GI69" i="4"/>
  <c r="GJ69" i="4" s="1"/>
  <c r="FW69" i="4"/>
  <c r="FX69" i="4" s="1"/>
  <c r="FO69" i="4"/>
  <c r="FP69" i="4" s="1"/>
  <c r="FG69" i="4"/>
  <c r="FH69" i="4" s="1"/>
  <c r="EY69" i="4"/>
  <c r="EZ69" i="4" s="1"/>
  <c r="ER89" i="4"/>
  <c r="ES89" i="4" s="1"/>
  <c r="FU89" i="4" s="1"/>
  <c r="FV89" i="4" s="1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DK86" i="4"/>
  <c r="DL86" i="4" s="1"/>
  <c r="CY86" i="4"/>
  <c r="CZ86" i="4" s="1"/>
  <c r="CM86" i="4"/>
  <c r="CN86" i="4" s="1"/>
  <c r="DG86" i="4"/>
  <c r="DH86" i="4" s="1"/>
  <c r="CQ86" i="4"/>
  <c r="CR86" i="4" s="1"/>
  <c r="CE86" i="4"/>
  <c r="CF86" i="4" s="1"/>
  <c r="DO86" i="4"/>
  <c r="DP86" i="4" s="1"/>
  <c r="DC86" i="4"/>
  <c r="DD86" i="4" s="1"/>
  <c r="CU86" i="4"/>
  <c r="CV86" i="4" s="1"/>
  <c r="CI86" i="4"/>
  <c r="CJ86" i="4" s="1"/>
  <c r="CB86" i="4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GI86" i="4"/>
  <c r="GJ86" i="4" s="1"/>
  <c r="GA86" i="4"/>
  <c r="GB86" i="4" s="1"/>
  <c r="FK86" i="4"/>
  <c r="FL86" i="4" s="1"/>
  <c r="FC86" i="4"/>
  <c r="FD86" i="4" s="1"/>
  <c r="FS86" i="4"/>
  <c r="FT86" i="4" s="1"/>
  <c r="EY86" i="4"/>
  <c r="EZ86" i="4" s="1"/>
  <c r="GE86" i="4"/>
  <c r="GF86" i="4" s="1"/>
  <c r="FW86" i="4"/>
  <c r="FX86" i="4" s="1"/>
  <c r="FO86" i="4"/>
  <c r="FP86" i="4" s="1"/>
  <c r="FG86" i="4"/>
  <c r="FH86" i="4" s="1"/>
  <c r="EU86" i="4"/>
  <c r="EV86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DQ83" i="4"/>
  <c r="DR83" i="4" s="1"/>
  <c r="DM83" i="4"/>
  <c r="DN83" i="4" s="1"/>
  <c r="DI83" i="4"/>
  <c r="DJ83" i="4" s="1"/>
  <c r="DE83" i="4"/>
  <c r="DF83" i="4" s="1"/>
  <c r="DA83" i="4"/>
  <c r="DB83" i="4" s="1"/>
  <c r="CW83" i="4"/>
  <c r="CX83" i="4" s="1"/>
  <c r="CS83" i="4"/>
  <c r="CT83" i="4" s="1"/>
  <c r="CO83" i="4"/>
  <c r="CP83" i="4" s="1"/>
  <c r="CK83" i="4"/>
  <c r="CL83" i="4" s="1"/>
  <c r="CG83" i="4"/>
  <c r="CH83" i="4" s="1"/>
  <c r="CC83" i="4"/>
  <c r="CD83" i="4" s="1"/>
  <c r="DO83" i="4"/>
  <c r="DP83" i="4" s="1"/>
  <c r="DK83" i="4"/>
  <c r="DL83" i="4" s="1"/>
  <c r="DG83" i="4"/>
  <c r="DH83" i="4" s="1"/>
  <c r="DC83" i="4"/>
  <c r="DD83" i="4" s="1"/>
  <c r="CY83" i="4"/>
  <c r="CZ83" i="4" s="1"/>
  <c r="CU83" i="4"/>
  <c r="CV83" i="4" s="1"/>
  <c r="CQ83" i="4"/>
  <c r="CR83" i="4" s="1"/>
  <c r="CM83" i="4"/>
  <c r="CN83" i="4" s="1"/>
  <c r="CI83" i="4"/>
  <c r="CJ83" i="4" s="1"/>
  <c r="CE83" i="4"/>
  <c r="CF83" i="4" s="1"/>
  <c r="CB83" i="4"/>
  <c r="GG67" i="4"/>
  <c r="GH67" i="4" s="1"/>
  <c r="GC67" i="4"/>
  <c r="GD67" i="4" s="1"/>
  <c r="FY67" i="4"/>
  <c r="FZ67" i="4" s="1"/>
  <c r="FU67" i="4"/>
  <c r="FV67" i="4" s="1"/>
  <c r="FQ67" i="4"/>
  <c r="FR67" i="4" s="1"/>
  <c r="FM67" i="4"/>
  <c r="FN67" i="4" s="1"/>
  <c r="FI67" i="4"/>
  <c r="FJ67" i="4" s="1"/>
  <c r="FE67" i="4"/>
  <c r="FF67" i="4" s="1"/>
  <c r="FA67" i="4"/>
  <c r="FB67" i="4" s="1"/>
  <c r="EW67" i="4"/>
  <c r="EX67" i="4" s="1"/>
  <c r="ET67" i="4"/>
  <c r="GI67" i="4"/>
  <c r="GJ67" i="4" s="1"/>
  <c r="GE67" i="4"/>
  <c r="GF67" i="4" s="1"/>
  <c r="GA67" i="4"/>
  <c r="GB67" i="4" s="1"/>
  <c r="FW67" i="4"/>
  <c r="FX67" i="4" s="1"/>
  <c r="FS67" i="4"/>
  <c r="FT67" i="4" s="1"/>
  <c r="FO67" i="4"/>
  <c r="FP67" i="4" s="1"/>
  <c r="FK67" i="4"/>
  <c r="FL67" i="4" s="1"/>
  <c r="FG67" i="4"/>
  <c r="FH67" i="4" s="1"/>
  <c r="FC67" i="4"/>
  <c r="FD67" i="4" s="1"/>
  <c r="EY67" i="4"/>
  <c r="EZ67" i="4" s="1"/>
  <c r="EU67" i="4"/>
  <c r="EV67" i="4" s="1"/>
  <c r="DQ67" i="4"/>
  <c r="DR67" i="4" s="1"/>
  <c r="DM67" i="4"/>
  <c r="DN67" i="4" s="1"/>
  <c r="DI67" i="4"/>
  <c r="DJ67" i="4" s="1"/>
  <c r="DE67" i="4"/>
  <c r="DF67" i="4" s="1"/>
  <c r="DA67" i="4"/>
  <c r="DB67" i="4" s="1"/>
  <c r="CW67" i="4"/>
  <c r="CX67" i="4" s="1"/>
  <c r="CS67" i="4"/>
  <c r="CT67" i="4" s="1"/>
  <c r="CO67" i="4"/>
  <c r="CP67" i="4" s="1"/>
  <c r="CK67" i="4"/>
  <c r="CL67" i="4" s="1"/>
  <c r="CG67" i="4"/>
  <c r="CH67" i="4" s="1"/>
  <c r="CC67" i="4"/>
  <c r="CD67" i="4" s="1"/>
  <c r="DO67" i="4"/>
  <c r="DP67" i="4" s="1"/>
  <c r="DK67" i="4"/>
  <c r="DL67" i="4" s="1"/>
  <c r="DG67" i="4"/>
  <c r="DH67" i="4" s="1"/>
  <c r="DC67" i="4"/>
  <c r="DD67" i="4" s="1"/>
  <c r="CY67" i="4"/>
  <c r="CZ67" i="4" s="1"/>
  <c r="CU67" i="4"/>
  <c r="CV67" i="4" s="1"/>
  <c r="CQ67" i="4"/>
  <c r="CR67" i="4" s="1"/>
  <c r="CM67" i="4"/>
  <c r="CN67" i="4" s="1"/>
  <c r="CI67" i="4"/>
  <c r="CJ67" i="4" s="1"/>
  <c r="CE67" i="4"/>
  <c r="CF67" i="4" s="1"/>
  <c r="CB67" i="4"/>
  <c r="CA27" i="4"/>
  <c r="DC27" i="4" s="1"/>
  <c r="DD27" i="4" s="1"/>
  <c r="DQ89" i="4"/>
  <c r="DR89" i="4" s="1"/>
  <c r="DM89" i="4"/>
  <c r="DN89" i="4" s="1"/>
  <c r="DI89" i="4"/>
  <c r="DJ89" i="4" s="1"/>
  <c r="DE89" i="4"/>
  <c r="DF89" i="4" s="1"/>
  <c r="DA89" i="4"/>
  <c r="DB89" i="4" s="1"/>
  <c r="CW89" i="4"/>
  <c r="CX89" i="4" s="1"/>
  <c r="CS89" i="4"/>
  <c r="CT89" i="4" s="1"/>
  <c r="CO89" i="4"/>
  <c r="CP89" i="4" s="1"/>
  <c r="CK89" i="4"/>
  <c r="CL89" i="4" s="1"/>
  <c r="CG89" i="4"/>
  <c r="CH89" i="4" s="1"/>
  <c r="CC89" i="4"/>
  <c r="CD89" i="4" s="1"/>
  <c r="DO89" i="4"/>
  <c r="DP89" i="4" s="1"/>
  <c r="CY89" i="4"/>
  <c r="CZ89" i="4" s="1"/>
  <c r="CI89" i="4"/>
  <c r="CJ89" i="4" s="1"/>
  <c r="DG89" i="4"/>
  <c r="DH89" i="4" s="1"/>
  <c r="DK89" i="4"/>
  <c r="DL89" i="4" s="1"/>
  <c r="CU89" i="4"/>
  <c r="CV89" i="4" s="1"/>
  <c r="CE89" i="4"/>
  <c r="CF89" i="4" s="1"/>
  <c r="CB89" i="4"/>
  <c r="DC89" i="4"/>
  <c r="DD89" i="4" s="1"/>
  <c r="CM89" i="4"/>
  <c r="CN89" i="4" s="1"/>
  <c r="CQ89" i="4"/>
  <c r="CR89" i="4" s="1"/>
  <c r="GG89" i="4"/>
  <c r="GH89" i="4" s="1"/>
  <c r="FI89" i="4"/>
  <c r="FJ89" i="4" s="1"/>
  <c r="W54" i="4"/>
  <c r="X54" i="4" s="1"/>
  <c r="AG54" i="4"/>
  <c r="AH54" i="4" s="1"/>
  <c r="AY54" i="4"/>
  <c r="AZ54" i="4" s="1"/>
  <c r="M54" i="4"/>
  <c r="N54" i="4" s="1"/>
  <c r="AS54" i="4"/>
  <c r="AT54" i="4" s="1"/>
  <c r="U54" i="4"/>
  <c r="V54" i="4" s="1"/>
  <c r="AI54" i="4"/>
  <c r="AJ54" i="4" s="1"/>
  <c r="AC54" i="4"/>
  <c r="AD54" i="4" s="1"/>
  <c r="K54" i="4"/>
  <c r="L54" i="4" s="1"/>
  <c r="AQ54" i="4"/>
  <c r="AR54" i="4" s="1"/>
  <c r="AA54" i="4"/>
  <c r="AB54" i="4" s="1"/>
  <c r="AC28" i="4"/>
  <c r="AD28" i="4" s="1"/>
  <c r="AW54" i="4"/>
  <c r="AX54" i="4" s="1"/>
  <c r="Q54" i="4"/>
  <c r="R54" i="4" s="1"/>
  <c r="AK54" i="4"/>
  <c r="AL54" i="4" s="1"/>
  <c r="S54" i="4"/>
  <c r="T54" i="4" s="1"/>
  <c r="AM54" i="4"/>
  <c r="AN54" i="4" s="1"/>
  <c r="O28" i="4"/>
  <c r="P28" i="4" s="1"/>
  <c r="DO39" i="4"/>
  <c r="DP39" i="4" s="1"/>
  <c r="DK39" i="4"/>
  <c r="DL39" i="4" s="1"/>
  <c r="DG39" i="4"/>
  <c r="DH39" i="4" s="1"/>
  <c r="DC39" i="4"/>
  <c r="DD39" i="4" s="1"/>
  <c r="CY39" i="4"/>
  <c r="CZ39" i="4" s="1"/>
  <c r="CU39" i="4"/>
  <c r="CV39" i="4" s="1"/>
  <c r="CQ39" i="4"/>
  <c r="CR39" i="4" s="1"/>
  <c r="CM39" i="4"/>
  <c r="CN39" i="4" s="1"/>
  <c r="CI39" i="4"/>
  <c r="CJ39" i="4" s="1"/>
  <c r="CE39" i="4"/>
  <c r="CF39" i="4" s="1"/>
  <c r="CB39" i="4"/>
  <c r="DM39" i="4"/>
  <c r="DN39" i="4" s="1"/>
  <c r="DE39" i="4"/>
  <c r="DF39" i="4" s="1"/>
  <c r="CS39" i="4"/>
  <c r="CT39" i="4" s="1"/>
  <c r="CG39" i="4"/>
  <c r="CH39" i="4" s="1"/>
  <c r="DQ39" i="4"/>
  <c r="DR39" i="4" s="1"/>
  <c r="DA39" i="4"/>
  <c r="DB39" i="4" s="1"/>
  <c r="CK39" i="4"/>
  <c r="CL39" i="4" s="1"/>
  <c r="DI39" i="4"/>
  <c r="DJ39" i="4" s="1"/>
  <c r="CW39" i="4"/>
  <c r="CX39" i="4" s="1"/>
  <c r="CO39" i="4"/>
  <c r="CP39" i="4" s="1"/>
  <c r="CC39" i="4"/>
  <c r="CD39" i="4" s="1"/>
  <c r="GI39" i="4"/>
  <c r="GJ39" i="4" s="1"/>
  <c r="GE39" i="4"/>
  <c r="GF39" i="4" s="1"/>
  <c r="GA39" i="4"/>
  <c r="GB39" i="4" s="1"/>
  <c r="FW39" i="4"/>
  <c r="FX39" i="4" s="1"/>
  <c r="FS39" i="4"/>
  <c r="FT39" i="4" s="1"/>
  <c r="FO39" i="4"/>
  <c r="FP39" i="4" s="1"/>
  <c r="FK39" i="4"/>
  <c r="FL39" i="4" s="1"/>
  <c r="FG39" i="4"/>
  <c r="FH39" i="4" s="1"/>
  <c r="FC39" i="4"/>
  <c r="FD39" i="4" s="1"/>
  <c r="EY39" i="4"/>
  <c r="EZ39" i="4" s="1"/>
  <c r="EU39" i="4"/>
  <c r="EV39" i="4" s="1"/>
  <c r="FY39" i="4"/>
  <c r="FZ39" i="4" s="1"/>
  <c r="FM39" i="4"/>
  <c r="FN39" i="4" s="1"/>
  <c r="FA39" i="4"/>
  <c r="FB39" i="4" s="1"/>
  <c r="GC39" i="4"/>
  <c r="GD39" i="4" s="1"/>
  <c r="FQ39" i="4"/>
  <c r="FR39" i="4" s="1"/>
  <c r="FE39" i="4"/>
  <c r="FF39" i="4" s="1"/>
  <c r="ET39" i="4"/>
  <c r="GG39" i="4"/>
  <c r="GH39" i="4" s="1"/>
  <c r="FU39" i="4"/>
  <c r="FV39" i="4" s="1"/>
  <c r="FI39" i="4"/>
  <c r="FJ39" i="4" s="1"/>
  <c r="EW39" i="4"/>
  <c r="EX39" i="4" s="1"/>
  <c r="J54" i="4"/>
  <c r="Y54" i="4"/>
  <c r="Z54" i="4" s="1"/>
  <c r="AO54" i="4"/>
  <c r="AP54" i="4" s="1"/>
  <c r="O54" i="4"/>
  <c r="P54" i="4" s="1"/>
  <c r="AE54" i="4"/>
  <c r="AF54" i="4" s="1"/>
  <c r="AU28" i="4"/>
  <c r="AV28" i="4" s="1"/>
  <c r="M28" i="4"/>
  <c r="N28" i="4" s="1"/>
  <c r="AK28" i="4"/>
  <c r="AL28" i="4" s="1"/>
  <c r="AG28" i="4"/>
  <c r="AH28" i="4" s="1"/>
  <c r="AI28" i="4"/>
  <c r="AJ28" i="4" s="1"/>
  <c r="Q28" i="4"/>
  <c r="R28" i="4" s="1"/>
  <c r="AW28" i="4"/>
  <c r="AX28" i="4" s="1"/>
  <c r="AE28" i="4"/>
  <c r="AF28" i="4" s="1"/>
  <c r="U28" i="4"/>
  <c r="V28" i="4" s="1"/>
  <c r="S28" i="4"/>
  <c r="T28" i="4" s="1"/>
  <c r="W28" i="4"/>
  <c r="X28" i="4" s="1"/>
  <c r="J28" i="4"/>
  <c r="AO28" i="4"/>
  <c r="AP28" i="4" s="1"/>
  <c r="AA28" i="4"/>
  <c r="AB28" i="4" s="1"/>
  <c r="AY28" i="4"/>
  <c r="AZ28" i="4" s="1"/>
  <c r="AS28" i="4"/>
  <c r="AT28" i="4" s="1"/>
  <c r="AM28" i="4"/>
  <c r="AN28" i="4" s="1"/>
  <c r="Y28" i="4"/>
  <c r="Z28" i="4" s="1"/>
  <c r="K28" i="4"/>
  <c r="L28" i="4" s="1"/>
  <c r="CA52" i="4"/>
  <c r="ER52" i="4"/>
  <c r="ES52" i="4" s="1"/>
  <c r="AY52" i="4"/>
  <c r="AZ52" i="4" s="1"/>
  <c r="AU52" i="4"/>
  <c r="AV52" i="4" s="1"/>
  <c r="AQ52" i="4"/>
  <c r="AR52" i="4" s="1"/>
  <c r="AM52" i="4"/>
  <c r="AN52" i="4" s="1"/>
  <c r="AI52" i="4"/>
  <c r="AJ52" i="4" s="1"/>
  <c r="AE52" i="4"/>
  <c r="AF52" i="4" s="1"/>
  <c r="AA52" i="4"/>
  <c r="AB52" i="4" s="1"/>
  <c r="W52" i="4"/>
  <c r="X52" i="4" s="1"/>
  <c r="S52" i="4"/>
  <c r="T52" i="4" s="1"/>
  <c r="O52" i="4"/>
  <c r="P52" i="4" s="1"/>
  <c r="K52" i="4"/>
  <c r="L52" i="4" s="1"/>
  <c r="AW52" i="4"/>
  <c r="AX52" i="4" s="1"/>
  <c r="AG52" i="4"/>
  <c r="AH52" i="4" s="1"/>
  <c r="Q52" i="4"/>
  <c r="R52" i="4" s="1"/>
  <c r="U52" i="4"/>
  <c r="V52" i="4" s="1"/>
  <c r="AS52" i="4"/>
  <c r="AT52" i="4" s="1"/>
  <c r="AC52" i="4"/>
  <c r="AD52" i="4" s="1"/>
  <c r="M52" i="4"/>
  <c r="N52" i="4" s="1"/>
  <c r="AO52" i="4"/>
  <c r="AP52" i="4" s="1"/>
  <c r="Y52" i="4"/>
  <c r="Z52" i="4" s="1"/>
  <c r="J52" i="4"/>
  <c r="AK52" i="4"/>
  <c r="AL52" i="4" s="1"/>
  <c r="FA27" i="4"/>
  <c r="FB27" i="4" s="1"/>
  <c r="FQ27" i="4"/>
  <c r="FR27" i="4" s="1"/>
  <c r="GG27" i="4"/>
  <c r="GH27" i="4" s="1"/>
  <c r="FK27" i="4"/>
  <c r="FL27" i="4" s="1"/>
  <c r="EU27" i="4"/>
  <c r="EV27" i="4" s="1"/>
  <c r="GA27" i="4"/>
  <c r="GB27" i="4" s="1"/>
  <c r="FM27" i="4"/>
  <c r="FN27" i="4" s="1"/>
  <c r="FG27" i="4"/>
  <c r="FH27" i="4" s="1"/>
  <c r="FS27" i="4"/>
  <c r="FT27" i="4" s="1"/>
  <c r="GC27" i="4"/>
  <c r="GD27" i="4" s="1"/>
  <c r="EW27" i="4"/>
  <c r="EX27" i="4" s="1"/>
  <c r="FE27" i="4"/>
  <c r="FF27" i="4" s="1"/>
  <c r="FI27" i="4"/>
  <c r="FJ27" i="4" s="1"/>
  <c r="FW27" i="4"/>
  <c r="FX27" i="4" s="1"/>
  <c r="GE27" i="4"/>
  <c r="GF27" i="4" s="1"/>
  <c r="EY27" i="4"/>
  <c r="EZ27" i="4" s="1"/>
  <c r="GI27" i="4"/>
  <c r="GJ27" i="4" s="1"/>
  <c r="FC27" i="4"/>
  <c r="FD27" i="4" s="1"/>
  <c r="FU27" i="4"/>
  <c r="FV27" i="4" s="1"/>
  <c r="FY27" i="4"/>
  <c r="FZ27" i="4" s="1"/>
  <c r="ET27" i="4"/>
  <c r="FO27" i="4"/>
  <c r="FP27" i="4" s="1"/>
  <c r="AG19" i="4"/>
  <c r="AH19" i="4" s="1"/>
  <c r="U19" i="4"/>
  <c r="V19" i="4" s="1"/>
  <c r="J19" i="4"/>
  <c r="AW19" i="4"/>
  <c r="AX19" i="4" s="1"/>
  <c r="AO19" i="4"/>
  <c r="AP19" i="4" s="1"/>
  <c r="AC19" i="4"/>
  <c r="AD19" i="4" s="1"/>
  <c r="M19" i="4"/>
  <c r="N19" i="4" s="1"/>
  <c r="AY19" i="4"/>
  <c r="AZ19" i="4" s="1"/>
  <c r="AU19" i="4"/>
  <c r="AV19" i="4" s="1"/>
  <c r="AQ19" i="4"/>
  <c r="AR19" i="4" s="1"/>
  <c r="AM19" i="4"/>
  <c r="AN19" i="4" s="1"/>
  <c r="AI19" i="4"/>
  <c r="AJ19" i="4" s="1"/>
  <c r="AE19" i="4"/>
  <c r="AF19" i="4" s="1"/>
  <c r="AA19" i="4"/>
  <c r="AB19" i="4" s="1"/>
  <c r="W19" i="4"/>
  <c r="X19" i="4" s="1"/>
  <c r="S19" i="4"/>
  <c r="T19" i="4" s="1"/>
  <c r="O19" i="4"/>
  <c r="P19" i="4" s="1"/>
  <c r="K19" i="4"/>
  <c r="L19" i="4" s="1"/>
  <c r="AS19" i="4"/>
  <c r="AT19" i="4" s="1"/>
  <c r="AK19" i="4"/>
  <c r="AL19" i="4" s="1"/>
  <c r="Y19" i="4"/>
  <c r="Z19" i="4" s="1"/>
  <c r="Q19" i="4"/>
  <c r="R19" i="4" s="1"/>
  <c r="DO54" i="4"/>
  <c r="DP54" i="4" s="1"/>
  <c r="DK54" i="4"/>
  <c r="DL54" i="4" s="1"/>
  <c r="DG54" i="4"/>
  <c r="DH54" i="4" s="1"/>
  <c r="DC54" i="4"/>
  <c r="DD54" i="4" s="1"/>
  <c r="CY54" i="4"/>
  <c r="CZ54" i="4" s="1"/>
  <c r="CU54" i="4"/>
  <c r="CV54" i="4" s="1"/>
  <c r="CQ54" i="4"/>
  <c r="CR54" i="4" s="1"/>
  <c r="CM54" i="4"/>
  <c r="CN54" i="4" s="1"/>
  <c r="CI54" i="4"/>
  <c r="CJ54" i="4" s="1"/>
  <c r="CE54" i="4"/>
  <c r="CF54" i="4" s="1"/>
  <c r="CB54" i="4"/>
  <c r="DQ54" i="4"/>
  <c r="DR54" i="4" s="1"/>
  <c r="DM54" i="4"/>
  <c r="DN54" i="4" s="1"/>
  <c r="DI54" i="4"/>
  <c r="DJ54" i="4" s="1"/>
  <c r="DE54" i="4"/>
  <c r="DF54" i="4" s="1"/>
  <c r="DA54" i="4"/>
  <c r="DB54" i="4" s="1"/>
  <c r="CW54" i="4"/>
  <c r="CX54" i="4" s="1"/>
  <c r="CS54" i="4"/>
  <c r="CT54" i="4" s="1"/>
  <c r="CO54" i="4"/>
  <c r="CP54" i="4" s="1"/>
  <c r="CK54" i="4"/>
  <c r="CL54" i="4" s="1"/>
  <c r="CG54" i="4"/>
  <c r="CH54" i="4" s="1"/>
  <c r="CC54" i="4"/>
  <c r="CD54" i="4" s="1"/>
  <c r="ER19" i="4"/>
  <c r="CA19" i="4"/>
  <c r="BZ28" i="4"/>
  <c r="CA28" i="4" s="1"/>
  <c r="GI54" i="4"/>
  <c r="GJ54" i="4" s="1"/>
  <c r="GE54" i="4"/>
  <c r="GF54" i="4" s="1"/>
  <c r="GA54" i="4"/>
  <c r="GB54" i="4" s="1"/>
  <c r="FW54" i="4"/>
  <c r="FX54" i="4" s="1"/>
  <c r="FS54" i="4"/>
  <c r="FT54" i="4" s="1"/>
  <c r="FO54" i="4"/>
  <c r="FP54" i="4" s="1"/>
  <c r="FK54" i="4"/>
  <c r="FL54" i="4" s="1"/>
  <c r="FG54" i="4"/>
  <c r="FH54" i="4" s="1"/>
  <c r="FC54" i="4"/>
  <c r="FD54" i="4" s="1"/>
  <c r="EY54" i="4"/>
  <c r="EZ54" i="4" s="1"/>
  <c r="EU54" i="4"/>
  <c r="EV54" i="4" s="1"/>
  <c r="GG54" i="4"/>
  <c r="GH54" i="4" s="1"/>
  <c r="GC54" i="4"/>
  <c r="GD54" i="4" s="1"/>
  <c r="FY54" i="4"/>
  <c r="FZ54" i="4" s="1"/>
  <c r="FU54" i="4"/>
  <c r="FV54" i="4" s="1"/>
  <c r="FQ54" i="4"/>
  <c r="FR54" i="4" s="1"/>
  <c r="FM54" i="4"/>
  <c r="FN54" i="4" s="1"/>
  <c r="FI54" i="4"/>
  <c r="FJ54" i="4" s="1"/>
  <c r="FE54" i="4"/>
  <c r="FF54" i="4" s="1"/>
  <c r="FA54" i="4"/>
  <c r="FB54" i="4" s="1"/>
  <c r="EW54" i="4"/>
  <c r="EX54" i="4" s="1"/>
  <c r="ET54" i="4"/>
  <c r="EY89" i="4" l="1"/>
  <c r="EZ89" i="4" s="1"/>
  <c r="FW89" i="4"/>
  <c r="FX89" i="4" s="1"/>
  <c r="DO27" i="4"/>
  <c r="DP27" i="4" s="1"/>
  <c r="EU89" i="4"/>
  <c r="EV89" i="4" s="1"/>
  <c r="FY89" i="4"/>
  <c r="FZ89" i="4" s="1"/>
  <c r="ET89" i="4"/>
  <c r="GI148" i="4"/>
  <c r="GJ148" i="4" s="1"/>
  <c r="GE148" i="4"/>
  <c r="GF148" i="4" s="1"/>
  <c r="GA148" i="4"/>
  <c r="GB148" i="4" s="1"/>
  <c r="FW148" i="4"/>
  <c r="FX148" i="4" s="1"/>
  <c r="FS148" i="4"/>
  <c r="FT148" i="4" s="1"/>
  <c r="FO148" i="4"/>
  <c r="FP148" i="4" s="1"/>
  <c r="FK148" i="4"/>
  <c r="FL148" i="4" s="1"/>
  <c r="FG148" i="4"/>
  <c r="FH148" i="4" s="1"/>
  <c r="FC148" i="4"/>
  <c r="FD148" i="4" s="1"/>
  <c r="EY148" i="4"/>
  <c r="EZ148" i="4" s="1"/>
  <c r="EU148" i="4"/>
  <c r="EV148" i="4" s="1"/>
  <c r="GC148" i="4"/>
  <c r="GD148" i="4" s="1"/>
  <c r="FM148" i="4"/>
  <c r="FN148" i="4" s="1"/>
  <c r="EW148" i="4"/>
  <c r="EX148" i="4" s="1"/>
  <c r="FU148" i="4"/>
  <c r="FV148" i="4" s="1"/>
  <c r="FY148" i="4"/>
  <c r="FZ148" i="4" s="1"/>
  <c r="FI148" i="4"/>
  <c r="FJ148" i="4" s="1"/>
  <c r="ET148" i="4"/>
  <c r="FE148" i="4"/>
  <c r="FF148" i="4" s="1"/>
  <c r="GG148" i="4"/>
  <c r="GH148" i="4" s="1"/>
  <c r="FQ148" i="4"/>
  <c r="FR148" i="4" s="1"/>
  <c r="FA148" i="4"/>
  <c r="FB148" i="4" s="1"/>
  <c r="DO148" i="4"/>
  <c r="DP148" i="4" s="1"/>
  <c r="DK148" i="4"/>
  <c r="DL148" i="4" s="1"/>
  <c r="DG148" i="4"/>
  <c r="DH148" i="4" s="1"/>
  <c r="DC148" i="4"/>
  <c r="DD148" i="4" s="1"/>
  <c r="CY148" i="4"/>
  <c r="CZ148" i="4" s="1"/>
  <c r="CU148" i="4"/>
  <c r="CV148" i="4" s="1"/>
  <c r="CQ148" i="4"/>
  <c r="CR148" i="4" s="1"/>
  <c r="CM148" i="4"/>
  <c r="CN148" i="4" s="1"/>
  <c r="CI148" i="4"/>
  <c r="CJ148" i="4" s="1"/>
  <c r="CE148" i="4"/>
  <c r="CF148" i="4" s="1"/>
  <c r="CB148" i="4"/>
  <c r="DQ148" i="4"/>
  <c r="DR148" i="4" s="1"/>
  <c r="DA148" i="4"/>
  <c r="DB148" i="4" s="1"/>
  <c r="CK148" i="4"/>
  <c r="CL148" i="4" s="1"/>
  <c r="CC148" i="4"/>
  <c r="CD148" i="4" s="1"/>
  <c r="DM148" i="4"/>
  <c r="DN148" i="4" s="1"/>
  <c r="CW148" i="4"/>
  <c r="CX148" i="4" s="1"/>
  <c r="CG148" i="4"/>
  <c r="CH148" i="4" s="1"/>
  <c r="CS148" i="4"/>
  <c r="CT148" i="4" s="1"/>
  <c r="DE148" i="4"/>
  <c r="DF148" i="4" s="1"/>
  <c r="CO148" i="4"/>
  <c r="CP148" i="4" s="1"/>
  <c r="DI148" i="4"/>
  <c r="DJ148" i="4" s="1"/>
  <c r="DO143" i="4"/>
  <c r="DP143" i="4" s="1"/>
  <c r="DK143" i="4"/>
  <c r="DL143" i="4" s="1"/>
  <c r="DG143" i="4"/>
  <c r="DH143" i="4" s="1"/>
  <c r="DC143" i="4"/>
  <c r="DD143" i="4" s="1"/>
  <c r="CY143" i="4"/>
  <c r="CZ143" i="4" s="1"/>
  <c r="CU143" i="4"/>
  <c r="CV143" i="4" s="1"/>
  <c r="CQ143" i="4"/>
  <c r="CR143" i="4" s="1"/>
  <c r="CM143" i="4"/>
  <c r="CN143" i="4" s="1"/>
  <c r="CI143" i="4"/>
  <c r="CJ143" i="4" s="1"/>
  <c r="CE143" i="4"/>
  <c r="CF143" i="4" s="1"/>
  <c r="CB143" i="4"/>
  <c r="DQ143" i="4"/>
  <c r="DR143" i="4" s="1"/>
  <c r="DM143" i="4"/>
  <c r="DN143" i="4" s="1"/>
  <c r="DI143" i="4"/>
  <c r="DJ143" i="4" s="1"/>
  <c r="DE143" i="4"/>
  <c r="DF143" i="4" s="1"/>
  <c r="DA143" i="4"/>
  <c r="DB143" i="4" s="1"/>
  <c r="CW143" i="4"/>
  <c r="CX143" i="4" s="1"/>
  <c r="CS143" i="4"/>
  <c r="CT143" i="4" s="1"/>
  <c r="CO143" i="4"/>
  <c r="CP143" i="4" s="1"/>
  <c r="CK143" i="4"/>
  <c r="CL143" i="4" s="1"/>
  <c r="CG143" i="4"/>
  <c r="CH143" i="4" s="1"/>
  <c r="CC143" i="4"/>
  <c r="CD143" i="4" s="1"/>
  <c r="GI143" i="4"/>
  <c r="GJ143" i="4" s="1"/>
  <c r="GE143" i="4"/>
  <c r="GF143" i="4" s="1"/>
  <c r="GA143" i="4"/>
  <c r="GB143" i="4" s="1"/>
  <c r="FW143" i="4"/>
  <c r="FX143" i="4" s="1"/>
  <c r="FS143" i="4"/>
  <c r="FT143" i="4" s="1"/>
  <c r="FO143" i="4"/>
  <c r="FP143" i="4" s="1"/>
  <c r="FK143" i="4"/>
  <c r="FL143" i="4" s="1"/>
  <c r="FG143" i="4"/>
  <c r="FH143" i="4" s="1"/>
  <c r="FC143" i="4"/>
  <c r="FD143" i="4" s="1"/>
  <c r="EY143" i="4"/>
  <c r="EZ143" i="4" s="1"/>
  <c r="EU143" i="4"/>
  <c r="EV143" i="4" s="1"/>
  <c r="GG143" i="4"/>
  <c r="GH143" i="4" s="1"/>
  <c r="GC143" i="4"/>
  <c r="GD143" i="4" s="1"/>
  <c r="FY143" i="4"/>
  <c r="FZ143" i="4" s="1"/>
  <c r="FU143" i="4"/>
  <c r="FV143" i="4" s="1"/>
  <c r="FQ143" i="4"/>
  <c r="FR143" i="4" s="1"/>
  <c r="FM143" i="4"/>
  <c r="FN143" i="4" s="1"/>
  <c r="FI143" i="4"/>
  <c r="FJ143" i="4" s="1"/>
  <c r="FE143" i="4"/>
  <c r="FF143" i="4" s="1"/>
  <c r="FA143" i="4"/>
  <c r="FB143" i="4" s="1"/>
  <c r="EW143" i="4"/>
  <c r="EX143" i="4" s="1"/>
  <c r="ET143" i="4"/>
  <c r="GG60" i="4"/>
  <c r="GH60" i="4" s="1"/>
  <c r="GC60" i="4"/>
  <c r="GD60" i="4" s="1"/>
  <c r="FY60" i="4"/>
  <c r="FZ60" i="4" s="1"/>
  <c r="FU60" i="4"/>
  <c r="FV60" i="4" s="1"/>
  <c r="FQ60" i="4"/>
  <c r="FR60" i="4" s="1"/>
  <c r="FM60" i="4"/>
  <c r="FN60" i="4" s="1"/>
  <c r="FI60" i="4"/>
  <c r="FJ60" i="4" s="1"/>
  <c r="FE60" i="4"/>
  <c r="FF60" i="4" s="1"/>
  <c r="FA60" i="4"/>
  <c r="FB60" i="4" s="1"/>
  <c r="EW60" i="4"/>
  <c r="EX60" i="4" s="1"/>
  <c r="ET60" i="4"/>
  <c r="FW60" i="4"/>
  <c r="FX60" i="4" s="1"/>
  <c r="FG60" i="4"/>
  <c r="FH60" i="4" s="1"/>
  <c r="EY60" i="4"/>
  <c r="EZ60" i="4" s="1"/>
  <c r="GI60" i="4"/>
  <c r="GJ60" i="4" s="1"/>
  <c r="FS60" i="4"/>
  <c r="FT60" i="4" s="1"/>
  <c r="FC60" i="4"/>
  <c r="FD60" i="4" s="1"/>
  <c r="GE60" i="4"/>
  <c r="GF60" i="4" s="1"/>
  <c r="GA60" i="4"/>
  <c r="GB60" i="4" s="1"/>
  <c r="FK60" i="4"/>
  <c r="FL60" i="4" s="1"/>
  <c r="EU60" i="4"/>
  <c r="EV60" i="4" s="1"/>
  <c r="FO60" i="4"/>
  <c r="FP60" i="4" s="1"/>
  <c r="DQ60" i="4"/>
  <c r="DR60" i="4" s="1"/>
  <c r="DM60" i="4"/>
  <c r="DN60" i="4" s="1"/>
  <c r="DI60" i="4"/>
  <c r="DJ60" i="4" s="1"/>
  <c r="DE60" i="4"/>
  <c r="DF60" i="4" s="1"/>
  <c r="DA60" i="4"/>
  <c r="DB60" i="4" s="1"/>
  <c r="CW60" i="4"/>
  <c r="CX60" i="4" s="1"/>
  <c r="CS60" i="4"/>
  <c r="CT60" i="4" s="1"/>
  <c r="CO60" i="4"/>
  <c r="CP60" i="4" s="1"/>
  <c r="CK60" i="4"/>
  <c r="CL60" i="4" s="1"/>
  <c r="CG60" i="4"/>
  <c r="CH60" i="4" s="1"/>
  <c r="CC60" i="4"/>
  <c r="CD60" i="4" s="1"/>
  <c r="DG60" i="4"/>
  <c r="DH60" i="4" s="1"/>
  <c r="CQ60" i="4"/>
  <c r="CR60" i="4" s="1"/>
  <c r="CB60" i="4"/>
  <c r="CY60" i="4"/>
  <c r="CZ60" i="4" s="1"/>
  <c r="DC60" i="4"/>
  <c r="DD60" i="4" s="1"/>
  <c r="CM60" i="4"/>
  <c r="CN60" i="4" s="1"/>
  <c r="DO60" i="4"/>
  <c r="DP60" i="4" s="1"/>
  <c r="DK60" i="4"/>
  <c r="DL60" i="4" s="1"/>
  <c r="CU60" i="4"/>
  <c r="CV60" i="4" s="1"/>
  <c r="CE60" i="4"/>
  <c r="CF60" i="4" s="1"/>
  <c r="CI60" i="4"/>
  <c r="CJ60" i="4" s="1"/>
  <c r="DO57" i="4"/>
  <c r="DP57" i="4" s="1"/>
  <c r="DK57" i="4"/>
  <c r="DL57" i="4" s="1"/>
  <c r="DG57" i="4"/>
  <c r="DH57" i="4" s="1"/>
  <c r="DC57" i="4"/>
  <c r="DD57" i="4" s="1"/>
  <c r="CY57" i="4"/>
  <c r="CZ57" i="4" s="1"/>
  <c r="CU57" i="4"/>
  <c r="CV57" i="4" s="1"/>
  <c r="CQ57" i="4"/>
  <c r="CR57" i="4" s="1"/>
  <c r="CM57" i="4"/>
  <c r="CN57" i="4" s="1"/>
  <c r="CI57" i="4"/>
  <c r="CJ57" i="4" s="1"/>
  <c r="CE57" i="4"/>
  <c r="CF57" i="4" s="1"/>
  <c r="CB57" i="4"/>
  <c r="DQ57" i="4"/>
  <c r="DR57" i="4" s="1"/>
  <c r="DM57" i="4"/>
  <c r="DN57" i="4" s="1"/>
  <c r="DI57" i="4"/>
  <c r="DJ57" i="4" s="1"/>
  <c r="DE57" i="4"/>
  <c r="DF57" i="4" s="1"/>
  <c r="DA57" i="4"/>
  <c r="DB57" i="4" s="1"/>
  <c r="CW57" i="4"/>
  <c r="CX57" i="4" s="1"/>
  <c r="CS57" i="4"/>
  <c r="CT57" i="4" s="1"/>
  <c r="CO57" i="4"/>
  <c r="CP57" i="4" s="1"/>
  <c r="CK57" i="4"/>
  <c r="CL57" i="4" s="1"/>
  <c r="CG57" i="4"/>
  <c r="CH57" i="4" s="1"/>
  <c r="CC57" i="4"/>
  <c r="CD57" i="4" s="1"/>
  <c r="GI57" i="4"/>
  <c r="GJ57" i="4" s="1"/>
  <c r="GE57" i="4"/>
  <c r="GF57" i="4" s="1"/>
  <c r="GA57" i="4"/>
  <c r="GB57" i="4" s="1"/>
  <c r="FW57" i="4"/>
  <c r="FX57" i="4" s="1"/>
  <c r="FS57" i="4"/>
  <c r="FT57" i="4" s="1"/>
  <c r="FO57" i="4"/>
  <c r="FP57" i="4" s="1"/>
  <c r="FK57" i="4"/>
  <c r="FL57" i="4" s="1"/>
  <c r="FG57" i="4"/>
  <c r="FH57" i="4" s="1"/>
  <c r="FC57" i="4"/>
  <c r="FD57" i="4" s="1"/>
  <c r="EY57" i="4"/>
  <c r="EZ57" i="4" s="1"/>
  <c r="EU57" i="4"/>
  <c r="EV57" i="4" s="1"/>
  <c r="GG57" i="4"/>
  <c r="GH57" i="4" s="1"/>
  <c r="GC57" i="4"/>
  <c r="GD57" i="4" s="1"/>
  <c r="FY57" i="4"/>
  <c r="FZ57" i="4" s="1"/>
  <c r="FU57" i="4"/>
  <c r="FV57" i="4" s="1"/>
  <c r="FQ57" i="4"/>
  <c r="FR57" i="4" s="1"/>
  <c r="FM57" i="4"/>
  <c r="FN57" i="4" s="1"/>
  <c r="FI57" i="4"/>
  <c r="FJ57" i="4" s="1"/>
  <c r="FE57" i="4"/>
  <c r="FF57" i="4" s="1"/>
  <c r="FA57" i="4"/>
  <c r="FB57" i="4" s="1"/>
  <c r="EW57" i="4"/>
  <c r="EX57" i="4" s="1"/>
  <c r="ET57" i="4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GG120" i="4"/>
  <c r="GH120" i="4" s="1"/>
  <c r="GC120" i="4"/>
  <c r="GD120" i="4" s="1"/>
  <c r="FY120" i="4"/>
  <c r="FZ120" i="4" s="1"/>
  <c r="FU120" i="4"/>
  <c r="FV120" i="4" s="1"/>
  <c r="FQ120" i="4"/>
  <c r="FR120" i="4" s="1"/>
  <c r="FM120" i="4"/>
  <c r="FN120" i="4" s="1"/>
  <c r="FI120" i="4"/>
  <c r="FJ120" i="4" s="1"/>
  <c r="FE120" i="4"/>
  <c r="FF120" i="4" s="1"/>
  <c r="FA120" i="4"/>
  <c r="FB120" i="4" s="1"/>
  <c r="EW120" i="4"/>
  <c r="EX120" i="4" s="1"/>
  <c r="ET120" i="4"/>
  <c r="DO120" i="4"/>
  <c r="DP120" i="4" s="1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DQ120" i="4"/>
  <c r="DR120" i="4" s="1"/>
  <c r="DM120" i="4"/>
  <c r="DN120" i="4" s="1"/>
  <c r="DI120" i="4"/>
  <c r="DJ120" i="4" s="1"/>
  <c r="DE120" i="4"/>
  <c r="DF120" i="4" s="1"/>
  <c r="DA120" i="4"/>
  <c r="DB120" i="4" s="1"/>
  <c r="CW120" i="4"/>
  <c r="CX120" i="4" s="1"/>
  <c r="CS120" i="4"/>
  <c r="CT120" i="4" s="1"/>
  <c r="CO120" i="4"/>
  <c r="CP120" i="4" s="1"/>
  <c r="CK120" i="4"/>
  <c r="CL120" i="4" s="1"/>
  <c r="CG120" i="4"/>
  <c r="CH120" i="4" s="1"/>
  <c r="CC120" i="4"/>
  <c r="CD120" i="4" s="1"/>
  <c r="DQ127" i="4"/>
  <c r="DR127" i="4" s="1"/>
  <c r="DM127" i="4"/>
  <c r="DN127" i="4" s="1"/>
  <c r="DI127" i="4"/>
  <c r="DJ127" i="4" s="1"/>
  <c r="DE127" i="4"/>
  <c r="DF127" i="4" s="1"/>
  <c r="DA127" i="4"/>
  <c r="DB127" i="4" s="1"/>
  <c r="CW127" i="4"/>
  <c r="CX127" i="4" s="1"/>
  <c r="CS127" i="4"/>
  <c r="CT127" i="4" s="1"/>
  <c r="CO127" i="4"/>
  <c r="CP127" i="4" s="1"/>
  <c r="CK127" i="4"/>
  <c r="CL127" i="4" s="1"/>
  <c r="CG127" i="4"/>
  <c r="CH127" i="4" s="1"/>
  <c r="CC127" i="4"/>
  <c r="CD127" i="4" s="1"/>
  <c r="DK127" i="4"/>
  <c r="DL127" i="4" s="1"/>
  <c r="CU127" i="4"/>
  <c r="CV127" i="4" s="1"/>
  <c r="CE127" i="4"/>
  <c r="CF127" i="4" s="1"/>
  <c r="DG127" i="4"/>
  <c r="DH127" i="4" s="1"/>
  <c r="CQ127" i="4"/>
  <c r="CR127" i="4" s="1"/>
  <c r="CB127" i="4"/>
  <c r="DC127" i="4"/>
  <c r="DD127" i="4" s="1"/>
  <c r="DO127" i="4"/>
  <c r="DP127" i="4" s="1"/>
  <c r="CY127" i="4"/>
  <c r="CZ127" i="4" s="1"/>
  <c r="CI127" i="4"/>
  <c r="CJ127" i="4" s="1"/>
  <c r="CM127" i="4"/>
  <c r="CN127" i="4" s="1"/>
  <c r="GG127" i="4"/>
  <c r="GH127" i="4" s="1"/>
  <c r="GC127" i="4"/>
  <c r="GD127" i="4" s="1"/>
  <c r="FY127" i="4"/>
  <c r="FZ127" i="4" s="1"/>
  <c r="FU127" i="4"/>
  <c r="FV127" i="4" s="1"/>
  <c r="FQ127" i="4"/>
  <c r="FR127" i="4" s="1"/>
  <c r="FM127" i="4"/>
  <c r="FN127" i="4" s="1"/>
  <c r="FI127" i="4"/>
  <c r="FJ127" i="4" s="1"/>
  <c r="FE127" i="4"/>
  <c r="FF127" i="4" s="1"/>
  <c r="FA127" i="4"/>
  <c r="FB127" i="4" s="1"/>
  <c r="EW127" i="4"/>
  <c r="EX127" i="4" s="1"/>
  <c r="ET127" i="4"/>
  <c r="GA127" i="4"/>
  <c r="GB127" i="4" s="1"/>
  <c r="FK127" i="4"/>
  <c r="FL127" i="4" s="1"/>
  <c r="EU127" i="4"/>
  <c r="EV127" i="4" s="1"/>
  <c r="FW127" i="4"/>
  <c r="FX127" i="4" s="1"/>
  <c r="FG127" i="4"/>
  <c r="FH127" i="4" s="1"/>
  <c r="FS127" i="4"/>
  <c r="FT127" i="4" s="1"/>
  <c r="GE127" i="4"/>
  <c r="GF127" i="4" s="1"/>
  <c r="FO127" i="4"/>
  <c r="FP127" i="4" s="1"/>
  <c r="EY127" i="4"/>
  <c r="EZ127" i="4" s="1"/>
  <c r="GI127" i="4"/>
  <c r="GJ127" i="4" s="1"/>
  <c r="FC127" i="4"/>
  <c r="FD127" i="4" s="1"/>
  <c r="CI27" i="4"/>
  <c r="CJ27" i="4" s="1"/>
  <c r="CC27" i="4"/>
  <c r="CD27" i="4" s="1"/>
  <c r="CO27" i="4"/>
  <c r="CP27" i="4" s="1"/>
  <c r="GI89" i="4"/>
  <c r="GJ89" i="4" s="1"/>
  <c r="FO89" i="4"/>
  <c r="FP89" i="4" s="1"/>
  <c r="FM89" i="4"/>
  <c r="FN89" i="4" s="1"/>
  <c r="FK89" i="4"/>
  <c r="FL89" i="4" s="1"/>
  <c r="FA89" i="4"/>
  <c r="FB89" i="4" s="1"/>
  <c r="GC89" i="4"/>
  <c r="GD89" i="4" s="1"/>
  <c r="CG27" i="4"/>
  <c r="CH27" i="4" s="1"/>
  <c r="DQ27" i="4"/>
  <c r="DR27" i="4" s="1"/>
  <c r="CU27" i="4"/>
  <c r="CV27" i="4" s="1"/>
  <c r="FC89" i="4"/>
  <c r="FD89" i="4" s="1"/>
  <c r="FG89" i="4"/>
  <c r="FH89" i="4" s="1"/>
  <c r="EW89" i="4"/>
  <c r="EX89" i="4" s="1"/>
  <c r="FQ89" i="4"/>
  <c r="FR89" i="4" s="1"/>
  <c r="DI27" i="4"/>
  <c r="DJ27" i="4" s="1"/>
  <c r="CQ27" i="4"/>
  <c r="CR27" i="4" s="1"/>
  <c r="FS89" i="4"/>
  <c r="FT89" i="4" s="1"/>
  <c r="GA89" i="4"/>
  <c r="GB89" i="4" s="1"/>
  <c r="GE89" i="4"/>
  <c r="GF89" i="4" s="1"/>
  <c r="FE89" i="4"/>
  <c r="FF89" i="4" s="1"/>
  <c r="DA27" i="4"/>
  <c r="DB27" i="4" s="1"/>
  <c r="DG27" i="4"/>
  <c r="DH27" i="4" s="1"/>
  <c r="DK27" i="4"/>
  <c r="DL27" i="4" s="1"/>
  <c r="DM27" i="4"/>
  <c r="DN27" i="4" s="1"/>
  <c r="CW27" i="4"/>
  <c r="CX27" i="4" s="1"/>
  <c r="CY27" i="4"/>
  <c r="CZ27" i="4" s="1"/>
  <c r="CM27" i="4"/>
  <c r="CN27" i="4" s="1"/>
  <c r="CS27" i="4"/>
  <c r="CT27" i="4" s="1"/>
  <c r="CK27" i="4"/>
  <c r="CL27" i="4" s="1"/>
  <c r="DE27" i="4"/>
  <c r="DF27" i="4" s="1"/>
  <c r="CB27" i="4"/>
  <c r="CE27" i="4"/>
  <c r="CF27" i="4" s="1"/>
  <c r="GG52" i="4"/>
  <c r="GH52" i="4" s="1"/>
  <c r="GC52" i="4"/>
  <c r="GD52" i="4" s="1"/>
  <c r="FY52" i="4"/>
  <c r="FZ52" i="4" s="1"/>
  <c r="FU52" i="4"/>
  <c r="FV52" i="4" s="1"/>
  <c r="FQ52" i="4"/>
  <c r="FR52" i="4" s="1"/>
  <c r="GI52" i="4"/>
  <c r="GJ52" i="4" s="1"/>
  <c r="GE52" i="4"/>
  <c r="GF52" i="4" s="1"/>
  <c r="GA52" i="4"/>
  <c r="GB52" i="4" s="1"/>
  <c r="FW52" i="4"/>
  <c r="FX52" i="4" s="1"/>
  <c r="FS52" i="4"/>
  <c r="FT52" i="4" s="1"/>
  <c r="FO52" i="4"/>
  <c r="FP52" i="4" s="1"/>
  <c r="FK52" i="4"/>
  <c r="FL52" i="4" s="1"/>
  <c r="FG52" i="4"/>
  <c r="FH52" i="4" s="1"/>
  <c r="FC52" i="4"/>
  <c r="FD52" i="4" s="1"/>
  <c r="EY52" i="4"/>
  <c r="EZ52" i="4" s="1"/>
  <c r="EU52" i="4"/>
  <c r="EV52" i="4" s="1"/>
  <c r="FI52" i="4"/>
  <c r="FJ52" i="4" s="1"/>
  <c r="ET52" i="4"/>
  <c r="EW52" i="4"/>
  <c r="EX52" i="4" s="1"/>
  <c r="FE52" i="4"/>
  <c r="FF52" i="4" s="1"/>
  <c r="FA52" i="4"/>
  <c r="FB52" i="4" s="1"/>
  <c r="FM52" i="4"/>
  <c r="FN52" i="4" s="1"/>
  <c r="DO52" i="4"/>
  <c r="DP52" i="4" s="1"/>
  <c r="DK52" i="4"/>
  <c r="DL52" i="4" s="1"/>
  <c r="DG52" i="4"/>
  <c r="DH52" i="4" s="1"/>
  <c r="DC52" i="4"/>
  <c r="DD52" i="4" s="1"/>
  <c r="CY52" i="4"/>
  <c r="CZ52" i="4" s="1"/>
  <c r="CU52" i="4"/>
  <c r="CV52" i="4" s="1"/>
  <c r="CQ52" i="4"/>
  <c r="CR52" i="4" s="1"/>
  <c r="CM52" i="4"/>
  <c r="CN52" i="4" s="1"/>
  <c r="CI52" i="4"/>
  <c r="CJ52" i="4" s="1"/>
  <c r="CE52" i="4"/>
  <c r="CF52" i="4" s="1"/>
  <c r="CB52" i="4"/>
  <c r="DM52" i="4"/>
  <c r="DN52" i="4" s="1"/>
  <c r="CW52" i="4"/>
  <c r="CX52" i="4" s="1"/>
  <c r="CG52" i="4"/>
  <c r="CH52" i="4" s="1"/>
  <c r="DA52" i="4"/>
  <c r="DB52" i="4" s="1"/>
  <c r="DI52" i="4"/>
  <c r="DJ52" i="4" s="1"/>
  <c r="CS52" i="4"/>
  <c r="CT52" i="4" s="1"/>
  <c r="CC52" i="4"/>
  <c r="CD52" i="4" s="1"/>
  <c r="DE52" i="4"/>
  <c r="DF52" i="4" s="1"/>
  <c r="CO52" i="4"/>
  <c r="CP52" i="4" s="1"/>
  <c r="DQ52" i="4"/>
  <c r="DR52" i="4" s="1"/>
  <c r="CK52" i="4"/>
  <c r="CL52" i="4" s="1"/>
  <c r="ER28" i="4"/>
  <c r="ES28" i="4" s="1"/>
  <c r="ES19" i="4"/>
  <c r="DO19" i="4"/>
  <c r="DP19" i="4" s="1"/>
  <c r="DI19" i="4"/>
  <c r="DJ19" i="4" s="1"/>
  <c r="DE19" i="4"/>
  <c r="DF19" i="4" s="1"/>
  <c r="DA19" i="4"/>
  <c r="DB19" i="4" s="1"/>
  <c r="CW19" i="4"/>
  <c r="CX19" i="4" s="1"/>
  <c r="CS19" i="4"/>
  <c r="CT19" i="4" s="1"/>
  <c r="CO19" i="4"/>
  <c r="CP19" i="4" s="1"/>
  <c r="CK19" i="4"/>
  <c r="CL19" i="4" s="1"/>
  <c r="CG19" i="4"/>
  <c r="CH19" i="4" s="1"/>
  <c r="CC19" i="4"/>
  <c r="CD19" i="4" s="1"/>
  <c r="DM19" i="4"/>
  <c r="DN19" i="4" s="1"/>
  <c r="DQ19" i="4"/>
  <c r="DR19" i="4" s="1"/>
  <c r="DG19" i="4"/>
  <c r="DH19" i="4" s="1"/>
  <c r="DC19" i="4"/>
  <c r="DD19" i="4" s="1"/>
  <c r="CY19" i="4"/>
  <c r="CZ19" i="4" s="1"/>
  <c r="CU19" i="4"/>
  <c r="CV19" i="4" s="1"/>
  <c r="CQ19" i="4"/>
  <c r="CR19" i="4" s="1"/>
  <c r="CM19" i="4"/>
  <c r="CN19" i="4" s="1"/>
  <c r="CI19" i="4"/>
  <c r="CJ19" i="4" s="1"/>
  <c r="CE19" i="4"/>
  <c r="CF19" i="4" s="1"/>
  <c r="CB19" i="4"/>
  <c r="DK19" i="4"/>
  <c r="DL19" i="4" s="1"/>
  <c r="DQ28" i="4"/>
  <c r="DR28" i="4" s="1"/>
  <c r="DM28" i="4"/>
  <c r="DN28" i="4" s="1"/>
  <c r="DO28" i="4"/>
  <c r="DP28" i="4" s="1"/>
  <c r="DI28" i="4"/>
  <c r="DJ28" i="4" s="1"/>
  <c r="DC28" i="4"/>
  <c r="DD28" i="4" s="1"/>
  <c r="CS28" i="4"/>
  <c r="CT28" i="4" s="1"/>
  <c r="CM28" i="4"/>
  <c r="CN28" i="4" s="1"/>
  <c r="CC28" i="4"/>
  <c r="CD28" i="4" s="1"/>
  <c r="DG28" i="4"/>
  <c r="DH28" i="4" s="1"/>
  <c r="CW28" i="4"/>
  <c r="CX28" i="4" s="1"/>
  <c r="CQ28" i="4"/>
  <c r="CR28" i="4" s="1"/>
  <c r="CG28" i="4"/>
  <c r="CH28" i="4" s="1"/>
  <c r="CB28" i="4"/>
  <c r="DE28" i="4"/>
  <c r="DF28" i="4" s="1"/>
  <c r="CY28" i="4"/>
  <c r="CZ28" i="4" s="1"/>
  <c r="CO28" i="4"/>
  <c r="CP28" i="4" s="1"/>
  <c r="CI28" i="4"/>
  <c r="CJ28" i="4" s="1"/>
  <c r="DA28" i="4"/>
  <c r="DB28" i="4" s="1"/>
  <c r="CE28" i="4"/>
  <c r="CF28" i="4" s="1"/>
  <c r="CU28" i="4"/>
  <c r="CV28" i="4" s="1"/>
  <c r="CK28" i="4"/>
  <c r="CL28" i="4" s="1"/>
  <c r="DK28" i="4"/>
  <c r="DL28" i="4" s="1"/>
  <c r="GE19" i="4" l="1"/>
  <c r="GF19" i="4" s="1"/>
  <c r="FI19" i="4"/>
  <c r="FJ19" i="4" s="1"/>
  <c r="ET19" i="4"/>
  <c r="GG19" i="4"/>
  <c r="GH19" i="4" s="1"/>
  <c r="FQ19" i="4"/>
  <c r="FR19" i="4" s="1"/>
  <c r="FA19" i="4"/>
  <c r="FB19" i="4" s="1"/>
  <c r="GI19" i="4"/>
  <c r="GJ19" i="4" s="1"/>
  <c r="GC19" i="4"/>
  <c r="GD19" i="4" s="1"/>
  <c r="FS19" i="4"/>
  <c r="FT19" i="4" s="1"/>
  <c r="FM19" i="4"/>
  <c r="FN19" i="4" s="1"/>
  <c r="FC19" i="4"/>
  <c r="FD19" i="4" s="1"/>
  <c r="EW19" i="4"/>
  <c r="EX19" i="4" s="1"/>
  <c r="GA19" i="4"/>
  <c r="GB19" i="4" s="1"/>
  <c r="FU19" i="4"/>
  <c r="FV19" i="4" s="1"/>
  <c r="FK19" i="4"/>
  <c r="FL19" i="4" s="1"/>
  <c r="FE19" i="4"/>
  <c r="FF19" i="4" s="1"/>
  <c r="EU19" i="4"/>
  <c r="EV19" i="4" s="1"/>
  <c r="FY19" i="4"/>
  <c r="FZ19" i="4" s="1"/>
  <c r="FO19" i="4"/>
  <c r="FP19" i="4" s="1"/>
  <c r="EY19" i="4"/>
  <c r="EZ19" i="4" s="1"/>
  <c r="FW19" i="4"/>
  <c r="FX19" i="4" s="1"/>
  <c r="FG19" i="4"/>
  <c r="FH19" i="4" s="1"/>
  <c r="GI28" i="4"/>
  <c r="GJ28" i="4" s="1"/>
  <c r="FY28" i="4"/>
  <c r="FZ28" i="4" s="1"/>
  <c r="FS28" i="4"/>
  <c r="FT28" i="4" s="1"/>
  <c r="FI28" i="4"/>
  <c r="FJ28" i="4" s="1"/>
  <c r="FC28" i="4"/>
  <c r="FD28" i="4" s="1"/>
  <c r="ET28" i="4"/>
  <c r="GA28" i="4"/>
  <c r="GB28" i="4" s="1"/>
  <c r="FU28" i="4"/>
  <c r="FV28" i="4" s="1"/>
  <c r="FM28" i="4"/>
  <c r="FN28" i="4" s="1"/>
  <c r="EY28" i="4"/>
  <c r="EZ28" i="4" s="1"/>
  <c r="GG28" i="4"/>
  <c r="GH28" i="4" s="1"/>
  <c r="FK28" i="4"/>
  <c r="FL28" i="4" s="1"/>
  <c r="FE28" i="4"/>
  <c r="FF28" i="4" s="1"/>
  <c r="EW28" i="4"/>
  <c r="EX28" i="4" s="1"/>
  <c r="GC28" i="4"/>
  <c r="GD28" i="4" s="1"/>
  <c r="FO28" i="4"/>
  <c r="FP28" i="4" s="1"/>
  <c r="FG28" i="4"/>
  <c r="FH28" i="4" s="1"/>
  <c r="FA28" i="4"/>
  <c r="FB28" i="4" s="1"/>
  <c r="GE28" i="4"/>
  <c r="GF28" i="4" s="1"/>
  <c r="FW28" i="4"/>
  <c r="FX28" i="4" s="1"/>
  <c r="FQ28" i="4"/>
  <c r="FR28" i="4" s="1"/>
  <c r="EU28" i="4"/>
  <c r="EV28" i="4" s="1"/>
</calcChain>
</file>

<file path=xl/sharedStrings.xml><?xml version="1.0" encoding="utf-8"?>
<sst xmlns="http://schemas.openxmlformats.org/spreadsheetml/2006/main" count="714" uniqueCount="316">
  <si>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</si>
  <si>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</si>
  <si>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</si>
  <si>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</si>
  <si>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</si>
  <si>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</si>
  <si>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</si>
  <si>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</si>
  <si>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</si>
  <si>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</si>
  <si>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</si>
  <si>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</si>
  <si>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</si>
  <si>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</si>
  <si>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</si>
  <si>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</si>
  <si>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</si>
  <si>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</si>
  <si>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</si>
  <si>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</si>
  <si>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</si>
  <si>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</si>
  <si>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</si>
  <si>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</si>
  <si>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</si>
  <si>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</si>
  <si>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</si>
  <si>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</si>
  <si>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</si>
  <si>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</si>
  <si>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</si>
  <si>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</si>
  <si>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</si>
  <si>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</si>
  <si>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</si>
  <si>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</si>
  <si>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</si>
  <si>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</si>
  <si>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</si>
  <si>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</si>
  <si>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</si>
  <si>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</si>
  <si>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</si>
  <si>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</si>
  <si>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</si>
  <si>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</si>
  <si>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</si>
  <si>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</si>
  <si>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</si>
  <si>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</si>
  <si>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</si>
  <si>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</si>
  <si>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</si>
  <si>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</si>
  <si>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</si>
  <si>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</si>
  <si>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</si>
  <si>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</si>
  <si>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</si>
  <si>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</si>
  <si>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</si>
  <si>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</si>
  <si>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</si>
  <si>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</si>
  <si>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</si>
  <si>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</si>
  <si>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</si>
  <si>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</si>
  <si>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</si>
  <si>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</si>
  <si>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</si>
  <si>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</si>
  <si>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</si>
  <si>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</si>
  <si>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</si>
  <si>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</si>
  <si>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</si>
  <si>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</si>
  <si>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</si>
  <si>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</si>
  <si>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</si>
  <si>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</si>
  <si>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</si>
  <si>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</si>
  <si>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</si>
  <si>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</si>
  <si>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</si>
  <si>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</si>
  <si>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</si>
  <si>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</si>
  <si>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</si>
  <si>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</si>
  <si>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</si>
  <si>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</si>
  <si>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</si>
  <si>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</si>
  <si>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</si>
  <si>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</si>
  <si>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</si>
  <si>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</si>
  <si>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</si>
  <si>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</si>
  <si>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</si>
  <si>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</si>
  <si>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</si>
  <si>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</si>
  <si>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</si>
  <si>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</si>
  <si>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</si>
  <si>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</si>
  <si>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</si>
  <si>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</si>
  <si>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</si>
  <si>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</si>
  <si>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</si>
  <si>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</si>
  <si>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</si>
  <si>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</si>
  <si>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</si>
  <si>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</si>
  <si>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</si>
  <si>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</si>
  <si>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</si>
  <si>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</si>
  <si>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</si>
  <si>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</si>
  <si>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</si>
  <si>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</si>
  <si>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</si>
  <si>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</si>
  <si>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</si>
  <si>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</si>
  <si>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</si>
  <si>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</si>
  <si>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</si>
  <si>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</si>
  <si>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</si>
  <si>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</si>
  <si>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</si>
  <si>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</si>
  <si>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</si>
  <si>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</si>
  <si>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</si>
  <si>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</si>
  <si>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</si>
  <si>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</si>
  <si>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</si>
  <si>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</si>
  <si>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</si>
  <si>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</si>
  <si>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</si>
  <si>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</si>
  <si>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</si>
  <si>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</si>
  <si>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</si>
  <si>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</si>
  <si>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</si>
  <si>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</si>
  <si>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</si>
  <si>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</si>
  <si>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</si>
  <si>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</si>
  <si>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</si>
  <si>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</si>
  <si>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</si>
  <si>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</si>
  <si>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</si>
  <si>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</si>
  <si>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</si>
  <si>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</si>
  <si>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</si>
  <si>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</si>
  <si>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</si>
  <si>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</si>
  <si>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</si>
  <si>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</si>
  <si>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</si>
  <si>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</si>
  <si>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</si>
  <si>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</si>
  <si>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</si>
  <si>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</si>
  <si>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</si>
  <si>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</si>
  <si>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</si>
  <si>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</si>
  <si>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</si>
  <si>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</si>
  <si>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</si>
  <si>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</si>
  <si>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</si>
  <si>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</si>
  <si>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</si>
  <si>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</si>
  <si>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</si>
  <si>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</si>
  <si>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</si>
  <si>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</si>
  <si>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</si>
  <si>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</si>
  <si>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</si>
  <si>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</si>
  <si>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</si>
  <si>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</si>
  <si>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</si>
  <si>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</si>
  <si>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</si>
  <si>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</si>
  <si>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</si>
  <si>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</si>
  <si>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</si>
  <si>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</si>
  <si>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</si>
  <si>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</si>
  <si>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</si>
  <si>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</si>
  <si>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</si>
  <si>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</si>
  <si>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</si>
  <si>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</si>
  <si>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</si>
  <si>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</si>
  <si>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</si>
  <si>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</si>
  <si>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</si>
  <si>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</si>
  <si>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</si>
  <si>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</si>
  <si>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</si>
  <si>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</si>
  <si>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</si>
  <si>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</si>
  <si>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</si>
  <si>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</si>
  <si>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</si>
  <si>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</si>
  <si>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</si>
  <si>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</si>
  <si>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</si>
  <si>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</si>
  <si>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</si>
  <si>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</si>
  <si>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</si>
  <si>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</si>
  <si>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</si>
  <si>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</si>
  <si>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</si>
  <si>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</si>
  <si>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</si>
  <si>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</si>
  <si>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</si>
  <si>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</si>
  <si>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</si>
  <si>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</si>
  <si>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</si>
  <si>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</si>
  <si>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</si>
  <si>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</si>
  <si>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</si>
  <si>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</si>
  <si>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</si>
  <si>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</si>
  <si>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</si>
  <si>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</si>
  <si>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</si>
  <si>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</si>
  <si>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</si>
  <si>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</si>
  <si>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</si>
  <si>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</si>
  <si>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</si>
  <si>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</si>
  <si>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</si>
  <si>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</si>
  <si>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</si>
  <si>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</si>
  <si>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</si>
  <si>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</si>
  <si>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</si>
  <si>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</si>
  <si>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</si>
  <si>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</si>
  <si>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</si>
  <si>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</si>
  <si>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</si>
  <si>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</si>
  <si>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</si>
  <si>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</si>
  <si>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</si>
  <si>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</si>
  <si>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</si>
  <si>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</si>
  <si>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</si>
  <si>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</si>
  <si>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</si>
  <si>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</si>
  <si>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</si>
  <si>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</si>
  <si>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</si>
  <si>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</si>
  <si>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</si>
  <si>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</si>
  <si>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</si>
  <si>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</si>
  <si>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나성중학교 신축공사</t>
    <phoneticPr fontId="2" type="noConversion"/>
  </si>
  <si>
    <t>세종시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</si>
  <si>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</si>
  <si>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</si>
  <si>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</si>
  <si>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</si>
  <si>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공조배관공사, 난방배관공사, 기타공사</t>
    <phoneticPr fontId="2" type="noConversion"/>
  </si>
  <si>
    <t>옥외보안등설비공사</t>
    <phoneticPr fontId="2" type="noConversion"/>
  </si>
  <si>
    <t>사급자재비, 운반비, 기타공사</t>
    <phoneticPr fontId="2" type="noConversion"/>
  </si>
  <si>
    <t>포장공사</t>
    <phoneticPr fontId="2" type="noConversion"/>
  </si>
  <si>
    <t>원 /평</t>
    <phoneticPr fontId="2" type="noConversion"/>
  </si>
  <si>
    <t>원 /평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</si>
</sst>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95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150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150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190</v>
      </c>
      <c r="Z14" s="28">
        <v>10</v>
      </c>
      <c r="AA14" s="29" t="s">
        <v>150</v>
      </c>
      <c r="AB14" s="28">
        <v>10</v>
      </c>
      <c r="AC14" s="29" t="s">
        <v>150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146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147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148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150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150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150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zoomScale="90" zoomScaleNormal="90" workbookViewId="0">
      <selection activeCell="F5" sqref="F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304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303</v>
      </c>
    </row>
    <row r="6" spans="1:216" ht="17.25" thickBot="1" x14ac:dyDescent="0.35">
      <c r="A6" s="2">
        <v>3</v>
      </c>
      <c r="B6" s="2" t="s">
        <v>152</v>
      </c>
      <c r="C6" s="2" t="s">
        <v>105</v>
      </c>
      <c r="D6" s="35" t="s">
        <v>291</v>
      </c>
    </row>
    <row r="7" spans="1:216" ht="17.25" thickBot="1" x14ac:dyDescent="0.35">
      <c r="C7" s="37">
        <v>9512.81</v>
      </c>
      <c r="D7" s="36">
        <f>+C7/3.3058</f>
        <v>2877.6120757456588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305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211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151</v>
      </c>
      <c r="I15" s="79" t="s">
        <v>236</v>
      </c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C15" s="79" t="s">
        <v>238</v>
      </c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CA15" s="80" t="s">
        <v>239</v>
      </c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U15" s="80" t="s">
        <v>237</v>
      </c>
      <c r="DV15" s="80"/>
      <c r="DW15" s="80"/>
      <c r="DX15" s="80"/>
      <c r="DY15" s="80"/>
      <c r="DZ15" s="80"/>
      <c r="EA15" s="80"/>
      <c r="EB15" s="80"/>
      <c r="EC15" s="80"/>
      <c r="ED15" s="80"/>
      <c r="EE15" s="80"/>
      <c r="EF15" s="80"/>
      <c r="EG15" s="80"/>
      <c r="EH15" s="80"/>
      <c r="EI15" s="80"/>
      <c r="EJ15" s="80"/>
      <c r="EK15" s="80"/>
      <c r="EL15" s="80"/>
      <c r="EM15" s="80"/>
      <c r="EN15" s="80"/>
      <c r="EO15" s="80"/>
      <c r="EP15" s="80"/>
      <c r="ER15" s="55"/>
      <c r="ES15" s="78" t="s">
        <v>240</v>
      </c>
      <c r="ET15" s="78"/>
      <c r="EU15" s="78"/>
      <c r="EV15" s="78"/>
      <c r="EW15" s="78"/>
      <c r="EX15" s="78"/>
      <c r="EY15" s="78"/>
      <c r="EZ15" s="78"/>
      <c r="FA15" s="78"/>
      <c r="FB15" s="78"/>
      <c r="FC15" s="78"/>
      <c r="FD15" s="78"/>
      <c r="FE15" s="78"/>
      <c r="FF15" s="78"/>
      <c r="FG15" s="78"/>
      <c r="FH15" s="78"/>
      <c r="FI15" s="78"/>
      <c r="FJ15" s="78"/>
      <c r="FK15" s="78"/>
      <c r="FL15" s="78"/>
      <c r="FM15" s="78"/>
      <c r="FN15" s="78"/>
      <c r="FO15" s="78"/>
      <c r="FP15" s="78"/>
      <c r="FQ15" s="78"/>
      <c r="FR15" s="78"/>
      <c r="FS15" s="78"/>
      <c r="FT15" s="78"/>
      <c r="FU15" s="78"/>
      <c r="FV15" s="78"/>
      <c r="FW15" s="78"/>
      <c r="FX15" s="78"/>
      <c r="FY15" s="78"/>
      <c r="FZ15" s="78"/>
      <c r="GA15" s="78"/>
      <c r="GB15" s="78"/>
      <c r="GC15" s="78"/>
      <c r="GD15" s="78"/>
      <c r="GE15" s="78"/>
      <c r="GF15" s="78"/>
      <c r="GG15" s="78"/>
      <c r="GH15" s="78"/>
      <c r="GI15" s="78"/>
      <c r="GJ15" s="78"/>
      <c r="GK15" s="55"/>
      <c r="GL15" s="55"/>
      <c r="GM15" s="78" t="s">
        <v>237</v>
      </c>
      <c r="GN15" s="78"/>
      <c r="GO15" s="78"/>
      <c r="GP15" s="78"/>
      <c r="GQ15" s="78"/>
      <c r="GR15" s="78"/>
      <c r="GS15" s="78"/>
      <c r="GT15" s="78"/>
      <c r="GU15" s="78"/>
      <c r="GV15" s="78"/>
      <c r="GW15" s="78"/>
      <c r="GX15" s="78"/>
      <c r="GY15" s="78"/>
      <c r="GZ15" s="78"/>
      <c r="HA15" s="78"/>
      <c r="HB15" s="78"/>
      <c r="HC15" s="78"/>
      <c r="HD15" s="78"/>
      <c r="HE15" s="78"/>
      <c r="HF15" s="78"/>
      <c r="HG15" s="78"/>
      <c r="HH15" s="78"/>
    </row>
    <row r="16" spans="1:216" x14ac:dyDescent="0.3">
      <c r="H16" s="55" t="s">
        <v>241</v>
      </c>
      <c r="I16" s="55" t="s">
        <v>242</v>
      </c>
      <c r="J16" s="55"/>
      <c r="K16" s="55" t="s">
        <v>243</v>
      </c>
      <c r="M16" s="55" t="s">
        <v>244</v>
      </c>
      <c r="O16" s="55" t="s">
        <v>245</v>
      </c>
      <c r="Q16" s="57" t="s">
        <v>246</v>
      </c>
      <c r="R16" s="56"/>
      <c r="S16" s="58" t="s">
        <v>247</v>
      </c>
      <c r="U16" s="57" t="s">
        <v>248</v>
      </c>
      <c r="W16" s="55" t="s">
        <v>249</v>
      </c>
      <c r="Y16" s="57" t="s">
        <v>250</v>
      </c>
      <c r="AA16" s="55" t="s">
        <v>251</v>
      </c>
      <c r="AC16" s="55" t="s">
        <v>252</v>
      </c>
      <c r="AE16" s="55" t="s">
        <v>253</v>
      </c>
      <c r="AG16" s="55" t="s">
        <v>254</v>
      </c>
      <c r="AH16" s="56"/>
      <c r="AI16" s="58" t="s">
        <v>255</v>
      </c>
      <c r="AK16" s="55" t="s">
        <v>256</v>
      </c>
      <c r="AM16" s="55" t="s">
        <v>257</v>
      </c>
      <c r="AO16" s="55" t="s">
        <v>258</v>
      </c>
      <c r="AQ16" s="55" t="s">
        <v>259</v>
      </c>
      <c r="AR16" s="56"/>
      <c r="AS16" s="58" t="s">
        <v>260</v>
      </c>
      <c r="AU16" s="55" t="s">
        <v>261</v>
      </c>
      <c r="AW16" s="55" t="s">
        <v>262</v>
      </c>
      <c r="AY16" s="55" t="s">
        <v>263</v>
      </c>
      <c r="BC16" s="55" t="s">
        <v>264</v>
      </c>
      <c r="BD16" s="55" t="s">
        <v>243</v>
      </c>
      <c r="BE16" s="55" t="s">
        <v>209</v>
      </c>
      <c r="BF16" s="55" t="s">
        <v>208</v>
      </c>
      <c r="BG16" s="55" t="s">
        <v>206</v>
      </c>
      <c r="BH16" s="55" t="s">
        <v>203</v>
      </c>
      <c r="BI16" s="55" t="s">
        <v>202</v>
      </c>
      <c r="BJ16" s="55" t="s">
        <v>200</v>
      </c>
      <c r="BK16" s="55" t="s">
        <v>199</v>
      </c>
      <c r="BL16" s="55" t="s">
        <v>198</v>
      </c>
      <c r="BM16" s="55" t="s">
        <v>195</v>
      </c>
      <c r="BN16" s="55" t="s">
        <v>192</v>
      </c>
      <c r="BO16" s="55" t="s">
        <v>189</v>
      </c>
      <c r="BP16" s="55" t="s">
        <v>187</v>
      </c>
      <c r="BQ16" s="55" t="s">
        <v>181</v>
      </c>
      <c r="BR16" s="55" t="s">
        <v>178</v>
      </c>
      <c r="BS16" s="55" t="s">
        <v>265</v>
      </c>
      <c r="BT16" s="55" t="s">
        <v>266</v>
      </c>
      <c r="BU16" s="55" t="s">
        <v>267</v>
      </c>
      <c r="BV16" s="55" t="s">
        <v>268</v>
      </c>
      <c r="BW16" s="55" t="s">
        <v>269</v>
      </c>
      <c r="BX16" s="55" t="s">
        <v>270</v>
      </c>
      <c r="BZ16" s="55" t="s">
        <v>241</v>
      </c>
      <c r="CA16" s="55" t="s">
        <v>242</v>
      </c>
      <c r="CC16" s="55" t="s">
        <v>243</v>
      </c>
      <c r="CE16" s="55" t="s">
        <v>244</v>
      </c>
      <c r="CG16" s="55" t="s">
        <v>245</v>
      </c>
      <c r="CI16" s="55" t="s">
        <v>246</v>
      </c>
      <c r="CJ16" s="56"/>
      <c r="CK16" s="58" t="s">
        <v>247</v>
      </c>
      <c r="CM16" s="55" t="s">
        <v>248</v>
      </c>
      <c r="CO16" s="55" t="s">
        <v>249</v>
      </c>
      <c r="CQ16" s="55" t="s">
        <v>250</v>
      </c>
      <c r="CS16" s="55" t="s">
        <v>251</v>
      </c>
      <c r="CU16" s="55" t="s">
        <v>252</v>
      </c>
      <c r="CW16" s="55" t="s">
        <v>253</v>
      </c>
      <c r="CY16" s="55" t="s">
        <v>254</v>
      </c>
      <c r="CZ16" s="56"/>
      <c r="DA16" s="58" t="s">
        <v>255</v>
      </c>
      <c r="DC16" s="55" t="s">
        <v>256</v>
      </c>
      <c r="DE16" s="55" t="s">
        <v>257</v>
      </c>
      <c r="DG16" s="55" t="s">
        <v>258</v>
      </c>
      <c r="DI16" s="55" t="s">
        <v>259</v>
      </c>
      <c r="DJ16" s="56"/>
      <c r="DK16" s="58" t="s">
        <v>260</v>
      </c>
      <c r="DM16" s="55" t="s">
        <v>261</v>
      </c>
      <c r="DO16" s="55" t="s">
        <v>262</v>
      </c>
      <c r="DQ16" s="55" t="s">
        <v>263</v>
      </c>
      <c r="DU16" s="55" t="s">
        <v>264</v>
      </c>
      <c r="DV16" s="55" t="s">
        <v>243</v>
      </c>
      <c r="DW16" s="55" t="s">
        <v>209</v>
      </c>
      <c r="DX16" s="55" t="s">
        <v>208</v>
      </c>
      <c r="DY16" s="55" t="s">
        <v>206</v>
      </c>
      <c r="DZ16" s="55" t="s">
        <v>203</v>
      </c>
      <c r="EA16" s="55" t="s">
        <v>202</v>
      </c>
      <c r="EB16" s="55" t="s">
        <v>200</v>
      </c>
      <c r="EC16" s="55" t="s">
        <v>199</v>
      </c>
      <c r="ED16" s="55" t="s">
        <v>198</v>
      </c>
      <c r="EE16" s="55" t="s">
        <v>195</v>
      </c>
      <c r="EF16" s="55" t="s">
        <v>192</v>
      </c>
      <c r="EG16" s="55" t="s">
        <v>189</v>
      </c>
      <c r="EH16" s="55" t="s">
        <v>187</v>
      </c>
      <c r="EI16" s="55" t="s">
        <v>181</v>
      </c>
      <c r="EJ16" s="55" t="s">
        <v>178</v>
      </c>
      <c r="EK16" s="55" t="s">
        <v>265</v>
      </c>
      <c r="EL16" s="55" t="s">
        <v>266</v>
      </c>
      <c r="EM16" s="55" t="s">
        <v>267</v>
      </c>
      <c r="EN16" s="55" t="s">
        <v>268</v>
      </c>
      <c r="EO16" s="55" t="s">
        <v>269</v>
      </c>
      <c r="EP16" s="55" t="s">
        <v>270</v>
      </c>
      <c r="ER16" s="55" t="s">
        <v>241</v>
      </c>
      <c r="ES16" s="55" t="s">
        <v>242</v>
      </c>
      <c r="ET16" s="55"/>
      <c r="EU16" s="55" t="s">
        <v>243</v>
      </c>
      <c r="EV16" s="55"/>
      <c r="EW16" s="55" t="s">
        <v>244</v>
      </c>
      <c r="EX16" s="55"/>
      <c r="EY16" s="55" t="s">
        <v>245</v>
      </c>
      <c r="EZ16" s="55"/>
      <c r="FA16" s="55" t="s">
        <v>246</v>
      </c>
      <c r="FB16" s="56"/>
      <c r="FC16" s="58" t="s">
        <v>247</v>
      </c>
      <c r="FD16" s="55"/>
      <c r="FE16" s="55" t="s">
        <v>248</v>
      </c>
      <c r="FF16" s="55"/>
      <c r="FG16" s="55" t="s">
        <v>249</v>
      </c>
      <c r="FH16" s="55"/>
      <c r="FI16" s="55" t="s">
        <v>250</v>
      </c>
      <c r="FJ16" s="55"/>
      <c r="FK16" s="55" t="s">
        <v>251</v>
      </c>
      <c r="FL16" s="55"/>
      <c r="FM16" s="55" t="s">
        <v>252</v>
      </c>
      <c r="FN16" s="55"/>
      <c r="FO16" s="55" t="s">
        <v>253</v>
      </c>
      <c r="FP16" s="55"/>
      <c r="FQ16" s="55" t="s">
        <v>254</v>
      </c>
      <c r="FR16" s="56"/>
      <c r="FS16" s="58" t="s">
        <v>255</v>
      </c>
      <c r="FT16" s="55"/>
      <c r="FU16" s="55" t="s">
        <v>256</v>
      </c>
      <c r="FV16" s="55"/>
      <c r="FW16" s="55" t="s">
        <v>257</v>
      </c>
      <c r="FX16" s="55"/>
      <c r="FY16" s="55" t="s">
        <v>258</v>
      </c>
      <c r="FZ16" s="55"/>
      <c r="GA16" s="55" t="s">
        <v>259</v>
      </c>
      <c r="GB16" s="56"/>
      <c r="GC16" s="58" t="s">
        <v>260</v>
      </c>
      <c r="GD16" s="55"/>
      <c r="GE16" s="55" t="s">
        <v>261</v>
      </c>
      <c r="GF16" s="55"/>
      <c r="GG16" s="55" t="s">
        <v>262</v>
      </c>
      <c r="GH16" s="55"/>
      <c r="GI16" s="55" t="s">
        <v>263</v>
      </c>
      <c r="GJ16" s="55"/>
      <c r="GK16" s="55"/>
      <c r="GL16" s="55"/>
      <c r="GM16" s="55" t="s">
        <v>264</v>
      </c>
      <c r="GN16" s="55" t="s">
        <v>243</v>
      </c>
      <c r="GO16" s="55" t="s">
        <v>209</v>
      </c>
      <c r="GP16" s="55" t="s">
        <v>208</v>
      </c>
      <c r="GQ16" s="55" t="s">
        <v>206</v>
      </c>
      <c r="GR16" s="55" t="s">
        <v>203</v>
      </c>
      <c r="GS16" s="55" t="s">
        <v>202</v>
      </c>
      <c r="GT16" s="55" t="s">
        <v>200</v>
      </c>
      <c r="GU16" s="55" t="s">
        <v>199</v>
      </c>
      <c r="GV16" s="55" t="s">
        <v>198</v>
      </c>
      <c r="GW16" s="55" t="s">
        <v>195</v>
      </c>
      <c r="GX16" s="55" t="s">
        <v>192</v>
      </c>
      <c r="GY16" s="55" t="s">
        <v>189</v>
      </c>
      <c r="GZ16" s="55" t="s">
        <v>187</v>
      </c>
      <c r="HA16" s="55" t="s">
        <v>181</v>
      </c>
      <c r="HB16" s="55" t="s">
        <v>178</v>
      </c>
      <c r="HC16" s="55" t="s">
        <v>265</v>
      </c>
      <c r="HD16" s="55" t="s">
        <v>266</v>
      </c>
      <c r="HE16" s="55" t="s">
        <v>267</v>
      </c>
      <c r="HF16" s="55" t="s">
        <v>268</v>
      </c>
      <c r="HG16" s="55" t="s">
        <v>269</v>
      </c>
      <c r="HH16" s="55" t="s">
        <v>270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292</v>
      </c>
      <c r="E17" s="35" t="s">
        <v>314</v>
      </c>
      <c r="I17" s="55" t="s">
        <v>271</v>
      </c>
      <c r="J17" s="55" t="s">
        <v>272</v>
      </c>
      <c r="K17" s="55" t="s">
        <v>271</v>
      </c>
      <c r="L17" s="55" t="s">
        <v>272</v>
      </c>
      <c r="M17" s="55" t="s">
        <v>271</v>
      </c>
      <c r="N17" s="55" t="s">
        <v>272</v>
      </c>
      <c r="O17" s="55" t="s">
        <v>271</v>
      </c>
      <c r="P17" s="55" t="s">
        <v>272</v>
      </c>
      <c r="Q17" s="57" t="s">
        <v>271</v>
      </c>
      <c r="R17" s="55" t="s">
        <v>272</v>
      </c>
      <c r="S17" s="55" t="s">
        <v>271</v>
      </c>
      <c r="T17" s="55" t="s">
        <v>272</v>
      </c>
      <c r="U17" s="57" t="s">
        <v>271</v>
      </c>
      <c r="V17" s="55" t="s">
        <v>272</v>
      </c>
      <c r="W17" s="55" t="s">
        <v>271</v>
      </c>
      <c r="X17" s="55" t="s">
        <v>272</v>
      </c>
      <c r="Y17" s="57" t="s">
        <v>271</v>
      </c>
      <c r="Z17" s="55" t="s">
        <v>272</v>
      </c>
      <c r="AA17" s="55" t="s">
        <v>271</v>
      </c>
      <c r="AB17" s="55" t="s">
        <v>272</v>
      </c>
      <c r="AC17" s="55" t="s">
        <v>271</v>
      </c>
      <c r="AD17" s="55" t="s">
        <v>272</v>
      </c>
      <c r="AE17" s="55" t="s">
        <v>271</v>
      </c>
      <c r="AF17" s="55" t="s">
        <v>272</v>
      </c>
      <c r="AG17" s="55" t="s">
        <v>271</v>
      </c>
      <c r="AH17" s="55" t="s">
        <v>272</v>
      </c>
      <c r="AI17" s="55" t="s">
        <v>271</v>
      </c>
      <c r="AJ17" s="55" t="s">
        <v>272</v>
      </c>
      <c r="AK17" s="55" t="s">
        <v>271</v>
      </c>
      <c r="AL17" s="55" t="s">
        <v>272</v>
      </c>
      <c r="AM17" s="55" t="s">
        <v>271</v>
      </c>
      <c r="AN17" s="55" t="s">
        <v>272</v>
      </c>
      <c r="AO17" s="55" t="s">
        <v>271</v>
      </c>
      <c r="AP17" s="55" t="s">
        <v>272</v>
      </c>
      <c r="AQ17" s="55" t="s">
        <v>271</v>
      </c>
      <c r="AR17" s="55" t="s">
        <v>272</v>
      </c>
      <c r="AS17" s="55" t="s">
        <v>271</v>
      </c>
      <c r="AT17" s="55" t="s">
        <v>272</v>
      </c>
      <c r="AU17" s="55" t="s">
        <v>271</v>
      </c>
      <c r="AV17" s="55" t="s">
        <v>272</v>
      </c>
      <c r="AW17" s="55" t="s">
        <v>271</v>
      </c>
      <c r="AX17" s="55" t="s">
        <v>272</v>
      </c>
      <c r="AY17" s="55" t="s">
        <v>271</v>
      </c>
      <c r="AZ17" s="55" t="s">
        <v>272</v>
      </c>
      <c r="CA17" s="55" t="s">
        <v>271</v>
      </c>
      <c r="CB17" s="55" t="s">
        <v>272</v>
      </c>
      <c r="CC17" s="55" t="s">
        <v>271</v>
      </c>
      <c r="CD17" s="55" t="s">
        <v>272</v>
      </c>
      <c r="CE17" s="55" t="s">
        <v>271</v>
      </c>
      <c r="CF17" s="55" t="s">
        <v>272</v>
      </c>
      <c r="CG17" s="55" t="s">
        <v>271</v>
      </c>
      <c r="CH17" s="55" t="s">
        <v>272</v>
      </c>
      <c r="CI17" s="55" t="s">
        <v>271</v>
      </c>
      <c r="CJ17" s="55" t="s">
        <v>272</v>
      </c>
      <c r="CK17" s="55" t="s">
        <v>271</v>
      </c>
      <c r="CL17" s="55" t="s">
        <v>272</v>
      </c>
      <c r="CM17" s="55" t="s">
        <v>271</v>
      </c>
      <c r="CN17" s="55" t="s">
        <v>272</v>
      </c>
      <c r="CO17" s="55" t="s">
        <v>271</v>
      </c>
      <c r="CP17" s="55" t="s">
        <v>272</v>
      </c>
      <c r="CQ17" s="55" t="s">
        <v>271</v>
      </c>
      <c r="CR17" s="55" t="s">
        <v>272</v>
      </c>
      <c r="CS17" s="55" t="s">
        <v>271</v>
      </c>
      <c r="CT17" s="55" t="s">
        <v>272</v>
      </c>
      <c r="CU17" s="55" t="s">
        <v>271</v>
      </c>
      <c r="CV17" s="55" t="s">
        <v>272</v>
      </c>
      <c r="CW17" s="55" t="s">
        <v>271</v>
      </c>
      <c r="CX17" s="55" t="s">
        <v>272</v>
      </c>
      <c r="CY17" s="55" t="s">
        <v>271</v>
      </c>
      <c r="CZ17" s="55" t="s">
        <v>272</v>
      </c>
      <c r="DA17" s="55" t="s">
        <v>271</v>
      </c>
      <c r="DB17" s="55" t="s">
        <v>272</v>
      </c>
      <c r="DC17" s="55" t="s">
        <v>271</v>
      </c>
      <c r="DD17" s="55" t="s">
        <v>272</v>
      </c>
      <c r="DE17" s="55" t="s">
        <v>271</v>
      </c>
      <c r="DF17" s="55" t="s">
        <v>272</v>
      </c>
      <c r="DG17" s="55" t="s">
        <v>271</v>
      </c>
      <c r="DH17" s="55" t="s">
        <v>272</v>
      </c>
      <c r="DI17" s="55" t="s">
        <v>271</v>
      </c>
      <c r="DJ17" s="55" t="s">
        <v>272</v>
      </c>
      <c r="DK17" s="55" t="s">
        <v>271</v>
      </c>
      <c r="DL17" s="55" t="s">
        <v>272</v>
      </c>
      <c r="DM17" s="55" t="s">
        <v>271</v>
      </c>
      <c r="DN17" s="55" t="s">
        <v>272</v>
      </c>
      <c r="DO17" s="55" t="s">
        <v>271</v>
      </c>
      <c r="DP17" s="55" t="s">
        <v>272</v>
      </c>
      <c r="DQ17" s="55" t="s">
        <v>271</v>
      </c>
      <c r="DR17" s="55" t="s">
        <v>272</v>
      </c>
      <c r="ER17" s="55"/>
      <c r="ES17" s="55" t="s">
        <v>271</v>
      </c>
      <c r="ET17" s="55" t="s">
        <v>272</v>
      </c>
      <c r="EU17" s="55" t="s">
        <v>271</v>
      </c>
      <c r="EV17" s="55" t="s">
        <v>272</v>
      </c>
      <c r="EW17" s="55" t="s">
        <v>271</v>
      </c>
      <c r="EX17" s="55" t="s">
        <v>272</v>
      </c>
      <c r="EY17" s="55" t="s">
        <v>271</v>
      </c>
      <c r="EZ17" s="55" t="s">
        <v>272</v>
      </c>
      <c r="FA17" s="55" t="s">
        <v>271</v>
      </c>
      <c r="FB17" s="55" t="s">
        <v>272</v>
      </c>
      <c r="FC17" s="55" t="s">
        <v>271</v>
      </c>
      <c r="FD17" s="55" t="s">
        <v>272</v>
      </c>
      <c r="FE17" s="55" t="s">
        <v>271</v>
      </c>
      <c r="FF17" s="55" t="s">
        <v>272</v>
      </c>
      <c r="FG17" s="55" t="s">
        <v>271</v>
      </c>
      <c r="FH17" s="55" t="s">
        <v>272</v>
      </c>
      <c r="FI17" s="55" t="s">
        <v>271</v>
      </c>
      <c r="FJ17" s="55" t="s">
        <v>272</v>
      </c>
      <c r="FK17" s="55" t="s">
        <v>271</v>
      </c>
      <c r="FL17" s="55" t="s">
        <v>272</v>
      </c>
      <c r="FM17" s="55" t="s">
        <v>271</v>
      </c>
      <c r="FN17" s="55" t="s">
        <v>272</v>
      </c>
      <c r="FO17" s="55" t="s">
        <v>271</v>
      </c>
      <c r="FP17" s="55" t="s">
        <v>272</v>
      </c>
      <c r="FQ17" s="55" t="s">
        <v>271</v>
      </c>
      <c r="FR17" s="55" t="s">
        <v>272</v>
      </c>
      <c r="FS17" s="55" t="s">
        <v>271</v>
      </c>
      <c r="FT17" s="55" t="s">
        <v>272</v>
      </c>
      <c r="FU17" s="55" t="s">
        <v>271</v>
      </c>
      <c r="FV17" s="55" t="s">
        <v>272</v>
      </c>
      <c r="FW17" s="55" t="s">
        <v>271</v>
      </c>
      <c r="FX17" s="55" t="s">
        <v>272</v>
      </c>
      <c r="FY17" s="55" t="s">
        <v>271</v>
      </c>
      <c r="FZ17" s="55" t="s">
        <v>272</v>
      </c>
      <c r="GA17" s="55" t="s">
        <v>271</v>
      </c>
      <c r="GB17" s="55" t="s">
        <v>272</v>
      </c>
      <c r="GC17" s="55" t="s">
        <v>271</v>
      </c>
      <c r="GD17" s="55" t="s">
        <v>272</v>
      </c>
      <c r="GE17" s="55" t="s">
        <v>271</v>
      </c>
      <c r="GF17" s="55" t="s">
        <v>272</v>
      </c>
      <c r="GG17" s="55" t="s">
        <v>271</v>
      </c>
      <c r="GH17" s="55" t="s">
        <v>272</v>
      </c>
      <c r="GI17" s="55" t="s">
        <v>271</v>
      </c>
      <c r="GJ17" s="55" t="s">
        <v>272</v>
      </c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B18" s="2">
        <v>1</v>
      </c>
      <c r="C18" s="35" t="s">
        <v>111</v>
      </c>
      <c r="D18" s="41">
        <f>+D31</f>
        <v>0</v>
      </c>
      <c r="E18" s="81">
        <f>TRUNC(+D18*3.3058,-1)</f>
        <v>0</v>
      </c>
      <c r="H18" s="55">
        <f>+E18*1.1</f>
        <v>0</v>
      </c>
      <c r="I18" s="55">
        <f>+H18</f>
        <v>0</v>
      </c>
      <c r="J18" s="59">
        <f>+I18*3.3058</f>
        <v>0</v>
      </c>
      <c r="K18" s="55">
        <f>+I18*BD18</f>
        <v>0</v>
      </c>
      <c r="L18" s="59">
        <f>+K18*3.3058</f>
        <v>0</v>
      </c>
      <c r="M18" s="55">
        <f>+I18*BE18</f>
        <v>0</v>
      </c>
      <c r="N18" s="59">
        <f>+M18*3.3058</f>
        <v>0</v>
      </c>
      <c r="O18" s="55">
        <f t="shared" ref="O18:O28" si="0">+I18*BF18</f>
        <v>0</v>
      </c>
      <c r="P18" s="59">
        <f>+O18*3.3058</f>
        <v>0</v>
      </c>
      <c r="Q18" s="57">
        <f t="shared" ref="Q18:Q28" si="1">+I18*BG18</f>
        <v>0</v>
      </c>
      <c r="R18" s="59">
        <f>+Q18*3.3058</f>
        <v>0</v>
      </c>
      <c r="S18" s="55">
        <f t="shared" ref="S18:S28" si="2">+I18*BH18</f>
        <v>0</v>
      </c>
      <c r="T18" s="59">
        <f>+S18*3.3058</f>
        <v>0</v>
      </c>
      <c r="U18" s="57">
        <f t="shared" ref="U18:U28" si="3">+I18*BI18</f>
        <v>0</v>
      </c>
      <c r="V18" s="59">
        <f>+U18*3.3058</f>
        <v>0</v>
      </c>
      <c r="W18" s="60">
        <f t="shared" ref="W18:W28" si="4">+I18*BJ18</f>
        <v>0</v>
      </c>
      <c r="X18" s="59">
        <f>+W18*3.3058</f>
        <v>0</v>
      </c>
      <c r="Y18" s="57">
        <f t="shared" ref="Y18:Y28" si="5">+I18*BK18</f>
        <v>0</v>
      </c>
      <c r="Z18" s="59">
        <f>+Y18*3.3058</f>
        <v>0</v>
      </c>
      <c r="AA18" s="55">
        <f t="shared" ref="AA18:AA28" si="6">+I18*BL18</f>
        <v>0</v>
      </c>
      <c r="AB18" s="59">
        <f>+AA18*3.3058</f>
        <v>0</v>
      </c>
      <c r="AC18" s="60">
        <f t="shared" ref="AC18:AC28" si="7">+I18*BM18</f>
        <v>0</v>
      </c>
      <c r="AD18" s="59">
        <f>+AC18*3.3058</f>
        <v>0</v>
      </c>
      <c r="AE18" s="60">
        <f t="shared" ref="AE18:AE28" si="8">+I18*BN18</f>
        <v>0</v>
      </c>
      <c r="AF18" s="59">
        <f>+AE18*3.3058</f>
        <v>0</v>
      </c>
      <c r="AG18" s="60">
        <f t="shared" ref="AG18:AG28" si="9">+I18*BO18</f>
        <v>0</v>
      </c>
      <c r="AH18" s="59">
        <f>+AG18*3.3058</f>
        <v>0</v>
      </c>
      <c r="AI18" s="55">
        <f t="shared" ref="AI18:AI28" si="10">+I18*BP18</f>
        <v>0</v>
      </c>
      <c r="AJ18" s="59">
        <f>+AI18*3.3058</f>
        <v>0</v>
      </c>
      <c r="AK18" s="60">
        <f t="shared" ref="AK18:AK28" si="11">+I18*BQ18</f>
        <v>0</v>
      </c>
      <c r="AL18" s="59">
        <f>+AK18*3.3058</f>
        <v>0</v>
      </c>
      <c r="AM18" s="60">
        <f t="shared" ref="AM18:AM28" si="12">+I18*BR18</f>
        <v>0</v>
      </c>
      <c r="AN18" s="59">
        <f>+AM18*3.3058</f>
        <v>0</v>
      </c>
      <c r="AO18" s="60">
        <f t="shared" ref="AO18:AO28" si="13">+I18*BS18</f>
        <v>0</v>
      </c>
      <c r="AP18" s="59">
        <f>+AO18*3.3058</f>
        <v>0</v>
      </c>
      <c r="AQ18" s="60">
        <f t="shared" ref="AQ18:AQ28" si="14">+I18*BT18</f>
        <v>0</v>
      </c>
      <c r="AR18" s="59">
        <f>+AQ18*3.3058</f>
        <v>0</v>
      </c>
      <c r="AS18" s="55">
        <f t="shared" ref="AS18:AS28" si="15">+I18*BU18</f>
        <v>0</v>
      </c>
      <c r="AT18" s="59">
        <f>+AS18*3.3058</f>
        <v>0</v>
      </c>
      <c r="AU18" s="60">
        <f t="shared" ref="AU18:AU28" si="16">+I18*BV18</f>
        <v>0</v>
      </c>
      <c r="AV18" s="59">
        <f>+AU18*3.3058</f>
        <v>0</v>
      </c>
      <c r="AW18" s="60">
        <f t="shared" ref="AW18:AW28" si="17">+I18*BW18</f>
        <v>0</v>
      </c>
      <c r="AX18" s="59">
        <f>+AW18*3.3058</f>
        <v>0</v>
      </c>
      <c r="AY18" s="55">
        <f t="shared" ref="AY18:AY28" si="18">+I18*BX18</f>
        <v>0</v>
      </c>
      <c r="AZ18" s="59">
        <f>+AY18*3.3058</f>
        <v>0</v>
      </c>
      <c r="BC18" s="55">
        <v>1</v>
      </c>
      <c r="BD18" s="55">
        <v>0.97</v>
      </c>
      <c r="BE18" s="55">
        <v>0.95</v>
      </c>
      <c r="BF18" s="55">
        <v>0.93</v>
      </c>
      <c r="BG18" s="55">
        <f>+BF18-0.02</f>
        <v>0.91</v>
      </c>
      <c r="BH18" s="55">
        <f t="shared" ref="BH18:BX18" si="19">+BG18-0.02</f>
        <v>0.89</v>
      </c>
      <c r="BI18" s="55">
        <f t="shared" si="19"/>
        <v>0.87</v>
      </c>
      <c r="BJ18" s="55">
        <f t="shared" si="19"/>
        <v>0.85</v>
      </c>
      <c r="BK18" s="55">
        <f t="shared" si="19"/>
        <v>0.83</v>
      </c>
      <c r="BL18" s="55">
        <f t="shared" si="19"/>
        <v>0.80999999999999994</v>
      </c>
      <c r="BM18" s="55">
        <f t="shared" si="19"/>
        <v>0.78999999999999992</v>
      </c>
      <c r="BN18" s="55">
        <f t="shared" si="19"/>
        <v>0.76999999999999991</v>
      </c>
      <c r="BO18" s="55">
        <f t="shared" si="19"/>
        <v>0.74999999999999989</v>
      </c>
      <c r="BP18" s="55">
        <f t="shared" si="19"/>
        <v>0.72999999999999987</v>
      </c>
      <c r="BQ18" s="55">
        <f t="shared" si="19"/>
        <v>0.70999999999999985</v>
      </c>
      <c r="BR18" s="55">
        <f t="shared" si="19"/>
        <v>0.68999999999999984</v>
      </c>
      <c r="BS18" s="55">
        <f t="shared" si="19"/>
        <v>0.66999999999999982</v>
      </c>
      <c r="BT18" s="55">
        <f t="shared" si="19"/>
        <v>0.6499999999999998</v>
      </c>
      <c r="BU18" s="55">
        <f t="shared" si="19"/>
        <v>0.62999999999999978</v>
      </c>
      <c r="BV18" s="55">
        <f t="shared" si="19"/>
        <v>0.60999999999999976</v>
      </c>
      <c r="BW18" s="55">
        <f t="shared" si="19"/>
        <v>0.58999999999999975</v>
      </c>
      <c r="BX18" s="55">
        <f t="shared" si="19"/>
        <v>0.56999999999999973</v>
      </c>
      <c r="BZ18" s="55">
        <f>+H18*0.91</f>
        <v>0</v>
      </c>
      <c r="CA18" s="55">
        <f>+BZ18</f>
        <v>0</v>
      </c>
      <c r="CB18" s="59">
        <f>+CA18*3.3058</f>
        <v>0</v>
      </c>
      <c r="CC18" s="55">
        <f>+CA18*DV18</f>
        <v>0</v>
      </c>
      <c r="CD18" s="59">
        <f>+CC18*3.3058</f>
        <v>0</v>
      </c>
      <c r="CE18" s="55">
        <f>+CA18*DW18</f>
        <v>0</v>
      </c>
      <c r="CF18" s="59">
        <f>+CE18*3.3058</f>
        <v>0</v>
      </c>
      <c r="CG18" s="55">
        <f t="shared" ref="CG18:CG28" si="20">+CA18*DX18</f>
        <v>0</v>
      </c>
      <c r="CH18" s="59">
        <f>+CG18*3.3058</f>
        <v>0</v>
      </c>
      <c r="CI18" s="57">
        <f t="shared" ref="CI18:CI28" si="21">+CA18*DY18</f>
        <v>0</v>
      </c>
      <c r="CJ18" s="59">
        <f>+CI18*3.3058</f>
        <v>0</v>
      </c>
      <c r="CK18" s="55">
        <f t="shared" ref="CK18:CK28" si="22">+CA18*DZ18</f>
        <v>0</v>
      </c>
      <c r="CL18" s="59">
        <f>+CK18*3.3058</f>
        <v>0</v>
      </c>
      <c r="CM18" s="57">
        <f t="shared" ref="CM18:CM28" si="23">+CA18*EA18</f>
        <v>0</v>
      </c>
      <c r="CN18" s="59">
        <f>+CM18*3.3058</f>
        <v>0</v>
      </c>
      <c r="CO18" s="60">
        <f t="shared" ref="CO18:CO28" si="24">+CA18*EB18</f>
        <v>0</v>
      </c>
      <c r="CP18" s="59">
        <f>+CO18*3.3058</f>
        <v>0</v>
      </c>
      <c r="CQ18" s="57">
        <f t="shared" ref="CQ18:CQ28" si="25">+CA18*EC18</f>
        <v>0</v>
      </c>
      <c r="CR18" s="59">
        <f>+CQ18*3.3058</f>
        <v>0</v>
      </c>
      <c r="CS18" s="55">
        <f t="shared" ref="CS18:CS28" si="26">+CA18*ED18</f>
        <v>0</v>
      </c>
      <c r="CT18" s="59">
        <f>+CS18*3.3058</f>
        <v>0</v>
      </c>
      <c r="CU18" s="60">
        <f t="shared" ref="CU18:CU28" si="27">+CA18*EE18</f>
        <v>0</v>
      </c>
      <c r="CV18" s="59">
        <f>+CU18*3.3058</f>
        <v>0</v>
      </c>
      <c r="CW18" s="60">
        <f t="shared" ref="CW18:CW28" si="28">+CA18*EF18</f>
        <v>0</v>
      </c>
      <c r="CX18" s="59">
        <f>+CW18*3.3058</f>
        <v>0</v>
      </c>
      <c r="CY18" s="60">
        <f t="shared" ref="CY18:CY28" si="29">+CA18*EG18</f>
        <v>0</v>
      </c>
      <c r="CZ18" s="59">
        <f>+CY18*3.3058</f>
        <v>0</v>
      </c>
      <c r="DA18" s="55">
        <f t="shared" ref="DA18:DA28" si="30">+CA18*EH18</f>
        <v>0</v>
      </c>
      <c r="DB18" s="59">
        <f>+DA18*3.3058</f>
        <v>0</v>
      </c>
      <c r="DC18" s="60">
        <f t="shared" ref="DC18:DC28" si="31">+CA18*EI18</f>
        <v>0</v>
      </c>
      <c r="DD18" s="59">
        <f>+DC18*3.3058</f>
        <v>0</v>
      </c>
      <c r="DE18" s="60">
        <f t="shared" ref="DE18:DE28" si="32">+CA18*EJ18</f>
        <v>0</v>
      </c>
      <c r="DF18" s="59">
        <f>+DE18*3.3058</f>
        <v>0</v>
      </c>
      <c r="DG18" s="60">
        <f t="shared" ref="DG18:DG28" si="33">+CA18*EK18</f>
        <v>0</v>
      </c>
      <c r="DH18" s="59">
        <f>+DG18*3.3058</f>
        <v>0</v>
      </c>
      <c r="DI18" s="60">
        <f t="shared" ref="DI18:DI28" si="34">+CA18*EL18</f>
        <v>0</v>
      </c>
      <c r="DJ18" s="59">
        <f>+DI18*3.3058</f>
        <v>0</v>
      </c>
      <c r="DK18" s="55">
        <f t="shared" ref="DK18:DK28" si="35">+CA18*EM18</f>
        <v>0</v>
      </c>
      <c r="DL18" s="59">
        <f>+DK18*3.3058</f>
        <v>0</v>
      </c>
      <c r="DM18" s="60">
        <f t="shared" ref="DM18:DM28" si="36">+CA18*EN18</f>
        <v>0</v>
      </c>
      <c r="DN18" s="59">
        <f>+DM18*3.3058</f>
        <v>0</v>
      </c>
      <c r="DO18" s="60">
        <f t="shared" ref="DO18:DO28" si="37">+CA18*EO18</f>
        <v>0</v>
      </c>
      <c r="DP18" s="59">
        <f>+DO18*3.3058</f>
        <v>0</v>
      </c>
      <c r="DQ18" s="55">
        <f t="shared" ref="DQ18:DQ28" si="38">+CA18*EP18</f>
        <v>0</v>
      </c>
      <c r="DR18" s="59">
        <f>+DQ18*3.3058</f>
        <v>0</v>
      </c>
      <c r="DU18" s="55">
        <v>1</v>
      </c>
      <c r="DV18" s="55">
        <v>0.97</v>
      </c>
      <c r="DW18" s="55">
        <v>0.95</v>
      </c>
      <c r="DX18" s="55">
        <v>0.93</v>
      </c>
      <c r="DY18" s="55">
        <f>+DX18-0.02</f>
        <v>0.91</v>
      </c>
      <c r="DZ18" s="55">
        <f t="shared" ref="DZ18:EP18" si="39">+DY18-0.02</f>
        <v>0.89</v>
      </c>
      <c r="EA18" s="55">
        <f t="shared" si="39"/>
        <v>0.87</v>
      </c>
      <c r="EB18" s="55">
        <f t="shared" si="39"/>
        <v>0.85</v>
      </c>
      <c r="EC18" s="55">
        <f t="shared" si="39"/>
        <v>0.83</v>
      </c>
      <c r="ED18" s="55">
        <f t="shared" si="39"/>
        <v>0.80999999999999994</v>
      </c>
      <c r="EE18" s="55">
        <f t="shared" si="39"/>
        <v>0.78999999999999992</v>
      </c>
      <c r="EF18" s="55">
        <f t="shared" si="39"/>
        <v>0.76999999999999991</v>
      </c>
      <c r="EG18" s="55">
        <f t="shared" si="39"/>
        <v>0.74999999999999989</v>
      </c>
      <c r="EH18" s="55">
        <f t="shared" si="39"/>
        <v>0.72999999999999987</v>
      </c>
      <c r="EI18" s="55">
        <f t="shared" si="39"/>
        <v>0.70999999999999985</v>
      </c>
      <c r="EJ18" s="55">
        <f t="shared" si="39"/>
        <v>0.68999999999999984</v>
      </c>
      <c r="EK18" s="55">
        <f t="shared" si="39"/>
        <v>0.66999999999999982</v>
      </c>
      <c r="EL18" s="55">
        <f t="shared" si="39"/>
        <v>0.6499999999999998</v>
      </c>
      <c r="EM18" s="55">
        <f t="shared" si="39"/>
        <v>0.62999999999999978</v>
      </c>
      <c r="EN18" s="55">
        <f t="shared" si="39"/>
        <v>0.60999999999999976</v>
      </c>
      <c r="EO18" s="55">
        <f t="shared" si="39"/>
        <v>0.58999999999999975</v>
      </c>
      <c r="EP18" s="55">
        <f t="shared" si="39"/>
        <v>0.56999999999999973</v>
      </c>
      <c r="ER18" s="55">
        <f>+BZ18*0.91</f>
        <v>0</v>
      </c>
      <c r="ES18" s="55">
        <f>+ER18</f>
        <v>0</v>
      </c>
      <c r="ET18" s="59">
        <f>+ES18*3.3058</f>
        <v>0</v>
      </c>
      <c r="EU18" s="55">
        <f>+ES18*GN18</f>
        <v>0</v>
      </c>
      <c r="EV18" s="59">
        <f>+EU18*3.3058</f>
        <v>0</v>
      </c>
      <c r="EW18" s="55">
        <f>+ES18*GO18</f>
        <v>0</v>
      </c>
      <c r="EX18" s="59">
        <f>+EW18*3.3058</f>
        <v>0</v>
      </c>
      <c r="EY18" s="55">
        <f t="shared" ref="EY18:EY28" si="40">+ES18*GP18</f>
        <v>0</v>
      </c>
      <c r="EZ18" s="59">
        <f>+EY18*3.3058</f>
        <v>0</v>
      </c>
      <c r="FA18" s="57">
        <f t="shared" ref="FA18:FA28" si="41">+ES18*GQ18</f>
        <v>0</v>
      </c>
      <c r="FB18" s="59">
        <f>+FA18*3.3058</f>
        <v>0</v>
      </c>
      <c r="FC18" s="55">
        <f t="shared" ref="FC18:FC28" si="42">+ES18*GR18</f>
        <v>0</v>
      </c>
      <c r="FD18" s="59">
        <f>+FC18*3.3058</f>
        <v>0</v>
      </c>
      <c r="FE18" s="57">
        <f t="shared" ref="FE18:FE28" si="43">+ES18*GS18</f>
        <v>0</v>
      </c>
      <c r="FF18" s="59">
        <f>+FE18*3.3058</f>
        <v>0</v>
      </c>
      <c r="FG18" s="60">
        <f t="shared" ref="FG18:FG28" si="44">+ES18*GT18</f>
        <v>0</v>
      </c>
      <c r="FH18" s="59">
        <f>+FG18*3.3058</f>
        <v>0</v>
      </c>
      <c r="FI18" s="57">
        <f t="shared" ref="FI18:FI28" si="45">+ES18*GU18</f>
        <v>0</v>
      </c>
      <c r="FJ18" s="59">
        <f>+FI18*3.3058</f>
        <v>0</v>
      </c>
      <c r="FK18" s="55">
        <f t="shared" ref="FK18:FK28" si="46">+ES18*GV18</f>
        <v>0</v>
      </c>
      <c r="FL18" s="59">
        <f>+FK18*3.3058</f>
        <v>0</v>
      </c>
      <c r="FM18" s="60">
        <f t="shared" ref="FM18:FM28" si="47">+ES18*GW18</f>
        <v>0</v>
      </c>
      <c r="FN18" s="59">
        <f>+FM18*3.3058</f>
        <v>0</v>
      </c>
      <c r="FO18" s="60">
        <f t="shared" ref="FO18:FO28" si="48">+ES18*GX18</f>
        <v>0</v>
      </c>
      <c r="FP18" s="59">
        <f>+FO18*3.3058</f>
        <v>0</v>
      </c>
      <c r="FQ18" s="60">
        <f t="shared" ref="FQ18:FQ28" si="49">+ES18*GY18</f>
        <v>0</v>
      </c>
      <c r="FR18" s="59">
        <f>+FQ18*3.3058</f>
        <v>0</v>
      </c>
      <c r="FS18" s="55">
        <f t="shared" ref="FS18:FS28" si="50">+ES18*GZ18</f>
        <v>0</v>
      </c>
      <c r="FT18" s="59">
        <f>+FS18*3.3058</f>
        <v>0</v>
      </c>
      <c r="FU18" s="60">
        <f t="shared" ref="FU18:FU28" si="51">+ES18*HA18</f>
        <v>0</v>
      </c>
      <c r="FV18" s="59">
        <f>+FU18*3.3058</f>
        <v>0</v>
      </c>
      <c r="FW18" s="60">
        <f t="shared" ref="FW18:FW28" si="52">+ES18*HB18</f>
        <v>0</v>
      </c>
      <c r="FX18" s="59">
        <f>+FW18*3.3058</f>
        <v>0</v>
      </c>
      <c r="FY18" s="60">
        <f t="shared" ref="FY18:FY28" si="53">+ES18*HC18</f>
        <v>0</v>
      </c>
      <c r="FZ18" s="59">
        <f>+FY18*3.3058</f>
        <v>0</v>
      </c>
      <c r="GA18" s="60">
        <f t="shared" ref="GA18:GA28" si="54">+ES18*HD18</f>
        <v>0</v>
      </c>
      <c r="GB18" s="59">
        <f>+GA18*3.3058</f>
        <v>0</v>
      </c>
      <c r="GC18" s="55">
        <f t="shared" ref="GC18:GC28" si="55">+ES18*HE18</f>
        <v>0</v>
      </c>
      <c r="GD18" s="59">
        <f>+GC18*3.3058</f>
        <v>0</v>
      </c>
      <c r="GE18" s="60">
        <f t="shared" ref="GE18:GE28" si="56">+ES18*HF18</f>
        <v>0</v>
      </c>
      <c r="GF18" s="59">
        <f>+GE18*3.3058</f>
        <v>0</v>
      </c>
      <c r="GG18" s="60">
        <f t="shared" ref="GG18:GG28" si="57">+ES18*HG18</f>
        <v>0</v>
      </c>
      <c r="GH18" s="59">
        <f>+GG18*3.3058</f>
        <v>0</v>
      </c>
      <c r="GI18" s="55">
        <f t="shared" ref="GI18:GI28" si="58">+ES18*HH18</f>
        <v>0</v>
      </c>
      <c r="GJ18" s="59">
        <f>+GI18*3.3058</f>
        <v>0</v>
      </c>
      <c r="GK18" s="55"/>
      <c r="GL18" s="55"/>
      <c r="GM18" s="55">
        <v>1</v>
      </c>
      <c r="GN18" s="55">
        <v>0.97</v>
      </c>
      <c r="GO18" s="55">
        <v>0.95</v>
      </c>
      <c r="GP18" s="55">
        <v>0.93</v>
      </c>
      <c r="GQ18" s="55">
        <f>+GP18-0.02</f>
        <v>0.91</v>
      </c>
      <c r="GR18" s="55">
        <f t="shared" ref="GR18:HH18" si="59">+GQ18-0.02</f>
        <v>0.89</v>
      </c>
      <c r="GS18" s="55">
        <f t="shared" si="59"/>
        <v>0.87</v>
      </c>
      <c r="GT18" s="55">
        <f t="shared" si="59"/>
        <v>0.85</v>
      </c>
      <c r="GU18" s="55">
        <f t="shared" si="59"/>
        <v>0.83</v>
      </c>
      <c r="GV18" s="55">
        <f t="shared" si="59"/>
        <v>0.80999999999999994</v>
      </c>
      <c r="GW18" s="55">
        <f t="shared" si="59"/>
        <v>0.78999999999999992</v>
      </c>
      <c r="GX18" s="55">
        <f t="shared" si="59"/>
        <v>0.76999999999999991</v>
      </c>
      <c r="GY18" s="55">
        <f t="shared" si="59"/>
        <v>0.74999999999999989</v>
      </c>
      <c r="GZ18" s="55">
        <f t="shared" si="59"/>
        <v>0.72999999999999987</v>
      </c>
      <c r="HA18" s="55">
        <f t="shared" si="59"/>
        <v>0.70999999999999985</v>
      </c>
      <c r="HB18" s="55">
        <f t="shared" si="59"/>
        <v>0.68999999999999984</v>
      </c>
      <c r="HC18" s="55">
        <f t="shared" si="59"/>
        <v>0.66999999999999982</v>
      </c>
      <c r="HD18" s="55">
        <f t="shared" si="59"/>
        <v>0.6499999999999998</v>
      </c>
      <c r="HE18" s="55">
        <f t="shared" si="59"/>
        <v>0.62999999999999978</v>
      </c>
      <c r="HF18" s="55">
        <f t="shared" si="59"/>
        <v>0.60999999999999976</v>
      </c>
      <c r="HG18" s="55">
        <f t="shared" si="59"/>
        <v>0.58999999999999975</v>
      </c>
      <c r="HH18" s="55">
        <f t="shared" si="59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886130</v>
      </c>
      <c r="E19" s="82">
        <f>TRUNC(+D19*3.3058,-1)</f>
        <v>2929360</v>
      </c>
      <c r="H19" s="55">
        <f t="shared" ref="H19:H83" si="60">+E19*1.1</f>
        <v>3222296.0000000005</v>
      </c>
      <c r="I19" s="55">
        <f t="shared" ref="I19:I83" si="61">+H19</f>
        <v>3222296.0000000005</v>
      </c>
      <c r="J19" s="59">
        <f t="shared" ref="J19:J83" si="62">+I19*3.3058</f>
        <v>10652266.116800001</v>
      </c>
      <c r="K19" s="55">
        <f t="shared" ref="K19:K28" si="63">+I19*BD19</f>
        <v>3125627.1200000006</v>
      </c>
      <c r="L19" s="59">
        <f t="shared" ref="L19:L28" si="64">+K19*3.3058</f>
        <v>10332698.133296002</v>
      </c>
      <c r="M19" s="55">
        <f t="shared" ref="M19:M28" si="65">+I19*BE19</f>
        <v>3061181.2</v>
      </c>
      <c r="N19" s="59">
        <f t="shared" ref="N19:N28" si="66">+M19*3.3058</f>
        <v>10119652.81096</v>
      </c>
      <c r="O19" s="55">
        <f t="shared" si="0"/>
        <v>2996735.2800000007</v>
      </c>
      <c r="P19" s="59">
        <f t="shared" ref="P19:P28" si="67">+O19*3.3058</f>
        <v>9906607.4886240028</v>
      </c>
      <c r="Q19" s="57">
        <f t="shared" si="1"/>
        <v>2932289.3600000003</v>
      </c>
      <c r="R19" s="59">
        <f t="shared" ref="R19:R28" si="68">+Q19*3.3058</f>
        <v>9693562.1662880015</v>
      </c>
      <c r="S19" s="55">
        <f t="shared" si="2"/>
        <v>2867843.4400000004</v>
      </c>
      <c r="T19" s="59">
        <f t="shared" ref="T19:T28" si="69">+S19*3.3058</f>
        <v>9480516.843952002</v>
      </c>
      <c r="U19" s="57">
        <f t="shared" si="3"/>
        <v>2803397.5200000005</v>
      </c>
      <c r="V19" s="59">
        <f t="shared" ref="V19:V28" si="70">+U19*3.3058</f>
        <v>9267471.5216160025</v>
      </c>
      <c r="W19" s="60">
        <f t="shared" si="4"/>
        <v>2738951.6</v>
      </c>
      <c r="X19" s="59">
        <f t="shared" ref="X19:X28" si="71">+W19*3.3058</f>
        <v>9054426.1992800012</v>
      </c>
      <c r="Y19" s="57">
        <f t="shared" si="5"/>
        <v>2674505.6800000002</v>
      </c>
      <c r="Z19" s="59">
        <f t="shared" ref="Z19:Z28" si="72">+Y19*3.3058</f>
        <v>8841380.8769439999</v>
      </c>
      <c r="AA19" s="55">
        <f t="shared" si="6"/>
        <v>2610059.7600000002</v>
      </c>
      <c r="AB19" s="59">
        <f t="shared" ref="AB19:AB28" si="73">+AA19*3.3058</f>
        <v>8628335.5546080004</v>
      </c>
      <c r="AC19" s="60">
        <f t="shared" si="7"/>
        <v>2545613.8400000003</v>
      </c>
      <c r="AD19" s="59">
        <f t="shared" ref="AD19:AD28" si="74">+AC19*3.3058</f>
        <v>8415290.232272001</v>
      </c>
      <c r="AE19" s="60">
        <f t="shared" si="8"/>
        <v>2481167.92</v>
      </c>
      <c r="AF19" s="59">
        <f t="shared" ref="AF19:AF28" si="75">+AE19*3.3058</f>
        <v>8202244.9099359997</v>
      </c>
      <c r="AG19" s="60">
        <f t="shared" si="9"/>
        <v>2416722</v>
      </c>
      <c r="AH19" s="59">
        <f t="shared" ref="AH19:AH28" si="76">+AG19*3.3058</f>
        <v>7989199.5876000002</v>
      </c>
      <c r="AI19" s="55">
        <f t="shared" si="10"/>
        <v>2352276.08</v>
      </c>
      <c r="AJ19" s="59">
        <f t="shared" ref="AJ19:AJ28" si="77">+AI19*3.3058</f>
        <v>7776154.2652640007</v>
      </c>
      <c r="AK19" s="60">
        <f t="shared" si="11"/>
        <v>2287830.1599999997</v>
      </c>
      <c r="AL19" s="59">
        <f t="shared" ref="AL19:AL28" si="78">+AK19*3.3058</f>
        <v>7563108.9429279994</v>
      </c>
      <c r="AM19" s="60">
        <f t="shared" si="12"/>
        <v>2223384.2399999998</v>
      </c>
      <c r="AN19" s="59">
        <f t="shared" ref="AN19:AN28" si="79">+AM19*3.3058</f>
        <v>7350063.620591999</v>
      </c>
      <c r="AO19" s="60">
        <f t="shared" si="13"/>
        <v>2158938.3199999998</v>
      </c>
      <c r="AP19" s="59">
        <f t="shared" ref="AP19:AP28" si="80">+AO19*3.3058</f>
        <v>7137018.2982559996</v>
      </c>
      <c r="AQ19" s="60">
        <f t="shared" si="14"/>
        <v>2094492.3999999997</v>
      </c>
      <c r="AR19" s="59">
        <f t="shared" ref="AR19:AR28" si="81">+AQ19*3.3058</f>
        <v>6923972.9759199992</v>
      </c>
      <c r="AS19" s="55">
        <f t="shared" si="15"/>
        <v>2030046.4799999995</v>
      </c>
      <c r="AT19" s="59">
        <f t="shared" ref="AT19:AT28" si="82">+AS19*3.3058</f>
        <v>6710927.6535839988</v>
      </c>
      <c r="AU19" s="60">
        <f t="shared" si="16"/>
        <v>1965600.5599999996</v>
      </c>
      <c r="AV19" s="59">
        <f t="shared" ref="AV19:AV28" si="83">+AU19*3.3058</f>
        <v>6497882.3312479984</v>
      </c>
      <c r="AW19" s="60">
        <f t="shared" si="17"/>
        <v>1901154.6399999994</v>
      </c>
      <c r="AX19" s="59">
        <f t="shared" ref="AX19:AX28" si="84">+AW19*3.3058</f>
        <v>6284837.008911998</v>
      </c>
      <c r="AY19" s="55">
        <f t="shared" si="18"/>
        <v>1836708.7199999995</v>
      </c>
      <c r="AZ19" s="59">
        <f t="shared" ref="AZ19:AZ28" si="85">+AY19*3.3058</f>
        <v>6071791.6865759986</v>
      </c>
      <c r="BC19" s="55">
        <v>1</v>
      </c>
      <c r="BD19" s="55">
        <v>0.97</v>
      </c>
      <c r="BE19" s="55">
        <v>0.95</v>
      </c>
      <c r="BF19" s="55">
        <v>0.93</v>
      </c>
      <c r="BG19" s="55">
        <f t="shared" ref="BG19:BX28" si="86">+BF19-0.02</f>
        <v>0.91</v>
      </c>
      <c r="BH19" s="55">
        <f t="shared" si="86"/>
        <v>0.89</v>
      </c>
      <c r="BI19" s="55">
        <f t="shared" si="86"/>
        <v>0.87</v>
      </c>
      <c r="BJ19" s="55">
        <f t="shared" si="86"/>
        <v>0.85</v>
      </c>
      <c r="BK19" s="55">
        <f t="shared" si="86"/>
        <v>0.83</v>
      </c>
      <c r="BL19" s="55">
        <f t="shared" si="86"/>
        <v>0.80999999999999994</v>
      </c>
      <c r="BM19" s="55">
        <f t="shared" si="86"/>
        <v>0.78999999999999992</v>
      </c>
      <c r="BN19" s="55">
        <f t="shared" si="86"/>
        <v>0.76999999999999991</v>
      </c>
      <c r="BO19" s="55">
        <f t="shared" si="86"/>
        <v>0.74999999999999989</v>
      </c>
      <c r="BP19" s="55">
        <f t="shared" si="86"/>
        <v>0.72999999999999987</v>
      </c>
      <c r="BQ19" s="55">
        <f t="shared" si="86"/>
        <v>0.70999999999999985</v>
      </c>
      <c r="BR19" s="55">
        <f t="shared" si="86"/>
        <v>0.68999999999999984</v>
      </c>
      <c r="BS19" s="55">
        <f t="shared" si="86"/>
        <v>0.66999999999999982</v>
      </c>
      <c r="BT19" s="55">
        <f t="shared" si="86"/>
        <v>0.6499999999999998</v>
      </c>
      <c r="BU19" s="55">
        <f t="shared" si="86"/>
        <v>0.62999999999999978</v>
      </c>
      <c r="BV19" s="55">
        <f t="shared" si="86"/>
        <v>0.60999999999999976</v>
      </c>
      <c r="BW19" s="55">
        <f t="shared" si="86"/>
        <v>0.58999999999999975</v>
      </c>
      <c r="BX19" s="55">
        <f t="shared" si="86"/>
        <v>0.56999999999999973</v>
      </c>
      <c r="BZ19" s="55">
        <f t="shared" ref="BZ19:BZ83" si="87">+H19*0.91</f>
        <v>2932289.3600000003</v>
      </c>
      <c r="CA19" s="55">
        <f t="shared" ref="CA19:CA83" si="88">+BZ19</f>
        <v>2932289.3600000003</v>
      </c>
      <c r="CB19" s="59">
        <f t="shared" ref="CB19:CB28" si="89">+CA19*3.3058</f>
        <v>9693562.1662880015</v>
      </c>
      <c r="CC19" s="55">
        <f t="shared" ref="CC19:CC28" si="90">+CA19*DV19</f>
        <v>2844320.6792000001</v>
      </c>
      <c r="CD19" s="59">
        <f t="shared" ref="CD19:CD28" si="91">+CC19*3.3058</f>
        <v>9402755.3012993615</v>
      </c>
      <c r="CE19" s="55">
        <f t="shared" ref="CE19:CE28" si="92">+CA19*DW19</f>
        <v>2785674.892</v>
      </c>
      <c r="CF19" s="59">
        <f t="shared" ref="CF19:CF28" si="93">+CE19*3.3058</f>
        <v>9208884.0579736009</v>
      </c>
      <c r="CG19" s="55">
        <f t="shared" si="20"/>
        <v>2727029.1048000003</v>
      </c>
      <c r="CH19" s="59">
        <f t="shared" ref="CH19:CH28" si="94">+CG19*3.3058</f>
        <v>9015012.8146478403</v>
      </c>
      <c r="CI19" s="57">
        <f t="shared" si="21"/>
        <v>2668383.3176000002</v>
      </c>
      <c r="CJ19" s="59">
        <f t="shared" ref="CJ19:CJ28" si="95">+CI19*3.3058</f>
        <v>8821141.5713220816</v>
      </c>
      <c r="CK19" s="55">
        <f t="shared" si="22"/>
        <v>2609737.5304000005</v>
      </c>
      <c r="CL19" s="59">
        <f t="shared" ref="CL19:CL28" si="96">+CK19*3.3058</f>
        <v>8627270.327996321</v>
      </c>
      <c r="CM19" s="57">
        <f t="shared" si="23"/>
        <v>2551091.7432000004</v>
      </c>
      <c r="CN19" s="59">
        <f t="shared" ref="CN19:CN28" si="97">+CM19*3.3058</f>
        <v>8433399.0846705623</v>
      </c>
      <c r="CO19" s="60">
        <f t="shared" si="24"/>
        <v>2492445.9560000002</v>
      </c>
      <c r="CP19" s="59">
        <f t="shared" ref="CP19:CP28" si="98">+CO19*3.3058</f>
        <v>8239527.8413448008</v>
      </c>
      <c r="CQ19" s="57">
        <f t="shared" si="25"/>
        <v>2433800.1688000001</v>
      </c>
      <c r="CR19" s="59">
        <f t="shared" ref="CR19:CR28" si="99">+CQ19*3.3058</f>
        <v>8045656.5980190402</v>
      </c>
      <c r="CS19" s="55">
        <f t="shared" si="26"/>
        <v>2375154.3816</v>
      </c>
      <c r="CT19" s="59">
        <f t="shared" ref="CT19:CT28" si="100">+CS19*3.3058</f>
        <v>7851785.3546932796</v>
      </c>
      <c r="CU19" s="60">
        <f t="shared" si="27"/>
        <v>2316508.5943999998</v>
      </c>
      <c r="CV19" s="59">
        <f t="shared" ref="CV19:CV28" si="101">+CU19*3.3058</f>
        <v>7657914.1113675199</v>
      </c>
      <c r="CW19" s="60">
        <f t="shared" si="28"/>
        <v>2257862.8072000002</v>
      </c>
      <c r="CX19" s="59">
        <f t="shared" ref="CX19:CX28" si="102">+CW19*3.3058</f>
        <v>7464042.8680417603</v>
      </c>
      <c r="CY19" s="60">
        <f t="shared" si="29"/>
        <v>2199217.02</v>
      </c>
      <c r="CZ19" s="59">
        <f t="shared" ref="CZ19:CZ28" si="103">+CY19*3.3058</f>
        <v>7270171.6247160006</v>
      </c>
      <c r="DA19" s="55">
        <f t="shared" si="30"/>
        <v>2140571.2327999999</v>
      </c>
      <c r="DB19" s="59">
        <f t="shared" ref="DB19:DB28" si="104">+DA19*3.3058</f>
        <v>7076300.38139024</v>
      </c>
      <c r="DC19" s="60">
        <f t="shared" si="31"/>
        <v>2081925.4455999997</v>
      </c>
      <c r="DD19" s="59">
        <f t="shared" ref="DD19:DD28" si="105">+DC19*3.3058</f>
        <v>6882429.1380644795</v>
      </c>
      <c r="DE19" s="60">
        <f t="shared" si="32"/>
        <v>2023279.6583999998</v>
      </c>
      <c r="DF19" s="59">
        <f t="shared" ref="DF19:DF28" si="106">+DE19*3.3058</f>
        <v>6688557.8947387198</v>
      </c>
      <c r="DG19" s="60">
        <f t="shared" si="33"/>
        <v>1964633.8711999997</v>
      </c>
      <c r="DH19" s="59">
        <f t="shared" ref="DH19:DH28" si="107">+DG19*3.3058</f>
        <v>6494686.6514129592</v>
      </c>
      <c r="DI19" s="60">
        <f t="shared" si="34"/>
        <v>1905988.0839999996</v>
      </c>
      <c r="DJ19" s="59">
        <f t="shared" ref="DJ19:DJ28" si="108">+DI19*3.3058</f>
        <v>6300815.4080871986</v>
      </c>
      <c r="DK19" s="55">
        <f t="shared" si="35"/>
        <v>1847342.2967999997</v>
      </c>
      <c r="DL19" s="59">
        <f t="shared" ref="DL19:DL28" si="109">+DK19*3.3058</f>
        <v>6106944.164761439</v>
      </c>
      <c r="DM19" s="60">
        <f t="shared" si="36"/>
        <v>1788696.5095999995</v>
      </c>
      <c r="DN19" s="59">
        <f t="shared" ref="DN19:DN28" si="110">+DM19*3.3058</f>
        <v>5913072.9214356784</v>
      </c>
      <c r="DO19" s="60">
        <f t="shared" si="37"/>
        <v>1730050.7223999994</v>
      </c>
      <c r="DP19" s="59">
        <f t="shared" ref="DP19:DP28" si="111">+DO19*3.3058</f>
        <v>5719201.6781099178</v>
      </c>
      <c r="DQ19" s="55">
        <f t="shared" si="38"/>
        <v>1671404.9351999995</v>
      </c>
      <c r="DR19" s="59">
        <f t="shared" ref="DR19:DR28" si="112">+DQ19*3.3058</f>
        <v>5525330.4347841581</v>
      </c>
      <c r="DU19" s="55">
        <v>1</v>
      </c>
      <c r="DV19" s="55">
        <v>0.97</v>
      </c>
      <c r="DW19" s="55">
        <v>0.95</v>
      </c>
      <c r="DX19" s="55">
        <v>0.93</v>
      </c>
      <c r="DY19" s="55">
        <f t="shared" ref="DY19:EP33" si="113">+DX19-0.02</f>
        <v>0.91</v>
      </c>
      <c r="DZ19" s="55">
        <f t="shared" si="113"/>
        <v>0.89</v>
      </c>
      <c r="EA19" s="55">
        <f t="shared" si="113"/>
        <v>0.87</v>
      </c>
      <c r="EB19" s="55">
        <f t="shared" si="113"/>
        <v>0.85</v>
      </c>
      <c r="EC19" s="55">
        <f t="shared" si="113"/>
        <v>0.83</v>
      </c>
      <c r="ED19" s="55">
        <f t="shared" si="113"/>
        <v>0.80999999999999994</v>
      </c>
      <c r="EE19" s="55">
        <f t="shared" si="113"/>
        <v>0.78999999999999992</v>
      </c>
      <c r="EF19" s="55">
        <f t="shared" si="113"/>
        <v>0.76999999999999991</v>
      </c>
      <c r="EG19" s="55">
        <f t="shared" si="113"/>
        <v>0.74999999999999989</v>
      </c>
      <c r="EH19" s="55">
        <f t="shared" si="113"/>
        <v>0.72999999999999987</v>
      </c>
      <c r="EI19" s="55">
        <f t="shared" si="113"/>
        <v>0.70999999999999985</v>
      </c>
      <c r="EJ19" s="55">
        <f t="shared" si="113"/>
        <v>0.68999999999999984</v>
      </c>
      <c r="EK19" s="55">
        <f t="shared" si="113"/>
        <v>0.66999999999999982</v>
      </c>
      <c r="EL19" s="55">
        <f t="shared" si="113"/>
        <v>0.6499999999999998</v>
      </c>
      <c r="EM19" s="55">
        <f t="shared" si="113"/>
        <v>0.62999999999999978</v>
      </c>
      <c r="EN19" s="55">
        <f t="shared" si="113"/>
        <v>0.60999999999999976</v>
      </c>
      <c r="EO19" s="55">
        <f t="shared" si="113"/>
        <v>0.58999999999999975</v>
      </c>
      <c r="EP19" s="55">
        <f t="shared" si="113"/>
        <v>0.56999999999999973</v>
      </c>
      <c r="ER19" s="55">
        <f t="shared" ref="ER19:ER26" si="114">+BZ19*0.91</f>
        <v>2668383.3176000002</v>
      </c>
      <c r="ES19" s="55">
        <f t="shared" ref="ES19:ES83" si="115">+ER19</f>
        <v>2668383.3176000002</v>
      </c>
      <c r="ET19" s="59">
        <f t="shared" ref="ET19:ET28" si="116">+ES19*3.3058</f>
        <v>8821141.5713220816</v>
      </c>
      <c r="EU19" s="55">
        <f t="shared" ref="EU19:EU28" si="117">+ES19*GN19</f>
        <v>2588331.8180720001</v>
      </c>
      <c r="EV19" s="59">
        <f t="shared" ref="EV19:EV28" si="118">+EU19*3.3058</f>
        <v>8556507.3241824172</v>
      </c>
      <c r="EW19" s="55">
        <f t="shared" ref="EW19:EW28" si="119">+ES19*GO19</f>
        <v>2534964.15172</v>
      </c>
      <c r="EX19" s="59">
        <f t="shared" ref="EX19:EX28" si="120">+EW19*3.3058</f>
        <v>8380084.4927559765</v>
      </c>
      <c r="EY19" s="55">
        <f t="shared" si="40"/>
        <v>2481596.4853680003</v>
      </c>
      <c r="EZ19" s="59">
        <f t="shared" ref="EZ19:EZ28" si="121">+EY19*3.3058</f>
        <v>8203661.6613295358</v>
      </c>
      <c r="FA19" s="57">
        <f t="shared" si="41"/>
        <v>2428228.8190160003</v>
      </c>
      <c r="FB19" s="59">
        <f t="shared" ref="FB19:FB28" si="122">+FA19*3.3058</f>
        <v>8027238.8299030941</v>
      </c>
      <c r="FC19" s="55">
        <f t="shared" si="42"/>
        <v>2374861.1526640002</v>
      </c>
      <c r="FD19" s="59">
        <f t="shared" ref="FD19:FD28" si="123">+FC19*3.3058</f>
        <v>7850815.9984766515</v>
      </c>
      <c r="FE19" s="57">
        <f t="shared" si="43"/>
        <v>2321493.4863120001</v>
      </c>
      <c r="FF19" s="59">
        <f t="shared" ref="FF19:FF28" si="124">+FE19*3.3058</f>
        <v>7674393.1670502098</v>
      </c>
      <c r="FG19" s="60">
        <f t="shared" si="44"/>
        <v>2268125.81996</v>
      </c>
      <c r="FH19" s="59">
        <f t="shared" ref="FH19:FH28" si="125">+FG19*3.3058</f>
        <v>7497970.3356237682</v>
      </c>
      <c r="FI19" s="57">
        <f t="shared" si="45"/>
        <v>2214758.1536079999</v>
      </c>
      <c r="FJ19" s="59">
        <f t="shared" ref="FJ19:FJ28" si="126">+FI19*3.3058</f>
        <v>7321547.5041973265</v>
      </c>
      <c r="FK19" s="55">
        <f t="shared" si="46"/>
        <v>2161390.4872559998</v>
      </c>
      <c r="FL19" s="59">
        <f t="shared" ref="FL19:FL28" si="127">+FK19*3.3058</f>
        <v>7145124.6727708848</v>
      </c>
      <c r="FM19" s="60">
        <f t="shared" si="47"/>
        <v>2108022.8209039997</v>
      </c>
      <c r="FN19" s="59">
        <f t="shared" ref="FN19:FN28" si="128">+FM19*3.3058</f>
        <v>6968701.8413444422</v>
      </c>
      <c r="FO19" s="60">
        <f t="shared" si="48"/>
        <v>2054655.1545519999</v>
      </c>
      <c r="FP19" s="59">
        <f t="shared" ref="FP19:FP28" si="129">+FO19*3.3058</f>
        <v>6792279.0099180015</v>
      </c>
      <c r="FQ19" s="60">
        <f t="shared" si="49"/>
        <v>2001287.4881999998</v>
      </c>
      <c r="FR19" s="59">
        <f t="shared" ref="FR19:FR28" si="130">+FQ19*3.3058</f>
        <v>6615856.1784915598</v>
      </c>
      <c r="FS19" s="55">
        <f t="shared" si="50"/>
        <v>1947919.8218479997</v>
      </c>
      <c r="FT19" s="59">
        <f t="shared" ref="FT19:FT28" si="131">+FS19*3.3058</f>
        <v>6439433.3470651172</v>
      </c>
      <c r="FU19" s="60">
        <f t="shared" si="51"/>
        <v>1894552.1554959998</v>
      </c>
      <c r="FV19" s="59">
        <f t="shared" ref="FV19:FV28" si="132">+FU19*3.3058</f>
        <v>6263010.5156386765</v>
      </c>
      <c r="FW19" s="60">
        <f t="shared" si="52"/>
        <v>1841184.4891439998</v>
      </c>
      <c r="FX19" s="59">
        <f t="shared" ref="FX19:FX28" si="133">+FW19*3.3058</f>
        <v>6086587.6842122348</v>
      </c>
      <c r="FY19" s="60">
        <f t="shared" si="53"/>
        <v>1787816.8227919997</v>
      </c>
      <c r="FZ19" s="59">
        <f t="shared" ref="FZ19:FZ28" si="134">+FY19*3.3058</f>
        <v>5910164.8527857922</v>
      </c>
      <c r="GA19" s="60">
        <f t="shared" si="54"/>
        <v>1734449.1564399996</v>
      </c>
      <c r="GB19" s="59">
        <f t="shared" ref="GB19:GB28" si="135">+GA19*3.3058</f>
        <v>5733742.0213593505</v>
      </c>
      <c r="GC19" s="55">
        <f t="shared" si="55"/>
        <v>1681081.4900879995</v>
      </c>
      <c r="GD19" s="59">
        <f t="shared" ref="GD19:GD28" si="136">+GC19*3.3058</f>
        <v>5557319.1899329089</v>
      </c>
      <c r="GE19" s="60">
        <f t="shared" si="56"/>
        <v>1627713.8237359994</v>
      </c>
      <c r="GF19" s="59">
        <f t="shared" ref="GF19:GF28" si="137">+GE19*3.3058</f>
        <v>5380896.3585064672</v>
      </c>
      <c r="GG19" s="60">
        <f t="shared" si="57"/>
        <v>1574346.1573839993</v>
      </c>
      <c r="GH19" s="59">
        <f t="shared" ref="GH19:GH28" si="138">+GG19*3.3058</f>
        <v>5204473.5270800255</v>
      </c>
      <c r="GI19" s="55">
        <f t="shared" si="58"/>
        <v>1520978.4910319995</v>
      </c>
      <c r="GJ19" s="59">
        <f t="shared" ref="GJ19:GJ28" si="139">+GI19*3.3058</f>
        <v>5028050.6956535839</v>
      </c>
      <c r="GK19" s="55"/>
      <c r="GL19" s="55"/>
      <c r="GM19" s="55">
        <v>1</v>
      </c>
      <c r="GN19" s="55">
        <v>0.97</v>
      </c>
      <c r="GO19" s="55">
        <v>0.95</v>
      </c>
      <c r="GP19" s="55">
        <v>0.93</v>
      </c>
      <c r="GQ19" s="55">
        <f t="shared" ref="GQ19:HH33" si="140">+GP19-0.02</f>
        <v>0.91</v>
      </c>
      <c r="GR19" s="55">
        <f t="shared" si="140"/>
        <v>0.89</v>
      </c>
      <c r="GS19" s="55">
        <f t="shared" si="140"/>
        <v>0.87</v>
      </c>
      <c r="GT19" s="55">
        <f t="shared" si="140"/>
        <v>0.85</v>
      </c>
      <c r="GU19" s="55">
        <f t="shared" si="140"/>
        <v>0.83</v>
      </c>
      <c r="GV19" s="55">
        <f t="shared" si="140"/>
        <v>0.80999999999999994</v>
      </c>
      <c r="GW19" s="55">
        <f t="shared" si="140"/>
        <v>0.78999999999999992</v>
      </c>
      <c r="GX19" s="55">
        <f t="shared" si="140"/>
        <v>0.76999999999999991</v>
      </c>
      <c r="GY19" s="55">
        <f t="shared" si="140"/>
        <v>0.74999999999999989</v>
      </c>
      <c r="GZ19" s="55">
        <f t="shared" si="140"/>
        <v>0.72999999999999987</v>
      </c>
      <c r="HA19" s="55">
        <f t="shared" si="140"/>
        <v>0.70999999999999985</v>
      </c>
      <c r="HB19" s="55">
        <f t="shared" si="140"/>
        <v>0.68999999999999984</v>
      </c>
      <c r="HC19" s="55">
        <f t="shared" si="140"/>
        <v>0.66999999999999982</v>
      </c>
      <c r="HD19" s="55">
        <f t="shared" si="140"/>
        <v>0.6499999999999998</v>
      </c>
      <c r="HE19" s="55">
        <f t="shared" si="140"/>
        <v>0.62999999999999978</v>
      </c>
      <c r="HF19" s="55">
        <f t="shared" si="140"/>
        <v>0.60999999999999976</v>
      </c>
      <c r="HG19" s="55">
        <f t="shared" si="140"/>
        <v>0.58999999999999975</v>
      </c>
      <c r="HH19" s="55">
        <f t="shared" si="140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5850</v>
      </c>
      <c r="E20" s="82">
        <f>TRUNC(+D20*3.3058,-1)</f>
        <v>19330</v>
      </c>
      <c r="H20" s="55">
        <f t="shared" si="60"/>
        <v>21263</v>
      </c>
      <c r="I20" s="55">
        <f t="shared" si="61"/>
        <v>21263</v>
      </c>
      <c r="J20" s="59">
        <f t="shared" si="62"/>
        <v>70291.225399999996</v>
      </c>
      <c r="K20" s="55">
        <f t="shared" si="63"/>
        <v>20625.11</v>
      </c>
      <c r="L20" s="59">
        <f t="shared" si="64"/>
        <v>68182.48863800001</v>
      </c>
      <c r="M20" s="55">
        <f t="shared" si="65"/>
        <v>20199.849999999999</v>
      </c>
      <c r="N20" s="59">
        <f t="shared" si="66"/>
        <v>66776.66412999999</v>
      </c>
      <c r="O20" s="55">
        <f t="shared" si="0"/>
        <v>19774.59</v>
      </c>
      <c r="P20" s="59">
        <f t="shared" si="67"/>
        <v>65370.839622</v>
      </c>
      <c r="Q20" s="57">
        <f t="shared" si="1"/>
        <v>19349.330000000002</v>
      </c>
      <c r="R20" s="59">
        <f t="shared" si="68"/>
        <v>63965.015114000009</v>
      </c>
      <c r="S20" s="55">
        <f t="shared" si="2"/>
        <v>18924.07</v>
      </c>
      <c r="T20" s="59">
        <f t="shared" si="69"/>
        <v>62559.190606000004</v>
      </c>
      <c r="U20" s="57">
        <f t="shared" si="3"/>
        <v>18498.810000000001</v>
      </c>
      <c r="V20" s="59">
        <f t="shared" si="70"/>
        <v>61153.366098000006</v>
      </c>
      <c r="W20" s="60">
        <f t="shared" si="4"/>
        <v>18073.55</v>
      </c>
      <c r="X20" s="59">
        <f t="shared" si="71"/>
        <v>59747.541590000001</v>
      </c>
      <c r="Y20" s="57">
        <f t="shared" si="5"/>
        <v>17648.29</v>
      </c>
      <c r="Z20" s="59">
        <f t="shared" si="72"/>
        <v>58341.717082000003</v>
      </c>
      <c r="AA20" s="55">
        <f t="shared" si="6"/>
        <v>17223.03</v>
      </c>
      <c r="AB20" s="59">
        <f t="shared" si="73"/>
        <v>56935.892573999998</v>
      </c>
      <c r="AC20" s="60">
        <f t="shared" si="7"/>
        <v>16797.769999999997</v>
      </c>
      <c r="AD20" s="59">
        <f t="shared" si="74"/>
        <v>55530.068065999993</v>
      </c>
      <c r="AE20" s="60">
        <f t="shared" si="8"/>
        <v>16372.509999999998</v>
      </c>
      <c r="AF20" s="59">
        <f t="shared" si="75"/>
        <v>54124.243557999995</v>
      </c>
      <c r="AG20" s="60">
        <f t="shared" si="9"/>
        <v>15947.249999999998</v>
      </c>
      <c r="AH20" s="59">
        <f t="shared" si="76"/>
        <v>52718.419049999997</v>
      </c>
      <c r="AI20" s="55">
        <f t="shared" si="10"/>
        <v>15521.989999999998</v>
      </c>
      <c r="AJ20" s="59">
        <f t="shared" si="77"/>
        <v>51312.594541999992</v>
      </c>
      <c r="AK20" s="60">
        <f t="shared" si="11"/>
        <v>15096.729999999998</v>
      </c>
      <c r="AL20" s="59">
        <f t="shared" si="78"/>
        <v>49906.770033999994</v>
      </c>
      <c r="AM20" s="60">
        <f t="shared" si="12"/>
        <v>14671.469999999996</v>
      </c>
      <c r="AN20" s="59">
        <f t="shared" si="79"/>
        <v>48500.945525999989</v>
      </c>
      <c r="AO20" s="60">
        <f t="shared" si="13"/>
        <v>14246.209999999995</v>
      </c>
      <c r="AP20" s="59">
        <f t="shared" si="80"/>
        <v>47095.121017999983</v>
      </c>
      <c r="AQ20" s="60">
        <f t="shared" si="14"/>
        <v>13820.949999999995</v>
      </c>
      <c r="AR20" s="59">
        <f t="shared" si="81"/>
        <v>45689.296509999986</v>
      </c>
      <c r="AS20" s="55">
        <f t="shared" si="15"/>
        <v>13395.689999999995</v>
      </c>
      <c r="AT20" s="59">
        <f t="shared" si="82"/>
        <v>44283.472001999988</v>
      </c>
      <c r="AU20" s="60">
        <f t="shared" si="16"/>
        <v>12970.429999999995</v>
      </c>
      <c r="AV20" s="59">
        <f t="shared" si="83"/>
        <v>42877.647493999983</v>
      </c>
      <c r="AW20" s="60">
        <f t="shared" si="17"/>
        <v>12545.169999999995</v>
      </c>
      <c r="AX20" s="59">
        <f t="shared" si="84"/>
        <v>41471.822985999985</v>
      </c>
      <c r="AY20" s="55">
        <f t="shared" si="18"/>
        <v>12119.909999999994</v>
      </c>
      <c r="AZ20" s="59">
        <f t="shared" si="85"/>
        <v>40065.99847799998</v>
      </c>
      <c r="BC20" s="55">
        <v>1</v>
      </c>
      <c r="BD20" s="55">
        <v>0.97</v>
      </c>
      <c r="BE20" s="55">
        <v>0.95</v>
      </c>
      <c r="BF20" s="55">
        <v>0.93</v>
      </c>
      <c r="BG20" s="55">
        <f t="shared" si="86"/>
        <v>0.91</v>
      </c>
      <c r="BH20" s="55">
        <f t="shared" si="86"/>
        <v>0.89</v>
      </c>
      <c r="BI20" s="55">
        <f t="shared" si="86"/>
        <v>0.87</v>
      </c>
      <c r="BJ20" s="55">
        <f t="shared" si="86"/>
        <v>0.85</v>
      </c>
      <c r="BK20" s="55">
        <f t="shared" si="86"/>
        <v>0.83</v>
      </c>
      <c r="BL20" s="55">
        <f t="shared" si="86"/>
        <v>0.80999999999999994</v>
      </c>
      <c r="BM20" s="55">
        <f t="shared" si="86"/>
        <v>0.78999999999999992</v>
      </c>
      <c r="BN20" s="55">
        <f t="shared" si="86"/>
        <v>0.76999999999999991</v>
      </c>
      <c r="BO20" s="55">
        <f t="shared" si="86"/>
        <v>0.74999999999999989</v>
      </c>
      <c r="BP20" s="55">
        <f t="shared" si="86"/>
        <v>0.72999999999999987</v>
      </c>
      <c r="BQ20" s="55">
        <f t="shared" si="86"/>
        <v>0.70999999999999985</v>
      </c>
      <c r="BR20" s="55">
        <f t="shared" si="86"/>
        <v>0.68999999999999984</v>
      </c>
      <c r="BS20" s="55">
        <f t="shared" si="86"/>
        <v>0.66999999999999982</v>
      </c>
      <c r="BT20" s="55">
        <f t="shared" si="86"/>
        <v>0.6499999999999998</v>
      </c>
      <c r="BU20" s="55">
        <f t="shared" si="86"/>
        <v>0.62999999999999978</v>
      </c>
      <c r="BV20" s="55">
        <f t="shared" si="86"/>
        <v>0.60999999999999976</v>
      </c>
      <c r="BW20" s="55">
        <f t="shared" si="86"/>
        <v>0.58999999999999975</v>
      </c>
      <c r="BX20" s="55">
        <f t="shared" si="86"/>
        <v>0.56999999999999973</v>
      </c>
      <c r="BZ20" s="55">
        <f t="shared" si="87"/>
        <v>19349.330000000002</v>
      </c>
      <c r="CA20" s="55">
        <f t="shared" si="88"/>
        <v>19349.330000000002</v>
      </c>
      <c r="CB20" s="59">
        <f t="shared" si="89"/>
        <v>63965.015114000009</v>
      </c>
      <c r="CC20" s="55">
        <f t="shared" si="90"/>
        <v>18768.8501</v>
      </c>
      <c r="CD20" s="59">
        <f t="shared" si="91"/>
        <v>62046.064660579999</v>
      </c>
      <c r="CE20" s="55">
        <f t="shared" si="92"/>
        <v>18381.863499999999</v>
      </c>
      <c r="CF20" s="59">
        <f t="shared" si="93"/>
        <v>60766.764358300003</v>
      </c>
      <c r="CG20" s="55">
        <f t="shared" si="20"/>
        <v>17994.876900000003</v>
      </c>
      <c r="CH20" s="59">
        <f t="shared" si="94"/>
        <v>59487.464056020013</v>
      </c>
      <c r="CI20" s="57">
        <f t="shared" si="21"/>
        <v>17607.890300000003</v>
      </c>
      <c r="CJ20" s="59">
        <f t="shared" si="95"/>
        <v>58208.163753740009</v>
      </c>
      <c r="CK20" s="55">
        <f t="shared" si="22"/>
        <v>17220.903700000003</v>
      </c>
      <c r="CL20" s="59">
        <f t="shared" si="96"/>
        <v>56928.863451460013</v>
      </c>
      <c r="CM20" s="57">
        <f t="shared" si="23"/>
        <v>16833.917100000002</v>
      </c>
      <c r="CN20" s="59">
        <f t="shared" si="97"/>
        <v>55649.563149180009</v>
      </c>
      <c r="CO20" s="60">
        <f t="shared" si="24"/>
        <v>16446.930500000002</v>
      </c>
      <c r="CP20" s="59">
        <f t="shared" si="98"/>
        <v>54370.262846900012</v>
      </c>
      <c r="CQ20" s="57">
        <f t="shared" si="25"/>
        <v>16059.9439</v>
      </c>
      <c r="CR20" s="59">
        <f t="shared" si="99"/>
        <v>53090.962544620001</v>
      </c>
      <c r="CS20" s="55">
        <f t="shared" si="26"/>
        <v>15672.9573</v>
      </c>
      <c r="CT20" s="59">
        <f t="shared" si="100"/>
        <v>51811.662242340004</v>
      </c>
      <c r="CU20" s="60">
        <f t="shared" si="27"/>
        <v>15285.9707</v>
      </c>
      <c r="CV20" s="59">
        <f t="shared" si="101"/>
        <v>50532.36194006</v>
      </c>
      <c r="CW20" s="60">
        <f t="shared" si="28"/>
        <v>14898.9841</v>
      </c>
      <c r="CX20" s="59">
        <f t="shared" si="102"/>
        <v>49253.061637780003</v>
      </c>
      <c r="CY20" s="60">
        <f t="shared" si="29"/>
        <v>14511.997499999999</v>
      </c>
      <c r="CZ20" s="59">
        <f t="shared" si="103"/>
        <v>47973.761335499999</v>
      </c>
      <c r="DA20" s="55">
        <f t="shared" si="30"/>
        <v>14125.010899999999</v>
      </c>
      <c r="DB20" s="59">
        <f t="shared" si="104"/>
        <v>46694.461033219995</v>
      </c>
      <c r="DC20" s="60">
        <f t="shared" si="31"/>
        <v>13738.024299999999</v>
      </c>
      <c r="DD20" s="59">
        <f t="shared" si="105"/>
        <v>45415.160730939999</v>
      </c>
      <c r="DE20" s="60">
        <f t="shared" si="32"/>
        <v>13351.037699999997</v>
      </c>
      <c r="DF20" s="59">
        <f t="shared" si="106"/>
        <v>44135.860428659995</v>
      </c>
      <c r="DG20" s="60">
        <f t="shared" si="33"/>
        <v>12964.051099999997</v>
      </c>
      <c r="DH20" s="59">
        <f t="shared" si="107"/>
        <v>42856.560126379991</v>
      </c>
      <c r="DI20" s="60">
        <f t="shared" si="34"/>
        <v>12577.064499999997</v>
      </c>
      <c r="DJ20" s="59">
        <f t="shared" si="108"/>
        <v>41577.259824099987</v>
      </c>
      <c r="DK20" s="55">
        <f t="shared" si="35"/>
        <v>12190.077899999997</v>
      </c>
      <c r="DL20" s="59">
        <f t="shared" si="109"/>
        <v>40297.95952181999</v>
      </c>
      <c r="DM20" s="60">
        <f t="shared" si="36"/>
        <v>11803.091299999996</v>
      </c>
      <c r="DN20" s="59">
        <f t="shared" si="110"/>
        <v>39018.659219539986</v>
      </c>
      <c r="DO20" s="60">
        <f t="shared" si="37"/>
        <v>11416.104699999996</v>
      </c>
      <c r="DP20" s="59">
        <f t="shared" si="111"/>
        <v>37739.35891725999</v>
      </c>
      <c r="DQ20" s="55">
        <f t="shared" si="38"/>
        <v>11029.118099999996</v>
      </c>
      <c r="DR20" s="59">
        <f t="shared" si="112"/>
        <v>36460.058614979986</v>
      </c>
      <c r="DU20" s="55">
        <v>1</v>
      </c>
      <c r="DV20" s="55">
        <v>0.97</v>
      </c>
      <c r="DW20" s="55">
        <v>0.95</v>
      </c>
      <c r="DX20" s="55">
        <v>0.93</v>
      </c>
      <c r="DY20" s="55">
        <f t="shared" si="113"/>
        <v>0.91</v>
      </c>
      <c r="DZ20" s="55">
        <f t="shared" si="113"/>
        <v>0.89</v>
      </c>
      <c r="EA20" s="55">
        <f t="shared" si="113"/>
        <v>0.87</v>
      </c>
      <c r="EB20" s="55">
        <f t="shared" si="113"/>
        <v>0.85</v>
      </c>
      <c r="EC20" s="55">
        <f t="shared" si="113"/>
        <v>0.83</v>
      </c>
      <c r="ED20" s="55">
        <f t="shared" si="113"/>
        <v>0.80999999999999994</v>
      </c>
      <c r="EE20" s="55">
        <f t="shared" si="113"/>
        <v>0.78999999999999992</v>
      </c>
      <c r="EF20" s="55">
        <f t="shared" si="113"/>
        <v>0.76999999999999991</v>
      </c>
      <c r="EG20" s="55">
        <f t="shared" si="113"/>
        <v>0.74999999999999989</v>
      </c>
      <c r="EH20" s="55">
        <f t="shared" si="113"/>
        <v>0.72999999999999987</v>
      </c>
      <c r="EI20" s="55">
        <f t="shared" si="113"/>
        <v>0.70999999999999985</v>
      </c>
      <c r="EJ20" s="55">
        <f t="shared" si="113"/>
        <v>0.68999999999999984</v>
      </c>
      <c r="EK20" s="55">
        <f t="shared" si="113"/>
        <v>0.66999999999999982</v>
      </c>
      <c r="EL20" s="55">
        <f t="shared" si="113"/>
        <v>0.6499999999999998</v>
      </c>
      <c r="EM20" s="55">
        <f t="shared" si="113"/>
        <v>0.62999999999999978</v>
      </c>
      <c r="EN20" s="55">
        <f t="shared" si="113"/>
        <v>0.60999999999999976</v>
      </c>
      <c r="EO20" s="55">
        <f t="shared" si="113"/>
        <v>0.58999999999999975</v>
      </c>
      <c r="EP20" s="55">
        <f t="shared" si="113"/>
        <v>0.56999999999999973</v>
      </c>
      <c r="ER20" s="55">
        <f t="shared" si="114"/>
        <v>17607.890300000003</v>
      </c>
      <c r="ES20" s="55">
        <f t="shared" si="115"/>
        <v>17607.890300000003</v>
      </c>
      <c r="ET20" s="59">
        <f t="shared" si="116"/>
        <v>58208.163753740009</v>
      </c>
      <c r="EU20" s="55">
        <f t="shared" si="117"/>
        <v>17079.653591000002</v>
      </c>
      <c r="EV20" s="59">
        <f t="shared" si="118"/>
        <v>56461.918841127808</v>
      </c>
      <c r="EW20" s="55">
        <f t="shared" si="119"/>
        <v>16727.495785000003</v>
      </c>
      <c r="EX20" s="59">
        <f t="shared" si="120"/>
        <v>55297.755566053012</v>
      </c>
      <c r="EY20" s="55">
        <f t="shared" si="40"/>
        <v>16375.337979000004</v>
      </c>
      <c r="EZ20" s="59">
        <f t="shared" si="121"/>
        <v>54133.592290978209</v>
      </c>
      <c r="FA20" s="57">
        <f t="shared" si="41"/>
        <v>16023.180173000002</v>
      </c>
      <c r="FB20" s="59">
        <f t="shared" si="122"/>
        <v>52969.429015903406</v>
      </c>
      <c r="FC20" s="55">
        <f t="shared" si="42"/>
        <v>15671.022367000003</v>
      </c>
      <c r="FD20" s="59">
        <f t="shared" si="123"/>
        <v>51805.26574082861</v>
      </c>
      <c r="FE20" s="57">
        <f t="shared" si="43"/>
        <v>15318.864561000002</v>
      </c>
      <c r="FF20" s="59">
        <f t="shared" si="124"/>
        <v>50641.102465753807</v>
      </c>
      <c r="FG20" s="60">
        <f t="shared" si="44"/>
        <v>14966.706755000001</v>
      </c>
      <c r="FH20" s="59">
        <f t="shared" si="125"/>
        <v>49476.939190679004</v>
      </c>
      <c r="FI20" s="57">
        <f t="shared" si="45"/>
        <v>14614.548949000002</v>
      </c>
      <c r="FJ20" s="59">
        <f t="shared" si="126"/>
        <v>48312.775915604208</v>
      </c>
      <c r="FK20" s="55">
        <f t="shared" si="46"/>
        <v>14262.391143000001</v>
      </c>
      <c r="FL20" s="59">
        <f t="shared" si="127"/>
        <v>47148.612640529405</v>
      </c>
      <c r="FM20" s="60">
        <f t="shared" si="47"/>
        <v>13910.233337000001</v>
      </c>
      <c r="FN20" s="59">
        <f t="shared" si="128"/>
        <v>45984.44936545461</v>
      </c>
      <c r="FO20" s="60">
        <f t="shared" si="48"/>
        <v>13558.075531</v>
      </c>
      <c r="FP20" s="59">
        <f t="shared" si="129"/>
        <v>44820.286090379799</v>
      </c>
      <c r="FQ20" s="60">
        <f t="shared" si="49"/>
        <v>13205.917724999999</v>
      </c>
      <c r="FR20" s="59">
        <f t="shared" si="130"/>
        <v>43656.122815304996</v>
      </c>
      <c r="FS20" s="55">
        <f t="shared" si="50"/>
        <v>12853.759919</v>
      </c>
      <c r="FT20" s="59">
        <f t="shared" si="131"/>
        <v>42491.9595402302</v>
      </c>
      <c r="FU20" s="60">
        <f t="shared" si="51"/>
        <v>12501.602112999999</v>
      </c>
      <c r="FV20" s="59">
        <f t="shared" si="132"/>
        <v>41327.796265155397</v>
      </c>
      <c r="FW20" s="60">
        <f t="shared" si="52"/>
        <v>12149.444307</v>
      </c>
      <c r="FX20" s="59">
        <f t="shared" si="133"/>
        <v>40163.632990080601</v>
      </c>
      <c r="FY20" s="60">
        <f t="shared" si="53"/>
        <v>11797.286500999999</v>
      </c>
      <c r="FZ20" s="59">
        <f t="shared" si="134"/>
        <v>38999.469715005798</v>
      </c>
      <c r="GA20" s="60">
        <f t="shared" si="54"/>
        <v>11445.128694999998</v>
      </c>
      <c r="GB20" s="59">
        <f t="shared" si="135"/>
        <v>37835.306439930995</v>
      </c>
      <c r="GC20" s="55">
        <f t="shared" si="55"/>
        <v>11092.970888999998</v>
      </c>
      <c r="GD20" s="59">
        <f t="shared" si="136"/>
        <v>36671.143164856192</v>
      </c>
      <c r="GE20" s="60">
        <f t="shared" si="56"/>
        <v>10740.813082999997</v>
      </c>
      <c r="GF20" s="59">
        <f t="shared" si="137"/>
        <v>35506.979889781389</v>
      </c>
      <c r="GG20" s="60">
        <f t="shared" si="57"/>
        <v>10388.655276999998</v>
      </c>
      <c r="GH20" s="59">
        <f t="shared" si="138"/>
        <v>34342.816614706593</v>
      </c>
      <c r="GI20" s="55">
        <f t="shared" si="58"/>
        <v>10036.497470999997</v>
      </c>
      <c r="GJ20" s="59">
        <f t="shared" si="139"/>
        <v>33178.65333963179</v>
      </c>
      <c r="GK20" s="55"/>
      <c r="GL20" s="55"/>
      <c r="GM20" s="55">
        <v>1</v>
      </c>
      <c r="GN20" s="55">
        <v>0.97</v>
      </c>
      <c r="GO20" s="55">
        <v>0.95</v>
      </c>
      <c r="GP20" s="55">
        <v>0.93</v>
      </c>
      <c r="GQ20" s="55">
        <f t="shared" si="140"/>
        <v>0.91</v>
      </c>
      <c r="GR20" s="55">
        <f t="shared" si="140"/>
        <v>0.89</v>
      </c>
      <c r="GS20" s="55">
        <f t="shared" si="140"/>
        <v>0.87</v>
      </c>
      <c r="GT20" s="55">
        <f t="shared" si="140"/>
        <v>0.85</v>
      </c>
      <c r="GU20" s="55">
        <f t="shared" si="140"/>
        <v>0.83</v>
      </c>
      <c r="GV20" s="55">
        <f t="shared" si="140"/>
        <v>0.80999999999999994</v>
      </c>
      <c r="GW20" s="55">
        <f t="shared" si="140"/>
        <v>0.78999999999999992</v>
      </c>
      <c r="GX20" s="55">
        <f t="shared" si="140"/>
        <v>0.76999999999999991</v>
      </c>
      <c r="GY20" s="55">
        <f t="shared" si="140"/>
        <v>0.74999999999999989</v>
      </c>
      <c r="GZ20" s="55">
        <f t="shared" si="140"/>
        <v>0.72999999999999987</v>
      </c>
      <c r="HA20" s="55">
        <f t="shared" si="140"/>
        <v>0.70999999999999985</v>
      </c>
      <c r="HB20" s="55">
        <f t="shared" si="140"/>
        <v>0.68999999999999984</v>
      </c>
      <c r="HC20" s="55">
        <f t="shared" si="140"/>
        <v>0.66999999999999982</v>
      </c>
      <c r="HD20" s="55">
        <f t="shared" si="140"/>
        <v>0.6499999999999998</v>
      </c>
      <c r="HE20" s="55">
        <f t="shared" si="140"/>
        <v>0.62999999999999978</v>
      </c>
      <c r="HF20" s="55">
        <f t="shared" si="140"/>
        <v>0.60999999999999976</v>
      </c>
      <c r="HG20" s="55">
        <f t="shared" si="140"/>
        <v>0.58999999999999975</v>
      </c>
      <c r="HH20" s="55">
        <f t="shared" si="140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214830</v>
      </c>
      <c r="E21" s="82">
        <f>TRUNC(+D21*3.3058,-1)</f>
        <v>710180</v>
      </c>
      <c r="H21" s="55">
        <f t="shared" si="60"/>
        <v>781198.00000000012</v>
      </c>
      <c r="I21" s="55">
        <f t="shared" si="61"/>
        <v>781198.00000000012</v>
      </c>
      <c r="J21" s="59">
        <f t="shared" si="62"/>
        <v>2582484.3484000005</v>
      </c>
      <c r="K21" s="55">
        <f t="shared" si="63"/>
        <v>757762.06</v>
      </c>
      <c r="L21" s="59">
        <f t="shared" si="64"/>
        <v>2505009.817948</v>
      </c>
      <c r="M21" s="55">
        <f t="shared" si="65"/>
        <v>742138.10000000009</v>
      </c>
      <c r="N21" s="59">
        <f t="shared" si="66"/>
        <v>2453360.1309800004</v>
      </c>
      <c r="O21" s="55">
        <f t="shared" si="0"/>
        <v>726514.14000000013</v>
      </c>
      <c r="P21" s="59">
        <f t="shared" si="67"/>
        <v>2401710.4440120007</v>
      </c>
      <c r="Q21" s="57">
        <f t="shared" si="1"/>
        <v>710890.18000000017</v>
      </c>
      <c r="R21" s="59">
        <f t="shared" si="68"/>
        <v>2350060.7570440006</v>
      </c>
      <c r="S21" s="55">
        <f t="shared" si="2"/>
        <v>695266.22000000009</v>
      </c>
      <c r="T21" s="59">
        <f t="shared" si="69"/>
        <v>2298411.0700760004</v>
      </c>
      <c r="U21" s="57">
        <f t="shared" si="3"/>
        <v>679642.26000000013</v>
      </c>
      <c r="V21" s="59">
        <f t="shared" si="70"/>
        <v>2246761.3831080003</v>
      </c>
      <c r="W21" s="60">
        <f t="shared" si="4"/>
        <v>664018.30000000005</v>
      </c>
      <c r="X21" s="59">
        <f t="shared" si="71"/>
        <v>2195111.6961400001</v>
      </c>
      <c r="Y21" s="57">
        <f t="shared" si="5"/>
        <v>648394.34000000008</v>
      </c>
      <c r="Z21" s="59">
        <f t="shared" si="72"/>
        <v>2143462.0091720005</v>
      </c>
      <c r="AA21" s="55">
        <f t="shared" si="6"/>
        <v>632770.38</v>
      </c>
      <c r="AB21" s="59">
        <f t="shared" si="73"/>
        <v>2091812.3222040001</v>
      </c>
      <c r="AC21" s="60">
        <f t="shared" si="7"/>
        <v>617146.42000000004</v>
      </c>
      <c r="AD21" s="59">
        <f t="shared" si="74"/>
        <v>2040162.6352360002</v>
      </c>
      <c r="AE21" s="60">
        <f t="shared" si="8"/>
        <v>601522.46</v>
      </c>
      <c r="AF21" s="59">
        <f t="shared" si="75"/>
        <v>1988512.948268</v>
      </c>
      <c r="AG21" s="60">
        <f t="shared" si="9"/>
        <v>585898.5</v>
      </c>
      <c r="AH21" s="59">
        <f t="shared" si="76"/>
        <v>1936863.2613000001</v>
      </c>
      <c r="AI21" s="55">
        <f t="shared" si="10"/>
        <v>570274.54</v>
      </c>
      <c r="AJ21" s="59">
        <f t="shared" si="77"/>
        <v>1885213.5743320002</v>
      </c>
      <c r="AK21" s="60">
        <f t="shared" si="11"/>
        <v>554650.57999999996</v>
      </c>
      <c r="AL21" s="59">
        <f t="shared" si="78"/>
        <v>1833563.8873639998</v>
      </c>
      <c r="AM21" s="60">
        <f t="shared" si="12"/>
        <v>539026.62</v>
      </c>
      <c r="AN21" s="59">
        <f t="shared" si="79"/>
        <v>1781914.2003959999</v>
      </c>
      <c r="AO21" s="60">
        <f t="shared" si="13"/>
        <v>523402.65999999992</v>
      </c>
      <c r="AP21" s="59">
        <f t="shared" si="80"/>
        <v>1730264.5134279998</v>
      </c>
      <c r="AQ21" s="60">
        <f t="shared" si="14"/>
        <v>507778.6999999999</v>
      </c>
      <c r="AR21" s="59">
        <f t="shared" si="81"/>
        <v>1678614.8264599997</v>
      </c>
      <c r="AS21" s="55">
        <f t="shared" si="15"/>
        <v>492154.73999999987</v>
      </c>
      <c r="AT21" s="59">
        <f t="shared" si="82"/>
        <v>1626965.1394919995</v>
      </c>
      <c r="AU21" s="60">
        <f t="shared" si="16"/>
        <v>476530.77999999991</v>
      </c>
      <c r="AV21" s="59">
        <f t="shared" si="83"/>
        <v>1575315.4525239998</v>
      </c>
      <c r="AW21" s="60">
        <f t="shared" si="17"/>
        <v>460906.81999999989</v>
      </c>
      <c r="AX21" s="59">
        <f t="shared" si="84"/>
        <v>1523665.7655559997</v>
      </c>
      <c r="AY21" s="55">
        <f t="shared" si="18"/>
        <v>445282.85999999987</v>
      </c>
      <c r="AZ21" s="59">
        <f t="shared" si="85"/>
        <v>1472016.0785879996</v>
      </c>
      <c r="BC21" s="55">
        <v>1</v>
      </c>
      <c r="BD21" s="55">
        <v>0.97</v>
      </c>
      <c r="BE21" s="55">
        <v>0.95</v>
      </c>
      <c r="BF21" s="55">
        <v>0.93</v>
      </c>
      <c r="BG21" s="55">
        <f t="shared" si="86"/>
        <v>0.91</v>
      </c>
      <c r="BH21" s="55">
        <f t="shared" si="86"/>
        <v>0.89</v>
      </c>
      <c r="BI21" s="55">
        <f t="shared" si="86"/>
        <v>0.87</v>
      </c>
      <c r="BJ21" s="55">
        <f t="shared" si="86"/>
        <v>0.85</v>
      </c>
      <c r="BK21" s="55">
        <f t="shared" si="86"/>
        <v>0.83</v>
      </c>
      <c r="BL21" s="55">
        <f t="shared" si="86"/>
        <v>0.80999999999999994</v>
      </c>
      <c r="BM21" s="55">
        <f t="shared" si="86"/>
        <v>0.78999999999999992</v>
      </c>
      <c r="BN21" s="55">
        <f t="shared" si="86"/>
        <v>0.76999999999999991</v>
      </c>
      <c r="BO21" s="55">
        <f t="shared" si="86"/>
        <v>0.74999999999999989</v>
      </c>
      <c r="BP21" s="55">
        <f t="shared" si="86"/>
        <v>0.72999999999999987</v>
      </c>
      <c r="BQ21" s="55">
        <f t="shared" si="86"/>
        <v>0.70999999999999985</v>
      </c>
      <c r="BR21" s="55">
        <f t="shared" si="86"/>
        <v>0.68999999999999984</v>
      </c>
      <c r="BS21" s="55">
        <f t="shared" si="86"/>
        <v>0.66999999999999982</v>
      </c>
      <c r="BT21" s="55">
        <f t="shared" si="86"/>
        <v>0.6499999999999998</v>
      </c>
      <c r="BU21" s="55">
        <f t="shared" si="86"/>
        <v>0.62999999999999978</v>
      </c>
      <c r="BV21" s="55">
        <f t="shared" si="86"/>
        <v>0.60999999999999976</v>
      </c>
      <c r="BW21" s="55">
        <f t="shared" si="86"/>
        <v>0.58999999999999975</v>
      </c>
      <c r="BX21" s="55">
        <f t="shared" si="86"/>
        <v>0.56999999999999973</v>
      </c>
      <c r="BZ21" s="55">
        <f t="shared" si="87"/>
        <v>710890.18000000017</v>
      </c>
      <c r="CA21" s="55">
        <f t="shared" si="88"/>
        <v>710890.18000000017</v>
      </c>
      <c r="CB21" s="59">
        <f t="shared" si="89"/>
        <v>2350060.7570440006</v>
      </c>
      <c r="CC21" s="55">
        <f t="shared" si="90"/>
        <v>689563.47460000019</v>
      </c>
      <c r="CD21" s="59">
        <f t="shared" si="91"/>
        <v>2279558.9343326809</v>
      </c>
      <c r="CE21" s="55">
        <f t="shared" si="92"/>
        <v>675345.67100000009</v>
      </c>
      <c r="CF21" s="59">
        <f t="shared" si="93"/>
        <v>2232557.7191918003</v>
      </c>
      <c r="CG21" s="55">
        <f t="shared" si="20"/>
        <v>661127.86740000022</v>
      </c>
      <c r="CH21" s="59">
        <f t="shared" si="94"/>
        <v>2185556.5040509207</v>
      </c>
      <c r="CI21" s="57">
        <f t="shared" si="21"/>
        <v>646910.06380000012</v>
      </c>
      <c r="CJ21" s="59">
        <f t="shared" si="95"/>
        <v>2138555.2889100406</v>
      </c>
      <c r="CK21" s="55">
        <f t="shared" si="22"/>
        <v>632692.26020000014</v>
      </c>
      <c r="CL21" s="59">
        <f t="shared" si="96"/>
        <v>2091554.0737691605</v>
      </c>
      <c r="CM21" s="57">
        <f t="shared" si="23"/>
        <v>618474.45660000015</v>
      </c>
      <c r="CN21" s="59">
        <f t="shared" si="97"/>
        <v>2044552.8586282805</v>
      </c>
      <c r="CO21" s="60">
        <f t="shared" si="24"/>
        <v>604256.65300000017</v>
      </c>
      <c r="CP21" s="59">
        <f t="shared" si="98"/>
        <v>1997551.6434874006</v>
      </c>
      <c r="CQ21" s="57">
        <f t="shared" si="25"/>
        <v>590038.84940000006</v>
      </c>
      <c r="CR21" s="59">
        <f t="shared" si="99"/>
        <v>1950550.4283465203</v>
      </c>
      <c r="CS21" s="55">
        <f t="shared" si="26"/>
        <v>575821.04580000008</v>
      </c>
      <c r="CT21" s="59">
        <f t="shared" si="100"/>
        <v>1903549.2132056402</v>
      </c>
      <c r="CU21" s="60">
        <f t="shared" si="27"/>
        <v>561603.2422000001</v>
      </c>
      <c r="CV21" s="59">
        <f t="shared" si="101"/>
        <v>1856547.9980647604</v>
      </c>
      <c r="CW21" s="60">
        <f t="shared" si="28"/>
        <v>547385.43860000011</v>
      </c>
      <c r="CX21" s="59">
        <f t="shared" si="102"/>
        <v>1809546.7829238805</v>
      </c>
      <c r="CY21" s="60">
        <f t="shared" si="29"/>
        <v>533167.63500000001</v>
      </c>
      <c r="CZ21" s="59">
        <f t="shared" si="103"/>
        <v>1762545.5677830002</v>
      </c>
      <c r="DA21" s="55">
        <f t="shared" si="30"/>
        <v>518949.83140000002</v>
      </c>
      <c r="DB21" s="59">
        <f t="shared" si="104"/>
        <v>1715544.3526421201</v>
      </c>
      <c r="DC21" s="60">
        <f t="shared" si="31"/>
        <v>504732.02780000004</v>
      </c>
      <c r="DD21" s="59">
        <f t="shared" si="105"/>
        <v>1668543.1375012402</v>
      </c>
      <c r="DE21" s="60">
        <f t="shared" si="32"/>
        <v>490514.2242</v>
      </c>
      <c r="DF21" s="59">
        <f t="shared" si="106"/>
        <v>1621541.9223603599</v>
      </c>
      <c r="DG21" s="60">
        <f t="shared" si="33"/>
        <v>476296.42059999995</v>
      </c>
      <c r="DH21" s="59">
        <f t="shared" si="107"/>
        <v>1574540.7072194798</v>
      </c>
      <c r="DI21" s="60">
        <f t="shared" si="34"/>
        <v>462078.61699999997</v>
      </c>
      <c r="DJ21" s="59">
        <f t="shared" si="108"/>
        <v>1527539.4920786</v>
      </c>
      <c r="DK21" s="55">
        <f t="shared" si="35"/>
        <v>447860.81339999993</v>
      </c>
      <c r="DL21" s="59">
        <f t="shared" si="109"/>
        <v>1480538.2769377199</v>
      </c>
      <c r="DM21" s="60">
        <f t="shared" si="36"/>
        <v>433643.00979999994</v>
      </c>
      <c r="DN21" s="59">
        <f t="shared" si="110"/>
        <v>1433537.0617968398</v>
      </c>
      <c r="DO21" s="60">
        <f t="shared" si="37"/>
        <v>419425.2061999999</v>
      </c>
      <c r="DP21" s="59">
        <f t="shared" si="111"/>
        <v>1386535.8466559597</v>
      </c>
      <c r="DQ21" s="55">
        <f t="shared" si="38"/>
        <v>405207.40259999991</v>
      </c>
      <c r="DR21" s="59">
        <f t="shared" si="112"/>
        <v>1339534.6315150796</v>
      </c>
      <c r="DU21" s="55">
        <v>1</v>
      </c>
      <c r="DV21" s="55">
        <v>0.97</v>
      </c>
      <c r="DW21" s="55">
        <v>0.95</v>
      </c>
      <c r="DX21" s="55">
        <v>0.93</v>
      </c>
      <c r="DY21" s="55">
        <f t="shared" si="113"/>
        <v>0.91</v>
      </c>
      <c r="DZ21" s="55">
        <f t="shared" si="113"/>
        <v>0.89</v>
      </c>
      <c r="EA21" s="55">
        <f t="shared" si="113"/>
        <v>0.87</v>
      </c>
      <c r="EB21" s="55">
        <f t="shared" si="113"/>
        <v>0.85</v>
      </c>
      <c r="EC21" s="55">
        <f t="shared" si="113"/>
        <v>0.83</v>
      </c>
      <c r="ED21" s="55">
        <f t="shared" si="113"/>
        <v>0.80999999999999994</v>
      </c>
      <c r="EE21" s="55">
        <f t="shared" si="113"/>
        <v>0.78999999999999992</v>
      </c>
      <c r="EF21" s="55">
        <f t="shared" si="113"/>
        <v>0.76999999999999991</v>
      </c>
      <c r="EG21" s="55">
        <f t="shared" si="113"/>
        <v>0.74999999999999989</v>
      </c>
      <c r="EH21" s="55">
        <f t="shared" si="113"/>
        <v>0.72999999999999987</v>
      </c>
      <c r="EI21" s="55">
        <f t="shared" si="113"/>
        <v>0.70999999999999985</v>
      </c>
      <c r="EJ21" s="55">
        <f t="shared" si="113"/>
        <v>0.68999999999999984</v>
      </c>
      <c r="EK21" s="55">
        <f t="shared" si="113"/>
        <v>0.66999999999999982</v>
      </c>
      <c r="EL21" s="55">
        <f t="shared" si="113"/>
        <v>0.6499999999999998</v>
      </c>
      <c r="EM21" s="55">
        <f t="shared" si="113"/>
        <v>0.62999999999999978</v>
      </c>
      <c r="EN21" s="55">
        <f t="shared" si="113"/>
        <v>0.60999999999999976</v>
      </c>
      <c r="EO21" s="55">
        <f t="shared" si="113"/>
        <v>0.58999999999999975</v>
      </c>
      <c r="EP21" s="55">
        <f t="shared" si="113"/>
        <v>0.56999999999999973</v>
      </c>
      <c r="ER21" s="55">
        <f t="shared" si="114"/>
        <v>646910.06380000012</v>
      </c>
      <c r="ES21" s="55">
        <f t="shared" si="115"/>
        <v>646910.06380000012</v>
      </c>
      <c r="ET21" s="59">
        <f t="shared" si="116"/>
        <v>2138555.2889100406</v>
      </c>
      <c r="EU21" s="55">
        <f t="shared" si="117"/>
        <v>627502.76188600005</v>
      </c>
      <c r="EV21" s="59">
        <f t="shared" si="118"/>
        <v>2074398.6302427391</v>
      </c>
      <c r="EW21" s="55">
        <f t="shared" si="119"/>
        <v>614564.56061000004</v>
      </c>
      <c r="EX21" s="59">
        <f t="shared" si="120"/>
        <v>2031627.5244645381</v>
      </c>
      <c r="EY21" s="55">
        <f t="shared" si="40"/>
        <v>601626.35933400015</v>
      </c>
      <c r="EZ21" s="59">
        <f t="shared" si="121"/>
        <v>1988856.4186863378</v>
      </c>
      <c r="FA21" s="57">
        <f t="shared" si="41"/>
        <v>588688.15805800015</v>
      </c>
      <c r="FB21" s="59">
        <f t="shared" si="122"/>
        <v>1946085.312908137</v>
      </c>
      <c r="FC21" s="55">
        <f t="shared" si="42"/>
        <v>575749.95678200014</v>
      </c>
      <c r="FD21" s="59">
        <f t="shared" si="123"/>
        <v>1903314.2071299362</v>
      </c>
      <c r="FE21" s="57">
        <f t="shared" si="43"/>
        <v>562811.75550600013</v>
      </c>
      <c r="FF21" s="59">
        <f t="shared" si="124"/>
        <v>1860543.1013517352</v>
      </c>
      <c r="FG21" s="60">
        <f t="shared" si="44"/>
        <v>549873.55423000013</v>
      </c>
      <c r="FH21" s="59">
        <f t="shared" si="125"/>
        <v>1817771.9955735344</v>
      </c>
      <c r="FI21" s="57">
        <f t="shared" si="45"/>
        <v>536935.35295400012</v>
      </c>
      <c r="FJ21" s="59">
        <f t="shared" si="126"/>
        <v>1775000.8897953336</v>
      </c>
      <c r="FK21" s="55">
        <f t="shared" si="46"/>
        <v>523997.15167800005</v>
      </c>
      <c r="FL21" s="59">
        <f t="shared" si="127"/>
        <v>1732229.7840171326</v>
      </c>
      <c r="FM21" s="60">
        <f t="shared" si="47"/>
        <v>511058.95040200005</v>
      </c>
      <c r="FN21" s="59">
        <f t="shared" si="128"/>
        <v>1689458.6782389318</v>
      </c>
      <c r="FO21" s="60">
        <f t="shared" si="48"/>
        <v>498120.74912600004</v>
      </c>
      <c r="FP21" s="59">
        <f t="shared" si="129"/>
        <v>1646687.572460731</v>
      </c>
      <c r="FQ21" s="60">
        <f t="shared" si="49"/>
        <v>485182.54785000003</v>
      </c>
      <c r="FR21" s="59">
        <f t="shared" si="130"/>
        <v>1603916.4666825302</v>
      </c>
      <c r="FS21" s="55">
        <f t="shared" si="50"/>
        <v>472244.34657400002</v>
      </c>
      <c r="FT21" s="59">
        <f t="shared" si="131"/>
        <v>1561145.3609043292</v>
      </c>
      <c r="FU21" s="60">
        <f t="shared" si="51"/>
        <v>459306.14529800002</v>
      </c>
      <c r="FV21" s="59">
        <f t="shared" si="132"/>
        <v>1518374.2551261284</v>
      </c>
      <c r="FW21" s="60">
        <f t="shared" si="52"/>
        <v>446367.94402199995</v>
      </c>
      <c r="FX21" s="59">
        <f t="shared" si="133"/>
        <v>1475603.1493479274</v>
      </c>
      <c r="FY21" s="60">
        <f t="shared" si="53"/>
        <v>433429.74274599995</v>
      </c>
      <c r="FZ21" s="59">
        <f t="shared" si="134"/>
        <v>1432832.0435697266</v>
      </c>
      <c r="GA21" s="60">
        <f t="shared" si="54"/>
        <v>420491.54146999994</v>
      </c>
      <c r="GB21" s="59">
        <f t="shared" si="135"/>
        <v>1390060.9377915259</v>
      </c>
      <c r="GC21" s="55">
        <f t="shared" si="55"/>
        <v>407553.34019399993</v>
      </c>
      <c r="GD21" s="59">
        <f t="shared" si="136"/>
        <v>1347289.8320133251</v>
      </c>
      <c r="GE21" s="60">
        <f t="shared" si="56"/>
        <v>394615.13891799992</v>
      </c>
      <c r="GF21" s="59">
        <f t="shared" si="137"/>
        <v>1304518.7262351243</v>
      </c>
      <c r="GG21" s="60">
        <f t="shared" si="57"/>
        <v>381676.93764199992</v>
      </c>
      <c r="GH21" s="59">
        <f t="shared" si="138"/>
        <v>1261747.6204569233</v>
      </c>
      <c r="GI21" s="55">
        <f t="shared" si="58"/>
        <v>368738.73636599991</v>
      </c>
      <c r="GJ21" s="59">
        <f t="shared" si="139"/>
        <v>1218976.5146787225</v>
      </c>
      <c r="GK21" s="55"/>
      <c r="GL21" s="55"/>
      <c r="GM21" s="55">
        <v>1</v>
      </c>
      <c r="GN21" s="55">
        <v>0.97</v>
      </c>
      <c r="GO21" s="55">
        <v>0.95</v>
      </c>
      <c r="GP21" s="55">
        <v>0.93</v>
      </c>
      <c r="GQ21" s="55">
        <f t="shared" si="140"/>
        <v>0.91</v>
      </c>
      <c r="GR21" s="55">
        <f t="shared" si="140"/>
        <v>0.89</v>
      </c>
      <c r="GS21" s="55">
        <f t="shared" si="140"/>
        <v>0.87</v>
      </c>
      <c r="GT21" s="55">
        <f t="shared" si="140"/>
        <v>0.85</v>
      </c>
      <c r="GU21" s="55">
        <f t="shared" si="140"/>
        <v>0.83</v>
      </c>
      <c r="GV21" s="55">
        <f t="shared" si="140"/>
        <v>0.80999999999999994</v>
      </c>
      <c r="GW21" s="55">
        <f t="shared" si="140"/>
        <v>0.78999999999999992</v>
      </c>
      <c r="GX21" s="55">
        <f t="shared" si="140"/>
        <v>0.76999999999999991</v>
      </c>
      <c r="GY21" s="55">
        <f t="shared" si="140"/>
        <v>0.74999999999999989</v>
      </c>
      <c r="GZ21" s="55">
        <f t="shared" si="140"/>
        <v>0.72999999999999987</v>
      </c>
      <c r="HA21" s="55">
        <f t="shared" si="140"/>
        <v>0.70999999999999985</v>
      </c>
      <c r="HB21" s="55">
        <f t="shared" si="140"/>
        <v>0.68999999999999984</v>
      </c>
      <c r="HC21" s="55">
        <f t="shared" si="140"/>
        <v>0.66999999999999982</v>
      </c>
      <c r="HD21" s="55">
        <f t="shared" si="140"/>
        <v>0.6499999999999998</v>
      </c>
      <c r="HE21" s="55">
        <f t="shared" si="140"/>
        <v>0.62999999999999978</v>
      </c>
      <c r="HF21" s="55">
        <f t="shared" si="140"/>
        <v>0.60999999999999976</v>
      </c>
      <c r="HG21" s="55">
        <f t="shared" si="140"/>
        <v>0.58999999999999975</v>
      </c>
      <c r="HH21" s="55">
        <f t="shared" si="140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196590</v>
      </c>
      <c r="E22" s="82">
        <f>TRUNC(+D22*3.3058,-1)</f>
        <v>649880</v>
      </c>
      <c r="H22" s="55">
        <f t="shared" si="60"/>
        <v>714868</v>
      </c>
      <c r="I22" s="55">
        <f t="shared" si="61"/>
        <v>714868</v>
      </c>
      <c r="J22" s="59">
        <f t="shared" si="62"/>
        <v>2363210.6343999999</v>
      </c>
      <c r="K22" s="55">
        <f t="shared" si="63"/>
        <v>693421.96</v>
      </c>
      <c r="L22" s="59">
        <f t="shared" si="64"/>
        <v>2292314.315368</v>
      </c>
      <c r="M22" s="55">
        <f t="shared" si="65"/>
        <v>679124.6</v>
      </c>
      <c r="N22" s="59">
        <f t="shared" si="66"/>
        <v>2245050.10268</v>
      </c>
      <c r="O22" s="55">
        <f t="shared" si="0"/>
        <v>664827.24</v>
      </c>
      <c r="P22" s="59">
        <f t="shared" si="67"/>
        <v>2197785.8899920001</v>
      </c>
      <c r="Q22" s="57">
        <f t="shared" si="1"/>
        <v>650529.88</v>
      </c>
      <c r="R22" s="59">
        <f t="shared" si="68"/>
        <v>2150521.6773040001</v>
      </c>
      <c r="S22" s="55">
        <f t="shared" si="2"/>
        <v>636232.52</v>
      </c>
      <c r="T22" s="59">
        <f t="shared" si="69"/>
        <v>2103257.4646160002</v>
      </c>
      <c r="U22" s="57">
        <f t="shared" si="3"/>
        <v>621935.16</v>
      </c>
      <c r="V22" s="59">
        <f t="shared" si="70"/>
        <v>2055993.2519280002</v>
      </c>
      <c r="W22" s="60">
        <f t="shared" si="4"/>
        <v>607637.79999999993</v>
      </c>
      <c r="X22" s="59">
        <f t="shared" si="71"/>
        <v>2008729.0392399998</v>
      </c>
      <c r="Y22" s="57">
        <f t="shared" si="5"/>
        <v>593340.43999999994</v>
      </c>
      <c r="Z22" s="59">
        <f t="shared" si="72"/>
        <v>1961464.8265519999</v>
      </c>
      <c r="AA22" s="55">
        <f t="shared" si="6"/>
        <v>579043.07999999996</v>
      </c>
      <c r="AB22" s="59">
        <f t="shared" si="73"/>
        <v>1914200.613864</v>
      </c>
      <c r="AC22" s="60">
        <f t="shared" si="7"/>
        <v>564745.72</v>
      </c>
      <c r="AD22" s="59">
        <f t="shared" si="74"/>
        <v>1866936.401176</v>
      </c>
      <c r="AE22" s="60">
        <f t="shared" si="8"/>
        <v>550448.36</v>
      </c>
      <c r="AF22" s="59">
        <f t="shared" si="75"/>
        <v>1819672.1884880001</v>
      </c>
      <c r="AG22" s="60">
        <f t="shared" si="9"/>
        <v>536150.99999999988</v>
      </c>
      <c r="AH22" s="59">
        <f t="shared" si="76"/>
        <v>1772407.9757999997</v>
      </c>
      <c r="AI22" s="55">
        <f t="shared" si="10"/>
        <v>521853.6399999999</v>
      </c>
      <c r="AJ22" s="59">
        <f t="shared" si="77"/>
        <v>1725143.7631119997</v>
      </c>
      <c r="AK22" s="60">
        <f t="shared" si="11"/>
        <v>507556.27999999991</v>
      </c>
      <c r="AL22" s="59">
        <f t="shared" si="78"/>
        <v>1677879.5504239998</v>
      </c>
      <c r="AM22" s="60">
        <f t="shared" si="12"/>
        <v>493258.91999999987</v>
      </c>
      <c r="AN22" s="59">
        <f t="shared" si="79"/>
        <v>1630615.3377359996</v>
      </c>
      <c r="AO22" s="60">
        <f t="shared" si="13"/>
        <v>478961.55999999988</v>
      </c>
      <c r="AP22" s="59">
        <f t="shared" si="80"/>
        <v>1583351.1250479997</v>
      </c>
      <c r="AQ22" s="60">
        <f t="shared" si="14"/>
        <v>464664.19999999984</v>
      </c>
      <c r="AR22" s="59">
        <f t="shared" si="81"/>
        <v>1536086.9123599995</v>
      </c>
      <c r="AS22" s="55">
        <f t="shared" si="15"/>
        <v>450366.83999999985</v>
      </c>
      <c r="AT22" s="59">
        <f t="shared" si="82"/>
        <v>1488822.6996719996</v>
      </c>
      <c r="AU22" s="60">
        <f t="shared" si="16"/>
        <v>436069.47999999981</v>
      </c>
      <c r="AV22" s="59">
        <f t="shared" si="83"/>
        <v>1441558.4869839994</v>
      </c>
      <c r="AW22" s="60">
        <f t="shared" si="17"/>
        <v>421772.11999999982</v>
      </c>
      <c r="AX22" s="59">
        <f t="shared" si="84"/>
        <v>1394294.2742959994</v>
      </c>
      <c r="AY22" s="55">
        <f t="shared" si="18"/>
        <v>407474.75999999983</v>
      </c>
      <c r="AZ22" s="59">
        <f t="shared" si="85"/>
        <v>1347030.0616079995</v>
      </c>
      <c r="BC22" s="55">
        <v>1</v>
      </c>
      <c r="BD22" s="55">
        <v>0.97</v>
      </c>
      <c r="BE22" s="55">
        <v>0.95</v>
      </c>
      <c r="BF22" s="55">
        <v>0.93</v>
      </c>
      <c r="BG22" s="55">
        <f t="shared" si="86"/>
        <v>0.91</v>
      </c>
      <c r="BH22" s="55">
        <f t="shared" si="86"/>
        <v>0.89</v>
      </c>
      <c r="BI22" s="55">
        <f t="shared" si="86"/>
        <v>0.87</v>
      </c>
      <c r="BJ22" s="55">
        <f t="shared" si="86"/>
        <v>0.85</v>
      </c>
      <c r="BK22" s="55">
        <f t="shared" si="86"/>
        <v>0.83</v>
      </c>
      <c r="BL22" s="55">
        <f t="shared" si="86"/>
        <v>0.80999999999999994</v>
      </c>
      <c r="BM22" s="55">
        <f t="shared" si="86"/>
        <v>0.78999999999999992</v>
      </c>
      <c r="BN22" s="55">
        <f t="shared" si="86"/>
        <v>0.76999999999999991</v>
      </c>
      <c r="BO22" s="55">
        <f t="shared" si="86"/>
        <v>0.74999999999999989</v>
      </c>
      <c r="BP22" s="55">
        <f t="shared" si="86"/>
        <v>0.72999999999999987</v>
      </c>
      <c r="BQ22" s="55">
        <f t="shared" si="86"/>
        <v>0.70999999999999985</v>
      </c>
      <c r="BR22" s="55">
        <f t="shared" si="86"/>
        <v>0.68999999999999984</v>
      </c>
      <c r="BS22" s="55">
        <f t="shared" si="86"/>
        <v>0.66999999999999982</v>
      </c>
      <c r="BT22" s="55">
        <f t="shared" si="86"/>
        <v>0.6499999999999998</v>
      </c>
      <c r="BU22" s="55">
        <f t="shared" si="86"/>
        <v>0.62999999999999978</v>
      </c>
      <c r="BV22" s="55">
        <f t="shared" si="86"/>
        <v>0.60999999999999976</v>
      </c>
      <c r="BW22" s="55">
        <f t="shared" si="86"/>
        <v>0.58999999999999975</v>
      </c>
      <c r="BX22" s="55">
        <f t="shared" si="86"/>
        <v>0.56999999999999973</v>
      </c>
      <c r="BZ22" s="55">
        <f t="shared" si="87"/>
        <v>650529.88</v>
      </c>
      <c r="CA22" s="55">
        <f t="shared" si="88"/>
        <v>650529.88</v>
      </c>
      <c r="CB22" s="59">
        <f t="shared" si="89"/>
        <v>2150521.6773040001</v>
      </c>
      <c r="CC22" s="55">
        <f t="shared" si="90"/>
        <v>631013.98360000004</v>
      </c>
      <c r="CD22" s="59">
        <f t="shared" si="91"/>
        <v>2086006.0269848802</v>
      </c>
      <c r="CE22" s="55">
        <f t="shared" si="92"/>
        <v>618003.38599999994</v>
      </c>
      <c r="CF22" s="59">
        <f t="shared" si="93"/>
        <v>2042995.5934388</v>
      </c>
      <c r="CG22" s="55">
        <f t="shared" si="20"/>
        <v>604992.78840000008</v>
      </c>
      <c r="CH22" s="59">
        <f t="shared" si="94"/>
        <v>1999985.1598927204</v>
      </c>
      <c r="CI22" s="57">
        <f t="shared" si="21"/>
        <v>591982.19079999998</v>
      </c>
      <c r="CJ22" s="59">
        <f t="shared" si="95"/>
        <v>1956974.7263466399</v>
      </c>
      <c r="CK22" s="55">
        <f t="shared" si="22"/>
        <v>578971.5932</v>
      </c>
      <c r="CL22" s="59">
        <f t="shared" si="96"/>
        <v>1913964.2928005601</v>
      </c>
      <c r="CM22" s="57">
        <f t="shared" si="23"/>
        <v>565960.99560000002</v>
      </c>
      <c r="CN22" s="59">
        <f t="shared" si="97"/>
        <v>1870953.8592544801</v>
      </c>
      <c r="CO22" s="60">
        <f t="shared" si="24"/>
        <v>552950.39800000004</v>
      </c>
      <c r="CP22" s="59">
        <f t="shared" si="98"/>
        <v>1827943.4257084001</v>
      </c>
      <c r="CQ22" s="57">
        <f t="shared" si="25"/>
        <v>539939.80039999995</v>
      </c>
      <c r="CR22" s="59">
        <f t="shared" si="99"/>
        <v>1784932.9921623198</v>
      </c>
      <c r="CS22" s="55">
        <f t="shared" si="26"/>
        <v>526929.20279999997</v>
      </c>
      <c r="CT22" s="59">
        <f t="shared" si="100"/>
        <v>1741922.55861624</v>
      </c>
      <c r="CU22" s="60">
        <f t="shared" si="27"/>
        <v>513918.60519999993</v>
      </c>
      <c r="CV22" s="59">
        <f t="shared" si="101"/>
        <v>1698912.1250701598</v>
      </c>
      <c r="CW22" s="60">
        <f t="shared" si="28"/>
        <v>500908.00759999995</v>
      </c>
      <c r="CX22" s="59">
        <f t="shared" si="102"/>
        <v>1655901.6915240798</v>
      </c>
      <c r="CY22" s="60">
        <f t="shared" si="29"/>
        <v>487897.40999999992</v>
      </c>
      <c r="CZ22" s="59">
        <f t="shared" si="103"/>
        <v>1612891.2579779997</v>
      </c>
      <c r="DA22" s="55">
        <f t="shared" si="30"/>
        <v>474886.81239999994</v>
      </c>
      <c r="DB22" s="59">
        <f t="shared" si="104"/>
        <v>1569880.8244319197</v>
      </c>
      <c r="DC22" s="60">
        <f t="shared" si="31"/>
        <v>461876.2147999999</v>
      </c>
      <c r="DD22" s="59">
        <f t="shared" si="105"/>
        <v>1526870.3908858397</v>
      </c>
      <c r="DE22" s="60">
        <f t="shared" si="32"/>
        <v>448865.61719999992</v>
      </c>
      <c r="DF22" s="59">
        <f t="shared" si="106"/>
        <v>1483859.9573397597</v>
      </c>
      <c r="DG22" s="60">
        <f t="shared" si="33"/>
        <v>435855.01959999988</v>
      </c>
      <c r="DH22" s="59">
        <f t="shared" si="107"/>
        <v>1440849.5237936797</v>
      </c>
      <c r="DI22" s="60">
        <f t="shared" si="34"/>
        <v>422844.42199999985</v>
      </c>
      <c r="DJ22" s="59">
        <f t="shared" si="108"/>
        <v>1397839.0902475994</v>
      </c>
      <c r="DK22" s="55">
        <f t="shared" si="35"/>
        <v>409833.82439999987</v>
      </c>
      <c r="DL22" s="59">
        <f t="shared" si="109"/>
        <v>1354828.6567015196</v>
      </c>
      <c r="DM22" s="60">
        <f t="shared" si="36"/>
        <v>396823.22679999983</v>
      </c>
      <c r="DN22" s="59">
        <f t="shared" si="110"/>
        <v>1311818.2231554394</v>
      </c>
      <c r="DO22" s="60">
        <f t="shared" si="37"/>
        <v>383812.62919999985</v>
      </c>
      <c r="DP22" s="59">
        <f t="shared" si="111"/>
        <v>1268807.7896093596</v>
      </c>
      <c r="DQ22" s="55">
        <f t="shared" si="38"/>
        <v>370802.03159999981</v>
      </c>
      <c r="DR22" s="59">
        <f t="shared" si="112"/>
        <v>1225797.3560632793</v>
      </c>
      <c r="DU22" s="55">
        <v>1</v>
      </c>
      <c r="DV22" s="55">
        <v>0.97</v>
      </c>
      <c r="DW22" s="55">
        <v>0.95</v>
      </c>
      <c r="DX22" s="55">
        <v>0.93</v>
      </c>
      <c r="DY22" s="55">
        <f t="shared" si="113"/>
        <v>0.91</v>
      </c>
      <c r="DZ22" s="55">
        <f t="shared" si="113"/>
        <v>0.89</v>
      </c>
      <c r="EA22" s="55">
        <f t="shared" si="113"/>
        <v>0.87</v>
      </c>
      <c r="EB22" s="55">
        <f t="shared" si="113"/>
        <v>0.85</v>
      </c>
      <c r="EC22" s="55">
        <f t="shared" si="113"/>
        <v>0.83</v>
      </c>
      <c r="ED22" s="55">
        <f t="shared" si="113"/>
        <v>0.80999999999999994</v>
      </c>
      <c r="EE22" s="55">
        <f t="shared" si="113"/>
        <v>0.78999999999999992</v>
      </c>
      <c r="EF22" s="55">
        <f t="shared" si="113"/>
        <v>0.76999999999999991</v>
      </c>
      <c r="EG22" s="55">
        <f t="shared" si="113"/>
        <v>0.74999999999999989</v>
      </c>
      <c r="EH22" s="55">
        <f t="shared" si="113"/>
        <v>0.72999999999999987</v>
      </c>
      <c r="EI22" s="55">
        <f t="shared" si="113"/>
        <v>0.70999999999999985</v>
      </c>
      <c r="EJ22" s="55">
        <f t="shared" si="113"/>
        <v>0.68999999999999984</v>
      </c>
      <c r="EK22" s="55">
        <f t="shared" si="113"/>
        <v>0.66999999999999982</v>
      </c>
      <c r="EL22" s="55">
        <f t="shared" si="113"/>
        <v>0.6499999999999998</v>
      </c>
      <c r="EM22" s="55">
        <f t="shared" si="113"/>
        <v>0.62999999999999978</v>
      </c>
      <c r="EN22" s="55">
        <f t="shared" si="113"/>
        <v>0.60999999999999976</v>
      </c>
      <c r="EO22" s="55">
        <f t="shared" si="113"/>
        <v>0.58999999999999975</v>
      </c>
      <c r="EP22" s="55">
        <f t="shared" si="113"/>
        <v>0.56999999999999973</v>
      </c>
      <c r="ER22" s="55">
        <f t="shared" si="114"/>
        <v>591982.19079999998</v>
      </c>
      <c r="ES22" s="55">
        <f t="shared" si="115"/>
        <v>591982.19079999998</v>
      </c>
      <c r="ET22" s="59">
        <f t="shared" si="116"/>
        <v>1956974.7263466399</v>
      </c>
      <c r="EU22" s="55">
        <f t="shared" si="117"/>
        <v>574222.72507599997</v>
      </c>
      <c r="EV22" s="59">
        <f t="shared" si="118"/>
        <v>1898265.4845562407</v>
      </c>
      <c r="EW22" s="55">
        <f t="shared" si="119"/>
        <v>562383.08126000001</v>
      </c>
      <c r="EX22" s="59">
        <f t="shared" si="120"/>
        <v>1859125.990029308</v>
      </c>
      <c r="EY22" s="55">
        <f t="shared" si="40"/>
        <v>550543.43744400004</v>
      </c>
      <c r="EZ22" s="59">
        <f t="shared" si="121"/>
        <v>1819986.4955023753</v>
      </c>
      <c r="FA22" s="57">
        <f t="shared" si="41"/>
        <v>538703.79362799996</v>
      </c>
      <c r="FB22" s="59">
        <f t="shared" si="122"/>
        <v>1780847.0009754424</v>
      </c>
      <c r="FC22" s="55">
        <f t="shared" si="42"/>
        <v>526864.14981199999</v>
      </c>
      <c r="FD22" s="59">
        <f t="shared" si="123"/>
        <v>1741707.5064485096</v>
      </c>
      <c r="FE22" s="57">
        <f t="shared" si="43"/>
        <v>515024.50599599996</v>
      </c>
      <c r="FF22" s="59">
        <f t="shared" si="124"/>
        <v>1702568.0119215767</v>
      </c>
      <c r="FG22" s="60">
        <f t="shared" si="44"/>
        <v>503184.86218</v>
      </c>
      <c r="FH22" s="59">
        <f t="shared" si="125"/>
        <v>1663428.517394644</v>
      </c>
      <c r="FI22" s="57">
        <f t="shared" si="45"/>
        <v>491345.21836399997</v>
      </c>
      <c r="FJ22" s="59">
        <f t="shared" si="126"/>
        <v>1624289.022867711</v>
      </c>
      <c r="FK22" s="55">
        <f t="shared" si="46"/>
        <v>479505.57454799995</v>
      </c>
      <c r="FL22" s="59">
        <f t="shared" si="127"/>
        <v>1585149.5283407783</v>
      </c>
      <c r="FM22" s="60">
        <f t="shared" si="47"/>
        <v>467665.93073199992</v>
      </c>
      <c r="FN22" s="59">
        <f t="shared" si="128"/>
        <v>1546010.0338138454</v>
      </c>
      <c r="FO22" s="60">
        <f t="shared" si="48"/>
        <v>455826.28691599995</v>
      </c>
      <c r="FP22" s="59">
        <f t="shared" si="129"/>
        <v>1506870.5392869127</v>
      </c>
      <c r="FQ22" s="60">
        <f t="shared" si="49"/>
        <v>443986.64309999993</v>
      </c>
      <c r="FR22" s="59">
        <f t="shared" si="130"/>
        <v>1467731.0447599797</v>
      </c>
      <c r="FS22" s="55">
        <f t="shared" si="50"/>
        <v>432146.9992839999</v>
      </c>
      <c r="FT22" s="59">
        <f t="shared" si="131"/>
        <v>1428591.550233047</v>
      </c>
      <c r="FU22" s="60">
        <f t="shared" si="51"/>
        <v>420307.35546799988</v>
      </c>
      <c r="FV22" s="59">
        <f t="shared" si="132"/>
        <v>1389452.055706114</v>
      </c>
      <c r="FW22" s="60">
        <f t="shared" si="52"/>
        <v>408467.71165199991</v>
      </c>
      <c r="FX22" s="59">
        <f t="shared" si="133"/>
        <v>1350312.5611791813</v>
      </c>
      <c r="FY22" s="60">
        <f t="shared" si="53"/>
        <v>396628.06783599989</v>
      </c>
      <c r="FZ22" s="59">
        <f t="shared" si="134"/>
        <v>1311173.0666522484</v>
      </c>
      <c r="GA22" s="60">
        <f t="shared" si="54"/>
        <v>384788.42401999986</v>
      </c>
      <c r="GB22" s="59">
        <f t="shared" si="135"/>
        <v>1272033.5721253157</v>
      </c>
      <c r="GC22" s="55">
        <f t="shared" si="55"/>
        <v>372948.78020399984</v>
      </c>
      <c r="GD22" s="59">
        <f t="shared" si="136"/>
        <v>1232894.0775983827</v>
      </c>
      <c r="GE22" s="60">
        <f t="shared" si="56"/>
        <v>361109.13638799987</v>
      </c>
      <c r="GF22" s="59">
        <f t="shared" si="137"/>
        <v>1193754.58307145</v>
      </c>
      <c r="GG22" s="60">
        <f t="shared" si="57"/>
        <v>349269.49257199984</v>
      </c>
      <c r="GH22" s="59">
        <f t="shared" si="138"/>
        <v>1154615.0885445171</v>
      </c>
      <c r="GI22" s="55">
        <f t="shared" si="58"/>
        <v>337429.84875599982</v>
      </c>
      <c r="GJ22" s="59">
        <f t="shared" si="139"/>
        <v>1115475.5940175841</v>
      </c>
      <c r="GK22" s="55"/>
      <c r="GL22" s="55"/>
      <c r="GM22" s="55">
        <v>1</v>
      </c>
      <c r="GN22" s="55">
        <v>0.97</v>
      </c>
      <c r="GO22" s="55">
        <v>0.95</v>
      </c>
      <c r="GP22" s="55">
        <v>0.93</v>
      </c>
      <c r="GQ22" s="55">
        <f t="shared" si="140"/>
        <v>0.91</v>
      </c>
      <c r="GR22" s="55">
        <f t="shared" si="140"/>
        <v>0.89</v>
      </c>
      <c r="GS22" s="55">
        <f t="shared" si="140"/>
        <v>0.87</v>
      </c>
      <c r="GT22" s="55">
        <f t="shared" si="140"/>
        <v>0.85</v>
      </c>
      <c r="GU22" s="55">
        <f t="shared" si="140"/>
        <v>0.83</v>
      </c>
      <c r="GV22" s="55">
        <f t="shared" si="140"/>
        <v>0.80999999999999994</v>
      </c>
      <c r="GW22" s="55">
        <f t="shared" si="140"/>
        <v>0.78999999999999992</v>
      </c>
      <c r="GX22" s="55">
        <f t="shared" si="140"/>
        <v>0.76999999999999991</v>
      </c>
      <c r="GY22" s="55">
        <f t="shared" si="140"/>
        <v>0.74999999999999989</v>
      </c>
      <c r="GZ22" s="55">
        <f t="shared" si="140"/>
        <v>0.72999999999999987</v>
      </c>
      <c r="HA22" s="55">
        <f t="shared" si="140"/>
        <v>0.70999999999999985</v>
      </c>
      <c r="HB22" s="55">
        <f t="shared" si="140"/>
        <v>0.68999999999999984</v>
      </c>
      <c r="HC22" s="55">
        <f t="shared" si="140"/>
        <v>0.66999999999999982</v>
      </c>
      <c r="HD22" s="55">
        <f t="shared" si="140"/>
        <v>0.6499999999999998</v>
      </c>
      <c r="HE22" s="55">
        <f t="shared" si="140"/>
        <v>0.62999999999999978</v>
      </c>
      <c r="HF22" s="55">
        <f t="shared" si="140"/>
        <v>0.60999999999999976</v>
      </c>
      <c r="HG22" s="55">
        <f t="shared" si="140"/>
        <v>0.58999999999999975</v>
      </c>
      <c r="HH22" s="55">
        <f t="shared" si="140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86660</v>
      </c>
      <c r="E23" s="82">
        <f>TRUNC(+D23*3.3058,-1)</f>
        <v>286480</v>
      </c>
      <c r="H23" s="55">
        <f t="shared" si="60"/>
        <v>315128</v>
      </c>
      <c r="I23" s="55">
        <f t="shared" si="61"/>
        <v>315128</v>
      </c>
      <c r="J23" s="59">
        <f t="shared" si="62"/>
        <v>1041750.1424</v>
      </c>
      <c r="K23" s="55">
        <f t="shared" si="63"/>
        <v>305674.15999999997</v>
      </c>
      <c r="L23" s="59">
        <f t="shared" si="64"/>
        <v>1010497.638128</v>
      </c>
      <c r="M23" s="55">
        <f t="shared" si="65"/>
        <v>299371.59999999998</v>
      </c>
      <c r="N23" s="59">
        <f t="shared" si="66"/>
        <v>989662.63527999993</v>
      </c>
      <c r="O23" s="55">
        <f t="shared" si="0"/>
        <v>293069.04000000004</v>
      </c>
      <c r="P23" s="59">
        <f t="shared" si="67"/>
        <v>968827.63243200013</v>
      </c>
      <c r="Q23" s="57">
        <f t="shared" si="1"/>
        <v>286766.48</v>
      </c>
      <c r="R23" s="59">
        <f t="shared" si="68"/>
        <v>947992.62958399998</v>
      </c>
      <c r="S23" s="55">
        <f t="shared" si="2"/>
        <v>280463.92</v>
      </c>
      <c r="T23" s="59">
        <f t="shared" si="69"/>
        <v>927157.62673599995</v>
      </c>
      <c r="U23" s="57">
        <f t="shared" si="3"/>
        <v>274161.36</v>
      </c>
      <c r="V23" s="59">
        <f t="shared" si="70"/>
        <v>906322.62388800003</v>
      </c>
      <c r="W23" s="60">
        <f t="shared" si="4"/>
        <v>267858.8</v>
      </c>
      <c r="X23" s="59">
        <f t="shared" si="71"/>
        <v>885487.62104</v>
      </c>
      <c r="Y23" s="57">
        <f t="shared" si="5"/>
        <v>261556.24</v>
      </c>
      <c r="Z23" s="59">
        <f t="shared" si="72"/>
        <v>864652.61819199997</v>
      </c>
      <c r="AA23" s="55">
        <f t="shared" si="6"/>
        <v>255253.68</v>
      </c>
      <c r="AB23" s="59">
        <f t="shared" si="73"/>
        <v>843817.61534400005</v>
      </c>
      <c r="AC23" s="60">
        <f t="shared" si="7"/>
        <v>248951.11999999997</v>
      </c>
      <c r="AD23" s="59">
        <f t="shared" si="74"/>
        <v>822982.6124959999</v>
      </c>
      <c r="AE23" s="60">
        <f t="shared" si="8"/>
        <v>242648.55999999997</v>
      </c>
      <c r="AF23" s="59">
        <f t="shared" si="75"/>
        <v>802147.60964799987</v>
      </c>
      <c r="AG23" s="60">
        <f t="shared" si="9"/>
        <v>236345.99999999997</v>
      </c>
      <c r="AH23" s="59">
        <f t="shared" si="76"/>
        <v>781312.60679999995</v>
      </c>
      <c r="AI23" s="55">
        <f t="shared" si="10"/>
        <v>230043.43999999997</v>
      </c>
      <c r="AJ23" s="59">
        <f t="shared" si="77"/>
        <v>760477.60395199992</v>
      </c>
      <c r="AK23" s="60">
        <f t="shared" si="11"/>
        <v>223740.87999999995</v>
      </c>
      <c r="AL23" s="59">
        <f t="shared" si="78"/>
        <v>739642.60110399988</v>
      </c>
      <c r="AM23" s="60">
        <f t="shared" si="12"/>
        <v>217438.31999999995</v>
      </c>
      <c r="AN23" s="59">
        <f t="shared" si="79"/>
        <v>718807.59825599985</v>
      </c>
      <c r="AO23" s="60">
        <f t="shared" si="13"/>
        <v>211135.75999999995</v>
      </c>
      <c r="AP23" s="59">
        <f t="shared" si="80"/>
        <v>697972.59540799982</v>
      </c>
      <c r="AQ23" s="60">
        <f t="shared" si="14"/>
        <v>204833.19999999992</v>
      </c>
      <c r="AR23" s="59">
        <f t="shared" si="81"/>
        <v>677137.59255999979</v>
      </c>
      <c r="AS23" s="55">
        <f t="shared" si="15"/>
        <v>198530.63999999993</v>
      </c>
      <c r="AT23" s="59">
        <f t="shared" si="82"/>
        <v>656302.58971199975</v>
      </c>
      <c r="AU23" s="60">
        <f t="shared" si="16"/>
        <v>192228.07999999993</v>
      </c>
      <c r="AV23" s="59">
        <f t="shared" si="83"/>
        <v>635467.58686399984</v>
      </c>
      <c r="AW23" s="60">
        <f t="shared" si="17"/>
        <v>185925.51999999993</v>
      </c>
      <c r="AX23" s="59">
        <f t="shared" si="84"/>
        <v>614632.5840159998</v>
      </c>
      <c r="AY23" s="55">
        <f t="shared" si="18"/>
        <v>179622.9599999999</v>
      </c>
      <c r="AZ23" s="59">
        <f t="shared" si="85"/>
        <v>593797.58116799966</v>
      </c>
      <c r="BC23" s="55">
        <v>1</v>
      </c>
      <c r="BD23" s="55">
        <v>0.97</v>
      </c>
      <c r="BE23" s="55">
        <v>0.95</v>
      </c>
      <c r="BF23" s="55">
        <v>0.93</v>
      </c>
      <c r="BG23" s="55">
        <f t="shared" si="86"/>
        <v>0.91</v>
      </c>
      <c r="BH23" s="55">
        <f t="shared" si="86"/>
        <v>0.89</v>
      </c>
      <c r="BI23" s="55">
        <f t="shared" si="86"/>
        <v>0.87</v>
      </c>
      <c r="BJ23" s="55">
        <f t="shared" si="86"/>
        <v>0.85</v>
      </c>
      <c r="BK23" s="55">
        <f t="shared" si="86"/>
        <v>0.83</v>
      </c>
      <c r="BL23" s="55">
        <f t="shared" si="86"/>
        <v>0.80999999999999994</v>
      </c>
      <c r="BM23" s="55">
        <f t="shared" si="86"/>
        <v>0.78999999999999992</v>
      </c>
      <c r="BN23" s="55">
        <f t="shared" si="86"/>
        <v>0.76999999999999991</v>
      </c>
      <c r="BO23" s="55">
        <f t="shared" si="86"/>
        <v>0.74999999999999989</v>
      </c>
      <c r="BP23" s="55">
        <f t="shared" si="86"/>
        <v>0.72999999999999987</v>
      </c>
      <c r="BQ23" s="55">
        <f t="shared" si="86"/>
        <v>0.70999999999999985</v>
      </c>
      <c r="BR23" s="55">
        <f t="shared" si="86"/>
        <v>0.68999999999999984</v>
      </c>
      <c r="BS23" s="55">
        <f t="shared" si="86"/>
        <v>0.66999999999999982</v>
      </c>
      <c r="BT23" s="55">
        <f t="shared" si="86"/>
        <v>0.6499999999999998</v>
      </c>
      <c r="BU23" s="55">
        <f t="shared" si="86"/>
        <v>0.62999999999999978</v>
      </c>
      <c r="BV23" s="55">
        <f t="shared" si="86"/>
        <v>0.60999999999999976</v>
      </c>
      <c r="BW23" s="55">
        <f t="shared" si="86"/>
        <v>0.58999999999999975</v>
      </c>
      <c r="BX23" s="55">
        <f t="shared" si="86"/>
        <v>0.56999999999999973</v>
      </c>
      <c r="BZ23" s="55">
        <f t="shared" si="87"/>
        <v>286766.48</v>
      </c>
      <c r="CA23" s="55">
        <f t="shared" si="88"/>
        <v>286766.48</v>
      </c>
      <c r="CB23" s="59">
        <f t="shared" si="89"/>
        <v>947992.62958399998</v>
      </c>
      <c r="CC23" s="55">
        <f t="shared" si="90"/>
        <v>278163.48559999996</v>
      </c>
      <c r="CD23" s="59">
        <f t="shared" si="91"/>
        <v>919552.8506964799</v>
      </c>
      <c r="CE23" s="55">
        <f t="shared" si="92"/>
        <v>272428.15599999996</v>
      </c>
      <c r="CF23" s="59">
        <f t="shared" si="93"/>
        <v>900592.99810479989</v>
      </c>
      <c r="CG23" s="55">
        <f t="shared" si="20"/>
        <v>266692.82640000002</v>
      </c>
      <c r="CH23" s="59">
        <f t="shared" si="94"/>
        <v>881633.14551312011</v>
      </c>
      <c r="CI23" s="57">
        <f t="shared" si="21"/>
        <v>260957.49679999999</v>
      </c>
      <c r="CJ23" s="59">
        <f t="shared" si="95"/>
        <v>862673.29292143998</v>
      </c>
      <c r="CK23" s="55">
        <f t="shared" si="22"/>
        <v>255222.1672</v>
      </c>
      <c r="CL23" s="59">
        <f t="shared" si="96"/>
        <v>843713.44032975996</v>
      </c>
      <c r="CM23" s="57">
        <f t="shared" si="23"/>
        <v>249486.83759999997</v>
      </c>
      <c r="CN23" s="59">
        <f t="shared" si="97"/>
        <v>824753.58773807995</v>
      </c>
      <c r="CO23" s="60">
        <f t="shared" si="24"/>
        <v>243751.50799999997</v>
      </c>
      <c r="CP23" s="59">
        <f t="shared" si="98"/>
        <v>805793.73514639994</v>
      </c>
      <c r="CQ23" s="57">
        <f t="shared" si="25"/>
        <v>238016.17839999998</v>
      </c>
      <c r="CR23" s="59">
        <f t="shared" si="99"/>
        <v>786833.88255471992</v>
      </c>
      <c r="CS23" s="55">
        <f t="shared" si="26"/>
        <v>232280.84879999998</v>
      </c>
      <c r="CT23" s="59">
        <f t="shared" si="100"/>
        <v>767874.02996303991</v>
      </c>
      <c r="CU23" s="60">
        <f t="shared" si="27"/>
        <v>226545.51919999995</v>
      </c>
      <c r="CV23" s="59">
        <f t="shared" si="101"/>
        <v>748914.1773713599</v>
      </c>
      <c r="CW23" s="60">
        <f t="shared" si="28"/>
        <v>220810.18959999995</v>
      </c>
      <c r="CX23" s="59">
        <f t="shared" si="102"/>
        <v>729954.32477967988</v>
      </c>
      <c r="CY23" s="60">
        <f t="shared" si="29"/>
        <v>215074.85999999996</v>
      </c>
      <c r="CZ23" s="59">
        <f t="shared" si="103"/>
        <v>710994.47218799987</v>
      </c>
      <c r="DA23" s="55">
        <f t="shared" si="30"/>
        <v>209339.53039999996</v>
      </c>
      <c r="DB23" s="59">
        <f t="shared" si="104"/>
        <v>692034.61959631986</v>
      </c>
      <c r="DC23" s="60">
        <f t="shared" si="31"/>
        <v>203604.20079999993</v>
      </c>
      <c r="DD23" s="59">
        <f t="shared" si="105"/>
        <v>673074.76700463984</v>
      </c>
      <c r="DE23" s="60">
        <f t="shared" si="32"/>
        <v>197868.87119999994</v>
      </c>
      <c r="DF23" s="59">
        <f t="shared" si="106"/>
        <v>654114.91441295983</v>
      </c>
      <c r="DG23" s="60">
        <f t="shared" si="33"/>
        <v>192133.54159999994</v>
      </c>
      <c r="DH23" s="59">
        <f t="shared" si="107"/>
        <v>635155.06182127981</v>
      </c>
      <c r="DI23" s="60">
        <f t="shared" si="34"/>
        <v>186398.21199999994</v>
      </c>
      <c r="DJ23" s="59">
        <f t="shared" si="108"/>
        <v>616195.2092295998</v>
      </c>
      <c r="DK23" s="55">
        <f t="shared" si="35"/>
        <v>180662.88239999991</v>
      </c>
      <c r="DL23" s="59">
        <f t="shared" si="109"/>
        <v>597235.35663791979</v>
      </c>
      <c r="DM23" s="60">
        <f t="shared" si="36"/>
        <v>174927.55279999992</v>
      </c>
      <c r="DN23" s="59">
        <f t="shared" si="110"/>
        <v>578275.50404623977</v>
      </c>
      <c r="DO23" s="60">
        <f t="shared" si="37"/>
        <v>169192.22319999992</v>
      </c>
      <c r="DP23" s="59">
        <f t="shared" si="111"/>
        <v>559315.65145455976</v>
      </c>
      <c r="DQ23" s="55">
        <f t="shared" si="38"/>
        <v>163456.89359999992</v>
      </c>
      <c r="DR23" s="59">
        <f t="shared" si="112"/>
        <v>540355.79886287975</v>
      </c>
      <c r="DU23" s="55">
        <v>1</v>
      </c>
      <c r="DV23" s="55">
        <v>0.97</v>
      </c>
      <c r="DW23" s="55">
        <v>0.95</v>
      </c>
      <c r="DX23" s="55">
        <v>0.93</v>
      </c>
      <c r="DY23" s="55">
        <f t="shared" si="113"/>
        <v>0.91</v>
      </c>
      <c r="DZ23" s="55">
        <f t="shared" si="113"/>
        <v>0.89</v>
      </c>
      <c r="EA23" s="55">
        <f t="shared" si="113"/>
        <v>0.87</v>
      </c>
      <c r="EB23" s="55">
        <f t="shared" si="113"/>
        <v>0.85</v>
      </c>
      <c r="EC23" s="55">
        <f t="shared" si="113"/>
        <v>0.83</v>
      </c>
      <c r="ED23" s="55">
        <f t="shared" si="113"/>
        <v>0.80999999999999994</v>
      </c>
      <c r="EE23" s="55">
        <f t="shared" si="113"/>
        <v>0.78999999999999992</v>
      </c>
      <c r="EF23" s="55">
        <f t="shared" si="113"/>
        <v>0.76999999999999991</v>
      </c>
      <c r="EG23" s="55">
        <f t="shared" si="113"/>
        <v>0.74999999999999989</v>
      </c>
      <c r="EH23" s="55">
        <f t="shared" si="113"/>
        <v>0.72999999999999987</v>
      </c>
      <c r="EI23" s="55">
        <f t="shared" si="113"/>
        <v>0.70999999999999985</v>
      </c>
      <c r="EJ23" s="55">
        <f t="shared" si="113"/>
        <v>0.68999999999999984</v>
      </c>
      <c r="EK23" s="55">
        <f t="shared" si="113"/>
        <v>0.66999999999999982</v>
      </c>
      <c r="EL23" s="55">
        <f t="shared" si="113"/>
        <v>0.6499999999999998</v>
      </c>
      <c r="EM23" s="55">
        <f t="shared" si="113"/>
        <v>0.62999999999999978</v>
      </c>
      <c r="EN23" s="55">
        <f t="shared" si="113"/>
        <v>0.60999999999999976</v>
      </c>
      <c r="EO23" s="55">
        <f t="shared" si="113"/>
        <v>0.58999999999999975</v>
      </c>
      <c r="EP23" s="55">
        <f t="shared" si="113"/>
        <v>0.56999999999999973</v>
      </c>
      <c r="ER23" s="55">
        <f t="shared" si="114"/>
        <v>260957.49679999999</v>
      </c>
      <c r="ES23" s="55">
        <f t="shared" si="115"/>
        <v>260957.49679999999</v>
      </c>
      <c r="ET23" s="59">
        <f t="shared" si="116"/>
        <v>862673.29292143998</v>
      </c>
      <c r="EU23" s="55">
        <f t="shared" si="117"/>
        <v>253128.77189599999</v>
      </c>
      <c r="EV23" s="59">
        <f t="shared" si="118"/>
        <v>836793.09413379675</v>
      </c>
      <c r="EW23" s="55">
        <f t="shared" si="119"/>
        <v>247909.62195999999</v>
      </c>
      <c r="EX23" s="59">
        <f t="shared" si="120"/>
        <v>819539.62827536801</v>
      </c>
      <c r="EY23" s="55">
        <f t="shared" si="40"/>
        <v>242690.47202400002</v>
      </c>
      <c r="EZ23" s="59">
        <f t="shared" si="121"/>
        <v>802286.16241693927</v>
      </c>
      <c r="FA23" s="57">
        <f t="shared" si="41"/>
        <v>237471.32208800002</v>
      </c>
      <c r="FB23" s="59">
        <f t="shared" si="122"/>
        <v>785032.69655851042</v>
      </c>
      <c r="FC23" s="55">
        <f t="shared" si="42"/>
        <v>232252.17215199998</v>
      </c>
      <c r="FD23" s="59">
        <f t="shared" si="123"/>
        <v>767779.23070008156</v>
      </c>
      <c r="FE23" s="57">
        <f t="shared" si="43"/>
        <v>227033.02221599998</v>
      </c>
      <c r="FF23" s="59">
        <f t="shared" si="124"/>
        <v>750525.76484165271</v>
      </c>
      <c r="FG23" s="60">
        <f t="shared" si="44"/>
        <v>221813.87227999998</v>
      </c>
      <c r="FH23" s="59">
        <f t="shared" si="125"/>
        <v>733272.29898322397</v>
      </c>
      <c r="FI23" s="57">
        <f t="shared" si="45"/>
        <v>216594.72234399998</v>
      </c>
      <c r="FJ23" s="59">
        <f t="shared" si="126"/>
        <v>716018.83312479511</v>
      </c>
      <c r="FK23" s="55">
        <f t="shared" si="46"/>
        <v>211375.57240799998</v>
      </c>
      <c r="FL23" s="59">
        <f t="shared" si="127"/>
        <v>698765.36726636637</v>
      </c>
      <c r="FM23" s="60">
        <f t="shared" si="47"/>
        <v>206156.42247199998</v>
      </c>
      <c r="FN23" s="59">
        <f t="shared" si="128"/>
        <v>681511.90140793752</v>
      </c>
      <c r="FO23" s="60">
        <f t="shared" si="48"/>
        <v>200937.27253599997</v>
      </c>
      <c r="FP23" s="59">
        <f t="shared" si="129"/>
        <v>664258.43554950878</v>
      </c>
      <c r="FQ23" s="60">
        <f t="shared" si="49"/>
        <v>195718.12259999997</v>
      </c>
      <c r="FR23" s="59">
        <f t="shared" si="130"/>
        <v>647004.96969107992</v>
      </c>
      <c r="FS23" s="55">
        <f t="shared" si="50"/>
        <v>190498.97266399997</v>
      </c>
      <c r="FT23" s="59">
        <f t="shared" si="131"/>
        <v>629751.50383265107</v>
      </c>
      <c r="FU23" s="60">
        <f t="shared" si="51"/>
        <v>185279.82272799997</v>
      </c>
      <c r="FV23" s="59">
        <f t="shared" si="132"/>
        <v>612498.03797422233</v>
      </c>
      <c r="FW23" s="60">
        <f t="shared" si="52"/>
        <v>180060.67279199994</v>
      </c>
      <c r="FX23" s="59">
        <f t="shared" si="133"/>
        <v>595244.57211579336</v>
      </c>
      <c r="FY23" s="60">
        <f t="shared" si="53"/>
        <v>174841.52285599994</v>
      </c>
      <c r="FZ23" s="59">
        <f t="shared" si="134"/>
        <v>577991.10625736462</v>
      </c>
      <c r="GA23" s="60">
        <f t="shared" si="54"/>
        <v>169622.37291999994</v>
      </c>
      <c r="GB23" s="59">
        <f t="shared" si="135"/>
        <v>560737.64039893576</v>
      </c>
      <c r="GC23" s="55">
        <f t="shared" si="55"/>
        <v>164403.22298399993</v>
      </c>
      <c r="GD23" s="59">
        <f t="shared" si="136"/>
        <v>543484.17454050703</v>
      </c>
      <c r="GE23" s="60">
        <f t="shared" si="56"/>
        <v>159184.07304799993</v>
      </c>
      <c r="GF23" s="59">
        <f t="shared" si="137"/>
        <v>526230.70868207817</v>
      </c>
      <c r="GG23" s="60">
        <f t="shared" si="57"/>
        <v>153964.92311199993</v>
      </c>
      <c r="GH23" s="59">
        <f t="shared" si="138"/>
        <v>508977.24282364937</v>
      </c>
      <c r="GI23" s="55">
        <f t="shared" si="58"/>
        <v>148745.77317599993</v>
      </c>
      <c r="GJ23" s="59">
        <f t="shared" si="139"/>
        <v>491723.77696522058</v>
      </c>
      <c r="GK23" s="55"/>
      <c r="GL23" s="55"/>
      <c r="GM23" s="55">
        <v>1</v>
      </c>
      <c r="GN23" s="55">
        <v>0.97</v>
      </c>
      <c r="GO23" s="55">
        <v>0.95</v>
      </c>
      <c r="GP23" s="55">
        <v>0.93</v>
      </c>
      <c r="GQ23" s="55">
        <f t="shared" si="140"/>
        <v>0.91</v>
      </c>
      <c r="GR23" s="55">
        <f t="shared" si="140"/>
        <v>0.89</v>
      </c>
      <c r="GS23" s="55">
        <f t="shared" si="140"/>
        <v>0.87</v>
      </c>
      <c r="GT23" s="55">
        <f t="shared" si="140"/>
        <v>0.85</v>
      </c>
      <c r="GU23" s="55">
        <f t="shared" si="140"/>
        <v>0.83</v>
      </c>
      <c r="GV23" s="55">
        <f t="shared" si="140"/>
        <v>0.80999999999999994</v>
      </c>
      <c r="GW23" s="55">
        <f t="shared" si="140"/>
        <v>0.78999999999999992</v>
      </c>
      <c r="GX23" s="55">
        <f t="shared" si="140"/>
        <v>0.76999999999999991</v>
      </c>
      <c r="GY23" s="55">
        <f t="shared" si="140"/>
        <v>0.74999999999999989</v>
      </c>
      <c r="GZ23" s="55">
        <f t="shared" si="140"/>
        <v>0.72999999999999987</v>
      </c>
      <c r="HA23" s="55">
        <f t="shared" si="140"/>
        <v>0.70999999999999985</v>
      </c>
      <c r="HB23" s="55">
        <f t="shared" si="140"/>
        <v>0.68999999999999984</v>
      </c>
      <c r="HC23" s="55">
        <f t="shared" si="140"/>
        <v>0.66999999999999982</v>
      </c>
      <c r="HD23" s="55">
        <f t="shared" si="140"/>
        <v>0.6499999999999998</v>
      </c>
      <c r="HE23" s="55">
        <f t="shared" si="140"/>
        <v>0.62999999999999978</v>
      </c>
      <c r="HF23" s="55">
        <f t="shared" si="140"/>
        <v>0.60999999999999976</v>
      </c>
      <c r="HG23" s="55">
        <f t="shared" si="140"/>
        <v>0.58999999999999975</v>
      </c>
      <c r="HH23" s="55">
        <f t="shared" si="140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54430</v>
      </c>
      <c r="E24" s="82">
        <f>TRUNC(+D24*3.3058,-1)</f>
        <v>179930</v>
      </c>
      <c r="H24" s="55">
        <f t="shared" si="60"/>
        <v>197923.00000000003</v>
      </c>
      <c r="I24" s="55">
        <f t="shared" si="61"/>
        <v>197923.00000000003</v>
      </c>
      <c r="J24" s="59">
        <f t="shared" si="62"/>
        <v>654293.85340000014</v>
      </c>
      <c r="K24" s="55">
        <f t="shared" si="63"/>
        <v>191985.31000000003</v>
      </c>
      <c r="L24" s="59">
        <f t="shared" si="64"/>
        <v>634665.03779800015</v>
      </c>
      <c r="M24" s="55">
        <f t="shared" si="65"/>
        <v>188026.85</v>
      </c>
      <c r="N24" s="59">
        <f t="shared" si="66"/>
        <v>621579.16073</v>
      </c>
      <c r="O24" s="55">
        <f t="shared" si="0"/>
        <v>184068.39000000004</v>
      </c>
      <c r="P24" s="59">
        <f t="shared" si="67"/>
        <v>608493.28366200021</v>
      </c>
      <c r="Q24" s="57">
        <f t="shared" si="1"/>
        <v>180109.93000000002</v>
      </c>
      <c r="R24" s="59">
        <f t="shared" si="68"/>
        <v>595407.40659400006</v>
      </c>
      <c r="S24" s="55">
        <f t="shared" si="2"/>
        <v>176151.47000000003</v>
      </c>
      <c r="T24" s="59">
        <f t="shared" si="69"/>
        <v>582321.52952600014</v>
      </c>
      <c r="U24" s="57">
        <f t="shared" si="3"/>
        <v>172193.01000000004</v>
      </c>
      <c r="V24" s="59">
        <f t="shared" si="70"/>
        <v>569235.65245800011</v>
      </c>
      <c r="W24" s="60">
        <f t="shared" si="4"/>
        <v>168234.55000000002</v>
      </c>
      <c r="X24" s="59">
        <f t="shared" si="71"/>
        <v>556149.77539000008</v>
      </c>
      <c r="Y24" s="57">
        <f t="shared" si="5"/>
        <v>164276.09000000003</v>
      </c>
      <c r="Z24" s="59">
        <f t="shared" si="72"/>
        <v>543063.89832200005</v>
      </c>
      <c r="AA24" s="55">
        <f t="shared" si="6"/>
        <v>160317.63</v>
      </c>
      <c r="AB24" s="59">
        <f t="shared" si="73"/>
        <v>529978.02125400002</v>
      </c>
      <c r="AC24" s="60">
        <f t="shared" si="7"/>
        <v>156359.17000000001</v>
      </c>
      <c r="AD24" s="59">
        <f t="shared" si="74"/>
        <v>516892.14418600005</v>
      </c>
      <c r="AE24" s="60">
        <f t="shared" si="8"/>
        <v>152400.71</v>
      </c>
      <c r="AF24" s="59">
        <f t="shared" si="75"/>
        <v>503806.26711799996</v>
      </c>
      <c r="AG24" s="60">
        <f t="shared" si="9"/>
        <v>148442.25</v>
      </c>
      <c r="AH24" s="59">
        <f t="shared" si="76"/>
        <v>490720.39004999999</v>
      </c>
      <c r="AI24" s="55">
        <f t="shared" si="10"/>
        <v>144483.79</v>
      </c>
      <c r="AJ24" s="59">
        <f t="shared" si="77"/>
        <v>477634.51298200001</v>
      </c>
      <c r="AK24" s="60">
        <f t="shared" si="11"/>
        <v>140525.32999999999</v>
      </c>
      <c r="AL24" s="59">
        <f t="shared" si="78"/>
        <v>464548.63591399998</v>
      </c>
      <c r="AM24" s="60">
        <f t="shared" si="12"/>
        <v>136566.87</v>
      </c>
      <c r="AN24" s="59">
        <f t="shared" si="79"/>
        <v>451462.75884600001</v>
      </c>
      <c r="AO24" s="60">
        <f t="shared" si="13"/>
        <v>132608.40999999997</v>
      </c>
      <c r="AP24" s="59">
        <f t="shared" si="80"/>
        <v>438376.88177799992</v>
      </c>
      <c r="AQ24" s="60">
        <f t="shared" si="14"/>
        <v>128649.94999999998</v>
      </c>
      <c r="AR24" s="59">
        <f t="shared" si="81"/>
        <v>425291.00470999995</v>
      </c>
      <c r="AS24" s="55">
        <f t="shared" si="15"/>
        <v>124691.48999999998</v>
      </c>
      <c r="AT24" s="59">
        <f t="shared" si="82"/>
        <v>412205.12764199992</v>
      </c>
      <c r="AU24" s="60">
        <f t="shared" si="16"/>
        <v>120733.02999999997</v>
      </c>
      <c r="AV24" s="59">
        <f t="shared" si="83"/>
        <v>399119.25057399989</v>
      </c>
      <c r="AW24" s="60">
        <f t="shared" si="17"/>
        <v>116774.56999999996</v>
      </c>
      <c r="AX24" s="59">
        <f t="shared" si="84"/>
        <v>386033.37350599992</v>
      </c>
      <c r="AY24" s="55">
        <f t="shared" si="18"/>
        <v>112816.10999999996</v>
      </c>
      <c r="AZ24" s="59">
        <f t="shared" si="85"/>
        <v>372947.49643799989</v>
      </c>
      <c r="BC24" s="55">
        <v>1</v>
      </c>
      <c r="BD24" s="55">
        <v>0.97</v>
      </c>
      <c r="BE24" s="55">
        <v>0.95</v>
      </c>
      <c r="BF24" s="55">
        <v>0.93</v>
      </c>
      <c r="BG24" s="55">
        <f t="shared" si="86"/>
        <v>0.91</v>
      </c>
      <c r="BH24" s="55">
        <f t="shared" si="86"/>
        <v>0.89</v>
      </c>
      <c r="BI24" s="55">
        <f t="shared" si="86"/>
        <v>0.87</v>
      </c>
      <c r="BJ24" s="55">
        <f t="shared" si="86"/>
        <v>0.85</v>
      </c>
      <c r="BK24" s="55">
        <f t="shared" si="86"/>
        <v>0.83</v>
      </c>
      <c r="BL24" s="55">
        <f t="shared" si="86"/>
        <v>0.80999999999999994</v>
      </c>
      <c r="BM24" s="55">
        <f t="shared" si="86"/>
        <v>0.78999999999999992</v>
      </c>
      <c r="BN24" s="55">
        <f t="shared" si="86"/>
        <v>0.76999999999999991</v>
      </c>
      <c r="BO24" s="55">
        <f t="shared" si="86"/>
        <v>0.74999999999999989</v>
      </c>
      <c r="BP24" s="55">
        <f t="shared" si="86"/>
        <v>0.72999999999999987</v>
      </c>
      <c r="BQ24" s="55">
        <f t="shared" si="86"/>
        <v>0.70999999999999985</v>
      </c>
      <c r="BR24" s="55">
        <f t="shared" si="86"/>
        <v>0.68999999999999984</v>
      </c>
      <c r="BS24" s="55">
        <f t="shared" si="86"/>
        <v>0.66999999999999982</v>
      </c>
      <c r="BT24" s="55">
        <f t="shared" si="86"/>
        <v>0.6499999999999998</v>
      </c>
      <c r="BU24" s="55">
        <f t="shared" si="86"/>
        <v>0.62999999999999978</v>
      </c>
      <c r="BV24" s="55">
        <f t="shared" si="86"/>
        <v>0.60999999999999976</v>
      </c>
      <c r="BW24" s="55">
        <f t="shared" si="86"/>
        <v>0.58999999999999975</v>
      </c>
      <c r="BX24" s="55">
        <f t="shared" si="86"/>
        <v>0.56999999999999973</v>
      </c>
      <c r="BZ24" s="55">
        <f t="shared" si="87"/>
        <v>180109.93000000002</v>
      </c>
      <c r="CA24" s="55">
        <f t="shared" si="88"/>
        <v>180109.93000000002</v>
      </c>
      <c r="CB24" s="59">
        <f t="shared" si="89"/>
        <v>595407.40659400006</v>
      </c>
      <c r="CC24" s="55">
        <f t="shared" si="90"/>
        <v>174706.63210000002</v>
      </c>
      <c r="CD24" s="59">
        <f t="shared" si="91"/>
        <v>577545.18439618009</v>
      </c>
      <c r="CE24" s="55">
        <f t="shared" si="92"/>
        <v>171104.43350000001</v>
      </c>
      <c r="CF24" s="59">
        <f t="shared" si="93"/>
        <v>565637.03626430011</v>
      </c>
      <c r="CG24" s="55">
        <f t="shared" si="20"/>
        <v>167502.23490000004</v>
      </c>
      <c r="CH24" s="59">
        <f t="shared" si="94"/>
        <v>553728.88813242014</v>
      </c>
      <c r="CI24" s="57">
        <f t="shared" si="21"/>
        <v>163900.03630000004</v>
      </c>
      <c r="CJ24" s="59">
        <f t="shared" si="95"/>
        <v>541820.74000054016</v>
      </c>
      <c r="CK24" s="55">
        <f t="shared" si="22"/>
        <v>160297.83770000003</v>
      </c>
      <c r="CL24" s="59">
        <f t="shared" si="96"/>
        <v>529912.59186866006</v>
      </c>
      <c r="CM24" s="57">
        <f t="shared" si="23"/>
        <v>156695.63910000003</v>
      </c>
      <c r="CN24" s="59">
        <f t="shared" si="97"/>
        <v>518004.44373678009</v>
      </c>
      <c r="CO24" s="60">
        <f t="shared" si="24"/>
        <v>153093.44050000003</v>
      </c>
      <c r="CP24" s="59">
        <f t="shared" si="98"/>
        <v>506096.29560490011</v>
      </c>
      <c r="CQ24" s="57">
        <f t="shared" si="25"/>
        <v>149491.24190000002</v>
      </c>
      <c r="CR24" s="59">
        <f t="shared" si="99"/>
        <v>494188.14747302007</v>
      </c>
      <c r="CS24" s="55">
        <f t="shared" si="26"/>
        <v>145889.04330000002</v>
      </c>
      <c r="CT24" s="59">
        <f t="shared" si="100"/>
        <v>482279.99934114009</v>
      </c>
      <c r="CU24" s="60">
        <f t="shared" si="27"/>
        <v>142286.84470000002</v>
      </c>
      <c r="CV24" s="59">
        <f t="shared" si="101"/>
        <v>470371.85120926006</v>
      </c>
      <c r="CW24" s="60">
        <f t="shared" si="28"/>
        <v>138684.64610000001</v>
      </c>
      <c r="CX24" s="59">
        <f t="shared" si="102"/>
        <v>458463.70307738008</v>
      </c>
      <c r="CY24" s="60">
        <f t="shared" si="29"/>
        <v>135082.44750000001</v>
      </c>
      <c r="CZ24" s="59">
        <f t="shared" si="103"/>
        <v>446555.55494550004</v>
      </c>
      <c r="DA24" s="55">
        <f t="shared" si="30"/>
        <v>131480.24890000001</v>
      </c>
      <c r="DB24" s="59">
        <f t="shared" si="104"/>
        <v>434647.40681362001</v>
      </c>
      <c r="DC24" s="60">
        <f t="shared" si="31"/>
        <v>127878.05029999999</v>
      </c>
      <c r="DD24" s="59">
        <f t="shared" si="105"/>
        <v>422739.25868173997</v>
      </c>
      <c r="DE24" s="60">
        <f t="shared" si="32"/>
        <v>124275.85169999998</v>
      </c>
      <c r="DF24" s="59">
        <f t="shared" si="106"/>
        <v>410831.11054985994</v>
      </c>
      <c r="DG24" s="60">
        <f t="shared" si="33"/>
        <v>120673.65309999998</v>
      </c>
      <c r="DH24" s="59">
        <f t="shared" si="107"/>
        <v>398922.96241797996</v>
      </c>
      <c r="DI24" s="60">
        <f t="shared" si="34"/>
        <v>117071.45449999998</v>
      </c>
      <c r="DJ24" s="59">
        <f t="shared" si="108"/>
        <v>387014.81428609992</v>
      </c>
      <c r="DK24" s="55">
        <f t="shared" si="35"/>
        <v>113469.25589999997</v>
      </c>
      <c r="DL24" s="59">
        <f t="shared" si="109"/>
        <v>375106.66615421994</v>
      </c>
      <c r="DM24" s="60">
        <f t="shared" si="36"/>
        <v>109867.05729999997</v>
      </c>
      <c r="DN24" s="59">
        <f t="shared" si="110"/>
        <v>363198.51802233991</v>
      </c>
      <c r="DO24" s="60">
        <f t="shared" si="37"/>
        <v>106264.85869999997</v>
      </c>
      <c r="DP24" s="59">
        <f t="shared" si="111"/>
        <v>351290.36989045993</v>
      </c>
      <c r="DQ24" s="55">
        <f t="shared" si="38"/>
        <v>102662.66009999996</v>
      </c>
      <c r="DR24" s="59">
        <f t="shared" si="112"/>
        <v>339382.22175857989</v>
      </c>
      <c r="DU24" s="55">
        <v>1</v>
      </c>
      <c r="DV24" s="55">
        <v>0.97</v>
      </c>
      <c r="DW24" s="55">
        <v>0.95</v>
      </c>
      <c r="DX24" s="55">
        <v>0.93</v>
      </c>
      <c r="DY24" s="55">
        <f t="shared" si="113"/>
        <v>0.91</v>
      </c>
      <c r="DZ24" s="55">
        <f t="shared" si="113"/>
        <v>0.89</v>
      </c>
      <c r="EA24" s="55">
        <f t="shared" si="113"/>
        <v>0.87</v>
      </c>
      <c r="EB24" s="55">
        <f t="shared" si="113"/>
        <v>0.85</v>
      </c>
      <c r="EC24" s="55">
        <f t="shared" si="113"/>
        <v>0.83</v>
      </c>
      <c r="ED24" s="55">
        <f t="shared" si="113"/>
        <v>0.80999999999999994</v>
      </c>
      <c r="EE24" s="55">
        <f t="shared" si="113"/>
        <v>0.78999999999999992</v>
      </c>
      <c r="EF24" s="55">
        <f t="shared" si="113"/>
        <v>0.76999999999999991</v>
      </c>
      <c r="EG24" s="55">
        <f t="shared" si="113"/>
        <v>0.74999999999999989</v>
      </c>
      <c r="EH24" s="55">
        <f t="shared" si="113"/>
        <v>0.72999999999999987</v>
      </c>
      <c r="EI24" s="55">
        <f t="shared" si="113"/>
        <v>0.70999999999999985</v>
      </c>
      <c r="EJ24" s="55">
        <f t="shared" si="113"/>
        <v>0.68999999999999984</v>
      </c>
      <c r="EK24" s="55">
        <f t="shared" si="113"/>
        <v>0.66999999999999982</v>
      </c>
      <c r="EL24" s="55">
        <f t="shared" si="113"/>
        <v>0.6499999999999998</v>
      </c>
      <c r="EM24" s="55">
        <f t="shared" si="113"/>
        <v>0.62999999999999978</v>
      </c>
      <c r="EN24" s="55">
        <f t="shared" si="113"/>
        <v>0.60999999999999976</v>
      </c>
      <c r="EO24" s="55">
        <f t="shared" si="113"/>
        <v>0.58999999999999975</v>
      </c>
      <c r="EP24" s="55">
        <f t="shared" si="113"/>
        <v>0.56999999999999973</v>
      </c>
      <c r="ER24" s="55">
        <f t="shared" si="114"/>
        <v>163900.03630000004</v>
      </c>
      <c r="ES24" s="55">
        <f t="shared" si="115"/>
        <v>163900.03630000004</v>
      </c>
      <c r="ET24" s="59">
        <f t="shared" si="116"/>
        <v>541820.74000054016</v>
      </c>
      <c r="EU24" s="55">
        <f t="shared" si="117"/>
        <v>158983.03521100004</v>
      </c>
      <c r="EV24" s="59">
        <f t="shared" si="118"/>
        <v>525566.11780052399</v>
      </c>
      <c r="EW24" s="55">
        <f t="shared" si="119"/>
        <v>155705.03448500004</v>
      </c>
      <c r="EX24" s="59">
        <f t="shared" si="120"/>
        <v>514729.70300051314</v>
      </c>
      <c r="EY24" s="55">
        <f t="shared" si="40"/>
        <v>152427.03375900004</v>
      </c>
      <c r="EZ24" s="59">
        <f t="shared" si="121"/>
        <v>503893.28820050234</v>
      </c>
      <c r="FA24" s="57">
        <f t="shared" si="41"/>
        <v>149149.03303300004</v>
      </c>
      <c r="FB24" s="59">
        <f t="shared" si="122"/>
        <v>493056.87340049155</v>
      </c>
      <c r="FC24" s="55">
        <f t="shared" si="42"/>
        <v>145871.03230700004</v>
      </c>
      <c r="FD24" s="59">
        <f t="shared" si="123"/>
        <v>482220.45860048075</v>
      </c>
      <c r="FE24" s="57">
        <f t="shared" si="43"/>
        <v>142593.03158100002</v>
      </c>
      <c r="FF24" s="59">
        <f t="shared" si="124"/>
        <v>471384.0438004699</v>
      </c>
      <c r="FG24" s="60">
        <f t="shared" si="44"/>
        <v>139315.03085500002</v>
      </c>
      <c r="FH24" s="59">
        <f t="shared" si="125"/>
        <v>460547.6290004591</v>
      </c>
      <c r="FI24" s="57">
        <f t="shared" si="45"/>
        <v>136037.03012900002</v>
      </c>
      <c r="FJ24" s="59">
        <f t="shared" si="126"/>
        <v>449711.2142004483</v>
      </c>
      <c r="FK24" s="55">
        <f t="shared" si="46"/>
        <v>132759.02940300002</v>
      </c>
      <c r="FL24" s="59">
        <f t="shared" si="127"/>
        <v>438874.79940043751</v>
      </c>
      <c r="FM24" s="60">
        <f t="shared" si="47"/>
        <v>129481.02867700001</v>
      </c>
      <c r="FN24" s="59">
        <f t="shared" si="128"/>
        <v>428038.38460042665</v>
      </c>
      <c r="FO24" s="60">
        <f t="shared" si="48"/>
        <v>126203.02795100001</v>
      </c>
      <c r="FP24" s="59">
        <f t="shared" si="129"/>
        <v>417201.96980041586</v>
      </c>
      <c r="FQ24" s="60">
        <f t="shared" si="49"/>
        <v>122925.02722500001</v>
      </c>
      <c r="FR24" s="59">
        <f t="shared" si="130"/>
        <v>406365.55500040506</v>
      </c>
      <c r="FS24" s="55">
        <f t="shared" si="50"/>
        <v>119647.026499</v>
      </c>
      <c r="FT24" s="59">
        <f t="shared" si="131"/>
        <v>395529.14020039421</v>
      </c>
      <c r="FU24" s="60">
        <f t="shared" si="51"/>
        <v>116369.025773</v>
      </c>
      <c r="FV24" s="59">
        <f t="shared" si="132"/>
        <v>384692.72540038341</v>
      </c>
      <c r="FW24" s="60">
        <f t="shared" si="52"/>
        <v>113091.025047</v>
      </c>
      <c r="FX24" s="59">
        <f t="shared" si="133"/>
        <v>373856.31060037261</v>
      </c>
      <c r="FY24" s="60">
        <f t="shared" si="53"/>
        <v>109813.02432099999</v>
      </c>
      <c r="FZ24" s="59">
        <f t="shared" si="134"/>
        <v>363019.89580036176</v>
      </c>
      <c r="GA24" s="60">
        <f t="shared" si="54"/>
        <v>106535.02359499999</v>
      </c>
      <c r="GB24" s="59">
        <f t="shared" si="135"/>
        <v>352183.48100035096</v>
      </c>
      <c r="GC24" s="55">
        <f t="shared" si="55"/>
        <v>103257.02286899999</v>
      </c>
      <c r="GD24" s="59">
        <f t="shared" si="136"/>
        <v>341347.06620034017</v>
      </c>
      <c r="GE24" s="60">
        <f t="shared" si="56"/>
        <v>99979.02214299998</v>
      </c>
      <c r="GF24" s="59">
        <f t="shared" si="137"/>
        <v>330510.65140032937</v>
      </c>
      <c r="GG24" s="60">
        <f t="shared" si="57"/>
        <v>96701.021416999982</v>
      </c>
      <c r="GH24" s="59">
        <f t="shared" si="138"/>
        <v>319674.23660031857</v>
      </c>
      <c r="GI24" s="55">
        <f t="shared" si="58"/>
        <v>93423.020690999983</v>
      </c>
      <c r="GJ24" s="59">
        <f t="shared" si="139"/>
        <v>308837.82180030778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 t="shared" si="140"/>
        <v>0.91</v>
      </c>
      <c r="GR24" s="55">
        <f t="shared" si="140"/>
        <v>0.89</v>
      </c>
      <c r="GS24" s="55">
        <f t="shared" si="140"/>
        <v>0.87</v>
      </c>
      <c r="GT24" s="55">
        <f t="shared" si="140"/>
        <v>0.85</v>
      </c>
      <c r="GU24" s="55">
        <f t="shared" si="140"/>
        <v>0.83</v>
      </c>
      <c r="GV24" s="55">
        <f t="shared" si="140"/>
        <v>0.80999999999999994</v>
      </c>
      <c r="GW24" s="55">
        <f t="shared" si="140"/>
        <v>0.78999999999999992</v>
      </c>
      <c r="GX24" s="55">
        <f t="shared" si="140"/>
        <v>0.76999999999999991</v>
      </c>
      <c r="GY24" s="55">
        <f t="shared" si="140"/>
        <v>0.74999999999999989</v>
      </c>
      <c r="GZ24" s="55">
        <f t="shared" si="140"/>
        <v>0.72999999999999987</v>
      </c>
      <c r="HA24" s="55">
        <f t="shared" si="140"/>
        <v>0.70999999999999985</v>
      </c>
      <c r="HB24" s="55">
        <f t="shared" si="140"/>
        <v>0.68999999999999984</v>
      </c>
      <c r="HC24" s="55">
        <f t="shared" si="140"/>
        <v>0.66999999999999982</v>
      </c>
      <c r="HD24" s="55">
        <f t="shared" si="140"/>
        <v>0.6499999999999998</v>
      </c>
      <c r="HE24" s="55">
        <f t="shared" si="140"/>
        <v>0.62999999999999978</v>
      </c>
      <c r="HF24" s="55">
        <f t="shared" si="140"/>
        <v>0.60999999999999976</v>
      </c>
      <c r="HG24" s="55">
        <f t="shared" si="140"/>
        <v>0.58999999999999975</v>
      </c>
      <c r="HH24" s="55">
        <f t="shared" si="140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89770</v>
      </c>
      <c r="E25" s="82">
        <f>TRUNC(+D25*3.3058,-1)</f>
        <v>296760</v>
      </c>
      <c r="H25" s="55">
        <f t="shared" si="60"/>
        <v>326436</v>
      </c>
      <c r="I25" s="55">
        <f t="shared" si="61"/>
        <v>326436</v>
      </c>
      <c r="J25" s="59">
        <f t="shared" si="62"/>
        <v>1079132.1288000001</v>
      </c>
      <c r="K25" s="55">
        <f t="shared" si="63"/>
        <v>316642.92</v>
      </c>
      <c r="L25" s="59">
        <f t="shared" si="64"/>
        <v>1046758.164936</v>
      </c>
      <c r="M25" s="55">
        <f t="shared" si="65"/>
        <v>310114.2</v>
      </c>
      <c r="N25" s="59">
        <f t="shared" si="66"/>
        <v>1025175.5223600001</v>
      </c>
      <c r="O25" s="55">
        <f t="shared" si="0"/>
        <v>303585.48000000004</v>
      </c>
      <c r="P25" s="59">
        <f t="shared" si="67"/>
        <v>1003592.8797840001</v>
      </c>
      <c r="Q25" s="57">
        <f t="shared" si="1"/>
        <v>297056.76</v>
      </c>
      <c r="R25" s="59">
        <f t="shared" si="68"/>
        <v>982010.23720800004</v>
      </c>
      <c r="S25" s="55">
        <f t="shared" si="2"/>
        <v>290528.03999999998</v>
      </c>
      <c r="T25" s="59">
        <f t="shared" si="69"/>
        <v>960427.59463199996</v>
      </c>
      <c r="U25" s="57">
        <f t="shared" si="3"/>
        <v>283999.32</v>
      </c>
      <c r="V25" s="59">
        <f t="shared" si="70"/>
        <v>938844.95205600001</v>
      </c>
      <c r="W25" s="60">
        <f t="shared" si="4"/>
        <v>277470.59999999998</v>
      </c>
      <c r="X25" s="59">
        <f t="shared" si="71"/>
        <v>917262.30947999994</v>
      </c>
      <c r="Y25" s="57">
        <f t="shared" si="5"/>
        <v>270941.88</v>
      </c>
      <c r="Z25" s="59">
        <f t="shared" si="72"/>
        <v>895679.66690399998</v>
      </c>
      <c r="AA25" s="55">
        <f t="shared" si="6"/>
        <v>264413.15999999997</v>
      </c>
      <c r="AB25" s="59">
        <f t="shared" si="73"/>
        <v>874097.02432799991</v>
      </c>
      <c r="AC25" s="60">
        <f t="shared" si="7"/>
        <v>257884.43999999997</v>
      </c>
      <c r="AD25" s="59">
        <f t="shared" si="74"/>
        <v>852514.38175199996</v>
      </c>
      <c r="AE25" s="60">
        <f t="shared" si="8"/>
        <v>251355.71999999997</v>
      </c>
      <c r="AF25" s="59">
        <f t="shared" si="75"/>
        <v>830931.73917599989</v>
      </c>
      <c r="AG25" s="60">
        <f t="shared" si="9"/>
        <v>244826.99999999997</v>
      </c>
      <c r="AH25" s="59">
        <f t="shared" si="76"/>
        <v>809349.09659999993</v>
      </c>
      <c r="AI25" s="55">
        <f t="shared" si="10"/>
        <v>238298.27999999997</v>
      </c>
      <c r="AJ25" s="59">
        <f t="shared" si="77"/>
        <v>787766.45402399986</v>
      </c>
      <c r="AK25" s="60">
        <f t="shared" si="11"/>
        <v>231769.55999999994</v>
      </c>
      <c r="AL25" s="59">
        <f t="shared" si="78"/>
        <v>766183.81144799979</v>
      </c>
      <c r="AM25" s="60">
        <f t="shared" si="12"/>
        <v>225240.83999999994</v>
      </c>
      <c r="AN25" s="59">
        <f t="shared" si="79"/>
        <v>744601.16887199983</v>
      </c>
      <c r="AO25" s="60">
        <f t="shared" si="13"/>
        <v>218712.11999999994</v>
      </c>
      <c r="AP25" s="59">
        <f t="shared" si="80"/>
        <v>723018.52629599976</v>
      </c>
      <c r="AQ25" s="60">
        <f t="shared" si="14"/>
        <v>212183.39999999994</v>
      </c>
      <c r="AR25" s="59">
        <f t="shared" si="81"/>
        <v>701435.88371999981</v>
      </c>
      <c r="AS25" s="55">
        <f t="shared" si="15"/>
        <v>205654.67999999993</v>
      </c>
      <c r="AT25" s="59">
        <f t="shared" si="82"/>
        <v>679853.24114399985</v>
      </c>
      <c r="AU25" s="60">
        <f t="shared" si="16"/>
        <v>199125.95999999993</v>
      </c>
      <c r="AV25" s="59">
        <f t="shared" si="83"/>
        <v>658270.59856799978</v>
      </c>
      <c r="AW25" s="60">
        <f t="shared" si="17"/>
        <v>192597.2399999999</v>
      </c>
      <c r="AX25" s="59">
        <f t="shared" si="84"/>
        <v>636687.95599199971</v>
      </c>
      <c r="AY25" s="55">
        <f t="shared" si="18"/>
        <v>186068.5199999999</v>
      </c>
      <c r="AZ25" s="59">
        <f t="shared" si="85"/>
        <v>615105.31341599964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si="86"/>
        <v>0.91</v>
      </c>
      <c r="BH25" s="55">
        <f t="shared" si="86"/>
        <v>0.89</v>
      </c>
      <c r="BI25" s="55">
        <f t="shared" si="86"/>
        <v>0.87</v>
      </c>
      <c r="BJ25" s="55">
        <f t="shared" si="86"/>
        <v>0.85</v>
      </c>
      <c r="BK25" s="55">
        <f t="shared" si="86"/>
        <v>0.83</v>
      </c>
      <c r="BL25" s="55">
        <f t="shared" si="86"/>
        <v>0.80999999999999994</v>
      </c>
      <c r="BM25" s="55">
        <f t="shared" si="86"/>
        <v>0.78999999999999992</v>
      </c>
      <c r="BN25" s="55">
        <f t="shared" si="86"/>
        <v>0.76999999999999991</v>
      </c>
      <c r="BO25" s="55">
        <f t="shared" si="86"/>
        <v>0.74999999999999989</v>
      </c>
      <c r="BP25" s="55">
        <f t="shared" si="86"/>
        <v>0.72999999999999987</v>
      </c>
      <c r="BQ25" s="55">
        <f t="shared" si="86"/>
        <v>0.70999999999999985</v>
      </c>
      <c r="BR25" s="55">
        <f t="shared" si="86"/>
        <v>0.68999999999999984</v>
      </c>
      <c r="BS25" s="55">
        <f t="shared" si="86"/>
        <v>0.66999999999999982</v>
      </c>
      <c r="BT25" s="55">
        <f t="shared" si="86"/>
        <v>0.6499999999999998</v>
      </c>
      <c r="BU25" s="55">
        <f t="shared" si="86"/>
        <v>0.62999999999999978</v>
      </c>
      <c r="BV25" s="55">
        <f t="shared" si="86"/>
        <v>0.60999999999999976</v>
      </c>
      <c r="BW25" s="55">
        <f t="shared" si="86"/>
        <v>0.58999999999999975</v>
      </c>
      <c r="BX25" s="55">
        <f t="shared" si="86"/>
        <v>0.56999999999999973</v>
      </c>
      <c r="BZ25" s="55">
        <f t="shared" si="87"/>
        <v>297056.76</v>
      </c>
      <c r="CA25" s="55">
        <f t="shared" si="88"/>
        <v>297056.76</v>
      </c>
      <c r="CB25" s="59">
        <f t="shared" si="89"/>
        <v>982010.23720800004</v>
      </c>
      <c r="CC25" s="55">
        <f t="shared" si="90"/>
        <v>288145.05719999998</v>
      </c>
      <c r="CD25" s="59">
        <f t="shared" si="91"/>
        <v>952549.93009176</v>
      </c>
      <c r="CE25" s="55">
        <f t="shared" si="92"/>
        <v>282203.92200000002</v>
      </c>
      <c r="CF25" s="59">
        <f t="shared" si="93"/>
        <v>932909.72534760006</v>
      </c>
      <c r="CG25" s="55">
        <f t="shared" si="20"/>
        <v>276262.7868</v>
      </c>
      <c r="CH25" s="59">
        <f t="shared" si="94"/>
        <v>913269.52060344</v>
      </c>
      <c r="CI25" s="57">
        <f t="shared" si="21"/>
        <v>270321.65160000004</v>
      </c>
      <c r="CJ25" s="59">
        <f t="shared" si="95"/>
        <v>893629.31585928018</v>
      </c>
      <c r="CK25" s="55">
        <f t="shared" si="22"/>
        <v>264380.51640000002</v>
      </c>
      <c r="CL25" s="59">
        <f t="shared" si="96"/>
        <v>873989.11111512012</v>
      </c>
      <c r="CM25" s="57">
        <f t="shared" si="23"/>
        <v>258439.3812</v>
      </c>
      <c r="CN25" s="59">
        <f t="shared" si="97"/>
        <v>854348.90637096006</v>
      </c>
      <c r="CO25" s="60">
        <f t="shared" si="24"/>
        <v>252498.24600000001</v>
      </c>
      <c r="CP25" s="59">
        <f t="shared" si="98"/>
        <v>834708.70162680012</v>
      </c>
      <c r="CQ25" s="57">
        <f t="shared" si="25"/>
        <v>246557.11079999999</v>
      </c>
      <c r="CR25" s="59">
        <f t="shared" si="99"/>
        <v>815068.49688264006</v>
      </c>
      <c r="CS25" s="55">
        <f t="shared" si="26"/>
        <v>240615.97559999998</v>
      </c>
      <c r="CT25" s="59">
        <f t="shared" si="100"/>
        <v>795428.29213847988</v>
      </c>
      <c r="CU25" s="60">
        <f t="shared" si="27"/>
        <v>234674.84039999999</v>
      </c>
      <c r="CV25" s="59">
        <f t="shared" si="101"/>
        <v>775788.08739431994</v>
      </c>
      <c r="CW25" s="60">
        <f t="shared" si="28"/>
        <v>228733.70519999997</v>
      </c>
      <c r="CX25" s="59">
        <f t="shared" si="102"/>
        <v>756147.88265015988</v>
      </c>
      <c r="CY25" s="60">
        <f t="shared" si="29"/>
        <v>222792.56999999998</v>
      </c>
      <c r="CZ25" s="59">
        <f t="shared" si="103"/>
        <v>736507.67790599994</v>
      </c>
      <c r="DA25" s="55">
        <f t="shared" si="30"/>
        <v>216851.43479999996</v>
      </c>
      <c r="DB25" s="59">
        <f t="shared" si="104"/>
        <v>716867.47316183988</v>
      </c>
      <c r="DC25" s="60">
        <f t="shared" si="31"/>
        <v>210910.29959999997</v>
      </c>
      <c r="DD25" s="59">
        <f t="shared" si="105"/>
        <v>697227.26841767994</v>
      </c>
      <c r="DE25" s="60">
        <f t="shared" si="32"/>
        <v>204969.16439999995</v>
      </c>
      <c r="DF25" s="59">
        <f t="shared" si="106"/>
        <v>677587.06367351988</v>
      </c>
      <c r="DG25" s="60">
        <f t="shared" si="33"/>
        <v>199028.02919999996</v>
      </c>
      <c r="DH25" s="59">
        <f t="shared" si="107"/>
        <v>657946.85892935994</v>
      </c>
      <c r="DI25" s="60">
        <f t="shared" si="34"/>
        <v>193086.89399999994</v>
      </c>
      <c r="DJ25" s="59">
        <f t="shared" si="108"/>
        <v>638306.65418519988</v>
      </c>
      <c r="DK25" s="55">
        <f t="shared" si="35"/>
        <v>187145.75879999995</v>
      </c>
      <c r="DL25" s="59">
        <f t="shared" si="109"/>
        <v>618666.44944103982</v>
      </c>
      <c r="DM25" s="60">
        <f t="shared" si="36"/>
        <v>181204.62359999993</v>
      </c>
      <c r="DN25" s="59">
        <f t="shared" si="110"/>
        <v>599026.24469687976</v>
      </c>
      <c r="DO25" s="60">
        <f t="shared" si="37"/>
        <v>175263.48839999994</v>
      </c>
      <c r="DP25" s="59">
        <f t="shared" si="111"/>
        <v>579386.03995271982</v>
      </c>
      <c r="DQ25" s="55">
        <f t="shared" si="38"/>
        <v>169322.35319999992</v>
      </c>
      <c r="DR25" s="59">
        <f t="shared" si="112"/>
        <v>559745.83520855976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si="113"/>
        <v>0.91</v>
      </c>
      <c r="DZ25" s="55">
        <f t="shared" si="113"/>
        <v>0.89</v>
      </c>
      <c r="EA25" s="55">
        <f t="shared" si="113"/>
        <v>0.87</v>
      </c>
      <c r="EB25" s="55">
        <f t="shared" si="113"/>
        <v>0.85</v>
      </c>
      <c r="EC25" s="55">
        <f t="shared" si="113"/>
        <v>0.83</v>
      </c>
      <c r="ED25" s="55">
        <f t="shared" si="113"/>
        <v>0.80999999999999994</v>
      </c>
      <c r="EE25" s="55">
        <f t="shared" si="113"/>
        <v>0.78999999999999992</v>
      </c>
      <c r="EF25" s="55">
        <f t="shared" si="113"/>
        <v>0.76999999999999991</v>
      </c>
      <c r="EG25" s="55">
        <f t="shared" si="113"/>
        <v>0.74999999999999989</v>
      </c>
      <c r="EH25" s="55">
        <f t="shared" si="113"/>
        <v>0.72999999999999987</v>
      </c>
      <c r="EI25" s="55">
        <f t="shared" si="113"/>
        <v>0.70999999999999985</v>
      </c>
      <c r="EJ25" s="55">
        <f t="shared" si="113"/>
        <v>0.68999999999999984</v>
      </c>
      <c r="EK25" s="55">
        <f t="shared" si="113"/>
        <v>0.66999999999999982</v>
      </c>
      <c r="EL25" s="55">
        <f t="shared" si="113"/>
        <v>0.6499999999999998</v>
      </c>
      <c r="EM25" s="55">
        <f t="shared" si="113"/>
        <v>0.62999999999999978</v>
      </c>
      <c r="EN25" s="55">
        <f t="shared" si="113"/>
        <v>0.60999999999999976</v>
      </c>
      <c r="EO25" s="55">
        <f t="shared" si="113"/>
        <v>0.58999999999999975</v>
      </c>
      <c r="EP25" s="55">
        <f t="shared" si="113"/>
        <v>0.56999999999999973</v>
      </c>
      <c r="ER25" s="55">
        <f t="shared" si="114"/>
        <v>270321.65160000004</v>
      </c>
      <c r="ES25" s="55">
        <f t="shared" si="115"/>
        <v>270321.65160000004</v>
      </c>
      <c r="ET25" s="59">
        <f t="shared" si="116"/>
        <v>893629.31585928018</v>
      </c>
      <c r="EU25" s="55">
        <f t="shared" si="117"/>
        <v>262212.00205200003</v>
      </c>
      <c r="EV25" s="59">
        <f t="shared" si="118"/>
        <v>866820.43638350174</v>
      </c>
      <c r="EW25" s="55">
        <f t="shared" si="119"/>
        <v>256805.56902000002</v>
      </c>
      <c r="EX25" s="59">
        <f t="shared" si="120"/>
        <v>848947.85006631608</v>
      </c>
      <c r="EY25" s="55">
        <f t="shared" si="40"/>
        <v>251399.13598800005</v>
      </c>
      <c r="EZ25" s="59">
        <f t="shared" si="121"/>
        <v>831075.26374913054</v>
      </c>
      <c r="FA25" s="57">
        <f t="shared" si="41"/>
        <v>245992.70295600005</v>
      </c>
      <c r="FB25" s="59">
        <f t="shared" si="122"/>
        <v>813202.67743194499</v>
      </c>
      <c r="FC25" s="55">
        <f t="shared" si="42"/>
        <v>240586.26992400005</v>
      </c>
      <c r="FD25" s="59">
        <f t="shared" si="123"/>
        <v>795330.09111475933</v>
      </c>
      <c r="FE25" s="57">
        <f t="shared" si="43"/>
        <v>235179.83689200002</v>
      </c>
      <c r="FF25" s="59">
        <f t="shared" si="124"/>
        <v>777457.50479757367</v>
      </c>
      <c r="FG25" s="60">
        <f t="shared" si="44"/>
        <v>229773.40386000002</v>
      </c>
      <c r="FH25" s="59">
        <f t="shared" si="125"/>
        <v>759584.91848038812</v>
      </c>
      <c r="FI25" s="57">
        <f t="shared" si="45"/>
        <v>224366.97082800002</v>
      </c>
      <c r="FJ25" s="59">
        <f t="shared" si="126"/>
        <v>741712.33216320246</v>
      </c>
      <c r="FK25" s="55">
        <f t="shared" si="46"/>
        <v>218960.53779600002</v>
      </c>
      <c r="FL25" s="59">
        <f t="shared" si="127"/>
        <v>723839.74584601691</v>
      </c>
      <c r="FM25" s="60">
        <f t="shared" si="47"/>
        <v>213554.10476400002</v>
      </c>
      <c r="FN25" s="59">
        <f t="shared" si="128"/>
        <v>705967.15952883125</v>
      </c>
      <c r="FO25" s="60">
        <f t="shared" si="48"/>
        <v>208147.67173200002</v>
      </c>
      <c r="FP25" s="59">
        <f t="shared" si="129"/>
        <v>688094.57321164571</v>
      </c>
      <c r="FQ25" s="60">
        <f t="shared" si="49"/>
        <v>202741.23869999999</v>
      </c>
      <c r="FR25" s="59">
        <f t="shared" si="130"/>
        <v>670221.98689445993</v>
      </c>
      <c r="FS25" s="55">
        <f t="shared" si="50"/>
        <v>197334.80566799999</v>
      </c>
      <c r="FT25" s="59">
        <f t="shared" si="131"/>
        <v>652349.40057727438</v>
      </c>
      <c r="FU25" s="60">
        <f t="shared" si="51"/>
        <v>191928.37263599999</v>
      </c>
      <c r="FV25" s="59">
        <f t="shared" si="132"/>
        <v>634476.81426008872</v>
      </c>
      <c r="FW25" s="60">
        <f t="shared" si="52"/>
        <v>186521.93960399998</v>
      </c>
      <c r="FX25" s="59">
        <f t="shared" si="133"/>
        <v>616604.22794290318</v>
      </c>
      <c r="FY25" s="60">
        <f t="shared" si="53"/>
        <v>181115.50657199998</v>
      </c>
      <c r="FZ25" s="59">
        <f t="shared" si="134"/>
        <v>598731.64162571752</v>
      </c>
      <c r="GA25" s="60">
        <f t="shared" si="54"/>
        <v>175709.07353999998</v>
      </c>
      <c r="GB25" s="59">
        <f t="shared" si="135"/>
        <v>580859.05530853197</v>
      </c>
      <c r="GC25" s="55">
        <f t="shared" si="55"/>
        <v>170302.64050799995</v>
      </c>
      <c r="GD25" s="59">
        <f t="shared" si="136"/>
        <v>562986.46899134631</v>
      </c>
      <c r="GE25" s="60">
        <f t="shared" si="56"/>
        <v>164896.20747599995</v>
      </c>
      <c r="GF25" s="59">
        <f t="shared" si="137"/>
        <v>545113.88267416065</v>
      </c>
      <c r="GG25" s="60">
        <f t="shared" si="57"/>
        <v>159489.77444399995</v>
      </c>
      <c r="GH25" s="59">
        <f t="shared" si="138"/>
        <v>527241.2963569751</v>
      </c>
      <c r="GI25" s="55">
        <f t="shared" si="58"/>
        <v>154083.34141199995</v>
      </c>
      <c r="GJ25" s="59">
        <f t="shared" si="139"/>
        <v>509368.71003978944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si="140"/>
        <v>0.91</v>
      </c>
      <c r="GR25" s="55">
        <f t="shared" si="140"/>
        <v>0.89</v>
      </c>
      <c r="GS25" s="55">
        <f t="shared" si="140"/>
        <v>0.87</v>
      </c>
      <c r="GT25" s="55">
        <f t="shared" si="140"/>
        <v>0.85</v>
      </c>
      <c r="GU25" s="55">
        <f t="shared" si="140"/>
        <v>0.83</v>
      </c>
      <c r="GV25" s="55">
        <f t="shared" si="140"/>
        <v>0.80999999999999994</v>
      </c>
      <c r="GW25" s="55">
        <f t="shared" si="140"/>
        <v>0.78999999999999992</v>
      </c>
      <c r="GX25" s="55">
        <f t="shared" si="140"/>
        <v>0.76999999999999991</v>
      </c>
      <c r="GY25" s="55">
        <f t="shared" si="140"/>
        <v>0.74999999999999989</v>
      </c>
      <c r="GZ25" s="55">
        <f t="shared" si="140"/>
        <v>0.72999999999999987</v>
      </c>
      <c r="HA25" s="55">
        <f t="shared" si="140"/>
        <v>0.70999999999999985</v>
      </c>
      <c r="HB25" s="55">
        <f t="shared" si="140"/>
        <v>0.68999999999999984</v>
      </c>
      <c r="HC25" s="55">
        <f t="shared" si="140"/>
        <v>0.66999999999999982</v>
      </c>
      <c r="HD25" s="55">
        <f t="shared" si="140"/>
        <v>0.6499999999999998</v>
      </c>
      <c r="HE25" s="55">
        <f t="shared" si="140"/>
        <v>0.62999999999999978</v>
      </c>
      <c r="HF25" s="55">
        <f t="shared" si="140"/>
        <v>0.60999999999999976</v>
      </c>
      <c r="HG25" s="55">
        <f t="shared" si="140"/>
        <v>0.58999999999999975</v>
      </c>
      <c r="HH25" s="55">
        <f t="shared" si="140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34060</v>
      </c>
      <c r="E26" s="82">
        <f>TRUNC(+D26*3.3058,-1)</f>
        <v>112590</v>
      </c>
      <c r="H26" s="55">
        <f t="shared" si="60"/>
        <v>123849.00000000001</v>
      </c>
      <c r="I26" s="55">
        <f t="shared" si="61"/>
        <v>123849.00000000001</v>
      </c>
      <c r="J26" s="59">
        <f t="shared" si="62"/>
        <v>409420.02420000004</v>
      </c>
      <c r="K26" s="55">
        <f t="shared" si="63"/>
        <v>120133.53000000001</v>
      </c>
      <c r="L26" s="59">
        <f t="shared" si="64"/>
        <v>397137.42347400007</v>
      </c>
      <c r="M26" s="55">
        <f t="shared" si="65"/>
        <v>117656.55</v>
      </c>
      <c r="N26" s="59">
        <f t="shared" si="66"/>
        <v>388949.02299000003</v>
      </c>
      <c r="O26" s="55">
        <f t="shared" si="0"/>
        <v>115179.57000000002</v>
      </c>
      <c r="P26" s="59">
        <f t="shared" si="67"/>
        <v>380760.6225060001</v>
      </c>
      <c r="Q26" s="57">
        <f t="shared" si="1"/>
        <v>112702.59000000001</v>
      </c>
      <c r="R26" s="59">
        <f t="shared" si="68"/>
        <v>372572.22202200006</v>
      </c>
      <c r="S26" s="55">
        <f t="shared" si="2"/>
        <v>110225.61000000002</v>
      </c>
      <c r="T26" s="59">
        <f t="shared" si="69"/>
        <v>364383.82153800008</v>
      </c>
      <c r="U26" s="57">
        <f t="shared" si="3"/>
        <v>107748.63000000002</v>
      </c>
      <c r="V26" s="59">
        <f t="shared" si="70"/>
        <v>356195.42105400009</v>
      </c>
      <c r="W26" s="60">
        <f t="shared" si="4"/>
        <v>105271.65000000001</v>
      </c>
      <c r="X26" s="59">
        <f t="shared" si="71"/>
        <v>348007.02057000005</v>
      </c>
      <c r="Y26" s="57">
        <f t="shared" si="5"/>
        <v>102794.67000000001</v>
      </c>
      <c r="Z26" s="59">
        <f t="shared" si="72"/>
        <v>339818.62008600007</v>
      </c>
      <c r="AA26" s="55">
        <f t="shared" si="6"/>
        <v>100317.69</v>
      </c>
      <c r="AB26" s="59">
        <f t="shared" si="73"/>
        <v>331630.21960200003</v>
      </c>
      <c r="AC26" s="60">
        <f t="shared" si="7"/>
        <v>97840.71</v>
      </c>
      <c r="AD26" s="59">
        <f t="shared" si="74"/>
        <v>323441.81911800004</v>
      </c>
      <c r="AE26" s="60">
        <f t="shared" si="8"/>
        <v>95363.73</v>
      </c>
      <c r="AF26" s="59">
        <f t="shared" si="75"/>
        <v>315253.418634</v>
      </c>
      <c r="AG26" s="60">
        <f t="shared" si="9"/>
        <v>92886.75</v>
      </c>
      <c r="AH26" s="59">
        <f t="shared" si="76"/>
        <v>307065.01815000002</v>
      </c>
      <c r="AI26" s="55">
        <f t="shared" si="10"/>
        <v>90409.76999999999</v>
      </c>
      <c r="AJ26" s="59">
        <f t="shared" si="77"/>
        <v>298876.61766599998</v>
      </c>
      <c r="AK26" s="60">
        <f t="shared" si="11"/>
        <v>87932.79</v>
      </c>
      <c r="AL26" s="59">
        <f t="shared" si="78"/>
        <v>290688.21718199999</v>
      </c>
      <c r="AM26" s="60">
        <f t="shared" si="12"/>
        <v>85455.809999999983</v>
      </c>
      <c r="AN26" s="59">
        <f t="shared" si="79"/>
        <v>282499.81669799995</v>
      </c>
      <c r="AO26" s="60">
        <f t="shared" si="13"/>
        <v>82978.829999999987</v>
      </c>
      <c r="AP26" s="59">
        <f t="shared" si="80"/>
        <v>274311.41621399997</v>
      </c>
      <c r="AQ26" s="60">
        <f t="shared" si="14"/>
        <v>80501.849999999991</v>
      </c>
      <c r="AR26" s="59">
        <f t="shared" si="81"/>
        <v>266123.01572999998</v>
      </c>
      <c r="AS26" s="55">
        <f t="shared" si="15"/>
        <v>78024.869999999981</v>
      </c>
      <c r="AT26" s="59">
        <f t="shared" si="82"/>
        <v>257934.61524599994</v>
      </c>
      <c r="AU26" s="60">
        <f t="shared" si="16"/>
        <v>75547.889999999985</v>
      </c>
      <c r="AV26" s="59">
        <f t="shared" si="83"/>
        <v>249746.21476199996</v>
      </c>
      <c r="AW26" s="60">
        <f t="shared" si="17"/>
        <v>73070.909999999974</v>
      </c>
      <c r="AX26" s="59">
        <f t="shared" si="84"/>
        <v>241557.81427799992</v>
      </c>
      <c r="AY26" s="55">
        <f t="shared" si="18"/>
        <v>70593.929999999978</v>
      </c>
      <c r="AZ26" s="59">
        <f t="shared" si="85"/>
        <v>233369.41379399993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6"/>
        <v>0.91</v>
      </c>
      <c r="BH26" s="55">
        <f t="shared" si="86"/>
        <v>0.89</v>
      </c>
      <c r="BI26" s="55">
        <f t="shared" si="86"/>
        <v>0.87</v>
      </c>
      <c r="BJ26" s="55">
        <f t="shared" si="86"/>
        <v>0.85</v>
      </c>
      <c r="BK26" s="55">
        <f t="shared" si="86"/>
        <v>0.83</v>
      </c>
      <c r="BL26" s="55">
        <f t="shared" si="86"/>
        <v>0.80999999999999994</v>
      </c>
      <c r="BM26" s="55">
        <f t="shared" si="86"/>
        <v>0.78999999999999992</v>
      </c>
      <c r="BN26" s="55">
        <f t="shared" si="86"/>
        <v>0.76999999999999991</v>
      </c>
      <c r="BO26" s="55">
        <f t="shared" si="86"/>
        <v>0.74999999999999989</v>
      </c>
      <c r="BP26" s="55">
        <f t="shared" si="86"/>
        <v>0.72999999999999987</v>
      </c>
      <c r="BQ26" s="55">
        <f t="shared" si="86"/>
        <v>0.70999999999999985</v>
      </c>
      <c r="BR26" s="55">
        <f t="shared" si="86"/>
        <v>0.68999999999999984</v>
      </c>
      <c r="BS26" s="55">
        <f t="shared" si="86"/>
        <v>0.66999999999999982</v>
      </c>
      <c r="BT26" s="55">
        <f t="shared" si="86"/>
        <v>0.6499999999999998</v>
      </c>
      <c r="BU26" s="55">
        <f t="shared" si="86"/>
        <v>0.62999999999999978</v>
      </c>
      <c r="BV26" s="55">
        <f t="shared" si="86"/>
        <v>0.60999999999999976</v>
      </c>
      <c r="BW26" s="55">
        <f t="shared" si="86"/>
        <v>0.58999999999999975</v>
      </c>
      <c r="BX26" s="55">
        <f t="shared" si="86"/>
        <v>0.56999999999999973</v>
      </c>
      <c r="BZ26" s="55">
        <f t="shared" si="87"/>
        <v>112702.59000000001</v>
      </c>
      <c r="CA26" s="55">
        <f t="shared" si="88"/>
        <v>112702.59000000001</v>
      </c>
      <c r="CB26" s="59">
        <f t="shared" si="89"/>
        <v>372572.22202200006</v>
      </c>
      <c r="CC26" s="55">
        <f t="shared" si="90"/>
        <v>109321.5123</v>
      </c>
      <c r="CD26" s="59">
        <f t="shared" si="91"/>
        <v>361395.05536134</v>
      </c>
      <c r="CE26" s="55">
        <f t="shared" si="92"/>
        <v>107067.4605</v>
      </c>
      <c r="CF26" s="59">
        <f t="shared" si="93"/>
        <v>353943.61092090001</v>
      </c>
      <c r="CG26" s="55">
        <f t="shared" si="20"/>
        <v>104813.40870000001</v>
      </c>
      <c r="CH26" s="59">
        <f t="shared" si="94"/>
        <v>346492.16648046003</v>
      </c>
      <c r="CI26" s="57">
        <f t="shared" si="21"/>
        <v>102559.35690000001</v>
      </c>
      <c r="CJ26" s="59">
        <f t="shared" si="95"/>
        <v>339040.72204002005</v>
      </c>
      <c r="CK26" s="55">
        <f t="shared" si="22"/>
        <v>100305.30510000001</v>
      </c>
      <c r="CL26" s="59">
        <f t="shared" si="96"/>
        <v>331589.27759958006</v>
      </c>
      <c r="CM26" s="57">
        <f t="shared" si="23"/>
        <v>98051.253300000011</v>
      </c>
      <c r="CN26" s="59">
        <f t="shared" si="97"/>
        <v>324137.83315914002</v>
      </c>
      <c r="CO26" s="60">
        <f t="shared" si="24"/>
        <v>95797.20150000001</v>
      </c>
      <c r="CP26" s="59">
        <f t="shared" si="98"/>
        <v>316686.38871870004</v>
      </c>
      <c r="CQ26" s="57">
        <f t="shared" si="25"/>
        <v>93543.149700000009</v>
      </c>
      <c r="CR26" s="59">
        <f t="shared" si="99"/>
        <v>309234.94427826005</v>
      </c>
      <c r="CS26" s="55">
        <f t="shared" si="26"/>
        <v>91289.097900000008</v>
      </c>
      <c r="CT26" s="59">
        <f t="shared" si="100"/>
        <v>301783.49983782001</v>
      </c>
      <c r="CU26" s="60">
        <f t="shared" si="27"/>
        <v>89035.046100000007</v>
      </c>
      <c r="CV26" s="59">
        <f t="shared" si="101"/>
        <v>294332.05539738003</v>
      </c>
      <c r="CW26" s="60">
        <f t="shared" si="28"/>
        <v>86780.994299999991</v>
      </c>
      <c r="CX26" s="59">
        <f t="shared" si="102"/>
        <v>286880.61095693999</v>
      </c>
      <c r="CY26" s="60">
        <f t="shared" si="29"/>
        <v>84526.94249999999</v>
      </c>
      <c r="CZ26" s="59">
        <f t="shared" si="103"/>
        <v>279429.1665165</v>
      </c>
      <c r="DA26" s="55">
        <f t="shared" si="30"/>
        <v>82272.890699999989</v>
      </c>
      <c r="DB26" s="59">
        <f t="shared" si="104"/>
        <v>271977.72207605996</v>
      </c>
      <c r="DC26" s="60">
        <f t="shared" si="31"/>
        <v>80018.838899999988</v>
      </c>
      <c r="DD26" s="59">
        <f t="shared" si="105"/>
        <v>264526.27763561998</v>
      </c>
      <c r="DE26" s="60">
        <f t="shared" si="32"/>
        <v>77764.787099999987</v>
      </c>
      <c r="DF26" s="59">
        <f t="shared" si="106"/>
        <v>257074.83319517996</v>
      </c>
      <c r="DG26" s="60">
        <f t="shared" si="33"/>
        <v>75510.735299999986</v>
      </c>
      <c r="DH26" s="59">
        <f t="shared" si="107"/>
        <v>249623.38875473995</v>
      </c>
      <c r="DI26" s="60">
        <f t="shared" si="34"/>
        <v>73256.683499999985</v>
      </c>
      <c r="DJ26" s="59">
        <f t="shared" si="108"/>
        <v>242171.94431429997</v>
      </c>
      <c r="DK26" s="55">
        <f t="shared" si="35"/>
        <v>71002.631699999984</v>
      </c>
      <c r="DL26" s="59">
        <f t="shared" si="109"/>
        <v>234720.49987385995</v>
      </c>
      <c r="DM26" s="60">
        <f t="shared" si="36"/>
        <v>68748.579899999982</v>
      </c>
      <c r="DN26" s="59">
        <f t="shared" si="110"/>
        <v>227269.05543341994</v>
      </c>
      <c r="DO26" s="60">
        <f t="shared" si="37"/>
        <v>66494.528099999981</v>
      </c>
      <c r="DP26" s="59">
        <f t="shared" si="111"/>
        <v>219817.61099297996</v>
      </c>
      <c r="DQ26" s="55">
        <f t="shared" si="38"/>
        <v>64240.476299999973</v>
      </c>
      <c r="DR26" s="59">
        <f t="shared" si="112"/>
        <v>212366.16655253991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3"/>
        <v>0.91</v>
      </c>
      <c r="DZ26" s="55">
        <f t="shared" si="113"/>
        <v>0.89</v>
      </c>
      <c r="EA26" s="55">
        <f t="shared" si="113"/>
        <v>0.87</v>
      </c>
      <c r="EB26" s="55">
        <f t="shared" si="113"/>
        <v>0.85</v>
      </c>
      <c r="EC26" s="55">
        <f t="shared" si="113"/>
        <v>0.83</v>
      </c>
      <c r="ED26" s="55">
        <f t="shared" si="113"/>
        <v>0.80999999999999994</v>
      </c>
      <c r="EE26" s="55">
        <f t="shared" si="113"/>
        <v>0.78999999999999992</v>
      </c>
      <c r="EF26" s="55">
        <f t="shared" si="113"/>
        <v>0.76999999999999991</v>
      </c>
      <c r="EG26" s="55">
        <f t="shared" si="113"/>
        <v>0.74999999999999989</v>
      </c>
      <c r="EH26" s="55">
        <f t="shared" si="113"/>
        <v>0.72999999999999987</v>
      </c>
      <c r="EI26" s="55">
        <f t="shared" si="113"/>
        <v>0.70999999999999985</v>
      </c>
      <c r="EJ26" s="55">
        <f t="shared" si="113"/>
        <v>0.68999999999999984</v>
      </c>
      <c r="EK26" s="55">
        <f t="shared" si="113"/>
        <v>0.66999999999999982</v>
      </c>
      <c r="EL26" s="55">
        <f t="shared" si="113"/>
        <v>0.6499999999999998</v>
      </c>
      <c r="EM26" s="55">
        <f t="shared" si="113"/>
        <v>0.62999999999999978</v>
      </c>
      <c r="EN26" s="55">
        <f t="shared" si="113"/>
        <v>0.60999999999999976</v>
      </c>
      <c r="EO26" s="55">
        <f t="shared" si="113"/>
        <v>0.58999999999999975</v>
      </c>
      <c r="EP26" s="55">
        <f t="shared" si="113"/>
        <v>0.56999999999999973</v>
      </c>
      <c r="ER26" s="55">
        <f t="shared" si="114"/>
        <v>102559.35690000001</v>
      </c>
      <c r="ES26" s="55">
        <f t="shared" si="115"/>
        <v>102559.35690000001</v>
      </c>
      <c r="ET26" s="59">
        <f t="shared" si="116"/>
        <v>339040.72204002005</v>
      </c>
      <c r="EU26" s="55">
        <f t="shared" si="117"/>
        <v>99482.576193000015</v>
      </c>
      <c r="EV26" s="59">
        <f t="shared" si="118"/>
        <v>328869.50037881947</v>
      </c>
      <c r="EW26" s="55">
        <f t="shared" si="119"/>
        <v>97431.389055000007</v>
      </c>
      <c r="EX26" s="59">
        <f t="shared" si="120"/>
        <v>322088.68593801901</v>
      </c>
      <c r="EY26" s="55">
        <f t="shared" si="40"/>
        <v>95380.201917000013</v>
      </c>
      <c r="EZ26" s="59">
        <f t="shared" si="121"/>
        <v>315307.87149721867</v>
      </c>
      <c r="FA26" s="57">
        <f t="shared" si="41"/>
        <v>93329.014779000019</v>
      </c>
      <c r="FB26" s="59">
        <f t="shared" si="122"/>
        <v>308527.05705641827</v>
      </c>
      <c r="FC26" s="55">
        <f t="shared" si="42"/>
        <v>91277.827641000011</v>
      </c>
      <c r="FD26" s="59">
        <f t="shared" si="123"/>
        <v>301746.24261561787</v>
      </c>
      <c r="FE26" s="57">
        <f t="shared" si="43"/>
        <v>89226.640503000017</v>
      </c>
      <c r="FF26" s="59">
        <f t="shared" si="124"/>
        <v>294965.42817481747</v>
      </c>
      <c r="FG26" s="60">
        <f t="shared" si="44"/>
        <v>87175.453365000008</v>
      </c>
      <c r="FH26" s="59">
        <f t="shared" si="125"/>
        <v>288184.61373401701</v>
      </c>
      <c r="FI26" s="57">
        <f t="shared" si="45"/>
        <v>85124.266227</v>
      </c>
      <c r="FJ26" s="59">
        <f t="shared" si="126"/>
        <v>281403.79929321661</v>
      </c>
      <c r="FK26" s="55">
        <f t="shared" si="46"/>
        <v>83073.079089000006</v>
      </c>
      <c r="FL26" s="59">
        <f t="shared" si="127"/>
        <v>274622.98485241621</v>
      </c>
      <c r="FM26" s="60">
        <f t="shared" si="47"/>
        <v>81021.891950999998</v>
      </c>
      <c r="FN26" s="59">
        <f t="shared" si="128"/>
        <v>267842.17041161581</v>
      </c>
      <c r="FO26" s="60">
        <f t="shared" si="48"/>
        <v>78970.704813000004</v>
      </c>
      <c r="FP26" s="59">
        <f t="shared" si="129"/>
        <v>261061.35597081541</v>
      </c>
      <c r="FQ26" s="60">
        <f t="shared" si="49"/>
        <v>76919.517674999996</v>
      </c>
      <c r="FR26" s="59">
        <f t="shared" si="130"/>
        <v>254280.54153001498</v>
      </c>
      <c r="FS26" s="55">
        <f t="shared" si="50"/>
        <v>74868.330537000002</v>
      </c>
      <c r="FT26" s="59">
        <f t="shared" si="131"/>
        <v>247499.7270892146</v>
      </c>
      <c r="FU26" s="60">
        <f t="shared" si="51"/>
        <v>72817.143398999993</v>
      </c>
      <c r="FV26" s="59">
        <f t="shared" si="132"/>
        <v>240718.91264841417</v>
      </c>
      <c r="FW26" s="60">
        <f t="shared" si="52"/>
        <v>70765.956260999999</v>
      </c>
      <c r="FX26" s="59">
        <f t="shared" si="133"/>
        <v>233938.0982076138</v>
      </c>
      <c r="FY26" s="60">
        <f t="shared" si="53"/>
        <v>68714.769122999991</v>
      </c>
      <c r="FZ26" s="59">
        <f t="shared" si="134"/>
        <v>227157.28376681337</v>
      </c>
      <c r="GA26" s="60">
        <f t="shared" si="54"/>
        <v>66663.581984999983</v>
      </c>
      <c r="GB26" s="59">
        <f t="shared" si="135"/>
        <v>220376.46932601294</v>
      </c>
      <c r="GC26" s="55">
        <f t="shared" si="55"/>
        <v>64612.394846999989</v>
      </c>
      <c r="GD26" s="59">
        <f t="shared" si="136"/>
        <v>213595.65488521257</v>
      </c>
      <c r="GE26" s="60">
        <f t="shared" si="56"/>
        <v>62561.207708999988</v>
      </c>
      <c r="GF26" s="59">
        <f t="shared" si="137"/>
        <v>206814.84044441217</v>
      </c>
      <c r="GG26" s="60">
        <f t="shared" si="57"/>
        <v>60510.020570999979</v>
      </c>
      <c r="GH26" s="59">
        <f t="shared" si="138"/>
        <v>200034.02600361174</v>
      </c>
      <c r="GI26" s="55">
        <f t="shared" si="58"/>
        <v>58458.833432999978</v>
      </c>
      <c r="GJ26" s="59">
        <f t="shared" si="139"/>
        <v>193253.21156281134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0"/>
        <v>0.91</v>
      </c>
      <c r="GR26" s="55">
        <f t="shared" si="140"/>
        <v>0.89</v>
      </c>
      <c r="GS26" s="55">
        <f t="shared" si="140"/>
        <v>0.87</v>
      </c>
      <c r="GT26" s="55">
        <f t="shared" si="140"/>
        <v>0.85</v>
      </c>
      <c r="GU26" s="55">
        <f t="shared" si="140"/>
        <v>0.83</v>
      </c>
      <c r="GV26" s="55">
        <f t="shared" si="140"/>
        <v>0.80999999999999994</v>
      </c>
      <c r="GW26" s="55">
        <f t="shared" si="140"/>
        <v>0.78999999999999992</v>
      </c>
      <c r="GX26" s="55">
        <f t="shared" si="140"/>
        <v>0.76999999999999991</v>
      </c>
      <c r="GY26" s="55">
        <f t="shared" si="140"/>
        <v>0.74999999999999989</v>
      </c>
      <c r="GZ26" s="55">
        <f t="shared" si="140"/>
        <v>0.72999999999999987</v>
      </c>
      <c r="HA26" s="55">
        <f t="shared" si="140"/>
        <v>0.70999999999999985</v>
      </c>
      <c r="HB26" s="55">
        <f t="shared" si="140"/>
        <v>0.68999999999999984</v>
      </c>
      <c r="HC26" s="55">
        <f t="shared" si="140"/>
        <v>0.66999999999999982</v>
      </c>
      <c r="HD26" s="55">
        <f t="shared" si="140"/>
        <v>0.6499999999999998</v>
      </c>
      <c r="HE26" s="55">
        <f t="shared" si="140"/>
        <v>0.62999999999999978</v>
      </c>
      <c r="HF26" s="55">
        <f t="shared" si="140"/>
        <v>0.60999999999999976</v>
      </c>
      <c r="HG26" s="55">
        <f t="shared" si="140"/>
        <v>0.58999999999999975</v>
      </c>
      <c r="HH26" s="55">
        <f t="shared" si="140"/>
        <v>0.56999999999999973</v>
      </c>
    </row>
    <row r="27" spans="1:216" x14ac:dyDescent="0.3">
      <c r="B27" s="2">
        <v>10</v>
      </c>
      <c r="C27" s="35" t="s">
        <v>155</v>
      </c>
      <c r="D27" s="53">
        <f>TRUNC(SUM(D18:D26)*0.275,-1)</f>
        <v>431280</v>
      </c>
      <c r="E27" s="83">
        <f>TRUNC(+D27*3.3058,-1)</f>
        <v>1425720</v>
      </c>
      <c r="H27" s="55">
        <f t="shared" si="60"/>
        <v>1568292.0000000002</v>
      </c>
      <c r="I27" s="55">
        <f t="shared" si="61"/>
        <v>1568292.0000000002</v>
      </c>
      <c r="J27" s="59">
        <f t="shared" si="62"/>
        <v>5184459.6936000008</v>
      </c>
      <c r="K27" s="55">
        <f t="shared" si="63"/>
        <v>1521243.2400000002</v>
      </c>
      <c r="L27" s="59">
        <f t="shared" si="64"/>
        <v>5028925.9027920011</v>
      </c>
      <c r="M27" s="55">
        <f t="shared" si="65"/>
        <v>1489877.4000000001</v>
      </c>
      <c r="N27" s="59">
        <f t="shared" si="66"/>
        <v>4925236.7089200001</v>
      </c>
      <c r="O27" s="55">
        <f t="shared" si="0"/>
        <v>1458511.5600000003</v>
      </c>
      <c r="P27" s="59">
        <f t="shared" si="67"/>
        <v>4821547.515048001</v>
      </c>
      <c r="Q27" s="57">
        <f t="shared" si="1"/>
        <v>1427145.7200000002</v>
      </c>
      <c r="R27" s="59">
        <f t="shared" si="68"/>
        <v>4717858.3211760009</v>
      </c>
      <c r="S27" s="55">
        <f t="shared" si="2"/>
        <v>1395779.8800000001</v>
      </c>
      <c r="T27" s="59">
        <f t="shared" si="69"/>
        <v>4614169.1273040008</v>
      </c>
      <c r="U27" s="57">
        <f t="shared" si="3"/>
        <v>1364414.0400000003</v>
      </c>
      <c r="V27" s="59">
        <f t="shared" si="70"/>
        <v>4510479.9334320007</v>
      </c>
      <c r="W27" s="60">
        <f t="shared" si="4"/>
        <v>1333048.2000000002</v>
      </c>
      <c r="X27" s="59">
        <f t="shared" si="71"/>
        <v>4406790.7395600006</v>
      </c>
      <c r="Y27" s="57">
        <f t="shared" si="5"/>
        <v>1301682.3600000001</v>
      </c>
      <c r="Z27" s="59">
        <f t="shared" si="72"/>
        <v>4303101.5456880005</v>
      </c>
      <c r="AA27" s="55">
        <f t="shared" si="6"/>
        <v>1270316.52</v>
      </c>
      <c r="AB27" s="59">
        <f t="shared" si="73"/>
        <v>4199412.3518160004</v>
      </c>
      <c r="AC27" s="60">
        <f t="shared" si="7"/>
        <v>1238950.6800000002</v>
      </c>
      <c r="AD27" s="59">
        <f t="shared" si="74"/>
        <v>4095723.1579440008</v>
      </c>
      <c r="AE27" s="60">
        <f t="shared" si="8"/>
        <v>1207584.8400000001</v>
      </c>
      <c r="AF27" s="59">
        <f t="shared" si="75"/>
        <v>3992033.9640720002</v>
      </c>
      <c r="AG27" s="60">
        <f t="shared" si="9"/>
        <v>1176219</v>
      </c>
      <c r="AH27" s="59">
        <f t="shared" si="76"/>
        <v>3888344.7702000001</v>
      </c>
      <c r="AI27" s="55">
        <f t="shared" si="10"/>
        <v>1144853.1599999999</v>
      </c>
      <c r="AJ27" s="59">
        <f t="shared" si="77"/>
        <v>3784655.5763279996</v>
      </c>
      <c r="AK27" s="60">
        <f t="shared" si="11"/>
        <v>1113487.3199999998</v>
      </c>
      <c r="AL27" s="59">
        <f t="shared" si="78"/>
        <v>3680966.3824559995</v>
      </c>
      <c r="AM27" s="60">
        <f t="shared" si="12"/>
        <v>1082121.48</v>
      </c>
      <c r="AN27" s="59">
        <f t="shared" si="79"/>
        <v>3577277.1885839999</v>
      </c>
      <c r="AO27" s="60">
        <f t="shared" si="13"/>
        <v>1050755.6399999999</v>
      </c>
      <c r="AP27" s="59">
        <f t="shared" si="80"/>
        <v>3473587.9947119998</v>
      </c>
      <c r="AQ27" s="60">
        <f t="shared" si="14"/>
        <v>1019389.7999999998</v>
      </c>
      <c r="AR27" s="59">
        <f t="shared" si="81"/>
        <v>3369898.8008399992</v>
      </c>
      <c r="AS27" s="55">
        <f t="shared" si="15"/>
        <v>988023.95999999985</v>
      </c>
      <c r="AT27" s="59">
        <f t="shared" si="82"/>
        <v>3266209.6069679996</v>
      </c>
      <c r="AU27" s="60">
        <f t="shared" si="16"/>
        <v>956658.11999999976</v>
      </c>
      <c r="AV27" s="59">
        <f t="shared" si="83"/>
        <v>3162520.4130959995</v>
      </c>
      <c r="AW27" s="60">
        <f t="shared" si="17"/>
        <v>925292.2799999998</v>
      </c>
      <c r="AX27" s="59">
        <f t="shared" si="84"/>
        <v>3058831.2192239994</v>
      </c>
      <c r="AY27" s="55">
        <f t="shared" si="18"/>
        <v>893926.43999999971</v>
      </c>
      <c r="AZ27" s="59">
        <f t="shared" si="85"/>
        <v>2955142.0253519993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6"/>
        <v>0.91</v>
      </c>
      <c r="BH27" s="55">
        <f t="shared" si="86"/>
        <v>0.89</v>
      </c>
      <c r="BI27" s="55">
        <f t="shared" si="86"/>
        <v>0.87</v>
      </c>
      <c r="BJ27" s="55">
        <f t="shared" si="86"/>
        <v>0.85</v>
      </c>
      <c r="BK27" s="55">
        <f t="shared" si="86"/>
        <v>0.83</v>
      </c>
      <c r="BL27" s="55">
        <f t="shared" si="86"/>
        <v>0.80999999999999994</v>
      </c>
      <c r="BM27" s="55">
        <f t="shared" si="86"/>
        <v>0.78999999999999992</v>
      </c>
      <c r="BN27" s="55">
        <f t="shared" si="86"/>
        <v>0.76999999999999991</v>
      </c>
      <c r="BO27" s="55">
        <f t="shared" si="86"/>
        <v>0.74999999999999989</v>
      </c>
      <c r="BP27" s="55">
        <f t="shared" si="86"/>
        <v>0.72999999999999987</v>
      </c>
      <c r="BQ27" s="55">
        <f t="shared" si="86"/>
        <v>0.70999999999999985</v>
      </c>
      <c r="BR27" s="55">
        <f t="shared" si="86"/>
        <v>0.68999999999999984</v>
      </c>
      <c r="BS27" s="55">
        <f t="shared" si="86"/>
        <v>0.66999999999999982</v>
      </c>
      <c r="BT27" s="55">
        <f t="shared" si="86"/>
        <v>0.6499999999999998</v>
      </c>
      <c r="BU27" s="55">
        <f t="shared" si="86"/>
        <v>0.62999999999999978</v>
      </c>
      <c r="BV27" s="55">
        <f t="shared" si="86"/>
        <v>0.60999999999999976</v>
      </c>
      <c r="BW27" s="55">
        <f t="shared" si="86"/>
        <v>0.58999999999999975</v>
      </c>
      <c r="BX27" s="55">
        <f t="shared" si="86"/>
        <v>0.56999999999999973</v>
      </c>
      <c r="BZ27" s="55">
        <f>+H27*0.7</f>
        <v>1097804.4000000001</v>
      </c>
      <c r="CA27" s="55">
        <f t="shared" si="88"/>
        <v>1097804.4000000001</v>
      </c>
      <c r="CB27" s="59">
        <f t="shared" si="89"/>
        <v>3629121.7855200004</v>
      </c>
      <c r="CC27" s="55">
        <f t="shared" si="90"/>
        <v>1064870.2680000002</v>
      </c>
      <c r="CD27" s="59">
        <f t="shared" si="91"/>
        <v>3520248.1319544008</v>
      </c>
      <c r="CE27" s="55">
        <f t="shared" si="92"/>
        <v>1042914.18</v>
      </c>
      <c r="CF27" s="59">
        <f t="shared" si="93"/>
        <v>3447665.6962440005</v>
      </c>
      <c r="CG27" s="55">
        <f t="shared" si="20"/>
        <v>1020958.0920000002</v>
      </c>
      <c r="CH27" s="59">
        <f t="shared" si="94"/>
        <v>3375083.2605336006</v>
      </c>
      <c r="CI27" s="57">
        <f t="shared" si="21"/>
        <v>999002.00400000019</v>
      </c>
      <c r="CJ27" s="59">
        <f t="shared" si="95"/>
        <v>3302500.8248232007</v>
      </c>
      <c r="CK27" s="55">
        <f t="shared" si="22"/>
        <v>977045.91600000008</v>
      </c>
      <c r="CL27" s="59">
        <f t="shared" si="96"/>
        <v>3229918.3891128004</v>
      </c>
      <c r="CM27" s="57">
        <f t="shared" si="23"/>
        <v>955089.8280000001</v>
      </c>
      <c r="CN27" s="59">
        <f t="shared" si="97"/>
        <v>3157335.9534024005</v>
      </c>
      <c r="CO27" s="60">
        <f t="shared" si="24"/>
        <v>933133.74000000011</v>
      </c>
      <c r="CP27" s="59">
        <f t="shared" si="98"/>
        <v>3084753.5176920006</v>
      </c>
      <c r="CQ27" s="57">
        <f t="shared" si="25"/>
        <v>911177.65200000012</v>
      </c>
      <c r="CR27" s="59">
        <f t="shared" si="99"/>
        <v>3012171.0819816003</v>
      </c>
      <c r="CS27" s="55">
        <f t="shared" si="26"/>
        <v>889221.56400000001</v>
      </c>
      <c r="CT27" s="59">
        <f t="shared" si="100"/>
        <v>2939588.6462711999</v>
      </c>
      <c r="CU27" s="60">
        <f t="shared" si="27"/>
        <v>867265.47600000002</v>
      </c>
      <c r="CV27" s="59">
        <f t="shared" si="101"/>
        <v>2867006.2105608</v>
      </c>
      <c r="CW27" s="60">
        <f t="shared" si="28"/>
        <v>845309.38800000004</v>
      </c>
      <c r="CX27" s="59">
        <f t="shared" si="102"/>
        <v>2794423.7748504002</v>
      </c>
      <c r="CY27" s="60">
        <f t="shared" si="29"/>
        <v>823353.29999999993</v>
      </c>
      <c r="CZ27" s="59">
        <f t="shared" si="103"/>
        <v>2721841.3391399998</v>
      </c>
      <c r="DA27" s="55">
        <f t="shared" si="30"/>
        <v>801397.21199999994</v>
      </c>
      <c r="DB27" s="59">
        <f t="shared" si="104"/>
        <v>2649258.9034295999</v>
      </c>
      <c r="DC27" s="60">
        <f t="shared" si="31"/>
        <v>779441.12399999995</v>
      </c>
      <c r="DD27" s="59">
        <f t="shared" si="105"/>
        <v>2576676.4677192001</v>
      </c>
      <c r="DE27" s="60">
        <f t="shared" si="32"/>
        <v>757485.03599999996</v>
      </c>
      <c r="DF27" s="59">
        <f t="shared" si="106"/>
        <v>2504094.0320087997</v>
      </c>
      <c r="DG27" s="60">
        <f t="shared" si="33"/>
        <v>735528.94799999986</v>
      </c>
      <c r="DH27" s="59">
        <f t="shared" si="107"/>
        <v>2431511.5962983994</v>
      </c>
      <c r="DI27" s="60">
        <f t="shared" si="34"/>
        <v>713572.85999999987</v>
      </c>
      <c r="DJ27" s="59">
        <f t="shared" si="108"/>
        <v>2358929.1605879995</v>
      </c>
      <c r="DK27" s="55">
        <f t="shared" si="35"/>
        <v>691616.77199999988</v>
      </c>
      <c r="DL27" s="59">
        <f t="shared" si="109"/>
        <v>2286346.7248775996</v>
      </c>
      <c r="DM27" s="60">
        <f t="shared" si="36"/>
        <v>669660.68399999978</v>
      </c>
      <c r="DN27" s="59">
        <f t="shared" si="110"/>
        <v>2213764.2891671993</v>
      </c>
      <c r="DO27" s="60">
        <f t="shared" si="37"/>
        <v>647704.59599999979</v>
      </c>
      <c r="DP27" s="59">
        <f t="shared" si="111"/>
        <v>2141181.8534567994</v>
      </c>
      <c r="DQ27" s="55">
        <f t="shared" si="38"/>
        <v>625748.5079999998</v>
      </c>
      <c r="DR27" s="59">
        <f t="shared" si="112"/>
        <v>2068599.4177463993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3"/>
        <v>0.91</v>
      </c>
      <c r="DZ27" s="55">
        <f t="shared" si="113"/>
        <v>0.89</v>
      </c>
      <c r="EA27" s="55">
        <f t="shared" si="113"/>
        <v>0.87</v>
      </c>
      <c r="EB27" s="55">
        <f t="shared" si="113"/>
        <v>0.85</v>
      </c>
      <c r="EC27" s="55">
        <f t="shared" si="113"/>
        <v>0.83</v>
      </c>
      <c r="ED27" s="55">
        <f t="shared" si="113"/>
        <v>0.80999999999999994</v>
      </c>
      <c r="EE27" s="55">
        <f t="shared" si="113"/>
        <v>0.78999999999999992</v>
      </c>
      <c r="EF27" s="55">
        <f t="shared" si="113"/>
        <v>0.76999999999999991</v>
      </c>
      <c r="EG27" s="55">
        <f t="shared" si="113"/>
        <v>0.74999999999999989</v>
      </c>
      <c r="EH27" s="55">
        <f t="shared" si="113"/>
        <v>0.72999999999999987</v>
      </c>
      <c r="EI27" s="55">
        <f t="shared" si="113"/>
        <v>0.70999999999999985</v>
      </c>
      <c r="EJ27" s="55">
        <f t="shared" si="113"/>
        <v>0.68999999999999984</v>
      </c>
      <c r="EK27" s="55">
        <f t="shared" si="113"/>
        <v>0.66999999999999982</v>
      </c>
      <c r="EL27" s="55">
        <f t="shared" si="113"/>
        <v>0.6499999999999998</v>
      </c>
      <c r="EM27" s="55">
        <f t="shared" si="113"/>
        <v>0.62999999999999978</v>
      </c>
      <c r="EN27" s="55">
        <f t="shared" si="113"/>
        <v>0.60999999999999976</v>
      </c>
      <c r="EO27" s="55">
        <f t="shared" si="113"/>
        <v>0.58999999999999975</v>
      </c>
      <c r="EP27" s="55">
        <f t="shared" si="113"/>
        <v>0.56999999999999973</v>
      </c>
      <c r="ER27" s="55">
        <f>+BZ27*0.7</f>
        <v>768463.08000000007</v>
      </c>
      <c r="ES27" s="55">
        <f t="shared" si="115"/>
        <v>768463.08000000007</v>
      </c>
      <c r="ET27" s="59">
        <f t="shared" si="116"/>
        <v>2540385.2498640004</v>
      </c>
      <c r="EU27" s="55">
        <f t="shared" si="117"/>
        <v>745409.18760000006</v>
      </c>
      <c r="EV27" s="59">
        <f t="shared" si="118"/>
        <v>2464173.6923680804</v>
      </c>
      <c r="EW27" s="55">
        <f t="shared" si="119"/>
        <v>730039.92600000009</v>
      </c>
      <c r="EX27" s="59">
        <f t="shared" si="120"/>
        <v>2413365.9873708002</v>
      </c>
      <c r="EY27" s="55">
        <f t="shared" si="40"/>
        <v>714670.66440000013</v>
      </c>
      <c r="EZ27" s="59">
        <f t="shared" si="121"/>
        <v>2362558.2823735205</v>
      </c>
      <c r="FA27" s="57">
        <f t="shared" si="41"/>
        <v>699301.40280000004</v>
      </c>
      <c r="FB27" s="59">
        <f t="shared" si="122"/>
        <v>2311750.5773762404</v>
      </c>
      <c r="FC27" s="55">
        <f t="shared" si="42"/>
        <v>683932.14120000007</v>
      </c>
      <c r="FD27" s="59">
        <f t="shared" si="123"/>
        <v>2260942.8723789603</v>
      </c>
      <c r="FE27" s="57">
        <f t="shared" si="43"/>
        <v>668562.8796000001</v>
      </c>
      <c r="FF27" s="59">
        <f t="shared" si="124"/>
        <v>2210135.1673816806</v>
      </c>
      <c r="FG27" s="60">
        <f t="shared" si="44"/>
        <v>653193.61800000002</v>
      </c>
      <c r="FH27" s="59">
        <f t="shared" si="125"/>
        <v>2159327.4623844</v>
      </c>
      <c r="FI27" s="57">
        <f t="shared" si="45"/>
        <v>637824.35640000005</v>
      </c>
      <c r="FJ27" s="59">
        <f t="shared" si="126"/>
        <v>2108519.7573871203</v>
      </c>
      <c r="FK27" s="55">
        <f t="shared" si="46"/>
        <v>622455.09479999996</v>
      </c>
      <c r="FL27" s="59">
        <f t="shared" si="127"/>
        <v>2057712.0523898399</v>
      </c>
      <c r="FM27" s="60">
        <f t="shared" si="47"/>
        <v>607085.83319999999</v>
      </c>
      <c r="FN27" s="59">
        <f t="shared" si="128"/>
        <v>2006904.34739256</v>
      </c>
      <c r="FO27" s="60">
        <f t="shared" si="48"/>
        <v>591716.57160000002</v>
      </c>
      <c r="FP27" s="59">
        <f t="shared" si="129"/>
        <v>1956096.6423952801</v>
      </c>
      <c r="FQ27" s="60">
        <f t="shared" si="49"/>
        <v>576347.30999999994</v>
      </c>
      <c r="FR27" s="59">
        <f t="shared" si="130"/>
        <v>1905288.9373979999</v>
      </c>
      <c r="FS27" s="55">
        <f t="shared" si="50"/>
        <v>560978.04839999997</v>
      </c>
      <c r="FT27" s="59">
        <f t="shared" si="131"/>
        <v>1854481.23240072</v>
      </c>
      <c r="FU27" s="60">
        <f t="shared" si="51"/>
        <v>545608.78679999989</v>
      </c>
      <c r="FV27" s="59">
        <f t="shared" si="132"/>
        <v>1803673.5274034396</v>
      </c>
      <c r="FW27" s="60">
        <f t="shared" si="52"/>
        <v>530239.52519999992</v>
      </c>
      <c r="FX27" s="59">
        <f t="shared" si="133"/>
        <v>1752865.8224061597</v>
      </c>
      <c r="FY27" s="60">
        <f t="shared" si="53"/>
        <v>514870.26359999989</v>
      </c>
      <c r="FZ27" s="59">
        <f t="shared" si="134"/>
        <v>1702058.1174088796</v>
      </c>
      <c r="GA27" s="60">
        <f t="shared" si="54"/>
        <v>499501.00199999992</v>
      </c>
      <c r="GB27" s="59">
        <f t="shared" si="135"/>
        <v>1651250.4124115999</v>
      </c>
      <c r="GC27" s="55">
        <f t="shared" si="55"/>
        <v>484131.74039999989</v>
      </c>
      <c r="GD27" s="59">
        <f t="shared" si="136"/>
        <v>1600442.7074143197</v>
      </c>
      <c r="GE27" s="60">
        <f t="shared" si="56"/>
        <v>468762.47879999987</v>
      </c>
      <c r="GF27" s="59">
        <f t="shared" si="137"/>
        <v>1549635.0024170396</v>
      </c>
      <c r="GG27" s="60">
        <f t="shared" si="57"/>
        <v>453393.21719999984</v>
      </c>
      <c r="GH27" s="59">
        <f t="shared" si="138"/>
        <v>1498827.2974197594</v>
      </c>
      <c r="GI27" s="55">
        <f t="shared" si="58"/>
        <v>438023.95559999981</v>
      </c>
      <c r="GJ27" s="59">
        <f t="shared" si="139"/>
        <v>1448019.5924224793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0"/>
        <v>0.91</v>
      </c>
      <c r="GR27" s="55">
        <f t="shared" si="140"/>
        <v>0.89</v>
      </c>
      <c r="GS27" s="55">
        <f t="shared" si="140"/>
        <v>0.87</v>
      </c>
      <c r="GT27" s="55">
        <f t="shared" si="140"/>
        <v>0.85</v>
      </c>
      <c r="GU27" s="55">
        <f t="shared" si="140"/>
        <v>0.83</v>
      </c>
      <c r="GV27" s="55">
        <f t="shared" si="140"/>
        <v>0.80999999999999994</v>
      </c>
      <c r="GW27" s="55">
        <f t="shared" si="140"/>
        <v>0.78999999999999992</v>
      </c>
      <c r="GX27" s="55">
        <f t="shared" si="140"/>
        <v>0.76999999999999991</v>
      </c>
      <c r="GY27" s="55">
        <f t="shared" si="140"/>
        <v>0.74999999999999989</v>
      </c>
      <c r="GZ27" s="55">
        <f t="shared" si="140"/>
        <v>0.72999999999999987</v>
      </c>
      <c r="HA27" s="55">
        <f t="shared" si="140"/>
        <v>0.70999999999999985</v>
      </c>
      <c r="HB27" s="55">
        <f t="shared" si="140"/>
        <v>0.68999999999999984</v>
      </c>
      <c r="HC27" s="55">
        <f t="shared" si="140"/>
        <v>0.66999999999999982</v>
      </c>
      <c r="HD27" s="55">
        <f t="shared" si="140"/>
        <v>0.6499999999999998</v>
      </c>
      <c r="HE27" s="55">
        <f t="shared" si="140"/>
        <v>0.62999999999999978</v>
      </c>
      <c r="HF27" s="55">
        <f t="shared" si="140"/>
        <v>0.60999999999999976</v>
      </c>
      <c r="HG27" s="55">
        <f t="shared" si="140"/>
        <v>0.58999999999999975</v>
      </c>
      <c r="HH27" s="55">
        <f t="shared" si="140"/>
        <v>0.56999999999999973</v>
      </c>
    </row>
    <row r="28" spans="1:216" x14ac:dyDescent="0.3">
      <c r="C28" s="35" t="s">
        <v>113</v>
      </c>
      <c r="D28" s="44">
        <f>SUM(D18:D27)</f>
        <v>1999600</v>
      </c>
      <c r="E28" s="44">
        <f>SUM(E18:E27)</f>
        <v>6610230</v>
      </c>
      <c r="H28" s="55">
        <f t="shared" si="60"/>
        <v>7271253.0000000009</v>
      </c>
      <c r="I28" s="55">
        <f t="shared" si="61"/>
        <v>7271253.0000000009</v>
      </c>
      <c r="J28" s="59">
        <f t="shared" si="62"/>
        <v>24037308.167400002</v>
      </c>
      <c r="K28" s="55">
        <f t="shared" si="63"/>
        <v>7053115.4100000011</v>
      </c>
      <c r="L28" s="59">
        <f t="shared" si="64"/>
        <v>23316188.922378004</v>
      </c>
      <c r="M28" s="55">
        <f t="shared" si="65"/>
        <v>6907690.3500000006</v>
      </c>
      <c r="N28" s="59">
        <f t="shared" si="66"/>
        <v>22835442.759030003</v>
      </c>
      <c r="O28" s="55">
        <f t="shared" si="0"/>
        <v>6762265.290000001</v>
      </c>
      <c r="P28" s="59">
        <f t="shared" si="67"/>
        <v>22354696.595682003</v>
      </c>
      <c r="Q28" s="57">
        <f t="shared" si="1"/>
        <v>6616840.2300000014</v>
      </c>
      <c r="R28" s="59">
        <f t="shared" si="68"/>
        <v>21873950.432334006</v>
      </c>
      <c r="S28" s="55">
        <f t="shared" si="2"/>
        <v>6471415.1700000009</v>
      </c>
      <c r="T28" s="59">
        <f t="shared" si="69"/>
        <v>21393204.268986002</v>
      </c>
      <c r="U28" s="57">
        <f t="shared" si="3"/>
        <v>6325990.1100000003</v>
      </c>
      <c r="V28" s="59">
        <f t="shared" si="70"/>
        <v>20912458.105638001</v>
      </c>
      <c r="W28" s="60">
        <f t="shared" si="4"/>
        <v>6180565.0500000007</v>
      </c>
      <c r="X28" s="59">
        <f t="shared" si="71"/>
        <v>20431711.942290004</v>
      </c>
      <c r="Y28" s="57">
        <f t="shared" si="5"/>
        <v>6035139.9900000002</v>
      </c>
      <c r="Z28" s="59">
        <f t="shared" si="72"/>
        <v>19950965.778942</v>
      </c>
      <c r="AA28" s="55">
        <f t="shared" si="6"/>
        <v>5889714.9300000006</v>
      </c>
      <c r="AB28" s="59">
        <f t="shared" si="73"/>
        <v>19470219.615594003</v>
      </c>
      <c r="AC28" s="60">
        <f t="shared" si="7"/>
        <v>5744289.8700000001</v>
      </c>
      <c r="AD28" s="59">
        <f t="shared" si="74"/>
        <v>18989473.452245999</v>
      </c>
      <c r="AE28" s="60">
        <f t="shared" si="8"/>
        <v>5598864.8099999996</v>
      </c>
      <c r="AF28" s="59">
        <f t="shared" si="75"/>
        <v>18508727.288897999</v>
      </c>
      <c r="AG28" s="60">
        <f t="shared" si="9"/>
        <v>5453439.75</v>
      </c>
      <c r="AH28" s="59">
        <f t="shared" si="76"/>
        <v>18027981.125550002</v>
      </c>
      <c r="AI28" s="55">
        <f t="shared" si="10"/>
        <v>5308014.6899999995</v>
      </c>
      <c r="AJ28" s="59">
        <f t="shared" si="77"/>
        <v>17547234.962201998</v>
      </c>
      <c r="AK28" s="60">
        <f t="shared" si="11"/>
        <v>5162589.63</v>
      </c>
      <c r="AL28" s="59">
        <f t="shared" si="78"/>
        <v>17066488.798854001</v>
      </c>
      <c r="AM28" s="60">
        <f t="shared" si="12"/>
        <v>5017164.5699999994</v>
      </c>
      <c r="AN28" s="59">
        <f t="shared" si="79"/>
        <v>16585742.635505999</v>
      </c>
      <c r="AO28" s="60">
        <f t="shared" si="13"/>
        <v>4871739.5099999988</v>
      </c>
      <c r="AP28" s="59">
        <f t="shared" si="80"/>
        <v>16104996.472157996</v>
      </c>
      <c r="AQ28" s="60">
        <f t="shared" si="14"/>
        <v>4726314.4499999993</v>
      </c>
      <c r="AR28" s="59">
        <f t="shared" si="81"/>
        <v>15624250.308809998</v>
      </c>
      <c r="AS28" s="55">
        <f t="shared" si="15"/>
        <v>4580889.3899999987</v>
      </c>
      <c r="AT28" s="59">
        <f t="shared" si="82"/>
        <v>15143504.145461997</v>
      </c>
      <c r="AU28" s="60">
        <f t="shared" si="16"/>
        <v>4435464.3299999991</v>
      </c>
      <c r="AV28" s="59">
        <f t="shared" si="83"/>
        <v>14662757.982113998</v>
      </c>
      <c r="AW28" s="60">
        <f t="shared" si="17"/>
        <v>4290039.2699999986</v>
      </c>
      <c r="AX28" s="59">
        <f t="shared" si="84"/>
        <v>14182011.818765996</v>
      </c>
      <c r="AY28" s="55">
        <f t="shared" si="18"/>
        <v>4144614.2099999986</v>
      </c>
      <c r="AZ28" s="59">
        <f t="shared" si="85"/>
        <v>13701265.655417996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6"/>
        <v>0.91</v>
      </c>
      <c r="BH28" s="55">
        <f t="shared" si="86"/>
        <v>0.89</v>
      </c>
      <c r="BI28" s="55">
        <f t="shared" si="86"/>
        <v>0.87</v>
      </c>
      <c r="BJ28" s="55">
        <f t="shared" si="86"/>
        <v>0.85</v>
      </c>
      <c r="BK28" s="55">
        <f t="shared" si="86"/>
        <v>0.83</v>
      </c>
      <c r="BL28" s="55">
        <f t="shared" si="86"/>
        <v>0.80999999999999994</v>
      </c>
      <c r="BM28" s="55">
        <f t="shared" si="86"/>
        <v>0.78999999999999992</v>
      </c>
      <c r="BN28" s="55">
        <f t="shared" si="86"/>
        <v>0.76999999999999991</v>
      </c>
      <c r="BO28" s="55">
        <f t="shared" si="86"/>
        <v>0.74999999999999989</v>
      </c>
      <c r="BP28" s="55">
        <f t="shared" si="86"/>
        <v>0.72999999999999987</v>
      </c>
      <c r="BQ28" s="55">
        <f t="shared" si="86"/>
        <v>0.70999999999999985</v>
      </c>
      <c r="BR28" s="55">
        <f t="shared" si="86"/>
        <v>0.68999999999999984</v>
      </c>
      <c r="BS28" s="55">
        <f t="shared" si="86"/>
        <v>0.66999999999999982</v>
      </c>
      <c r="BT28" s="55">
        <f t="shared" si="86"/>
        <v>0.6499999999999998</v>
      </c>
      <c r="BU28" s="55">
        <f t="shared" si="86"/>
        <v>0.62999999999999978</v>
      </c>
      <c r="BV28" s="55">
        <f t="shared" si="86"/>
        <v>0.60999999999999976</v>
      </c>
      <c r="BW28" s="55">
        <f t="shared" si="86"/>
        <v>0.58999999999999975</v>
      </c>
      <c r="BX28" s="55">
        <f t="shared" si="86"/>
        <v>0.56999999999999973</v>
      </c>
      <c r="BZ28" s="55">
        <f>SUM(BZ18:BZ27)</f>
        <v>6287498.9100000001</v>
      </c>
      <c r="CA28" s="55">
        <f t="shared" si="88"/>
        <v>6287498.9100000001</v>
      </c>
      <c r="CB28" s="59">
        <f t="shared" si="89"/>
        <v>20785213.896678001</v>
      </c>
      <c r="CC28" s="55">
        <f t="shared" si="90"/>
        <v>6098873.9426999995</v>
      </c>
      <c r="CD28" s="59">
        <f t="shared" si="91"/>
        <v>20161657.47977766</v>
      </c>
      <c r="CE28" s="55">
        <f t="shared" si="92"/>
        <v>5973123.9644999998</v>
      </c>
      <c r="CF28" s="59">
        <f t="shared" si="93"/>
        <v>19745953.2018441</v>
      </c>
      <c r="CG28" s="55">
        <f t="shared" si="20"/>
        <v>5847373.9863</v>
      </c>
      <c r="CH28" s="59">
        <f t="shared" si="94"/>
        <v>19330248.92391054</v>
      </c>
      <c r="CI28" s="57">
        <f t="shared" si="21"/>
        <v>5721624.0081000002</v>
      </c>
      <c r="CJ28" s="59">
        <f t="shared" si="95"/>
        <v>18914544.645976979</v>
      </c>
      <c r="CK28" s="55">
        <f t="shared" si="22"/>
        <v>5595874.0299000004</v>
      </c>
      <c r="CL28" s="59">
        <f t="shared" si="96"/>
        <v>18498840.368043423</v>
      </c>
      <c r="CM28" s="57">
        <f t="shared" si="23"/>
        <v>5470124.0516999997</v>
      </c>
      <c r="CN28" s="59">
        <f t="shared" si="97"/>
        <v>18083136.090109859</v>
      </c>
      <c r="CO28" s="60">
        <f t="shared" si="24"/>
        <v>5344374.0734999999</v>
      </c>
      <c r="CP28" s="59">
        <f t="shared" si="98"/>
        <v>17667431.812176298</v>
      </c>
      <c r="CQ28" s="57">
        <f t="shared" si="25"/>
        <v>5218624.0953000002</v>
      </c>
      <c r="CR28" s="59">
        <f t="shared" si="99"/>
        <v>17251727.534242742</v>
      </c>
      <c r="CS28" s="55">
        <f t="shared" si="26"/>
        <v>5092874.1170999995</v>
      </c>
      <c r="CT28" s="59">
        <f t="shared" si="100"/>
        <v>16836023.256309178</v>
      </c>
      <c r="CU28" s="60">
        <f t="shared" si="27"/>
        <v>4967124.1388999997</v>
      </c>
      <c r="CV28" s="59">
        <f t="shared" si="101"/>
        <v>16420318.978375619</v>
      </c>
      <c r="CW28" s="60">
        <f t="shared" si="28"/>
        <v>4841374.1606999999</v>
      </c>
      <c r="CX28" s="59">
        <f t="shared" si="102"/>
        <v>16004614.700442061</v>
      </c>
      <c r="CY28" s="60">
        <f t="shared" si="29"/>
        <v>4715624.1824999992</v>
      </c>
      <c r="CZ28" s="59">
        <f t="shared" si="103"/>
        <v>15588910.422508497</v>
      </c>
      <c r="DA28" s="55">
        <f t="shared" si="30"/>
        <v>4589874.2042999994</v>
      </c>
      <c r="DB28" s="59">
        <f t="shared" si="104"/>
        <v>15173206.144574938</v>
      </c>
      <c r="DC28" s="60">
        <f t="shared" si="31"/>
        <v>4464124.2260999996</v>
      </c>
      <c r="DD28" s="59">
        <f t="shared" si="105"/>
        <v>14757501.86664138</v>
      </c>
      <c r="DE28" s="60">
        <f t="shared" si="32"/>
        <v>4338374.2478999989</v>
      </c>
      <c r="DF28" s="59">
        <f t="shared" si="106"/>
        <v>14341797.588707816</v>
      </c>
      <c r="DG28" s="60">
        <f t="shared" si="33"/>
        <v>4212624.2696999991</v>
      </c>
      <c r="DH28" s="59">
        <f t="shared" si="107"/>
        <v>13926093.310774257</v>
      </c>
      <c r="DI28" s="60">
        <f t="shared" si="34"/>
        <v>4086874.2914999989</v>
      </c>
      <c r="DJ28" s="59">
        <f t="shared" si="108"/>
        <v>13510389.032840697</v>
      </c>
      <c r="DK28" s="55">
        <f t="shared" si="35"/>
        <v>3961124.3132999986</v>
      </c>
      <c r="DL28" s="59">
        <f t="shared" si="109"/>
        <v>13094684.754907135</v>
      </c>
      <c r="DM28" s="60">
        <f t="shared" si="36"/>
        <v>3835374.3350999984</v>
      </c>
      <c r="DN28" s="59">
        <f t="shared" si="110"/>
        <v>12678980.476973575</v>
      </c>
      <c r="DO28" s="60">
        <f t="shared" si="37"/>
        <v>3709624.3568999986</v>
      </c>
      <c r="DP28" s="59">
        <f t="shared" si="111"/>
        <v>12263276.199040016</v>
      </c>
      <c r="DQ28" s="55">
        <f t="shared" si="38"/>
        <v>3583874.3786999984</v>
      </c>
      <c r="DR28" s="59">
        <f t="shared" si="112"/>
        <v>11847571.921106454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3"/>
        <v>0.91</v>
      </c>
      <c r="DZ28" s="55">
        <f t="shared" si="113"/>
        <v>0.89</v>
      </c>
      <c r="EA28" s="55">
        <f t="shared" si="113"/>
        <v>0.87</v>
      </c>
      <c r="EB28" s="55">
        <f t="shared" si="113"/>
        <v>0.85</v>
      </c>
      <c r="EC28" s="55">
        <f t="shared" si="113"/>
        <v>0.83</v>
      </c>
      <c r="ED28" s="55">
        <f t="shared" si="113"/>
        <v>0.80999999999999994</v>
      </c>
      <c r="EE28" s="55">
        <f t="shared" si="113"/>
        <v>0.78999999999999992</v>
      </c>
      <c r="EF28" s="55">
        <f t="shared" si="113"/>
        <v>0.76999999999999991</v>
      </c>
      <c r="EG28" s="55">
        <f t="shared" si="113"/>
        <v>0.74999999999999989</v>
      </c>
      <c r="EH28" s="55">
        <f t="shared" si="113"/>
        <v>0.72999999999999987</v>
      </c>
      <c r="EI28" s="55">
        <f t="shared" si="113"/>
        <v>0.70999999999999985</v>
      </c>
      <c r="EJ28" s="55">
        <f t="shared" si="113"/>
        <v>0.68999999999999984</v>
      </c>
      <c r="EK28" s="55">
        <f t="shared" si="113"/>
        <v>0.66999999999999982</v>
      </c>
      <c r="EL28" s="55">
        <f t="shared" si="113"/>
        <v>0.6499999999999998</v>
      </c>
      <c r="EM28" s="55">
        <f t="shared" si="113"/>
        <v>0.62999999999999978</v>
      </c>
      <c r="EN28" s="55">
        <f t="shared" si="113"/>
        <v>0.60999999999999976</v>
      </c>
      <c r="EO28" s="55">
        <f t="shared" si="113"/>
        <v>0.58999999999999975</v>
      </c>
      <c r="EP28" s="55">
        <f t="shared" si="113"/>
        <v>0.56999999999999973</v>
      </c>
      <c r="ER28" s="55">
        <f>SUM(ER18:ER27)</f>
        <v>5491085.0841000006</v>
      </c>
      <c r="ES28" s="55">
        <f t="shared" si="115"/>
        <v>5491085.0841000006</v>
      </c>
      <c r="ET28" s="59">
        <f t="shared" si="116"/>
        <v>18152429.071017783</v>
      </c>
      <c r="EU28" s="55">
        <f t="shared" si="117"/>
        <v>5326352.5315770004</v>
      </c>
      <c r="EV28" s="59">
        <f t="shared" si="118"/>
        <v>17607856.198887248</v>
      </c>
      <c r="EW28" s="55">
        <f t="shared" si="119"/>
        <v>5216530.829895</v>
      </c>
      <c r="EX28" s="59">
        <f t="shared" si="120"/>
        <v>17244807.617466893</v>
      </c>
      <c r="EY28" s="55">
        <f t="shared" si="40"/>
        <v>5106709.1282130005</v>
      </c>
      <c r="EZ28" s="59">
        <f t="shared" si="121"/>
        <v>16881759.036046539</v>
      </c>
      <c r="FA28" s="57">
        <f t="shared" si="41"/>
        <v>4996887.426531001</v>
      </c>
      <c r="FB28" s="59">
        <f t="shared" si="122"/>
        <v>16518710.454626184</v>
      </c>
      <c r="FC28" s="55">
        <f t="shared" si="42"/>
        <v>4887065.7248490006</v>
      </c>
      <c r="FD28" s="59">
        <f t="shared" si="123"/>
        <v>16155661.873205826</v>
      </c>
      <c r="FE28" s="57">
        <f t="shared" si="43"/>
        <v>4777244.0231670002</v>
      </c>
      <c r="FF28" s="59">
        <f t="shared" si="124"/>
        <v>15792613.291785469</v>
      </c>
      <c r="FG28" s="60">
        <f t="shared" si="44"/>
        <v>4667422.3214850007</v>
      </c>
      <c r="FH28" s="59">
        <f t="shared" si="125"/>
        <v>15429564.710365115</v>
      </c>
      <c r="FI28" s="57">
        <f t="shared" si="45"/>
        <v>4557600.6198030002</v>
      </c>
      <c r="FJ28" s="59">
        <f t="shared" si="126"/>
        <v>15066516.128944758</v>
      </c>
      <c r="FK28" s="55">
        <f t="shared" si="46"/>
        <v>4447778.9181209998</v>
      </c>
      <c r="FL28" s="59">
        <f t="shared" si="127"/>
        <v>14703467.547524402</v>
      </c>
      <c r="FM28" s="60">
        <f t="shared" si="47"/>
        <v>4337957.2164390003</v>
      </c>
      <c r="FN28" s="59">
        <f t="shared" si="128"/>
        <v>14340418.966104047</v>
      </c>
      <c r="FO28" s="60">
        <f t="shared" si="48"/>
        <v>4228135.5147569999</v>
      </c>
      <c r="FP28" s="59">
        <f t="shared" si="129"/>
        <v>13977370.384683691</v>
      </c>
      <c r="FQ28" s="60">
        <f t="shared" si="49"/>
        <v>4118313.813075</v>
      </c>
      <c r="FR28" s="59">
        <f t="shared" si="130"/>
        <v>13614321.803263335</v>
      </c>
      <c r="FS28" s="55">
        <f t="shared" si="50"/>
        <v>4008492.1113929995</v>
      </c>
      <c r="FT28" s="59">
        <f t="shared" si="131"/>
        <v>13251273.221842978</v>
      </c>
      <c r="FU28" s="60">
        <f t="shared" si="51"/>
        <v>3898670.4097109996</v>
      </c>
      <c r="FV28" s="59">
        <f t="shared" si="132"/>
        <v>12888224.640422624</v>
      </c>
      <c r="FW28" s="60">
        <f t="shared" si="52"/>
        <v>3788848.7080289996</v>
      </c>
      <c r="FX28" s="59">
        <f t="shared" si="133"/>
        <v>12525176.059002267</v>
      </c>
      <c r="FY28" s="60">
        <f t="shared" si="53"/>
        <v>3679027.0063469992</v>
      </c>
      <c r="FZ28" s="59">
        <f t="shared" si="134"/>
        <v>12162127.477581911</v>
      </c>
      <c r="GA28" s="60">
        <f t="shared" si="54"/>
        <v>3569205.3046649992</v>
      </c>
      <c r="GB28" s="59">
        <f t="shared" si="135"/>
        <v>11799078.896161554</v>
      </c>
      <c r="GC28" s="55">
        <f t="shared" si="55"/>
        <v>3459383.6029829993</v>
      </c>
      <c r="GD28" s="59">
        <f t="shared" si="136"/>
        <v>11436030.3147412</v>
      </c>
      <c r="GE28" s="60">
        <f t="shared" si="56"/>
        <v>3349561.9013009989</v>
      </c>
      <c r="GF28" s="59">
        <f t="shared" si="137"/>
        <v>11072981.733320842</v>
      </c>
      <c r="GG28" s="60">
        <f t="shared" si="57"/>
        <v>3239740.1996189989</v>
      </c>
      <c r="GH28" s="59">
        <f t="shared" si="138"/>
        <v>10709933.151900487</v>
      </c>
      <c r="GI28" s="55">
        <f t="shared" si="58"/>
        <v>3129918.497936999</v>
      </c>
      <c r="GJ28" s="59">
        <f t="shared" si="139"/>
        <v>10346884.570480131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0"/>
        <v>0.91</v>
      </c>
      <c r="GR28" s="55">
        <f t="shared" si="140"/>
        <v>0.89</v>
      </c>
      <c r="GS28" s="55">
        <f t="shared" si="140"/>
        <v>0.87</v>
      </c>
      <c r="GT28" s="55">
        <f t="shared" si="140"/>
        <v>0.85</v>
      </c>
      <c r="GU28" s="55">
        <f t="shared" si="140"/>
        <v>0.83</v>
      </c>
      <c r="GV28" s="55">
        <f t="shared" si="140"/>
        <v>0.80999999999999994</v>
      </c>
      <c r="GW28" s="55">
        <f t="shared" si="140"/>
        <v>0.78999999999999992</v>
      </c>
      <c r="GX28" s="55">
        <f t="shared" si="140"/>
        <v>0.76999999999999991</v>
      </c>
      <c r="GY28" s="55">
        <f t="shared" si="140"/>
        <v>0.74999999999999989</v>
      </c>
      <c r="GZ28" s="55">
        <f t="shared" si="140"/>
        <v>0.72999999999999987</v>
      </c>
      <c r="HA28" s="55">
        <f t="shared" si="140"/>
        <v>0.70999999999999985</v>
      </c>
      <c r="HB28" s="55">
        <f t="shared" si="140"/>
        <v>0.68999999999999984</v>
      </c>
      <c r="HC28" s="55">
        <f t="shared" si="140"/>
        <v>0.66999999999999982</v>
      </c>
      <c r="HD28" s="55">
        <f t="shared" si="140"/>
        <v>0.6499999999999998</v>
      </c>
      <c r="HE28" s="55">
        <f t="shared" si="140"/>
        <v>0.62999999999999978</v>
      </c>
      <c r="HF28" s="55">
        <f t="shared" si="140"/>
        <v>0.60999999999999976</v>
      </c>
      <c r="HG28" s="55">
        <f t="shared" si="140"/>
        <v>0.58999999999999975</v>
      </c>
      <c r="HH28" s="55">
        <f t="shared" si="140"/>
        <v>0.56999999999999973</v>
      </c>
    </row>
    <row r="29" spans="1:216" s="64" customFormat="1" x14ac:dyDescent="0.3">
      <c r="C29" s="65"/>
      <c r="D29" s="65"/>
      <c r="E29" s="65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61" t="s">
        <v>273</v>
      </c>
      <c r="R29" s="61"/>
      <c r="S29" s="61" t="s">
        <v>274</v>
      </c>
      <c r="T29" s="62"/>
      <c r="U29" s="61" t="s">
        <v>275</v>
      </c>
      <c r="V29" s="63"/>
      <c r="W29" s="61" t="s">
        <v>276</v>
      </c>
      <c r="X29" s="62"/>
      <c r="Y29" s="61" t="s">
        <v>277</v>
      </c>
      <c r="Z29" s="61"/>
      <c r="AA29" s="61" t="s">
        <v>278</v>
      </c>
      <c r="AB29" s="63"/>
      <c r="AC29" s="61" t="s">
        <v>279</v>
      </c>
      <c r="AD29" s="63"/>
      <c r="AE29" s="61" t="s">
        <v>280</v>
      </c>
      <c r="AF29" s="63"/>
      <c r="AG29" s="61" t="s">
        <v>281</v>
      </c>
      <c r="AH29" s="61"/>
      <c r="AI29" s="61" t="s">
        <v>282</v>
      </c>
      <c r="AJ29" s="63"/>
      <c r="AK29" s="61" t="s">
        <v>283</v>
      </c>
      <c r="AL29" s="63"/>
      <c r="AM29" s="61" t="s">
        <v>284</v>
      </c>
      <c r="AN29" s="63"/>
      <c r="AO29" s="61" t="s">
        <v>285</v>
      </c>
      <c r="AP29" s="63"/>
      <c r="AQ29" s="61" t="s">
        <v>286</v>
      </c>
      <c r="AR29" s="61"/>
      <c r="AS29" s="61" t="s">
        <v>287</v>
      </c>
      <c r="AT29" s="63"/>
      <c r="AU29" s="61" t="s">
        <v>288</v>
      </c>
      <c r="AV29" s="63"/>
      <c r="AW29" s="61" t="s">
        <v>289</v>
      </c>
      <c r="AX29" s="61"/>
      <c r="AY29" s="61" t="s">
        <v>290</v>
      </c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>
        <f t="shared" si="87"/>
        <v>0</v>
      </c>
      <c r="CA29" s="61"/>
      <c r="CB29" s="61"/>
      <c r="CC29" s="61"/>
      <c r="CD29" s="61"/>
      <c r="CE29" s="61"/>
      <c r="CF29" s="61"/>
      <c r="CG29" s="61"/>
      <c r="CH29" s="62"/>
      <c r="CI29" s="61" t="s">
        <v>273</v>
      </c>
      <c r="CJ29" s="61"/>
      <c r="CK29" s="61" t="s">
        <v>274</v>
      </c>
      <c r="CL29" s="62"/>
      <c r="CM29" s="61" t="s">
        <v>275</v>
      </c>
      <c r="CN29" s="63"/>
      <c r="CO29" s="61" t="s">
        <v>276</v>
      </c>
      <c r="CP29" s="62"/>
      <c r="CQ29" s="61" t="s">
        <v>277</v>
      </c>
      <c r="CR29" s="61"/>
      <c r="CS29" s="61" t="s">
        <v>278</v>
      </c>
      <c r="CT29" s="63"/>
      <c r="CU29" s="61" t="s">
        <v>279</v>
      </c>
      <c r="CV29" s="63"/>
      <c r="CW29" s="61" t="s">
        <v>280</v>
      </c>
      <c r="CX29" s="63"/>
      <c r="CY29" s="61" t="s">
        <v>281</v>
      </c>
      <c r="CZ29" s="61"/>
      <c r="DA29" s="61" t="s">
        <v>282</v>
      </c>
      <c r="DB29" s="63"/>
      <c r="DC29" s="61" t="s">
        <v>283</v>
      </c>
      <c r="DD29" s="63"/>
      <c r="DE29" s="61" t="s">
        <v>284</v>
      </c>
      <c r="DF29" s="63"/>
      <c r="DG29" s="61" t="s">
        <v>285</v>
      </c>
      <c r="DH29" s="63"/>
      <c r="DI29" s="61" t="s">
        <v>286</v>
      </c>
      <c r="DJ29" s="61"/>
      <c r="DK29" s="61" t="s">
        <v>287</v>
      </c>
      <c r="DL29" s="63"/>
      <c r="DM29" s="61" t="s">
        <v>288</v>
      </c>
      <c r="DN29" s="63"/>
      <c r="DO29" s="61" t="s">
        <v>289</v>
      </c>
      <c r="DP29" s="61"/>
      <c r="DQ29" s="61" t="s">
        <v>290</v>
      </c>
      <c r="DR29" s="61"/>
      <c r="DS29" s="61"/>
      <c r="DT29" s="61"/>
      <c r="DU29" s="61">
        <v>1</v>
      </c>
      <c r="DV29" s="61">
        <v>0.97</v>
      </c>
      <c r="DW29" s="61">
        <v>0.95</v>
      </c>
      <c r="DX29" s="61">
        <v>0.93</v>
      </c>
      <c r="DY29" s="61">
        <f t="shared" si="113"/>
        <v>0.91</v>
      </c>
      <c r="DZ29" s="61">
        <f t="shared" si="113"/>
        <v>0.89</v>
      </c>
      <c r="EA29" s="61">
        <f t="shared" si="113"/>
        <v>0.87</v>
      </c>
      <c r="EB29" s="61">
        <f t="shared" si="113"/>
        <v>0.85</v>
      </c>
      <c r="EC29" s="61">
        <f t="shared" si="113"/>
        <v>0.83</v>
      </c>
      <c r="ED29" s="61">
        <f t="shared" si="113"/>
        <v>0.80999999999999994</v>
      </c>
      <c r="EE29" s="61">
        <f t="shared" si="113"/>
        <v>0.78999999999999992</v>
      </c>
      <c r="EF29" s="61">
        <f t="shared" si="113"/>
        <v>0.76999999999999991</v>
      </c>
      <c r="EG29" s="61">
        <f t="shared" si="113"/>
        <v>0.74999999999999989</v>
      </c>
      <c r="EH29" s="61">
        <f t="shared" si="113"/>
        <v>0.72999999999999987</v>
      </c>
      <c r="EI29" s="61">
        <f t="shared" si="113"/>
        <v>0.70999999999999985</v>
      </c>
      <c r="EJ29" s="61">
        <f t="shared" si="113"/>
        <v>0.68999999999999984</v>
      </c>
      <c r="EK29" s="61">
        <f t="shared" si="113"/>
        <v>0.66999999999999982</v>
      </c>
      <c r="EL29" s="61">
        <f t="shared" si="113"/>
        <v>0.6499999999999998</v>
      </c>
      <c r="EM29" s="61">
        <f t="shared" si="113"/>
        <v>0.62999999999999978</v>
      </c>
      <c r="EN29" s="61">
        <f t="shared" si="113"/>
        <v>0.60999999999999976</v>
      </c>
      <c r="EO29" s="61">
        <f t="shared" si="113"/>
        <v>0.58999999999999975</v>
      </c>
      <c r="EP29" s="64">
        <f t="shared" si="113"/>
        <v>0.56999999999999973</v>
      </c>
      <c r="EQ29" s="61"/>
      <c r="ER29" s="61">
        <f t="shared" ref="ER29:ER93" si="141">+BZ29*0.91</f>
        <v>0</v>
      </c>
      <c r="ES29" s="61"/>
      <c r="ET29" s="61"/>
      <c r="EU29" s="61"/>
      <c r="EV29" s="61"/>
      <c r="EW29" s="61"/>
      <c r="EX29" s="61"/>
      <c r="EY29" s="61"/>
      <c r="EZ29" s="62"/>
      <c r="FA29" s="61" t="s">
        <v>273</v>
      </c>
      <c r="FB29" s="61"/>
      <c r="FC29" s="61" t="s">
        <v>274</v>
      </c>
      <c r="FD29" s="62"/>
      <c r="FE29" s="61" t="s">
        <v>275</v>
      </c>
      <c r="FF29" s="63"/>
      <c r="FG29" s="61" t="s">
        <v>276</v>
      </c>
      <c r="FH29" s="62"/>
      <c r="FI29" s="61" t="s">
        <v>277</v>
      </c>
      <c r="FJ29" s="61"/>
      <c r="FK29" s="61" t="s">
        <v>278</v>
      </c>
      <c r="FL29" s="63"/>
      <c r="FM29" s="61" t="s">
        <v>279</v>
      </c>
      <c r="FN29" s="63"/>
      <c r="FO29" s="61" t="s">
        <v>280</v>
      </c>
      <c r="FP29" s="63"/>
      <c r="FQ29" s="61" t="s">
        <v>281</v>
      </c>
      <c r="FR29" s="61"/>
      <c r="FS29" s="61" t="s">
        <v>282</v>
      </c>
      <c r="FT29" s="63"/>
      <c r="FU29" s="61" t="s">
        <v>283</v>
      </c>
      <c r="FV29" s="63"/>
      <c r="FW29" s="61" t="s">
        <v>284</v>
      </c>
      <c r="FX29" s="63"/>
      <c r="FY29" s="61" t="s">
        <v>285</v>
      </c>
      <c r="FZ29" s="63"/>
      <c r="GA29" s="61" t="s">
        <v>286</v>
      </c>
      <c r="GB29" s="61"/>
      <c r="GC29" s="61" t="s">
        <v>287</v>
      </c>
      <c r="GD29" s="63"/>
      <c r="GE29" s="61" t="s">
        <v>288</v>
      </c>
      <c r="GF29" s="63"/>
      <c r="GG29" s="61" t="s">
        <v>289</v>
      </c>
      <c r="GH29" s="61"/>
      <c r="GI29" s="61" t="s">
        <v>290</v>
      </c>
      <c r="GJ29" s="61"/>
      <c r="GK29" s="61"/>
      <c r="GL29" s="61"/>
      <c r="GM29" s="61">
        <v>1</v>
      </c>
      <c r="GN29" s="61">
        <v>0.97</v>
      </c>
      <c r="GO29" s="61">
        <v>0.95</v>
      </c>
      <c r="GP29" s="61">
        <v>0.93</v>
      </c>
      <c r="GQ29" s="61">
        <f t="shared" si="140"/>
        <v>0.91</v>
      </c>
      <c r="GR29" s="61">
        <f t="shared" si="140"/>
        <v>0.89</v>
      </c>
      <c r="GS29" s="61">
        <f t="shared" si="140"/>
        <v>0.87</v>
      </c>
      <c r="GT29" s="61">
        <f t="shared" si="140"/>
        <v>0.85</v>
      </c>
      <c r="GU29" s="61">
        <f t="shared" si="140"/>
        <v>0.83</v>
      </c>
      <c r="GV29" s="61">
        <f t="shared" si="140"/>
        <v>0.80999999999999994</v>
      </c>
      <c r="GW29" s="61">
        <f t="shared" si="140"/>
        <v>0.78999999999999992</v>
      </c>
      <c r="GX29" s="61">
        <f t="shared" si="140"/>
        <v>0.76999999999999991</v>
      </c>
      <c r="GY29" s="61">
        <f t="shared" si="140"/>
        <v>0.74999999999999989</v>
      </c>
      <c r="GZ29" s="61">
        <f t="shared" si="140"/>
        <v>0.72999999999999987</v>
      </c>
      <c r="HA29" s="61">
        <f t="shared" si="140"/>
        <v>0.70999999999999985</v>
      </c>
      <c r="HB29" s="61">
        <f t="shared" si="140"/>
        <v>0.68999999999999984</v>
      </c>
      <c r="HC29" s="61">
        <f t="shared" si="140"/>
        <v>0.66999999999999982</v>
      </c>
      <c r="HD29" s="61">
        <f t="shared" si="140"/>
        <v>0.6499999999999998</v>
      </c>
      <c r="HE29" s="61">
        <f t="shared" si="140"/>
        <v>0.62999999999999978</v>
      </c>
      <c r="HF29" s="61">
        <f t="shared" si="140"/>
        <v>0.60999999999999976</v>
      </c>
      <c r="HG29" s="61">
        <f t="shared" si="140"/>
        <v>0.58999999999999975</v>
      </c>
      <c r="HH29" s="64">
        <f t="shared" si="140"/>
        <v>0.56999999999999973</v>
      </c>
    </row>
    <row r="30" spans="1:216" s="64" customFormat="1" ht="17.25" thickBot="1" x14ac:dyDescent="0.35">
      <c r="B30" s="64" t="s">
        <v>12</v>
      </c>
      <c r="C30" s="64" t="s">
        <v>293</v>
      </c>
      <c r="D30" s="65" t="s">
        <v>271</v>
      </c>
      <c r="E30" s="65" t="s">
        <v>314</v>
      </c>
      <c r="G30" s="61"/>
      <c r="H30" s="61"/>
      <c r="I30" s="61"/>
      <c r="J30" s="61"/>
      <c r="K30" s="61"/>
      <c r="L30" s="61"/>
      <c r="M30" s="61"/>
      <c r="N30" s="61"/>
      <c r="O30" s="61"/>
      <c r="P30" s="62"/>
      <c r="Q30" s="61"/>
      <c r="R30" s="61"/>
      <c r="S30" s="61"/>
      <c r="T30" s="62"/>
      <c r="U30" s="61"/>
      <c r="V30" s="63"/>
      <c r="W30" s="61"/>
      <c r="X30" s="62"/>
      <c r="Y30" s="61"/>
      <c r="Z30" s="61"/>
      <c r="AA30" s="61"/>
      <c r="AB30" s="63"/>
      <c r="AC30" s="61"/>
      <c r="AD30" s="63"/>
      <c r="AE30" s="61"/>
      <c r="AF30" s="63"/>
      <c r="AG30" s="61"/>
      <c r="AH30" s="61"/>
      <c r="AI30" s="61"/>
      <c r="AJ30" s="63"/>
      <c r="AK30" s="61"/>
      <c r="AL30" s="63"/>
      <c r="AM30" s="61"/>
      <c r="AN30" s="63"/>
      <c r="AO30" s="61"/>
      <c r="AP30" s="63"/>
      <c r="AQ30" s="61"/>
      <c r="AR30" s="61"/>
      <c r="AS30" s="61"/>
      <c r="AT30" s="63"/>
      <c r="AU30" s="61"/>
      <c r="AV30" s="63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>
        <f t="shared" si="87"/>
        <v>0</v>
      </c>
      <c r="CA30" s="61"/>
      <c r="CB30" s="61"/>
      <c r="CC30" s="61"/>
      <c r="CD30" s="61"/>
      <c r="CE30" s="61"/>
      <c r="CF30" s="61"/>
      <c r="CG30" s="61"/>
      <c r="CH30" s="62"/>
      <c r="CI30" s="61"/>
      <c r="CJ30" s="61"/>
      <c r="CK30" s="61"/>
      <c r="CL30" s="62"/>
      <c r="CM30" s="61"/>
      <c r="CN30" s="63"/>
      <c r="CO30" s="61"/>
      <c r="CP30" s="62"/>
      <c r="CQ30" s="61"/>
      <c r="CR30" s="61"/>
      <c r="CS30" s="61"/>
      <c r="CT30" s="63"/>
      <c r="CU30" s="61"/>
      <c r="CV30" s="63"/>
      <c r="CW30" s="61"/>
      <c r="CX30" s="63"/>
      <c r="CY30" s="61"/>
      <c r="CZ30" s="61"/>
      <c r="DA30" s="61"/>
      <c r="DB30" s="63"/>
      <c r="DC30" s="61"/>
      <c r="DD30" s="63"/>
      <c r="DE30" s="61"/>
      <c r="DF30" s="63"/>
      <c r="DG30" s="61"/>
      <c r="DH30" s="63"/>
      <c r="DI30" s="61"/>
      <c r="DJ30" s="61"/>
      <c r="DK30" s="61"/>
      <c r="DL30" s="63"/>
      <c r="DM30" s="61"/>
      <c r="DN30" s="63"/>
      <c r="DO30" s="61"/>
      <c r="DP30" s="61"/>
      <c r="DQ30" s="61"/>
      <c r="DR30" s="61"/>
      <c r="DS30" s="61"/>
      <c r="DT30" s="61"/>
      <c r="DU30" s="61">
        <v>1</v>
      </c>
      <c r="DV30" s="61">
        <v>0.97</v>
      </c>
      <c r="DW30" s="61">
        <v>0.95</v>
      </c>
      <c r="DX30" s="61">
        <v>0.93</v>
      </c>
      <c r="DY30" s="61">
        <f t="shared" si="113"/>
        <v>0.91</v>
      </c>
      <c r="DZ30" s="61">
        <f t="shared" si="113"/>
        <v>0.89</v>
      </c>
      <c r="EA30" s="61">
        <f t="shared" si="113"/>
        <v>0.87</v>
      </c>
      <c r="EB30" s="61">
        <f t="shared" si="113"/>
        <v>0.85</v>
      </c>
      <c r="EC30" s="61">
        <f t="shared" si="113"/>
        <v>0.83</v>
      </c>
      <c r="ED30" s="61">
        <f t="shared" si="113"/>
        <v>0.80999999999999994</v>
      </c>
      <c r="EE30" s="61">
        <f t="shared" si="113"/>
        <v>0.78999999999999992</v>
      </c>
      <c r="EF30" s="61">
        <f t="shared" si="113"/>
        <v>0.76999999999999991</v>
      </c>
      <c r="EG30" s="61">
        <f t="shared" si="113"/>
        <v>0.74999999999999989</v>
      </c>
      <c r="EH30" s="61">
        <f t="shared" si="113"/>
        <v>0.72999999999999987</v>
      </c>
      <c r="EI30" s="61">
        <f t="shared" si="113"/>
        <v>0.70999999999999985</v>
      </c>
      <c r="EJ30" s="61">
        <f t="shared" si="113"/>
        <v>0.68999999999999984</v>
      </c>
      <c r="EK30" s="61">
        <f t="shared" si="113"/>
        <v>0.66999999999999982</v>
      </c>
      <c r="EL30" s="61">
        <f t="shared" si="113"/>
        <v>0.6499999999999998</v>
      </c>
      <c r="EM30" s="61">
        <f t="shared" si="113"/>
        <v>0.62999999999999978</v>
      </c>
      <c r="EN30" s="61">
        <f t="shared" si="113"/>
        <v>0.60999999999999976</v>
      </c>
      <c r="EO30" s="61">
        <f t="shared" si="113"/>
        <v>0.58999999999999975</v>
      </c>
      <c r="EP30" s="64">
        <f t="shared" si="113"/>
        <v>0.56999999999999973</v>
      </c>
      <c r="EQ30" s="61"/>
      <c r="ER30" s="61">
        <f t="shared" si="141"/>
        <v>0</v>
      </c>
      <c r="ES30" s="61"/>
      <c r="ET30" s="61"/>
      <c r="EU30" s="61"/>
      <c r="EV30" s="61"/>
      <c r="EW30" s="61"/>
      <c r="EX30" s="61"/>
      <c r="EY30" s="61"/>
      <c r="EZ30" s="62"/>
      <c r="FA30" s="61"/>
      <c r="FB30" s="61"/>
      <c r="FC30" s="61"/>
      <c r="FD30" s="62"/>
      <c r="FE30" s="61"/>
      <c r="FF30" s="63"/>
      <c r="FG30" s="61"/>
      <c r="FH30" s="62"/>
      <c r="FI30" s="61"/>
      <c r="FJ30" s="61"/>
      <c r="FK30" s="61"/>
      <c r="FL30" s="63"/>
      <c r="FM30" s="61"/>
      <c r="FN30" s="63"/>
      <c r="FO30" s="61"/>
      <c r="FP30" s="63"/>
      <c r="FQ30" s="61"/>
      <c r="FR30" s="61"/>
      <c r="FS30" s="61"/>
      <c r="FT30" s="63"/>
      <c r="FU30" s="61"/>
      <c r="FV30" s="63"/>
      <c r="FW30" s="61"/>
      <c r="FX30" s="63"/>
      <c r="FY30" s="61"/>
      <c r="FZ30" s="63"/>
      <c r="GA30" s="61"/>
      <c r="GB30" s="61"/>
      <c r="GC30" s="61"/>
      <c r="GD30" s="63"/>
      <c r="GE30" s="61"/>
      <c r="GF30" s="63"/>
      <c r="GG30" s="61"/>
      <c r="GH30" s="61"/>
      <c r="GI30" s="61"/>
      <c r="GJ30" s="61"/>
      <c r="GK30" s="61"/>
      <c r="GL30" s="61"/>
      <c r="GM30" s="61">
        <v>1</v>
      </c>
      <c r="GN30" s="61">
        <v>0.97</v>
      </c>
      <c r="GO30" s="61">
        <v>0.95</v>
      </c>
      <c r="GP30" s="61">
        <v>0.93</v>
      </c>
      <c r="GQ30" s="61">
        <f t="shared" si="140"/>
        <v>0.91</v>
      </c>
      <c r="GR30" s="61">
        <f t="shared" si="140"/>
        <v>0.89</v>
      </c>
      <c r="GS30" s="61">
        <f t="shared" si="140"/>
        <v>0.87</v>
      </c>
      <c r="GT30" s="61">
        <f t="shared" si="140"/>
        <v>0.85</v>
      </c>
      <c r="GU30" s="61">
        <f t="shared" si="140"/>
        <v>0.83</v>
      </c>
      <c r="GV30" s="61">
        <f t="shared" si="140"/>
        <v>0.80999999999999994</v>
      </c>
      <c r="GW30" s="61">
        <f t="shared" si="140"/>
        <v>0.78999999999999992</v>
      </c>
      <c r="GX30" s="61">
        <f t="shared" si="140"/>
        <v>0.76999999999999991</v>
      </c>
      <c r="GY30" s="61">
        <f t="shared" si="140"/>
        <v>0.74999999999999989</v>
      </c>
      <c r="GZ30" s="61">
        <f t="shared" si="140"/>
        <v>0.72999999999999987</v>
      </c>
      <c r="HA30" s="61">
        <f t="shared" si="140"/>
        <v>0.70999999999999985</v>
      </c>
      <c r="HB30" s="61">
        <f t="shared" si="140"/>
        <v>0.68999999999999984</v>
      </c>
      <c r="HC30" s="61">
        <f t="shared" si="140"/>
        <v>0.66999999999999982</v>
      </c>
      <c r="HD30" s="61">
        <f t="shared" si="140"/>
        <v>0.6499999999999998</v>
      </c>
      <c r="HE30" s="61">
        <f t="shared" si="140"/>
        <v>0.62999999999999978</v>
      </c>
      <c r="HF30" s="61">
        <f t="shared" si="140"/>
        <v>0.60999999999999976</v>
      </c>
      <c r="HG30" s="61">
        <f t="shared" si="140"/>
        <v>0.58999999999999975</v>
      </c>
      <c r="HH30" s="64">
        <f t="shared" si="140"/>
        <v>0.56999999999999973</v>
      </c>
    </row>
    <row r="31" spans="1:216" ht="17.25" thickBot="1" x14ac:dyDescent="0.35">
      <c r="C31" s="38" t="s">
        <v>144</v>
      </c>
      <c r="D31" s="52">
        <v>0</v>
      </c>
      <c r="E31" s="84">
        <f>TRUNC(+D31*3.3058,-1)</f>
        <v>0</v>
      </c>
      <c r="H31" s="55">
        <f t="shared" si="60"/>
        <v>0</v>
      </c>
      <c r="I31" s="55">
        <f t="shared" si="61"/>
        <v>0</v>
      </c>
      <c r="J31" s="59">
        <f t="shared" si="62"/>
        <v>0</v>
      </c>
      <c r="K31" s="55">
        <f>+I31*BD31</f>
        <v>0</v>
      </c>
      <c r="L31" s="59">
        <f>+K31*3.3058</f>
        <v>0</v>
      </c>
      <c r="M31" s="55">
        <f>+I31*BE31</f>
        <v>0</v>
      </c>
      <c r="N31" s="59">
        <f>+M31*3.3058</f>
        <v>0</v>
      </c>
      <c r="O31" s="55">
        <f>+I31*BF31</f>
        <v>0</v>
      </c>
      <c r="P31" s="59">
        <f>+O31*3.3058</f>
        <v>0</v>
      </c>
      <c r="Q31" s="57">
        <f>+I31*BG31</f>
        <v>0</v>
      </c>
      <c r="R31" s="59">
        <f>+Q31*3.3058</f>
        <v>0</v>
      </c>
      <c r="S31" s="55">
        <f>+I31*BH31</f>
        <v>0</v>
      </c>
      <c r="T31" s="59">
        <f>+S31*3.3058</f>
        <v>0</v>
      </c>
      <c r="U31" s="57">
        <f>+I31*BI31</f>
        <v>0</v>
      </c>
      <c r="V31" s="59">
        <f>+U31*3.3058</f>
        <v>0</v>
      </c>
      <c r="W31" s="60">
        <f>+I31*BJ31</f>
        <v>0</v>
      </c>
      <c r="X31" s="59">
        <f>+W31*3.3058</f>
        <v>0</v>
      </c>
      <c r="Y31" s="57">
        <f>+I31*BK31</f>
        <v>0</v>
      </c>
      <c r="Z31" s="59">
        <f>+Y31*3.3058</f>
        <v>0</v>
      </c>
      <c r="AA31" s="55">
        <f>+I31*BL31</f>
        <v>0</v>
      </c>
      <c r="AB31" s="59">
        <f>+AA31*3.3058</f>
        <v>0</v>
      </c>
      <c r="AC31" s="60">
        <f>+I31*BM31</f>
        <v>0</v>
      </c>
      <c r="AD31" s="59">
        <f>+AC31*3.3058</f>
        <v>0</v>
      </c>
      <c r="AE31" s="60">
        <f>+I31*BN31</f>
        <v>0</v>
      </c>
      <c r="AF31" s="59">
        <f>+AE31*3.3058</f>
        <v>0</v>
      </c>
      <c r="AG31" s="60">
        <f>+I31*BO31</f>
        <v>0</v>
      </c>
      <c r="AH31" s="59">
        <f>+AG31*3.3058</f>
        <v>0</v>
      </c>
      <c r="AI31" s="55">
        <f>+I31*BP31</f>
        <v>0</v>
      </c>
      <c r="AJ31" s="59">
        <f>+AI31*3.3058</f>
        <v>0</v>
      </c>
      <c r="AK31" s="60">
        <f>+I31*BQ31</f>
        <v>0</v>
      </c>
      <c r="AL31" s="59">
        <f>+AK31*3.3058</f>
        <v>0</v>
      </c>
      <c r="AM31" s="60">
        <f>+I31*BR31</f>
        <v>0</v>
      </c>
      <c r="AN31" s="59">
        <f>+AM31*3.3058</f>
        <v>0</v>
      </c>
      <c r="AO31" s="60">
        <f>+I31*BS31</f>
        <v>0</v>
      </c>
      <c r="AP31" s="59">
        <f>+AO31*3.3058</f>
        <v>0</v>
      </c>
      <c r="AQ31" s="60">
        <f>+I31*BT31</f>
        <v>0</v>
      </c>
      <c r="AR31" s="59">
        <f>+AQ31*3.3058</f>
        <v>0</v>
      </c>
      <c r="AS31" s="55">
        <f>+I31*BU31</f>
        <v>0</v>
      </c>
      <c r="AT31" s="59">
        <f>+AS31*3.3058</f>
        <v>0</v>
      </c>
      <c r="AU31" s="60">
        <f>+I31*BV31</f>
        <v>0</v>
      </c>
      <c r="AV31" s="59">
        <f>+AU31*3.3058</f>
        <v>0</v>
      </c>
      <c r="AW31" s="60">
        <f>+I31*BW31</f>
        <v>0</v>
      </c>
      <c r="AX31" s="59">
        <f>+AW31*3.3058</f>
        <v>0</v>
      </c>
      <c r="AY31" s="55">
        <f>+I31*BX31</f>
        <v>0</v>
      </c>
      <c r="AZ31" s="59">
        <f>+AY31*3.3058</f>
        <v>0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ref="BG31:BX45" si="142">+BF31-0.02</f>
        <v>0.91</v>
      </c>
      <c r="BH31" s="55">
        <f t="shared" si="142"/>
        <v>0.89</v>
      </c>
      <c r="BI31" s="55">
        <f t="shared" si="142"/>
        <v>0.87</v>
      </c>
      <c r="BJ31" s="55">
        <f t="shared" si="142"/>
        <v>0.85</v>
      </c>
      <c r="BK31" s="55">
        <f t="shared" si="142"/>
        <v>0.83</v>
      </c>
      <c r="BL31" s="55">
        <f t="shared" si="142"/>
        <v>0.80999999999999994</v>
      </c>
      <c r="BM31" s="55">
        <f t="shared" si="142"/>
        <v>0.78999999999999992</v>
      </c>
      <c r="BN31" s="55">
        <f t="shared" si="142"/>
        <v>0.76999999999999991</v>
      </c>
      <c r="BO31" s="55">
        <f t="shared" si="142"/>
        <v>0.74999999999999989</v>
      </c>
      <c r="BP31" s="55">
        <f t="shared" si="142"/>
        <v>0.72999999999999987</v>
      </c>
      <c r="BQ31" s="55">
        <f t="shared" si="142"/>
        <v>0.70999999999999985</v>
      </c>
      <c r="BR31" s="55">
        <f t="shared" si="142"/>
        <v>0.68999999999999984</v>
      </c>
      <c r="BS31" s="55">
        <f t="shared" si="142"/>
        <v>0.66999999999999982</v>
      </c>
      <c r="BT31" s="55">
        <f t="shared" si="142"/>
        <v>0.6499999999999998</v>
      </c>
      <c r="BU31" s="55">
        <f t="shared" si="142"/>
        <v>0.62999999999999978</v>
      </c>
      <c r="BV31" s="55">
        <f t="shared" si="142"/>
        <v>0.60999999999999976</v>
      </c>
      <c r="BW31" s="55">
        <f t="shared" si="142"/>
        <v>0.58999999999999975</v>
      </c>
      <c r="BX31" s="55">
        <f t="shared" si="142"/>
        <v>0.56999999999999973</v>
      </c>
      <c r="BZ31" s="55">
        <f t="shared" si="87"/>
        <v>0</v>
      </c>
      <c r="CA31" s="55">
        <f t="shared" si="88"/>
        <v>0</v>
      </c>
      <c r="CB31" s="59">
        <f t="shared" ref="CB31" si="143">+CA31*3.3058</f>
        <v>0</v>
      </c>
      <c r="CC31" s="55">
        <f>+CA31*DV31</f>
        <v>0</v>
      </c>
      <c r="CD31" s="59">
        <f>+CC31*3.3058</f>
        <v>0</v>
      </c>
      <c r="CE31" s="55">
        <f>+CA31*DW31</f>
        <v>0</v>
      </c>
      <c r="CF31" s="59">
        <f>+CE31*3.3058</f>
        <v>0</v>
      </c>
      <c r="CG31" s="55">
        <f>+CA31*DX31</f>
        <v>0</v>
      </c>
      <c r="CH31" s="59">
        <f>+CG31*3.3058</f>
        <v>0</v>
      </c>
      <c r="CI31" s="57">
        <f>+CA31*DY31</f>
        <v>0</v>
      </c>
      <c r="CJ31" s="59">
        <f>+CI31*3.3058</f>
        <v>0</v>
      </c>
      <c r="CK31" s="55">
        <f>+CA31*DZ31</f>
        <v>0</v>
      </c>
      <c r="CL31" s="59">
        <f>+CK31*3.3058</f>
        <v>0</v>
      </c>
      <c r="CM31" s="57">
        <f>+CA31*EA31</f>
        <v>0</v>
      </c>
      <c r="CN31" s="59">
        <f>+CM31*3.3058</f>
        <v>0</v>
      </c>
      <c r="CO31" s="60">
        <f>+CA31*EB31</f>
        <v>0</v>
      </c>
      <c r="CP31" s="59">
        <f>+CO31*3.3058</f>
        <v>0</v>
      </c>
      <c r="CQ31" s="57">
        <f>+CA31*EC31</f>
        <v>0</v>
      </c>
      <c r="CR31" s="59">
        <f>+CQ31*3.3058</f>
        <v>0</v>
      </c>
      <c r="CS31" s="55">
        <f>+CA31*ED31</f>
        <v>0</v>
      </c>
      <c r="CT31" s="59">
        <f>+CS31*3.3058</f>
        <v>0</v>
      </c>
      <c r="CU31" s="60">
        <f>+CA31*EE31</f>
        <v>0</v>
      </c>
      <c r="CV31" s="59">
        <f>+CU31*3.3058</f>
        <v>0</v>
      </c>
      <c r="CW31" s="60">
        <f>+CA31*EF31</f>
        <v>0</v>
      </c>
      <c r="CX31" s="59">
        <f>+CW31*3.3058</f>
        <v>0</v>
      </c>
      <c r="CY31" s="60">
        <f>+CA31*EG31</f>
        <v>0</v>
      </c>
      <c r="CZ31" s="59">
        <f>+CY31*3.3058</f>
        <v>0</v>
      </c>
      <c r="DA31" s="55">
        <f>+CA31*EH31</f>
        <v>0</v>
      </c>
      <c r="DB31" s="59">
        <f>+DA31*3.3058</f>
        <v>0</v>
      </c>
      <c r="DC31" s="60">
        <f>+CA31*EI31</f>
        <v>0</v>
      </c>
      <c r="DD31" s="59">
        <f>+DC31*3.3058</f>
        <v>0</v>
      </c>
      <c r="DE31" s="60">
        <f>+CA31*EJ31</f>
        <v>0</v>
      </c>
      <c r="DF31" s="59">
        <f>+DE31*3.3058</f>
        <v>0</v>
      </c>
      <c r="DG31" s="60">
        <f>+CA31*EK31</f>
        <v>0</v>
      </c>
      <c r="DH31" s="59">
        <f>+DG31*3.3058</f>
        <v>0</v>
      </c>
      <c r="DI31" s="60">
        <f>+CA31*EL31</f>
        <v>0</v>
      </c>
      <c r="DJ31" s="59">
        <f>+DI31*3.3058</f>
        <v>0</v>
      </c>
      <c r="DK31" s="55">
        <f>+CA31*EM31</f>
        <v>0</v>
      </c>
      <c r="DL31" s="59">
        <f>+DK31*3.3058</f>
        <v>0</v>
      </c>
      <c r="DM31" s="60">
        <f>+CA31*EN31</f>
        <v>0</v>
      </c>
      <c r="DN31" s="59">
        <f>+DM31*3.3058</f>
        <v>0</v>
      </c>
      <c r="DO31" s="60">
        <f>+CA31*EO31</f>
        <v>0</v>
      </c>
      <c r="DP31" s="59">
        <f>+DO31*3.3058</f>
        <v>0</v>
      </c>
      <c r="DQ31" s="55">
        <f>+CA31*EP31</f>
        <v>0</v>
      </c>
      <c r="DR31" s="59">
        <f>+DQ31*3.3058</f>
        <v>0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3"/>
        <v>0.91</v>
      </c>
      <c r="DZ31" s="55">
        <f t="shared" si="113"/>
        <v>0.89</v>
      </c>
      <c r="EA31" s="55">
        <f t="shared" si="113"/>
        <v>0.87</v>
      </c>
      <c r="EB31" s="55">
        <f t="shared" si="113"/>
        <v>0.85</v>
      </c>
      <c r="EC31" s="55">
        <f t="shared" si="113"/>
        <v>0.83</v>
      </c>
      <c r="ED31" s="55">
        <f t="shared" si="113"/>
        <v>0.80999999999999994</v>
      </c>
      <c r="EE31" s="55">
        <f t="shared" si="113"/>
        <v>0.78999999999999992</v>
      </c>
      <c r="EF31" s="55">
        <f t="shared" si="113"/>
        <v>0.76999999999999991</v>
      </c>
      <c r="EG31" s="55">
        <f t="shared" si="113"/>
        <v>0.74999999999999989</v>
      </c>
      <c r="EH31" s="55">
        <f t="shared" si="113"/>
        <v>0.72999999999999987</v>
      </c>
      <c r="EI31" s="55">
        <f t="shared" si="113"/>
        <v>0.70999999999999985</v>
      </c>
      <c r="EJ31" s="55">
        <f t="shared" si="113"/>
        <v>0.68999999999999984</v>
      </c>
      <c r="EK31" s="55">
        <f t="shared" si="113"/>
        <v>0.66999999999999982</v>
      </c>
      <c r="EL31" s="55">
        <f t="shared" si="113"/>
        <v>0.6499999999999998</v>
      </c>
      <c r="EM31" s="55">
        <f t="shared" si="113"/>
        <v>0.62999999999999978</v>
      </c>
      <c r="EN31" s="55">
        <f t="shared" si="113"/>
        <v>0.60999999999999976</v>
      </c>
      <c r="EO31" s="55">
        <f t="shared" si="113"/>
        <v>0.58999999999999975</v>
      </c>
      <c r="EP31" s="55">
        <f t="shared" si="113"/>
        <v>0.56999999999999973</v>
      </c>
      <c r="ER31" s="55">
        <f t="shared" si="141"/>
        <v>0</v>
      </c>
      <c r="ES31" s="55">
        <f t="shared" si="115"/>
        <v>0</v>
      </c>
      <c r="ET31" s="59">
        <f t="shared" ref="ET31" si="144">+ES31*3.3058</f>
        <v>0</v>
      </c>
      <c r="EU31" s="55">
        <f>+ES31*GN31</f>
        <v>0</v>
      </c>
      <c r="EV31" s="59">
        <f>+EU31*3.3058</f>
        <v>0</v>
      </c>
      <c r="EW31" s="55">
        <f>+ES31*GO31</f>
        <v>0</v>
      </c>
      <c r="EX31" s="59">
        <f>+EW31*3.3058</f>
        <v>0</v>
      </c>
      <c r="EY31" s="55">
        <f>+ES31*GP31</f>
        <v>0</v>
      </c>
      <c r="EZ31" s="59">
        <f>+EY31*3.3058</f>
        <v>0</v>
      </c>
      <c r="FA31" s="57">
        <f>+ES31*GQ31</f>
        <v>0</v>
      </c>
      <c r="FB31" s="59">
        <f>+FA31*3.3058</f>
        <v>0</v>
      </c>
      <c r="FC31" s="55">
        <f>+ES31*GR31</f>
        <v>0</v>
      </c>
      <c r="FD31" s="59">
        <f>+FC31*3.3058</f>
        <v>0</v>
      </c>
      <c r="FE31" s="57">
        <f>+ES31*GS31</f>
        <v>0</v>
      </c>
      <c r="FF31" s="59">
        <f>+FE31*3.3058</f>
        <v>0</v>
      </c>
      <c r="FG31" s="60">
        <f>+ES31*GT31</f>
        <v>0</v>
      </c>
      <c r="FH31" s="59">
        <f>+FG31*3.3058</f>
        <v>0</v>
      </c>
      <c r="FI31" s="57">
        <f>+ES31*GU31</f>
        <v>0</v>
      </c>
      <c r="FJ31" s="59">
        <f>+FI31*3.3058</f>
        <v>0</v>
      </c>
      <c r="FK31" s="55">
        <f>+ES31*GV31</f>
        <v>0</v>
      </c>
      <c r="FL31" s="59">
        <f>+FK31*3.3058</f>
        <v>0</v>
      </c>
      <c r="FM31" s="60">
        <f>+ES31*GW31</f>
        <v>0</v>
      </c>
      <c r="FN31" s="59">
        <f>+FM31*3.3058</f>
        <v>0</v>
      </c>
      <c r="FO31" s="60">
        <f>+ES31*GX31</f>
        <v>0</v>
      </c>
      <c r="FP31" s="59">
        <f>+FO31*3.3058</f>
        <v>0</v>
      </c>
      <c r="FQ31" s="60">
        <f>+ES31*GY31</f>
        <v>0</v>
      </c>
      <c r="FR31" s="59">
        <f>+FQ31*3.3058</f>
        <v>0</v>
      </c>
      <c r="FS31" s="55">
        <f>+ES31*GZ31</f>
        <v>0</v>
      </c>
      <c r="FT31" s="59">
        <f>+FS31*3.3058</f>
        <v>0</v>
      </c>
      <c r="FU31" s="60">
        <f>+ES31*HA31</f>
        <v>0</v>
      </c>
      <c r="FV31" s="59">
        <f>+FU31*3.3058</f>
        <v>0</v>
      </c>
      <c r="FW31" s="60">
        <f>+ES31*HB31</f>
        <v>0</v>
      </c>
      <c r="FX31" s="59">
        <f>+FW31*3.3058</f>
        <v>0</v>
      </c>
      <c r="FY31" s="60">
        <f>+ES31*HC31</f>
        <v>0</v>
      </c>
      <c r="FZ31" s="59">
        <f>+FY31*3.3058</f>
        <v>0</v>
      </c>
      <c r="GA31" s="60">
        <f>+ES31*HD31</f>
        <v>0</v>
      </c>
      <c r="GB31" s="59">
        <f>+GA31*3.3058</f>
        <v>0</v>
      </c>
      <c r="GC31" s="55">
        <f>+ES31*HE31</f>
        <v>0</v>
      </c>
      <c r="GD31" s="59">
        <f>+GC31*3.3058</f>
        <v>0</v>
      </c>
      <c r="GE31" s="60">
        <f>+ES31*HF31</f>
        <v>0</v>
      </c>
      <c r="GF31" s="59">
        <f>+GE31*3.3058</f>
        <v>0</v>
      </c>
      <c r="GG31" s="60">
        <f>+ES31*HG31</f>
        <v>0</v>
      </c>
      <c r="GH31" s="59">
        <f>+GG31*3.3058</f>
        <v>0</v>
      </c>
      <c r="GI31" s="55">
        <f>+ES31*HH31</f>
        <v>0</v>
      </c>
      <c r="GJ31" s="59">
        <f>+GI31*3.3058</f>
        <v>0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0"/>
        <v>0.91</v>
      </c>
      <c r="GR31" s="55">
        <f t="shared" si="140"/>
        <v>0.89</v>
      </c>
      <c r="GS31" s="55">
        <f t="shared" si="140"/>
        <v>0.87</v>
      </c>
      <c r="GT31" s="55">
        <f t="shared" si="140"/>
        <v>0.85</v>
      </c>
      <c r="GU31" s="55">
        <f t="shared" si="140"/>
        <v>0.83</v>
      </c>
      <c r="GV31" s="55">
        <f t="shared" si="140"/>
        <v>0.80999999999999994</v>
      </c>
      <c r="GW31" s="55">
        <f t="shared" si="140"/>
        <v>0.78999999999999992</v>
      </c>
      <c r="GX31" s="55">
        <f t="shared" si="140"/>
        <v>0.76999999999999991</v>
      </c>
      <c r="GY31" s="55">
        <f t="shared" si="140"/>
        <v>0.74999999999999989</v>
      </c>
      <c r="GZ31" s="55">
        <f t="shared" si="140"/>
        <v>0.72999999999999987</v>
      </c>
      <c r="HA31" s="55">
        <f t="shared" si="140"/>
        <v>0.70999999999999985</v>
      </c>
      <c r="HB31" s="55">
        <f t="shared" si="140"/>
        <v>0.68999999999999984</v>
      </c>
      <c r="HC31" s="55">
        <f t="shared" si="140"/>
        <v>0.66999999999999982</v>
      </c>
      <c r="HD31" s="55">
        <f t="shared" si="140"/>
        <v>0.6499999999999998</v>
      </c>
      <c r="HE31" s="55">
        <f t="shared" si="140"/>
        <v>0.62999999999999978</v>
      </c>
      <c r="HF31" s="55">
        <f t="shared" si="140"/>
        <v>0.60999999999999976</v>
      </c>
      <c r="HG31" s="55">
        <f t="shared" si="140"/>
        <v>0.58999999999999975</v>
      </c>
      <c r="HH31" s="55">
        <f t="shared" si="140"/>
        <v>0.56999999999999973</v>
      </c>
    </row>
    <row r="32" spans="1:216" x14ac:dyDescent="0.3">
      <c r="J32" s="55"/>
      <c r="W32" s="60"/>
      <c r="AC32" s="60"/>
      <c r="AE32" s="60"/>
      <c r="AG32" s="60"/>
      <c r="AK32" s="60"/>
      <c r="AM32" s="60"/>
      <c r="AO32" s="60"/>
      <c r="AQ32" s="60"/>
      <c r="AU32" s="60"/>
      <c r="AW32" s="60"/>
      <c r="BC32" s="55">
        <v>1</v>
      </c>
      <c r="BD32" s="55">
        <v>0.97</v>
      </c>
      <c r="BE32" s="55">
        <v>0.95</v>
      </c>
      <c r="BF32" s="55">
        <v>0.93</v>
      </c>
      <c r="BG32" s="55">
        <f t="shared" si="142"/>
        <v>0.91</v>
      </c>
      <c r="BH32" s="55">
        <f t="shared" si="142"/>
        <v>0.89</v>
      </c>
      <c r="BI32" s="55">
        <f t="shared" si="142"/>
        <v>0.87</v>
      </c>
      <c r="BJ32" s="55">
        <f t="shared" si="142"/>
        <v>0.85</v>
      </c>
      <c r="BK32" s="55">
        <f t="shared" si="142"/>
        <v>0.83</v>
      </c>
      <c r="BL32" s="55">
        <f t="shared" si="142"/>
        <v>0.80999999999999994</v>
      </c>
      <c r="BM32" s="55">
        <f t="shared" si="142"/>
        <v>0.78999999999999992</v>
      </c>
      <c r="BN32" s="55">
        <f t="shared" si="142"/>
        <v>0.76999999999999991</v>
      </c>
      <c r="BO32" s="55">
        <f t="shared" si="142"/>
        <v>0.74999999999999989</v>
      </c>
      <c r="BP32" s="55">
        <f t="shared" si="142"/>
        <v>0.72999999999999987</v>
      </c>
      <c r="BQ32" s="55">
        <f t="shared" si="142"/>
        <v>0.70999999999999985</v>
      </c>
      <c r="BR32" s="55">
        <f t="shared" si="142"/>
        <v>0.68999999999999984</v>
      </c>
      <c r="BS32" s="55">
        <f t="shared" si="142"/>
        <v>0.66999999999999982</v>
      </c>
      <c r="BT32" s="55">
        <f t="shared" si="142"/>
        <v>0.6499999999999998</v>
      </c>
      <c r="BU32" s="55">
        <f t="shared" si="142"/>
        <v>0.62999999999999978</v>
      </c>
      <c r="BV32" s="55">
        <f t="shared" si="142"/>
        <v>0.60999999999999976</v>
      </c>
      <c r="BW32" s="55">
        <f t="shared" si="142"/>
        <v>0.58999999999999975</v>
      </c>
      <c r="BX32" s="55">
        <f t="shared" si="142"/>
        <v>0.56999999999999973</v>
      </c>
      <c r="BZ32" s="55">
        <f t="shared" si="87"/>
        <v>0</v>
      </c>
      <c r="CI32" s="57"/>
      <c r="CM32" s="57"/>
      <c r="CO32" s="60"/>
      <c r="CQ32" s="57"/>
      <c r="CU32" s="60"/>
      <c r="CW32" s="60"/>
      <c r="CY32" s="60"/>
      <c r="DC32" s="60"/>
      <c r="DE32" s="60"/>
      <c r="DG32" s="60"/>
      <c r="DI32" s="60"/>
      <c r="DM32" s="60"/>
      <c r="DO32" s="60"/>
      <c r="DU32" s="55">
        <v>1</v>
      </c>
      <c r="DV32" s="55">
        <v>0.97</v>
      </c>
      <c r="DW32" s="55">
        <v>0.95</v>
      </c>
      <c r="DX32" s="55">
        <v>0.93</v>
      </c>
      <c r="DY32" s="55">
        <f t="shared" si="113"/>
        <v>0.91</v>
      </c>
      <c r="DZ32" s="55">
        <f t="shared" si="113"/>
        <v>0.89</v>
      </c>
      <c r="EA32" s="55">
        <f t="shared" si="113"/>
        <v>0.87</v>
      </c>
      <c r="EB32" s="55">
        <f t="shared" si="113"/>
        <v>0.85</v>
      </c>
      <c r="EC32" s="55">
        <f t="shared" si="113"/>
        <v>0.83</v>
      </c>
      <c r="ED32" s="55">
        <f t="shared" si="113"/>
        <v>0.80999999999999994</v>
      </c>
      <c r="EE32" s="55">
        <f t="shared" si="113"/>
        <v>0.78999999999999992</v>
      </c>
      <c r="EF32" s="55">
        <f t="shared" si="113"/>
        <v>0.76999999999999991</v>
      </c>
      <c r="EG32" s="55">
        <f t="shared" si="113"/>
        <v>0.74999999999999989</v>
      </c>
      <c r="EH32" s="55">
        <f t="shared" si="113"/>
        <v>0.72999999999999987</v>
      </c>
      <c r="EI32" s="55">
        <f t="shared" si="113"/>
        <v>0.70999999999999985</v>
      </c>
      <c r="EJ32" s="55">
        <f t="shared" si="113"/>
        <v>0.68999999999999984</v>
      </c>
      <c r="EK32" s="55">
        <f t="shared" si="113"/>
        <v>0.66999999999999982</v>
      </c>
      <c r="EL32" s="55">
        <f t="shared" si="113"/>
        <v>0.6499999999999998</v>
      </c>
      <c r="EM32" s="55">
        <f t="shared" si="113"/>
        <v>0.62999999999999978</v>
      </c>
      <c r="EN32" s="55">
        <f t="shared" si="113"/>
        <v>0.60999999999999976</v>
      </c>
      <c r="EO32" s="55">
        <f t="shared" si="113"/>
        <v>0.58999999999999975</v>
      </c>
      <c r="EP32" s="55">
        <f t="shared" si="113"/>
        <v>0.56999999999999973</v>
      </c>
      <c r="ER32" s="55">
        <f t="shared" si="141"/>
        <v>0</v>
      </c>
      <c r="ES32" s="55"/>
      <c r="ET32" s="55"/>
      <c r="EU32" s="55"/>
      <c r="EV32" s="55"/>
      <c r="EW32" s="55"/>
      <c r="EX32" s="55"/>
      <c r="EY32" s="55"/>
      <c r="EZ32" s="55"/>
      <c r="FA32" s="57"/>
      <c r="FB32" s="55"/>
      <c r="FC32" s="55"/>
      <c r="FD32" s="55"/>
      <c r="FE32" s="57"/>
      <c r="FF32" s="55"/>
      <c r="FG32" s="60"/>
      <c r="FH32" s="55"/>
      <c r="FI32" s="57"/>
      <c r="FJ32" s="55"/>
      <c r="FK32" s="55"/>
      <c r="FL32" s="55"/>
      <c r="FM32" s="60"/>
      <c r="FN32" s="55"/>
      <c r="FO32" s="60"/>
      <c r="FP32" s="55"/>
      <c r="FQ32" s="60"/>
      <c r="FR32" s="55"/>
      <c r="FS32" s="55"/>
      <c r="FT32" s="55"/>
      <c r="FU32" s="60"/>
      <c r="FV32" s="55"/>
      <c r="FW32" s="60"/>
      <c r="FX32" s="55"/>
      <c r="FY32" s="60"/>
      <c r="FZ32" s="55"/>
      <c r="GA32" s="60"/>
      <c r="GB32" s="55"/>
      <c r="GC32" s="55"/>
      <c r="GD32" s="55"/>
      <c r="GE32" s="60"/>
      <c r="GF32" s="55"/>
      <c r="GG32" s="60"/>
      <c r="GH32" s="55"/>
      <c r="GI32" s="55"/>
      <c r="GJ32" s="55"/>
      <c r="GK32" s="55"/>
      <c r="GL32" s="55"/>
      <c r="GM32" s="55">
        <v>1</v>
      </c>
      <c r="GN32" s="55">
        <v>0.97</v>
      </c>
      <c r="GO32" s="55">
        <v>0.95</v>
      </c>
      <c r="GP32" s="55">
        <v>0.93</v>
      </c>
      <c r="GQ32" s="55">
        <f t="shared" si="140"/>
        <v>0.91</v>
      </c>
      <c r="GR32" s="55">
        <f t="shared" si="140"/>
        <v>0.89</v>
      </c>
      <c r="GS32" s="55">
        <f t="shared" si="140"/>
        <v>0.87</v>
      </c>
      <c r="GT32" s="55">
        <f t="shared" si="140"/>
        <v>0.85</v>
      </c>
      <c r="GU32" s="55">
        <f t="shared" si="140"/>
        <v>0.83</v>
      </c>
      <c r="GV32" s="55">
        <f t="shared" si="140"/>
        <v>0.80999999999999994</v>
      </c>
      <c r="GW32" s="55">
        <f t="shared" si="140"/>
        <v>0.78999999999999992</v>
      </c>
      <c r="GX32" s="55">
        <f t="shared" si="140"/>
        <v>0.76999999999999991</v>
      </c>
      <c r="GY32" s="55">
        <f t="shared" si="140"/>
        <v>0.74999999999999989</v>
      </c>
      <c r="GZ32" s="55">
        <f t="shared" si="140"/>
        <v>0.72999999999999987</v>
      </c>
      <c r="HA32" s="55">
        <f t="shared" si="140"/>
        <v>0.70999999999999985</v>
      </c>
      <c r="HB32" s="55">
        <f t="shared" si="140"/>
        <v>0.68999999999999984</v>
      </c>
      <c r="HC32" s="55">
        <f t="shared" si="140"/>
        <v>0.66999999999999982</v>
      </c>
      <c r="HD32" s="55">
        <f t="shared" si="140"/>
        <v>0.6499999999999998</v>
      </c>
      <c r="HE32" s="55">
        <f t="shared" si="140"/>
        <v>0.62999999999999978</v>
      </c>
      <c r="HF32" s="55">
        <f t="shared" si="140"/>
        <v>0.60999999999999976</v>
      </c>
      <c r="HG32" s="55">
        <f t="shared" si="140"/>
        <v>0.58999999999999975</v>
      </c>
      <c r="HH32" s="55">
        <f t="shared" si="140"/>
        <v>0.56999999999999973</v>
      </c>
    </row>
    <row r="33" spans="1:216" ht="17.25" thickBot="1" x14ac:dyDescent="0.35">
      <c r="B33" s="2" t="s">
        <v>145</v>
      </c>
      <c r="C33" s="2" t="s">
        <v>114</v>
      </c>
      <c r="D33" s="2" t="s">
        <v>292</v>
      </c>
      <c r="E33" s="35" t="s">
        <v>315</v>
      </c>
      <c r="J33" s="55"/>
      <c r="W33" s="60"/>
      <c r="AC33" s="60"/>
      <c r="AE33" s="60"/>
      <c r="AG33" s="60"/>
      <c r="AK33" s="60"/>
      <c r="AM33" s="60"/>
      <c r="AO33" s="60"/>
      <c r="AQ33" s="60"/>
      <c r="AU33" s="60"/>
      <c r="AW33" s="60"/>
      <c r="BC33" s="55">
        <v>1</v>
      </c>
      <c r="BD33" s="55">
        <v>0.97</v>
      </c>
      <c r="BE33" s="55">
        <v>0.95</v>
      </c>
      <c r="BF33" s="55">
        <v>0.93</v>
      </c>
      <c r="BG33" s="55">
        <f t="shared" si="142"/>
        <v>0.91</v>
      </c>
      <c r="BH33" s="55">
        <f t="shared" si="142"/>
        <v>0.89</v>
      </c>
      <c r="BI33" s="55">
        <f t="shared" si="142"/>
        <v>0.87</v>
      </c>
      <c r="BJ33" s="55">
        <f t="shared" si="142"/>
        <v>0.85</v>
      </c>
      <c r="BK33" s="55">
        <f t="shared" si="142"/>
        <v>0.83</v>
      </c>
      <c r="BL33" s="55">
        <f t="shared" si="142"/>
        <v>0.80999999999999994</v>
      </c>
      <c r="BM33" s="55">
        <f t="shared" si="142"/>
        <v>0.78999999999999992</v>
      </c>
      <c r="BN33" s="55">
        <f t="shared" si="142"/>
        <v>0.76999999999999991</v>
      </c>
      <c r="BO33" s="55">
        <f t="shared" si="142"/>
        <v>0.74999999999999989</v>
      </c>
      <c r="BP33" s="55">
        <f t="shared" si="142"/>
        <v>0.72999999999999987</v>
      </c>
      <c r="BQ33" s="55">
        <f t="shared" si="142"/>
        <v>0.70999999999999985</v>
      </c>
      <c r="BR33" s="55">
        <f t="shared" si="142"/>
        <v>0.68999999999999984</v>
      </c>
      <c r="BS33" s="55">
        <f t="shared" si="142"/>
        <v>0.66999999999999982</v>
      </c>
      <c r="BT33" s="55">
        <f t="shared" si="142"/>
        <v>0.6499999999999998</v>
      </c>
      <c r="BU33" s="55">
        <f t="shared" si="142"/>
        <v>0.62999999999999978</v>
      </c>
      <c r="BV33" s="55">
        <f t="shared" si="142"/>
        <v>0.60999999999999976</v>
      </c>
      <c r="BW33" s="55">
        <f t="shared" si="142"/>
        <v>0.58999999999999975</v>
      </c>
      <c r="BX33" s="55">
        <f t="shared" si="142"/>
        <v>0.56999999999999973</v>
      </c>
      <c r="BZ33" s="55">
        <f t="shared" si="87"/>
        <v>0</v>
      </c>
      <c r="CI33" s="57"/>
      <c r="CM33" s="57"/>
      <c r="CO33" s="60"/>
      <c r="CQ33" s="57"/>
      <c r="CU33" s="60"/>
      <c r="CW33" s="60"/>
      <c r="CY33" s="60"/>
      <c r="DC33" s="60"/>
      <c r="DE33" s="60"/>
      <c r="DG33" s="60"/>
      <c r="DI33" s="60"/>
      <c r="DM33" s="60"/>
      <c r="DO33" s="60"/>
      <c r="DU33" s="55">
        <v>1</v>
      </c>
      <c r="DV33" s="55">
        <v>0.97</v>
      </c>
      <c r="DW33" s="55">
        <v>0.95</v>
      </c>
      <c r="DX33" s="55">
        <v>0.93</v>
      </c>
      <c r="DY33" s="55">
        <f t="shared" si="113"/>
        <v>0.91</v>
      </c>
      <c r="DZ33" s="55">
        <f t="shared" si="113"/>
        <v>0.89</v>
      </c>
      <c r="EA33" s="55">
        <f t="shared" si="113"/>
        <v>0.87</v>
      </c>
      <c r="EB33" s="55">
        <f t="shared" ref="EB33:EP33" si="145">+EA33-0.02</f>
        <v>0.85</v>
      </c>
      <c r="EC33" s="55">
        <f t="shared" si="145"/>
        <v>0.83</v>
      </c>
      <c r="ED33" s="55">
        <f t="shared" si="145"/>
        <v>0.80999999999999994</v>
      </c>
      <c r="EE33" s="55">
        <f t="shared" si="145"/>
        <v>0.78999999999999992</v>
      </c>
      <c r="EF33" s="55">
        <f t="shared" si="145"/>
        <v>0.76999999999999991</v>
      </c>
      <c r="EG33" s="55">
        <f t="shared" si="145"/>
        <v>0.74999999999999989</v>
      </c>
      <c r="EH33" s="55">
        <f t="shared" si="145"/>
        <v>0.72999999999999987</v>
      </c>
      <c r="EI33" s="55">
        <f t="shared" si="145"/>
        <v>0.70999999999999985</v>
      </c>
      <c r="EJ33" s="55">
        <f t="shared" si="145"/>
        <v>0.68999999999999984</v>
      </c>
      <c r="EK33" s="55">
        <f t="shared" si="145"/>
        <v>0.66999999999999982</v>
      </c>
      <c r="EL33" s="55">
        <f t="shared" si="145"/>
        <v>0.6499999999999998</v>
      </c>
      <c r="EM33" s="55">
        <f t="shared" si="145"/>
        <v>0.62999999999999978</v>
      </c>
      <c r="EN33" s="55">
        <f t="shared" si="145"/>
        <v>0.60999999999999976</v>
      </c>
      <c r="EO33" s="55">
        <f t="shared" si="145"/>
        <v>0.58999999999999975</v>
      </c>
      <c r="EP33" s="55">
        <f t="shared" si="145"/>
        <v>0.56999999999999973</v>
      </c>
      <c r="ER33" s="55">
        <f t="shared" si="141"/>
        <v>0</v>
      </c>
      <c r="ES33" s="55"/>
      <c r="ET33" s="55"/>
      <c r="EU33" s="55"/>
      <c r="EV33" s="55"/>
      <c r="EW33" s="55"/>
      <c r="EX33" s="55"/>
      <c r="EY33" s="55"/>
      <c r="EZ33" s="55"/>
      <c r="FA33" s="57"/>
      <c r="FB33" s="55"/>
      <c r="FC33" s="55"/>
      <c r="FD33" s="55"/>
      <c r="FE33" s="57"/>
      <c r="FF33" s="55"/>
      <c r="FG33" s="60"/>
      <c r="FH33" s="55"/>
      <c r="FI33" s="57"/>
      <c r="FJ33" s="55"/>
      <c r="FK33" s="55"/>
      <c r="FL33" s="55"/>
      <c r="FM33" s="60"/>
      <c r="FN33" s="55"/>
      <c r="FO33" s="60"/>
      <c r="FP33" s="55"/>
      <c r="FQ33" s="60"/>
      <c r="FR33" s="55"/>
      <c r="FS33" s="55"/>
      <c r="FT33" s="55"/>
      <c r="FU33" s="60"/>
      <c r="FV33" s="55"/>
      <c r="FW33" s="60"/>
      <c r="FX33" s="55"/>
      <c r="FY33" s="60"/>
      <c r="FZ33" s="55"/>
      <c r="GA33" s="60"/>
      <c r="GB33" s="55"/>
      <c r="GC33" s="55"/>
      <c r="GD33" s="55"/>
      <c r="GE33" s="60"/>
      <c r="GF33" s="55"/>
      <c r="GG33" s="60"/>
      <c r="GH33" s="55"/>
      <c r="GI33" s="55"/>
      <c r="GJ33" s="55"/>
      <c r="GK33" s="55"/>
      <c r="GL33" s="55"/>
      <c r="GM33" s="55">
        <v>1</v>
      </c>
      <c r="GN33" s="55">
        <v>0.97</v>
      </c>
      <c r="GO33" s="55">
        <v>0.95</v>
      </c>
      <c r="GP33" s="55">
        <v>0.93</v>
      </c>
      <c r="GQ33" s="55">
        <f t="shared" si="140"/>
        <v>0.91</v>
      </c>
      <c r="GR33" s="55">
        <f t="shared" si="140"/>
        <v>0.89</v>
      </c>
      <c r="GS33" s="55">
        <f t="shared" si="140"/>
        <v>0.87</v>
      </c>
      <c r="GT33" s="55">
        <f t="shared" ref="GT33:HH33" si="146">+GS33-0.02</f>
        <v>0.85</v>
      </c>
      <c r="GU33" s="55">
        <f t="shared" si="146"/>
        <v>0.83</v>
      </c>
      <c r="GV33" s="55">
        <f t="shared" si="146"/>
        <v>0.80999999999999994</v>
      </c>
      <c r="GW33" s="55">
        <f t="shared" si="146"/>
        <v>0.78999999999999992</v>
      </c>
      <c r="GX33" s="55">
        <f t="shared" si="146"/>
        <v>0.76999999999999991</v>
      </c>
      <c r="GY33" s="55">
        <f t="shared" si="146"/>
        <v>0.74999999999999989</v>
      </c>
      <c r="GZ33" s="55">
        <f t="shared" si="146"/>
        <v>0.72999999999999987</v>
      </c>
      <c r="HA33" s="55">
        <f t="shared" si="146"/>
        <v>0.70999999999999985</v>
      </c>
      <c r="HB33" s="55">
        <f t="shared" si="146"/>
        <v>0.68999999999999984</v>
      </c>
      <c r="HC33" s="55">
        <f t="shared" si="146"/>
        <v>0.66999999999999982</v>
      </c>
      <c r="HD33" s="55">
        <f t="shared" si="146"/>
        <v>0.6499999999999998</v>
      </c>
      <c r="HE33" s="55">
        <f t="shared" si="146"/>
        <v>0.62999999999999978</v>
      </c>
      <c r="HF33" s="55">
        <f t="shared" si="146"/>
        <v>0.60999999999999976</v>
      </c>
      <c r="HG33" s="55">
        <f t="shared" si="146"/>
        <v>0.58999999999999975</v>
      </c>
      <c r="HH33" s="55">
        <f t="shared" si="146"/>
        <v>0.56999999999999973</v>
      </c>
    </row>
    <row r="34" spans="1:216" x14ac:dyDescent="0.3">
      <c r="A34" s="2">
        <v>1</v>
      </c>
      <c r="C34" s="38" t="s">
        <v>15</v>
      </c>
      <c r="D34" s="40">
        <f>TRUNC(56785,-1)</f>
        <v>56780</v>
      </c>
      <c r="E34" s="85">
        <f>TRUNC(+D34*3.3058,-1)</f>
        <v>187700</v>
      </c>
      <c r="H34" s="55">
        <f t="shared" si="60"/>
        <v>206470.00000000003</v>
      </c>
      <c r="I34" s="55">
        <f t="shared" si="61"/>
        <v>206470.00000000003</v>
      </c>
      <c r="J34" s="59">
        <f t="shared" si="62"/>
        <v>682548.52600000007</v>
      </c>
      <c r="K34" s="55">
        <f t="shared" ref="K34:K54" si="147">+I34*BD34</f>
        <v>200275.90000000002</v>
      </c>
      <c r="L34" s="59">
        <f t="shared" ref="L34:L54" si="148">+K34*3.3058</f>
        <v>662072.07022000011</v>
      </c>
      <c r="M34" s="55">
        <f t="shared" ref="M34:M54" si="149">+I34*BE34</f>
        <v>196146.50000000003</v>
      </c>
      <c r="N34" s="59">
        <f t="shared" ref="N34:N54" si="150">+M34*3.3058</f>
        <v>648421.09970000014</v>
      </c>
      <c r="O34" s="55">
        <f t="shared" ref="O34:O54" si="151">+I34*BF34</f>
        <v>192017.10000000003</v>
      </c>
      <c r="P34" s="59">
        <f t="shared" ref="P34:P54" si="152">+O34*3.3058</f>
        <v>634770.12918000016</v>
      </c>
      <c r="Q34" s="57">
        <f t="shared" ref="Q34:Q54" si="153">+I34*BG34</f>
        <v>187887.70000000004</v>
      </c>
      <c r="R34" s="59">
        <f t="shared" ref="R34:R54" si="154">+Q34*3.3058</f>
        <v>621119.15866000019</v>
      </c>
      <c r="S34" s="55">
        <f t="shared" ref="S34:S54" si="155">+I34*BH34</f>
        <v>183758.30000000002</v>
      </c>
      <c r="T34" s="59">
        <f t="shared" ref="T34:T54" si="156">+S34*3.3058</f>
        <v>607468.1881400001</v>
      </c>
      <c r="U34" s="57">
        <f t="shared" ref="U34:U54" si="157">+I34*BI34</f>
        <v>179628.90000000002</v>
      </c>
      <c r="V34" s="59">
        <f t="shared" ref="V34:V54" si="158">+U34*3.3058</f>
        <v>593817.21762000013</v>
      </c>
      <c r="W34" s="60">
        <f t="shared" ref="W34:W54" si="159">+I34*BJ34</f>
        <v>175499.50000000003</v>
      </c>
      <c r="X34" s="59">
        <f t="shared" ref="X34:X54" si="160">+W34*3.3058</f>
        <v>580166.24710000015</v>
      </c>
      <c r="Y34" s="57">
        <f t="shared" ref="Y34:Y54" si="161">+I34*BK34</f>
        <v>171370.1</v>
      </c>
      <c r="Z34" s="59">
        <f t="shared" ref="Z34:Z54" si="162">+Y34*3.3058</f>
        <v>566515.27658000006</v>
      </c>
      <c r="AA34" s="55">
        <f t="shared" ref="AA34:AA54" si="163">+I34*BL34</f>
        <v>167240.70000000001</v>
      </c>
      <c r="AB34" s="59">
        <f t="shared" ref="AB34:AB54" si="164">+AA34*3.3058</f>
        <v>552864.30606000009</v>
      </c>
      <c r="AC34" s="60">
        <f t="shared" ref="AC34:AC54" si="165">+I34*BM34</f>
        <v>163111.30000000002</v>
      </c>
      <c r="AD34" s="59">
        <f t="shared" ref="AD34:AD54" si="166">+AC34*3.3058</f>
        <v>539213.33554000012</v>
      </c>
      <c r="AE34" s="60">
        <f t="shared" ref="AE34:AE54" si="167">+I34*BN34</f>
        <v>158981.9</v>
      </c>
      <c r="AF34" s="59">
        <f t="shared" ref="AF34:AF54" si="168">+AE34*3.3058</f>
        <v>525562.36502000003</v>
      </c>
      <c r="AG34" s="60">
        <f t="shared" ref="AG34:AG54" si="169">+I34*BO34</f>
        <v>154852.5</v>
      </c>
      <c r="AH34" s="59">
        <f t="shared" ref="AH34:AH54" si="170">+AG34*3.3058</f>
        <v>511911.39449999999</v>
      </c>
      <c r="AI34" s="55">
        <f t="shared" ref="AI34:AI54" si="171">+I34*BP34</f>
        <v>150723.1</v>
      </c>
      <c r="AJ34" s="59">
        <f t="shared" ref="AJ34:AJ54" si="172">+AI34*3.3058</f>
        <v>498260.42398000002</v>
      </c>
      <c r="AK34" s="60">
        <f t="shared" ref="AK34:AK54" si="173">+I34*BQ34</f>
        <v>146593.69999999998</v>
      </c>
      <c r="AL34" s="59">
        <f t="shared" ref="AL34:AL54" si="174">+AK34*3.3058</f>
        <v>484609.45345999993</v>
      </c>
      <c r="AM34" s="60">
        <f t="shared" ref="AM34:AM54" si="175">+I34*BR34</f>
        <v>142464.29999999999</v>
      </c>
      <c r="AN34" s="59">
        <f t="shared" ref="AN34:AN54" si="176">+AM34*3.3058</f>
        <v>470958.48293999996</v>
      </c>
      <c r="AO34" s="60">
        <f t="shared" ref="AO34:AO54" si="177">+I34*BS34</f>
        <v>138334.9</v>
      </c>
      <c r="AP34" s="59">
        <f t="shared" ref="AP34:AP54" si="178">+AO34*3.3058</f>
        <v>457307.51241999998</v>
      </c>
      <c r="AQ34" s="60">
        <f t="shared" ref="AQ34:AQ54" si="179">+I34*BT34</f>
        <v>134205.49999999997</v>
      </c>
      <c r="AR34" s="59">
        <f t="shared" ref="AR34:AR54" si="180">+AQ34*3.3058</f>
        <v>443656.54189999989</v>
      </c>
      <c r="AS34" s="55">
        <f t="shared" ref="AS34:AS54" si="181">+I34*BU34</f>
        <v>130076.09999999998</v>
      </c>
      <c r="AT34" s="59">
        <f t="shared" ref="AT34:AT54" si="182">+AS34*3.3058</f>
        <v>430005.57137999992</v>
      </c>
      <c r="AU34" s="60">
        <f t="shared" ref="AU34:AU54" si="183">+I34*BV34</f>
        <v>125946.69999999997</v>
      </c>
      <c r="AV34" s="59">
        <f t="shared" ref="AV34:AV54" si="184">+AU34*3.3058</f>
        <v>416354.60085999989</v>
      </c>
      <c r="AW34" s="60">
        <f t="shared" ref="AW34:AW54" si="185">+I34*BW34</f>
        <v>121817.29999999996</v>
      </c>
      <c r="AX34" s="59">
        <f t="shared" ref="AX34:AX54" si="186">+AW34*3.3058</f>
        <v>402703.63033999986</v>
      </c>
      <c r="AY34" s="55">
        <f t="shared" ref="AY34:AY54" si="187">+I34*BX34</f>
        <v>117687.89999999997</v>
      </c>
      <c r="AZ34" s="59">
        <f t="shared" ref="AZ34:AZ54" si="188">+AY34*3.3058</f>
        <v>389052.65981999988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142"/>
        <v>0.91</v>
      </c>
      <c r="BH34" s="55">
        <f t="shared" si="142"/>
        <v>0.89</v>
      </c>
      <c r="BI34" s="55">
        <f t="shared" si="142"/>
        <v>0.87</v>
      </c>
      <c r="BJ34" s="55">
        <f t="shared" si="142"/>
        <v>0.85</v>
      </c>
      <c r="BK34" s="55">
        <f t="shared" si="142"/>
        <v>0.83</v>
      </c>
      <c r="BL34" s="55">
        <f t="shared" si="142"/>
        <v>0.80999999999999994</v>
      </c>
      <c r="BM34" s="55">
        <f t="shared" si="142"/>
        <v>0.78999999999999992</v>
      </c>
      <c r="BN34" s="55">
        <f t="shared" si="142"/>
        <v>0.76999999999999991</v>
      </c>
      <c r="BO34" s="55">
        <f t="shared" si="142"/>
        <v>0.74999999999999989</v>
      </c>
      <c r="BP34" s="55">
        <f t="shared" si="142"/>
        <v>0.72999999999999987</v>
      </c>
      <c r="BQ34" s="55">
        <f t="shared" si="142"/>
        <v>0.70999999999999985</v>
      </c>
      <c r="BR34" s="55">
        <f t="shared" si="142"/>
        <v>0.68999999999999984</v>
      </c>
      <c r="BS34" s="55">
        <f t="shared" si="142"/>
        <v>0.66999999999999982</v>
      </c>
      <c r="BT34" s="55">
        <f t="shared" si="142"/>
        <v>0.6499999999999998</v>
      </c>
      <c r="BU34" s="55">
        <f t="shared" si="142"/>
        <v>0.62999999999999978</v>
      </c>
      <c r="BV34" s="55">
        <f t="shared" si="142"/>
        <v>0.60999999999999976</v>
      </c>
      <c r="BW34" s="55">
        <f t="shared" si="142"/>
        <v>0.58999999999999975</v>
      </c>
      <c r="BX34" s="55">
        <f t="shared" si="142"/>
        <v>0.56999999999999973</v>
      </c>
      <c r="BZ34" s="55">
        <f t="shared" si="87"/>
        <v>187887.70000000004</v>
      </c>
      <c r="CA34" s="55">
        <f t="shared" si="88"/>
        <v>187887.70000000004</v>
      </c>
      <c r="CB34" s="59">
        <f t="shared" ref="CB34:CB54" si="189">+CA34*3.3058</f>
        <v>621119.15866000019</v>
      </c>
      <c r="CC34" s="55">
        <f t="shared" ref="CC34:CC54" si="190">+CA34*DV34</f>
        <v>182251.06900000005</v>
      </c>
      <c r="CD34" s="59">
        <f t="shared" ref="CD34:CD54" si="191">+CC34*3.3058</f>
        <v>602485.5839002002</v>
      </c>
      <c r="CE34" s="55">
        <f t="shared" ref="CE34:CE54" si="192">+CA34*DW34</f>
        <v>178493.31500000003</v>
      </c>
      <c r="CF34" s="59">
        <f t="shared" ref="CF34:CF54" si="193">+CE34*3.3058</f>
        <v>590063.20072700013</v>
      </c>
      <c r="CG34" s="55">
        <f t="shared" ref="CG34:CG54" si="194">+CA34*DX34</f>
        <v>174735.56100000005</v>
      </c>
      <c r="CH34" s="59">
        <f t="shared" ref="CH34:CH54" si="195">+CG34*3.3058</f>
        <v>577640.81755380018</v>
      </c>
      <c r="CI34" s="57">
        <f t="shared" ref="CI34:CI54" si="196">+CA34*DY34</f>
        <v>170977.80700000003</v>
      </c>
      <c r="CJ34" s="59">
        <f t="shared" ref="CJ34:CJ54" si="197">+CI34*3.3058</f>
        <v>565218.43438060011</v>
      </c>
      <c r="CK34" s="55">
        <f t="shared" ref="CK34:CK54" si="198">+CA34*DZ34</f>
        <v>167220.05300000004</v>
      </c>
      <c r="CL34" s="59">
        <f t="shared" ref="CL34:CL54" si="199">+CK34*3.3058</f>
        <v>552796.05120740016</v>
      </c>
      <c r="CM34" s="57">
        <f t="shared" ref="CM34:CM54" si="200">+CA34*EA34</f>
        <v>163462.29900000003</v>
      </c>
      <c r="CN34" s="59">
        <f t="shared" ref="CN34:CN54" si="201">+CM34*3.3058</f>
        <v>540373.66803420009</v>
      </c>
      <c r="CO34" s="60">
        <f t="shared" ref="CO34:CO54" si="202">+CA34*EB34</f>
        <v>159704.54500000004</v>
      </c>
      <c r="CP34" s="59">
        <f t="shared" ref="CP34:CP54" si="203">+CO34*3.3058</f>
        <v>527951.28486100014</v>
      </c>
      <c r="CQ34" s="57">
        <f t="shared" ref="CQ34:CQ54" si="204">+CA34*EC34</f>
        <v>155946.79100000003</v>
      </c>
      <c r="CR34" s="59">
        <f t="shared" ref="CR34:CR54" si="205">+CQ34*3.3058</f>
        <v>515528.90168780013</v>
      </c>
      <c r="CS34" s="55">
        <f t="shared" ref="CS34:CS54" si="206">+CA34*ED34</f>
        <v>152189.03700000001</v>
      </c>
      <c r="CT34" s="59">
        <f t="shared" ref="CT34:CT54" si="207">+CS34*3.3058</f>
        <v>503106.51851460006</v>
      </c>
      <c r="CU34" s="60">
        <f t="shared" ref="CU34:CU54" si="208">+CA34*EE34</f>
        <v>148431.28300000002</v>
      </c>
      <c r="CV34" s="59">
        <f t="shared" ref="CV34:CV54" si="209">+CU34*3.3058</f>
        <v>490684.13534140011</v>
      </c>
      <c r="CW34" s="60">
        <f t="shared" ref="CW34:CW54" si="210">+CA34*EF34</f>
        <v>144673.52900000001</v>
      </c>
      <c r="CX34" s="59">
        <f t="shared" ref="CX34:CX54" si="211">+CW34*3.3058</f>
        <v>478261.75216820004</v>
      </c>
      <c r="CY34" s="60">
        <f t="shared" ref="CY34:CY54" si="212">+CA34*EG34</f>
        <v>140915.77500000002</v>
      </c>
      <c r="CZ34" s="59">
        <f t="shared" ref="CZ34:CZ54" si="213">+CY34*3.3058</f>
        <v>465839.36899500008</v>
      </c>
      <c r="DA34" s="55">
        <f t="shared" ref="DA34:DA54" si="214">+CA34*EH34</f>
        <v>137158.02100000001</v>
      </c>
      <c r="DB34" s="59">
        <f t="shared" ref="DB34:DB54" si="215">+DA34*3.3058</f>
        <v>453416.98582180002</v>
      </c>
      <c r="DC34" s="60">
        <f t="shared" ref="DC34:DC54" si="216">+CA34*EI34</f>
        <v>133400.26699999999</v>
      </c>
      <c r="DD34" s="59">
        <f t="shared" ref="DD34:DD54" si="217">+DC34*3.3058</f>
        <v>440994.6026486</v>
      </c>
      <c r="DE34" s="60">
        <f t="shared" ref="DE34:DE54" si="218">+CA34*EJ34</f>
        <v>129642.51299999999</v>
      </c>
      <c r="DF34" s="59">
        <f t="shared" ref="DF34:DF54" si="219">+DE34*3.3058</f>
        <v>428572.21947539999</v>
      </c>
      <c r="DG34" s="60">
        <f t="shared" ref="DG34:DG54" si="220">+CA34*EK34</f>
        <v>125884.75899999999</v>
      </c>
      <c r="DH34" s="59">
        <f t="shared" ref="DH34:DH54" si="221">+DG34*3.3058</f>
        <v>416149.83630219998</v>
      </c>
      <c r="DI34" s="60">
        <f t="shared" ref="DI34:DI54" si="222">+CA34*EL34</f>
        <v>122127.00499999999</v>
      </c>
      <c r="DJ34" s="59">
        <f t="shared" ref="DJ34:DJ54" si="223">+DI34*3.3058</f>
        <v>403727.45312899997</v>
      </c>
      <c r="DK34" s="55">
        <f t="shared" ref="DK34:DK54" si="224">+CA34*EM34</f>
        <v>118369.25099999999</v>
      </c>
      <c r="DL34" s="59">
        <f t="shared" ref="DL34:DL54" si="225">+DK34*3.3058</f>
        <v>391305.06995579996</v>
      </c>
      <c r="DM34" s="60">
        <f t="shared" ref="DM34:DM54" si="226">+CA34*EN34</f>
        <v>114611.49699999997</v>
      </c>
      <c r="DN34" s="59">
        <f t="shared" ref="DN34:DN54" si="227">+DM34*3.3058</f>
        <v>378882.68678259995</v>
      </c>
      <c r="DO34" s="60">
        <f t="shared" ref="DO34:DO54" si="228">+CA34*EO34</f>
        <v>110853.74299999997</v>
      </c>
      <c r="DP34" s="59">
        <f t="shared" ref="DP34:DP54" si="229">+DO34*3.3058</f>
        <v>366460.30360939994</v>
      </c>
      <c r="DQ34" s="55">
        <f t="shared" ref="DQ34:DQ54" si="230">+CA34*EP34</f>
        <v>107095.98899999997</v>
      </c>
      <c r="DR34" s="59">
        <f t="shared" ref="DR34:DR54" si="231">+DQ34*3.3058</f>
        <v>354037.92043619993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ref="DY34:EP48" si="232">+DX34-0.02</f>
        <v>0.91</v>
      </c>
      <c r="DZ34" s="55">
        <f t="shared" si="232"/>
        <v>0.89</v>
      </c>
      <c r="EA34" s="55">
        <f t="shared" si="232"/>
        <v>0.87</v>
      </c>
      <c r="EB34" s="55">
        <f t="shared" si="232"/>
        <v>0.85</v>
      </c>
      <c r="EC34" s="55">
        <f t="shared" si="232"/>
        <v>0.83</v>
      </c>
      <c r="ED34" s="55">
        <f t="shared" si="232"/>
        <v>0.80999999999999994</v>
      </c>
      <c r="EE34" s="55">
        <f t="shared" si="232"/>
        <v>0.78999999999999992</v>
      </c>
      <c r="EF34" s="55">
        <f t="shared" si="232"/>
        <v>0.76999999999999991</v>
      </c>
      <c r="EG34" s="55">
        <f t="shared" si="232"/>
        <v>0.74999999999999989</v>
      </c>
      <c r="EH34" s="55">
        <f t="shared" si="232"/>
        <v>0.72999999999999987</v>
      </c>
      <c r="EI34" s="55">
        <f t="shared" si="232"/>
        <v>0.70999999999999985</v>
      </c>
      <c r="EJ34" s="55">
        <f t="shared" si="232"/>
        <v>0.68999999999999984</v>
      </c>
      <c r="EK34" s="55">
        <f t="shared" si="232"/>
        <v>0.66999999999999982</v>
      </c>
      <c r="EL34" s="55">
        <f t="shared" si="232"/>
        <v>0.6499999999999998</v>
      </c>
      <c r="EM34" s="55">
        <f t="shared" si="232"/>
        <v>0.62999999999999978</v>
      </c>
      <c r="EN34" s="55">
        <f t="shared" si="232"/>
        <v>0.60999999999999976</v>
      </c>
      <c r="EO34" s="55">
        <f t="shared" si="232"/>
        <v>0.58999999999999975</v>
      </c>
      <c r="EP34" s="55">
        <f t="shared" si="232"/>
        <v>0.56999999999999973</v>
      </c>
      <c r="ER34" s="55">
        <f t="shared" si="141"/>
        <v>170977.80700000003</v>
      </c>
      <c r="ES34" s="55">
        <f t="shared" si="115"/>
        <v>170977.80700000003</v>
      </c>
      <c r="ET34" s="59">
        <f t="shared" ref="ET34:ET54" si="233">+ES34*3.3058</f>
        <v>565218.43438060011</v>
      </c>
      <c r="EU34" s="55">
        <f t="shared" ref="EU34:EU54" si="234">+ES34*GN34</f>
        <v>165848.47279000003</v>
      </c>
      <c r="EV34" s="59">
        <f t="shared" ref="EV34:EV54" si="235">+EU34*3.3058</f>
        <v>548261.88134918211</v>
      </c>
      <c r="EW34" s="55">
        <f t="shared" ref="EW34:EW54" si="236">+ES34*GO34</f>
        <v>162428.91665000003</v>
      </c>
      <c r="EX34" s="59">
        <f t="shared" ref="EX34:EX54" si="237">+EW34*3.3058</f>
        <v>536957.5126615701</v>
      </c>
      <c r="EY34" s="55">
        <f t="shared" ref="EY34:EY54" si="238">+ES34*GP34</f>
        <v>159009.36051000003</v>
      </c>
      <c r="EZ34" s="59">
        <f t="shared" ref="EZ34:EZ54" si="239">+EY34*3.3058</f>
        <v>525653.1439739581</v>
      </c>
      <c r="FA34" s="57">
        <f t="shared" ref="FA34:FA54" si="240">+ES34*GQ34</f>
        <v>155589.80437000003</v>
      </c>
      <c r="FB34" s="59">
        <f t="shared" ref="FB34:FB54" si="241">+FA34*3.3058</f>
        <v>514348.77528634609</v>
      </c>
      <c r="FC34" s="55">
        <f t="shared" ref="FC34:FC54" si="242">+ES34*GR34</f>
        <v>152170.24823000003</v>
      </c>
      <c r="FD34" s="59">
        <f t="shared" ref="FD34:FD54" si="243">+FC34*3.3058</f>
        <v>503044.40659873409</v>
      </c>
      <c r="FE34" s="57">
        <f t="shared" ref="FE34:FE54" si="244">+ES34*GS34</f>
        <v>148750.69209000003</v>
      </c>
      <c r="FF34" s="59">
        <f t="shared" ref="FF34:FF54" si="245">+FE34*3.3058</f>
        <v>491740.03791112208</v>
      </c>
      <c r="FG34" s="60">
        <f t="shared" ref="FG34:FG54" si="246">+ES34*GT34</f>
        <v>145331.13595000003</v>
      </c>
      <c r="FH34" s="59">
        <f t="shared" ref="FH34:FH54" si="247">+FG34*3.3058</f>
        <v>480435.66922351008</v>
      </c>
      <c r="FI34" s="57">
        <f t="shared" ref="FI34:FI54" si="248">+ES34*GU34</f>
        <v>141911.57981000002</v>
      </c>
      <c r="FJ34" s="59">
        <f t="shared" ref="FJ34:FJ54" si="249">+FI34*3.3058</f>
        <v>469131.30053589807</v>
      </c>
      <c r="FK34" s="55">
        <f t="shared" ref="FK34:FK54" si="250">+ES34*GV34</f>
        <v>138492.02367000002</v>
      </c>
      <c r="FL34" s="59">
        <f t="shared" ref="FL34:FL54" si="251">+FK34*3.3058</f>
        <v>457826.93184828607</v>
      </c>
      <c r="FM34" s="60">
        <f t="shared" ref="FM34:FM54" si="252">+ES34*GW34</f>
        <v>135072.46753000002</v>
      </c>
      <c r="FN34" s="59">
        <f t="shared" ref="FN34:FN54" si="253">+FM34*3.3058</f>
        <v>446522.56316067406</v>
      </c>
      <c r="FO34" s="60">
        <f t="shared" ref="FO34:FO54" si="254">+ES34*GX34</f>
        <v>131652.91138999999</v>
      </c>
      <c r="FP34" s="59">
        <f t="shared" ref="FP34:FP54" si="255">+FO34*3.3058</f>
        <v>435218.194473062</v>
      </c>
      <c r="FQ34" s="60">
        <f t="shared" ref="FQ34:FQ54" si="256">+ES34*GY34</f>
        <v>128233.35525000001</v>
      </c>
      <c r="FR34" s="59">
        <f t="shared" ref="FR34:FR54" si="257">+FQ34*3.3058</f>
        <v>423913.82578545006</v>
      </c>
      <c r="FS34" s="55">
        <f t="shared" ref="FS34:FS54" si="258">+ES34*GZ34</f>
        <v>124813.79910999999</v>
      </c>
      <c r="FT34" s="59">
        <f t="shared" ref="FT34:FT54" si="259">+FS34*3.3058</f>
        <v>412609.45709783799</v>
      </c>
      <c r="FU34" s="60">
        <f t="shared" ref="FU34:FU54" si="260">+ES34*HA34</f>
        <v>121394.24296999999</v>
      </c>
      <c r="FV34" s="59">
        <f t="shared" ref="FV34:FV54" si="261">+FU34*3.3058</f>
        <v>401305.08841022599</v>
      </c>
      <c r="FW34" s="60">
        <f t="shared" ref="FW34:FW54" si="262">+ES34*HB34</f>
        <v>117974.68682999999</v>
      </c>
      <c r="FX34" s="59">
        <f t="shared" ref="FX34:FX54" si="263">+FW34*3.3058</f>
        <v>390000.71972261398</v>
      </c>
      <c r="FY34" s="60">
        <f t="shared" ref="FY34:FY54" si="264">+ES34*HC34</f>
        <v>114555.13068999999</v>
      </c>
      <c r="FZ34" s="59">
        <f t="shared" ref="FZ34:FZ54" si="265">+FY34*3.3058</f>
        <v>378696.35103500198</v>
      </c>
      <c r="GA34" s="60">
        <f t="shared" ref="GA34:GA54" si="266">+ES34*HD34</f>
        <v>111135.57454999999</v>
      </c>
      <c r="GB34" s="59">
        <f t="shared" ref="GB34:GB54" si="267">+GA34*3.3058</f>
        <v>367391.98234738997</v>
      </c>
      <c r="GC34" s="55">
        <f t="shared" ref="GC34:GC54" si="268">+ES34*HE34</f>
        <v>107716.01840999998</v>
      </c>
      <c r="GD34" s="59">
        <f t="shared" ref="GD34:GD54" si="269">+GC34*3.3058</f>
        <v>356087.61365977791</v>
      </c>
      <c r="GE34" s="60">
        <f t="shared" ref="GE34:GE54" si="270">+ES34*HF34</f>
        <v>104296.46226999997</v>
      </c>
      <c r="GF34" s="59">
        <f t="shared" ref="GF34:GF54" si="271">+GE34*3.3058</f>
        <v>344783.24497216591</v>
      </c>
      <c r="GG34" s="60">
        <f t="shared" ref="GG34:GG54" si="272">+ES34*HG34</f>
        <v>100876.90612999997</v>
      </c>
      <c r="GH34" s="59">
        <f t="shared" ref="GH34:GH54" si="273">+GG34*3.3058</f>
        <v>333478.8762845539</v>
      </c>
      <c r="GI34" s="55">
        <f t="shared" ref="GI34:GI54" si="274">+ES34*HH34</f>
        <v>97457.349989999973</v>
      </c>
      <c r="GJ34" s="59">
        <f t="shared" ref="GJ34:GJ54" si="275">+GI34*3.3058</f>
        <v>322174.5075969419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ref="GQ34:HH48" si="276">+GP34-0.02</f>
        <v>0.91</v>
      </c>
      <c r="GR34" s="55">
        <f t="shared" si="276"/>
        <v>0.89</v>
      </c>
      <c r="GS34" s="55">
        <f t="shared" si="276"/>
        <v>0.87</v>
      </c>
      <c r="GT34" s="55">
        <f t="shared" si="276"/>
        <v>0.85</v>
      </c>
      <c r="GU34" s="55">
        <f t="shared" si="276"/>
        <v>0.83</v>
      </c>
      <c r="GV34" s="55">
        <f t="shared" si="276"/>
        <v>0.80999999999999994</v>
      </c>
      <c r="GW34" s="55">
        <f t="shared" si="276"/>
        <v>0.78999999999999992</v>
      </c>
      <c r="GX34" s="55">
        <f t="shared" si="276"/>
        <v>0.76999999999999991</v>
      </c>
      <c r="GY34" s="55">
        <f t="shared" si="276"/>
        <v>0.74999999999999989</v>
      </c>
      <c r="GZ34" s="55">
        <f t="shared" si="276"/>
        <v>0.72999999999999987</v>
      </c>
      <c r="HA34" s="55">
        <f t="shared" si="276"/>
        <v>0.70999999999999985</v>
      </c>
      <c r="HB34" s="55">
        <f t="shared" si="276"/>
        <v>0.68999999999999984</v>
      </c>
      <c r="HC34" s="55">
        <f t="shared" si="276"/>
        <v>0.66999999999999982</v>
      </c>
      <c r="HD34" s="55">
        <f t="shared" si="276"/>
        <v>0.6499999999999998</v>
      </c>
      <c r="HE34" s="55">
        <f t="shared" si="276"/>
        <v>0.62999999999999978</v>
      </c>
      <c r="HF34" s="55">
        <f t="shared" si="276"/>
        <v>0.60999999999999976</v>
      </c>
      <c r="HG34" s="55">
        <f t="shared" si="276"/>
        <v>0.58999999999999975</v>
      </c>
      <c r="HH34" s="55">
        <f t="shared" si="276"/>
        <v>0.56999999999999973</v>
      </c>
    </row>
    <row r="35" spans="1:216" x14ac:dyDescent="0.3">
      <c r="A35" s="2">
        <v>2</v>
      </c>
      <c r="C35" s="38" t="s">
        <v>13</v>
      </c>
      <c r="D35" s="42">
        <f>TRUNC(185801,-1)</f>
        <v>185800</v>
      </c>
      <c r="E35" s="86">
        <f>TRUNC(+D35*3.3058,-1)</f>
        <v>614210</v>
      </c>
      <c r="H35" s="55">
        <f t="shared" si="60"/>
        <v>675631</v>
      </c>
      <c r="I35" s="55">
        <f t="shared" si="61"/>
        <v>675631</v>
      </c>
      <c r="J35" s="59">
        <f t="shared" si="62"/>
        <v>2233500.9597999998</v>
      </c>
      <c r="K35" s="55">
        <f t="shared" si="147"/>
        <v>655362.06999999995</v>
      </c>
      <c r="L35" s="59">
        <f t="shared" si="148"/>
        <v>2166495.9310059999</v>
      </c>
      <c r="M35" s="55">
        <f t="shared" si="149"/>
        <v>641849.44999999995</v>
      </c>
      <c r="N35" s="59">
        <f t="shared" si="150"/>
        <v>2121825.91181</v>
      </c>
      <c r="O35" s="55">
        <f t="shared" si="151"/>
        <v>628336.83000000007</v>
      </c>
      <c r="P35" s="59">
        <f t="shared" si="152"/>
        <v>2077155.8926140002</v>
      </c>
      <c r="Q35" s="57">
        <f t="shared" si="153"/>
        <v>614824.21000000008</v>
      </c>
      <c r="R35" s="59">
        <f t="shared" si="154"/>
        <v>2032485.8734180003</v>
      </c>
      <c r="S35" s="55">
        <f t="shared" si="155"/>
        <v>601311.59</v>
      </c>
      <c r="T35" s="59">
        <f t="shared" si="156"/>
        <v>1987815.8542219999</v>
      </c>
      <c r="U35" s="57">
        <f t="shared" si="157"/>
        <v>587798.97</v>
      </c>
      <c r="V35" s="59">
        <f t="shared" si="158"/>
        <v>1943145.8350259999</v>
      </c>
      <c r="W35" s="60">
        <f t="shared" si="159"/>
        <v>574286.35</v>
      </c>
      <c r="X35" s="59">
        <f t="shared" si="160"/>
        <v>1898475.81583</v>
      </c>
      <c r="Y35" s="57">
        <f t="shared" si="161"/>
        <v>560773.73</v>
      </c>
      <c r="Z35" s="59">
        <f t="shared" si="162"/>
        <v>1853805.796634</v>
      </c>
      <c r="AA35" s="55">
        <f t="shared" si="163"/>
        <v>547261.11</v>
      </c>
      <c r="AB35" s="59">
        <f t="shared" si="164"/>
        <v>1809135.7774380001</v>
      </c>
      <c r="AC35" s="60">
        <f t="shared" si="165"/>
        <v>533748.49</v>
      </c>
      <c r="AD35" s="59">
        <f t="shared" si="166"/>
        <v>1764465.7582419999</v>
      </c>
      <c r="AE35" s="60">
        <f t="shared" si="167"/>
        <v>520235.86999999994</v>
      </c>
      <c r="AF35" s="59">
        <f t="shared" si="168"/>
        <v>1719795.7390459999</v>
      </c>
      <c r="AG35" s="60">
        <f t="shared" si="169"/>
        <v>506723.24999999994</v>
      </c>
      <c r="AH35" s="59">
        <f t="shared" si="170"/>
        <v>1675125.7198499998</v>
      </c>
      <c r="AI35" s="55">
        <f t="shared" si="171"/>
        <v>493210.62999999989</v>
      </c>
      <c r="AJ35" s="59">
        <f t="shared" si="172"/>
        <v>1630455.7006539996</v>
      </c>
      <c r="AK35" s="60">
        <f t="shared" si="173"/>
        <v>479698.00999999989</v>
      </c>
      <c r="AL35" s="59">
        <f t="shared" si="174"/>
        <v>1585785.6814579996</v>
      </c>
      <c r="AM35" s="60">
        <f t="shared" si="175"/>
        <v>466185.3899999999</v>
      </c>
      <c r="AN35" s="59">
        <f t="shared" si="176"/>
        <v>1541115.6622619997</v>
      </c>
      <c r="AO35" s="60">
        <f t="shared" si="177"/>
        <v>452672.7699999999</v>
      </c>
      <c r="AP35" s="59">
        <f t="shared" si="178"/>
        <v>1496445.6430659997</v>
      </c>
      <c r="AQ35" s="60">
        <f t="shared" si="179"/>
        <v>439160.14999999985</v>
      </c>
      <c r="AR35" s="59">
        <f t="shared" si="180"/>
        <v>1451775.6238699995</v>
      </c>
      <c r="AS35" s="55">
        <f t="shared" si="181"/>
        <v>425647.52999999985</v>
      </c>
      <c r="AT35" s="59">
        <f t="shared" si="182"/>
        <v>1407105.6046739996</v>
      </c>
      <c r="AU35" s="60">
        <f t="shared" si="183"/>
        <v>412134.90999999986</v>
      </c>
      <c r="AV35" s="59">
        <f t="shared" si="184"/>
        <v>1362435.5854779996</v>
      </c>
      <c r="AW35" s="60">
        <f t="shared" si="185"/>
        <v>398622.2899999998</v>
      </c>
      <c r="AX35" s="59">
        <f t="shared" si="186"/>
        <v>1317765.5662819995</v>
      </c>
      <c r="AY35" s="55">
        <f t="shared" si="187"/>
        <v>385109.66999999981</v>
      </c>
      <c r="AZ35" s="59">
        <f t="shared" si="188"/>
        <v>1273095.5470859995</v>
      </c>
      <c r="BC35" s="55">
        <v>1</v>
      </c>
      <c r="BD35" s="55">
        <v>0.97</v>
      </c>
      <c r="BE35" s="55">
        <v>0.95</v>
      </c>
      <c r="BF35" s="55">
        <v>0.93</v>
      </c>
      <c r="BG35" s="55">
        <f t="shared" si="142"/>
        <v>0.91</v>
      </c>
      <c r="BH35" s="55">
        <f t="shared" si="142"/>
        <v>0.89</v>
      </c>
      <c r="BI35" s="55">
        <f t="shared" si="142"/>
        <v>0.87</v>
      </c>
      <c r="BJ35" s="55">
        <f t="shared" si="142"/>
        <v>0.85</v>
      </c>
      <c r="BK35" s="55">
        <f t="shared" si="142"/>
        <v>0.83</v>
      </c>
      <c r="BL35" s="55">
        <f t="shared" si="142"/>
        <v>0.80999999999999994</v>
      </c>
      <c r="BM35" s="55">
        <f t="shared" si="142"/>
        <v>0.78999999999999992</v>
      </c>
      <c r="BN35" s="55">
        <f t="shared" si="142"/>
        <v>0.76999999999999991</v>
      </c>
      <c r="BO35" s="55">
        <f t="shared" si="142"/>
        <v>0.74999999999999989</v>
      </c>
      <c r="BP35" s="55">
        <f t="shared" si="142"/>
        <v>0.72999999999999987</v>
      </c>
      <c r="BQ35" s="55">
        <f t="shared" si="142"/>
        <v>0.70999999999999985</v>
      </c>
      <c r="BR35" s="55">
        <f t="shared" si="142"/>
        <v>0.68999999999999984</v>
      </c>
      <c r="BS35" s="55">
        <f t="shared" si="142"/>
        <v>0.66999999999999982</v>
      </c>
      <c r="BT35" s="55">
        <f t="shared" si="142"/>
        <v>0.6499999999999998</v>
      </c>
      <c r="BU35" s="55">
        <f t="shared" si="142"/>
        <v>0.62999999999999978</v>
      </c>
      <c r="BV35" s="55">
        <f t="shared" si="142"/>
        <v>0.60999999999999976</v>
      </c>
      <c r="BW35" s="55">
        <f t="shared" si="142"/>
        <v>0.58999999999999975</v>
      </c>
      <c r="BX35" s="55">
        <f t="shared" si="142"/>
        <v>0.56999999999999973</v>
      </c>
      <c r="BZ35" s="55">
        <f t="shared" si="87"/>
        <v>614824.21000000008</v>
      </c>
      <c r="CA35" s="55">
        <f t="shared" si="88"/>
        <v>614824.21000000008</v>
      </c>
      <c r="CB35" s="59">
        <f t="shared" si="189"/>
        <v>2032485.8734180003</v>
      </c>
      <c r="CC35" s="55">
        <f t="shared" si="190"/>
        <v>596379.4837000001</v>
      </c>
      <c r="CD35" s="59">
        <f t="shared" si="191"/>
        <v>1971511.2972154603</v>
      </c>
      <c r="CE35" s="55">
        <f t="shared" si="192"/>
        <v>584082.99950000003</v>
      </c>
      <c r="CF35" s="59">
        <f t="shared" si="193"/>
        <v>1930861.5797471001</v>
      </c>
      <c r="CG35" s="55">
        <f t="shared" si="194"/>
        <v>571786.51530000009</v>
      </c>
      <c r="CH35" s="59">
        <f t="shared" si="195"/>
        <v>1890211.8622787404</v>
      </c>
      <c r="CI35" s="57">
        <f t="shared" si="196"/>
        <v>559490.03110000014</v>
      </c>
      <c r="CJ35" s="59">
        <f t="shared" si="197"/>
        <v>1849562.1448103804</v>
      </c>
      <c r="CK35" s="55">
        <f t="shared" si="198"/>
        <v>547193.54690000007</v>
      </c>
      <c r="CL35" s="59">
        <f t="shared" si="199"/>
        <v>1808912.4273420202</v>
      </c>
      <c r="CM35" s="57">
        <f t="shared" si="200"/>
        <v>534897.06270000001</v>
      </c>
      <c r="CN35" s="59">
        <f t="shared" si="201"/>
        <v>1768262.70987366</v>
      </c>
      <c r="CO35" s="60">
        <f t="shared" si="202"/>
        <v>522600.57850000006</v>
      </c>
      <c r="CP35" s="59">
        <f t="shared" si="203"/>
        <v>1727612.9924053003</v>
      </c>
      <c r="CQ35" s="57">
        <f t="shared" si="204"/>
        <v>510304.09430000006</v>
      </c>
      <c r="CR35" s="59">
        <f t="shared" si="205"/>
        <v>1686963.2749369403</v>
      </c>
      <c r="CS35" s="55">
        <f t="shared" si="206"/>
        <v>498007.61010000005</v>
      </c>
      <c r="CT35" s="59">
        <f t="shared" si="207"/>
        <v>1646313.5574685801</v>
      </c>
      <c r="CU35" s="60">
        <f t="shared" si="208"/>
        <v>485711.12590000004</v>
      </c>
      <c r="CV35" s="59">
        <f t="shared" si="209"/>
        <v>1605663.8400002201</v>
      </c>
      <c r="CW35" s="60">
        <f t="shared" si="210"/>
        <v>473414.64169999998</v>
      </c>
      <c r="CX35" s="59">
        <f t="shared" si="211"/>
        <v>1565014.1225318599</v>
      </c>
      <c r="CY35" s="60">
        <f t="shared" si="212"/>
        <v>461118.15749999997</v>
      </c>
      <c r="CZ35" s="59">
        <f t="shared" si="213"/>
        <v>1524364.4050634999</v>
      </c>
      <c r="DA35" s="55">
        <f t="shared" si="214"/>
        <v>448821.67329999997</v>
      </c>
      <c r="DB35" s="59">
        <f t="shared" si="215"/>
        <v>1483714.68759514</v>
      </c>
      <c r="DC35" s="60">
        <f t="shared" si="216"/>
        <v>436525.18909999996</v>
      </c>
      <c r="DD35" s="59">
        <f t="shared" si="217"/>
        <v>1443064.97012678</v>
      </c>
      <c r="DE35" s="60">
        <f t="shared" si="218"/>
        <v>424228.70489999995</v>
      </c>
      <c r="DF35" s="59">
        <f t="shared" si="219"/>
        <v>1402415.2526584198</v>
      </c>
      <c r="DG35" s="60">
        <f t="shared" si="220"/>
        <v>411932.22069999995</v>
      </c>
      <c r="DH35" s="59">
        <f t="shared" si="221"/>
        <v>1361765.5351900598</v>
      </c>
      <c r="DI35" s="60">
        <f t="shared" si="222"/>
        <v>399635.73649999994</v>
      </c>
      <c r="DJ35" s="59">
        <f t="shared" si="223"/>
        <v>1321115.8177216998</v>
      </c>
      <c r="DK35" s="55">
        <f t="shared" si="224"/>
        <v>387339.25229999993</v>
      </c>
      <c r="DL35" s="59">
        <f t="shared" si="225"/>
        <v>1280466.1002533399</v>
      </c>
      <c r="DM35" s="60">
        <f t="shared" si="226"/>
        <v>375042.76809999993</v>
      </c>
      <c r="DN35" s="59">
        <f t="shared" si="227"/>
        <v>1239816.3827849799</v>
      </c>
      <c r="DO35" s="60">
        <f t="shared" si="228"/>
        <v>362746.28389999986</v>
      </c>
      <c r="DP35" s="59">
        <f t="shared" si="229"/>
        <v>1199166.6653166197</v>
      </c>
      <c r="DQ35" s="55">
        <f t="shared" si="230"/>
        <v>350449.79969999986</v>
      </c>
      <c r="DR35" s="59">
        <f t="shared" si="231"/>
        <v>1158516.9478482595</v>
      </c>
      <c r="DU35" s="55">
        <v>1</v>
      </c>
      <c r="DV35" s="55">
        <v>0.97</v>
      </c>
      <c r="DW35" s="55">
        <v>0.95</v>
      </c>
      <c r="DX35" s="55">
        <v>0.93</v>
      </c>
      <c r="DY35" s="55">
        <f t="shared" si="232"/>
        <v>0.91</v>
      </c>
      <c r="DZ35" s="55">
        <f t="shared" si="232"/>
        <v>0.89</v>
      </c>
      <c r="EA35" s="55">
        <f t="shared" si="232"/>
        <v>0.87</v>
      </c>
      <c r="EB35" s="55">
        <f t="shared" si="232"/>
        <v>0.85</v>
      </c>
      <c r="EC35" s="55">
        <f t="shared" si="232"/>
        <v>0.83</v>
      </c>
      <c r="ED35" s="55">
        <f t="shared" si="232"/>
        <v>0.80999999999999994</v>
      </c>
      <c r="EE35" s="55">
        <f t="shared" si="232"/>
        <v>0.78999999999999992</v>
      </c>
      <c r="EF35" s="55">
        <f t="shared" si="232"/>
        <v>0.76999999999999991</v>
      </c>
      <c r="EG35" s="55">
        <f t="shared" si="232"/>
        <v>0.74999999999999989</v>
      </c>
      <c r="EH35" s="55">
        <f t="shared" si="232"/>
        <v>0.72999999999999987</v>
      </c>
      <c r="EI35" s="55">
        <f t="shared" si="232"/>
        <v>0.70999999999999985</v>
      </c>
      <c r="EJ35" s="55">
        <f t="shared" si="232"/>
        <v>0.68999999999999984</v>
      </c>
      <c r="EK35" s="55">
        <f t="shared" si="232"/>
        <v>0.66999999999999982</v>
      </c>
      <c r="EL35" s="55">
        <f t="shared" si="232"/>
        <v>0.6499999999999998</v>
      </c>
      <c r="EM35" s="55">
        <f t="shared" si="232"/>
        <v>0.62999999999999978</v>
      </c>
      <c r="EN35" s="55">
        <f t="shared" si="232"/>
        <v>0.60999999999999976</v>
      </c>
      <c r="EO35" s="55">
        <f t="shared" si="232"/>
        <v>0.58999999999999975</v>
      </c>
      <c r="EP35" s="55">
        <f t="shared" si="232"/>
        <v>0.56999999999999973</v>
      </c>
      <c r="ER35" s="55">
        <f t="shared" si="141"/>
        <v>559490.03110000014</v>
      </c>
      <c r="ES35" s="55">
        <f t="shared" si="115"/>
        <v>559490.03110000014</v>
      </c>
      <c r="ET35" s="59">
        <f t="shared" si="233"/>
        <v>1849562.1448103804</v>
      </c>
      <c r="EU35" s="55">
        <f t="shared" si="234"/>
        <v>542705.33016700007</v>
      </c>
      <c r="EV35" s="59">
        <f t="shared" si="235"/>
        <v>1794075.2804660688</v>
      </c>
      <c r="EW35" s="55">
        <f t="shared" si="236"/>
        <v>531515.52954500006</v>
      </c>
      <c r="EX35" s="59">
        <f t="shared" si="237"/>
        <v>1757084.0375698612</v>
      </c>
      <c r="EY35" s="55">
        <f t="shared" si="238"/>
        <v>520325.72892300016</v>
      </c>
      <c r="EZ35" s="59">
        <f t="shared" si="239"/>
        <v>1720092.794673654</v>
      </c>
      <c r="FA35" s="57">
        <f t="shared" si="240"/>
        <v>509135.92830100015</v>
      </c>
      <c r="FB35" s="59">
        <f t="shared" si="241"/>
        <v>1683101.5517774464</v>
      </c>
      <c r="FC35" s="55">
        <f t="shared" si="242"/>
        <v>497946.12767900014</v>
      </c>
      <c r="FD35" s="59">
        <f t="shared" si="243"/>
        <v>1646110.3088812388</v>
      </c>
      <c r="FE35" s="57">
        <f t="shared" si="244"/>
        <v>486756.32705700013</v>
      </c>
      <c r="FF35" s="59">
        <f t="shared" si="245"/>
        <v>1609119.065985031</v>
      </c>
      <c r="FG35" s="60">
        <f t="shared" si="246"/>
        <v>475566.52643500012</v>
      </c>
      <c r="FH35" s="59">
        <f t="shared" si="247"/>
        <v>1572127.8230888234</v>
      </c>
      <c r="FI35" s="57">
        <f t="shared" si="248"/>
        <v>464376.72581300011</v>
      </c>
      <c r="FJ35" s="59">
        <f t="shared" si="249"/>
        <v>1535136.5801926157</v>
      </c>
      <c r="FK35" s="55">
        <f t="shared" si="250"/>
        <v>453186.9251910001</v>
      </c>
      <c r="FL35" s="59">
        <f t="shared" si="251"/>
        <v>1498145.3372964081</v>
      </c>
      <c r="FM35" s="60">
        <f t="shared" si="252"/>
        <v>441997.12456900009</v>
      </c>
      <c r="FN35" s="59">
        <f t="shared" si="253"/>
        <v>1461154.0944002005</v>
      </c>
      <c r="FO35" s="60">
        <f t="shared" si="254"/>
        <v>430807.32394700003</v>
      </c>
      <c r="FP35" s="59">
        <f t="shared" si="255"/>
        <v>1424162.8515039927</v>
      </c>
      <c r="FQ35" s="60">
        <f t="shared" si="256"/>
        <v>419617.52332500002</v>
      </c>
      <c r="FR35" s="59">
        <f t="shared" si="257"/>
        <v>1387171.6086077851</v>
      </c>
      <c r="FS35" s="55">
        <f t="shared" si="258"/>
        <v>408427.72270300001</v>
      </c>
      <c r="FT35" s="59">
        <f t="shared" si="259"/>
        <v>1350180.3657115775</v>
      </c>
      <c r="FU35" s="60">
        <f t="shared" si="260"/>
        <v>397237.922081</v>
      </c>
      <c r="FV35" s="59">
        <f t="shared" si="261"/>
        <v>1313189.1228153699</v>
      </c>
      <c r="FW35" s="60">
        <f t="shared" si="262"/>
        <v>386048.12145899999</v>
      </c>
      <c r="FX35" s="59">
        <f t="shared" si="263"/>
        <v>1276197.8799191623</v>
      </c>
      <c r="FY35" s="60">
        <f t="shared" si="264"/>
        <v>374858.32083699998</v>
      </c>
      <c r="FZ35" s="59">
        <f t="shared" si="265"/>
        <v>1239206.6370229546</v>
      </c>
      <c r="GA35" s="60">
        <f t="shared" si="266"/>
        <v>363668.52021499997</v>
      </c>
      <c r="GB35" s="59">
        <f t="shared" si="267"/>
        <v>1202215.3941267468</v>
      </c>
      <c r="GC35" s="55">
        <f t="shared" si="268"/>
        <v>352478.71959299996</v>
      </c>
      <c r="GD35" s="59">
        <f t="shared" si="269"/>
        <v>1165224.1512305392</v>
      </c>
      <c r="GE35" s="60">
        <f t="shared" si="270"/>
        <v>341288.91897099995</v>
      </c>
      <c r="GF35" s="59">
        <f t="shared" si="271"/>
        <v>1128232.9083343316</v>
      </c>
      <c r="GG35" s="60">
        <f t="shared" si="272"/>
        <v>330099.11834899994</v>
      </c>
      <c r="GH35" s="59">
        <f t="shared" si="273"/>
        <v>1091241.665438124</v>
      </c>
      <c r="GI35" s="55">
        <f t="shared" si="274"/>
        <v>318909.31772699993</v>
      </c>
      <c r="GJ35" s="59">
        <f t="shared" si="275"/>
        <v>1054250.4225419164</v>
      </c>
      <c r="GK35" s="55"/>
      <c r="GL35" s="55"/>
      <c r="GM35" s="55">
        <v>1</v>
      </c>
      <c r="GN35" s="55">
        <v>0.97</v>
      </c>
      <c r="GO35" s="55">
        <v>0.95</v>
      </c>
      <c r="GP35" s="55">
        <v>0.93</v>
      </c>
      <c r="GQ35" s="55">
        <f t="shared" si="276"/>
        <v>0.91</v>
      </c>
      <c r="GR35" s="55">
        <f t="shared" si="276"/>
        <v>0.89</v>
      </c>
      <c r="GS35" s="55">
        <f t="shared" si="276"/>
        <v>0.87</v>
      </c>
      <c r="GT35" s="55">
        <f t="shared" si="276"/>
        <v>0.85</v>
      </c>
      <c r="GU35" s="55">
        <f t="shared" si="276"/>
        <v>0.83</v>
      </c>
      <c r="GV35" s="55">
        <f t="shared" si="276"/>
        <v>0.80999999999999994</v>
      </c>
      <c r="GW35" s="55">
        <f t="shared" si="276"/>
        <v>0.78999999999999992</v>
      </c>
      <c r="GX35" s="55">
        <f t="shared" si="276"/>
        <v>0.76999999999999991</v>
      </c>
      <c r="GY35" s="55">
        <f t="shared" si="276"/>
        <v>0.74999999999999989</v>
      </c>
      <c r="GZ35" s="55">
        <f t="shared" si="276"/>
        <v>0.72999999999999987</v>
      </c>
      <c r="HA35" s="55">
        <f t="shared" si="276"/>
        <v>0.70999999999999985</v>
      </c>
      <c r="HB35" s="55">
        <f t="shared" si="276"/>
        <v>0.68999999999999984</v>
      </c>
      <c r="HC35" s="55">
        <f t="shared" si="276"/>
        <v>0.66999999999999982</v>
      </c>
      <c r="HD35" s="55">
        <f t="shared" si="276"/>
        <v>0.6499999999999998</v>
      </c>
      <c r="HE35" s="55">
        <f t="shared" si="276"/>
        <v>0.62999999999999978</v>
      </c>
      <c r="HF35" s="55">
        <f t="shared" si="276"/>
        <v>0.60999999999999976</v>
      </c>
      <c r="HG35" s="55">
        <f t="shared" si="276"/>
        <v>0.58999999999999975</v>
      </c>
      <c r="HH35" s="55">
        <f t="shared" si="276"/>
        <v>0.56999999999999973</v>
      </c>
    </row>
    <row r="36" spans="1:216" x14ac:dyDescent="0.3">
      <c r="A36" s="2">
        <v>3</v>
      </c>
      <c r="C36" s="38" t="s">
        <v>14</v>
      </c>
      <c r="D36" s="42">
        <f>TRUNC(9549,-1)</f>
        <v>9540</v>
      </c>
      <c r="E36" s="86">
        <f>TRUNC(+D36*3.3058,-1)</f>
        <v>31530</v>
      </c>
      <c r="H36" s="55">
        <f t="shared" si="60"/>
        <v>34683</v>
      </c>
      <c r="I36" s="55">
        <f t="shared" si="61"/>
        <v>34683</v>
      </c>
      <c r="J36" s="59">
        <f t="shared" si="62"/>
        <v>114655.06140000001</v>
      </c>
      <c r="K36" s="55">
        <f t="shared" si="147"/>
        <v>33642.51</v>
      </c>
      <c r="L36" s="59">
        <f t="shared" si="148"/>
        <v>111215.40955800001</v>
      </c>
      <c r="M36" s="55">
        <f t="shared" si="149"/>
        <v>32948.85</v>
      </c>
      <c r="N36" s="59">
        <f t="shared" si="150"/>
        <v>108922.30833</v>
      </c>
      <c r="O36" s="55">
        <f t="shared" si="151"/>
        <v>32255.190000000002</v>
      </c>
      <c r="P36" s="59">
        <f t="shared" si="152"/>
        <v>106629.20710200001</v>
      </c>
      <c r="Q36" s="57">
        <f t="shared" si="153"/>
        <v>31561.530000000002</v>
      </c>
      <c r="R36" s="59">
        <f t="shared" si="154"/>
        <v>104336.10587400002</v>
      </c>
      <c r="S36" s="55">
        <f t="shared" si="155"/>
        <v>30867.87</v>
      </c>
      <c r="T36" s="59">
        <f t="shared" si="156"/>
        <v>102043.004646</v>
      </c>
      <c r="U36" s="57">
        <f t="shared" si="157"/>
        <v>30174.21</v>
      </c>
      <c r="V36" s="59">
        <f t="shared" si="158"/>
        <v>99749.903418000002</v>
      </c>
      <c r="W36" s="60">
        <f t="shared" si="159"/>
        <v>29480.55</v>
      </c>
      <c r="X36" s="59">
        <f t="shared" si="160"/>
        <v>97456.802190000002</v>
      </c>
      <c r="Y36" s="57">
        <f t="shared" si="161"/>
        <v>28786.89</v>
      </c>
      <c r="Z36" s="59">
        <f t="shared" si="162"/>
        <v>95163.700962000003</v>
      </c>
      <c r="AA36" s="55">
        <f t="shared" si="163"/>
        <v>28093.23</v>
      </c>
      <c r="AB36" s="59">
        <f t="shared" si="164"/>
        <v>92870.599734000003</v>
      </c>
      <c r="AC36" s="60">
        <f t="shared" si="165"/>
        <v>27399.569999999996</v>
      </c>
      <c r="AD36" s="59">
        <f t="shared" si="166"/>
        <v>90577.498505999989</v>
      </c>
      <c r="AE36" s="60">
        <f t="shared" si="167"/>
        <v>26705.909999999996</v>
      </c>
      <c r="AF36" s="59">
        <f t="shared" si="168"/>
        <v>88284.397277999989</v>
      </c>
      <c r="AG36" s="60">
        <f t="shared" si="169"/>
        <v>26012.249999999996</v>
      </c>
      <c r="AH36" s="59">
        <f t="shared" si="170"/>
        <v>85991.29604999999</v>
      </c>
      <c r="AI36" s="55">
        <f t="shared" si="171"/>
        <v>25318.589999999997</v>
      </c>
      <c r="AJ36" s="59">
        <f t="shared" si="172"/>
        <v>83698.19482199999</v>
      </c>
      <c r="AK36" s="60">
        <f t="shared" si="173"/>
        <v>24624.929999999997</v>
      </c>
      <c r="AL36" s="59">
        <f t="shared" si="174"/>
        <v>81405.093593999991</v>
      </c>
      <c r="AM36" s="60">
        <f t="shared" si="175"/>
        <v>23931.269999999993</v>
      </c>
      <c r="AN36" s="59">
        <f t="shared" si="176"/>
        <v>79111.992365999977</v>
      </c>
      <c r="AO36" s="60">
        <f t="shared" si="177"/>
        <v>23237.609999999993</v>
      </c>
      <c r="AP36" s="59">
        <f t="shared" si="178"/>
        <v>76818.891137999977</v>
      </c>
      <c r="AQ36" s="60">
        <f t="shared" si="179"/>
        <v>22543.949999999993</v>
      </c>
      <c r="AR36" s="59">
        <f t="shared" si="180"/>
        <v>74525.789909999978</v>
      </c>
      <c r="AS36" s="55">
        <f t="shared" si="181"/>
        <v>21850.289999999994</v>
      </c>
      <c r="AT36" s="59">
        <f t="shared" si="182"/>
        <v>72232.688681999978</v>
      </c>
      <c r="AU36" s="60">
        <f t="shared" si="183"/>
        <v>21156.62999999999</v>
      </c>
      <c r="AV36" s="59">
        <f t="shared" si="184"/>
        <v>69939.587453999964</v>
      </c>
      <c r="AW36" s="60">
        <f t="shared" si="185"/>
        <v>20462.96999999999</v>
      </c>
      <c r="AX36" s="59">
        <f t="shared" si="186"/>
        <v>67646.486225999965</v>
      </c>
      <c r="AY36" s="55">
        <f t="shared" si="187"/>
        <v>19769.30999999999</v>
      </c>
      <c r="AZ36" s="59">
        <f t="shared" si="188"/>
        <v>65353.384997999972</v>
      </c>
      <c r="BC36" s="55">
        <v>1</v>
      </c>
      <c r="BD36" s="55">
        <v>0.97</v>
      </c>
      <c r="BE36" s="55">
        <v>0.95</v>
      </c>
      <c r="BF36" s="55">
        <v>0.93</v>
      </c>
      <c r="BG36" s="55">
        <f t="shared" si="142"/>
        <v>0.91</v>
      </c>
      <c r="BH36" s="55">
        <f t="shared" si="142"/>
        <v>0.89</v>
      </c>
      <c r="BI36" s="55">
        <f t="shared" si="142"/>
        <v>0.87</v>
      </c>
      <c r="BJ36" s="55">
        <f t="shared" si="142"/>
        <v>0.85</v>
      </c>
      <c r="BK36" s="55">
        <f t="shared" si="142"/>
        <v>0.83</v>
      </c>
      <c r="BL36" s="55">
        <f t="shared" si="142"/>
        <v>0.80999999999999994</v>
      </c>
      <c r="BM36" s="55">
        <f t="shared" si="142"/>
        <v>0.78999999999999992</v>
      </c>
      <c r="BN36" s="55">
        <f t="shared" si="142"/>
        <v>0.76999999999999991</v>
      </c>
      <c r="BO36" s="55">
        <f t="shared" si="142"/>
        <v>0.74999999999999989</v>
      </c>
      <c r="BP36" s="55">
        <f t="shared" si="142"/>
        <v>0.72999999999999987</v>
      </c>
      <c r="BQ36" s="55">
        <f t="shared" si="142"/>
        <v>0.70999999999999985</v>
      </c>
      <c r="BR36" s="55">
        <f t="shared" si="142"/>
        <v>0.68999999999999984</v>
      </c>
      <c r="BS36" s="55">
        <f t="shared" si="142"/>
        <v>0.66999999999999982</v>
      </c>
      <c r="BT36" s="55">
        <f t="shared" si="142"/>
        <v>0.6499999999999998</v>
      </c>
      <c r="BU36" s="55">
        <f t="shared" si="142"/>
        <v>0.62999999999999978</v>
      </c>
      <c r="BV36" s="55">
        <f t="shared" si="142"/>
        <v>0.60999999999999976</v>
      </c>
      <c r="BW36" s="55">
        <f t="shared" si="142"/>
        <v>0.58999999999999975</v>
      </c>
      <c r="BX36" s="55">
        <f t="shared" si="142"/>
        <v>0.56999999999999973</v>
      </c>
      <c r="BZ36" s="55">
        <f t="shared" si="87"/>
        <v>31561.530000000002</v>
      </c>
      <c r="CA36" s="55">
        <f t="shared" si="88"/>
        <v>31561.530000000002</v>
      </c>
      <c r="CB36" s="59">
        <f t="shared" si="189"/>
        <v>104336.10587400002</v>
      </c>
      <c r="CC36" s="55">
        <f t="shared" si="190"/>
        <v>30614.684100000002</v>
      </c>
      <c r="CD36" s="59">
        <f t="shared" si="191"/>
        <v>101206.02269778</v>
      </c>
      <c r="CE36" s="55">
        <f t="shared" si="192"/>
        <v>29983.4535</v>
      </c>
      <c r="CF36" s="59">
        <f t="shared" si="193"/>
        <v>99119.300580299998</v>
      </c>
      <c r="CG36" s="55">
        <f t="shared" si="194"/>
        <v>29352.222900000004</v>
      </c>
      <c r="CH36" s="59">
        <f t="shared" si="195"/>
        <v>97032.57846282002</v>
      </c>
      <c r="CI36" s="57">
        <f t="shared" si="196"/>
        <v>28720.992300000002</v>
      </c>
      <c r="CJ36" s="59">
        <f t="shared" si="197"/>
        <v>94945.856345340013</v>
      </c>
      <c r="CK36" s="55">
        <f t="shared" si="198"/>
        <v>28089.761700000003</v>
      </c>
      <c r="CL36" s="59">
        <f t="shared" si="199"/>
        <v>92859.134227860006</v>
      </c>
      <c r="CM36" s="57">
        <f t="shared" si="200"/>
        <v>27458.531100000004</v>
      </c>
      <c r="CN36" s="59">
        <f t="shared" si="201"/>
        <v>90772.412110380013</v>
      </c>
      <c r="CO36" s="60">
        <f t="shared" si="202"/>
        <v>26827.300500000001</v>
      </c>
      <c r="CP36" s="59">
        <f t="shared" si="203"/>
        <v>88685.689992900006</v>
      </c>
      <c r="CQ36" s="57">
        <f t="shared" si="204"/>
        <v>26196.069900000002</v>
      </c>
      <c r="CR36" s="59">
        <f t="shared" si="205"/>
        <v>86598.967875420014</v>
      </c>
      <c r="CS36" s="55">
        <f t="shared" si="206"/>
        <v>25564.8393</v>
      </c>
      <c r="CT36" s="59">
        <f t="shared" si="207"/>
        <v>84512.245757940007</v>
      </c>
      <c r="CU36" s="60">
        <f t="shared" si="208"/>
        <v>24933.608700000001</v>
      </c>
      <c r="CV36" s="59">
        <f t="shared" si="209"/>
        <v>82425.52364046</v>
      </c>
      <c r="CW36" s="60">
        <f t="shared" si="210"/>
        <v>24302.378099999998</v>
      </c>
      <c r="CX36" s="59">
        <f t="shared" si="211"/>
        <v>80338.801522979993</v>
      </c>
      <c r="CY36" s="60">
        <f t="shared" si="212"/>
        <v>23671.147499999999</v>
      </c>
      <c r="CZ36" s="59">
        <f t="shared" si="213"/>
        <v>78252.079405500001</v>
      </c>
      <c r="DA36" s="55">
        <f t="shared" si="214"/>
        <v>23039.916899999997</v>
      </c>
      <c r="DB36" s="59">
        <f t="shared" si="215"/>
        <v>76165.357288019994</v>
      </c>
      <c r="DC36" s="60">
        <f t="shared" si="216"/>
        <v>22408.686299999998</v>
      </c>
      <c r="DD36" s="59">
        <f t="shared" si="217"/>
        <v>74078.635170539987</v>
      </c>
      <c r="DE36" s="60">
        <f t="shared" si="218"/>
        <v>21777.455699999995</v>
      </c>
      <c r="DF36" s="59">
        <f t="shared" si="219"/>
        <v>71991.91305305998</v>
      </c>
      <c r="DG36" s="60">
        <f t="shared" si="220"/>
        <v>21146.225099999996</v>
      </c>
      <c r="DH36" s="59">
        <f t="shared" si="221"/>
        <v>69905.190935579987</v>
      </c>
      <c r="DI36" s="60">
        <f t="shared" si="222"/>
        <v>20514.994499999997</v>
      </c>
      <c r="DJ36" s="59">
        <f t="shared" si="223"/>
        <v>67818.468818099995</v>
      </c>
      <c r="DK36" s="55">
        <f t="shared" si="224"/>
        <v>19883.763899999994</v>
      </c>
      <c r="DL36" s="59">
        <f t="shared" si="225"/>
        <v>65731.746700619988</v>
      </c>
      <c r="DM36" s="60">
        <f t="shared" si="226"/>
        <v>19252.533299999996</v>
      </c>
      <c r="DN36" s="59">
        <f t="shared" si="227"/>
        <v>63645.024583139988</v>
      </c>
      <c r="DO36" s="60">
        <f t="shared" si="228"/>
        <v>18621.302699999993</v>
      </c>
      <c r="DP36" s="59">
        <f t="shared" si="229"/>
        <v>61558.302465659981</v>
      </c>
      <c r="DQ36" s="55">
        <f t="shared" si="230"/>
        <v>17990.072099999994</v>
      </c>
      <c r="DR36" s="59">
        <f t="shared" si="231"/>
        <v>59471.580348179981</v>
      </c>
      <c r="DU36" s="55">
        <v>1</v>
      </c>
      <c r="DV36" s="55">
        <v>0.97</v>
      </c>
      <c r="DW36" s="55">
        <v>0.95</v>
      </c>
      <c r="DX36" s="55">
        <v>0.93</v>
      </c>
      <c r="DY36" s="55">
        <f t="shared" si="232"/>
        <v>0.91</v>
      </c>
      <c r="DZ36" s="55">
        <f t="shared" si="232"/>
        <v>0.89</v>
      </c>
      <c r="EA36" s="55">
        <f t="shared" si="232"/>
        <v>0.87</v>
      </c>
      <c r="EB36" s="55">
        <f t="shared" si="232"/>
        <v>0.85</v>
      </c>
      <c r="EC36" s="55">
        <f t="shared" si="232"/>
        <v>0.83</v>
      </c>
      <c r="ED36" s="55">
        <f t="shared" si="232"/>
        <v>0.80999999999999994</v>
      </c>
      <c r="EE36" s="55">
        <f t="shared" si="232"/>
        <v>0.78999999999999992</v>
      </c>
      <c r="EF36" s="55">
        <f t="shared" si="232"/>
        <v>0.76999999999999991</v>
      </c>
      <c r="EG36" s="55">
        <f t="shared" si="232"/>
        <v>0.74999999999999989</v>
      </c>
      <c r="EH36" s="55">
        <f t="shared" si="232"/>
        <v>0.72999999999999987</v>
      </c>
      <c r="EI36" s="55">
        <f t="shared" si="232"/>
        <v>0.70999999999999985</v>
      </c>
      <c r="EJ36" s="55">
        <f t="shared" si="232"/>
        <v>0.68999999999999984</v>
      </c>
      <c r="EK36" s="55">
        <f t="shared" si="232"/>
        <v>0.66999999999999982</v>
      </c>
      <c r="EL36" s="55">
        <f t="shared" si="232"/>
        <v>0.6499999999999998</v>
      </c>
      <c r="EM36" s="55">
        <f t="shared" si="232"/>
        <v>0.62999999999999978</v>
      </c>
      <c r="EN36" s="55">
        <f t="shared" si="232"/>
        <v>0.60999999999999976</v>
      </c>
      <c r="EO36" s="55">
        <f t="shared" si="232"/>
        <v>0.58999999999999975</v>
      </c>
      <c r="EP36" s="55">
        <f t="shared" si="232"/>
        <v>0.56999999999999973</v>
      </c>
      <c r="ER36" s="55">
        <f t="shared" si="141"/>
        <v>28720.992300000002</v>
      </c>
      <c r="ES36" s="55">
        <f t="shared" si="115"/>
        <v>28720.992300000002</v>
      </c>
      <c r="ET36" s="59">
        <f t="shared" si="233"/>
        <v>94945.856345340013</v>
      </c>
      <c r="EU36" s="55">
        <f t="shared" si="234"/>
        <v>27859.362531000002</v>
      </c>
      <c r="EV36" s="59">
        <f t="shared" si="235"/>
        <v>92097.480654979809</v>
      </c>
      <c r="EW36" s="55">
        <f t="shared" si="236"/>
        <v>27284.942685000002</v>
      </c>
      <c r="EX36" s="59">
        <f t="shared" si="237"/>
        <v>90198.563528073006</v>
      </c>
      <c r="EY36" s="55">
        <f t="shared" si="238"/>
        <v>26710.522839000005</v>
      </c>
      <c r="EZ36" s="59">
        <f t="shared" si="239"/>
        <v>88299.646401166217</v>
      </c>
      <c r="FA36" s="57">
        <f t="shared" si="240"/>
        <v>26136.102993000004</v>
      </c>
      <c r="FB36" s="59">
        <f t="shared" si="241"/>
        <v>86400.729274259415</v>
      </c>
      <c r="FC36" s="55">
        <f t="shared" si="242"/>
        <v>25561.683147000003</v>
      </c>
      <c r="FD36" s="59">
        <f t="shared" si="243"/>
        <v>84501.812147352612</v>
      </c>
      <c r="FE36" s="57">
        <f t="shared" si="244"/>
        <v>24987.263301000003</v>
      </c>
      <c r="FF36" s="59">
        <f t="shared" si="245"/>
        <v>82602.895020445809</v>
      </c>
      <c r="FG36" s="60">
        <f t="shared" si="246"/>
        <v>24412.843455000002</v>
      </c>
      <c r="FH36" s="59">
        <f t="shared" si="247"/>
        <v>80703.977893539006</v>
      </c>
      <c r="FI36" s="57">
        <f t="shared" si="248"/>
        <v>23838.423609000001</v>
      </c>
      <c r="FJ36" s="59">
        <f t="shared" si="249"/>
        <v>78805.060766632203</v>
      </c>
      <c r="FK36" s="55">
        <f t="shared" si="250"/>
        <v>23264.003763000001</v>
      </c>
      <c r="FL36" s="59">
        <f t="shared" si="251"/>
        <v>76906.1436397254</v>
      </c>
      <c r="FM36" s="60">
        <f t="shared" si="252"/>
        <v>22689.583917</v>
      </c>
      <c r="FN36" s="59">
        <f t="shared" si="253"/>
        <v>75007.226512818597</v>
      </c>
      <c r="FO36" s="60">
        <f t="shared" si="254"/>
        <v>22115.164070999999</v>
      </c>
      <c r="FP36" s="59">
        <f t="shared" si="255"/>
        <v>73108.309385911794</v>
      </c>
      <c r="FQ36" s="60">
        <f t="shared" si="256"/>
        <v>21540.744224999999</v>
      </c>
      <c r="FR36" s="59">
        <f t="shared" si="257"/>
        <v>71209.392259004992</v>
      </c>
      <c r="FS36" s="55">
        <f t="shared" si="258"/>
        <v>20966.324378999998</v>
      </c>
      <c r="FT36" s="59">
        <f t="shared" si="259"/>
        <v>69310.475132098189</v>
      </c>
      <c r="FU36" s="60">
        <f t="shared" si="260"/>
        <v>20391.904532999997</v>
      </c>
      <c r="FV36" s="59">
        <f t="shared" si="261"/>
        <v>67411.558005191386</v>
      </c>
      <c r="FW36" s="60">
        <f t="shared" si="262"/>
        <v>19817.484686999996</v>
      </c>
      <c r="FX36" s="59">
        <f t="shared" si="263"/>
        <v>65512.64087828459</v>
      </c>
      <c r="FY36" s="60">
        <f t="shared" si="264"/>
        <v>19243.064840999996</v>
      </c>
      <c r="FZ36" s="59">
        <f t="shared" si="265"/>
        <v>63613.723751377787</v>
      </c>
      <c r="GA36" s="60">
        <f t="shared" si="266"/>
        <v>18668.644994999995</v>
      </c>
      <c r="GB36" s="59">
        <f t="shared" si="267"/>
        <v>61714.806624470984</v>
      </c>
      <c r="GC36" s="55">
        <f t="shared" si="268"/>
        <v>18094.225148999994</v>
      </c>
      <c r="GD36" s="59">
        <f t="shared" si="269"/>
        <v>59815.889497564182</v>
      </c>
      <c r="GE36" s="60">
        <f t="shared" si="270"/>
        <v>17519.805302999994</v>
      </c>
      <c r="GF36" s="59">
        <f t="shared" si="271"/>
        <v>57916.972370657379</v>
      </c>
      <c r="GG36" s="60">
        <f t="shared" si="272"/>
        <v>16945.385456999993</v>
      </c>
      <c r="GH36" s="59">
        <f t="shared" si="273"/>
        <v>56018.055243750576</v>
      </c>
      <c r="GI36" s="55">
        <f t="shared" si="274"/>
        <v>16370.965610999992</v>
      </c>
      <c r="GJ36" s="59">
        <f t="shared" si="275"/>
        <v>54119.138116843773</v>
      </c>
      <c r="GK36" s="55"/>
      <c r="GL36" s="55"/>
      <c r="GM36" s="55">
        <v>1</v>
      </c>
      <c r="GN36" s="55">
        <v>0.97</v>
      </c>
      <c r="GO36" s="55">
        <v>0.95</v>
      </c>
      <c r="GP36" s="55">
        <v>0.93</v>
      </c>
      <c r="GQ36" s="55">
        <f t="shared" si="276"/>
        <v>0.91</v>
      </c>
      <c r="GR36" s="55">
        <f t="shared" si="276"/>
        <v>0.89</v>
      </c>
      <c r="GS36" s="55">
        <f t="shared" si="276"/>
        <v>0.87</v>
      </c>
      <c r="GT36" s="55">
        <f t="shared" si="276"/>
        <v>0.85</v>
      </c>
      <c r="GU36" s="55">
        <f t="shared" si="276"/>
        <v>0.83</v>
      </c>
      <c r="GV36" s="55">
        <f t="shared" si="276"/>
        <v>0.80999999999999994</v>
      </c>
      <c r="GW36" s="55">
        <f t="shared" si="276"/>
        <v>0.78999999999999992</v>
      </c>
      <c r="GX36" s="55">
        <f t="shared" si="276"/>
        <v>0.76999999999999991</v>
      </c>
      <c r="GY36" s="55">
        <f t="shared" si="276"/>
        <v>0.74999999999999989</v>
      </c>
      <c r="GZ36" s="55">
        <f t="shared" si="276"/>
        <v>0.72999999999999987</v>
      </c>
      <c r="HA36" s="55">
        <f t="shared" si="276"/>
        <v>0.70999999999999985</v>
      </c>
      <c r="HB36" s="55">
        <f t="shared" si="276"/>
        <v>0.68999999999999984</v>
      </c>
      <c r="HC36" s="55">
        <f t="shared" si="276"/>
        <v>0.66999999999999982</v>
      </c>
      <c r="HD36" s="55">
        <f t="shared" si="276"/>
        <v>0.6499999999999998</v>
      </c>
      <c r="HE36" s="55">
        <f t="shared" si="276"/>
        <v>0.62999999999999978</v>
      </c>
      <c r="HF36" s="55">
        <f t="shared" si="276"/>
        <v>0.60999999999999976</v>
      </c>
      <c r="HG36" s="55">
        <f t="shared" si="276"/>
        <v>0.58999999999999975</v>
      </c>
      <c r="HH36" s="55">
        <f t="shared" si="276"/>
        <v>0.56999999999999973</v>
      </c>
    </row>
    <row r="37" spans="1:216" x14ac:dyDescent="0.3">
      <c r="A37" s="2">
        <v>4</v>
      </c>
      <c r="C37" s="38" t="s">
        <v>16</v>
      </c>
      <c r="D37" s="42">
        <f>TRUNC(46146,-1)</f>
        <v>46140</v>
      </c>
      <c r="E37" s="86">
        <f>TRUNC(+D37*3.3058,-1)</f>
        <v>152520</v>
      </c>
      <c r="H37" s="55">
        <f t="shared" si="60"/>
        <v>167772</v>
      </c>
      <c r="I37" s="55">
        <f t="shared" si="61"/>
        <v>167772</v>
      </c>
      <c r="J37" s="59">
        <f t="shared" si="62"/>
        <v>554620.67760000005</v>
      </c>
      <c r="K37" s="55">
        <f t="shared" si="147"/>
        <v>162738.84</v>
      </c>
      <c r="L37" s="59">
        <f t="shared" si="148"/>
        <v>537982.05727200001</v>
      </c>
      <c r="M37" s="55">
        <f t="shared" si="149"/>
        <v>159383.4</v>
      </c>
      <c r="N37" s="59">
        <f t="shared" si="150"/>
        <v>526889.64371999993</v>
      </c>
      <c r="O37" s="55">
        <f t="shared" si="151"/>
        <v>156027.96000000002</v>
      </c>
      <c r="P37" s="59">
        <f t="shared" si="152"/>
        <v>515797.2301680001</v>
      </c>
      <c r="Q37" s="57">
        <f t="shared" si="153"/>
        <v>152672.52000000002</v>
      </c>
      <c r="R37" s="59">
        <f t="shared" si="154"/>
        <v>504704.81661600008</v>
      </c>
      <c r="S37" s="55">
        <f t="shared" si="155"/>
        <v>149317.08000000002</v>
      </c>
      <c r="T37" s="59">
        <f t="shared" si="156"/>
        <v>493612.40306400007</v>
      </c>
      <c r="U37" s="57">
        <f t="shared" si="157"/>
        <v>145961.63999999998</v>
      </c>
      <c r="V37" s="59">
        <f t="shared" si="158"/>
        <v>482519.98951199994</v>
      </c>
      <c r="W37" s="60">
        <f t="shared" si="159"/>
        <v>142606.19999999998</v>
      </c>
      <c r="X37" s="59">
        <f t="shared" si="160"/>
        <v>471427.57595999993</v>
      </c>
      <c r="Y37" s="57">
        <f t="shared" si="161"/>
        <v>139250.75999999998</v>
      </c>
      <c r="Z37" s="59">
        <f t="shared" si="162"/>
        <v>460335.16240799992</v>
      </c>
      <c r="AA37" s="55">
        <f t="shared" si="163"/>
        <v>135895.31999999998</v>
      </c>
      <c r="AB37" s="59">
        <f t="shared" si="164"/>
        <v>449242.74885599996</v>
      </c>
      <c r="AC37" s="60">
        <f t="shared" si="165"/>
        <v>132539.87999999998</v>
      </c>
      <c r="AD37" s="59">
        <f t="shared" si="166"/>
        <v>438150.33530399995</v>
      </c>
      <c r="AE37" s="60">
        <f t="shared" si="167"/>
        <v>129184.43999999999</v>
      </c>
      <c r="AF37" s="59">
        <f t="shared" si="168"/>
        <v>427057.92175199999</v>
      </c>
      <c r="AG37" s="60">
        <f t="shared" si="169"/>
        <v>125828.99999999999</v>
      </c>
      <c r="AH37" s="59">
        <f t="shared" si="170"/>
        <v>415965.50819999998</v>
      </c>
      <c r="AI37" s="55">
        <f t="shared" si="171"/>
        <v>122473.55999999998</v>
      </c>
      <c r="AJ37" s="59">
        <f t="shared" si="172"/>
        <v>404873.09464799997</v>
      </c>
      <c r="AK37" s="60">
        <f t="shared" si="173"/>
        <v>119118.11999999998</v>
      </c>
      <c r="AL37" s="59">
        <f t="shared" si="174"/>
        <v>393780.68109599996</v>
      </c>
      <c r="AM37" s="60">
        <f t="shared" si="175"/>
        <v>115762.67999999998</v>
      </c>
      <c r="AN37" s="59">
        <f t="shared" si="176"/>
        <v>382688.26754399994</v>
      </c>
      <c r="AO37" s="60">
        <f t="shared" si="177"/>
        <v>112407.23999999998</v>
      </c>
      <c r="AP37" s="59">
        <f t="shared" si="178"/>
        <v>371595.85399199993</v>
      </c>
      <c r="AQ37" s="60">
        <f t="shared" si="179"/>
        <v>109051.79999999996</v>
      </c>
      <c r="AR37" s="59">
        <f t="shared" si="180"/>
        <v>360503.44043999986</v>
      </c>
      <c r="AS37" s="55">
        <f t="shared" si="181"/>
        <v>105696.35999999996</v>
      </c>
      <c r="AT37" s="59">
        <f t="shared" si="182"/>
        <v>349411.02688799985</v>
      </c>
      <c r="AU37" s="60">
        <f t="shared" si="183"/>
        <v>102340.91999999995</v>
      </c>
      <c r="AV37" s="59">
        <f t="shared" si="184"/>
        <v>338318.61333599983</v>
      </c>
      <c r="AW37" s="60">
        <f t="shared" si="185"/>
        <v>98985.479999999952</v>
      </c>
      <c r="AX37" s="59">
        <f t="shared" si="186"/>
        <v>327226.19978399982</v>
      </c>
      <c r="AY37" s="55">
        <f t="shared" si="187"/>
        <v>95630.03999999995</v>
      </c>
      <c r="AZ37" s="59">
        <f t="shared" si="188"/>
        <v>316133.78623199987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si="142"/>
        <v>0.91</v>
      </c>
      <c r="BH37" s="55">
        <f t="shared" si="142"/>
        <v>0.89</v>
      </c>
      <c r="BI37" s="55">
        <f t="shared" si="142"/>
        <v>0.87</v>
      </c>
      <c r="BJ37" s="55">
        <f t="shared" si="142"/>
        <v>0.85</v>
      </c>
      <c r="BK37" s="55">
        <f t="shared" si="142"/>
        <v>0.83</v>
      </c>
      <c r="BL37" s="55">
        <f t="shared" si="142"/>
        <v>0.80999999999999994</v>
      </c>
      <c r="BM37" s="55">
        <f t="shared" si="142"/>
        <v>0.78999999999999992</v>
      </c>
      <c r="BN37" s="55">
        <f t="shared" si="142"/>
        <v>0.76999999999999991</v>
      </c>
      <c r="BO37" s="55">
        <f t="shared" si="142"/>
        <v>0.74999999999999989</v>
      </c>
      <c r="BP37" s="55">
        <f t="shared" si="142"/>
        <v>0.72999999999999987</v>
      </c>
      <c r="BQ37" s="55">
        <f t="shared" si="142"/>
        <v>0.70999999999999985</v>
      </c>
      <c r="BR37" s="55">
        <f t="shared" si="142"/>
        <v>0.68999999999999984</v>
      </c>
      <c r="BS37" s="55">
        <f t="shared" si="142"/>
        <v>0.66999999999999982</v>
      </c>
      <c r="BT37" s="55">
        <f t="shared" si="142"/>
        <v>0.6499999999999998</v>
      </c>
      <c r="BU37" s="55">
        <f t="shared" si="142"/>
        <v>0.62999999999999978</v>
      </c>
      <c r="BV37" s="55">
        <f t="shared" si="142"/>
        <v>0.60999999999999976</v>
      </c>
      <c r="BW37" s="55">
        <f t="shared" si="142"/>
        <v>0.58999999999999975</v>
      </c>
      <c r="BX37" s="55">
        <f t="shared" si="142"/>
        <v>0.56999999999999973</v>
      </c>
      <c r="BZ37" s="55">
        <f t="shared" si="87"/>
        <v>152672.52000000002</v>
      </c>
      <c r="CA37" s="55">
        <f t="shared" si="88"/>
        <v>152672.52000000002</v>
      </c>
      <c r="CB37" s="59">
        <f t="shared" si="189"/>
        <v>504704.81661600008</v>
      </c>
      <c r="CC37" s="55">
        <f t="shared" si="190"/>
        <v>148092.3444</v>
      </c>
      <c r="CD37" s="59">
        <f t="shared" si="191"/>
        <v>489563.67211752001</v>
      </c>
      <c r="CE37" s="55">
        <f t="shared" si="192"/>
        <v>145038.894</v>
      </c>
      <c r="CF37" s="59">
        <f t="shared" si="193"/>
        <v>479469.5757852</v>
      </c>
      <c r="CG37" s="55">
        <f t="shared" si="194"/>
        <v>141985.44360000003</v>
      </c>
      <c r="CH37" s="59">
        <f t="shared" si="195"/>
        <v>469375.4794528801</v>
      </c>
      <c r="CI37" s="57">
        <f t="shared" si="196"/>
        <v>138931.99320000003</v>
      </c>
      <c r="CJ37" s="59">
        <f t="shared" si="197"/>
        <v>459281.38312056009</v>
      </c>
      <c r="CK37" s="55">
        <f t="shared" si="198"/>
        <v>135878.54280000002</v>
      </c>
      <c r="CL37" s="59">
        <f t="shared" si="199"/>
        <v>449187.28678824008</v>
      </c>
      <c r="CM37" s="57">
        <f t="shared" si="200"/>
        <v>132825.09240000002</v>
      </c>
      <c r="CN37" s="59">
        <f t="shared" si="201"/>
        <v>439093.19045592006</v>
      </c>
      <c r="CO37" s="60">
        <f t="shared" si="202"/>
        <v>129771.64200000001</v>
      </c>
      <c r="CP37" s="59">
        <f t="shared" si="203"/>
        <v>428999.09412360005</v>
      </c>
      <c r="CQ37" s="57">
        <f t="shared" si="204"/>
        <v>126718.19160000001</v>
      </c>
      <c r="CR37" s="59">
        <f t="shared" si="205"/>
        <v>418904.99779128004</v>
      </c>
      <c r="CS37" s="55">
        <f t="shared" si="206"/>
        <v>123664.7412</v>
      </c>
      <c r="CT37" s="59">
        <f t="shared" si="207"/>
        <v>408810.90145896003</v>
      </c>
      <c r="CU37" s="60">
        <f t="shared" si="208"/>
        <v>120611.2908</v>
      </c>
      <c r="CV37" s="59">
        <f t="shared" si="209"/>
        <v>398716.80512664001</v>
      </c>
      <c r="CW37" s="60">
        <f t="shared" si="210"/>
        <v>117557.8404</v>
      </c>
      <c r="CX37" s="59">
        <f t="shared" si="211"/>
        <v>388622.70879432</v>
      </c>
      <c r="CY37" s="60">
        <f t="shared" si="212"/>
        <v>114504.39</v>
      </c>
      <c r="CZ37" s="59">
        <f t="shared" si="213"/>
        <v>378528.61246199999</v>
      </c>
      <c r="DA37" s="55">
        <f t="shared" si="214"/>
        <v>111450.9396</v>
      </c>
      <c r="DB37" s="59">
        <f t="shared" si="215"/>
        <v>368434.51612967998</v>
      </c>
      <c r="DC37" s="60">
        <f t="shared" si="216"/>
        <v>108397.4892</v>
      </c>
      <c r="DD37" s="59">
        <f t="shared" si="217"/>
        <v>358340.41979736002</v>
      </c>
      <c r="DE37" s="60">
        <f t="shared" si="218"/>
        <v>105344.03879999999</v>
      </c>
      <c r="DF37" s="59">
        <f t="shared" si="219"/>
        <v>348246.32346504001</v>
      </c>
      <c r="DG37" s="60">
        <f t="shared" si="220"/>
        <v>102290.58839999998</v>
      </c>
      <c r="DH37" s="59">
        <f t="shared" si="221"/>
        <v>338152.22713271994</v>
      </c>
      <c r="DI37" s="60">
        <f t="shared" si="222"/>
        <v>99237.137999999977</v>
      </c>
      <c r="DJ37" s="59">
        <f t="shared" si="223"/>
        <v>328058.13080039993</v>
      </c>
      <c r="DK37" s="55">
        <f t="shared" si="224"/>
        <v>96183.687599999976</v>
      </c>
      <c r="DL37" s="59">
        <f t="shared" si="225"/>
        <v>317964.03446807992</v>
      </c>
      <c r="DM37" s="60">
        <f t="shared" si="226"/>
        <v>93130.237199999974</v>
      </c>
      <c r="DN37" s="59">
        <f t="shared" si="227"/>
        <v>307869.9381357599</v>
      </c>
      <c r="DO37" s="60">
        <f t="shared" si="228"/>
        <v>90076.786799999973</v>
      </c>
      <c r="DP37" s="59">
        <f t="shared" si="229"/>
        <v>297775.84180343989</v>
      </c>
      <c r="DQ37" s="55">
        <f t="shared" si="230"/>
        <v>87023.336399999971</v>
      </c>
      <c r="DR37" s="59">
        <f t="shared" si="231"/>
        <v>287681.74547111994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232"/>
        <v>0.91</v>
      </c>
      <c r="DZ37" s="55">
        <f t="shared" si="232"/>
        <v>0.89</v>
      </c>
      <c r="EA37" s="55">
        <f t="shared" si="232"/>
        <v>0.87</v>
      </c>
      <c r="EB37" s="55">
        <f t="shared" si="232"/>
        <v>0.85</v>
      </c>
      <c r="EC37" s="55">
        <f t="shared" si="232"/>
        <v>0.83</v>
      </c>
      <c r="ED37" s="55">
        <f t="shared" si="232"/>
        <v>0.80999999999999994</v>
      </c>
      <c r="EE37" s="55">
        <f t="shared" si="232"/>
        <v>0.78999999999999992</v>
      </c>
      <c r="EF37" s="55">
        <f t="shared" si="232"/>
        <v>0.76999999999999991</v>
      </c>
      <c r="EG37" s="55">
        <f t="shared" si="232"/>
        <v>0.74999999999999989</v>
      </c>
      <c r="EH37" s="55">
        <f t="shared" si="232"/>
        <v>0.72999999999999987</v>
      </c>
      <c r="EI37" s="55">
        <f t="shared" si="232"/>
        <v>0.70999999999999985</v>
      </c>
      <c r="EJ37" s="55">
        <f t="shared" si="232"/>
        <v>0.68999999999999984</v>
      </c>
      <c r="EK37" s="55">
        <f t="shared" si="232"/>
        <v>0.66999999999999982</v>
      </c>
      <c r="EL37" s="55">
        <f t="shared" si="232"/>
        <v>0.6499999999999998</v>
      </c>
      <c r="EM37" s="55">
        <f t="shared" si="232"/>
        <v>0.62999999999999978</v>
      </c>
      <c r="EN37" s="55">
        <f t="shared" si="232"/>
        <v>0.60999999999999976</v>
      </c>
      <c r="EO37" s="55">
        <f t="shared" si="232"/>
        <v>0.58999999999999975</v>
      </c>
      <c r="EP37" s="55">
        <f t="shared" si="232"/>
        <v>0.56999999999999973</v>
      </c>
      <c r="ER37" s="55">
        <f t="shared" si="141"/>
        <v>138931.99320000003</v>
      </c>
      <c r="ES37" s="55">
        <f t="shared" si="115"/>
        <v>138931.99320000003</v>
      </c>
      <c r="ET37" s="59">
        <f t="shared" si="233"/>
        <v>459281.38312056009</v>
      </c>
      <c r="EU37" s="55">
        <f t="shared" si="234"/>
        <v>134764.03340400002</v>
      </c>
      <c r="EV37" s="59">
        <f t="shared" si="235"/>
        <v>445502.94162694324</v>
      </c>
      <c r="EW37" s="55">
        <f t="shared" si="236"/>
        <v>131985.39354000002</v>
      </c>
      <c r="EX37" s="59">
        <f t="shared" si="237"/>
        <v>436317.31396453205</v>
      </c>
      <c r="EY37" s="55">
        <f t="shared" si="238"/>
        <v>129206.75367600004</v>
      </c>
      <c r="EZ37" s="59">
        <f t="shared" si="239"/>
        <v>427131.68630212091</v>
      </c>
      <c r="FA37" s="57">
        <f t="shared" si="240"/>
        <v>126428.11381200003</v>
      </c>
      <c r="FB37" s="59">
        <f t="shared" si="241"/>
        <v>417946.05863970966</v>
      </c>
      <c r="FC37" s="55">
        <f t="shared" si="242"/>
        <v>123649.47394800003</v>
      </c>
      <c r="FD37" s="59">
        <f t="shared" si="243"/>
        <v>408760.43097729853</v>
      </c>
      <c r="FE37" s="57">
        <f t="shared" si="244"/>
        <v>120870.83408400002</v>
      </c>
      <c r="FF37" s="59">
        <f t="shared" si="245"/>
        <v>399574.80331488728</v>
      </c>
      <c r="FG37" s="60">
        <f t="shared" si="246"/>
        <v>118092.19422000002</v>
      </c>
      <c r="FH37" s="59">
        <f t="shared" si="247"/>
        <v>390389.17565247609</v>
      </c>
      <c r="FI37" s="57">
        <f t="shared" si="248"/>
        <v>115313.55435600002</v>
      </c>
      <c r="FJ37" s="59">
        <f t="shared" si="249"/>
        <v>381203.54799006489</v>
      </c>
      <c r="FK37" s="55">
        <f t="shared" si="250"/>
        <v>112534.91449200001</v>
      </c>
      <c r="FL37" s="59">
        <f t="shared" si="251"/>
        <v>372017.92032765364</v>
      </c>
      <c r="FM37" s="60">
        <f t="shared" si="252"/>
        <v>109756.27462800001</v>
      </c>
      <c r="FN37" s="59">
        <f t="shared" si="253"/>
        <v>362832.29266524245</v>
      </c>
      <c r="FO37" s="60">
        <f t="shared" si="254"/>
        <v>106977.634764</v>
      </c>
      <c r="FP37" s="59">
        <f t="shared" si="255"/>
        <v>353646.6650028312</v>
      </c>
      <c r="FQ37" s="60">
        <f t="shared" si="256"/>
        <v>104198.99490000001</v>
      </c>
      <c r="FR37" s="59">
        <f t="shared" si="257"/>
        <v>344461.03734042001</v>
      </c>
      <c r="FS37" s="55">
        <f t="shared" si="258"/>
        <v>101420.35503600001</v>
      </c>
      <c r="FT37" s="59">
        <f t="shared" si="259"/>
        <v>335275.40967800881</v>
      </c>
      <c r="FU37" s="60">
        <f t="shared" si="260"/>
        <v>98641.715171999997</v>
      </c>
      <c r="FV37" s="59">
        <f t="shared" si="261"/>
        <v>326089.78201559762</v>
      </c>
      <c r="FW37" s="60">
        <f t="shared" si="262"/>
        <v>95863.075307999999</v>
      </c>
      <c r="FX37" s="59">
        <f t="shared" si="263"/>
        <v>316904.15435318643</v>
      </c>
      <c r="FY37" s="60">
        <f t="shared" si="264"/>
        <v>93084.435443999988</v>
      </c>
      <c r="FZ37" s="59">
        <f t="shared" si="265"/>
        <v>307718.52669077518</v>
      </c>
      <c r="GA37" s="60">
        <f t="shared" si="266"/>
        <v>90305.795579999991</v>
      </c>
      <c r="GB37" s="59">
        <f t="shared" si="267"/>
        <v>298532.89902836399</v>
      </c>
      <c r="GC37" s="55">
        <f t="shared" si="268"/>
        <v>87527.155715999979</v>
      </c>
      <c r="GD37" s="59">
        <f t="shared" si="269"/>
        <v>289347.27136595274</v>
      </c>
      <c r="GE37" s="60">
        <f t="shared" si="270"/>
        <v>84748.515851999982</v>
      </c>
      <c r="GF37" s="59">
        <f t="shared" si="271"/>
        <v>280161.64370354154</v>
      </c>
      <c r="GG37" s="60">
        <f t="shared" si="272"/>
        <v>81969.875987999985</v>
      </c>
      <c r="GH37" s="59">
        <f t="shared" si="273"/>
        <v>270976.01604113035</v>
      </c>
      <c r="GI37" s="55">
        <f t="shared" si="274"/>
        <v>79191.236123999974</v>
      </c>
      <c r="GJ37" s="59">
        <f t="shared" si="275"/>
        <v>261790.38837871913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276"/>
        <v>0.91</v>
      </c>
      <c r="GR37" s="55">
        <f t="shared" si="276"/>
        <v>0.89</v>
      </c>
      <c r="GS37" s="55">
        <f t="shared" si="276"/>
        <v>0.87</v>
      </c>
      <c r="GT37" s="55">
        <f t="shared" si="276"/>
        <v>0.85</v>
      </c>
      <c r="GU37" s="55">
        <f t="shared" si="276"/>
        <v>0.83</v>
      </c>
      <c r="GV37" s="55">
        <f t="shared" si="276"/>
        <v>0.80999999999999994</v>
      </c>
      <c r="GW37" s="55">
        <f t="shared" si="276"/>
        <v>0.78999999999999992</v>
      </c>
      <c r="GX37" s="55">
        <f t="shared" si="276"/>
        <v>0.76999999999999991</v>
      </c>
      <c r="GY37" s="55">
        <f t="shared" si="276"/>
        <v>0.74999999999999989</v>
      </c>
      <c r="GZ37" s="55">
        <f t="shared" si="276"/>
        <v>0.72999999999999987</v>
      </c>
      <c r="HA37" s="55">
        <f t="shared" si="276"/>
        <v>0.70999999999999985</v>
      </c>
      <c r="HB37" s="55">
        <f t="shared" si="276"/>
        <v>0.68999999999999984</v>
      </c>
      <c r="HC37" s="55">
        <f t="shared" si="276"/>
        <v>0.66999999999999982</v>
      </c>
      <c r="HD37" s="55">
        <f t="shared" si="276"/>
        <v>0.6499999999999998</v>
      </c>
      <c r="HE37" s="55">
        <f t="shared" si="276"/>
        <v>0.62999999999999978</v>
      </c>
      <c r="HF37" s="55">
        <f t="shared" si="276"/>
        <v>0.60999999999999976</v>
      </c>
      <c r="HG37" s="55">
        <f t="shared" si="276"/>
        <v>0.58999999999999975</v>
      </c>
      <c r="HH37" s="55">
        <f t="shared" si="276"/>
        <v>0.56999999999999973</v>
      </c>
    </row>
    <row r="38" spans="1:216" x14ac:dyDescent="0.3">
      <c r="A38" s="2">
        <v>5</v>
      </c>
      <c r="C38" s="38" t="s">
        <v>17</v>
      </c>
      <c r="D38" s="42">
        <f>TRUNC(20439,-1)</f>
        <v>20430</v>
      </c>
      <c r="E38" s="86">
        <f>TRUNC(+D38*3.3058,-1)</f>
        <v>67530</v>
      </c>
      <c r="H38" s="55">
        <f t="shared" si="60"/>
        <v>74283</v>
      </c>
      <c r="I38" s="55">
        <f t="shared" si="61"/>
        <v>74283</v>
      </c>
      <c r="J38" s="59">
        <f t="shared" si="62"/>
        <v>245564.7414</v>
      </c>
      <c r="K38" s="55">
        <f t="shared" si="147"/>
        <v>72054.509999999995</v>
      </c>
      <c r="L38" s="59">
        <f t="shared" si="148"/>
        <v>238197.79915799998</v>
      </c>
      <c r="M38" s="55">
        <f t="shared" si="149"/>
        <v>70568.849999999991</v>
      </c>
      <c r="N38" s="59">
        <f t="shared" si="150"/>
        <v>233286.50432999997</v>
      </c>
      <c r="O38" s="55">
        <f t="shared" si="151"/>
        <v>69083.19</v>
      </c>
      <c r="P38" s="59">
        <f t="shared" si="152"/>
        <v>228375.20950200001</v>
      </c>
      <c r="Q38" s="57">
        <f t="shared" si="153"/>
        <v>67597.53</v>
      </c>
      <c r="R38" s="59">
        <f t="shared" si="154"/>
        <v>223463.914674</v>
      </c>
      <c r="S38" s="55">
        <f t="shared" si="155"/>
        <v>66111.87</v>
      </c>
      <c r="T38" s="59">
        <f t="shared" si="156"/>
        <v>218552.61984599999</v>
      </c>
      <c r="U38" s="57">
        <f t="shared" si="157"/>
        <v>64626.21</v>
      </c>
      <c r="V38" s="59">
        <f t="shared" si="158"/>
        <v>213641.325018</v>
      </c>
      <c r="W38" s="60">
        <f t="shared" si="159"/>
        <v>63140.549999999996</v>
      </c>
      <c r="X38" s="59">
        <f t="shared" si="160"/>
        <v>208730.03018999999</v>
      </c>
      <c r="Y38" s="57">
        <f t="shared" si="161"/>
        <v>61654.89</v>
      </c>
      <c r="Z38" s="59">
        <f t="shared" si="162"/>
        <v>203818.73536200001</v>
      </c>
      <c r="AA38" s="55">
        <f t="shared" si="163"/>
        <v>60169.229999999996</v>
      </c>
      <c r="AB38" s="59">
        <f t="shared" si="164"/>
        <v>198907.44053399999</v>
      </c>
      <c r="AC38" s="60">
        <f t="shared" si="165"/>
        <v>58683.569999999992</v>
      </c>
      <c r="AD38" s="59">
        <f t="shared" si="166"/>
        <v>193996.14570599998</v>
      </c>
      <c r="AE38" s="60">
        <f t="shared" si="167"/>
        <v>57197.909999999996</v>
      </c>
      <c r="AF38" s="59">
        <f t="shared" si="168"/>
        <v>189084.850878</v>
      </c>
      <c r="AG38" s="60">
        <f t="shared" si="169"/>
        <v>55712.249999999993</v>
      </c>
      <c r="AH38" s="59">
        <f t="shared" si="170"/>
        <v>184173.55604999998</v>
      </c>
      <c r="AI38" s="55">
        <f t="shared" si="171"/>
        <v>54226.589999999989</v>
      </c>
      <c r="AJ38" s="59">
        <f t="shared" si="172"/>
        <v>179262.26122199997</v>
      </c>
      <c r="AK38" s="60">
        <f t="shared" si="173"/>
        <v>52740.929999999986</v>
      </c>
      <c r="AL38" s="59">
        <f t="shared" si="174"/>
        <v>174350.96639399996</v>
      </c>
      <c r="AM38" s="60">
        <f t="shared" si="175"/>
        <v>51255.26999999999</v>
      </c>
      <c r="AN38" s="59">
        <f t="shared" si="176"/>
        <v>169439.67156599998</v>
      </c>
      <c r="AO38" s="60">
        <f t="shared" si="177"/>
        <v>49769.609999999986</v>
      </c>
      <c r="AP38" s="59">
        <f t="shared" si="178"/>
        <v>164528.37673799996</v>
      </c>
      <c r="AQ38" s="60">
        <f t="shared" si="179"/>
        <v>48283.949999999983</v>
      </c>
      <c r="AR38" s="59">
        <f t="shared" si="180"/>
        <v>159617.08190999995</v>
      </c>
      <c r="AS38" s="55">
        <f t="shared" si="181"/>
        <v>46798.289999999986</v>
      </c>
      <c r="AT38" s="59">
        <f t="shared" si="182"/>
        <v>154705.78708199997</v>
      </c>
      <c r="AU38" s="60">
        <f t="shared" si="183"/>
        <v>45312.629999999983</v>
      </c>
      <c r="AV38" s="59">
        <f t="shared" si="184"/>
        <v>149794.49225399995</v>
      </c>
      <c r="AW38" s="60">
        <f t="shared" si="185"/>
        <v>43826.969999999979</v>
      </c>
      <c r="AX38" s="59">
        <f t="shared" si="186"/>
        <v>144883.19742599994</v>
      </c>
      <c r="AY38" s="55">
        <f t="shared" si="187"/>
        <v>42341.309999999983</v>
      </c>
      <c r="AZ38" s="59">
        <f t="shared" si="188"/>
        <v>139971.90259799996</v>
      </c>
      <c r="BC38" s="55">
        <v>1</v>
      </c>
      <c r="BD38" s="55">
        <v>0.97</v>
      </c>
      <c r="BE38" s="55">
        <v>0.95</v>
      </c>
      <c r="BF38" s="55">
        <v>0.93</v>
      </c>
      <c r="BG38" s="55">
        <f t="shared" si="142"/>
        <v>0.91</v>
      </c>
      <c r="BH38" s="55">
        <f t="shared" si="142"/>
        <v>0.89</v>
      </c>
      <c r="BI38" s="55">
        <f t="shared" si="142"/>
        <v>0.87</v>
      </c>
      <c r="BJ38" s="55">
        <f t="shared" si="142"/>
        <v>0.85</v>
      </c>
      <c r="BK38" s="55">
        <f t="shared" si="142"/>
        <v>0.83</v>
      </c>
      <c r="BL38" s="55">
        <f t="shared" si="142"/>
        <v>0.80999999999999994</v>
      </c>
      <c r="BM38" s="55">
        <f t="shared" si="142"/>
        <v>0.78999999999999992</v>
      </c>
      <c r="BN38" s="55">
        <f t="shared" si="142"/>
        <v>0.76999999999999991</v>
      </c>
      <c r="BO38" s="55">
        <f t="shared" si="142"/>
        <v>0.74999999999999989</v>
      </c>
      <c r="BP38" s="55">
        <f t="shared" si="142"/>
        <v>0.72999999999999987</v>
      </c>
      <c r="BQ38" s="55">
        <f t="shared" si="142"/>
        <v>0.70999999999999985</v>
      </c>
      <c r="BR38" s="55">
        <f t="shared" si="142"/>
        <v>0.68999999999999984</v>
      </c>
      <c r="BS38" s="55">
        <f t="shared" si="142"/>
        <v>0.66999999999999982</v>
      </c>
      <c r="BT38" s="55">
        <f t="shared" si="142"/>
        <v>0.6499999999999998</v>
      </c>
      <c r="BU38" s="55">
        <f t="shared" si="142"/>
        <v>0.62999999999999978</v>
      </c>
      <c r="BV38" s="55">
        <f t="shared" si="142"/>
        <v>0.60999999999999976</v>
      </c>
      <c r="BW38" s="55">
        <f t="shared" si="142"/>
        <v>0.58999999999999975</v>
      </c>
      <c r="BX38" s="55">
        <f t="shared" si="142"/>
        <v>0.56999999999999973</v>
      </c>
      <c r="BZ38" s="55">
        <f t="shared" si="87"/>
        <v>67597.53</v>
      </c>
      <c r="CA38" s="55">
        <f t="shared" si="88"/>
        <v>67597.53</v>
      </c>
      <c r="CB38" s="59">
        <f t="shared" si="189"/>
        <v>223463.914674</v>
      </c>
      <c r="CC38" s="55">
        <f t="shared" si="190"/>
        <v>65569.604099999997</v>
      </c>
      <c r="CD38" s="59">
        <f t="shared" si="191"/>
        <v>216759.99723377998</v>
      </c>
      <c r="CE38" s="55">
        <f t="shared" si="192"/>
        <v>64217.653499999993</v>
      </c>
      <c r="CF38" s="59">
        <f t="shared" si="193"/>
        <v>212290.71894029999</v>
      </c>
      <c r="CG38" s="55">
        <f t="shared" si="194"/>
        <v>62865.702900000004</v>
      </c>
      <c r="CH38" s="59">
        <f t="shared" si="195"/>
        <v>207821.44064682</v>
      </c>
      <c r="CI38" s="57">
        <f t="shared" si="196"/>
        <v>61513.7523</v>
      </c>
      <c r="CJ38" s="59">
        <f t="shared" si="197"/>
        <v>203352.16235334001</v>
      </c>
      <c r="CK38" s="55">
        <f t="shared" si="198"/>
        <v>60161.801699999996</v>
      </c>
      <c r="CL38" s="59">
        <f t="shared" si="199"/>
        <v>198882.88405985999</v>
      </c>
      <c r="CM38" s="57">
        <f t="shared" si="200"/>
        <v>58809.8511</v>
      </c>
      <c r="CN38" s="59">
        <f t="shared" si="201"/>
        <v>194413.60576638</v>
      </c>
      <c r="CO38" s="60">
        <f t="shared" si="202"/>
        <v>57457.900499999996</v>
      </c>
      <c r="CP38" s="59">
        <f t="shared" si="203"/>
        <v>189944.32747289998</v>
      </c>
      <c r="CQ38" s="57">
        <f t="shared" si="204"/>
        <v>56105.9499</v>
      </c>
      <c r="CR38" s="59">
        <f t="shared" si="205"/>
        <v>185475.04917941999</v>
      </c>
      <c r="CS38" s="55">
        <f t="shared" si="206"/>
        <v>54753.999299999996</v>
      </c>
      <c r="CT38" s="59">
        <f t="shared" si="207"/>
        <v>181005.77088594</v>
      </c>
      <c r="CU38" s="60">
        <f t="shared" si="208"/>
        <v>53402.048699999992</v>
      </c>
      <c r="CV38" s="59">
        <f t="shared" si="209"/>
        <v>176536.49259245998</v>
      </c>
      <c r="CW38" s="60">
        <f t="shared" si="210"/>
        <v>52050.098099999996</v>
      </c>
      <c r="CX38" s="59">
        <f t="shared" si="211"/>
        <v>172067.21429897999</v>
      </c>
      <c r="CY38" s="60">
        <f t="shared" si="212"/>
        <v>50698.147499999992</v>
      </c>
      <c r="CZ38" s="59">
        <f t="shared" si="213"/>
        <v>167597.93600549997</v>
      </c>
      <c r="DA38" s="55">
        <f t="shared" si="214"/>
        <v>49346.196899999988</v>
      </c>
      <c r="DB38" s="59">
        <f t="shared" si="215"/>
        <v>163128.65771201995</v>
      </c>
      <c r="DC38" s="60">
        <f t="shared" si="216"/>
        <v>47994.246299999992</v>
      </c>
      <c r="DD38" s="59">
        <f t="shared" si="217"/>
        <v>158659.37941853999</v>
      </c>
      <c r="DE38" s="60">
        <f t="shared" si="218"/>
        <v>46642.295699999988</v>
      </c>
      <c r="DF38" s="59">
        <f t="shared" si="219"/>
        <v>154190.10112505997</v>
      </c>
      <c r="DG38" s="60">
        <f t="shared" si="220"/>
        <v>45290.345099999984</v>
      </c>
      <c r="DH38" s="59">
        <f t="shared" si="221"/>
        <v>149720.82283157995</v>
      </c>
      <c r="DI38" s="60">
        <f t="shared" si="222"/>
        <v>43938.394499999988</v>
      </c>
      <c r="DJ38" s="59">
        <f t="shared" si="223"/>
        <v>145251.54453809996</v>
      </c>
      <c r="DK38" s="55">
        <f t="shared" si="224"/>
        <v>42586.443899999984</v>
      </c>
      <c r="DL38" s="59">
        <f t="shared" si="225"/>
        <v>140782.26624461994</v>
      </c>
      <c r="DM38" s="60">
        <f t="shared" si="226"/>
        <v>41234.49329999998</v>
      </c>
      <c r="DN38" s="59">
        <f t="shared" si="227"/>
        <v>136312.98795113995</v>
      </c>
      <c r="DO38" s="60">
        <f t="shared" si="228"/>
        <v>39882.542699999984</v>
      </c>
      <c r="DP38" s="59">
        <f t="shared" si="229"/>
        <v>131843.70965765996</v>
      </c>
      <c r="DQ38" s="55">
        <f t="shared" si="230"/>
        <v>38530.59209999998</v>
      </c>
      <c r="DR38" s="59">
        <f t="shared" si="231"/>
        <v>127374.43136417994</v>
      </c>
      <c r="DU38" s="55">
        <v>1</v>
      </c>
      <c r="DV38" s="55">
        <v>0.97</v>
      </c>
      <c r="DW38" s="55">
        <v>0.95</v>
      </c>
      <c r="DX38" s="55">
        <v>0.93</v>
      </c>
      <c r="DY38" s="55">
        <f t="shared" si="232"/>
        <v>0.91</v>
      </c>
      <c r="DZ38" s="55">
        <f t="shared" si="232"/>
        <v>0.89</v>
      </c>
      <c r="EA38" s="55">
        <f t="shared" si="232"/>
        <v>0.87</v>
      </c>
      <c r="EB38" s="55">
        <f t="shared" si="232"/>
        <v>0.85</v>
      </c>
      <c r="EC38" s="55">
        <f t="shared" si="232"/>
        <v>0.83</v>
      </c>
      <c r="ED38" s="55">
        <f t="shared" si="232"/>
        <v>0.80999999999999994</v>
      </c>
      <c r="EE38" s="55">
        <f t="shared" si="232"/>
        <v>0.78999999999999992</v>
      </c>
      <c r="EF38" s="55">
        <f t="shared" si="232"/>
        <v>0.76999999999999991</v>
      </c>
      <c r="EG38" s="55">
        <f t="shared" si="232"/>
        <v>0.74999999999999989</v>
      </c>
      <c r="EH38" s="55">
        <f t="shared" si="232"/>
        <v>0.72999999999999987</v>
      </c>
      <c r="EI38" s="55">
        <f t="shared" si="232"/>
        <v>0.70999999999999985</v>
      </c>
      <c r="EJ38" s="55">
        <f t="shared" si="232"/>
        <v>0.68999999999999984</v>
      </c>
      <c r="EK38" s="55">
        <f t="shared" si="232"/>
        <v>0.66999999999999982</v>
      </c>
      <c r="EL38" s="55">
        <f t="shared" si="232"/>
        <v>0.6499999999999998</v>
      </c>
      <c r="EM38" s="55">
        <f t="shared" si="232"/>
        <v>0.62999999999999978</v>
      </c>
      <c r="EN38" s="55">
        <f t="shared" si="232"/>
        <v>0.60999999999999976</v>
      </c>
      <c r="EO38" s="55">
        <f t="shared" si="232"/>
        <v>0.58999999999999975</v>
      </c>
      <c r="EP38" s="55">
        <f t="shared" si="232"/>
        <v>0.56999999999999973</v>
      </c>
      <c r="ER38" s="55">
        <f t="shared" si="141"/>
        <v>61513.7523</v>
      </c>
      <c r="ES38" s="55">
        <f t="shared" si="115"/>
        <v>61513.7523</v>
      </c>
      <c r="ET38" s="59">
        <f t="shared" si="233"/>
        <v>203352.16235334001</v>
      </c>
      <c r="EU38" s="55">
        <f t="shared" si="234"/>
        <v>59668.339731</v>
      </c>
      <c r="EV38" s="59">
        <f t="shared" si="235"/>
        <v>197251.5974827398</v>
      </c>
      <c r="EW38" s="55">
        <f t="shared" si="236"/>
        <v>58438.064684999998</v>
      </c>
      <c r="EX38" s="59">
        <f t="shared" si="237"/>
        <v>193184.55423567299</v>
      </c>
      <c r="EY38" s="55">
        <f t="shared" si="238"/>
        <v>57207.789639000002</v>
      </c>
      <c r="EZ38" s="59">
        <f t="shared" si="239"/>
        <v>189117.5109886062</v>
      </c>
      <c r="FA38" s="57">
        <f t="shared" si="240"/>
        <v>55977.514593</v>
      </c>
      <c r="FB38" s="59">
        <f t="shared" si="241"/>
        <v>185050.46774153941</v>
      </c>
      <c r="FC38" s="55">
        <f t="shared" si="242"/>
        <v>54747.239546999997</v>
      </c>
      <c r="FD38" s="59">
        <f t="shared" si="243"/>
        <v>180983.42449447259</v>
      </c>
      <c r="FE38" s="57">
        <f t="shared" si="244"/>
        <v>53516.964501000002</v>
      </c>
      <c r="FF38" s="59">
        <f t="shared" si="245"/>
        <v>176916.38124740581</v>
      </c>
      <c r="FG38" s="60">
        <f t="shared" si="246"/>
        <v>52286.689455</v>
      </c>
      <c r="FH38" s="59">
        <f t="shared" si="247"/>
        <v>172849.33800033899</v>
      </c>
      <c r="FI38" s="57">
        <f t="shared" si="248"/>
        <v>51056.414408999997</v>
      </c>
      <c r="FJ38" s="59">
        <f t="shared" si="249"/>
        <v>168782.2947532722</v>
      </c>
      <c r="FK38" s="55">
        <f t="shared" si="250"/>
        <v>49826.139362999995</v>
      </c>
      <c r="FL38" s="59">
        <f t="shared" si="251"/>
        <v>164715.25150620539</v>
      </c>
      <c r="FM38" s="60">
        <f t="shared" si="252"/>
        <v>48595.864316999992</v>
      </c>
      <c r="FN38" s="59">
        <f t="shared" si="253"/>
        <v>160648.20825913857</v>
      </c>
      <c r="FO38" s="60">
        <f t="shared" si="254"/>
        <v>47365.589270999997</v>
      </c>
      <c r="FP38" s="59">
        <f t="shared" si="255"/>
        <v>156581.16501207178</v>
      </c>
      <c r="FQ38" s="60">
        <f t="shared" si="256"/>
        <v>46135.314224999995</v>
      </c>
      <c r="FR38" s="59">
        <f t="shared" si="257"/>
        <v>152514.12176500499</v>
      </c>
      <c r="FS38" s="55">
        <f t="shared" si="258"/>
        <v>44905.039178999992</v>
      </c>
      <c r="FT38" s="59">
        <f t="shared" si="259"/>
        <v>148447.07851793818</v>
      </c>
      <c r="FU38" s="60">
        <f t="shared" si="260"/>
        <v>43674.76413299999</v>
      </c>
      <c r="FV38" s="59">
        <f t="shared" si="261"/>
        <v>144380.03527087136</v>
      </c>
      <c r="FW38" s="60">
        <f t="shared" si="262"/>
        <v>42444.489086999987</v>
      </c>
      <c r="FX38" s="59">
        <f t="shared" si="263"/>
        <v>140312.99202380457</v>
      </c>
      <c r="FY38" s="60">
        <f t="shared" si="264"/>
        <v>41214.214040999992</v>
      </c>
      <c r="FZ38" s="59">
        <f t="shared" si="265"/>
        <v>136245.94877673779</v>
      </c>
      <c r="GA38" s="60">
        <f t="shared" si="266"/>
        <v>39983.93899499999</v>
      </c>
      <c r="GB38" s="59">
        <f t="shared" si="267"/>
        <v>132178.90552967097</v>
      </c>
      <c r="GC38" s="55">
        <f t="shared" si="268"/>
        <v>38753.663948999987</v>
      </c>
      <c r="GD38" s="59">
        <f t="shared" si="269"/>
        <v>128111.86228260415</v>
      </c>
      <c r="GE38" s="60">
        <f t="shared" si="270"/>
        <v>37523.388902999985</v>
      </c>
      <c r="GF38" s="59">
        <f t="shared" si="271"/>
        <v>124044.81903553735</v>
      </c>
      <c r="GG38" s="60">
        <f t="shared" si="272"/>
        <v>36293.113856999982</v>
      </c>
      <c r="GH38" s="59">
        <f t="shared" si="273"/>
        <v>119977.77578847055</v>
      </c>
      <c r="GI38" s="55">
        <f t="shared" si="274"/>
        <v>35062.838810999987</v>
      </c>
      <c r="GJ38" s="59">
        <f t="shared" si="275"/>
        <v>115910.73254140376</v>
      </c>
      <c r="GK38" s="55"/>
      <c r="GL38" s="55"/>
      <c r="GM38" s="55">
        <v>1</v>
      </c>
      <c r="GN38" s="55">
        <v>0.97</v>
      </c>
      <c r="GO38" s="55">
        <v>0.95</v>
      </c>
      <c r="GP38" s="55">
        <v>0.93</v>
      </c>
      <c r="GQ38" s="55">
        <f t="shared" si="276"/>
        <v>0.91</v>
      </c>
      <c r="GR38" s="55">
        <f t="shared" si="276"/>
        <v>0.89</v>
      </c>
      <c r="GS38" s="55">
        <f t="shared" si="276"/>
        <v>0.87</v>
      </c>
      <c r="GT38" s="55">
        <f t="shared" si="276"/>
        <v>0.85</v>
      </c>
      <c r="GU38" s="55">
        <f t="shared" si="276"/>
        <v>0.83</v>
      </c>
      <c r="GV38" s="55">
        <f t="shared" si="276"/>
        <v>0.80999999999999994</v>
      </c>
      <c r="GW38" s="55">
        <f t="shared" si="276"/>
        <v>0.78999999999999992</v>
      </c>
      <c r="GX38" s="55">
        <f t="shared" si="276"/>
        <v>0.76999999999999991</v>
      </c>
      <c r="GY38" s="55">
        <f t="shared" si="276"/>
        <v>0.74999999999999989</v>
      </c>
      <c r="GZ38" s="55">
        <f t="shared" si="276"/>
        <v>0.72999999999999987</v>
      </c>
      <c r="HA38" s="55">
        <f t="shared" si="276"/>
        <v>0.70999999999999985</v>
      </c>
      <c r="HB38" s="55">
        <f t="shared" si="276"/>
        <v>0.68999999999999984</v>
      </c>
      <c r="HC38" s="55">
        <f t="shared" si="276"/>
        <v>0.66999999999999982</v>
      </c>
      <c r="HD38" s="55">
        <f t="shared" si="276"/>
        <v>0.6499999999999998</v>
      </c>
      <c r="HE38" s="55">
        <f t="shared" si="276"/>
        <v>0.62999999999999978</v>
      </c>
      <c r="HF38" s="55">
        <f t="shared" si="276"/>
        <v>0.60999999999999976</v>
      </c>
      <c r="HG38" s="55">
        <f t="shared" si="276"/>
        <v>0.58999999999999975</v>
      </c>
      <c r="HH38" s="55">
        <f t="shared" si="276"/>
        <v>0.56999999999999973</v>
      </c>
    </row>
    <row r="39" spans="1:216" x14ac:dyDescent="0.3">
      <c r="A39" s="2">
        <v>6</v>
      </c>
      <c r="C39" s="38" t="s">
        <v>18</v>
      </c>
      <c r="D39" s="42">
        <f>TRUNC(8986,-1)</f>
        <v>8980</v>
      </c>
      <c r="E39" s="86">
        <f>TRUNC(+D39*3.3058,-1)</f>
        <v>29680</v>
      </c>
      <c r="H39" s="55">
        <f t="shared" si="60"/>
        <v>32648.000000000004</v>
      </c>
      <c r="I39" s="55">
        <f t="shared" si="61"/>
        <v>32648.000000000004</v>
      </c>
      <c r="J39" s="59">
        <f t="shared" si="62"/>
        <v>107927.75840000002</v>
      </c>
      <c r="K39" s="55">
        <f t="shared" si="147"/>
        <v>31668.560000000001</v>
      </c>
      <c r="L39" s="59">
        <f t="shared" si="148"/>
        <v>104689.925648</v>
      </c>
      <c r="M39" s="55">
        <f t="shared" si="149"/>
        <v>31015.600000000002</v>
      </c>
      <c r="N39" s="59">
        <f t="shared" si="150"/>
        <v>102531.37048000001</v>
      </c>
      <c r="O39" s="55">
        <f t="shared" si="151"/>
        <v>30362.640000000007</v>
      </c>
      <c r="P39" s="59">
        <f t="shared" si="152"/>
        <v>100372.81531200002</v>
      </c>
      <c r="Q39" s="57">
        <f t="shared" si="153"/>
        <v>29709.680000000004</v>
      </c>
      <c r="R39" s="59">
        <f t="shared" si="154"/>
        <v>98214.260144000014</v>
      </c>
      <c r="S39" s="55">
        <f t="shared" si="155"/>
        <v>29056.720000000005</v>
      </c>
      <c r="T39" s="59">
        <f t="shared" si="156"/>
        <v>96055.704976000023</v>
      </c>
      <c r="U39" s="57">
        <f t="shared" si="157"/>
        <v>28403.760000000002</v>
      </c>
      <c r="V39" s="59">
        <f t="shared" si="158"/>
        <v>93897.149808000002</v>
      </c>
      <c r="W39" s="60">
        <f t="shared" si="159"/>
        <v>27750.800000000003</v>
      </c>
      <c r="X39" s="59">
        <f t="shared" si="160"/>
        <v>91738.59464000001</v>
      </c>
      <c r="Y39" s="57">
        <f t="shared" si="161"/>
        <v>27097.84</v>
      </c>
      <c r="Z39" s="59">
        <f t="shared" si="162"/>
        <v>89580.039472000004</v>
      </c>
      <c r="AA39" s="55">
        <f t="shared" si="163"/>
        <v>26444.880000000001</v>
      </c>
      <c r="AB39" s="59">
        <f t="shared" si="164"/>
        <v>87421.484304000012</v>
      </c>
      <c r="AC39" s="60">
        <f t="shared" si="165"/>
        <v>25791.920000000002</v>
      </c>
      <c r="AD39" s="59">
        <f t="shared" si="166"/>
        <v>85262.929136000006</v>
      </c>
      <c r="AE39" s="60">
        <f t="shared" si="167"/>
        <v>25138.959999999999</v>
      </c>
      <c r="AF39" s="59">
        <f t="shared" si="168"/>
        <v>83104.373968</v>
      </c>
      <c r="AG39" s="60">
        <f t="shared" si="169"/>
        <v>24486</v>
      </c>
      <c r="AH39" s="59">
        <f t="shared" si="170"/>
        <v>80945.818800000008</v>
      </c>
      <c r="AI39" s="55">
        <f t="shared" si="171"/>
        <v>23833.039999999997</v>
      </c>
      <c r="AJ39" s="59">
        <f t="shared" si="172"/>
        <v>78787.263631999987</v>
      </c>
      <c r="AK39" s="60">
        <f t="shared" si="173"/>
        <v>23180.079999999998</v>
      </c>
      <c r="AL39" s="59">
        <f t="shared" si="174"/>
        <v>76628.708463999996</v>
      </c>
      <c r="AM39" s="60">
        <f t="shared" si="175"/>
        <v>22527.119999999995</v>
      </c>
      <c r="AN39" s="59">
        <f t="shared" si="176"/>
        <v>74470.153295999989</v>
      </c>
      <c r="AO39" s="60">
        <f t="shared" si="177"/>
        <v>21874.159999999996</v>
      </c>
      <c r="AP39" s="59">
        <f t="shared" si="178"/>
        <v>72311.598127999983</v>
      </c>
      <c r="AQ39" s="60">
        <f t="shared" si="179"/>
        <v>21221.199999999997</v>
      </c>
      <c r="AR39" s="59">
        <f t="shared" si="180"/>
        <v>70153.042959999992</v>
      </c>
      <c r="AS39" s="55">
        <f t="shared" si="181"/>
        <v>20568.239999999994</v>
      </c>
      <c r="AT39" s="59">
        <f t="shared" si="182"/>
        <v>67994.487791999985</v>
      </c>
      <c r="AU39" s="60">
        <f t="shared" si="183"/>
        <v>19915.279999999995</v>
      </c>
      <c r="AV39" s="59">
        <f t="shared" si="184"/>
        <v>65835.932623999979</v>
      </c>
      <c r="AW39" s="60">
        <f t="shared" si="185"/>
        <v>19262.319999999992</v>
      </c>
      <c r="AX39" s="59">
        <f t="shared" si="186"/>
        <v>63677.377455999973</v>
      </c>
      <c r="AY39" s="55">
        <f t="shared" si="187"/>
        <v>18609.359999999993</v>
      </c>
      <c r="AZ39" s="59">
        <f t="shared" si="188"/>
        <v>61518.822287999981</v>
      </c>
      <c r="BC39" s="55">
        <v>1</v>
      </c>
      <c r="BD39" s="55">
        <v>0.97</v>
      </c>
      <c r="BE39" s="55">
        <v>0.95</v>
      </c>
      <c r="BF39" s="55">
        <v>0.93</v>
      </c>
      <c r="BG39" s="55">
        <f t="shared" si="142"/>
        <v>0.91</v>
      </c>
      <c r="BH39" s="55">
        <f t="shared" si="142"/>
        <v>0.89</v>
      </c>
      <c r="BI39" s="55">
        <f t="shared" si="142"/>
        <v>0.87</v>
      </c>
      <c r="BJ39" s="55">
        <f t="shared" si="142"/>
        <v>0.85</v>
      </c>
      <c r="BK39" s="55">
        <f t="shared" si="142"/>
        <v>0.83</v>
      </c>
      <c r="BL39" s="55">
        <f t="shared" si="142"/>
        <v>0.80999999999999994</v>
      </c>
      <c r="BM39" s="55">
        <f t="shared" si="142"/>
        <v>0.78999999999999992</v>
      </c>
      <c r="BN39" s="55">
        <f t="shared" si="142"/>
        <v>0.76999999999999991</v>
      </c>
      <c r="BO39" s="55">
        <f t="shared" si="142"/>
        <v>0.74999999999999989</v>
      </c>
      <c r="BP39" s="55">
        <f t="shared" si="142"/>
        <v>0.72999999999999987</v>
      </c>
      <c r="BQ39" s="55">
        <f t="shared" si="142"/>
        <v>0.70999999999999985</v>
      </c>
      <c r="BR39" s="55">
        <f t="shared" si="142"/>
        <v>0.68999999999999984</v>
      </c>
      <c r="BS39" s="55">
        <f t="shared" si="142"/>
        <v>0.66999999999999982</v>
      </c>
      <c r="BT39" s="55">
        <f t="shared" si="142"/>
        <v>0.6499999999999998</v>
      </c>
      <c r="BU39" s="55">
        <f t="shared" si="142"/>
        <v>0.62999999999999978</v>
      </c>
      <c r="BV39" s="55">
        <f t="shared" si="142"/>
        <v>0.60999999999999976</v>
      </c>
      <c r="BW39" s="55">
        <f t="shared" si="142"/>
        <v>0.58999999999999975</v>
      </c>
      <c r="BX39" s="55">
        <f t="shared" si="142"/>
        <v>0.56999999999999973</v>
      </c>
      <c r="BZ39" s="55">
        <f t="shared" si="87"/>
        <v>29709.680000000004</v>
      </c>
      <c r="CA39" s="55">
        <f t="shared" si="88"/>
        <v>29709.680000000004</v>
      </c>
      <c r="CB39" s="59">
        <f t="shared" si="189"/>
        <v>98214.260144000014</v>
      </c>
      <c r="CC39" s="55">
        <f t="shared" si="190"/>
        <v>28818.389600000002</v>
      </c>
      <c r="CD39" s="59">
        <f t="shared" si="191"/>
        <v>95267.832339680012</v>
      </c>
      <c r="CE39" s="55">
        <f t="shared" si="192"/>
        <v>28224.196000000004</v>
      </c>
      <c r="CF39" s="59">
        <f t="shared" si="193"/>
        <v>93303.547136800014</v>
      </c>
      <c r="CG39" s="55">
        <f t="shared" si="194"/>
        <v>27630.002400000005</v>
      </c>
      <c r="CH39" s="59">
        <f t="shared" si="195"/>
        <v>91339.261933920017</v>
      </c>
      <c r="CI39" s="57">
        <f t="shared" si="196"/>
        <v>27035.808800000006</v>
      </c>
      <c r="CJ39" s="59">
        <f t="shared" si="197"/>
        <v>89374.97673104002</v>
      </c>
      <c r="CK39" s="55">
        <f t="shared" si="198"/>
        <v>26441.615200000004</v>
      </c>
      <c r="CL39" s="59">
        <f t="shared" si="199"/>
        <v>87410.691528160009</v>
      </c>
      <c r="CM39" s="57">
        <f t="shared" si="200"/>
        <v>25847.421600000001</v>
      </c>
      <c r="CN39" s="59">
        <f t="shared" si="201"/>
        <v>85446.406325280012</v>
      </c>
      <c r="CO39" s="60">
        <f t="shared" si="202"/>
        <v>25253.228000000003</v>
      </c>
      <c r="CP39" s="59">
        <f t="shared" si="203"/>
        <v>83482.121122400014</v>
      </c>
      <c r="CQ39" s="57">
        <f t="shared" si="204"/>
        <v>24659.0344</v>
      </c>
      <c r="CR39" s="59">
        <f t="shared" si="205"/>
        <v>81517.835919520003</v>
      </c>
      <c r="CS39" s="55">
        <f t="shared" si="206"/>
        <v>24064.840800000002</v>
      </c>
      <c r="CT39" s="59">
        <f t="shared" si="207"/>
        <v>79553.550716640006</v>
      </c>
      <c r="CU39" s="60">
        <f t="shared" si="208"/>
        <v>23470.647199999999</v>
      </c>
      <c r="CV39" s="59">
        <f t="shared" si="209"/>
        <v>77589.265513759994</v>
      </c>
      <c r="CW39" s="60">
        <f t="shared" si="210"/>
        <v>22876.453600000001</v>
      </c>
      <c r="CX39" s="59">
        <f t="shared" si="211"/>
        <v>75624.980310879997</v>
      </c>
      <c r="CY39" s="60">
        <f t="shared" si="212"/>
        <v>22282.26</v>
      </c>
      <c r="CZ39" s="59">
        <f t="shared" si="213"/>
        <v>73660.695108</v>
      </c>
      <c r="DA39" s="55">
        <f t="shared" si="214"/>
        <v>21688.0664</v>
      </c>
      <c r="DB39" s="59">
        <f t="shared" si="215"/>
        <v>71696.409905120003</v>
      </c>
      <c r="DC39" s="60">
        <f t="shared" si="216"/>
        <v>21093.872799999997</v>
      </c>
      <c r="DD39" s="59">
        <f t="shared" si="217"/>
        <v>69732.124702239991</v>
      </c>
      <c r="DE39" s="60">
        <f t="shared" si="218"/>
        <v>20499.679199999999</v>
      </c>
      <c r="DF39" s="59">
        <f t="shared" si="219"/>
        <v>67767.839499359994</v>
      </c>
      <c r="DG39" s="60">
        <f t="shared" si="220"/>
        <v>19905.485599999996</v>
      </c>
      <c r="DH39" s="59">
        <f t="shared" si="221"/>
        <v>65803.554296479982</v>
      </c>
      <c r="DI39" s="60">
        <f t="shared" si="222"/>
        <v>19311.291999999998</v>
      </c>
      <c r="DJ39" s="59">
        <f t="shared" si="223"/>
        <v>63839.269093599993</v>
      </c>
      <c r="DK39" s="55">
        <f t="shared" si="224"/>
        <v>18717.098399999995</v>
      </c>
      <c r="DL39" s="59">
        <f t="shared" si="225"/>
        <v>61874.983890719988</v>
      </c>
      <c r="DM39" s="60">
        <f t="shared" si="226"/>
        <v>18122.904799999997</v>
      </c>
      <c r="DN39" s="59">
        <f t="shared" si="227"/>
        <v>59910.698687839991</v>
      </c>
      <c r="DO39" s="60">
        <f t="shared" si="228"/>
        <v>17528.711199999994</v>
      </c>
      <c r="DP39" s="59">
        <f t="shared" si="229"/>
        <v>57946.41348495998</v>
      </c>
      <c r="DQ39" s="55">
        <f t="shared" si="230"/>
        <v>16934.517599999996</v>
      </c>
      <c r="DR39" s="59">
        <f t="shared" si="231"/>
        <v>55982.12828207999</v>
      </c>
      <c r="DU39" s="55">
        <v>1</v>
      </c>
      <c r="DV39" s="55">
        <v>0.97</v>
      </c>
      <c r="DW39" s="55">
        <v>0.95</v>
      </c>
      <c r="DX39" s="55">
        <v>0.93</v>
      </c>
      <c r="DY39" s="55">
        <f t="shared" si="232"/>
        <v>0.91</v>
      </c>
      <c r="DZ39" s="55">
        <f t="shared" si="232"/>
        <v>0.89</v>
      </c>
      <c r="EA39" s="55">
        <f t="shared" si="232"/>
        <v>0.87</v>
      </c>
      <c r="EB39" s="55">
        <f t="shared" si="232"/>
        <v>0.85</v>
      </c>
      <c r="EC39" s="55">
        <f t="shared" si="232"/>
        <v>0.83</v>
      </c>
      <c r="ED39" s="55">
        <f t="shared" si="232"/>
        <v>0.80999999999999994</v>
      </c>
      <c r="EE39" s="55">
        <f t="shared" si="232"/>
        <v>0.78999999999999992</v>
      </c>
      <c r="EF39" s="55">
        <f t="shared" si="232"/>
        <v>0.76999999999999991</v>
      </c>
      <c r="EG39" s="55">
        <f t="shared" si="232"/>
        <v>0.74999999999999989</v>
      </c>
      <c r="EH39" s="55">
        <f t="shared" si="232"/>
        <v>0.72999999999999987</v>
      </c>
      <c r="EI39" s="55">
        <f t="shared" si="232"/>
        <v>0.70999999999999985</v>
      </c>
      <c r="EJ39" s="55">
        <f t="shared" si="232"/>
        <v>0.68999999999999984</v>
      </c>
      <c r="EK39" s="55">
        <f t="shared" si="232"/>
        <v>0.66999999999999982</v>
      </c>
      <c r="EL39" s="55">
        <f t="shared" si="232"/>
        <v>0.6499999999999998</v>
      </c>
      <c r="EM39" s="55">
        <f t="shared" si="232"/>
        <v>0.62999999999999978</v>
      </c>
      <c r="EN39" s="55">
        <f t="shared" si="232"/>
        <v>0.60999999999999976</v>
      </c>
      <c r="EO39" s="55">
        <f t="shared" si="232"/>
        <v>0.58999999999999975</v>
      </c>
      <c r="EP39" s="55">
        <f t="shared" si="232"/>
        <v>0.56999999999999973</v>
      </c>
      <c r="ER39" s="55">
        <f t="shared" si="141"/>
        <v>27035.808800000006</v>
      </c>
      <c r="ES39" s="55">
        <f t="shared" si="115"/>
        <v>27035.808800000006</v>
      </c>
      <c r="ET39" s="59">
        <f t="shared" si="233"/>
        <v>89374.97673104002</v>
      </c>
      <c r="EU39" s="55">
        <f t="shared" si="234"/>
        <v>26224.734536000004</v>
      </c>
      <c r="EV39" s="59">
        <f t="shared" si="235"/>
        <v>86693.727429108811</v>
      </c>
      <c r="EW39" s="55">
        <f t="shared" si="236"/>
        <v>25684.018360000005</v>
      </c>
      <c r="EX39" s="59">
        <f t="shared" si="237"/>
        <v>84906.227894488024</v>
      </c>
      <c r="EY39" s="55">
        <f t="shared" si="238"/>
        <v>25143.302184000007</v>
      </c>
      <c r="EZ39" s="59">
        <f t="shared" si="239"/>
        <v>83118.728359867222</v>
      </c>
      <c r="FA39" s="57">
        <f t="shared" si="240"/>
        <v>24602.586008000006</v>
      </c>
      <c r="FB39" s="59">
        <f t="shared" si="241"/>
        <v>81331.22882524642</v>
      </c>
      <c r="FC39" s="55">
        <f t="shared" si="242"/>
        <v>24061.869832000008</v>
      </c>
      <c r="FD39" s="59">
        <f t="shared" si="243"/>
        <v>79543.729290625633</v>
      </c>
      <c r="FE39" s="57">
        <f t="shared" si="244"/>
        <v>23521.153656000006</v>
      </c>
      <c r="FF39" s="59">
        <f t="shared" si="245"/>
        <v>77756.229756004817</v>
      </c>
      <c r="FG39" s="60">
        <f t="shared" si="246"/>
        <v>22980.437480000004</v>
      </c>
      <c r="FH39" s="59">
        <f t="shared" si="247"/>
        <v>75968.730221384016</v>
      </c>
      <c r="FI39" s="57">
        <f t="shared" si="248"/>
        <v>22439.721304000002</v>
      </c>
      <c r="FJ39" s="59">
        <f t="shared" si="249"/>
        <v>74181.230686763214</v>
      </c>
      <c r="FK39" s="55">
        <f t="shared" si="250"/>
        <v>21899.005128000004</v>
      </c>
      <c r="FL39" s="59">
        <f t="shared" si="251"/>
        <v>72393.731152142413</v>
      </c>
      <c r="FM39" s="60">
        <f t="shared" si="252"/>
        <v>21358.288952000003</v>
      </c>
      <c r="FN39" s="59">
        <f t="shared" si="253"/>
        <v>70606.231617521611</v>
      </c>
      <c r="FO39" s="60">
        <f t="shared" si="254"/>
        <v>20817.572776000001</v>
      </c>
      <c r="FP39" s="59">
        <f t="shared" si="255"/>
        <v>68818.732082900809</v>
      </c>
      <c r="FQ39" s="60">
        <f t="shared" si="256"/>
        <v>20276.856600000003</v>
      </c>
      <c r="FR39" s="59">
        <f t="shared" si="257"/>
        <v>67031.232548280008</v>
      </c>
      <c r="FS39" s="55">
        <f t="shared" si="258"/>
        <v>19736.140424000001</v>
      </c>
      <c r="FT39" s="59">
        <f t="shared" si="259"/>
        <v>65243.733013659206</v>
      </c>
      <c r="FU39" s="60">
        <f t="shared" si="260"/>
        <v>19195.424247999999</v>
      </c>
      <c r="FV39" s="59">
        <f t="shared" si="261"/>
        <v>63456.233479038397</v>
      </c>
      <c r="FW39" s="60">
        <f t="shared" si="262"/>
        <v>18654.708072000001</v>
      </c>
      <c r="FX39" s="59">
        <f t="shared" si="263"/>
        <v>61668.733944417603</v>
      </c>
      <c r="FY39" s="60">
        <f t="shared" si="264"/>
        <v>18113.991896</v>
      </c>
      <c r="FZ39" s="59">
        <f t="shared" si="265"/>
        <v>59881.234409796802</v>
      </c>
      <c r="GA39" s="60">
        <f t="shared" si="266"/>
        <v>17573.275719999998</v>
      </c>
      <c r="GB39" s="59">
        <f t="shared" si="267"/>
        <v>58093.734875175993</v>
      </c>
      <c r="GC39" s="55">
        <f t="shared" si="268"/>
        <v>17032.559544</v>
      </c>
      <c r="GD39" s="59">
        <f t="shared" si="269"/>
        <v>56306.235340555198</v>
      </c>
      <c r="GE39" s="60">
        <f t="shared" si="270"/>
        <v>16491.843367999998</v>
      </c>
      <c r="GF39" s="59">
        <f t="shared" si="271"/>
        <v>54518.735805934397</v>
      </c>
      <c r="GG39" s="60">
        <f t="shared" si="272"/>
        <v>15951.127191999996</v>
      </c>
      <c r="GH39" s="59">
        <f t="shared" si="273"/>
        <v>52731.236271313588</v>
      </c>
      <c r="GI39" s="55">
        <f t="shared" si="274"/>
        <v>15410.411015999996</v>
      </c>
      <c r="GJ39" s="59">
        <f t="shared" si="275"/>
        <v>50943.736736692787</v>
      </c>
      <c r="GK39" s="55"/>
      <c r="GL39" s="55"/>
      <c r="GM39" s="55">
        <v>1</v>
      </c>
      <c r="GN39" s="55">
        <v>0.97</v>
      </c>
      <c r="GO39" s="55">
        <v>0.95</v>
      </c>
      <c r="GP39" s="55">
        <v>0.93</v>
      </c>
      <c r="GQ39" s="55">
        <f t="shared" si="276"/>
        <v>0.91</v>
      </c>
      <c r="GR39" s="55">
        <f t="shared" si="276"/>
        <v>0.89</v>
      </c>
      <c r="GS39" s="55">
        <f t="shared" si="276"/>
        <v>0.87</v>
      </c>
      <c r="GT39" s="55">
        <f t="shared" si="276"/>
        <v>0.85</v>
      </c>
      <c r="GU39" s="55">
        <f t="shared" si="276"/>
        <v>0.83</v>
      </c>
      <c r="GV39" s="55">
        <f t="shared" si="276"/>
        <v>0.80999999999999994</v>
      </c>
      <c r="GW39" s="55">
        <f t="shared" si="276"/>
        <v>0.78999999999999992</v>
      </c>
      <c r="GX39" s="55">
        <f t="shared" si="276"/>
        <v>0.76999999999999991</v>
      </c>
      <c r="GY39" s="55">
        <f t="shared" si="276"/>
        <v>0.74999999999999989</v>
      </c>
      <c r="GZ39" s="55">
        <f t="shared" si="276"/>
        <v>0.72999999999999987</v>
      </c>
      <c r="HA39" s="55">
        <f t="shared" si="276"/>
        <v>0.70999999999999985</v>
      </c>
      <c r="HB39" s="55">
        <f t="shared" si="276"/>
        <v>0.68999999999999984</v>
      </c>
      <c r="HC39" s="55">
        <f t="shared" si="276"/>
        <v>0.66999999999999982</v>
      </c>
      <c r="HD39" s="55">
        <f t="shared" si="276"/>
        <v>0.6499999999999998</v>
      </c>
      <c r="HE39" s="55">
        <f t="shared" si="276"/>
        <v>0.62999999999999978</v>
      </c>
      <c r="HF39" s="55">
        <f t="shared" si="276"/>
        <v>0.60999999999999976</v>
      </c>
      <c r="HG39" s="55">
        <f t="shared" si="276"/>
        <v>0.58999999999999975</v>
      </c>
      <c r="HH39" s="55">
        <f t="shared" si="276"/>
        <v>0.56999999999999973</v>
      </c>
    </row>
    <row r="40" spans="1:216" x14ac:dyDescent="0.3">
      <c r="A40" s="2">
        <v>7</v>
      </c>
      <c r="C40" s="38" t="s">
        <v>19</v>
      </c>
      <c r="D40" s="42">
        <f>TRUNC(31678,-1)</f>
        <v>31670</v>
      </c>
      <c r="E40" s="86">
        <f>TRUNC(+D40*3.3058,-1)</f>
        <v>104690</v>
      </c>
      <c r="H40" s="55">
        <f t="shared" si="60"/>
        <v>115159.00000000001</v>
      </c>
      <c r="I40" s="55">
        <f t="shared" si="61"/>
        <v>115159.00000000001</v>
      </c>
      <c r="J40" s="59">
        <f t="shared" si="62"/>
        <v>380692.62220000004</v>
      </c>
      <c r="K40" s="55">
        <f t="shared" si="147"/>
        <v>111704.23000000001</v>
      </c>
      <c r="L40" s="59">
        <f t="shared" si="148"/>
        <v>369271.84353400004</v>
      </c>
      <c r="M40" s="55">
        <f t="shared" si="149"/>
        <v>109401.05</v>
      </c>
      <c r="N40" s="59">
        <f t="shared" si="150"/>
        <v>361657.99109000002</v>
      </c>
      <c r="O40" s="55">
        <f t="shared" si="151"/>
        <v>107097.87000000002</v>
      </c>
      <c r="P40" s="59">
        <f t="shared" si="152"/>
        <v>354044.13864600006</v>
      </c>
      <c r="Q40" s="57">
        <f t="shared" si="153"/>
        <v>104794.69000000002</v>
      </c>
      <c r="R40" s="59">
        <f t="shared" si="154"/>
        <v>346430.28620200005</v>
      </c>
      <c r="S40" s="55">
        <f t="shared" si="155"/>
        <v>102491.51000000001</v>
      </c>
      <c r="T40" s="59">
        <f t="shared" si="156"/>
        <v>338816.43375800003</v>
      </c>
      <c r="U40" s="57">
        <f t="shared" si="157"/>
        <v>100188.33000000002</v>
      </c>
      <c r="V40" s="59">
        <f t="shared" si="158"/>
        <v>331202.58131400007</v>
      </c>
      <c r="W40" s="60">
        <f t="shared" si="159"/>
        <v>97885.150000000009</v>
      </c>
      <c r="X40" s="59">
        <f t="shared" si="160"/>
        <v>323588.72887000005</v>
      </c>
      <c r="Y40" s="57">
        <f t="shared" si="161"/>
        <v>95581.97</v>
      </c>
      <c r="Z40" s="59">
        <f t="shared" si="162"/>
        <v>315974.87642600003</v>
      </c>
      <c r="AA40" s="55">
        <f t="shared" si="163"/>
        <v>93278.790000000008</v>
      </c>
      <c r="AB40" s="59">
        <f t="shared" si="164"/>
        <v>308361.02398200001</v>
      </c>
      <c r="AC40" s="60">
        <f t="shared" si="165"/>
        <v>90975.61</v>
      </c>
      <c r="AD40" s="59">
        <f t="shared" si="166"/>
        <v>300747.171538</v>
      </c>
      <c r="AE40" s="60">
        <f t="shared" si="167"/>
        <v>88672.430000000008</v>
      </c>
      <c r="AF40" s="59">
        <f t="shared" si="168"/>
        <v>293133.31909400003</v>
      </c>
      <c r="AG40" s="60">
        <f t="shared" si="169"/>
        <v>86369.25</v>
      </c>
      <c r="AH40" s="59">
        <f t="shared" si="170"/>
        <v>285519.46665000002</v>
      </c>
      <c r="AI40" s="55">
        <f t="shared" si="171"/>
        <v>84066.069999999992</v>
      </c>
      <c r="AJ40" s="59">
        <f t="shared" si="172"/>
        <v>277905.614206</v>
      </c>
      <c r="AK40" s="60">
        <f t="shared" si="173"/>
        <v>81762.89</v>
      </c>
      <c r="AL40" s="59">
        <f t="shared" si="174"/>
        <v>270291.76176199998</v>
      </c>
      <c r="AM40" s="60">
        <f t="shared" si="175"/>
        <v>79459.709999999992</v>
      </c>
      <c r="AN40" s="59">
        <f t="shared" si="176"/>
        <v>262677.90931799996</v>
      </c>
      <c r="AO40" s="60">
        <f t="shared" si="177"/>
        <v>77156.529999999984</v>
      </c>
      <c r="AP40" s="59">
        <f t="shared" si="178"/>
        <v>255064.05687399994</v>
      </c>
      <c r="AQ40" s="60">
        <f t="shared" si="179"/>
        <v>74853.349999999991</v>
      </c>
      <c r="AR40" s="59">
        <f t="shared" si="180"/>
        <v>247450.20442999998</v>
      </c>
      <c r="AS40" s="55">
        <f t="shared" si="181"/>
        <v>72550.169999999984</v>
      </c>
      <c r="AT40" s="59">
        <f t="shared" si="182"/>
        <v>239836.35198599997</v>
      </c>
      <c r="AU40" s="60">
        <f t="shared" si="183"/>
        <v>70246.989999999976</v>
      </c>
      <c r="AV40" s="59">
        <f t="shared" si="184"/>
        <v>232222.49954199992</v>
      </c>
      <c r="AW40" s="60">
        <f t="shared" si="185"/>
        <v>67943.809999999983</v>
      </c>
      <c r="AX40" s="59">
        <f t="shared" si="186"/>
        <v>224608.64709799996</v>
      </c>
      <c r="AY40" s="55">
        <f t="shared" si="187"/>
        <v>65640.629999999976</v>
      </c>
      <c r="AZ40" s="59">
        <f t="shared" si="188"/>
        <v>216994.79465399991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2"/>
        <v>0.91</v>
      </c>
      <c r="BH40" s="55">
        <f t="shared" si="142"/>
        <v>0.89</v>
      </c>
      <c r="BI40" s="55">
        <f t="shared" si="142"/>
        <v>0.87</v>
      </c>
      <c r="BJ40" s="55">
        <f t="shared" si="142"/>
        <v>0.85</v>
      </c>
      <c r="BK40" s="55">
        <f t="shared" si="142"/>
        <v>0.83</v>
      </c>
      <c r="BL40" s="55">
        <f t="shared" si="142"/>
        <v>0.80999999999999994</v>
      </c>
      <c r="BM40" s="55">
        <f t="shared" si="142"/>
        <v>0.78999999999999992</v>
      </c>
      <c r="BN40" s="55">
        <f t="shared" si="142"/>
        <v>0.76999999999999991</v>
      </c>
      <c r="BO40" s="55">
        <f t="shared" si="142"/>
        <v>0.74999999999999989</v>
      </c>
      <c r="BP40" s="55">
        <f t="shared" si="142"/>
        <v>0.72999999999999987</v>
      </c>
      <c r="BQ40" s="55">
        <f t="shared" si="142"/>
        <v>0.70999999999999985</v>
      </c>
      <c r="BR40" s="55">
        <f t="shared" si="142"/>
        <v>0.68999999999999984</v>
      </c>
      <c r="BS40" s="55">
        <f t="shared" si="142"/>
        <v>0.66999999999999982</v>
      </c>
      <c r="BT40" s="55">
        <f t="shared" si="142"/>
        <v>0.6499999999999998</v>
      </c>
      <c r="BU40" s="55">
        <f t="shared" si="142"/>
        <v>0.62999999999999978</v>
      </c>
      <c r="BV40" s="55">
        <f t="shared" si="142"/>
        <v>0.60999999999999976</v>
      </c>
      <c r="BW40" s="55">
        <f t="shared" si="142"/>
        <v>0.58999999999999975</v>
      </c>
      <c r="BX40" s="55">
        <f t="shared" si="142"/>
        <v>0.56999999999999973</v>
      </c>
      <c r="BZ40" s="55">
        <f t="shared" si="87"/>
        <v>104794.69000000002</v>
      </c>
      <c r="CA40" s="55">
        <f t="shared" si="88"/>
        <v>104794.69000000002</v>
      </c>
      <c r="CB40" s="59">
        <f t="shared" si="189"/>
        <v>346430.28620200005</v>
      </c>
      <c r="CC40" s="55">
        <f t="shared" si="190"/>
        <v>101650.84930000002</v>
      </c>
      <c r="CD40" s="59">
        <f t="shared" si="191"/>
        <v>336037.37761594006</v>
      </c>
      <c r="CE40" s="55">
        <f t="shared" si="192"/>
        <v>99554.955500000011</v>
      </c>
      <c r="CF40" s="59">
        <f t="shared" si="193"/>
        <v>329108.77189190005</v>
      </c>
      <c r="CG40" s="55">
        <f t="shared" si="194"/>
        <v>97459.06170000002</v>
      </c>
      <c r="CH40" s="59">
        <f t="shared" si="195"/>
        <v>322180.16616786009</v>
      </c>
      <c r="CI40" s="57">
        <f t="shared" si="196"/>
        <v>95363.167900000015</v>
      </c>
      <c r="CJ40" s="59">
        <f t="shared" si="197"/>
        <v>315251.56044382008</v>
      </c>
      <c r="CK40" s="55">
        <f t="shared" si="198"/>
        <v>93267.27410000001</v>
      </c>
      <c r="CL40" s="59">
        <f t="shared" si="199"/>
        <v>308322.95471978001</v>
      </c>
      <c r="CM40" s="57">
        <f t="shared" si="200"/>
        <v>91171.380300000019</v>
      </c>
      <c r="CN40" s="59">
        <f t="shared" si="201"/>
        <v>301394.34899574006</v>
      </c>
      <c r="CO40" s="60">
        <f t="shared" si="202"/>
        <v>89075.486500000014</v>
      </c>
      <c r="CP40" s="59">
        <f t="shared" si="203"/>
        <v>294465.74327170005</v>
      </c>
      <c r="CQ40" s="57">
        <f t="shared" si="204"/>
        <v>86979.592700000008</v>
      </c>
      <c r="CR40" s="59">
        <f t="shared" si="205"/>
        <v>287537.13754766004</v>
      </c>
      <c r="CS40" s="55">
        <f t="shared" si="206"/>
        <v>84883.698900000003</v>
      </c>
      <c r="CT40" s="59">
        <f t="shared" si="207"/>
        <v>280608.53182362003</v>
      </c>
      <c r="CU40" s="60">
        <f t="shared" si="208"/>
        <v>82787.805100000012</v>
      </c>
      <c r="CV40" s="59">
        <f t="shared" si="209"/>
        <v>273679.92609958007</v>
      </c>
      <c r="CW40" s="60">
        <f t="shared" si="210"/>
        <v>80691.911300000007</v>
      </c>
      <c r="CX40" s="59">
        <f t="shared" si="211"/>
        <v>266751.32037554</v>
      </c>
      <c r="CY40" s="60">
        <f t="shared" si="212"/>
        <v>78596.017500000002</v>
      </c>
      <c r="CZ40" s="59">
        <f t="shared" si="213"/>
        <v>259822.71465150002</v>
      </c>
      <c r="DA40" s="55">
        <f t="shared" si="214"/>
        <v>76500.123699999996</v>
      </c>
      <c r="DB40" s="59">
        <f t="shared" si="215"/>
        <v>252894.10892745998</v>
      </c>
      <c r="DC40" s="60">
        <f t="shared" si="216"/>
        <v>74404.229899999991</v>
      </c>
      <c r="DD40" s="59">
        <f t="shared" si="217"/>
        <v>245965.50320341997</v>
      </c>
      <c r="DE40" s="60">
        <f t="shared" si="218"/>
        <v>72308.3361</v>
      </c>
      <c r="DF40" s="59">
        <f t="shared" si="219"/>
        <v>239036.89747938002</v>
      </c>
      <c r="DG40" s="60">
        <f t="shared" si="220"/>
        <v>70212.442299999995</v>
      </c>
      <c r="DH40" s="59">
        <f t="shared" si="221"/>
        <v>232108.29175533997</v>
      </c>
      <c r="DI40" s="60">
        <f t="shared" si="222"/>
        <v>68116.54849999999</v>
      </c>
      <c r="DJ40" s="59">
        <f t="shared" si="223"/>
        <v>225179.68603129996</v>
      </c>
      <c r="DK40" s="55">
        <f t="shared" si="224"/>
        <v>66020.654699999985</v>
      </c>
      <c r="DL40" s="59">
        <f t="shared" si="225"/>
        <v>218251.08030725995</v>
      </c>
      <c r="DM40" s="60">
        <f t="shared" si="226"/>
        <v>63924.760899999987</v>
      </c>
      <c r="DN40" s="59">
        <f t="shared" si="227"/>
        <v>211322.47458321997</v>
      </c>
      <c r="DO40" s="60">
        <f t="shared" si="228"/>
        <v>61828.867099999981</v>
      </c>
      <c r="DP40" s="59">
        <f t="shared" si="229"/>
        <v>204393.86885917993</v>
      </c>
      <c r="DQ40" s="55">
        <f t="shared" si="230"/>
        <v>59732.973299999983</v>
      </c>
      <c r="DR40" s="59">
        <f t="shared" si="231"/>
        <v>197465.26313513995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si="232"/>
        <v>0.91</v>
      </c>
      <c r="DZ40" s="55">
        <f t="shared" si="232"/>
        <v>0.89</v>
      </c>
      <c r="EA40" s="55">
        <f t="shared" si="232"/>
        <v>0.87</v>
      </c>
      <c r="EB40" s="55">
        <f t="shared" si="232"/>
        <v>0.85</v>
      </c>
      <c r="EC40" s="55">
        <f t="shared" si="232"/>
        <v>0.83</v>
      </c>
      <c r="ED40" s="55">
        <f t="shared" si="232"/>
        <v>0.80999999999999994</v>
      </c>
      <c r="EE40" s="55">
        <f t="shared" si="232"/>
        <v>0.78999999999999992</v>
      </c>
      <c r="EF40" s="55">
        <f t="shared" si="232"/>
        <v>0.76999999999999991</v>
      </c>
      <c r="EG40" s="55">
        <f t="shared" si="232"/>
        <v>0.74999999999999989</v>
      </c>
      <c r="EH40" s="55">
        <f t="shared" si="232"/>
        <v>0.72999999999999987</v>
      </c>
      <c r="EI40" s="55">
        <f t="shared" si="232"/>
        <v>0.70999999999999985</v>
      </c>
      <c r="EJ40" s="55">
        <f t="shared" si="232"/>
        <v>0.68999999999999984</v>
      </c>
      <c r="EK40" s="55">
        <f t="shared" si="232"/>
        <v>0.66999999999999982</v>
      </c>
      <c r="EL40" s="55">
        <f t="shared" si="232"/>
        <v>0.6499999999999998</v>
      </c>
      <c r="EM40" s="55">
        <f t="shared" si="232"/>
        <v>0.62999999999999978</v>
      </c>
      <c r="EN40" s="55">
        <f t="shared" si="232"/>
        <v>0.60999999999999976</v>
      </c>
      <c r="EO40" s="55">
        <f t="shared" si="232"/>
        <v>0.58999999999999975</v>
      </c>
      <c r="EP40" s="55">
        <f t="shared" si="232"/>
        <v>0.56999999999999973</v>
      </c>
      <c r="ER40" s="55">
        <f t="shared" si="141"/>
        <v>95363.167900000015</v>
      </c>
      <c r="ES40" s="55">
        <f t="shared" si="115"/>
        <v>95363.167900000015</v>
      </c>
      <c r="ET40" s="59">
        <f t="shared" si="233"/>
        <v>315251.56044382008</v>
      </c>
      <c r="EU40" s="55">
        <f t="shared" si="234"/>
        <v>92502.272863000006</v>
      </c>
      <c r="EV40" s="59">
        <f t="shared" si="235"/>
        <v>305794.01363050542</v>
      </c>
      <c r="EW40" s="55">
        <f t="shared" si="236"/>
        <v>90595.009505000009</v>
      </c>
      <c r="EX40" s="59">
        <f t="shared" si="237"/>
        <v>299488.98242162901</v>
      </c>
      <c r="EY40" s="55">
        <f t="shared" si="238"/>
        <v>88687.746147000013</v>
      </c>
      <c r="EZ40" s="59">
        <f t="shared" si="239"/>
        <v>293183.95121275267</v>
      </c>
      <c r="FA40" s="57">
        <f t="shared" si="240"/>
        <v>86780.482789000016</v>
      </c>
      <c r="FB40" s="59">
        <f t="shared" si="241"/>
        <v>286878.92000387626</v>
      </c>
      <c r="FC40" s="55">
        <f t="shared" si="242"/>
        <v>84873.21943100002</v>
      </c>
      <c r="FD40" s="59">
        <f t="shared" si="243"/>
        <v>280573.88879499986</v>
      </c>
      <c r="FE40" s="57">
        <f t="shared" si="244"/>
        <v>82965.956073000008</v>
      </c>
      <c r="FF40" s="59">
        <f t="shared" si="245"/>
        <v>274268.85758612346</v>
      </c>
      <c r="FG40" s="60">
        <f t="shared" si="246"/>
        <v>81058.692715000012</v>
      </c>
      <c r="FH40" s="59">
        <f t="shared" si="247"/>
        <v>267963.82637724705</v>
      </c>
      <c r="FI40" s="57">
        <f t="shared" si="248"/>
        <v>79151.429357000015</v>
      </c>
      <c r="FJ40" s="59">
        <f t="shared" si="249"/>
        <v>261658.79516837065</v>
      </c>
      <c r="FK40" s="55">
        <f t="shared" si="250"/>
        <v>77244.165999000004</v>
      </c>
      <c r="FL40" s="59">
        <f t="shared" si="251"/>
        <v>255353.76395949422</v>
      </c>
      <c r="FM40" s="60">
        <f t="shared" si="252"/>
        <v>75336.902641000008</v>
      </c>
      <c r="FN40" s="59">
        <f t="shared" si="253"/>
        <v>249048.73275061784</v>
      </c>
      <c r="FO40" s="60">
        <f t="shared" si="254"/>
        <v>73429.639282999997</v>
      </c>
      <c r="FP40" s="59">
        <f t="shared" si="255"/>
        <v>242743.70154174141</v>
      </c>
      <c r="FQ40" s="60">
        <f t="shared" si="256"/>
        <v>71522.375925</v>
      </c>
      <c r="FR40" s="59">
        <f t="shared" si="257"/>
        <v>236438.670332865</v>
      </c>
      <c r="FS40" s="55">
        <f t="shared" si="258"/>
        <v>69615.112567000004</v>
      </c>
      <c r="FT40" s="59">
        <f t="shared" si="259"/>
        <v>230133.63912398863</v>
      </c>
      <c r="FU40" s="60">
        <f t="shared" si="260"/>
        <v>67707.849208999993</v>
      </c>
      <c r="FV40" s="59">
        <f t="shared" si="261"/>
        <v>223828.60791511217</v>
      </c>
      <c r="FW40" s="60">
        <f t="shared" si="262"/>
        <v>65800.585850999996</v>
      </c>
      <c r="FX40" s="59">
        <f t="shared" si="263"/>
        <v>217523.57670623579</v>
      </c>
      <c r="FY40" s="60">
        <f t="shared" si="264"/>
        <v>63893.322492999992</v>
      </c>
      <c r="FZ40" s="59">
        <f t="shared" si="265"/>
        <v>211218.54549735939</v>
      </c>
      <c r="GA40" s="60">
        <f t="shared" si="266"/>
        <v>61986.059134999989</v>
      </c>
      <c r="GB40" s="59">
        <f t="shared" si="267"/>
        <v>204913.51428848295</v>
      </c>
      <c r="GC40" s="55">
        <f t="shared" si="268"/>
        <v>60078.795776999992</v>
      </c>
      <c r="GD40" s="59">
        <f t="shared" si="269"/>
        <v>198608.48307960658</v>
      </c>
      <c r="GE40" s="60">
        <f t="shared" si="270"/>
        <v>58171.532418999988</v>
      </c>
      <c r="GF40" s="59">
        <f t="shared" si="271"/>
        <v>192303.45187073018</v>
      </c>
      <c r="GG40" s="60">
        <f t="shared" si="272"/>
        <v>56264.269060999985</v>
      </c>
      <c r="GH40" s="59">
        <f t="shared" si="273"/>
        <v>185998.42066185374</v>
      </c>
      <c r="GI40" s="55">
        <f t="shared" si="274"/>
        <v>54357.005702999981</v>
      </c>
      <c r="GJ40" s="59">
        <f t="shared" si="275"/>
        <v>179693.38945297734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si="276"/>
        <v>0.91</v>
      </c>
      <c r="GR40" s="55">
        <f t="shared" si="276"/>
        <v>0.89</v>
      </c>
      <c r="GS40" s="55">
        <f t="shared" si="276"/>
        <v>0.87</v>
      </c>
      <c r="GT40" s="55">
        <f t="shared" si="276"/>
        <v>0.85</v>
      </c>
      <c r="GU40" s="55">
        <f t="shared" si="276"/>
        <v>0.83</v>
      </c>
      <c r="GV40" s="55">
        <f t="shared" si="276"/>
        <v>0.80999999999999994</v>
      </c>
      <c r="GW40" s="55">
        <f t="shared" si="276"/>
        <v>0.78999999999999992</v>
      </c>
      <c r="GX40" s="55">
        <f t="shared" si="276"/>
        <v>0.76999999999999991</v>
      </c>
      <c r="GY40" s="55">
        <f t="shared" si="276"/>
        <v>0.74999999999999989</v>
      </c>
      <c r="GZ40" s="55">
        <f t="shared" si="276"/>
        <v>0.72999999999999987</v>
      </c>
      <c r="HA40" s="55">
        <f t="shared" si="276"/>
        <v>0.70999999999999985</v>
      </c>
      <c r="HB40" s="55">
        <f t="shared" si="276"/>
        <v>0.68999999999999984</v>
      </c>
      <c r="HC40" s="55">
        <f t="shared" si="276"/>
        <v>0.66999999999999982</v>
      </c>
      <c r="HD40" s="55">
        <f t="shared" si="276"/>
        <v>0.6499999999999998</v>
      </c>
      <c r="HE40" s="55">
        <f t="shared" si="276"/>
        <v>0.62999999999999978</v>
      </c>
      <c r="HF40" s="55">
        <f t="shared" si="276"/>
        <v>0.60999999999999976</v>
      </c>
      <c r="HG40" s="55">
        <f t="shared" si="276"/>
        <v>0.58999999999999975</v>
      </c>
      <c r="HH40" s="55">
        <f t="shared" si="276"/>
        <v>0.56999999999999973</v>
      </c>
    </row>
    <row r="41" spans="1:216" x14ac:dyDescent="0.3">
      <c r="A41" s="2">
        <v>8</v>
      </c>
      <c r="C41" s="38" t="s">
        <v>20</v>
      </c>
      <c r="D41" s="42">
        <v>0</v>
      </c>
      <c r="E41" s="86">
        <f>TRUNC(+D41*3.3058,-1)</f>
        <v>0</v>
      </c>
      <c r="H41" s="55">
        <f t="shared" si="60"/>
        <v>0</v>
      </c>
      <c r="I41" s="55">
        <f t="shared" si="61"/>
        <v>0</v>
      </c>
      <c r="J41" s="59">
        <f t="shared" si="62"/>
        <v>0</v>
      </c>
      <c r="K41" s="55">
        <f t="shared" si="147"/>
        <v>0</v>
      </c>
      <c r="L41" s="59">
        <f t="shared" si="148"/>
        <v>0</v>
      </c>
      <c r="M41" s="55">
        <f t="shared" si="149"/>
        <v>0</v>
      </c>
      <c r="N41" s="59">
        <f t="shared" si="150"/>
        <v>0</v>
      </c>
      <c r="O41" s="55">
        <f t="shared" si="151"/>
        <v>0</v>
      </c>
      <c r="P41" s="59">
        <f t="shared" si="152"/>
        <v>0</v>
      </c>
      <c r="Q41" s="57">
        <f t="shared" si="153"/>
        <v>0</v>
      </c>
      <c r="R41" s="59">
        <f t="shared" si="154"/>
        <v>0</v>
      </c>
      <c r="S41" s="55">
        <f t="shared" si="155"/>
        <v>0</v>
      </c>
      <c r="T41" s="59">
        <f t="shared" si="156"/>
        <v>0</v>
      </c>
      <c r="U41" s="57">
        <f t="shared" si="157"/>
        <v>0</v>
      </c>
      <c r="V41" s="59">
        <f t="shared" si="158"/>
        <v>0</v>
      </c>
      <c r="W41" s="60">
        <f t="shared" si="159"/>
        <v>0</v>
      </c>
      <c r="X41" s="59">
        <f t="shared" si="160"/>
        <v>0</v>
      </c>
      <c r="Y41" s="57">
        <f t="shared" si="161"/>
        <v>0</v>
      </c>
      <c r="Z41" s="59">
        <f t="shared" si="162"/>
        <v>0</v>
      </c>
      <c r="AA41" s="55">
        <f t="shared" si="163"/>
        <v>0</v>
      </c>
      <c r="AB41" s="59">
        <f t="shared" si="164"/>
        <v>0</v>
      </c>
      <c r="AC41" s="60">
        <f t="shared" si="165"/>
        <v>0</v>
      </c>
      <c r="AD41" s="59">
        <f t="shared" si="166"/>
        <v>0</v>
      </c>
      <c r="AE41" s="60">
        <f t="shared" si="167"/>
        <v>0</v>
      </c>
      <c r="AF41" s="59">
        <f t="shared" si="168"/>
        <v>0</v>
      </c>
      <c r="AG41" s="60">
        <f t="shared" si="169"/>
        <v>0</v>
      </c>
      <c r="AH41" s="59">
        <f t="shared" si="170"/>
        <v>0</v>
      </c>
      <c r="AI41" s="55">
        <f t="shared" si="171"/>
        <v>0</v>
      </c>
      <c r="AJ41" s="59">
        <f t="shared" si="172"/>
        <v>0</v>
      </c>
      <c r="AK41" s="60">
        <f t="shared" si="173"/>
        <v>0</v>
      </c>
      <c r="AL41" s="59">
        <f t="shared" si="174"/>
        <v>0</v>
      </c>
      <c r="AM41" s="60">
        <f t="shared" si="175"/>
        <v>0</v>
      </c>
      <c r="AN41" s="59">
        <f t="shared" si="176"/>
        <v>0</v>
      </c>
      <c r="AO41" s="60">
        <f t="shared" si="177"/>
        <v>0</v>
      </c>
      <c r="AP41" s="59">
        <f t="shared" si="178"/>
        <v>0</v>
      </c>
      <c r="AQ41" s="60">
        <f t="shared" si="179"/>
        <v>0</v>
      </c>
      <c r="AR41" s="59">
        <f t="shared" si="180"/>
        <v>0</v>
      </c>
      <c r="AS41" s="55">
        <f t="shared" si="181"/>
        <v>0</v>
      </c>
      <c r="AT41" s="59">
        <f t="shared" si="182"/>
        <v>0</v>
      </c>
      <c r="AU41" s="60">
        <f t="shared" si="183"/>
        <v>0</v>
      </c>
      <c r="AV41" s="59">
        <f t="shared" si="184"/>
        <v>0</v>
      </c>
      <c r="AW41" s="60">
        <f t="shared" si="185"/>
        <v>0</v>
      </c>
      <c r="AX41" s="59">
        <f t="shared" si="186"/>
        <v>0</v>
      </c>
      <c r="AY41" s="55">
        <f t="shared" si="187"/>
        <v>0</v>
      </c>
      <c r="AZ41" s="59">
        <f t="shared" si="188"/>
        <v>0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2"/>
        <v>0.91</v>
      </c>
      <c r="BH41" s="55">
        <f t="shared" si="142"/>
        <v>0.89</v>
      </c>
      <c r="BI41" s="55">
        <f t="shared" si="142"/>
        <v>0.87</v>
      </c>
      <c r="BJ41" s="55">
        <f t="shared" si="142"/>
        <v>0.85</v>
      </c>
      <c r="BK41" s="55">
        <f t="shared" si="142"/>
        <v>0.83</v>
      </c>
      <c r="BL41" s="55">
        <f t="shared" si="142"/>
        <v>0.80999999999999994</v>
      </c>
      <c r="BM41" s="55">
        <f t="shared" si="142"/>
        <v>0.78999999999999992</v>
      </c>
      <c r="BN41" s="55">
        <f t="shared" si="142"/>
        <v>0.76999999999999991</v>
      </c>
      <c r="BO41" s="55">
        <f t="shared" si="142"/>
        <v>0.74999999999999989</v>
      </c>
      <c r="BP41" s="55">
        <f t="shared" si="142"/>
        <v>0.72999999999999987</v>
      </c>
      <c r="BQ41" s="55">
        <f t="shared" si="142"/>
        <v>0.70999999999999985</v>
      </c>
      <c r="BR41" s="55">
        <f t="shared" si="142"/>
        <v>0.68999999999999984</v>
      </c>
      <c r="BS41" s="55">
        <f t="shared" si="142"/>
        <v>0.66999999999999982</v>
      </c>
      <c r="BT41" s="55">
        <f t="shared" si="142"/>
        <v>0.6499999999999998</v>
      </c>
      <c r="BU41" s="55">
        <f t="shared" si="142"/>
        <v>0.62999999999999978</v>
      </c>
      <c r="BV41" s="55">
        <f t="shared" si="142"/>
        <v>0.60999999999999976</v>
      </c>
      <c r="BW41" s="55">
        <f t="shared" si="142"/>
        <v>0.58999999999999975</v>
      </c>
      <c r="BX41" s="55">
        <f t="shared" si="142"/>
        <v>0.56999999999999973</v>
      </c>
      <c r="BZ41" s="55">
        <f t="shared" si="87"/>
        <v>0</v>
      </c>
      <c r="CA41" s="55">
        <f t="shared" si="88"/>
        <v>0</v>
      </c>
      <c r="CB41" s="59">
        <f t="shared" si="189"/>
        <v>0</v>
      </c>
      <c r="CC41" s="55">
        <f t="shared" si="190"/>
        <v>0</v>
      </c>
      <c r="CD41" s="59">
        <f t="shared" si="191"/>
        <v>0</v>
      </c>
      <c r="CE41" s="55">
        <f t="shared" si="192"/>
        <v>0</v>
      </c>
      <c r="CF41" s="59">
        <f t="shared" si="193"/>
        <v>0</v>
      </c>
      <c r="CG41" s="55">
        <f t="shared" si="194"/>
        <v>0</v>
      </c>
      <c r="CH41" s="59">
        <f t="shared" si="195"/>
        <v>0</v>
      </c>
      <c r="CI41" s="57">
        <f t="shared" si="196"/>
        <v>0</v>
      </c>
      <c r="CJ41" s="59">
        <f t="shared" si="197"/>
        <v>0</v>
      </c>
      <c r="CK41" s="55">
        <f t="shared" si="198"/>
        <v>0</v>
      </c>
      <c r="CL41" s="59">
        <f t="shared" si="199"/>
        <v>0</v>
      </c>
      <c r="CM41" s="57">
        <f t="shared" si="200"/>
        <v>0</v>
      </c>
      <c r="CN41" s="59">
        <f t="shared" si="201"/>
        <v>0</v>
      </c>
      <c r="CO41" s="60">
        <f t="shared" si="202"/>
        <v>0</v>
      </c>
      <c r="CP41" s="59">
        <f t="shared" si="203"/>
        <v>0</v>
      </c>
      <c r="CQ41" s="57">
        <f t="shared" si="204"/>
        <v>0</v>
      </c>
      <c r="CR41" s="59">
        <f t="shared" si="205"/>
        <v>0</v>
      </c>
      <c r="CS41" s="55">
        <f t="shared" si="206"/>
        <v>0</v>
      </c>
      <c r="CT41" s="59">
        <f t="shared" si="207"/>
        <v>0</v>
      </c>
      <c r="CU41" s="60">
        <f t="shared" si="208"/>
        <v>0</v>
      </c>
      <c r="CV41" s="59">
        <f t="shared" si="209"/>
        <v>0</v>
      </c>
      <c r="CW41" s="60">
        <f t="shared" si="210"/>
        <v>0</v>
      </c>
      <c r="CX41" s="59">
        <f t="shared" si="211"/>
        <v>0</v>
      </c>
      <c r="CY41" s="60">
        <f t="shared" si="212"/>
        <v>0</v>
      </c>
      <c r="CZ41" s="59">
        <f t="shared" si="213"/>
        <v>0</v>
      </c>
      <c r="DA41" s="55">
        <f t="shared" si="214"/>
        <v>0</v>
      </c>
      <c r="DB41" s="59">
        <f t="shared" si="215"/>
        <v>0</v>
      </c>
      <c r="DC41" s="60">
        <f t="shared" si="216"/>
        <v>0</v>
      </c>
      <c r="DD41" s="59">
        <f t="shared" si="217"/>
        <v>0</v>
      </c>
      <c r="DE41" s="60">
        <f t="shared" si="218"/>
        <v>0</v>
      </c>
      <c r="DF41" s="59">
        <f t="shared" si="219"/>
        <v>0</v>
      </c>
      <c r="DG41" s="60">
        <f t="shared" si="220"/>
        <v>0</v>
      </c>
      <c r="DH41" s="59">
        <f t="shared" si="221"/>
        <v>0</v>
      </c>
      <c r="DI41" s="60">
        <f t="shared" si="222"/>
        <v>0</v>
      </c>
      <c r="DJ41" s="59">
        <f t="shared" si="223"/>
        <v>0</v>
      </c>
      <c r="DK41" s="55">
        <f t="shared" si="224"/>
        <v>0</v>
      </c>
      <c r="DL41" s="59">
        <f t="shared" si="225"/>
        <v>0</v>
      </c>
      <c r="DM41" s="60">
        <f t="shared" si="226"/>
        <v>0</v>
      </c>
      <c r="DN41" s="59">
        <f t="shared" si="227"/>
        <v>0</v>
      </c>
      <c r="DO41" s="60">
        <f t="shared" si="228"/>
        <v>0</v>
      </c>
      <c r="DP41" s="59">
        <f t="shared" si="229"/>
        <v>0</v>
      </c>
      <c r="DQ41" s="55">
        <f t="shared" si="230"/>
        <v>0</v>
      </c>
      <c r="DR41" s="59">
        <f t="shared" si="231"/>
        <v>0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32"/>
        <v>0.91</v>
      </c>
      <c r="DZ41" s="55">
        <f t="shared" si="232"/>
        <v>0.89</v>
      </c>
      <c r="EA41" s="55">
        <f t="shared" si="232"/>
        <v>0.87</v>
      </c>
      <c r="EB41" s="55">
        <f t="shared" si="232"/>
        <v>0.85</v>
      </c>
      <c r="EC41" s="55">
        <f t="shared" si="232"/>
        <v>0.83</v>
      </c>
      <c r="ED41" s="55">
        <f t="shared" si="232"/>
        <v>0.80999999999999994</v>
      </c>
      <c r="EE41" s="55">
        <f t="shared" si="232"/>
        <v>0.78999999999999992</v>
      </c>
      <c r="EF41" s="55">
        <f t="shared" si="232"/>
        <v>0.76999999999999991</v>
      </c>
      <c r="EG41" s="55">
        <f t="shared" si="232"/>
        <v>0.74999999999999989</v>
      </c>
      <c r="EH41" s="55">
        <f t="shared" si="232"/>
        <v>0.72999999999999987</v>
      </c>
      <c r="EI41" s="55">
        <f t="shared" si="232"/>
        <v>0.70999999999999985</v>
      </c>
      <c r="EJ41" s="55">
        <f t="shared" si="232"/>
        <v>0.68999999999999984</v>
      </c>
      <c r="EK41" s="55">
        <f t="shared" si="232"/>
        <v>0.66999999999999982</v>
      </c>
      <c r="EL41" s="55">
        <f t="shared" si="232"/>
        <v>0.6499999999999998</v>
      </c>
      <c r="EM41" s="55">
        <f t="shared" si="232"/>
        <v>0.62999999999999978</v>
      </c>
      <c r="EN41" s="55">
        <f t="shared" si="232"/>
        <v>0.60999999999999976</v>
      </c>
      <c r="EO41" s="55">
        <f t="shared" si="232"/>
        <v>0.58999999999999975</v>
      </c>
      <c r="EP41" s="55">
        <f t="shared" si="232"/>
        <v>0.56999999999999973</v>
      </c>
      <c r="ER41" s="55">
        <f t="shared" si="141"/>
        <v>0</v>
      </c>
      <c r="ES41" s="55">
        <f t="shared" si="115"/>
        <v>0</v>
      </c>
      <c r="ET41" s="59">
        <f t="shared" si="233"/>
        <v>0</v>
      </c>
      <c r="EU41" s="55">
        <f t="shared" si="234"/>
        <v>0</v>
      </c>
      <c r="EV41" s="59">
        <f t="shared" si="235"/>
        <v>0</v>
      </c>
      <c r="EW41" s="55">
        <f t="shared" si="236"/>
        <v>0</v>
      </c>
      <c r="EX41" s="59">
        <f t="shared" si="237"/>
        <v>0</v>
      </c>
      <c r="EY41" s="55">
        <f t="shared" si="238"/>
        <v>0</v>
      </c>
      <c r="EZ41" s="59">
        <f t="shared" si="239"/>
        <v>0</v>
      </c>
      <c r="FA41" s="57">
        <f t="shared" si="240"/>
        <v>0</v>
      </c>
      <c r="FB41" s="59">
        <f t="shared" si="241"/>
        <v>0</v>
      </c>
      <c r="FC41" s="55">
        <f t="shared" si="242"/>
        <v>0</v>
      </c>
      <c r="FD41" s="59">
        <f t="shared" si="243"/>
        <v>0</v>
      </c>
      <c r="FE41" s="57">
        <f t="shared" si="244"/>
        <v>0</v>
      </c>
      <c r="FF41" s="59">
        <f t="shared" si="245"/>
        <v>0</v>
      </c>
      <c r="FG41" s="60">
        <f t="shared" si="246"/>
        <v>0</v>
      </c>
      <c r="FH41" s="59">
        <f t="shared" si="247"/>
        <v>0</v>
      </c>
      <c r="FI41" s="57">
        <f t="shared" si="248"/>
        <v>0</v>
      </c>
      <c r="FJ41" s="59">
        <f t="shared" si="249"/>
        <v>0</v>
      </c>
      <c r="FK41" s="55">
        <f t="shared" si="250"/>
        <v>0</v>
      </c>
      <c r="FL41" s="59">
        <f t="shared" si="251"/>
        <v>0</v>
      </c>
      <c r="FM41" s="60">
        <f t="shared" si="252"/>
        <v>0</v>
      </c>
      <c r="FN41" s="59">
        <f t="shared" si="253"/>
        <v>0</v>
      </c>
      <c r="FO41" s="60">
        <f t="shared" si="254"/>
        <v>0</v>
      </c>
      <c r="FP41" s="59">
        <f t="shared" si="255"/>
        <v>0</v>
      </c>
      <c r="FQ41" s="60">
        <f t="shared" si="256"/>
        <v>0</v>
      </c>
      <c r="FR41" s="59">
        <f t="shared" si="257"/>
        <v>0</v>
      </c>
      <c r="FS41" s="55">
        <f t="shared" si="258"/>
        <v>0</v>
      </c>
      <c r="FT41" s="59">
        <f t="shared" si="259"/>
        <v>0</v>
      </c>
      <c r="FU41" s="60">
        <f t="shared" si="260"/>
        <v>0</v>
      </c>
      <c r="FV41" s="59">
        <f t="shared" si="261"/>
        <v>0</v>
      </c>
      <c r="FW41" s="60">
        <f t="shared" si="262"/>
        <v>0</v>
      </c>
      <c r="FX41" s="59">
        <f t="shared" si="263"/>
        <v>0</v>
      </c>
      <c r="FY41" s="60">
        <f t="shared" si="264"/>
        <v>0</v>
      </c>
      <c r="FZ41" s="59">
        <f t="shared" si="265"/>
        <v>0</v>
      </c>
      <c r="GA41" s="60">
        <f t="shared" si="266"/>
        <v>0</v>
      </c>
      <c r="GB41" s="59">
        <f t="shared" si="267"/>
        <v>0</v>
      </c>
      <c r="GC41" s="55">
        <f t="shared" si="268"/>
        <v>0</v>
      </c>
      <c r="GD41" s="59">
        <f t="shared" si="269"/>
        <v>0</v>
      </c>
      <c r="GE41" s="60">
        <f t="shared" si="270"/>
        <v>0</v>
      </c>
      <c r="GF41" s="59">
        <f t="shared" si="271"/>
        <v>0</v>
      </c>
      <c r="GG41" s="60">
        <f t="shared" si="272"/>
        <v>0</v>
      </c>
      <c r="GH41" s="59">
        <f t="shared" si="273"/>
        <v>0</v>
      </c>
      <c r="GI41" s="55">
        <f t="shared" si="274"/>
        <v>0</v>
      </c>
      <c r="GJ41" s="59">
        <f t="shared" si="275"/>
        <v>0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76"/>
        <v>0.91</v>
      </c>
      <c r="GR41" s="55">
        <f t="shared" si="276"/>
        <v>0.89</v>
      </c>
      <c r="GS41" s="55">
        <f t="shared" si="276"/>
        <v>0.87</v>
      </c>
      <c r="GT41" s="55">
        <f t="shared" si="276"/>
        <v>0.85</v>
      </c>
      <c r="GU41" s="55">
        <f t="shared" si="276"/>
        <v>0.83</v>
      </c>
      <c r="GV41" s="55">
        <f t="shared" si="276"/>
        <v>0.80999999999999994</v>
      </c>
      <c r="GW41" s="55">
        <f t="shared" si="276"/>
        <v>0.78999999999999992</v>
      </c>
      <c r="GX41" s="55">
        <f t="shared" si="276"/>
        <v>0.76999999999999991</v>
      </c>
      <c r="GY41" s="55">
        <f t="shared" si="276"/>
        <v>0.74999999999999989</v>
      </c>
      <c r="GZ41" s="55">
        <f t="shared" si="276"/>
        <v>0.72999999999999987</v>
      </c>
      <c r="HA41" s="55">
        <f t="shared" si="276"/>
        <v>0.70999999999999985</v>
      </c>
      <c r="HB41" s="55">
        <f t="shared" si="276"/>
        <v>0.68999999999999984</v>
      </c>
      <c r="HC41" s="55">
        <f t="shared" si="276"/>
        <v>0.66999999999999982</v>
      </c>
      <c r="HD41" s="55">
        <f t="shared" si="276"/>
        <v>0.6499999999999998</v>
      </c>
      <c r="HE41" s="55">
        <f t="shared" si="276"/>
        <v>0.62999999999999978</v>
      </c>
      <c r="HF41" s="55">
        <f t="shared" si="276"/>
        <v>0.60999999999999976</v>
      </c>
      <c r="HG41" s="55">
        <f t="shared" si="276"/>
        <v>0.58999999999999975</v>
      </c>
      <c r="HH41" s="55">
        <f t="shared" si="276"/>
        <v>0.56999999999999973</v>
      </c>
    </row>
    <row r="42" spans="1:216" x14ac:dyDescent="0.3">
      <c r="A42" s="2">
        <v>9</v>
      </c>
      <c r="C42" s="38" t="s">
        <v>21</v>
      </c>
      <c r="D42" s="42">
        <f>TRUNC(55367,-1)</f>
        <v>55360</v>
      </c>
      <c r="E42" s="86">
        <f>TRUNC(+D42*3.3058,-1)</f>
        <v>183000</v>
      </c>
      <c r="F42" s="2" t="s">
        <v>306</v>
      </c>
      <c r="H42" s="55">
        <f t="shared" si="60"/>
        <v>201300.00000000003</v>
      </c>
      <c r="I42" s="55">
        <f t="shared" si="61"/>
        <v>201300.00000000003</v>
      </c>
      <c r="J42" s="59">
        <f t="shared" si="62"/>
        <v>665457.54000000015</v>
      </c>
      <c r="K42" s="55">
        <f t="shared" si="147"/>
        <v>195261.00000000003</v>
      </c>
      <c r="L42" s="59">
        <f t="shared" si="148"/>
        <v>645493.81380000012</v>
      </c>
      <c r="M42" s="55">
        <f t="shared" si="149"/>
        <v>191235.00000000003</v>
      </c>
      <c r="N42" s="59">
        <f t="shared" si="150"/>
        <v>632184.66300000006</v>
      </c>
      <c r="O42" s="55">
        <f t="shared" si="151"/>
        <v>187209.00000000003</v>
      </c>
      <c r="P42" s="59">
        <f t="shared" si="152"/>
        <v>618875.51220000011</v>
      </c>
      <c r="Q42" s="57">
        <f t="shared" si="153"/>
        <v>183183.00000000003</v>
      </c>
      <c r="R42" s="59">
        <f t="shared" si="154"/>
        <v>605566.36140000005</v>
      </c>
      <c r="S42" s="55">
        <f t="shared" si="155"/>
        <v>179157.00000000003</v>
      </c>
      <c r="T42" s="59">
        <f t="shared" si="156"/>
        <v>592257.21060000011</v>
      </c>
      <c r="U42" s="57">
        <f t="shared" si="157"/>
        <v>175131.00000000003</v>
      </c>
      <c r="V42" s="59">
        <f t="shared" si="158"/>
        <v>578948.05980000016</v>
      </c>
      <c r="W42" s="60">
        <f t="shared" si="159"/>
        <v>171105.00000000003</v>
      </c>
      <c r="X42" s="59">
        <f t="shared" si="160"/>
        <v>565638.9090000001</v>
      </c>
      <c r="Y42" s="57">
        <f t="shared" si="161"/>
        <v>167079.00000000003</v>
      </c>
      <c r="Z42" s="59">
        <f t="shared" si="162"/>
        <v>552329.75820000016</v>
      </c>
      <c r="AA42" s="55">
        <f t="shared" si="163"/>
        <v>163053</v>
      </c>
      <c r="AB42" s="59">
        <f t="shared" si="164"/>
        <v>539020.60739999998</v>
      </c>
      <c r="AC42" s="60">
        <f t="shared" si="165"/>
        <v>159027</v>
      </c>
      <c r="AD42" s="59">
        <f t="shared" si="166"/>
        <v>525711.45660000003</v>
      </c>
      <c r="AE42" s="60">
        <f t="shared" si="167"/>
        <v>155001</v>
      </c>
      <c r="AF42" s="59">
        <f t="shared" si="168"/>
        <v>512402.30580000003</v>
      </c>
      <c r="AG42" s="60">
        <f t="shared" si="169"/>
        <v>150975</v>
      </c>
      <c r="AH42" s="59">
        <f t="shared" si="170"/>
        <v>499093.15500000003</v>
      </c>
      <c r="AI42" s="55">
        <f t="shared" si="171"/>
        <v>146949</v>
      </c>
      <c r="AJ42" s="59">
        <f t="shared" si="172"/>
        <v>485784.00420000002</v>
      </c>
      <c r="AK42" s="60">
        <f t="shared" si="173"/>
        <v>142923</v>
      </c>
      <c r="AL42" s="59">
        <f t="shared" si="174"/>
        <v>472474.85340000002</v>
      </c>
      <c r="AM42" s="60">
        <f t="shared" si="175"/>
        <v>138897</v>
      </c>
      <c r="AN42" s="59">
        <f t="shared" si="176"/>
        <v>459165.70260000002</v>
      </c>
      <c r="AO42" s="60">
        <f t="shared" si="177"/>
        <v>134870.99999999997</v>
      </c>
      <c r="AP42" s="59">
        <f t="shared" si="178"/>
        <v>445856.5517999999</v>
      </c>
      <c r="AQ42" s="60">
        <f t="shared" si="179"/>
        <v>130844.99999999999</v>
      </c>
      <c r="AR42" s="59">
        <f t="shared" si="180"/>
        <v>432547.40099999995</v>
      </c>
      <c r="AS42" s="55">
        <f t="shared" si="181"/>
        <v>126818.99999999997</v>
      </c>
      <c r="AT42" s="59">
        <f t="shared" si="182"/>
        <v>419238.25019999989</v>
      </c>
      <c r="AU42" s="60">
        <f t="shared" si="183"/>
        <v>122792.99999999997</v>
      </c>
      <c r="AV42" s="59">
        <f t="shared" si="184"/>
        <v>405929.09939999989</v>
      </c>
      <c r="AW42" s="60">
        <f t="shared" si="185"/>
        <v>118766.99999999997</v>
      </c>
      <c r="AX42" s="59">
        <f t="shared" si="186"/>
        <v>392619.94859999989</v>
      </c>
      <c r="AY42" s="55">
        <f t="shared" si="187"/>
        <v>114740.99999999996</v>
      </c>
      <c r="AZ42" s="59">
        <f t="shared" si="188"/>
        <v>379310.79779999988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2"/>
        <v>0.91</v>
      </c>
      <c r="BH42" s="55">
        <f t="shared" si="142"/>
        <v>0.89</v>
      </c>
      <c r="BI42" s="55">
        <f t="shared" si="142"/>
        <v>0.87</v>
      </c>
      <c r="BJ42" s="55">
        <f t="shared" si="142"/>
        <v>0.85</v>
      </c>
      <c r="BK42" s="55">
        <f t="shared" si="142"/>
        <v>0.83</v>
      </c>
      <c r="BL42" s="55">
        <f t="shared" si="142"/>
        <v>0.80999999999999994</v>
      </c>
      <c r="BM42" s="55">
        <f t="shared" si="142"/>
        <v>0.78999999999999992</v>
      </c>
      <c r="BN42" s="55">
        <f t="shared" si="142"/>
        <v>0.76999999999999991</v>
      </c>
      <c r="BO42" s="55">
        <f t="shared" si="142"/>
        <v>0.74999999999999989</v>
      </c>
      <c r="BP42" s="55">
        <f t="shared" si="142"/>
        <v>0.72999999999999987</v>
      </c>
      <c r="BQ42" s="55">
        <f t="shared" si="142"/>
        <v>0.70999999999999985</v>
      </c>
      <c r="BR42" s="55">
        <f t="shared" si="142"/>
        <v>0.68999999999999984</v>
      </c>
      <c r="BS42" s="55">
        <f t="shared" si="142"/>
        <v>0.66999999999999982</v>
      </c>
      <c r="BT42" s="55">
        <f t="shared" si="142"/>
        <v>0.6499999999999998</v>
      </c>
      <c r="BU42" s="55">
        <f t="shared" si="142"/>
        <v>0.62999999999999978</v>
      </c>
      <c r="BV42" s="55">
        <f t="shared" si="142"/>
        <v>0.60999999999999976</v>
      </c>
      <c r="BW42" s="55">
        <f t="shared" si="142"/>
        <v>0.58999999999999975</v>
      </c>
      <c r="BX42" s="55">
        <f t="shared" si="142"/>
        <v>0.56999999999999973</v>
      </c>
      <c r="BZ42" s="55">
        <f t="shared" si="87"/>
        <v>183183.00000000003</v>
      </c>
      <c r="CA42" s="55">
        <f t="shared" si="88"/>
        <v>183183.00000000003</v>
      </c>
      <c r="CB42" s="59">
        <f t="shared" si="189"/>
        <v>605566.36140000005</v>
      </c>
      <c r="CC42" s="55">
        <f t="shared" si="190"/>
        <v>177687.51</v>
      </c>
      <c r="CD42" s="59">
        <f t="shared" si="191"/>
        <v>587399.37055800005</v>
      </c>
      <c r="CE42" s="55">
        <f t="shared" si="192"/>
        <v>174023.85</v>
      </c>
      <c r="CF42" s="59">
        <f t="shared" si="193"/>
        <v>575288.04333000001</v>
      </c>
      <c r="CG42" s="55">
        <f t="shared" si="194"/>
        <v>170360.19000000003</v>
      </c>
      <c r="CH42" s="59">
        <f t="shared" si="195"/>
        <v>563176.71610200009</v>
      </c>
      <c r="CI42" s="57">
        <f t="shared" si="196"/>
        <v>166696.53000000003</v>
      </c>
      <c r="CJ42" s="59">
        <f t="shared" si="197"/>
        <v>551065.38887400005</v>
      </c>
      <c r="CK42" s="55">
        <f t="shared" si="198"/>
        <v>163032.87000000002</v>
      </c>
      <c r="CL42" s="59">
        <f t="shared" si="199"/>
        <v>538954.06164600013</v>
      </c>
      <c r="CM42" s="57">
        <f t="shared" si="200"/>
        <v>159369.21000000002</v>
      </c>
      <c r="CN42" s="59">
        <f t="shared" si="201"/>
        <v>526842.73441800009</v>
      </c>
      <c r="CO42" s="60">
        <f t="shared" si="202"/>
        <v>155705.55000000002</v>
      </c>
      <c r="CP42" s="59">
        <f t="shared" si="203"/>
        <v>514731.40719000006</v>
      </c>
      <c r="CQ42" s="57">
        <f t="shared" si="204"/>
        <v>152041.89000000001</v>
      </c>
      <c r="CR42" s="59">
        <f t="shared" si="205"/>
        <v>502620.07996200008</v>
      </c>
      <c r="CS42" s="55">
        <f t="shared" si="206"/>
        <v>148378.23000000001</v>
      </c>
      <c r="CT42" s="59">
        <f t="shared" si="207"/>
        <v>490508.75273400004</v>
      </c>
      <c r="CU42" s="60">
        <f t="shared" si="208"/>
        <v>144714.57</v>
      </c>
      <c r="CV42" s="59">
        <f t="shared" si="209"/>
        <v>478397.42550600006</v>
      </c>
      <c r="CW42" s="60">
        <f t="shared" si="210"/>
        <v>141050.91</v>
      </c>
      <c r="CX42" s="59">
        <f t="shared" si="211"/>
        <v>466286.09827800002</v>
      </c>
      <c r="CY42" s="60">
        <f t="shared" si="212"/>
        <v>137387.25</v>
      </c>
      <c r="CZ42" s="59">
        <f t="shared" si="213"/>
        <v>454174.77104999998</v>
      </c>
      <c r="DA42" s="55">
        <f t="shared" si="214"/>
        <v>133723.59</v>
      </c>
      <c r="DB42" s="59">
        <f t="shared" si="215"/>
        <v>442063.443822</v>
      </c>
      <c r="DC42" s="60">
        <f t="shared" si="216"/>
        <v>130059.93</v>
      </c>
      <c r="DD42" s="59">
        <f t="shared" si="217"/>
        <v>429952.11659399996</v>
      </c>
      <c r="DE42" s="60">
        <f t="shared" si="218"/>
        <v>126396.26999999999</v>
      </c>
      <c r="DF42" s="59">
        <f t="shared" si="219"/>
        <v>417840.78936599998</v>
      </c>
      <c r="DG42" s="60">
        <f t="shared" si="220"/>
        <v>122732.60999999999</v>
      </c>
      <c r="DH42" s="59">
        <f t="shared" si="221"/>
        <v>405729.46213799994</v>
      </c>
      <c r="DI42" s="60">
        <f t="shared" si="222"/>
        <v>119068.94999999998</v>
      </c>
      <c r="DJ42" s="59">
        <f t="shared" si="223"/>
        <v>393618.13490999996</v>
      </c>
      <c r="DK42" s="55">
        <f t="shared" si="224"/>
        <v>115405.28999999998</v>
      </c>
      <c r="DL42" s="59">
        <f t="shared" si="225"/>
        <v>381506.80768199993</v>
      </c>
      <c r="DM42" s="60">
        <f t="shared" si="226"/>
        <v>111741.62999999998</v>
      </c>
      <c r="DN42" s="59">
        <f t="shared" si="227"/>
        <v>369395.48045399995</v>
      </c>
      <c r="DO42" s="60">
        <f t="shared" si="228"/>
        <v>108077.96999999997</v>
      </c>
      <c r="DP42" s="59">
        <f t="shared" si="229"/>
        <v>357284.15322599991</v>
      </c>
      <c r="DQ42" s="55">
        <f t="shared" si="230"/>
        <v>104414.30999999997</v>
      </c>
      <c r="DR42" s="59">
        <f t="shared" si="231"/>
        <v>345172.82599799993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32"/>
        <v>0.91</v>
      </c>
      <c r="DZ42" s="55">
        <f t="shared" si="232"/>
        <v>0.89</v>
      </c>
      <c r="EA42" s="55">
        <f t="shared" si="232"/>
        <v>0.87</v>
      </c>
      <c r="EB42" s="55">
        <f t="shared" si="232"/>
        <v>0.85</v>
      </c>
      <c r="EC42" s="55">
        <f t="shared" si="232"/>
        <v>0.83</v>
      </c>
      <c r="ED42" s="55">
        <f t="shared" si="232"/>
        <v>0.80999999999999994</v>
      </c>
      <c r="EE42" s="55">
        <f t="shared" si="232"/>
        <v>0.78999999999999992</v>
      </c>
      <c r="EF42" s="55">
        <f t="shared" si="232"/>
        <v>0.76999999999999991</v>
      </c>
      <c r="EG42" s="55">
        <f t="shared" si="232"/>
        <v>0.74999999999999989</v>
      </c>
      <c r="EH42" s="55">
        <f t="shared" si="232"/>
        <v>0.72999999999999987</v>
      </c>
      <c r="EI42" s="55">
        <f t="shared" si="232"/>
        <v>0.70999999999999985</v>
      </c>
      <c r="EJ42" s="55">
        <f t="shared" si="232"/>
        <v>0.68999999999999984</v>
      </c>
      <c r="EK42" s="55">
        <f t="shared" si="232"/>
        <v>0.66999999999999982</v>
      </c>
      <c r="EL42" s="55">
        <f t="shared" si="232"/>
        <v>0.6499999999999998</v>
      </c>
      <c r="EM42" s="55">
        <f t="shared" si="232"/>
        <v>0.62999999999999978</v>
      </c>
      <c r="EN42" s="55">
        <f t="shared" si="232"/>
        <v>0.60999999999999976</v>
      </c>
      <c r="EO42" s="55">
        <f t="shared" si="232"/>
        <v>0.58999999999999975</v>
      </c>
      <c r="EP42" s="55">
        <f t="shared" si="232"/>
        <v>0.56999999999999973</v>
      </c>
      <c r="ER42" s="55">
        <f t="shared" si="141"/>
        <v>166696.53000000003</v>
      </c>
      <c r="ES42" s="55">
        <f t="shared" si="115"/>
        <v>166696.53000000003</v>
      </c>
      <c r="ET42" s="59">
        <f t="shared" si="233"/>
        <v>551065.38887400005</v>
      </c>
      <c r="EU42" s="55">
        <f t="shared" si="234"/>
        <v>161695.63410000002</v>
      </c>
      <c r="EV42" s="59">
        <f t="shared" si="235"/>
        <v>534533.42720778007</v>
      </c>
      <c r="EW42" s="55">
        <f t="shared" si="236"/>
        <v>158361.70350000003</v>
      </c>
      <c r="EX42" s="59">
        <f t="shared" si="237"/>
        <v>523512.11943030014</v>
      </c>
      <c r="EY42" s="55">
        <f t="shared" si="238"/>
        <v>155027.77290000004</v>
      </c>
      <c r="EZ42" s="59">
        <f t="shared" si="239"/>
        <v>512490.81165282015</v>
      </c>
      <c r="FA42" s="57">
        <f t="shared" si="240"/>
        <v>151693.84230000002</v>
      </c>
      <c r="FB42" s="59">
        <f t="shared" si="241"/>
        <v>501469.50387534004</v>
      </c>
      <c r="FC42" s="55">
        <f t="shared" si="242"/>
        <v>148359.91170000003</v>
      </c>
      <c r="FD42" s="59">
        <f t="shared" si="243"/>
        <v>490448.19609786011</v>
      </c>
      <c r="FE42" s="57">
        <f t="shared" si="244"/>
        <v>145025.98110000003</v>
      </c>
      <c r="FF42" s="59">
        <f t="shared" si="245"/>
        <v>479426.88832038012</v>
      </c>
      <c r="FG42" s="60">
        <f t="shared" si="246"/>
        <v>141692.05050000001</v>
      </c>
      <c r="FH42" s="59">
        <f t="shared" si="247"/>
        <v>468405.58054290008</v>
      </c>
      <c r="FI42" s="57">
        <f t="shared" si="248"/>
        <v>138358.11990000002</v>
      </c>
      <c r="FJ42" s="59">
        <f t="shared" si="249"/>
        <v>457384.27276542009</v>
      </c>
      <c r="FK42" s="55">
        <f t="shared" si="250"/>
        <v>135024.18930000003</v>
      </c>
      <c r="FL42" s="59">
        <f t="shared" si="251"/>
        <v>446362.9649879401</v>
      </c>
      <c r="FM42" s="60">
        <f t="shared" si="252"/>
        <v>131690.25870000001</v>
      </c>
      <c r="FN42" s="59">
        <f t="shared" si="253"/>
        <v>435341.65721046005</v>
      </c>
      <c r="FO42" s="60">
        <f t="shared" si="254"/>
        <v>128356.3281</v>
      </c>
      <c r="FP42" s="59">
        <f t="shared" si="255"/>
        <v>424320.34943298</v>
      </c>
      <c r="FQ42" s="60">
        <f t="shared" si="256"/>
        <v>125022.39750000001</v>
      </c>
      <c r="FR42" s="59">
        <f t="shared" si="257"/>
        <v>413299.04165550001</v>
      </c>
      <c r="FS42" s="55">
        <f t="shared" si="258"/>
        <v>121688.4669</v>
      </c>
      <c r="FT42" s="59">
        <f t="shared" si="259"/>
        <v>402277.73387802002</v>
      </c>
      <c r="FU42" s="60">
        <f t="shared" si="260"/>
        <v>118354.53629999999</v>
      </c>
      <c r="FV42" s="59">
        <f t="shared" si="261"/>
        <v>391256.42610053997</v>
      </c>
      <c r="FW42" s="60">
        <f t="shared" si="262"/>
        <v>115020.60569999999</v>
      </c>
      <c r="FX42" s="59">
        <f t="shared" si="263"/>
        <v>380235.11832305999</v>
      </c>
      <c r="FY42" s="60">
        <f t="shared" si="264"/>
        <v>111686.67509999999</v>
      </c>
      <c r="FZ42" s="59">
        <f t="shared" si="265"/>
        <v>369213.81054558</v>
      </c>
      <c r="GA42" s="60">
        <f t="shared" si="266"/>
        <v>108352.74449999999</v>
      </c>
      <c r="GB42" s="59">
        <f t="shared" si="267"/>
        <v>358192.50276809995</v>
      </c>
      <c r="GC42" s="55">
        <f t="shared" si="268"/>
        <v>105018.81389999998</v>
      </c>
      <c r="GD42" s="59">
        <f t="shared" si="269"/>
        <v>347171.19499061996</v>
      </c>
      <c r="GE42" s="60">
        <f t="shared" si="270"/>
        <v>101684.88329999997</v>
      </c>
      <c r="GF42" s="59">
        <f t="shared" si="271"/>
        <v>336149.88721313991</v>
      </c>
      <c r="GG42" s="60">
        <f t="shared" si="272"/>
        <v>98350.95269999998</v>
      </c>
      <c r="GH42" s="59">
        <f t="shared" si="273"/>
        <v>325128.57943565992</v>
      </c>
      <c r="GI42" s="55">
        <f t="shared" si="274"/>
        <v>95017.022099999973</v>
      </c>
      <c r="GJ42" s="59">
        <f t="shared" si="275"/>
        <v>314107.27165817993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76"/>
        <v>0.91</v>
      </c>
      <c r="GR42" s="55">
        <f t="shared" si="276"/>
        <v>0.89</v>
      </c>
      <c r="GS42" s="55">
        <f t="shared" si="276"/>
        <v>0.87</v>
      </c>
      <c r="GT42" s="55">
        <f t="shared" si="276"/>
        <v>0.85</v>
      </c>
      <c r="GU42" s="55">
        <f t="shared" si="276"/>
        <v>0.83</v>
      </c>
      <c r="GV42" s="55">
        <f t="shared" si="276"/>
        <v>0.80999999999999994</v>
      </c>
      <c r="GW42" s="55">
        <f t="shared" si="276"/>
        <v>0.78999999999999992</v>
      </c>
      <c r="GX42" s="55">
        <f t="shared" si="276"/>
        <v>0.76999999999999991</v>
      </c>
      <c r="GY42" s="55">
        <f t="shared" si="276"/>
        <v>0.74999999999999989</v>
      </c>
      <c r="GZ42" s="55">
        <f t="shared" si="276"/>
        <v>0.72999999999999987</v>
      </c>
      <c r="HA42" s="55">
        <f t="shared" si="276"/>
        <v>0.70999999999999985</v>
      </c>
      <c r="HB42" s="55">
        <f t="shared" si="276"/>
        <v>0.68999999999999984</v>
      </c>
      <c r="HC42" s="55">
        <f t="shared" si="276"/>
        <v>0.66999999999999982</v>
      </c>
      <c r="HD42" s="55">
        <f t="shared" si="276"/>
        <v>0.6499999999999998</v>
      </c>
      <c r="HE42" s="55">
        <f t="shared" si="276"/>
        <v>0.62999999999999978</v>
      </c>
      <c r="HF42" s="55">
        <f t="shared" si="276"/>
        <v>0.60999999999999976</v>
      </c>
      <c r="HG42" s="55">
        <f t="shared" si="276"/>
        <v>0.58999999999999975</v>
      </c>
      <c r="HH42" s="55">
        <f t="shared" si="276"/>
        <v>0.56999999999999973</v>
      </c>
    </row>
    <row r="43" spans="1:216" x14ac:dyDescent="0.3">
      <c r="A43" s="2">
        <v>10</v>
      </c>
      <c r="C43" s="38" t="s">
        <v>22</v>
      </c>
      <c r="D43" s="42">
        <f>TRUNC(16146,-1)</f>
        <v>16140</v>
      </c>
      <c r="E43" s="86">
        <f>TRUNC(+D43*3.3058,-1)</f>
        <v>53350</v>
      </c>
      <c r="H43" s="55">
        <f t="shared" si="60"/>
        <v>58685.000000000007</v>
      </c>
      <c r="I43" s="55">
        <f t="shared" si="61"/>
        <v>58685.000000000007</v>
      </c>
      <c r="J43" s="59">
        <f t="shared" si="62"/>
        <v>194000.87300000002</v>
      </c>
      <c r="K43" s="55">
        <f t="shared" si="147"/>
        <v>56924.450000000004</v>
      </c>
      <c r="L43" s="59">
        <f t="shared" si="148"/>
        <v>188180.84681000002</v>
      </c>
      <c r="M43" s="55">
        <f t="shared" si="149"/>
        <v>55750.750000000007</v>
      </c>
      <c r="N43" s="59">
        <f t="shared" si="150"/>
        <v>184300.82935000001</v>
      </c>
      <c r="O43" s="55">
        <f t="shared" si="151"/>
        <v>54577.05000000001</v>
      </c>
      <c r="P43" s="59">
        <f t="shared" si="152"/>
        <v>180420.81189000004</v>
      </c>
      <c r="Q43" s="57">
        <f t="shared" si="153"/>
        <v>53403.350000000006</v>
      </c>
      <c r="R43" s="59">
        <f t="shared" si="154"/>
        <v>176540.79443000001</v>
      </c>
      <c r="S43" s="55">
        <f t="shared" si="155"/>
        <v>52229.650000000009</v>
      </c>
      <c r="T43" s="59">
        <f t="shared" si="156"/>
        <v>172660.77697000004</v>
      </c>
      <c r="U43" s="57">
        <f t="shared" si="157"/>
        <v>51055.950000000004</v>
      </c>
      <c r="V43" s="59">
        <f t="shared" si="158"/>
        <v>168780.75951000003</v>
      </c>
      <c r="W43" s="60">
        <f t="shared" si="159"/>
        <v>49882.250000000007</v>
      </c>
      <c r="X43" s="59">
        <f t="shared" si="160"/>
        <v>164900.74205000003</v>
      </c>
      <c r="Y43" s="57">
        <f t="shared" si="161"/>
        <v>48708.55</v>
      </c>
      <c r="Z43" s="59">
        <f t="shared" si="162"/>
        <v>161020.72459000003</v>
      </c>
      <c r="AA43" s="55">
        <f t="shared" si="163"/>
        <v>47534.850000000006</v>
      </c>
      <c r="AB43" s="59">
        <f t="shared" si="164"/>
        <v>157140.70713000002</v>
      </c>
      <c r="AC43" s="60">
        <f t="shared" si="165"/>
        <v>46361.15</v>
      </c>
      <c r="AD43" s="59">
        <f t="shared" si="166"/>
        <v>153260.68967000002</v>
      </c>
      <c r="AE43" s="60">
        <f t="shared" si="167"/>
        <v>45187.45</v>
      </c>
      <c r="AF43" s="59">
        <f t="shared" si="168"/>
        <v>149380.67220999999</v>
      </c>
      <c r="AG43" s="60">
        <f t="shared" si="169"/>
        <v>44013.75</v>
      </c>
      <c r="AH43" s="59">
        <f t="shared" si="170"/>
        <v>145500.65475000002</v>
      </c>
      <c r="AI43" s="55">
        <f t="shared" si="171"/>
        <v>42840.049999999996</v>
      </c>
      <c r="AJ43" s="59">
        <f t="shared" si="172"/>
        <v>141620.63728999998</v>
      </c>
      <c r="AK43" s="60">
        <f t="shared" si="173"/>
        <v>41666.35</v>
      </c>
      <c r="AL43" s="59">
        <f t="shared" si="174"/>
        <v>137740.61983000001</v>
      </c>
      <c r="AM43" s="60">
        <f t="shared" si="175"/>
        <v>40492.649999999994</v>
      </c>
      <c r="AN43" s="59">
        <f t="shared" si="176"/>
        <v>133860.60236999998</v>
      </c>
      <c r="AO43" s="60">
        <f t="shared" si="177"/>
        <v>39318.949999999997</v>
      </c>
      <c r="AP43" s="59">
        <f t="shared" si="178"/>
        <v>129980.58490999999</v>
      </c>
      <c r="AQ43" s="60">
        <f t="shared" si="179"/>
        <v>38145.249999999993</v>
      </c>
      <c r="AR43" s="59">
        <f t="shared" si="180"/>
        <v>126100.56744999997</v>
      </c>
      <c r="AS43" s="55">
        <f t="shared" si="181"/>
        <v>36971.549999999988</v>
      </c>
      <c r="AT43" s="59">
        <f t="shared" si="182"/>
        <v>122220.54998999997</v>
      </c>
      <c r="AU43" s="60">
        <f t="shared" si="183"/>
        <v>35797.849999999991</v>
      </c>
      <c r="AV43" s="59">
        <f t="shared" si="184"/>
        <v>118340.53252999997</v>
      </c>
      <c r="AW43" s="60">
        <f t="shared" si="185"/>
        <v>34624.149999999987</v>
      </c>
      <c r="AX43" s="59">
        <f t="shared" si="186"/>
        <v>114460.51506999996</v>
      </c>
      <c r="AY43" s="55">
        <f t="shared" si="187"/>
        <v>33450.44999999999</v>
      </c>
      <c r="AZ43" s="59">
        <f t="shared" si="188"/>
        <v>110580.49760999996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2"/>
        <v>0.91</v>
      </c>
      <c r="BH43" s="55">
        <f t="shared" si="142"/>
        <v>0.89</v>
      </c>
      <c r="BI43" s="55">
        <f t="shared" si="142"/>
        <v>0.87</v>
      </c>
      <c r="BJ43" s="55">
        <f t="shared" si="142"/>
        <v>0.85</v>
      </c>
      <c r="BK43" s="55">
        <f t="shared" si="142"/>
        <v>0.83</v>
      </c>
      <c r="BL43" s="55">
        <f t="shared" si="142"/>
        <v>0.80999999999999994</v>
      </c>
      <c r="BM43" s="55">
        <f t="shared" si="142"/>
        <v>0.78999999999999992</v>
      </c>
      <c r="BN43" s="55">
        <f t="shared" si="142"/>
        <v>0.76999999999999991</v>
      </c>
      <c r="BO43" s="55">
        <f t="shared" si="142"/>
        <v>0.74999999999999989</v>
      </c>
      <c r="BP43" s="55">
        <f t="shared" si="142"/>
        <v>0.72999999999999987</v>
      </c>
      <c r="BQ43" s="55">
        <f t="shared" si="142"/>
        <v>0.70999999999999985</v>
      </c>
      <c r="BR43" s="55">
        <f t="shared" si="142"/>
        <v>0.68999999999999984</v>
      </c>
      <c r="BS43" s="55">
        <f t="shared" si="142"/>
        <v>0.66999999999999982</v>
      </c>
      <c r="BT43" s="55">
        <f t="shared" si="142"/>
        <v>0.6499999999999998</v>
      </c>
      <c r="BU43" s="55">
        <f t="shared" si="142"/>
        <v>0.62999999999999978</v>
      </c>
      <c r="BV43" s="55">
        <f t="shared" si="142"/>
        <v>0.60999999999999976</v>
      </c>
      <c r="BW43" s="55">
        <f t="shared" si="142"/>
        <v>0.58999999999999975</v>
      </c>
      <c r="BX43" s="55">
        <f t="shared" si="142"/>
        <v>0.56999999999999973</v>
      </c>
      <c r="BZ43" s="55">
        <f t="shared" si="87"/>
        <v>53403.350000000006</v>
      </c>
      <c r="CA43" s="55">
        <f t="shared" si="88"/>
        <v>53403.350000000006</v>
      </c>
      <c r="CB43" s="59">
        <f t="shared" si="189"/>
        <v>176540.79443000001</v>
      </c>
      <c r="CC43" s="55">
        <f t="shared" si="190"/>
        <v>51801.249500000005</v>
      </c>
      <c r="CD43" s="59">
        <f t="shared" si="191"/>
        <v>171244.57059710001</v>
      </c>
      <c r="CE43" s="55">
        <f t="shared" si="192"/>
        <v>50733.182500000003</v>
      </c>
      <c r="CF43" s="59">
        <f t="shared" si="193"/>
        <v>167713.75470850003</v>
      </c>
      <c r="CG43" s="55">
        <f t="shared" si="194"/>
        <v>49665.115500000007</v>
      </c>
      <c r="CH43" s="59">
        <f t="shared" si="195"/>
        <v>164182.93881990004</v>
      </c>
      <c r="CI43" s="57">
        <f t="shared" si="196"/>
        <v>48597.048500000004</v>
      </c>
      <c r="CJ43" s="59">
        <f t="shared" si="197"/>
        <v>160652.12293130002</v>
      </c>
      <c r="CK43" s="55">
        <f t="shared" si="198"/>
        <v>47528.981500000009</v>
      </c>
      <c r="CL43" s="59">
        <f t="shared" si="199"/>
        <v>157121.30704270003</v>
      </c>
      <c r="CM43" s="57">
        <f t="shared" si="200"/>
        <v>46460.914500000006</v>
      </c>
      <c r="CN43" s="59">
        <f t="shared" si="201"/>
        <v>153590.49115410002</v>
      </c>
      <c r="CO43" s="60">
        <f t="shared" si="202"/>
        <v>45392.847500000003</v>
      </c>
      <c r="CP43" s="59">
        <f t="shared" si="203"/>
        <v>150059.6752655</v>
      </c>
      <c r="CQ43" s="57">
        <f t="shared" si="204"/>
        <v>44324.780500000001</v>
      </c>
      <c r="CR43" s="59">
        <f t="shared" si="205"/>
        <v>146528.85937690001</v>
      </c>
      <c r="CS43" s="55">
        <f t="shared" si="206"/>
        <v>43256.713499999998</v>
      </c>
      <c r="CT43" s="59">
        <f t="shared" si="207"/>
        <v>142998.0434883</v>
      </c>
      <c r="CU43" s="60">
        <f t="shared" si="208"/>
        <v>42188.646500000003</v>
      </c>
      <c r="CV43" s="59">
        <f t="shared" si="209"/>
        <v>139467.22759970001</v>
      </c>
      <c r="CW43" s="60">
        <f t="shared" si="210"/>
        <v>41120.5795</v>
      </c>
      <c r="CX43" s="59">
        <f t="shared" si="211"/>
        <v>135936.41171109999</v>
      </c>
      <c r="CY43" s="60">
        <f t="shared" si="212"/>
        <v>40052.512499999997</v>
      </c>
      <c r="CZ43" s="59">
        <f t="shared" si="213"/>
        <v>132405.59582250001</v>
      </c>
      <c r="DA43" s="55">
        <f t="shared" si="214"/>
        <v>38984.445499999994</v>
      </c>
      <c r="DB43" s="59">
        <f t="shared" si="215"/>
        <v>128874.77993389999</v>
      </c>
      <c r="DC43" s="60">
        <f t="shared" si="216"/>
        <v>37916.378499999999</v>
      </c>
      <c r="DD43" s="59">
        <f t="shared" si="217"/>
        <v>125343.9640453</v>
      </c>
      <c r="DE43" s="60">
        <f t="shared" si="218"/>
        <v>36848.311499999996</v>
      </c>
      <c r="DF43" s="59">
        <f t="shared" si="219"/>
        <v>121813.14815669999</v>
      </c>
      <c r="DG43" s="60">
        <f t="shared" si="220"/>
        <v>35780.244499999993</v>
      </c>
      <c r="DH43" s="59">
        <f t="shared" si="221"/>
        <v>118282.33226809998</v>
      </c>
      <c r="DI43" s="60">
        <f t="shared" si="222"/>
        <v>34712.177499999991</v>
      </c>
      <c r="DJ43" s="59">
        <f t="shared" si="223"/>
        <v>114751.51637949997</v>
      </c>
      <c r="DK43" s="55">
        <f t="shared" si="224"/>
        <v>33644.110499999995</v>
      </c>
      <c r="DL43" s="59">
        <f t="shared" si="225"/>
        <v>111220.70049089998</v>
      </c>
      <c r="DM43" s="60">
        <f t="shared" si="226"/>
        <v>32576.043499999992</v>
      </c>
      <c r="DN43" s="59">
        <f t="shared" si="227"/>
        <v>107689.88460229998</v>
      </c>
      <c r="DO43" s="60">
        <f t="shared" si="228"/>
        <v>31507.97649999999</v>
      </c>
      <c r="DP43" s="59">
        <f t="shared" si="229"/>
        <v>104159.06871369996</v>
      </c>
      <c r="DQ43" s="55">
        <f t="shared" si="230"/>
        <v>30439.909499999991</v>
      </c>
      <c r="DR43" s="59">
        <f t="shared" si="231"/>
        <v>100628.25282509997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32"/>
        <v>0.91</v>
      </c>
      <c r="DZ43" s="55">
        <f t="shared" si="232"/>
        <v>0.89</v>
      </c>
      <c r="EA43" s="55">
        <f t="shared" si="232"/>
        <v>0.87</v>
      </c>
      <c r="EB43" s="55">
        <f t="shared" si="232"/>
        <v>0.85</v>
      </c>
      <c r="EC43" s="55">
        <f t="shared" si="232"/>
        <v>0.83</v>
      </c>
      <c r="ED43" s="55">
        <f t="shared" si="232"/>
        <v>0.80999999999999994</v>
      </c>
      <c r="EE43" s="55">
        <f t="shared" si="232"/>
        <v>0.78999999999999992</v>
      </c>
      <c r="EF43" s="55">
        <f t="shared" si="232"/>
        <v>0.76999999999999991</v>
      </c>
      <c r="EG43" s="55">
        <f t="shared" si="232"/>
        <v>0.74999999999999989</v>
      </c>
      <c r="EH43" s="55">
        <f t="shared" si="232"/>
        <v>0.72999999999999987</v>
      </c>
      <c r="EI43" s="55">
        <f t="shared" si="232"/>
        <v>0.70999999999999985</v>
      </c>
      <c r="EJ43" s="55">
        <f t="shared" si="232"/>
        <v>0.68999999999999984</v>
      </c>
      <c r="EK43" s="55">
        <f t="shared" si="232"/>
        <v>0.66999999999999982</v>
      </c>
      <c r="EL43" s="55">
        <f t="shared" si="232"/>
        <v>0.6499999999999998</v>
      </c>
      <c r="EM43" s="55">
        <f t="shared" si="232"/>
        <v>0.62999999999999978</v>
      </c>
      <c r="EN43" s="55">
        <f t="shared" si="232"/>
        <v>0.60999999999999976</v>
      </c>
      <c r="EO43" s="55">
        <f t="shared" si="232"/>
        <v>0.58999999999999975</v>
      </c>
      <c r="EP43" s="55">
        <f t="shared" si="232"/>
        <v>0.56999999999999973</v>
      </c>
      <c r="ER43" s="55">
        <f t="shared" si="141"/>
        <v>48597.048500000004</v>
      </c>
      <c r="ES43" s="55">
        <f t="shared" si="115"/>
        <v>48597.048500000004</v>
      </c>
      <c r="ET43" s="59">
        <f t="shared" si="233"/>
        <v>160652.12293130002</v>
      </c>
      <c r="EU43" s="55">
        <f t="shared" si="234"/>
        <v>47139.137045000003</v>
      </c>
      <c r="EV43" s="59">
        <f t="shared" si="235"/>
        <v>155832.559243361</v>
      </c>
      <c r="EW43" s="55">
        <f t="shared" si="236"/>
        <v>46167.196075</v>
      </c>
      <c r="EX43" s="59">
        <f t="shared" si="237"/>
        <v>152619.51678473499</v>
      </c>
      <c r="EY43" s="55">
        <f t="shared" si="238"/>
        <v>45195.255105000004</v>
      </c>
      <c r="EZ43" s="59">
        <f t="shared" si="239"/>
        <v>149406.47432610902</v>
      </c>
      <c r="FA43" s="57">
        <f t="shared" si="240"/>
        <v>44223.314135000008</v>
      </c>
      <c r="FB43" s="59">
        <f t="shared" si="241"/>
        <v>146193.43186748304</v>
      </c>
      <c r="FC43" s="55">
        <f t="shared" si="242"/>
        <v>43251.373165000005</v>
      </c>
      <c r="FD43" s="59">
        <f t="shared" si="243"/>
        <v>142980.38940885701</v>
      </c>
      <c r="FE43" s="57">
        <f t="shared" si="244"/>
        <v>42279.432195000001</v>
      </c>
      <c r="FF43" s="59">
        <f t="shared" si="245"/>
        <v>139767.346950231</v>
      </c>
      <c r="FG43" s="60">
        <f t="shared" si="246"/>
        <v>41307.491225000005</v>
      </c>
      <c r="FH43" s="59">
        <f t="shared" si="247"/>
        <v>136554.30449160503</v>
      </c>
      <c r="FI43" s="57">
        <f t="shared" si="248"/>
        <v>40335.550255000002</v>
      </c>
      <c r="FJ43" s="59">
        <f t="shared" si="249"/>
        <v>133341.26203297902</v>
      </c>
      <c r="FK43" s="55">
        <f t="shared" si="250"/>
        <v>39363.609284999999</v>
      </c>
      <c r="FL43" s="59">
        <f t="shared" si="251"/>
        <v>130128.219574353</v>
      </c>
      <c r="FM43" s="60">
        <f t="shared" si="252"/>
        <v>38391.668315000003</v>
      </c>
      <c r="FN43" s="59">
        <f t="shared" si="253"/>
        <v>126915.17711572701</v>
      </c>
      <c r="FO43" s="60">
        <f t="shared" si="254"/>
        <v>37419.727344999999</v>
      </c>
      <c r="FP43" s="59">
        <f t="shared" si="255"/>
        <v>123702.13465710101</v>
      </c>
      <c r="FQ43" s="60">
        <f t="shared" si="256"/>
        <v>36447.786374999996</v>
      </c>
      <c r="FR43" s="59">
        <f t="shared" si="257"/>
        <v>120489.09219847499</v>
      </c>
      <c r="FS43" s="55">
        <f t="shared" si="258"/>
        <v>35475.845405</v>
      </c>
      <c r="FT43" s="59">
        <f t="shared" si="259"/>
        <v>117276.049739849</v>
      </c>
      <c r="FU43" s="60">
        <f t="shared" si="260"/>
        <v>34503.904434999997</v>
      </c>
      <c r="FV43" s="59">
        <f t="shared" si="261"/>
        <v>114063.00728122299</v>
      </c>
      <c r="FW43" s="60">
        <f t="shared" si="262"/>
        <v>33531.963464999993</v>
      </c>
      <c r="FX43" s="59">
        <f t="shared" si="263"/>
        <v>110849.96482259699</v>
      </c>
      <c r="FY43" s="60">
        <f t="shared" si="264"/>
        <v>32560.022494999994</v>
      </c>
      <c r="FZ43" s="59">
        <f t="shared" si="265"/>
        <v>107636.92236397098</v>
      </c>
      <c r="GA43" s="60">
        <f t="shared" si="266"/>
        <v>31588.081524999994</v>
      </c>
      <c r="GB43" s="59">
        <f t="shared" si="267"/>
        <v>104423.87990534498</v>
      </c>
      <c r="GC43" s="55">
        <f t="shared" si="268"/>
        <v>30616.140554999991</v>
      </c>
      <c r="GD43" s="59">
        <f t="shared" si="269"/>
        <v>101210.83744671897</v>
      </c>
      <c r="GE43" s="60">
        <f t="shared" si="270"/>
        <v>29644.199584999991</v>
      </c>
      <c r="GF43" s="59">
        <f t="shared" si="271"/>
        <v>97997.794988092966</v>
      </c>
      <c r="GG43" s="60">
        <f t="shared" si="272"/>
        <v>28672.258614999992</v>
      </c>
      <c r="GH43" s="59">
        <f t="shared" si="273"/>
        <v>94784.752529466976</v>
      </c>
      <c r="GI43" s="55">
        <f t="shared" si="274"/>
        <v>27700.317644999988</v>
      </c>
      <c r="GJ43" s="59">
        <f t="shared" si="275"/>
        <v>91571.710070840956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76"/>
        <v>0.91</v>
      </c>
      <c r="GR43" s="55">
        <f t="shared" si="276"/>
        <v>0.89</v>
      </c>
      <c r="GS43" s="55">
        <f t="shared" si="276"/>
        <v>0.87</v>
      </c>
      <c r="GT43" s="55">
        <f t="shared" si="276"/>
        <v>0.85</v>
      </c>
      <c r="GU43" s="55">
        <f t="shared" si="276"/>
        <v>0.83</v>
      </c>
      <c r="GV43" s="55">
        <f t="shared" si="276"/>
        <v>0.80999999999999994</v>
      </c>
      <c r="GW43" s="55">
        <f t="shared" si="276"/>
        <v>0.78999999999999992</v>
      </c>
      <c r="GX43" s="55">
        <f t="shared" si="276"/>
        <v>0.76999999999999991</v>
      </c>
      <c r="GY43" s="55">
        <f t="shared" si="276"/>
        <v>0.74999999999999989</v>
      </c>
      <c r="GZ43" s="55">
        <f t="shared" si="276"/>
        <v>0.72999999999999987</v>
      </c>
      <c r="HA43" s="55">
        <f t="shared" si="276"/>
        <v>0.70999999999999985</v>
      </c>
      <c r="HB43" s="55">
        <f t="shared" si="276"/>
        <v>0.68999999999999984</v>
      </c>
      <c r="HC43" s="55">
        <f t="shared" si="276"/>
        <v>0.66999999999999982</v>
      </c>
      <c r="HD43" s="55">
        <f t="shared" si="276"/>
        <v>0.6499999999999998</v>
      </c>
      <c r="HE43" s="55">
        <f t="shared" si="276"/>
        <v>0.62999999999999978</v>
      </c>
      <c r="HF43" s="55">
        <f t="shared" si="276"/>
        <v>0.60999999999999976</v>
      </c>
      <c r="HG43" s="55">
        <f t="shared" si="276"/>
        <v>0.58999999999999975</v>
      </c>
      <c r="HH43" s="55">
        <f t="shared" si="276"/>
        <v>0.56999999999999973</v>
      </c>
    </row>
    <row r="44" spans="1:216" x14ac:dyDescent="0.3">
      <c r="A44" s="2">
        <v>11</v>
      </c>
      <c r="C44" s="38" t="s">
        <v>156</v>
      </c>
      <c r="D44" s="42">
        <f>TRUNC(55591,-1)</f>
        <v>55590</v>
      </c>
      <c r="E44" s="86">
        <f>TRUNC(+D44*3.3058,-1)</f>
        <v>183760</v>
      </c>
      <c r="F44" s="2" t="s">
        <v>307</v>
      </c>
      <c r="H44" s="55">
        <f t="shared" si="60"/>
        <v>202136.00000000003</v>
      </c>
      <c r="I44" s="55">
        <f t="shared" si="61"/>
        <v>202136.00000000003</v>
      </c>
      <c r="J44" s="59">
        <f t="shared" si="62"/>
        <v>668221.18880000012</v>
      </c>
      <c r="K44" s="55">
        <f t="shared" si="147"/>
        <v>196071.92</v>
      </c>
      <c r="L44" s="59">
        <f t="shared" si="148"/>
        <v>648174.55313600006</v>
      </c>
      <c r="M44" s="55">
        <f t="shared" si="149"/>
        <v>192029.2</v>
      </c>
      <c r="N44" s="59">
        <f t="shared" si="150"/>
        <v>634810.12936000002</v>
      </c>
      <c r="O44" s="55">
        <f t="shared" si="151"/>
        <v>187986.48000000004</v>
      </c>
      <c r="P44" s="59">
        <f t="shared" si="152"/>
        <v>621445.7055840001</v>
      </c>
      <c r="Q44" s="57">
        <f t="shared" si="153"/>
        <v>183943.76000000004</v>
      </c>
      <c r="R44" s="59">
        <f t="shared" si="154"/>
        <v>608081.28180800017</v>
      </c>
      <c r="S44" s="55">
        <f t="shared" si="155"/>
        <v>179901.04000000004</v>
      </c>
      <c r="T44" s="59">
        <f t="shared" si="156"/>
        <v>594716.85803200013</v>
      </c>
      <c r="U44" s="57">
        <f t="shared" si="157"/>
        <v>175858.32000000004</v>
      </c>
      <c r="V44" s="59">
        <f t="shared" si="158"/>
        <v>581352.4342560001</v>
      </c>
      <c r="W44" s="60">
        <f t="shared" si="159"/>
        <v>171815.6</v>
      </c>
      <c r="X44" s="59">
        <f t="shared" si="160"/>
        <v>567988.01048000006</v>
      </c>
      <c r="Y44" s="57">
        <f t="shared" si="161"/>
        <v>167772.88</v>
      </c>
      <c r="Z44" s="59">
        <f t="shared" si="162"/>
        <v>554623.58670400002</v>
      </c>
      <c r="AA44" s="55">
        <f t="shared" si="163"/>
        <v>163730.16</v>
      </c>
      <c r="AB44" s="59">
        <f t="shared" si="164"/>
        <v>541259.16292799998</v>
      </c>
      <c r="AC44" s="60">
        <f t="shared" si="165"/>
        <v>159687.44</v>
      </c>
      <c r="AD44" s="59">
        <f t="shared" si="166"/>
        <v>527894.73915200005</v>
      </c>
      <c r="AE44" s="60">
        <f t="shared" si="167"/>
        <v>155644.72</v>
      </c>
      <c r="AF44" s="59">
        <f t="shared" si="168"/>
        <v>514530.31537600001</v>
      </c>
      <c r="AG44" s="60">
        <f t="shared" si="169"/>
        <v>151602</v>
      </c>
      <c r="AH44" s="59">
        <f t="shared" si="170"/>
        <v>501165.89160000003</v>
      </c>
      <c r="AI44" s="55">
        <f t="shared" si="171"/>
        <v>147559.28</v>
      </c>
      <c r="AJ44" s="59">
        <f t="shared" si="172"/>
        <v>487801.46782399999</v>
      </c>
      <c r="AK44" s="60">
        <f t="shared" si="173"/>
        <v>143516.56</v>
      </c>
      <c r="AL44" s="59">
        <f t="shared" si="174"/>
        <v>474437.04404800001</v>
      </c>
      <c r="AM44" s="60">
        <f t="shared" si="175"/>
        <v>139473.84</v>
      </c>
      <c r="AN44" s="59">
        <f t="shared" si="176"/>
        <v>461072.62027199997</v>
      </c>
      <c r="AO44" s="60">
        <f t="shared" si="177"/>
        <v>135431.12</v>
      </c>
      <c r="AP44" s="59">
        <f t="shared" si="178"/>
        <v>447708.19649599999</v>
      </c>
      <c r="AQ44" s="60">
        <f t="shared" si="179"/>
        <v>131388.39999999997</v>
      </c>
      <c r="AR44" s="59">
        <f t="shared" si="180"/>
        <v>434343.77271999989</v>
      </c>
      <c r="AS44" s="55">
        <f t="shared" si="181"/>
        <v>127345.67999999998</v>
      </c>
      <c r="AT44" s="59">
        <f t="shared" si="182"/>
        <v>420979.34894399991</v>
      </c>
      <c r="AU44" s="60">
        <f t="shared" si="183"/>
        <v>123302.95999999998</v>
      </c>
      <c r="AV44" s="59">
        <f t="shared" si="184"/>
        <v>407614.92516799993</v>
      </c>
      <c r="AW44" s="60">
        <f t="shared" si="185"/>
        <v>119260.23999999996</v>
      </c>
      <c r="AX44" s="59">
        <f t="shared" si="186"/>
        <v>394250.50139199989</v>
      </c>
      <c r="AY44" s="55">
        <f t="shared" si="187"/>
        <v>115217.51999999996</v>
      </c>
      <c r="AZ44" s="59">
        <f t="shared" si="188"/>
        <v>380886.07761599985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2"/>
        <v>0.91</v>
      </c>
      <c r="BH44" s="55">
        <f t="shared" si="142"/>
        <v>0.89</v>
      </c>
      <c r="BI44" s="55">
        <f t="shared" si="142"/>
        <v>0.87</v>
      </c>
      <c r="BJ44" s="55">
        <f t="shared" si="142"/>
        <v>0.85</v>
      </c>
      <c r="BK44" s="55">
        <f t="shared" si="142"/>
        <v>0.83</v>
      </c>
      <c r="BL44" s="55">
        <f t="shared" si="142"/>
        <v>0.80999999999999994</v>
      </c>
      <c r="BM44" s="55">
        <f t="shared" si="142"/>
        <v>0.78999999999999992</v>
      </c>
      <c r="BN44" s="55">
        <f t="shared" si="142"/>
        <v>0.76999999999999991</v>
      </c>
      <c r="BO44" s="55">
        <f t="shared" si="142"/>
        <v>0.74999999999999989</v>
      </c>
      <c r="BP44" s="55">
        <f t="shared" si="142"/>
        <v>0.72999999999999987</v>
      </c>
      <c r="BQ44" s="55">
        <f t="shared" si="142"/>
        <v>0.70999999999999985</v>
      </c>
      <c r="BR44" s="55">
        <f t="shared" si="142"/>
        <v>0.68999999999999984</v>
      </c>
      <c r="BS44" s="55">
        <f t="shared" si="142"/>
        <v>0.66999999999999982</v>
      </c>
      <c r="BT44" s="55">
        <f t="shared" si="142"/>
        <v>0.6499999999999998</v>
      </c>
      <c r="BU44" s="55">
        <f t="shared" si="142"/>
        <v>0.62999999999999978</v>
      </c>
      <c r="BV44" s="55">
        <f t="shared" si="142"/>
        <v>0.60999999999999976</v>
      </c>
      <c r="BW44" s="55">
        <f t="shared" si="142"/>
        <v>0.58999999999999975</v>
      </c>
      <c r="BX44" s="55">
        <f t="shared" si="142"/>
        <v>0.56999999999999973</v>
      </c>
      <c r="BZ44" s="55">
        <f t="shared" si="87"/>
        <v>183943.76000000004</v>
      </c>
      <c r="CA44" s="55">
        <f t="shared" si="88"/>
        <v>183943.76000000004</v>
      </c>
      <c r="CB44" s="59">
        <f t="shared" si="189"/>
        <v>608081.28180800017</v>
      </c>
      <c r="CC44" s="55">
        <f t="shared" si="190"/>
        <v>178425.44720000002</v>
      </c>
      <c r="CD44" s="59">
        <f t="shared" si="191"/>
        <v>589838.84335376008</v>
      </c>
      <c r="CE44" s="55">
        <f t="shared" si="192"/>
        <v>174746.57200000001</v>
      </c>
      <c r="CF44" s="59">
        <f t="shared" si="193"/>
        <v>577677.21771760006</v>
      </c>
      <c r="CG44" s="55">
        <f t="shared" si="194"/>
        <v>171067.69680000003</v>
      </c>
      <c r="CH44" s="59">
        <f t="shared" si="195"/>
        <v>565515.59208144015</v>
      </c>
      <c r="CI44" s="57">
        <f t="shared" si="196"/>
        <v>167388.82160000005</v>
      </c>
      <c r="CJ44" s="59">
        <f t="shared" si="197"/>
        <v>553353.96644528024</v>
      </c>
      <c r="CK44" s="55">
        <f t="shared" si="198"/>
        <v>163709.94640000004</v>
      </c>
      <c r="CL44" s="59">
        <f t="shared" si="199"/>
        <v>541192.34080912021</v>
      </c>
      <c r="CM44" s="57">
        <f t="shared" si="200"/>
        <v>160031.07120000003</v>
      </c>
      <c r="CN44" s="59">
        <f t="shared" si="201"/>
        <v>529030.71517296007</v>
      </c>
      <c r="CO44" s="60">
        <f t="shared" si="202"/>
        <v>156352.19600000003</v>
      </c>
      <c r="CP44" s="59">
        <f t="shared" si="203"/>
        <v>516869.08953680011</v>
      </c>
      <c r="CQ44" s="57">
        <f t="shared" si="204"/>
        <v>152673.32080000002</v>
      </c>
      <c r="CR44" s="59">
        <f t="shared" si="205"/>
        <v>504707.46390064008</v>
      </c>
      <c r="CS44" s="55">
        <f t="shared" si="206"/>
        <v>148994.44560000001</v>
      </c>
      <c r="CT44" s="59">
        <f t="shared" si="207"/>
        <v>492545.83826448006</v>
      </c>
      <c r="CU44" s="60">
        <f t="shared" si="208"/>
        <v>145315.57040000003</v>
      </c>
      <c r="CV44" s="59">
        <f t="shared" si="209"/>
        <v>480384.21262832009</v>
      </c>
      <c r="CW44" s="60">
        <f t="shared" si="210"/>
        <v>141636.69520000002</v>
      </c>
      <c r="CX44" s="59">
        <f t="shared" si="211"/>
        <v>468222.58699216007</v>
      </c>
      <c r="CY44" s="60">
        <f t="shared" si="212"/>
        <v>137957.82</v>
      </c>
      <c r="CZ44" s="59">
        <f t="shared" si="213"/>
        <v>456060.96135600004</v>
      </c>
      <c r="DA44" s="55">
        <f t="shared" si="214"/>
        <v>134278.9448</v>
      </c>
      <c r="DB44" s="59">
        <f t="shared" si="215"/>
        <v>443899.33571984002</v>
      </c>
      <c r="DC44" s="60">
        <f t="shared" si="216"/>
        <v>130600.0696</v>
      </c>
      <c r="DD44" s="59">
        <f t="shared" si="217"/>
        <v>431737.71008367999</v>
      </c>
      <c r="DE44" s="60">
        <f t="shared" si="218"/>
        <v>126921.19439999999</v>
      </c>
      <c r="DF44" s="59">
        <f t="shared" si="219"/>
        <v>419576.08444751997</v>
      </c>
      <c r="DG44" s="60">
        <f t="shared" si="220"/>
        <v>123242.3192</v>
      </c>
      <c r="DH44" s="59">
        <f t="shared" si="221"/>
        <v>407414.45881136</v>
      </c>
      <c r="DI44" s="60">
        <f t="shared" si="222"/>
        <v>119563.44399999999</v>
      </c>
      <c r="DJ44" s="59">
        <f t="shared" si="223"/>
        <v>395252.83317519998</v>
      </c>
      <c r="DK44" s="55">
        <f t="shared" si="224"/>
        <v>115884.56879999998</v>
      </c>
      <c r="DL44" s="59">
        <f t="shared" si="225"/>
        <v>383091.20753903996</v>
      </c>
      <c r="DM44" s="60">
        <f t="shared" si="226"/>
        <v>112205.69359999998</v>
      </c>
      <c r="DN44" s="59">
        <f t="shared" si="227"/>
        <v>370929.58190287993</v>
      </c>
      <c r="DO44" s="60">
        <f t="shared" si="228"/>
        <v>108526.81839999997</v>
      </c>
      <c r="DP44" s="59">
        <f t="shared" si="229"/>
        <v>358767.95626671991</v>
      </c>
      <c r="DQ44" s="55">
        <f t="shared" si="230"/>
        <v>104847.94319999997</v>
      </c>
      <c r="DR44" s="59">
        <f t="shared" si="231"/>
        <v>346606.33063055988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32"/>
        <v>0.91</v>
      </c>
      <c r="DZ44" s="55">
        <f t="shared" si="232"/>
        <v>0.89</v>
      </c>
      <c r="EA44" s="55">
        <f t="shared" si="232"/>
        <v>0.87</v>
      </c>
      <c r="EB44" s="55">
        <f t="shared" si="232"/>
        <v>0.85</v>
      </c>
      <c r="EC44" s="55">
        <f t="shared" si="232"/>
        <v>0.83</v>
      </c>
      <c r="ED44" s="55">
        <f t="shared" si="232"/>
        <v>0.80999999999999994</v>
      </c>
      <c r="EE44" s="55">
        <f t="shared" si="232"/>
        <v>0.78999999999999992</v>
      </c>
      <c r="EF44" s="55">
        <f t="shared" si="232"/>
        <v>0.76999999999999991</v>
      </c>
      <c r="EG44" s="55">
        <f t="shared" si="232"/>
        <v>0.74999999999999989</v>
      </c>
      <c r="EH44" s="55">
        <f t="shared" si="232"/>
        <v>0.72999999999999987</v>
      </c>
      <c r="EI44" s="55">
        <f t="shared" si="232"/>
        <v>0.70999999999999985</v>
      </c>
      <c r="EJ44" s="55">
        <f t="shared" si="232"/>
        <v>0.68999999999999984</v>
      </c>
      <c r="EK44" s="55">
        <f t="shared" si="232"/>
        <v>0.66999999999999982</v>
      </c>
      <c r="EL44" s="55">
        <f t="shared" si="232"/>
        <v>0.6499999999999998</v>
      </c>
      <c r="EM44" s="55">
        <f t="shared" si="232"/>
        <v>0.62999999999999978</v>
      </c>
      <c r="EN44" s="55">
        <f t="shared" si="232"/>
        <v>0.60999999999999976</v>
      </c>
      <c r="EO44" s="55">
        <f t="shared" si="232"/>
        <v>0.58999999999999975</v>
      </c>
      <c r="EP44" s="55">
        <f t="shared" si="232"/>
        <v>0.56999999999999973</v>
      </c>
      <c r="ER44" s="55">
        <f t="shared" si="141"/>
        <v>167388.82160000005</v>
      </c>
      <c r="ES44" s="55">
        <f t="shared" si="115"/>
        <v>167388.82160000005</v>
      </c>
      <c r="ET44" s="59">
        <f t="shared" si="233"/>
        <v>553353.96644528024</v>
      </c>
      <c r="EU44" s="55">
        <f t="shared" si="234"/>
        <v>162367.15695200005</v>
      </c>
      <c r="EV44" s="59">
        <f t="shared" si="235"/>
        <v>536753.34745192179</v>
      </c>
      <c r="EW44" s="55">
        <f t="shared" si="236"/>
        <v>159019.38052000004</v>
      </c>
      <c r="EX44" s="59">
        <f t="shared" si="237"/>
        <v>525686.26812301611</v>
      </c>
      <c r="EY44" s="55">
        <f t="shared" si="238"/>
        <v>155671.60408800005</v>
      </c>
      <c r="EZ44" s="59">
        <f t="shared" si="239"/>
        <v>514619.18879411055</v>
      </c>
      <c r="FA44" s="57">
        <f t="shared" si="240"/>
        <v>152323.82765600007</v>
      </c>
      <c r="FB44" s="59">
        <f t="shared" si="241"/>
        <v>503552.10946520505</v>
      </c>
      <c r="FC44" s="55">
        <f t="shared" si="242"/>
        <v>148976.05122400005</v>
      </c>
      <c r="FD44" s="59">
        <f t="shared" si="243"/>
        <v>492485.03013629938</v>
      </c>
      <c r="FE44" s="57">
        <f t="shared" si="244"/>
        <v>145628.27479200004</v>
      </c>
      <c r="FF44" s="59">
        <f t="shared" si="245"/>
        <v>481417.95080739376</v>
      </c>
      <c r="FG44" s="60">
        <f t="shared" si="246"/>
        <v>142280.49836000006</v>
      </c>
      <c r="FH44" s="59">
        <f t="shared" si="247"/>
        <v>470350.8714784882</v>
      </c>
      <c r="FI44" s="57">
        <f t="shared" si="248"/>
        <v>138932.72192800004</v>
      </c>
      <c r="FJ44" s="59">
        <f t="shared" si="249"/>
        <v>459283.79214958253</v>
      </c>
      <c r="FK44" s="55">
        <f t="shared" si="250"/>
        <v>135584.94549600003</v>
      </c>
      <c r="FL44" s="59">
        <f t="shared" si="251"/>
        <v>448216.71282067691</v>
      </c>
      <c r="FM44" s="60">
        <f t="shared" si="252"/>
        <v>132237.16906400002</v>
      </c>
      <c r="FN44" s="59">
        <f t="shared" si="253"/>
        <v>437149.63349177124</v>
      </c>
      <c r="FO44" s="60">
        <f t="shared" si="254"/>
        <v>128889.39263200003</v>
      </c>
      <c r="FP44" s="59">
        <f t="shared" si="255"/>
        <v>426082.55416286574</v>
      </c>
      <c r="FQ44" s="60">
        <f t="shared" si="256"/>
        <v>125541.61620000002</v>
      </c>
      <c r="FR44" s="59">
        <f t="shared" si="257"/>
        <v>415015.47483396006</v>
      </c>
      <c r="FS44" s="55">
        <f t="shared" si="258"/>
        <v>122193.83976800002</v>
      </c>
      <c r="FT44" s="59">
        <f t="shared" si="259"/>
        <v>403948.39550505445</v>
      </c>
      <c r="FU44" s="60">
        <f t="shared" si="260"/>
        <v>118846.06333600001</v>
      </c>
      <c r="FV44" s="59">
        <f t="shared" si="261"/>
        <v>392881.31617614883</v>
      </c>
      <c r="FW44" s="60">
        <f t="shared" si="262"/>
        <v>115498.28690400001</v>
      </c>
      <c r="FX44" s="59">
        <f t="shared" si="263"/>
        <v>381814.23684724321</v>
      </c>
      <c r="FY44" s="60">
        <f t="shared" si="264"/>
        <v>112150.51047200001</v>
      </c>
      <c r="FZ44" s="59">
        <f t="shared" si="265"/>
        <v>370747.15751833766</v>
      </c>
      <c r="GA44" s="60">
        <f t="shared" si="266"/>
        <v>108802.73404</v>
      </c>
      <c r="GB44" s="59">
        <f t="shared" si="267"/>
        <v>359680.07818943198</v>
      </c>
      <c r="GC44" s="55">
        <f t="shared" si="268"/>
        <v>105454.957608</v>
      </c>
      <c r="GD44" s="59">
        <f t="shared" si="269"/>
        <v>348612.99886052642</v>
      </c>
      <c r="GE44" s="60">
        <f t="shared" si="270"/>
        <v>102107.181176</v>
      </c>
      <c r="GF44" s="59">
        <f t="shared" si="271"/>
        <v>337545.91953162081</v>
      </c>
      <c r="GG44" s="60">
        <f t="shared" si="272"/>
        <v>98759.404743999985</v>
      </c>
      <c r="GH44" s="59">
        <f t="shared" si="273"/>
        <v>326478.84020271513</v>
      </c>
      <c r="GI44" s="55">
        <f t="shared" si="274"/>
        <v>95411.628311999986</v>
      </c>
      <c r="GJ44" s="59">
        <f t="shared" si="275"/>
        <v>315411.76087380957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76"/>
        <v>0.91</v>
      </c>
      <c r="GR44" s="55">
        <f t="shared" si="276"/>
        <v>0.89</v>
      </c>
      <c r="GS44" s="55">
        <f t="shared" si="276"/>
        <v>0.87</v>
      </c>
      <c r="GT44" s="55">
        <f t="shared" si="276"/>
        <v>0.85</v>
      </c>
      <c r="GU44" s="55">
        <f t="shared" si="276"/>
        <v>0.83</v>
      </c>
      <c r="GV44" s="55">
        <f t="shared" si="276"/>
        <v>0.80999999999999994</v>
      </c>
      <c r="GW44" s="55">
        <f t="shared" si="276"/>
        <v>0.78999999999999992</v>
      </c>
      <c r="GX44" s="55">
        <f t="shared" si="276"/>
        <v>0.76999999999999991</v>
      </c>
      <c r="GY44" s="55">
        <f t="shared" si="276"/>
        <v>0.74999999999999989</v>
      </c>
      <c r="GZ44" s="55">
        <f t="shared" si="276"/>
        <v>0.72999999999999987</v>
      </c>
      <c r="HA44" s="55">
        <f t="shared" si="276"/>
        <v>0.70999999999999985</v>
      </c>
      <c r="HB44" s="55">
        <f t="shared" si="276"/>
        <v>0.68999999999999984</v>
      </c>
      <c r="HC44" s="55">
        <f t="shared" si="276"/>
        <v>0.66999999999999982</v>
      </c>
      <c r="HD44" s="55">
        <f t="shared" si="276"/>
        <v>0.6499999999999998</v>
      </c>
      <c r="HE44" s="55">
        <f t="shared" si="276"/>
        <v>0.62999999999999978</v>
      </c>
      <c r="HF44" s="55">
        <f t="shared" si="276"/>
        <v>0.60999999999999976</v>
      </c>
      <c r="HG44" s="55">
        <f t="shared" si="276"/>
        <v>0.58999999999999975</v>
      </c>
      <c r="HH44" s="55">
        <f t="shared" si="276"/>
        <v>0.56999999999999973</v>
      </c>
    </row>
    <row r="45" spans="1:216" x14ac:dyDescent="0.3">
      <c r="A45" s="2">
        <v>12</v>
      </c>
      <c r="C45" s="38" t="s">
        <v>23</v>
      </c>
      <c r="D45" s="42">
        <v>0</v>
      </c>
      <c r="E45" s="86">
        <f>TRUNC(+D45*3.3058,-1)</f>
        <v>0</v>
      </c>
      <c r="H45" s="55">
        <f t="shared" si="60"/>
        <v>0</v>
      </c>
      <c r="I45" s="55">
        <f t="shared" si="61"/>
        <v>0</v>
      </c>
      <c r="J45" s="59">
        <f t="shared" si="62"/>
        <v>0</v>
      </c>
      <c r="K45" s="55">
        <f t="shared" si="147"/>
        <v>0</v>
      </c>
      <c r="L45" s="59">
        <f t="shared" si="148"/>
        <v>0</v>
      </c>
      <c r="M45" s="55">
        <f t="shared" si="149"/>
        <v>0</v>
      </c>
      <c r="N45" s="59">
        <f t="shared" si="150"/>
        <v>0</v>
      </c>
      <c r="O45" s="55">
        <f t="shared" si="151"/>
        <v>0</v>
      </c>
      <c r="P45" s="59">
        <f t="shared" si="152"/>
        <v>0</v>
      </c>
      <c r="Q45" s="57">
        <f t="shared" si="153"/>
        <v>0</v>
      </c>
      <c r="R45" s="59">
        <f t="shared" si="154"/>
        <v>0</v>
      </c>
      <c r="S45" s="55">
        <f t="shared" si="155"/>
        <v>0</v>
      </c>
      <c r="T45" s="59">
        <f t="shared" si="156"/>
        <v>0</v>
      </c>
      <c r="U45" s="57">
        <f t="shared" si="157"/>
        <v>0</v>
      </c>
      <c r="V45" s="59">
        <f t="shared" si="158"/>
        <v>0</v>
      </c>
      <c r="W45" s="60">
        <f t="shared" si="159"/>
        <v>0</v>
      </c>
      <c r="X45" s="59">
        <f t="shared" si="160"/>
        <v>0</v>
      </c>
      <c r="Y45" s="57">
        <f t="shared" si="161"/>
        <v>0</v>
      </c>
      <c r="Z45" s="59">
        <f t="shared" si="162"/>
        <v>0</v>
      </c>
      <c r="AA45" s="55">
        <f t="shared" si="163"/>
        <v>0</v>
      </c>
      <c r="AB45" s="59">
        <f t="shared" si="164"/>
        <v>0</v>
      </c>
      <c r="AC45" s="60">
        <f t="shared" si="165"/>
        <v>0</v>
      </c>
      <c r="AD45" s="59">
        <f t="shared" si="166"/>
        <v>0</v>
      </c>
      <c r="AE45" s="60">
        <f t="shared" si="167"/>
        <v>0</v>
      </c>
      <c r="AF45" s="59">
        <f t="shared" si="168"/>
        <v>0</v>
      </c>
      <c r="AG45" s="60">
        <f t="shared" si="169"/>
        <v>0</v>
      </c>
      <c r="AH45" s="59">
        <f t="shared" si="170"/>
        <v>0</v>
      </c>
      <c r="AI45" s="55">
        <f t="shared" si="171"/>
        <v>0</v>
      </c>
      <c r="AJ45" s="59">
        <f t="shared" si="172"/>
        <v>0</v>
      </c>
      <c r="AK45" s="60">
        <f t="shared" si="173"/>
        <v>0</v>
      </c>
      <c r="AL45" s="59">
        <f t="shared" si="174"/>
        <v>0</v>
      </c>
      <c r="AM45" s="60">
        <f t="shared" si="175"/>
        <v>0</v>
      </c>
      <c r="AN45" s="59">
        <f t="shared" si="176"/>
        <v>0</v>
      </c>
      <c r="AO45" s="60">
        <f t="shared" si="177"/>
        <v>0</v>
      </c>
      <c r="AP45" s="59">
        <f t="shared" si="178"/>
        <v>0</v>
      </c>
      <c r="AQ45" s="60">
        <f t="shared" si="179"/>
        <v>0</v>
      </c>
      <c r="AR45" s="59">
        <f t="shared" si="180"/>
        <v>0</v>
      </c>
      <c r="AS45" s="55">
        <f t="shared" si="181"/>
        <v>0</v>
      </c>
      <c r="AT45" s="59">
        <f t="shared" si="182"/>
        <v>0</v>
      </c>
      <c r="AU45" s="60">
        <f t="shared" si="183"/>
        <v>0</v>
      </c>
      <c r="AV45" s="59">
        <f t="shared" si="184"/>
        <v>0</v>
      </c>
      <c r="AW45" s="60">
        <f t="shared" si="185"/>
        <v>0</v>
      </c>
      <c r="AX45" s="59">
        <f t="shared" si="186"/>
        <v>0</v>
      </c>
      <c r="AY45" s="55">
        <f t="shared" si="187"/>
        <v>0</v>
      </c>
      <c r="AZ45" s="59">
        <f t="shared" si="188"/>
        <v>0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2"/>
        <v>0.91</v>
      </c>
      <c r="BH45" s="55">
        <f t="shared" si="142"/>
        <v>0.89</v>
      </c>
      <c r="BI45" s="55">
        <f t="shared" si="142"/>
        <v>0.87</v>
      </c>
      <c r="BJ45" s="55">
        <f t="shared" ref="BJ45:BX45" si="277">+BI45-0.02</f>
        <v>0.85</v>
      </c>
      <c r="BK45" s="55">
        <f t="shared" si="277"/>
        <v>0.83</v>
      </c>
      <c r="BL45" s="55">
        <f t="shared" si="277"/>
        <v>0.80999999999999994</v>
      </c>
      <c r="BM45" s="55">
        <f t="shared" si="277"/>
        <v>0.78999999999999992</v>
      </c>
      <c r="BN45" s="55">
        <f t="shared" si="277"/>
        <v>0.76999999999999991</v>
      </c>
      <c r="BO45" s="55">
        <f t="shared" si="277"/>
        <v>0.74999999999999989</v>
      </c>
      <c r="BP45" s="55">
        <f t="shared" si="277"/>
        <v>0.72999999999999987</v>
      </c>
      <c r="BQ45" s="55">
        <f t="shared" si="277"/>
        <v>0.70999999999999985</v>
      </c>
      <c r="BR45" s="55">
        <f t="shared" si="277"/>
        <v>0.68999999999999984</v>
      </c>
      <c r="BS45" s="55">
        <f t="shared" si="277"/>
        <v>0.66999999999999982</v>
      </c>
      <c r="BT45" s="55">
        <f t="shared" si="277"/>
        <v>0.6499999999999998</v>
      </c>
      <c r="BU45" s="55">
        <f t="shared" si="277"/>
        <v>0.62999999999999978</v>
      </c>
      <c r="BV45" s="55">
        <f t="shared" si="277"/>
        <v>0.60999999999999976</v>
      </c>
      <c r="BW45" s="55">
        <f t="shared" si="277"/>
        <v>0.58999999999999975</v>
      </c>
      <c r="BX45" s="55">
        <f t="shared" si="277"/>
        <v>0.56999999999999973</v>
      </c>
      <c r="BZ45" s="55">
        <f t="shared" si="87"/>
        <v>0</v>
      </c>
      <c r="CA45" s="55">
        <f t="shared" si="88"/>
        <v>0</v>
      </c>
      <c r="CB45" s="59">
        <f t="shared" si="189"/>
        <v>0</v>
      </c>
      <c r="CC45" s="55">
        <f t="shared" si="190"/>
        <v>0</v>
      </c>
      <c r="CD45" s="59">
        <f t="shared" si="191"/>
        <v>0</v>
      </c>
      <c r="CE45" s="55">
        <f t="shared" si="192"/>
        <v>0</v>
      </c>
      <c r="CF45" s="59">
        <f t="shared" si="193"/>
        <v>0</v>
      </c>
      <c r="CG45" s="55">
        <f t="shared" si="194"/>
        <v>0</v>
      </c>
      <c r="CH45" s="59">
        <f t="shared" si="195"/>
        <v>0</v>
      </c>
      <c r="CI45" s="57">
        <f t="shared" si="196"/>
        <v>0</v>
      </c>
      <c r="CJ45" s="59">
        <f t="shared" si="197"/>
        <v>0</v>
      </c>
      <c r="CK45" s="55">
        <f t="shared" si="198"/>
        <v>0</v>
      </c>
      <c r="CL45" s="59">
        <f t="shared" si="199"/>
        <v>0</v>
      </c>
      <c r="CM45" s="57">
        <f t="shared" si="200"/>
        <v>0</v>
      </c>
      <c r="CN45" s="59">
        <f t="shared" si="201"/>
        <v>0</v>
      </c>
      <c r="CO45" s="60">
        <f t="shared" si="202"/>
        <v>0</v>
      </c>
      <c r="CP45" s="59">
        <f t="shared" si="203"/>
        <v>0</v>
      </c>
      <c r="CQ45" s="57">
        <f t="shared" si="204"/>
        <v>0</v>
      </c>
      <c r="CR45" s="59">
        <f t="shared" si="205"/>
        <v>0</v>
      </c>
      <c r="CS45" s="55">
        <f t="shared" si="206"/>
        <v>0</v>
      </c>
      <c r="CT45" s="59">
        <f t="shared" si="207"/>
        <v>0</v>
      </c>
      <c r="CU45" s="60">
        <f t="shared" si="208"/>
        <v>0</v>
      </c>
      <c r="CV45" s="59">
        <f t="shared" si="209"/>
        <v>0</v>
      </c>
      <c r="CW45" s="60">
        <f t="shared" si="210"/>
        <v>0</v>
      </c>
      <c r="CX45" s="59">
        <f t="shared" si="211"/>
        <v>0</v>
      </c>
      <c r="CY45" s="60">
        <f t="shared" si="212"/>
        <v>0</v>
      </c>
      <c r="CZ45" s="59">
        <f t="shared" si="213"/>
        <v>0</v>
      </c>
      <c r="DA45" s="55">
        <f t="shared" si="214"/>
        <v>0</v>
      </c>
      <c r="DB45" s="59">
        <f t="shared" si="215"/>
        <v>0</v>
      </c>
      <c r="DC45" s="60">
        <f t="shared" si="216"/>
        <v>0</v>
      </c>
      <c r="DD45" s="59">
        <f t="shared" si="217"/>
        <v>0</v>
      </c>
      <c r="DE45" s="60">
        <f t="shared" si="218"/>
        <v>0</v>
      </c>
      <c r="DF45" s="59">
        <f t="shared" si="219"/>
        <v>0</v>
      </c>
      <c r="DG45" s="60">
        <f t="shared" si="220"/>
        <v>0</v>
      </c>
      <c r="DH45" s="59">
        <f t="shared" si="221"/>
        <v>0</v>
      </c>
      <c r="DI45" s="60">
        <f t="shared" si="222"/>
        <v>0</v>
      </c>
      <c r="DJ45" s="59">
        <f t="shared" si="223"/>
        <v>0</v>
      </c>
      <c r="DK45" s="55">
        <f t="shared" si="224"/>
        <v>0</v>
      </c>
      <c r="DL45" s="59">
        <f t="shared" si="225"/>
        <v>0</v>
      </c>
      <c r="DM45" s="60">
        <f t="shared" si="226"/>
        <v>0</v>
      </c>
      <c r="DN45" s="59">
        <f t="shared" si="227"/>
        <v>0</v>
      </c>
      <c r="DO45" s="60">
        <f t="shared" si="228"/>
        <v>0</v>
      </c>
      <c r="DP45" s="59">
        <f t="shared" si="229"/>
        <v>0</v>
      </c>
      <c r="DQ45" s="55">
        <f t="shared" si="230"/>
        <v>0</v>
      </c>
      <c r="DR45" s="59">
        <f t="shared" si="231"/>
        <v>0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32"/>
        <v>0.91</v>
      </c>
      <c r="DZ45" s="55">
        <f t="shared" si="232"/>
        <v>0.89</v>
      </c>
      <c r="EA45" s="55">
        <f t="shared" si="232"/>
        <v>0.87</v>
      </c>
      <c r="EB45" s="55">
        <f t="shared" si="232"/>
        <v>0.85</v>
      </c>
      <c r="EC45" s="55">
        <f t="shared" si="232"/>
        <v>0.83</v>
      </c>
      <c r="ED45" s="55">
        <f t="shared" si="232"/>
        <v>0.80999999999999994</v>
      </c>
      <c r="EE45" s="55">
        <f t="shared" si="232"/>
        <v>0.78999999999999992</v>
      </c>
      <c r="EF45" s="55">
        <f t="shared" si="232"/>
        <v>0.76999999999999991</v>
      </c>
      <c r="EG45" s="55">
        <f t="shared" si="232"/>
        <v>0.74999999999999989</v>
      </c>
      <c r="EH45" s="55">
        <f t="shared" si="232"/>
        <v>0.72999999999999987</v>
      </c>
      <c r="EI45" s="55">
        <f t="shared" si="232"/>
        <v>0.70999999999999985</v>
      </c>
      <c r="EJ45" s="55">
        <f t="shared" si="232"/>
        <v>0.68999999999999984</v>
      </c>
      <c r="EK45" s="55">
        <f t="shared" si="232"/>
        <v>0.66999999999999982</v>
      </c>
      <c r="EL45" s="55">
        <f t="shared" si="232"/>
        <v>0.6499999999999998</v>
      </c>
      <c r="EM45" s="55">
        <f t="shared" si="232"/>
        <v>0.62999999999999978</v>
      </c>
      <c r="EN45" s="55">
        <f t="shared" si="232"/>
        <v>0.60999999999999976</v>
      </c>
      <c r="EO45" s="55">
        <f t="shared" si="232"/>
        <v>0.58999999999999975</v>
      </c>
      <c r="EP45" s="55">
        <f t="shared" si="232"/>
        <v>0.56999999999999973</v>
      </c>
      <c r="ER45" s="55">
        <f t="shared" si="141"/>
        <v>0</v>
      </c>
      <c r="ES45" s="55">
        <f t="shared" si="115"/>
        <v>0</v>
      </c>
      <c r="ET45" s="59">
        <f t="shared" si="233"/>
        <v>0</v>
      </c>
      <c r="EU45" s="55">
        <f t="shared" si="234"/>
        <v>0</v>
      </c>
      <c r="EV45" s="59">
        <f t="shared" si="235"/>
        <v>0</v>
      </c>
      <c r="EW45" s="55">
        <f t="shared" si="236"/>
        <v>0</v>
      </c>
      <c r="EX45" s="59">
        <f t="shared" si="237"/>
        <v>0</v>
      </c>
      <c r="EY45" s="55">
        <f t="shared" si="238"/>
        <v>0</v>
      </c>
      <c r="EZ45" s="59">
        <f t="shared" si="239"/>
        <v>0</v>
      </c>
      <c r="FA45" s="57">
        <f t="shared" si="240"/>
        <v>0</v>
      </c>
      <c r="FB45" s="59">
        <f t="shared" si="241"/>
        <v>0</v>
      </c>
      <c r="FC45" s="55">
        <f t="shared" si="242"/>
        <v>0</v>
      </c>
      <c r="FD45" s="59">
        <f t="shared" si="243"/>
        <v>0</v>
      </c>
      <c r="FE45" s="57">
        <f t="shared" si="244"/>
        <v>0</v>
      </c>
      <c r="FF45" s="59">
        <f t="shared" si="245"/>
        <v>0</v>
      </c>
      <c r="FG45" s="60">
        <f t="shared" si="246"/>
        <v>0</v>
      </c>
      <c r="FH45" s="59">
        <f t="shared" si="247"/>
        <v>0</v>
      </c>
      <c r="FI45" s="57">
        <f t="shared" si="248"/>
        <v>0</v>
      </c>
      <c r="FJ45" s="59">
        <f t="shared" si="249"/>
        <v>0</v>
      </c>
      <c r="FK45" s="55">
        <f t="shared" si="250"/>
        <v>0</v>
      </c>
      <c r="FL45" s="59">
        <f t="shared" si="251"/>
        <v>0</v>
      </c>
      <c r="FM45" s="60">
        <f t="shared" si="252"/>
        <v>0</v>
      </c>
      <c r="FN45" s="59">
        <f t="shared" si="253"/>
        <v>0</v>
      </c>
      <c r="FO45" s="60">
        <f t="shared" si="254"/>
        <v>0</v>
      </c>
      <c r="FP45" s="59">
        <f t="shared" si="255"/>
        <v>0</v>
      </c>
      <c r="FQ45" s="60">
        <f t="shared" si="256"/>
        <v>0</v>
      </c>
      <c r="FR45" s="59">
        <f t="shared" si="257"/>
        <v>0</v>
      </c>
      <c r="FS45" s="55">
        <f t="shared" si="258"/>
        <v>0</v>
      </c>
      <c r="FT45" s="59">
        <f t="shared" si="259"/>
        <v>0</v>
      </c>
      <c r="FU45" s="60">
        <f t="shared" si="260"/>
        <v>0</v>
      </c>
      <c r="FV45" s="59">
        <f t="shared" si="261"/>
        <v>0</v>
      </c>
      <c r="FW45" s="60">
        <f t="shared" si="262"/>
        <v>0</v>
      </c>
      <c r="FX45" s="59">
        <f t="shared" si="263"/>
        <v>0</v>
      </c>
      <c r="FY45" s="60">
        <f t="shared" si="264"/>
        <v>0</v>
      </c>
      <c r="FZ45" s="59">
        <f t="shared" si="265"/>
        <v>0</v>
      </c>
      <c r="GA45" s="60">
        <f t="shared" si="266"/>
        <v>0</v>
      </c>
      <c r="GB45" s="59">
        <f t="shared" si="267"/>
        <v>0</v>
      </c>
      <c r="GC45" s="55">
        <f t="shared" si="268"/>
        <v>0</v>
      </c>
      <c r="GD45" s="59">
        <f t="shared" si="269"/>
        <v>0</v>
      </c>
      <c r="GE45" s="60">
        <f t="shared" si="270"/>
        <v>0</v>
      </c>
      <c r="GF45" s="59">
        <f t="shared" si="271"/>
        <v>0</v>
      </c>
      <c r="GG45" s="60">
        <f t="shared" si="272"/>
        <v>0</v>
      </c>
      <c r="GH45" s="59">
        <f t="shared" si="273"/>
        <v>0</v>
      </c>
      <c r="GI45" s="55">
        <f t="shared" si="274"/>
        <v>0</v>
      </c>
      <c r="GJ45" s="59">
        <f t="shared" si="275"/>
        <v>0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76"/>
        <v>0.91</v>
      </c>
      <c r="GR45" s="55">
        <f t="shared" si="276"/>
        <v>0.89</v>
      </c>
      <c r="GS45" s="55">
        <f t="shared" si="276"/>
        <v>0.87</v>
      </c>
      <c r="GT45" s="55">
        <f t="shared" si="276"/>
        <v>0.85</v>
      </c>
      <c r="GU45" s="55">
        <f t="shared" si="276"/>
        <v>0.83</v>
      </c>
      <c r="GV45" s="55">
        <f t="shared" si="276"/>
        <v>0.80999999999999994</v>
      </c>
      <c r="GW45" s="55">
        <f t="shared" si="276"/>
        <v>0.78999999999999992</v>
      </c>
      <c r="GX45" s="55">
        <f t="shared" si="276"/>
        <v>0.76999999999999991</v>
      </c>
      <c r="GY45" s="55">
        <f t="shared" si="276"/>
        <v>0.74999999999999989</v>
      </c>
      <c r="GZ45" s="55">
        <f t="shared" si="276"/>
        <v>0.72999999999999987</v>
      </c>
      <c r="HA45" s="55">
        <f t="shared" si="276"/>
        <v>0.70999999999999985</v>
      </c>
      <c r="HB45" s="55">
        <f t="shared" si="276"/>
        <v>0.68999999999999984</v>
      </c>
      <c r="HC45" s="55">
        <f t="shared" si="276"/>
        <v>0.66999999999999982</v>
      </c>
      <c r="HD45" s="55">
        <f t="shared" si="276"/>
        <v>0.6499999999999998</v>
      </c>
      <c r="HE45" s="55">
        <f t="shared" si="276"/>
        <v>0.62999999999999978</v>
      </c>
      <c r="HF45" s="55">
        <f t="shared" si="276"/>
        <v>0.60999999999999976</v>
      </c>
      <c r="HG45" s="55">
        <f t="shared" si="276"/>
        <v>0.58999999999999975</v>
      </c>
      <c r="HH45" s="55">
        <f t="shared" si="276"/>
        <v>0.56999999999999973</v>
      </c>
    </row>
    <row r="46" spans="1:216" x14ac:dyDescent="0.3">
      <c r="A46" s="2">
        <v>13</v>
      </c>
      <c r="C46" s="38" t="s">
        <v>24</v>
      </c>
      <c r="D46" s="42">
        <f>TRUNC(8238,-1)</f>
        <v>8230</v>
      </c>
      <c r="E46" s="86">
        <f>TRUNC(+D46*3.3058,-1)</f>
        <v>27200</v>
      </c>
      <c r="H46" s="55">
        <f t="shared" si="60"/>
        <v>29920.000000000004</v>
      </c>
      <c r="I46" s="55">
        <f t="shared" si="61"/>
        <v>29920.000000000004</v>
      </c>
      <c r="J46" s="59">
        <f t="shared" si="62"/>
        <v>98909.536000000007</v>
      </c>
      <c r="K46" s="55">
        <f t="shared" si="147"/>
        <v>29022.400000000001</v>
      </c>
      <c r="L46" s="59">
        <f t="shared" si="148"/>
        <v>95942.249920000002</v>
      </c>
      <c r="M46" s="55">
        <f t="shared" si="149"/>
        <v>28424.000000000004</v>
      </c>
      <c r="N46" s="59">
        <f t="shared" si="150"/>
        <v>93964.059200000018</v>
      </c>
      <c r="O46" s="55">
        <f t="shared" si="151"/>
        <v>27825.600000000006</v>
      </c>
      <c r="P46" s="59">
        <f t="shared" si="152"/>
        <v>91985.868480000019</v>
      </c>
      <c r="Q46" s="57">
        <f t="shared" si="153"/>
        <v>27227.200000000004</v>
      </c>
      <c r="R46" s="59">
        <f t="shared" si="154"/>
        <v>90007.67776000002</v>
      </c>
      <c r="S46" s="55">
        <f t="shared" si="155"/>
        <v>26628.800000000003</v>
      </c>
      <c r="T46" s="59">
        <f t="shared" si="156"/>
        <v>88029.487040000007</v>
      </c>
      <c r="U46" s="57">
        <f t="shared" si="157"/>
        <v>26030.400000000001</v>
      </c>
      <c r="V46" s="59">
        <f t="shared" si="158"/>
        <v>86051.296320000009</v>
      </c>
      <c r="W46" s="60">
        <f t="shared" si="159"/>
        <v>25432.000000000004</v>
      </c>
      <c r="X46" s="59">
        <f t="shared" si="160"/>
        <v>84073.10560000001</v>
      </c>
      <c r="Y46" s="57">
        <f t="shared" si="161"/>
        <v>24833.600000000002</v>
      </c>
      <c r="Z46" s="59">
        <f t="shared" si="162"/>
        <v>82094.914880000011</v>
      </c>
      <c r="AA46" s="55">
        <f t="shared" si="163"/>
        <v>24235.200000000001</v>
      </c>
      <c r="AB46" s="59">
        <f t="shared" si="164"/>
        <v>80116.724159999998</v>
      </c>
      <c r="AC46" s="60">
        <f t="shared" si="165"/>
        <v>23636.799999999999</v>
      </c>
      <c r="AD46" s="59">
        <f t="shared" si="166"/>
        <v>78138.533439999999</v>
      </c>
      <c r="AE46" s="60">
        <f t="shared" si="167"/>
        <v>23038.400000000001</v>
      </c>
      <c r="AF46" s="59">
        <f t="shared" si="168"/>
        <v>76160.342720000001</v>
      </c>
      <c r="AG46" s="60">
        <f t="shared" si="169"/>
        <v>22440</v>
      </c>
      <c r="AH46" s="59">
        <f t="shared" si="170"/>
        <v>74182.152000000002</v>
      </c>
      <c r="AI46" s="55">
        <f t="shared" si="171"/>
        <v>21841.599999999999</v>
      </c>
      <c r="AJ46" s="59">
        <f t="shared" si="172"/>
        <v>72203.961280000003</v>
      </c>
      <c r="AK46" s="60">
        <f t="shared" si="173"/>
        <v>21243.199999999997</v>
      </c>
      <c r="AL46" s="59">
        <f t="shared" si="174"/>
        <v>70225.77055999999</v>
      </c>
      <c r="AM46" s="60">
        <f t="shared" si="175"/>
        <v>20644.8</v>
      </c>
      <c r="AN46" s="59">
        <f t="shared" si="176"/>
        <v>68247.579840000006</v>
      </c>
      <c r="AO46" s="60">
        <f t="shared" si="177"/>
        <v>20046.399999999998</v>
      </c>
      <c r="AP46" s="59">
        <f t="shared" si="178"/>
        <v>66269.389119999993</v>
      </c>
      <c r="AQ46" s="60">
        <f t="shared" si="179"/>
        <v>19447.999999999996</v>
      </c>
      <c r="AR46" s="59">
        <f t="shared" si="180"/>
        <v>64291.198399999987</v>
      </c>
      <c r="AS46" s="55">
        <f t="shared" si="181"/>
        <v>18849.599999999995</v>
      </c>
      <c r="AT46" s="59">
        <f t="shared" si="182"/>
        <v>62313.007679999988</v>
      </c>
      <c r="AU46" s="60">
        <f t="shared" si="183"/>
        <v>18251.199999999993</v>
      </c>
      <c r="AV46" s="59">
        <f t="shared" si="184"/>
        <v>60334.816959999982</v>
      </c>
      <c r="AW46" s="60">
        <f t="shared" si="185"/>
        <v>17652.799999999996</v>
      </c>
      <c r="AX46" s="59">
        <f t="shared" si="186"/>
        <v>58356.626239999983</v>
      </c>
      <c r="AY46" s="55">
        <f t="shared" si="187"/>
        <v>17054.399999999994</v>
      </c>
      <c r="AZ46" s="59">
        <f t="shared" si="188"/>
        <v>56378.435519999985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ref="BG46:BX54" si="278">+BF46-0.02</f>
        <v>0.91</v>
      </c>
      <c r="BH46" s="55">
        <f t="shared" si="278"/>
        <v>0.89</v>
      </c>
      <c r="BI46" s="55">
        <f t="shared" si="278"/>
        <v>0.87</v>
      </c>
      <c r="BJ46" s="55">
        <f t="shared" si="278"/>
        <v>0.85</v>
      </c>
      <c r="BK46" s="55">
        <f t="shared" si="278"/>
        <v>0.83</v>
      </c>
      <c r="BL46" s="55">
        <f t="shared" si="278"/>
        <v>0.80999999999999994</v>
      </c>
      <c r="BM46" s="55">
        <f t="shared" si="278"/>
        <v>0.78999999999999992</v>
      </c>
      <c r="BN46" s="55">
        <f t="shared" si="278"/>
        <v>0.76999999999999991</v>
      </c>
      <c r="BO46" s="55">
        <f t="shared" si="278"/>
        <v>0.74999999999999989</v>
      </c>
      <c r="BP46" s="55">
        <f t="shared" si="278"/>
        <v>0.72999999999999987</v>
      </c>
      <c r="BQ46" s="55">
        <f t="shared" si="278"/>
        <v>0.70999999999999985</v>
      </c>
      <c r="BR46" s="55">
        <f t="shared" si="278"/>
        <v>0.68999999999999984</v>
      </c>
      <c r="BS46" s="55">
        <f t="shared" si="278"/>
        <v>0.66999999999999982</v>
      </c>
      <c r="BT46" s="55">
        <f t="shared" si="278"/>
        <v>0.6499999999999998</v>
      </c>
      <c r="BU46" s="55">
        <f t="shared" si="278"/>
        <v>0.62999999999999978</v>
      </c>
      <c r="BV46" s="55">
        <f t="shared" si="278"/>
        <v>0.60999999999999976</v>
      </c>
      <c r="BW46" s="55">
        <f t="shared" si="278"/>
        <v>0.58999999999999975</v>
      </c>
      <c r="BX46" s="55">
        <f t="shared" si="278"/>
        <v>0.56999999999999973</v>
      </c>
      <c r="BZ46" s="55">
        <f t="shared" si="87"/>
        <v>27227.200000000004</v>
      </c>
      <c r="CA46" s="55">
        <f t="shared" si="88"/>
        <v>27227.200000000004</v>
      </c>
      <c r="CB46" s="59">
        <f t="shared" si="189"/>
        <v>90007.67776000002</v>
      </c>
      <c r="CC46" s="55">
        <f t="shared" si="190"/>
        <v>26410.384000000002</v>
      </c>
      <c r="CD46" s="59">
        <f t="shared" si="191"/>
        <v>87307.447427200008</v>
      </c>
      <c r="CE46" s="55">
        <f t="shared" si="192"/>
        <v>25865.840000000004</v>
      </c>
      <c r="CF46" s="59">
        <f t="shared" si="193"/>
        <v>85507.293872000009</v>
      </c>
      <c r="CG46" s="55">
        <f t="shared" si="194"/>
        <v>25321.296000000006</v>
      </c>
      <c r="CH46" s="59">
        <f t="shared" si="195"/>
        <v>83707.140316800025</v>
      </c>
      <c r="CI46" s="57">
        <f t="shared" si="196"/>
        <v>24776.752000000004</v>
      </c>
      <c r="CJ46" s="59">
        <f t="shared" si="197"/>
        <v>81906.986761600012</v>
      </c>
      <c r="CK46" s="55">
        <f t="shared" si="198"/>
        <v>24232.208000000006</v>
      </c>
      <c r="CL46" s="59">
        <f t="shared" si="199"/>
        <v>80106.833206400028</v>
      </c>
      <c r="CM46" s="57">
        <f t="shared" si="200"/>
        <v>23687.664000000004</v>
      </c>
      <c r="CN46" s="59">
        <f t="shared" si="201"/>
        <v>78306.679651200015</v>
      </c>
      <c r="CO46" s="60">
        <f t="shared" si="202"/>
        <v>23143.120000000003</v>
      </c>
      <c r="CP46" s="59">
        <f t="shared" si="203"/>
        <v>76506.526096000016</v>
      </c>
      <c r="CQ46" s="57">
        <f t="shared" si="204"/>
        <v>22598.576000000001</v>
      </c>
      <c r="CR46" s="59">
        <f t="shared" si="205"/>
        <v>74706.372540800003</v>
      </c>
      <c r="CS46" s="55">
        <f t="shared" si="206"/>
        <v>22054.032000000003</v>
      </c>
      <c r="CT46" s="59">
        <f t="shared" si="207"/>
        <v>72906.218985600004</v>
      </c>
      <c r="CU46" s="60">
        <f t="shared" si="208"/>
        <v>21509.488000000001</v>
      </c>
      <c r="CV46" s="59">
        <f t="shared" si="209"/>
        <v>71106.065430400005</v>
      </c>
      <c r="CW46" s="60">
        <f t="shared" si="210"/>
        <v>20964.944</v>
      </c>
      <c r="CX46" s="59">
        <f t="shared" si="211"/>
        <v>69305.911875200007</v>
      </c>
      <c r="CY46" s="60">
        <f t="shared" si="212"/>
        <v>20420.400000000001</v>
      </c>
      <c r="CZ46" s="59">
        <f t="shared" si="213"/>
        <v>67505.758320000008</v>
      </c>
      <c r="DA46" s="55">
        <f t="shared" si="214"/>
        <v>19875.856</v>
      </c>
      <c r="DB46" s="59">
        <f t="shared" si="215"/>
        <v>65705.604764799995</v>
      </c>
      <c r="DC46" s="60">
        <f t="shared" si="216"/>
        <v>19331.311999999998</v>
      </c>
      <c r="DD46" s="59">
        <f t="shared" si="217"/>
        <v>63905.451209599996</v>
      </c>
      <c r="DE46" s="60">
        <f t="shared" si="218"/>
        <v>18786.768</v>
      </c>
      <c r="DF46" s="59">
        <f t="shared" si="219"/>
        <v>62105.297654400005</v>
      </c>
      <c r="DG46" s="60">
        <f t="shared" si="220"/>
        <v>18242.223999999998</v>
      </c>
      <c r="DH46" s="59">
        <f t="shared" si="221"/>
        <v>60305.144099199999</v>
      </c>
      <c r="DI46" s="60">
        <f t="shared" si="222"/>
        <v>17697.679999999997</v>
      </c>
      <c r="DJ46" s="59">
        <f t="shared" si="223"/>
        <v>58504.990543999993</v>
      </c>
      <c r="DK46" s="55">
        <f t="shared" si="224"/>
        <v>17153.135999999999</v>
      </c>
      <c r="DL46" s="59">
        <f t="shared" si="225"/>
        <v>56704.836988799994</v>
      </c>
      <c r="DM46" s="60">
        <f t="shared" si="226"/>
        <v>16608.591999999997</v>
      </c>
      <c r="DN46" s="59">
        <f t="shared" si="227"/>
        <v>54904.683433599988</v>
      </c>
      <c r="DO46" s="60">
        <f t="shared" si="228"/>
        <v>16064.047999999995</v>
      </c>
      <c r="DP46" s="59">
        <f t="shared" si="229"/>
        <v>53104.529878399982</v>
      </c>
      <c r="DQ46" s="55">
        <f t="shared" si="230"/>
        <v>15519.503999999995</v>
      </c>
      <c r="DR46" s="59">
        <f t="shared" si="231"/>
        <v>51304.376323199984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32"/>
        <v>0.91</v>
      </c>
      <c r="DZ46" s="55">
        <f t="shared" si="232"/>
        <v>0.89</v>
      </c>
      <c r="EA46" s="55">
        <f t="shared" si="232"/>
        <v>0.87</v>
      </c>
      <c r="EB46" s="55">
        <f t="shared" si="232"/>
        <v>0.85</v>
      </c>
      <c r="EC46" s="55">
        <f t="shared" si="232"/>
        <v>0.83</v>
      </c>
      <c r="ED46" s="55">
        <f t="shared" si="232"/>
        <v>0.80999999999999994</v>
      </c>
      <c r="EE46" s="55">
        <f t="shared" si="232"/>
        <v>0.78999999999999992</v>
      </c>
      <c r="EF46" s="55">
        <f t="shared" si="232"/>
        <v>0.76999999999999991</v>
      </c>
      <c r="EG46" s="55">
        <f t="shared" si="232"/>
        <v>0.74999999999999989</v>
      </c>
      <c r="EH46" s="55">
        <f t="shared" si="232"/>
        <v>0.72999999999999987</v>
      </c>
      <c r="EI46" s="55">
        <f t="shared" si="232"/>
        <v>0.70999999999999985</v>
      </c>
      <c r="EJ46" s="55">
        <f t="shared" si="232"/>
        <v>0.68999999999999984</v>
      </c>
      <c r="EK46" s="55">
        <f t="shared" si="232"/>
        <v>0.66999999999999982</v>
      </c>
      <c r="EL46" s="55">
        <f t="shared" si="232"/>
        <v>0.6499999999999998</v>
      </c>
      <c r="EM46" s="55">
        <f t="shared" si="232"/>
        <v>0.62999999999999978</v>
      </c>
      <c r="EN46" s="55">
        <f t="shared" si="232"/>
        <v>0.60999999999999976</v>
      </c>
      <c r="EO46" s="55">
        <f t="shared" si="232"/>
        <v>0.58999999999999975</v>
      </c>
      <c r="EP46" s="55">
        <f t="shared" si="232"/>
        <v>0.56999999999999973</v>
      </c>
      <c r="ER46" s="55">
        <f t="shared" si="141"/>
        <v>24776.752000000004</v>
      </c>
      <c r="ES46" s="55">
        <f t="shared" si="115"/>
        <v>24776.752000000004</v>
      </c>
      <c r="ET46" s="59">
        <f t="shared" si="233"/>
        <v>81906.986761600012</v>
      </c>
      <c r="EU46" s="55">
        <f t="shared" si="234"/>
        <v>24033.449440000004</v>
      </c>
      <c r="EV46" s="59">
        <f t="shared" si="235"/>
        <v>79449.777158752011</v>
      </c>
      <c r="EW46" s="55">
        <f t="shared" si="236"/>
        <v>23537.914400000001</v>
      </c>
      <c r="EX46" s="59">
        <f t="shared" si="237"/>
        <v>77811.637423520006</v>
      </c>
      <c r="EY46" s="55">
        <f t="shared" si="238"/>
        <v>23042.379360000006</v>
      </c>
      <c r="EZ46" s="59">
        <f t="shared" si="239"/>
        <v>76173.497688288029</v>
      </c>
      <c r="FA46" s="57">
        <f t="shared" si="240"/>
        <v>22546.844320000004</v>
      </c>
      <c r="FB46" s="59">
        <f t="shared" si="241"/>
        <v>74535.357953056009</v>
      </c>
      <c r="FC46" s="55">
        <f t="shared" si="242"/>
        <v>22051.309280000005</v>
      </c>
      <c r="FD46" s="59">
        <f t="shared" si="243"/>
        <v>72897.218217824018</v>
      </c>
      <c r="FE46" s="57">
        <f t="shared" si="244"/>
        <v>21555.774240000002</v>
      </c>
      <c r="FF46" s="59">
        <f t="shared" si="245"/>
        <v>71259.078482592013</v>
      </c>
      <c r="FG46" s="60">
        <f t="shared" si="246"/>
        <v>21060.239200000004</v>
      </c>
      <c r="FH46" s="59">
        <f t="shared" si="247"/>
        <v>69620.938747360007</v>
      </c>
      <c r="FI46" s="57">
        <f t="shared" si="248"/>
        <v>20564.704160000001</v>
      </c>
      <c r="FJ46" s="59">
        <f t="shared" si="249"/>
        <v>67982.799012128002</v>
      </c>
      <c r="FK46" s="55">
        <f t="shared" si="250"/>
        <v>20069.169120000002</v>
      </c>
      <c r="FL46" s="59">
        <f t="shared" si="251"/>
        <v>66344.659276896011</v>
      </c>
      <c r="FM46" s="60">
        <f t="shared" si="252"/>
        <v>19573.63408</v>
      </c>
      <c r="FN46" s="59">
        <f t="shared" si="253"/>
        <v>64706.519541663998</v>
      </c>
      <c r="FO46" s="60">
        <f t="shared" si="254"/>
        <v>19078.099040000001</v>
      </c>
      <c r="FP46" s="59">
        <f t="shared" si="255"/>
        <v>63068.379806432007</v>
      </c>
      <c r="FQ46" s="60">
        <f t="shared" si="256"/>
        <v>18582.563999999998</v>
      </c>
      <c r="FR46" s="59">
        <f t="shared" si="257"/>
        <v>61430.240071199994</v>
      </c>
      <c r="FS46" s="55">
        <f t="shared" si="258"/>
        <v>18087.02896</v>
      </c>
      <c r="FT46" s="59">
        <f t="shared" si="259"/>
        <v>59792.100335968003</v>
      </c>
      <c r="FU46" s="60">
        <f t="shared" si="260"/>
        <v>17591.493920000001</v>
      </c>
      <c r="FV46" s="59">
        <f t="shared" si="261"/>
        <v>58153.960600736005</v>
      </c>
      <c r="FW46" s="60">
        <f t="shared" si="262"/>
        <v>17095.958879999998</v>
      </c>
      <c r="FX46" s="59">
        <f t="shared" si="263"/>
        <v>56515.820865503993</v>
      </c>
      <c r="FY46" s="60">
        <f t="shared" si="264"/>
        <v>16600.423839999999</v>
      </c>
      <c r="FZ46" s="59">
        <f t="shared" si="265"/>
        <v>54877.681130272002</v>
      </c>
      <c r="GA46" s="60">
        <f t="shared" si="266"/>
        <v>16104.888799999997</v>
      </c>
      <c r="GB46" s="59">
        <f t="shared" si="267"/>
        <v>53239.541395039989</v>
      </c>
      <c r="GC46" s="55">
        <f t="shared" si="268"/>
        <v>15609.353759999996</v>
      </c>
      <c r="GD46" s="59">
        <f t="shared" si="269"/>
        <v>51601.401659807991</v>
      </c>
      <c r="GE46" s="60">
        <f t="shared" si="270"/>
        <v>15113.818719999997</v>
      </c>
      <c r="GF46" s="59">
        <f t="shared" si="271"/>
        <v>49963.261924575992</v>
      </c>
      <c r="GG46" s="60">
        <f t="shared" si="272"/>
        <v>14618.283679999997</v>
      </c>
      <c r="GH46" s="59">
        <f t="shared" si="273"/>
        <v>48325.122189343987</v>
      </c>
      <c r="GI46" s="55">
        <f t="shared" si="274"/>
        <v>14122.748639999996</v>
      </c>
      <c r="GJ46" s="59">
        <f t="shared" si="275"/>
        <v>46686.982454111989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76"/>
        <v>0.91</v>
      </c>
      <c r="GR46" s="55">
        <f t="shared" si="276"/>
        <v>0.89</v>
      </c>
      <c r="GS46" s="55">
        <f t="shared" si="276"/>
        <v>0.87</v>
      </c>
      <c r="GT46" s="55">
        <f t="shared" si="276"/>
        <v>0.85</v>
      </c>
      <c r="GU46" s="55">
        <f t="shared" si="276"/>
        <v>0.83</v>
      </c>
      <c r="GV46" s="55">
        <f t="shared" si="276"/>
        <v>0.80999999999999994</v>
      </c>
      <c r="GW46" s="55">
        <f t="shared" si="276"/>
        <v>0.78999999999999992</v>
      </c>
      <c r="GX46" s="55">
        <f t="shared" si="276"/>
        <v>0.76999999999999991</v>
      </c>
      <c r="GY46" s="55">
        <f t="shared" si="276"/>
        <v>0.74999999999999989</v>
      </c>
      <c r="GZ46" s="55">
        <f t="shared" si="276"/>
        <v>0.72999999999999987</v>
      </c>
      <c r="HA46" s="55">
        <f t="shared" si="276"/>
        <v>0.70999999999999985</v>
      </c>
      <c r="HB46" s="55">
        <f t="shared" si="276"/>
        <v>0.68999999999999984</v>
      </c>
      <c r="HC46" s="55">
        <f t="shared" si="276"/>
        <v>0.66999999999999982</v>
      </c>
      <c r="HD46" s="55">
        <f t="shared" si="276"/>
        <v>0.6499999999999998</v>
      </c>
      <c r="HE46" s="55">
        <f t="shared" si="276"/>
        <v>0.62999999999999978</v>
      </c>
      <c r="HF46" s="55">
        <f t="shared" si="276"/>
        <v>0.60999999999999976</v>
      </c>
      <c r="HG46" s="55">
        <f t="shared" si="276"/>
        <v>0.58999999999999975</v>
      </c>
      <c r="HH46" s="55">
        <f t="shared" si="276"/>
        <v>0.56999999999999973</v>
      </c>
    </row>
    <row r="47" spans="1:216" x14ac:dyDescent="0.3">
      <c r="A47" s="2">
        <v>14</v>
      </c>
      <c r="C47" s="38" t="s">
        <v>25</v>
      </c>
      <c r="D47" s="42">
        <f>TRUNC(66654,-1)</f>
        <v>66650</v>
      </c>
      <c r="E47" s="86">
        <f>TRUNC(+D47*3.3058,-1)</f>
        <v>220330</v>
      </c>
      <c r="F47" s="2" t="s">
        <v>308</v>
      </c>
      <c r="H47" s="55">
        <f t="shared" si="60"/>
        <v>242363.00000000003</v>
      </c>
      <c r="I47" s="55">
        <f t="shared" si="61"/>
        <v>242363.00000000003</v>
      </c>
      <c r="J47" s="59">
        <f t="shared" si="62"/>
        <v>801203.60540000012</v>
      </c>
      <c r="K47" s="55">
        <f t="shared" si="147"/>
        <v>235092.11000000002</v>
      </c>
      <c r="L47" s="59">
        <f t="shared" si="148"/>
        <v>777167.49723800004</v>
      </c>
      <c r="M47" s="55">
        <f t="shared" si="149"/>
        <v>230244.85</v>
      </c>
      <c r="N47" s="59">
        <f t="shared" si="150"/>
        <v>761143.42512999999</v>
      </c>
      <c r="O47" s="55">
        <f t="shared" si="151"/>
        <v>225397.59000000003</v>
      </c>
      <c r="P47" s="59">
        <f t="shared" si="152"/>
        <v>745119.35302200005</v>
      </c>
      <c r="Q47" s="57">
        <f t="shared" si="153"/>
        <v>220550.33000000005</v>
      </c>
      <c r="R47" s="59">
        <f t="shared" si="154"/>
        <v>729095.28091400012</v>
      </c>
      <c r="S47" s="55">
        <f t="shared" si="155"/>
        <v>215703.07000000004</v>
      </c>
      <c r="T47" s="59">
        <f t="shared" si="156"/>
        <v>713071.20880600018</v>
      </c>
      <c r="U47" s="57">
        <f t="shared" si="157"/>
        <v>210855.81000000003</v>
      </c>
      <c r="V47" s="59">
        <f t="shared" si="158"/>
        <v>697047.13669800013</v>
      </c>
      <c r="W47" s="60">
        <f t="shared" si="159"/>
        <v>206008.55000000002</v>
      </c>
      <c r="X47" s="59">
        <f t="shared" si="160"/>
        <v>681023.06459000008</v>
      </c>
      <c r="Y47" s="57">
        <f t="shared" si="161"/>
        <v>201161.29</v>
      </c>
      <c r="Z47" s="59">
        <f t="shared" si="162"/>
        <v>664998.99248200003</v>
      </c>
      <c r="AA47" s="55">
        <f t="shared" si="163"/>
        <v>196314.03</v>
      </c>
      <c r="AB47" s="59">
        <f t="shared" si="164"/>
        <v>648974.92037399998</v>
      </c>
      <c r="AC47" s="60">
        <f t="shared" si="165"/>
        <v>191466.77000000002</v>
      </c>
      <c r="AD47" s="59">
        <f t="shared" si="166"/>
        <v>632950.84826600004</v>
      </c>
      <c r="AE47" s="60">
        <f t="shared" si="167"/>
        <v>186619.51</v>
      </c>
      <c r="AF47" s="59">
        <f t="shared" si="168"/>
        <v>616926.77615799999</v>
      </c>
      <c r="AG47" s="60">
        <f t="shared" si="169"/>
        <v>181772.25</v>
      </c>
      <c r="AH47" s="59">
        <f t="shared" si="170"/>
        <v>600902.70405000006</v>
      </c>
      <c r="AI47" s="55">
        <f t="shared" si="171"/>
        <v>176924.99</v>
      </c>
      <c r="AJ47" s="59">
        <f t="shared" si="172"/>
        <v>584878.63194200001</v>
      </c>
      <c r="AK47" s="60">
        <f t="shared" si="173"/>
        <v>172077.72999999998</v>
      </c>
      <c r="AL47" s="59">
        <f t="shared" si="174"/>
        <v>568854.55983399996</v>
      </c>
      <c r="AM47" s="60">
        <f t="shared" si="175"/>
        <v>167230.46999999997</v>
      </c>
      <c r="AN47" s="59">
        <f t="shared" si="176"/>
        <v>552830.4877259999</v>
      </c>
      <c r="AO47" s="60">
        <f t="shared" si="177"/>
        <v>162383.20999999996</v>
      </c>
      <c r="AP47" s="59">
        <f t="shared" si="178"/>
        <v>536806.41561799985</v>
      </c>
      <c r="AQ47" s="60">
        <f t="shared" si="179"/>
        <v>157535.94999999998</v>
      </c>
      <c r="AR47" s="59">
        <f t="shared" si="180"/>
        <v>520782.34350999998</v>
      </c>
      <c r="AS47" s="55">
        <f t="shared" si="181"/>
        <v>152688.68999999997</v>
      </c>
      <c r="AT47" s="59">
        <f t="shared" si="182"/>
        <v>504758.27140199993</v>
      </c>
      <c r="AU47" s="60">
        <f t="shared" si="183"/>
        <v>147841.42999999996</v>
      </c>
      <c r="AV47" s="59">
        <f t="shared" si="184"/>
        <v>488734.19929399987</v>
      </c>
      <c r="AW47" s="60">
        <f t="shared" si="185"/>
        <v>142994.16999999995</v>
      </c>
      <c r="AX47" s="59">
        <f t="shared" si="186"/>
        <v>472710.12718599988</v>
      </c>
      <c r="AY47" s="55">
        <f t="shared" si="187"/>
        <v>138146.90999999995</v>
      </c>
      <c r="AZ47" s="59">
        <f t="shared" si="188"/>
        <v>456686.05507799983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278"/>
        <v>0.91</v>
      </c>
      <c r="BH47" s="55">
        <f t="shared" si="278"/>
        <v>0.89</v>
      </c>
      <c r="BI47" s="55">
        <f t="shared" si="278"/>
        <v>0.87</v>
      </c>
      <c r="BJ47" s="55">
        <f t="shared" si="278"/>
        <v>0.85</v>
      </c>
      <c r="BK47" s="55">
        <f t="shared" si="278"/>
        <v>0.83</v>
      </c>
      <c r="BL47" s="55">
        <f t="shared" si="278"/>
        <v>0.80999999999999994</v>
      </c>
      <c r="BM47" s="55">
        <f t="shared" si="278"/>
        <v>0.78999999999999992</v>
      </c>
      <c r="BN47" s="55">
        <f t="shared" si="278"/>
        <v>0.76999999999999991</v>
      </c>
      <c r="BO47" s="55">
        <f t="shared" si="278"/>
        <v>0.74999999999999989</v>
      </c>
      <c r="BP47" s="55">
        <f t="shared" si="278"/>
        <v>0.72999999999999987</v>
      </c>
      <c r="BQ47" s="55">
        <f t="shared" si="278"/>
        <v>0.70999999999999985</v>
      </c>
      <c r="BR47" s="55">
        <f t="shared" si="278"/>
        <v>0.68999999999999984</v>
      </c>
      <c r="BS47" s="55">
        <f t="shared" si="278"/>
        <v>0.66999999999999982</v>
      </c>
      <c r="BT47" s="55">
        <f t="shared" si="278"/>
        <v>0.6499999999999998</v>
      </c>
      <c r="BU47" s="55">
        <f t="shared" si="278"/>
        <v>0.62999999999999978</v>
      </c>
      <c r="BV47" s="55">
        <f t="shared" si="278"/>
        <v>0.60999999999999976</v>
      </c>
      <c r="BW47" s="55">
        <f t="shared" si="278"/>
        <v>0.58999999999999975</v>
      </c>
      <c r="BX47" s="55">
        <f t="shared" si="278"/>
        <v>0.56999999999999973</v>
      </c>
      <c r="BZ47" s="55">
        <f t="shared" si="87"/>
        <v>220550.33000000005</v>
      </c>
      <c r="CA47" s="55">
        <f t="shared" si="88"/>
        <v>220550.33000000005</v>
      </c>
      <c r="CB47" s="59">
        <f t="shared" si="189"/>
        <v>729095.28091400012</v>
      </c>
      <c r="CC47" s="55">
        <f t="shared" si="190"/>
        <v>213933.82010000004</v>
      </c>
      <c r="CD47" s="59">
        <f t="shared" si="191"/>
        <v>707222.42248658009</v>
      </c>
      <c r="CE47" s="55">
        <f t="shared" si="192"/>
        <v>209522.81350000005</v>
      </c>
      <c r="CF47" s="59">
        <f t="shared" si="193"/>
        <v>692640.51686830015</v>
      </c>
      <c r="CG47" s="55">
        <f t="shared" si="194"/>
        <v>205111.80690000005</v>
      </c>
      <c r="CH47" s="59">
        <f t="shared" si="195"/>
        <v>678058.61125002021</v>
      </c>
      <c r="CI47" s="57">
        <f t="shared" si="196"/>
        <v>200700.80030000006</v>
      </c>
      <c r="CJ47" s="59">
        <f t="shared" si="197"/>
        <v>663476.70563174016</v>
      </c>
      <c r="CK47" s="55">
        <f t="shared" si="198"/>
        <v>196289.79370000004</v>
      </c>
      <c r="CL47" s="59">
        <f t="shared" si="199"/>
        <v>648894.8000134601</v>
      </c>
      <c r="CM47" s="57">
        <f t="shared" si="200"/>
        <v>191878.78710000005</v>
      </c>
      <c r="CN47" s="59">
        <f t="shared" si="201"/>
        <v>634312.89439518016</v>
      </c>
      <c r="CO47" s="60">
        <f t="shared" si="202"/>
        <v>187467.78050000002</v>
      </c>
      <c r="CP47" s="59">
        <f t="shared" si="203"/>
        <v>619730.98877690011</v>
      </c>
      <c r="CQ47" s="57">
        <f t="shared" si="204"/>
        <v>183056.77390000003</v>
      </c>
      <c r="CR47" s="59">
        <f t="shared" si="205"/>
        <v>605149.08315862017</v>
      </c>
      <c r="CS47" s="55">
        <f t="shared" si="206"/>
        <v>178645.76730000004</v>
      </c>
      <c r="CT47" s="59">
        <f t="shared" si="207"/>
        <v>590567.17754034011</v>
      </c>
      <c r="CU47" s="60">
        <f t="shared" si="208"/>
        <v>174234.76070000001</v>
      </c>
      <c r="CV47" s="59">
        <f t="shared" si="209"/>
        <v>575985.27192206006</v>
      </c>
      <c r="CW47" s="60">
        <f t="shared" si="210"/>
        <v>169823.75410000002</v>
      </c>
      <c r="CX47" s="59">
        <f t="shared" si="211"/>
        <v>561403.36630378012</v>
      </c>
      <c r="CY47" s="60">
        <f t="shared" si="212"/>
        <v>165412.7475</v>
      </c>
      <c r="CZ47" s="59">
        <f t="shared" si="213"/>
        <v>546821.46068550006</v>
      </c>
      <c r="DA47" s="55">
        <f t="shared" si="214"/>
        <v>161001.7409</v>
      </c>
      <c r="DB47" s="59">
        <f t="shared" si="215"/>
        <v>532239.55506722</v>
      </c>
      <c r="DC47" s="60">
        <f t="shared" si="216"/>
        <v>156590.73430000001</v>
      </c>
      <c r="DD47" s="59">
        <f t="shared" si="217"/>
        <v>517657.64944894006</v>
      </c>
      <c r="DE47" s="60">
        <f t="shared" si="218"/>
        <v>152179.72769999999</v>
      </c>
      <c r="DF47" s="59">
        <f t="shared" si="219"/>
        <v>503075.74383065995</v>
      </c>
      <c r="DG47" s="60">
        <f t="shared" si="220"/>
        <v>147768.7211</v>
      </c>
      <c r="DH47" s="59">
        <f t="shared" si="221"/>
        <v>488493.83821238001</v>
      </c>
      <c r="DI47" s="60">
        <f t="shared" si="222"/>
        <v>143357.71449999997</v>
      </c>
      <c r="DJ47" s="59">
        <f t="shared" si="223"/>
        <v>473911.9325940999</v>
      </c>
      <c r="DK47" s="55">
        <f t="shared" si="224"/>
        <v>138946.70789999998</v>
      </c>
      <c r="DL47" s="59">
        <f t="shared" si="225"/>
        <v>459330.02697581996</v>
      </c>
      <c r="DM47" s="60">
        <f t="shared" si="226"/>
        <v>134535.70129999999</v>
      </c>
      <c r="DN47" s="59">
        <f t="shared" si="227"/>
        <v>444748.12135753996</v>
      </c>
      <c r="DO47" s="60">
        <f t="shared" si="228"/>
        <v>130124.69469999998</v>
      </c>
      <c r="DP47" s="59">
        <f t="shared" si="229"/>
        <v>430166.21573925996</v>
      </c>
      <c r="DQ47" s="55">
        <f t="shared" si="230"/>
        <v>125713.68809999997</v>
      </c>
      <c r="DR47" s="59">
        <f t="shared" si="231"/>
        <v>415584.31012097991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32"/>
        <v>0.91</v>
      </c>
      <c r="DZ47" s="55">
        <f t="shared" si="232"/>
        <v>0.89</v>
      </c>
      <c r="EA47" s="55">
        <f t="shared" si="232"/>
        <v>0.87</v>
      </c>
      <c r="EB47" s="55">
        <f t="shared" si="232"/>
        <v>0.85</v>
      </c>
      <c r="EC47" s="55">
        <f t="shared" si="232"/>
        <v>0.83</v>
      </c>
      <c r="ED47" s="55">
        <f t="shared" si="232"/>
        <v>0.80999999999999994</v>
      </c>
      <c r="EE47" s="55">
        <f t="shared" si="232"/>
        <v>0.78999999999999992</v>
      </c>
      <c r="EF47" s="55">
        <f t="shared" si="232"/>
        <v>0.76999999999999991</v>
      </c>
      <c r="EG47" s="55">
        <f t="shared" si="232"/>
        <v>0.74999999999999989</v>
      </c>
      <c r="EH47" s="55">
        <f t="shared" si="232"/>
        <v>0.72999999999999987</v>
      </c>
      <c r="EI47" s="55">
        <f t="shared" si="232"/>
        <v>0.70999999999999985</v>
      </c>
      <c r="EJ47" s="55">
        <f t="shared" si="232"/>
        <v>0.68999999999999984</v>
      </c>
      <c r="EK47" s="55">
        <f t="shared" si="232"/>
        <v>0.66999999999999982</v>
      </c>
      <c r="EL47" s="55">
        <f t="shared" si="232"/>
        <v>0.6499999999999998</v>
      </c>
      <c r="EM47" s="55">
        <f t="shared" si="232"/>
        <v>0.62999999999999978</v>
      </c>
      <c r="EN47" s="55">
        <f t="shared" si="232"/>
        <v>0.60999999999999976</v>
      </c>
      <c r="EO47" s="55">
        <f t="shared" si="232"/>
        <v>0.58999999999999975</v>
      </c>
      <c r="EP47" s="55">
        <f t="shared" si="232"/>
        <v>0.56999999999999973</v>
      </c>
      <c r="ER47" s="55">
        <f t="shared" si="141"/>
        <v>200700.80030000006</v>
      </c>
      <c r="ES47" s="55">
        <f t="shared" si="115"/>
        <v>200700.80030000006</v>
      </c>
      <c r="ET47" s="59">
        <f t="shared" si="233"/>
        <v>663476.70563174016</v>
      </c>
      <c r="EU47" s="55">
        <f t="shared" si="234"/>
        <v>194679.77629100005</v>
      </c>
      <c r="EV47" s="59">
        <f t="shared" si="235"/>
        <v>643572.40446278802</v>
      </c>
      <c r="EW47" s="55">
        <f t="shared" si="236"/>
        <v>190665.76028500005</v>
      </c>
      <c r="EX47" s="59">
        <f t="shared" si="237"/>
        <v>630302.87035015319</v>
      </c>
      <c r="EY47" s="55">
        <f t="shared" si="238"/>
        <v>186651.74427900006</v>
      </c>
      <c r="EZ47" s="59">
        <f t="shared" si="239"/>
        <v>617033.33623751847</v>
      </c>
      <c r="FA47" s="57">
        <f t="shared" si="240"/>
        <v>182637.72827300007</v>
      </c>
      <c r="FB47" s="59">
        <f t="shared" si="241"/>
        <v>603763.80212488363</v>
      </c>
      <c r="FC47" s="55">
        <f t="shared" si="242"/>
        <v>178623.71226700005</v>
      </c>
      <c r="FD47" s="59">
        <f t="shared" si="243"/>
        <v>590494.26801224879</v>
      </c>
      <c r="FE47" s="57">
        <f t="shared" si="244"/>
        <v>174609.69626100006</v>
      </c>
      <c r="FF47" s="59">
        <f t="shared" si="245"/>
        <v>577224.73389961408</v>
      </c>
      <c r="FG47" s="60">
        <f t="shared" si="246"/>
        <v>170595.68025500004</v>
      </c>
      <c r="FH47" s="59">
        <f t="shared" si="247"/>
        <v>563955.19978697912</v>
      </c>
      <c r="FI47" s="57">
        <f t="shared" si="248"/>
        <v>166581.66424900005</v>
      </c>
      <c r="FJ47" s="59">
        <f t="shared" si="249"/>
        <v>550685.6656743444</v>
      </c>
      <c r="FK47" s="55">
        <f t="shared" si="250"/>
        <v>162567.64824300003</v>
      </c>
      <c r="FL47" s="59">
        <f t="shared" si="251"/>
        <v>537416.13156170957</v>
      </c>
      <c r="FM47" s="60">
        <f t="shared" si="252"/>
        <v>158553.63223700004</v>
      </c>
      <c r="FN47" s="59">
        <f t="shared" si="253"/>
        <v>524146.59744907473</v>
      </c>
      <c r="FO47" s="60">
        <f t="shared" si="254"/>
        <v>154539.61623100002</v>
      </c>
      <c r="FP47" s="59">
        <f t="shared" si="255"/>
        <v>510877.0633364399</v>
      </c>
      <c r="FQ47" s="60">
        <f t="shared" si="256"/>
        <v>150525.60022500003</v>
      </c>
      <c r="FR47" s="59">
        <f t="shared" si="257"/>
        <v>497607.52922380512</v>
      </c>
      <c r="FS47" s="55">
        <f t="shared" si="258"/>
        <v>146511.58421900001</v>
      </c>
      <c r="FT47" s="59">
        <f t="shared" si="259"/>
        <v>484337.99511117022</v>
      </c>
      <c r="FU47" s="60">
        <f t="shared" si="260"/>
        <v>142497.56821300002</v>
      </c>
      <c r="FV47" s="59">
        <f t="shared" si="261"/>
        <v>471068.46099853551</v>
      </c>
      <c r="FW47" s="60">
        <f t="shared" si="262"/>
        <v>138483.552207</v>
      </c>
      <c r="FX47" s="59">
        <f t="shared" si="263"/>
        <v>457798.92688590061</v>
      </c>
      <c r="FY47" s="60">
        <f t="shared" si="264"/>
        <v>134469.53620100001</v>
      </c>
      <c r="FZ47" s="59">
        <f t="shared" si="265"/>
        <v>444529.39277326583</v>
      </c>
      <c r="GA47" s="60">
        <f t="shared" si="266"/>
        <v>130455.520195</v>
      </c>
      <c r="GB47" s="59">
        <f t="shared" si="267"/>
        <v>431259.858660631</v>
      </c>
      <c r="GC47" s="55">
        <f t="shared" si="268"/>
        <v>126441.504189</v>
      </c>
      <c r="GD47" s="59">
        <f t="shared" si="269"/>
        <v>417990.32454799622</v>
      </c>
      <c r="GE47" s="60">
        <f t="shared" si="270"/>
        <v>122427.48818299999</v>
      </c>
      <c r="GF47" s="59">
        <f t="shared" si="271"/>
        <v>404720.79043536138</v>
      </c>
      <c r="GG47" s="60">
        <f t="shared" si="272"/>
        <v>118413.47217699999</v>
      </c>
      <c r="GH47" s="59">
        <f t="shared" si="273"/>
        <v>391451.25632272655</v>
      </c>
      <c r="GI47" s="55">
        <f t="shared" si="274"/>
        <v>114399.45617099998</v>
      </c>
      <c r="GJ47" s="59">
        <f t="shared" si="275"/>
        <v>378181.72221009177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76"/>
        <v>0.91</v>
      </c>
      <c r="GR47" s="55">
        <f t="shared" si="276"/>
        <v>0.89</v>
      </c>
      <c r="GS47" s="55">
        <f t="shared" si="276"/>
        <v>0.87</v>
      </c>
      <c r="GT47" s="55">
        <f t="shared" si="276"/>
        <v>0.85</v>
      </c>
      <c r="GU47" s="55">
        <f t="shared" si="276"/>
        <v>0.83</v>
      </c>
      <c r="GV47" s="55">
        <f t="shared" si="276"/>
        <v>0.80999999999999994</v>
      </c>
      <c r="GW47" s="55">
        <f t="shared" si="276"/>
        <v>0.78999999999999992</v>
      </c>
      <c r="GX47" s="55">
        <f t="shared" si="276"/>
        <v>0.76999999999999991</v>
      </c>
      <c r="GY47" s="55">
        <f t="shared" si="276"/>
        <v>0.74999999999999989</v>
      </c>
      <c r="GZ47" s="55">
        <f t="shared" si="276"/>
        <v>0.72999999999999987</v>
      </c>
      <c r="HA47" s="55">
        <f t="shared" si="276"/>
        <v>0.70999999999999985</v>
      </c>
      <c r="HB47" s="55">
        <f t="shared" si="276"/>
        <v>0.68999999999999984</v>
      </c>
      <c r="HC47" s="55">
        <f t="shared" si="276"/>
        <v>0.66999999999999982</v>
      </c>
      <c r="HD47" s="55">
        <f t="shared" si="276"/>
        <v>0.6499999999999998</v>
      </c>
      <c r="HE47" s="55">
        <f t="shared" si="276"/>
        <v>0.62999999999999978</v>
      </c>
      <c r="HF47" s="55">
        <f t="shared" si="276"/>
        <v>0.60999999999999976</v>
      </c>
      <c r="HG47" s="55">
        <f t="shared" si="276"/>
        <v>0.58999999999999975</v>
      </c>
      <c r="HH47" s="55">
        <f t="shared" si="276"/>
        <v>0.56999999999999973</v>
      </c>
    </row>
    <row r="48" spans="1:216" x14ac:dyDescent="0.3">
      <c r="A48" s="2">
        <v>15</v>
      </c>
      <c r="C48" s="38" t="s">
        <v>149</v>
      </c>
      <c r="D48" s="42">
        <v>0</v>
      </c>
      <c r="E48" s="86">
        <f>TRUNC(+D48*3.3058,-1)</f>
        <v>0</v>
      </c>
      <c r="H48" s="55">
        <f t="shared" si="60"/>
        <v>0</v>
      </c>
      <c r="I48" s="55">
        <f t="shared" si="61"/>
        <v>0</v>
      </c>
      <c r="J48" s="59">
        <f t="shared" si="62"/>
        <v>0</v>
      </c>
      <c r="K48" s="55">
        <f t="shared" si="147"/>
        <v>0</v>
      </c>
      <c r="L48" s="59">
        <f t="shared" si="148"/>
        <v>0</v>
      </c>
      <c r="M48" s="55">
        <f t="shared" si="149"/>
        <v>0</v>
      </c>
      <c r="N48" s="59">
        <f t="shared" si="150"/>
        <v>0</v>
      </c>
      <c r="O48" s="55">
        <f t="shared" si="151"/>
        <v>0</v>
      </c>
      <c r="P48" s="59">
        <f t="shared" si="152"/>
        <v>0</v>
      </c>
      <c r="Q48" s="57">
        <f t="shared" si="153"/>
        <v>0</v>
      </c>
      <c r="R48" s="59">
        <f t="shared" si="154"/>
        <v>0</v>
      </c>
      <c r="S48" s="55">
        <f t="shared" si="155"/>
        <v>0</v>
      </c>
      <c r="T48" s="59">
        <f t="shared" si="156"/>
        <v>0</v>
      </c>
      <c r="U48" s="57">
        <f t="shared" si="157"/>
        <v>0</v>
      </c>
      <c r="V48" s="59">
        <f t="shared" si="158"/>
        <v>0</v>
      </c>
      <c r="W48" s="60">
        <f t="shared" si="159"/>
        <v>0</v>
      </c>
      <c r="X48" s="59">
        <f t="shared" si="160"/>
        <v>0</v>
      </c>
      <c r="Y48" s="57">
        <f t="shared" si="161"/>
        <v>0</v>
      </c>
      <c r="Z48" s="59">
        <f t="shared" si="162"/>
        <v>0</v>
      </c>
      <c r="AA48" s="55">
        <f t="shared" si="163"/>
        <v>0</v>
      </c>
      <c r="AB48" s="59">
        <f t="shared" si="164"/>
        <v>0</v>
      </c>
      <c r="AC48" s="60">
        <f t="shared" si="165"/>
        <v>0</v>
      </c>
      <c r="AD48" s="59">
        <f t="shared" si="166"/>
        <v>0</v>
      </c>
      <c r="AE48" s="60">
        <f t="shared" si="167"/>
        <v>0</v>
      </c>
      <c r="AF48" s="59">
        <f t="shared" si="168"/>
        <v>0</v>
      </c>
      <c r="AG48" s="60">
        <f t="shared" si="169"/>
        <v>0</v>
      </c>
      <c r="AH48" s="59">
        <f t="shared" si="170"/>
        <v>0</v>
      </c>
      <c r="AI48" s="55">
        <f t="shared" si="171"/>
        <v>0</v>
      </c>
      <c r="AJ48" s="59">
        <f t="shared" si="172"/>
        <v>0</v>
      </c>
      <c r="AK48" s="60">
        <f t="shared" si="173"/>
        <v>0</v>
      </c>
      <c r="AL48" s="59">
        <f t="shared" si="174"/>
        <v>0</v>
      </c>
      <c r="AM48" s="60">
        <f t="shared" si="175"/>
        <v>0</v>
      </c>
      <c r="AN48" s="59">
        <f t="shared" si="176"/>
        <v>0</v>
      </c>
      <c r="AO48" s="60">
        <f t="shared" si="177"/>
        <v>0</v>
      </c>
      <c r="AP48" s="59">
        <f t="shared" si="178"/>
        <v>0</v>
      </c>
      <c r="AQ48" s="60">
        <f t="shared" si="179"/>
        <v>0</v>
      </c>
      <c r="AR48" s="59">
        <f t="shared" si="180"/>
        <v>0</v>
      </c>
      <c r="AS48" s="55">
        <f t="shared" si="181"/>
        <v>0</v>
      </c>
      <c r="AT48" s="59">
        <f t="shared" si="182"/>
        <v>0</v>
      </c>
      <c r="AU48" s="60">
        <f t="shared" si="183"/>
        <v>0</v>
      </c>
      <c r="AV48" s="59">
        <f t="shared" si="184"/>
        <v>0</v>
      </c>
      <c r="AW48" s="60">
        <f t="shared" si="185"/>
        <v>0</v>
      </c>
      <c r="AX48" s="59">
        <f t="shared" si="186"/>
        <v>0</v>
      </c>
      <c r="AY48" s="55">
        <f t="shared" si="187"/>
        <v>0</v>
      </c>
      <c r="AZ48" s="59">
        <f t="shared" si="188"/>
        <v>0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278"/>
        <v>0.91</v>
      </c>
      <c r="BH48" s="55">
        <f t="shared" si="278"/>
        <v>0.89</v>
      </c>
      <c r="BI48" s="55">
        <f t="shared" si="278"/>
        <v>0.87</v>
      </c>
      <c r="BJ48" s="55">
        <f t="shared" si="278"/>
        <v>0.85</v>
      </c>
      <c r="BK48" s="55">
        <f t="shared" si="278"/>
        <v>0.83</v>
      </c>
      <c r="BL48" s="55">
        <f t="shared" si="278"/>
        <v>0.80999999999999994</v>
      </c>
      <c r="BM48" s="55">
        <f t="shared" si="278"/>
        <v>0.78999999999999992</v>
      </c>
      <c r="BN48" s="55">
        <f t="shared" si="278"/>
        <v>0.76999999999999991</v>
      </c>
      <c r="BO48" s="55">
        <f t="shared" si="278"/>
        <v>0.74999999999999989</v>
      </c>
      <c r="BP48" s="55">
        <f t="shared" si="278"/>
        <v>0.72999999999999987</v>
      </c>
      <c r="BQ48" s="55">
        <f t="shared" si="278"/>
        <v>0.70999999999999985</v>
      </c>
      <c r="BR48" s="55">
        <f t="shared" si="278"/>
        <v>0.68999999999999984</v>
      </c>
      <c r="BS48" s="55">
        <f t="shared" si="278"/>
        <v>0.66999999999999982</v>
      </c>
      <c r="BT48" s="55">
        <f t="shared" si="278"/>
        <v>0.6499999999999998</v>
      </c>
      <c r="BU48" s="55">
        <f t="shared" si="278"/>
        <v>0.62999999999999978</v>
      </c>
      <c r="BV48" s="55">
        <f t="shared" si="278"/>
        <v>0.60999999999999976</v>
      </c>
      <c r="BW48" s="55">
        <f t="shared" si="278"/>
        <v>0.58999999999999975</v>
      </c>
      <c r="BX48" s="55">
        <f t="shared" si="278"/>
        <v>0.56999999999999973</v>
      </c>
      <c r="BZ48" s="55">
        <f t="shared" si="87"/>
        <v>0</v>
      </c>
      <c r="CA48" s="55">
        <f t="shared" si="88"/>
        <v>0</v>
      </c>
      <c r="CB48" s="59">
        <f t="shared" si="189"/>
        <v>0</v>
      </c>
      <c r="CC48" s="55">
        <f t="shared" si="190"/>
        <v>0</v>
      </c>
      <c r="CD48" s="59">
        <f t="shared" si="191"/>
        <v>0</v>
      </c>
      <c r="CE48" s="55">
        <f t="shared" si="192"/>
        <v>0</v>
      </c>
      <c r="CF48" s="59">
        <f t="shared" si="193"/>
        <v>0</v>
      </c>
      <c r="CG48" s="55">
        <f t="shared" si="194"/>
        <v>0</v>
      </c>
      <c r="CH48" s="59">
        <f t="shared" si="195"/>
        <v>0</v>
      </c>
      <c r="CI48" s="57">
        <f t="shared" si="196"/>
        <v>0</v>
      </c>
      <c r="CJ48" s="59">
        <f t="shared" si="197"/>
        <v>0</v>
      </c>
      <c r="CK48" s="55">
        <f t="shared" si="198"/>
        <v>0</v>
      </c>
      <c r="CL48" s="59">
        <f t="shared" si="199"/>
        <v>0</v>
      </c>
      <c r="CM48" s="57">
        <f t="shared" si="200"/>
        <v>0</v>
      </c>
      <c r="CN48" s="59">
        <f t="shared" si="201"/>
        <v>0</v>
      </c>
      <c r="CO48" s="60">
        <f t="shared" si="202"/>
        <v>0</v>
      </c>
      <c r="CP48" s="59">
        <f t="shared" si="203"/>
        <v>0</v>
      </c>
      <c r="CQ48" s="57">
        <f t="shared" si="204"/>
        <v>0</v>
      </c>
      <c r="CR48" s="59">
        <f t="shared" si="205"/>
        <v>0</v>
      </c>
      <c r="CS48" s="55">
        <f t="shared" si="206"/>
        <v>0</v>
      </c>
      <c r="CT48" s="59">
        <f t="shared" si="207"/>
        <v>0</v>
      </c>
      <c r="CU48" s="60">
        <f t="shared" si="208"/>
        <v>0</v>
      </c>
      <c r="CV48" s="59">
        <f t="shared" si="209"/>
        <v>0</v>
      </c>
      <c r="CW48" s="60">
        <f t="shared" si="210"/>
        <v>0</v>
      </c>
      <c r="CX48" s="59">
        <f t="shared" si="211"/>
        <v>0</v>
      </c>
      <c r="CY48" s="60">
        <f t="shared" si="212"/>
        <v>0</v>
      </c>
      <c r="CZ48" s="59">
        <f t="shared" si="213"/>
        <v>0</v>
      </c>
      <c r="DA48" s="55">
        <f t="shared" si="214"/>
        <v>0</v>
      </c>
      <c r="DB48" s="59">
        <f t="shared" si="215"/>
        <v>0</v>
      </c>
      <c r="DC48" s="60">
        <f t="shared" si="216"/>
        <v>0</v>
      </c>
      <c r="DD48" s="59">
        <f t="shared" si="217"/>
        <v>0</v>
      </c>
      <c r="DE48" s="60">
        <f t="shared" si="218"/>
        <v>0</v>
      </c>
      <c r="DF48" s="59">
        <f t="shared" si="219"/>
        <v>0</v>
      </c>
      <c r="DG48" s="60">
        <f t="shared" si="220"/>
        <v>0</v>
      </c>
      <c r="DH48" s="59">
        <f t="shared" si="221"/>
        <v>0</v>
      </c>
      <c r="DI48" s="60">
        <f t="shared" si="222"/>
        <v>0</v>
      </c>
      <c r="DJ48" s="59">
        <f t="shared" si="223"/>
        <v>0</v>
      </c>
      <c r="DK48" s="55">
        <f t="shared" si="224"/>
        <v>0</v>
      </c>
      <c r="DL48" s="59">
        <f t="shared" si="225"/>
        <v>0</v>
      </c>
      <c r="DM48" s="60">
        <f t="shared" si="226"/>
        <v>0</v>
      </c>
      <c r="DN48" s="59">
        <f t="shared" si="227"/>
        <v>0</v>
      </c>
      <c r="DO48" s="60">
        <f t="shared" si="228"/>
        <v>0</v>
      </c>
      <c r="DP48" s="59">
        <f t="shared" si="229"/>
        <v>0</v>
      </c>
      <c r="DQ48" s="55">
        <f t="shared" si="230"/>
        <v>0</v>
      </c>
      <c r="DR48" s="59">
        <f t="shared" si="231"/>
        <v>0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32"/>
        <v>0.91</v>
      </c>
      <c r="DZ48" s="55">
        <f t="shared" si="232"/>
        <v>0.89</v>
      </c>
      <c r="EA48" s="55">
        <f t="shared" si="232"/>
        <v>0.87</v>
      </c>
      <c r="EB48" s="55">
        <f t="shared" ref="EB48:EP48" si="279">+EA48-0.02</f>
        <v>0.85</v>
      </c>
      <c r="EC48" s="55">
        <f t="shared" si="279"/>
        <v>0.83</v>
      </c>
      <c r="ED48" s="55">
        <f t="shared" si="279"/>
        <v>0.80999999999999994</v>
      </c>
      <c r="EE48" s="55">
        <f t="shared" si="279"/>
        <v>0.78999999999999992</v>
      </c>
      <c r="EF48" s="55">
        <f t="shared" si="279"/>
        <v>0.76999999999999991</v>
      </c>
      <c r="EG48" s="55">
        <f t="shared" si="279"/>
        <v>0.74999999999999989</v>
      </c>
      <c r="EH48" s="55">
        <f t="shared" si="279"/>
        <v>0.72999999999999987</v>
      </c>
      <c r="EI48" s="55">
        <f t="shared" si="279"/>
        <v>0.70999999999999985</v>
      </c>
      <c r="EJ48" s="55">
        <f t="shared" si="279"/>
        <v>0.68999999999999984</v>
      </c>
      <c r="EK48" s="55">
        <f t="shared" si="279"/>
        <v>0.66999999999999982</v>
      </c>
      <c r="EL48" s="55">
        <f t="shared" si="279"/>
        <v>0.6499999999999998</v>
      </c>
      <c r="EM48" s="55">
        <f t="shared" si="279"/>
        <v>0.62999999999999978</v>
      </c>
      <c r="EN48" s="55">
        <f t="shared" si="279"/>
        <v>0.60999999999999976</v>
      </c>
      <c r="EO48" s="55">
        <f t="shared" si="279"/>
        <v>0.58999999999999975</v>
      </c>
      <c r="EP48" s="55">
        <f t="shared" si="279"/>
        <v>0.56999999999999973</v>
      </c>
      <c r="ER48" s="55">
        <f t="shared" si="141"/>
        <v>0</v>
      </c>
      <c r="ES48" s="55">
        <f t="shared" si="115"/>
        <v>0</v>
      </c>
      <c r="ET48" s="59">
        <f t="shared" si="233"/>
        <v>0</v>
      </c>
      <c r="EU48" s="55">
        <f t="shared" si="234"/>
        <v>0</v>
      </c>
      <c r="EV48" s="59">
        <f t="shared" si="235"/>
        <v>0</v>
      </c>
      <c r="EW48" s="55">
        <f t="shared" si="236"/>
        <v>0</v>
      </c>
      <c r="EX48" s="59">
        <f t="shared" si="237"/>
        <v>0</v>
      </c>
      <c r="EY48" s="55">
        <f t="shared" si="238"/>
        <v>0</v>
      </c>
      <c r="EZ48" s="59">
        <f t="shared" si="239"/>
        <v>0</v>
      </c>
      <c r="FA48" s="57">
        <f t="shared" si="240"/>
        <v>0</v>
      </c>
      <c r="FB48" s="59">
        <f t="shared" si="241"/>
        <v>0</v>
      </c>
      <c r="FC48" s="55">
        <f t="shared" si="242"/>
        <v>0</v>
      </c>
      <c r="FD48" s="59">
        <f t="shared" si="243"/>
        <v>0</v>
      </c>
      <c r="FE48" s="57">
        <f t="shared" si="244"/>
        <v>0</v>
      </c>
      <c r="FF48" s="59">
        <f t="shared" si="245"/>
        <v>0</v>
      </c>
      <c r="FG48" s="60">
        <f t="shared" si="246"/>
        <v>0</v>
      </c>
      <c r="FH48" s="59">
        <f t="shared" si="247"/>
        <v>0</v>
      </c>
      <c r="FI48" s="57">
        <f t="shared" si="248"/>
        <v>0</v>
      </c>
      <c r="FJ48" s="59">
        <f t="shared" si="249"/>
        <v>0</v>
      </c>
      <c r="FK48" s="55">
        <f t="shared" si="250"/>
        <v>0</v>
      </c>
      <c r="FL48" s="59">
        <f t="shared" si="251"/>
        <v>0</v>
      </c>
      <c r="FM48" s="60">
        <f t="shared" si="252"/>
        <v>0</v>
      </c>
      <c r="FN48" s="59">
        <f t="shared" si="253"/>
        <v>0</v>
      </c>
      <c r="FO48" s="60">
        <f t="shared" si="254"/>
        <v>0</v>
      </c>
      <c r="FP48" s="59">
        <f t="shared" si="255"/>
        <v>0</v>
      </c>
      <c r="FQ48" s="60">
        <f t="shared" si="256"/>
        <v>0</v>
      </c>
      <c r="FR48" s="59">
        <f t="shared" si="257"/>
        <v>0</v>
      </c>
      <c r="FS48" s="55">
        <f t="shared" si="258"/>
        <v>0</v>
      </c>
      <c r="FT48" s="59">
        <f t="shared" si="259"/>
        <v>0</v>
      </c>
      <c r="FU48" s="60">
        <f t="shared" si="260"/>
        <v>0</v>
      </c>
      <c r="FV48" s="59">
        <f t="shared" si="261"/>
        <v>0</v>
      </c>
      <c r="FW48" s="60">
        <f t="shared" si="262"/>
        <v>0</v>
      </c>
      <c r="FX48" s="59">
        <f t="shared" si="263"/>
        <v>0</v>
      </c>
      <c r="FY48" s="60">
        <f t="shared" si="264"/>
        <v>0</v>
      </c>
      <c r="FZ48" s="59">
        <f t="shared" si="265"/>
        <v>0</v>
      </c>
      <c r="GA48" s="60">
        <f t="shared" si="266"/>
        <v>0</v>
      </c>
      <c r="GB48" s="59">
        <f t="shared" si="267"/>
        <v>0</v>
      </c>
      <c r="GC48" s="55">
        <f t="shared" si="268"/>
        <v>0</v>
      </c>
      <c r="GD48" s="59">
        <f t="shared" si="269"/>
        <v>0</v>
      </c>
      <c r="GE48" s="60">
        <f t="shared" si="270"/>
        <v>0</v>
      </c>
      <c r="GF48" s="59">
        <f t="shared" si="271"/>
        <v>0</v>
      </c>
      <c r="GG48" s="60">
        <f t="shared" si="272"/>
        <v>0</v>
      </c>
      <c r="GH48" s="59">
        <f t="shared" si="273"/>
        <v>0</v>
      </c>
      <c r="GI48" s="55">
        <f t="shared" si="274"/>
        <v>0</v>
      </c>
      <c r="GJ48" s="59">
        <f t="shared" si="275"/>
        <v>0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76"/>
        <v>0.91</v>
      </c>
      <c r="GR48" s="55">
        <f t="shared" si="276"/>
        <v>0.89</v>
      </c>
      <c r="GS48" s="55">
        <f t="shared" si="276"/>
        <v>0.87</v>
      </c>
      <c r="GT48" s="55">
        <f t="shared" ref="GT48:HH48" si="280">+GS48-0.02</f>
        <v>0.85</v>
      </c>
      <c r="GU48" s="55">
        <f t="shared" si="280"/>
        <v>0.83</v>
      </c>
      <c r="GV48" s="55">
        <f t="shared" si="280"/>
        <v>0.80999999999999994</v>
      </c>
      <c r="GW48" s="55">
        <f t="shared" si="280"/>
        <v>0.78999999999999992</v>
      </c>
      <c r="GX48" s="55">
        <f t="shared" si="280"/>
        <v>0.76999999999999991</v>
      </c>
      <c r="GY48" s="55">
        <f t="shared" si="280"/>
        <v>0.74999999999999989</v>
      </c>
      <c r="GZ48" s="55">
        <f t="shared" si="280"/>
        <v>0.72999999999999987</v>
      </c>
      <c r="HA48" s="55">
        <f t="shared" si="280"/>
        <v>0.70999999999999985</v>
      </c>
      <c r="HB48" s="55">
        <f t="shared" si="280"/>
        <v>0.68999999999999984</v>
      </c>
      <c r="HC48" s="55">
        <f t="shared" si="280"/>
        <v>0.66999999999999982</v>
      </c>
      <c r="HD48" s="55">
        <f t="shared" si="280"/>
        <v>0.6499999999999998</v>
      </c>
      <c r="HE48" s="55">
        <f t="shared" si="280"/>
        <v>0.62999999999999978</v>
      </c>
      <c r="HF48" s="55">
        <f t="shared" si="280"/>
        <v>0.60999999999999976</v>
      </c>
      <c r="HG48" s="55">
        <f t="shared" si="280"/>
        <v>0.58999999999999975</v>
      </c>
      <c r="HH48" s="55">
        <f t="shared" si="280"/>
        <v>0.56999999999999973</v>
      </c>
    </row>
    <row r="49" spans="1:216" x14ac:dyDescent="0.3">
      <c r="A49" s="2">
        <v>16</v>
      </c>
      <c r="C49" s="38" t="s">
        <v>146</v>
      </c>
      <c r="D49" s="42">
        <v>0</v>
      </c>
      <c r="E49" s="86">
        <f>TRUNC(+D49*3.3058,-1)</f>
        <v>0</v>
      </c>
      <c r="H49" s="55">
        <f t="shared" si="60"/>
        <v>0</v>
      </c>
      <c r="I49" s="55">
        <f t="shared" si="61"/>
        <v>0</v>
      </c>
      <c r="J49" s="59">
        <f t="shared" si="62"/>
        <v>0</v>
      </c>
      <c r="K49" s="55">
        <f t="shared" si="147"/>
        <v>0</v>
      </c>
      <c r="L49" s="59">
        <f t="shared" si="148"/>
        <v>0</v>
      </c>
      <c r="M49" s="55">
        <f t="shared" si="149"/>
        <v>0</v>
      </c>
      <c r="N49" s="59">
        <f t="shared" si="150"/>
        <v>0</v>
      </c>
      <c r="O49" s="55">
        <f t="shared" si="151"/>
        <v>0</v>
      </c>
      <c r="P49" s="59">
        <f t="shared" si="152"/>
        <v>0</v>
      </c>
      <c r="Q49" s="57">
        <f t="shared" si="153"/>
        <v>0</v>
      </c>
      <c r="R49" s="59">
        <f t="shared" si="154"/>
        <v>0</v>
      </c>
      <c r="S49" s="55">
        <f t="shared" si="155"/>
        <v>0</v>
      </c>
      <c r="T49" s="59">
        <f t="shared" si="156"/>
        <v>0</v>
      </c>
      <c r="U49" s="57">
        <f t="shared" si="157"/>
        <v>0</v>
      </c>
      <c r="V49" s="59">
        <f t="shared" si="158"/>
        <v>0</v>
      </c>
      <c r="W49" s="60">
        <f t="shared" si="159"/>
        <v>0</v>
      </c>
      <c r="X49" s="59">
        <f t="shared" si="160"/>
        <v>0</v>
      </c>
      <c r="Y49" s="57">
        <f t="shared" si="161"/>
        <v>0</v>
      </c>
      <c r="Z49" s="59">
        <f t="shared" si="162"/>
        <v>0</v>
      </c>
      <c r="AA49" s="55">
        <f t="shared" si="163"/>
        <v>0</v>
      </c>
      <c r="AB49" s="59">
        <f t="shared" si="164"/>
        <v>0</v>
      </c>
      <c r="AC49" s="60">
        <f t="shared" si="165"/>
        <v>0</v>
      </c>
      <c r="AD49" s="59">
        <f t="shared" si="166"/>
        <v>0</v>
      </c>
      <c r="AE49" s="60">
        <f t="shared" si="167"/>
        <v>0</v>
      </c>
      <c r="AF49" s="59">
        <f t="shared" si="168"/>
        <v>0</v>
      </c>
      <c r="AG49" s="60">
        <f t="shared" si="169"/>
        <v>0</v>
      </c>
      <c r="AH49" s="59">
        <f t="shared" si="170"/>
        <v>0</v>
      </c>
      <c r="AI49" s="55">
        <f t="shared" si="171"/>
        <v>0</v>
      </c>
      <c r="AJ49" s="59">
        <f t="shared" si="172"/>
        <v>0</v>
      </c>
      <c r="AK49" s="60">
        <f t="shared" si="173"/>
        <v>0</v>
      </c>
      <c r="AL49" s="59">
        <f t="shared" si="174"/>
        <v>0</v>
      </c>
      <c r="AM49" s="60">
        <f t="shared" si="175"/>
        <v>0</v>
      </c>
      <c r="AN49" s="59">
        <f t="shared" si="176"/>
        <v>0</v>
      </c>
      <c r="AO49" s="60">
        <f t="shared" si="177"/>
        <v>0</v>
      </c>
      <c r="AP49" s="59">
        <f t="shared" si="178"/>
        <v>0</v>
      </c>
      <c r="AQ49" s="60">
        <f t="shared" si="179"/>
        <v>0</v>
      </c>
      <c r="AR49" s="59">
        <f t="shared" si="180"/>
        <v>0</v>
      </c>
      <c r="AS49" s="55">
        <f t="shared" si="181"/>
        <v>0</v>
      </c>
      <c r="AT49" s="59">
        <f t="shared" si="182"/>
        <v>0</v>
      </c>
      <c r="AU49" s="60">
        <f t="shared" si="183"/>
        <v>0</v>
      </c>
      <c r="AV49" s="59">
        <f t="shared" si="184"/>
        <v>0</v>
      </c>
      <c r="AW49" s="60">
        <f t="shared" si="185"/>
        <v>0</v>
      </c>
      <c r="AX49" s="59">
        <f t="shared" si="186"/>
        <v>0</v>
      </c>
      <c r="AY49" s="55">
        <f t="shared" si="187"/>
        <v>0</v>
      </c>
      <c r="AZ49" s="59">
        <f t="shared" si="188"/>
        <v>0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278"/>
        <v>0.91</v>
      </c>
      <c r="BH49" s="55">
        <f t="shared" si="278"/>
        <v>0.89</v>
      </c>
      <c r="BI49" s="55">
        <f t="shared" si="278"/>
        <v>0.87</v>
      </c>
      <c r="BJ49" s="55">
        <f t="shared" si="278"/>
        <v>0.85</v>
      </c>
      <c r="BK49" s="55">
        <f t="shared" si="278"/>
        <v>0.83</v>
      </c>
      <c r="BL49" s="55">
        <f t="shared" si="278"/>
        <v>0.80999999999999994</v>
      </c>
      <c r="BM49" s="55">
        <f t="shared" si="278"/>
        <v>0.78999999999999992</v>
      </c>
      <c r="BN49" s="55">
        <f t="shared" si="278"/>
        <v>0.76999999999999991</v>
      </c>
      <c r="BO49" s="55">
        <f t="shared" si="278"/>
        <v>0.74999999999999989</v>
      </c>
      <c r="BP49" s="55">
        <f t="shared" si="278"/>
        <v>0.72999999999999987</v>
      </c>
      <c r="BQ49" s="55">
        <f t="shared" si="278"/>
        <v>0.70999999999999985</v>
      </c>
      <c r="BR49" s="55">
        <f t="shared" si="278"/>
        <v>0.68999999999999984</v>
      </c>
      <c r="BS49" s="55">
        <f t="shared" si="278"/>
        <v>0.66999999999999982</v>
      </c>
      <c r="BT49" s="55">
        <f t="shared" si="278"/>
        <v>0.6499999999999998</v>
      </c>
      <c r="BU49" s="55">
        <f t="shared" si="278"/>
        <v>0.62999999999999978</v>
      </c>
      <c r="BV49" s="55">
        <f t="shared" si="278"/>
        <v>0.60999999999999976</v>
      </c>
      <c r="BW49" s="55">
        <f t="shared" si="278"/>
        <v>0.58999999999999975</v>
      </c>
      <c r="BX49" s="55">
        <f t="shared" si="278"/>
        <v>0.56999999999999973</v>
      </c>
      <c r="BZ49" s="55">
        <f t="shared" si="87"/>
        <v>0</v>
      </c>
      <c r="CA49" s="55">
        <f t="shared" si="88"/>
        <v>0</v>
      </c>
      <c r="CB49" s="59">
        <f t="shared" si="189"/>
        <v>0</v>
      </c>
      <c r="CC49" s="55">
        <f t="shared" si="190"/>
        <v>0</v>
      </c>
      <c r="CD49" s="59">
        <f t="shared" si="191"/>
        <v>0</v>
      </c>
      <c r="CE49" s="55">
        <f t="shared" si="192"/>
        <v>0</v>
      </c>
      <c r="CF49" s="59">
        <f t="shared" si="193"/>
        <v>0</v>
      </c>
      <c r="CG49" s="55">
        <f t="shared" si="194"/>
        <v>0</v>
      </c>
      <c r="CH49" s="59">
        <f t="shared" si="195"/>
        <v>0</v>
      </c>
      <c r="CI49" s="57">
        <f t="shared" si="196"/>
        <v>0</v>
      </c>
      <c r="CJ49" s="59">
        <f t="shared" si="197"/>
        <v>0</v>
      </c>
      <c r="CK49" s="55">
        <f t="shared" si="198"/>
        <v>0</v>
      </c>
      <c r="CL49" s="59">
        <f t="shared" si="199"/>
        <v>0</v>
      </c>
      <c r="CM49" s="57">
        <f t="shared" si="200"/>
        <v>0</v>
      </c>
      <c r="CN49" s="59">
        <f t="shared" si="201"/>
        <v>0</v>
      </c>
      <c r="CO49" s="60">
        <f t="shared" si="202"/>
        <v>0</v>
      </c>
      <c r="CP49" s="59">
        <f t="shared" si="203"/>
        <v>0</v>
      </c>
      <c r="CQ49" s="57">
        <f t="shared" si="204"/>
        <v>0</v>
      </c>
      <c r="CR49" s="59">
        <f t="shared" si="205"/>
        <v>0</v>
      </c>
      <c r="CS49" s="55">
        <f t="shared" si="206"/>
        <v>0</v>
      </c>
      <c r="CT49" s="59">
        <f t="shared" si="207"/>
        <v>0</v>
      </c>
      <c r="CU49" s="60">
        <f t="shared" si="208"/>
        <v>0</v>
      </c>
      <c r="CV49" s="59">
        <f t="shared" si="209"/>
        <v>0</v>
      </c>
      <c r="CW49" s="60">
        <f t="shared" si="210"/>
        <v>0</v>
      </c>
      <c r="CX49" s="59">
        <f t="shared" si="211"/>
        <v>0</v>
      </c>
      <c r="CY49" s="60">
        <f t="shared" si="212"/>
        <v>0</v>
      </c>
      <c r="CZ49" s="59">
        <f t="shared" si="213"/>
        <v>0</v>
      </c>
      <c r="DA49" s="55">
        <f t="shared" si="214"/>
        <v>0</v>
      </c>
      <c r="DB49" s="59">
        <f t="shared" si="215"/>
        <v>0</v>
      </c>
      <c r="DC49" s="60">
        <f t="shared" si="216"/>
        <v>0</v>
      </c>
      <c r="DD49" s="59">
        <f t="shared" si="217"/>
        <v>0</v>
      </c>
      <c r="DE49" s="60">
        <f t="shared" si="218"/>
        <v>0</v>
      </c>
      <c r="DF49" s="59">
        <f t="shared" si="219"/>
        <v>0</v>
      </c>
      <c r="DG49" s="60">
        <f t="shared" si="220"/>
        <v>0</v>
      </c>
      <c r="DH49" s="59">
        <f t="shared" si="221"/>
        <v>0</v>
      </c>
      <c r="DI49" s="60">
        <f t="shared" si="222"/>
        <v>0</v>
      </c>
      <c r="DJ49" s="59">
        <f t="shared" si="223"/>
        <v>0</v>
      </c>
      <c r="DK49" s="55">
        <f t="shared" si="224"/>
        <v>0</v>
      </c>
      <c r="DL49" s="59">
        <f t="shared" si="225"/>
        <v>0</v>
      </c>
      <c r="DM49" s="60">
        <f t="shared" si="226"/>
        <v>0</v>
      </c>
      <c r="DN49" s="59">
        <f t="shared" si="227"/>
        <v>0</v>
      </c>
      <c r="DO49" s="60">
        <f t="shared" si="228"/>
        <v>0</v>
      </c>
      <c r="DP49" s="59">
        <f t="shared" si="229"/>
        <v>0</v>
      </c>
      <c r="DQ49" s="55">
        <f t="shared" si="230"/>
        <v>0</v>
      </c>
      <c r="DR49" s="59">
        <f t="shared" si="231"/>
        <v>0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ref="DY49:EP63" si="281">+DX49-0.02</f>
        <v>0.91</v>
      </c>
      <c r="DZ49" s="55">
        <f t="shared" si="281"/>
        <v>0.89</v>
      </c>
      <c r="EA49" s="55">
        <f t="shared" si="281"/>
        <v>0.87</v>
      </c>
      <c r="EB49" s="55">
        <f t="shared" si="281"/>
        <v>0.85</v>
      </c>
      <c r="EC49" s="55">
        <f t="shared" si="281"/>
        <v>0.83</v>
      </c>
      <c r="ED49" s="55">
        <f t="shared" si="281"/>
        <v>0.80999999999999994</v>
      </c>
      <c r="EE49" s="55">
        <f t="shared" si="281"/>
        <v>0.78999999999999992</v>
      </c>
      <c r="EF49" s="55">
        <f t="shared" si="281"/>
        <v>0.76999999999999991</v>
      </c>
      <c r="EG49" s="55">
        <f t="shared" si="281"/>
        <v>0.74999999999999989</v>
      </c>
      <c r="EH49" s="55">
        <f t="shared" si="281"/>
        <v>0.72999999999999987</v>
      </c>
      <c r="EI49" s="55">
        <f t="shared" si="281"/>
        <v>0.70999999999999985</v>
      </c>
      <c r="EJ49" s="55">
        <f t="shared" si="281"/>
        <v>0.68999999999999984</v>
      </c>
      <c r="EK49" s="55">
        <f t="shared" si="281"/>
        <v>0.66999999999999982</v>
      </c>
      <c r="EL49" s="55">
        <f t="shared" si="281"/>
        <v>0.6499999999999998</v>
      </c>
      <c r="EM49" s="55">
        <f t="shared" si="281"/>
        <v>0.62999999999999978</v>
      </c>
      <c r="EN49" s="55">
        <f t="shared" si="281"/>
        <v>0.60999999999999976</v>
      </c>
      <c r="EO49" s="55">
        <f t="shared" si="281"/>
        <v>0.58999999999999975</v>
      </c>
      <c r="EP49" s="55">
        <f t="shared" si="281"/>
        <v>0.56999999999999973</v>
      </c>
      <c r="ER49" s="55">
        <f t="shared" si="141"/>
        <v>0</v>
      </c>
      <c r="ES49" s="55">
        <f t="shared" si="115"/>
        <v>0</v>
      </c>
      <c r="ET49" s="59">
        <f t="shared" si="233"/>
        <v>0</v>
      </c>
      <c r="EU49" s="55">
        <f t="shared" si="234"/>
        <v>0</v>
      </c>
      <c r="EV49" s="59">
        <f t="shared" si="235"/>
        <v>0</v>
      </c>
      <c r="EW49" s="55">
        <f t="shared" si="236"/>
        <v>0</v>
      </c>
      <c r="EX49" s="59">
        <f t="shared" si="237"/>
        <v>0</v>
      </c>
      <c r="EY49" s="55">
        <f t="shared" si="238"/>
        <v>0</v>
      </c>
      <c r="EZ49" s="59">
        <f t="shared" si="239"/>
        <v>0</v>
      </c>
      <c r="FA49" s="57">
        <f t="shared" si="240"/>
        <v>0</v>
      </c>
      <c r="FB49" s="59">
        <f t="shared" si="241"/>
        <v>0</v>
      </c>
      <c r="FC49" s="55">
        <f t="shared" si="242"/>
        <v>0</v>
      </c>
      <c r="FD49" s="59">
        <f t="shared" si="243"/>
        <v>0</v>
      </c>
      <c r="FE49" s="57">
        <f t="shared" si="244"/>
        <v>0</v>
      </c>
      <c r="FF49" s="59">
        <f t="shared" si="245"/>
        <v>0</v>
      </c>
      <c r="FG49" s="60">
        <f t="shared" si="246"/>
        <v>0</v>
      </c>
      <c r="FH49" s="59">
        <f t="shared" si="247"/>
        <v>0</v>
      </c>
      <c r="FI49" s="57">
        <f t="shared" si="248"/>
        <v>0</v>
      </c>
      <c r="FJ49" s="59">
        <f t="shared" si="249"/>
        <v>0</v>
      </c>
      <c r="FK49" s="55">
        <f t="shared" si="250"/>
        <v>0</v>
      </c>
      <c r="FL49" s="59">
        <f t="shared" si="251"/>
        <v>0</v>
      </c>
      <c r="FM49" s="60">
        <f t="shared" si="252"/>
        <v>0</v>
      </c>
      <c r="FN49" s="59">
        <f t="shared" si="253"/>
        <v>0</v>
      </c>
      <c r="FO49" s="60">
        <f t="shared" si="254"/>
        <v>0</v>
      </c>
      <c r="FP49" s="59">
        <f t="shared" si="255"/>
        <v>0</v>
      </c>
      <c r="FQ49" s="60">
        <f t="shared" si="256"/>
        <v>0</v>
      </c>
      <c r="FR49" s="59">
        <f t="shared" si="257"/>
        <v>0</v>
      </c>
      <c r="FS49" s="55">
        <f t="shared" si="258"/>
        <v>0</v>
      </c>
      <c r="FT49" s="59">
        <f t="shared" si="259"/>
        <v>0</v>
      </c>
      <c r="FU49" s="60">
        <f t="shared" si="260"/>
        <v>0</v>
      </c>
      <c r="FV49" s="59">
        <f t="shared" si="261"/>
        <v>0</v>
      </c>
      <c r="FW49" s="60">
        <f t="shared" si="262"/>
        <v>0</v>
      </c>
      <c r="FX49" s="59">
        <f t="shared" si="263"/>
        <v>0</v>
      </c>
      <c r="FY49" s="60">
        <f t="shared" si="264"/>
        <v>0</v>
      </c>
      <c r="FZ49" s="59">
        <f t="shared" si="265"/>
        <v>0</v>
      </c>
      <c r="GA49" s="60">
        <f t="shared" si="266"/>
        <v>0</v>
      </c>
      <c r="GB49" s="59">
        <f t="shared" si="267"/>
        <v>0</v>
      </c>
      <c r="GC49" s="55">
        <f t="shared" si="268"/>
        <v>0</v>
      </c>
      <c r="GD49" s="59">
        <f t="shared" si="269"/>
        <v>0</v>
      </c>
      <c r="GE49" s="60">
        <f t="shared" si="270"/>
        <v>0</v>
      </c>
      <c r="GF49" s="59">
        <f t="shared" si="271"/>
        <v>0</v>
      </c>
      <c r="GG49" s="60">
        <f t="shared" si="272"/>
        <v>0</v>
      </c>
      <c r="GH49" s="59">
        <f t="shared" si="273"/>
        <v>0</v>
      </c>
      <c r="GI49" s="55">
        <f t="shared" si="274"/>
        <v>0</v>
      </c>
      <c r="GJ49" s="59">
        <f t="shared" si="275"/>
        <v>0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ref="GQ49:HH63" si="282">+GP49-0.02</f>
        <v>0.91</v>
      </c>
      <c r="GR49" s="55">
        <f t="shared" si="282"/>
        <v>0.89</v>
      </c>
      <c r="GS49" s="55">
        <f t="shared" si="282"/>
        <v>0.87</v>
      </c>
      <c r="GT49" s="55">
        <f t="shared" si="282"/>
        <v>0.85</v>
      </c>
      <c r="GU49" s="55">
        <f t="shared" si="282"/>
        <v>0.83</v>
      </c>
      <c r="GV49" s="55">
        <f t="shared" si="282"/>
        <v>0.80999999999999994</v>
      </c>
      <c r="GW49" s="55">
        <f t="shared" si="282"/>
        <v>0.78999999999999992</v>
      </c>
      <c r="GX49" s="55">
        <f t="shared" si="282"/>
        <v>0.76999999999999991</v>
      </c>
      <c r="GY49" s="55">
        <f t="shared" si="282"/>
        <v>0.74999999999999989</v>
      </c>
      <c r="GZ49" s="55">
        <f t="shared" si="282"/>
        <v>0.72999999999999987</v>
      </c>
      <c r="HA49" s="55">
        <f t="shared" si="282"/>
        <v>0.70999999999999985</v>
      </c>
      <c r="HB49" s="55">
        <f t="shared" si="282"/>
        <v>0.68999999999999984</v>
      </c>
      <c r="HC49" s="55">
        <f t="shared" si="282"/>
        <v>0.66999999999999982</v>
      </c>
      <c r="HD49" s="55">
        <f t="shared" si="282"/>
        <v>0.6499999999999998</v>
      </c>
      <c r="HE49" s="55">
        <f t="shared" si="282"/>
        <v>0.62999999999999978</v>
      </c>
      <c r="HF49" s="55">
        <f t="shared" si="282"/>
        <v>0.60999999999999976</v>
      </c>
      <c r="HG49" s="55">
        <f t="shared" si="282"/>
        <v>0.58999999999999975</v>
      </c>
      <c r="HH49" s="55">
        <f t="shared" si="282"/>
        <v>0.56999999999999973</v>
      </c>
    </row>
    <row r="50" spans="1:216" x14ac:dyDescent="0.3">
      <c r="A50" s="2">
        <v>17</v>
      </c>
      <c r="C50" s="38" t="s">
        <v>147</v>
      </c>
      <c r="D50" s="42">
        <v>0</v>
      </c>
      <c r="E50" s="86">
        <f>TRUNC(+D50*3.3058,-1)</f>
        <v>0</v>
      </c>
      <c r="H50" s="55">
        <f t="shared" si="60"/>
        <v>0</v>
      </c>
      <c r="I50" s="55">
        <f t="shared" si="61"/>
        <v>0</v>
      </c>
      <c r="J50" s="59">
        <f t="shared" si="62"/>
        <v>0</v>
      </c>
      <c r="K50" s="55">
        <f t="shared" si="147"/>
        <v>0</v>
      </c>
      <c r="L50" s="59">
        <f t="shared" si="148"/>
        <v>0</v>
      </c>
      <c r="M50" s="55">
        <f t="shared" si="149"/>
        <v>0</v>
      </c>
      <c r="N50" s="59">
        <f t="shared" si="150"/>
        <v>0</v>
      </c>
      <c r="O50" s="55">
        <f t="shared" si="151"/>
        <v>0</v>
      </c>
      <c r="P50" s="59">
        <f t="shared" si="152"/>
        <v>0</v>
      </c>
      <c r="Q50" s="57">
        <f t="shared" si="153"/>
        <v>0</v>
      </c>
      <c r="R50" s="59">
        <f t="shared" si="154"/>
        <v>0</v>
      </c>
      <c r="S50" s="55">
        <f t="shared" si="155"/>
        <v>0</v>
      </c>
      <c r="T50" s="59">
        <f t="shared" si="156"/>
        <v>0</v>
      </c>
      <c r="U50" s="57">
        <f t="shared" si="157"/>
        <v>0</v>
      </c>
      <c r="V50" s="59">
        <f t="shared" si="158"/>
        <v>0</v>
      </c>
      <c r="W50" s="60">
        <f t="shared" si="159"/>
        <v>0</v>
      </c>
      <c r="X50" s="59">
        <f t="shared" si="160"/>
        <v>0</v>
      </c>
      <c r="Y50" s="57">
        <f t="shared" si="161"/>
        <v>0</v>
      </c>
      <c r="Z50" s="59">
        <f t="shared" si="162"/>
        <v>0</v>
      </c>
      <c r="AA50" s="55">
        <f t="shared" si="163"/>
        <v>0</v>
      </c>
      <c r="AB50" s="59">
        <f t="shared" si="164"/>
        <v>0</v>
      </c>
      <c r="AC50" s="60">
        <f t="shared" si="165"/>
        <v>0</v>
      </c>
      <c r="AD50" s="59">
        <f t="shared" si="166"/>
        <v>0</v>
      </c>
      <c r="AE50" s="60">
        <f t="shared" si="167"/>
        <v>0</v>
      </c>
      <c r="AF50" s="59">
        <f t="shared" si="168"/>
        <v>0</v>
      </c>
      <c r="AG50" s="60">
        <f t="shared" si="169"/>
        <v>0</v>
      </c>
      <c r="AH50" s="59">
        <f t="shared" si="170"/>
        <v>0</v>
      </c>
      <c r="AI50" s="55">
        <f t="shared" si="171"/>
        <v>0</v>
      </c>
      <c r="AJ50" s="59">
        <f t="shared" si="172"/>
        <v>0</v>
      </c>
      <c r="AK50" s="60">
        <f t="shared" si="173"/>
        <v>0</v>
      </c>
      <c r="AL50" s="59">
        <f t="shared" si="174"/>
        <v>0</v>
      </c>
      <c r="AM50" s="60">
        <f t="shared" si="175"/>
        <v>0</v>
      </c>
      <c r="AN50" s="59">
        <f t="shared" si="176"/>
        <v>0</v>
      </c>
      <c r="AO50" s="60">
        <f t="shared" si="177"/>
        <v>0</v>
      </c>
      <c r="AP50" s="59">
        <f t="shared" si="178"/>
        <v>0</v>
      </c>
      <c r="AQ50" s="60">
        <f t="shared" si="179"/>
        <v>0</v>
      </c>
      <c r="AR50" s="59">
        <f t="shared" si="180"/>
        <v>0</v>
      </c>
      <c r="AS50" s="55">
        <f t="shared" si="181"/>
        <v>0</v>
      </c>
      <c r="AT50" s="59">
        <f t="shared" si="182"/>
        <v>0</v>
      </c>
      <c r="AU50" s="60">
        <f t="shared" si="183"/>
        <v>0</v>
      </c>
      <c r="AV50" s="59">
        <f t="shared" si="184"/>
        <v>0</v>
      </c>
      <c r="AW50" s="60">
        <f t="shared" si="185"/>
        <v>0</v>
      </c>
      <c r="AX50" s="59">
        <f t="shared" si="186"/>
        <v>0</v>
      </c>
      <c r="AY50" s="55">
        <f t="shared" si="187"/>
        <v>0</v>
      </c>
      <c r="AZ50" s="59">
        <f t="shared" si="188"/>
        <v>0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278"/>
        <v>0.91</v>
      </c>
      <c r="BH50" s="55">
        <f t="shared" si="278"/>
        <v>0.89</v>
      </c>
      <c r="BI50" s="55">
        <f t="shared" si="278"/>
        <v>0.87</v>
      </c>
      <c r="BJ50" s="55">
        <f t="shared" si="278"/>
        <v>0.85</v>
      </c>
      <c r="BK50" s="55">
        <f t="shared" si="278"/>
        <v>0.83</v>
      </c>
      <c r="BL50" s="55">
        <f t="shared" si="278"/>
        <v>0.80999999999999994</v>
      </c>
      <c r="BM50" s="55">
        <f t="shared" si="278"/>
        <v>0.78999999999999992</v>
      </c>
      <c r="BN50" s="55">
        <f t="shared" si="278"/>
        <v>0.76999999999999991</v>
      </c>
      <c r="BO50" s="55">
        <f t="shared" si="278"/>
        <v>0.74999999999999989</v>
      </c>
      <c r="BP50" s="55">
        <f t="shared" si="278"/>
        <v>0.72999999999999987</v>
      </c>
      <c r="BQ50" s="55">
        <f t="shared" si="278"/>
        <v>0.70999999999999985</v>
      </c>
      <c r="BR50" s="55">
        <f t="shared" si="278"/>
        <v>0.68999999999999984</v>
      </c>
      <c r="BS50" s="55">
        <f t="shared" si="278"/>
        <v>0.66999999999999982</v>
      </c>
      <c r="BT50" s="55">
        <f t="shared" si="278"/>
        <v>0.6499999999999998</v>
      </c>
      <c r="BU50" s="55">
        <f t="shared" si="278"/>
        <v>0.62999999999999978</v>
      </c>
      <c r="BV50" s="55">
        <f t="shared" si="278"/>
        <v>0.60999999999999976</v>
      </c>
      <c r="BW50" s="55">
        <f t="shared" si="278"/>
        <v>0.58999999999999975</v>
      </c>
      <c r="BX50" s="55">
        <f t="shared" si="278"/>
        <v>0.56999999999999973</v>
      </c>
      <c r="BZ50" s="55">
        <f t="shared" si="87"/>
        <v>0</v>
      </c>
      <c r="CA50" s="55">
        <f t="shared" si="88"/>
        <v>0</v>
      </c>
      <c r="CB50" s="59">
        <f t="shared" si="189"/>
        <v>0</v>
      </c>
      <c r="CC50" s="55">
        <f t="shared" si="190"/>
        <v>0</v>
      </c>
      <c r="CD50" s="59">
        <f t="shared" si="191"/>
        <v>0</v>
      </c>
      <c r="CE50" s="55">
        <f t="shared" si="192"/>
        <v>0</v>
      </c>
      <c r="CF50" s="59">
        <f t="shared" si="193"/>
        <v>0</v>
      </c>
      <c r="CG50" s="55">
        <f t="shared" si="194"/>
        <v>0</v>
      </c>
      <c r="CH50" s="59">
        <f t="shared" si="195"/>
        <v>0</v>
      </c>
      <c r="CI50" s="57">
        <f t="shared" si="196"/>
        <v>0</v>
      </c>
      <c r="CJ50" s="59">
        <f t="shared" si="197"/>
        <v>0</v>
      </c>
      <c r="CK50" s="55">
        <f t="shared" si="198"/>
        <v>0</v>
      </c>
      <c r="CL50" s="59">
        <f t="shared" si="199"/>
        <v>0</v>
      </c>
      <c r="CM50" s="57">
        <f t="shared" si="200"/>
        <v>0</v>
      </c>
      <c r="CN50" s="59">
        <f t="shared" si="201"/>
        <v>0</v>
      </c>
      <c r="CO50" s="60">
        <f t="shared" si="202"/>
        <v>0</v>
      </c>
      <c r="CP50" s="59">
        <f t="shared" si="203"/>
        <v>0</v>
      </c>
      <c r="CQ50" s="57">
        <f t="shared" si="204"/>
        <v>0</v>
      </c>
      <c r="CR50" s="59">
        <f t="shared" si="205"/>
        <v>0</v>
      </c>
      <c r="CS50" s="55">
        <f t="shared" si="206"/>
        <v>0</v>
      </c>
      <c r="CT50" s="59">
        <f t="shared" si="207"/>
        <v>0</v>
      </c>
      <c r="CU50" s="60">
        <f t="shared" si="208"/>
        <v>0</v>
      </c>
      <c r="CV50" s="59">
        <f t="shared" si="209"/>
        <v>0</v>
      </c>
      <c r="CW50" s="60">
        <f t="shared" si="210"/>
        <v>0</v>
      </c>
      <c r="CX50" s="59">
        <f t="shared" si="211"/>
        <v>0</v>
      </c>
      <c r="CY50" s="60">
        <f t="shared" si="212"/>
        <v>0</v>
      </c>
      <c r="CZ50" s="59">
        <f t="shared" si="213"/>
        <v>0</v>
      </c>
      <c r="DA50" s="55">
        <f t="shared" si="214"/>
        <v>0</v>
      </c>
      <c r="DB50" s="59">
        <f t="shared" si="215"/>
        <v>0</v>
      </c>
      <c r="DC50" s="60">
        <f t="shared" si="216"/>
        <v>0</v>
      </c>
      <c r="DD50" s="59">
        <f t="shared" si="217"/>
        <v>0</v>
      </c>
      <c r="DE50" s="60">
        <f t="shared" si="218"/>
        <v>0</v>
      </c>
      <c r="DF50" s="59">
        <f t="shared" si="219"/>
        <v>0</v>
      </c>
      <c r="DG50" s="60">
        <f t="shared" si="220"/>
        <v>0</v>
      </c>
      <c r="DH50" s="59">
        <f t="shared" si="221"/>
        <v>0</v>
      </c>
      <c r="DI50" s="60">
        <f t="shared" si="222"/>
        <v>0</v>
      </c>
      <c r="DJ50" s="59">
        <f t="shared" si="223"/>
        <v>0</v>
      </c>
      <c r="DK50" s="55">
        <f t="shared" si="224"/>
        <v>0</v>
      </c>
      <c r="DL50" s="59">
        <f t="shared" si="225"/>
        <v>0</v>
      </c>
      <c r="DM50" s="60">
        <f t="shared" si="226"/>
        <v>0</v>
      </c>
      <c r="DN50" s="59">
        <f t="shared" si="227"/>
        <v>0</v>
      </c>
      <c r="DO50" s="60">
        <f t="shared" si="228"/>
        <v>0</v>
      </c>
      <c r="DP50" s="59">
        <f t="shared" si="229"/>
        <v>0</v>
      </c>
      <c r="DQ50" s="55">
        <f t="shared" si="230"/>
        <v>0</v>
      </c>
      <c r="DR50" s="59">
        <f t="shared" si="231"/>
        <v>0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81"/>
        <v>0.91</v>
      </c>
      <c r="DZ50" s="55">
        <f t="shared" si="281"/>
        <v>0.89</v>
      </c>
      <c r="EA50" s="55">
        <f t="shared" si="281"/>
        <v>0.87</v>
      </c>
      <c r="EB50" s="55">
        <f t="shared" si="281"/>
        <v>0.85</v>
      </c>
      <c r="EC50" s="55">
        <f t="shared" si="281"/>
        <v>0.83</v>
      </c>
      <c r="ED50" s="55">
        <f t="shared" si="281"/>
        <v>0.80999999999999994</v>
      </c>
      <c r="EE50" s="55">
        <f t="shared" si="281"/>
        <v>0.78999999999999992</v>
      </c>
      <c r="EF50" s="55">
        <f t="shared" si="281"/>
        <v>0.76999999999999991</v>
      </c>
      <c r="EG50" s="55">
        <f t="shared" si="281"/>
        <v>0.74999999999999989</v>
      </c>
      <c r="EH50" s="55">
        <f t="shared" si="281"/>
        <v>0.72999999999999987</v>
      </c>
      <c r="EI50" s="55">
        <f t="shared" si="281"/>
        <v>0.70999999999999985</v>
      </c>
      <c r="EJ50" s="55">
        <f t="shared" si="281"/>
        <v>0.68999999999999984</v>
      </c>
      <c r="EK50" s="55">
        <f t="shared" si="281"/>
        <v>0.66999999999999982</v>
      </c>
      <c r="EL50" s="55">
        <f t="shared" si="281"/>
        <v>0.6499999999999998</v>
      </c>
      <c r="EM50" s="55">
        <f t="shared" si="281"/>
        <v>0.62999999999999978</v>
      </c>
      <c r="EN50" s="55">
        <f t="shared" si="281"/>
        <v>0.60999999999999976</v>
      </c>
      <c r="EO50" s="55">
        <f t="shared" si="281"/>
        <v>0.58999999999999975</v>
      </c>
      <c r="EP50" s="55">
        <f t="shared" si="281"/>
        <v>0.56999999999999973</v>
      </c>
      <c r="ER50" s="55">
        <f t="shared" si="141"/>
        <v>0</v>
      </c>
      <c r="ES50" s="55">
        <f t="shared" si="115"/>
        <v>0</v>
      </c>
      <c r="ET50" s="59">
        <f t="shared" si="233"/>
        <v>0</v>
      </c>
      <c r="EU50" s="55">
        <f t="shared" si="234"/>
        <v>0</v>
      </c>
      <c r="EV50" s="59">
        <f t="shared" si="235"/>
        <v>0</v>
      </c>
      <c r="EW50" s="55">
        <f t="shared" si="236"/>
        <v>0</v>
      </c>
      <c r="EX50" s="59">
        <f t="shared" si="237"/>
        <v>0</v>
      </c>
      <c r="EY50" s="55">
        <f t="shared" si="238"/>
        <v>0</v>
      </c>
      <c r="EZ50" s="59">
        <f t="shared" si="239"/>
        <v>0</v>
      </c>
      <c r="FA50" s="57">
        <f t="shared" si="240"/>
        <v>0</v>
      </c>
      <c r="FB50" s="59">
        <f t="shared" si="241"/>
        <v>0</v>
      </c>
      <c r="FC50" s="55">
        <f t="shared" si="242"/>
        <v>0</v>
      </c>
      <c r="FD50" s="59">
        <f t="shared" si="243"/>
        <v>0</v>
      </c>
      <c r="FE50" s="57">
        <f t="shared" si="244"/>
        <v>0</v>
      </c>
      <c r="FF50" s="59">
        <f t="shared" si="245"/>
        <v>0</v>
      </c>
      <c r="FG50" s="60">
        <f t="shared" si="246"/>
        <v>0</v>
      </c>
      <c r="FH50" s="59">
        <f t="shared" si="247"/>
        <v>0</v>
      </c>
      <c r="FI50" s="57">
        <f t="shared" si="248"/>
        <v>0</v>
      </c>
      <c r="FJ50" s="59">
        <f t="shared" si="249"/>
        <v>0</v>
      </c>
      <c r="FK50" s="55">
        <f t="shared" si="250"/>
        <v>0</v>
      </c>
      <c r="FL50" s="59">
        <f t="shared" si="251"/>
        <v>0</v>
      </c>
      <c r="FM50" s="60">
        <f t="shared" si="252"/>
        <v>0</v>
      </c>
      <c r="FN50" s="59">
        <f t="shared" si="253"/>
        <v>0</v>
      </c>
      <c r="FO50" s="60">
        <f t="shared" si="254"/>
        <v>0</v>
      </c>
      <c r="FP50" s="59">
        <f t="shared" si="255"/>
        <v>0</v>
      </c>
      <c r="FQ50" s="60">
        <f t="shared" si="256"/>
        <v>0</v>
      </c>
      <c r="FR50" s="59">
        <f t="shared" si="257"/>
        <v>0</v>
      </c>
      <c r="FS50" s="55">
        <f t="shared" si="258"/>
        <v>0</v>
      </c>
      <c r="FT50" s="59">
        <f t="shared" si="259"/>
        <v>0</v>
      </c>
      <c r="FU50" s="60">
        <f t="shared" si="260"/>
        <v>0</v>
      </c>
      <c r="FV50" s="59">
        <f t="shared" si="261"/>
        <v>0</v>
      </c>
      <c r="FW50" s="60">
        <f t="shared" si="262"/>
        <v>0</v>
      </c>
      <c r="FX50" s="59">
        <f t="shared" si="263"/>
        <v>0</v>
      </c>
      <c r="FY50" s="60">
        <f t="shared" si="264"/>
        <v>0</v>
      </c>
      <c r="FZ50" s="59">
        <f t="shared" si="265"/>
        <v>0</v>
      </c>
      <c r="GA50" s="60">
        <f t="shared" si="266"/>
        <v>0</v>
      </c>
      <c r="GB50" s="59">
        <f t="shared" si="267"/>
        <v>0</v>
      </c>
      <c r="GC50" s="55">
        <f t="shared" si="268"/>
        <v>0</v>
      </c>
      <c r="GD50" s="59">
        <f t="shared" si="269"/>
        <v>0</v>
      </c>
      <c r="GE50" s="60">
        <f t="shared" si="270"/>
        <v>0</v>
      </c>
      <c r="GF50" s="59">
        <f t="shared" si="271"/>
        <v>0</v>
      </c>
      <c r="GG50" s="60">
        <f t="shared" si="272"/>
        <v>0</v>
      </c>
      <c r="GH50" s="59">
        <f t="shared" si="273"/>
        <v>0</v>
      </c>
      <c r="GI50" s="55">
        <f t="shared" si="274"/>
        <v>0</v>
      </c>
      <c r="GJ50" s="59">
        <f t="shared" si="275"/>
        <v>0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82"/>
        <v>0.91</v>
      </c>
      <c r="GR50" s="55">
        <f t="shared" si="282"/>
        <v>0.89</v>
      </c>
      <c r="GS50" s="55">
        <f t="shared" si="282"/>
        <v>0.87</v>
      </c>
      <c r="GT50" s="55">
        <f t="shared" si="282"/>
        <v>0.85</v>
      </c>
      <c r="GU50" s="55">
        <f t="shared" si="282"/>
        <v>0.83</v>
      </c>
      <c r="GV50" s="55">
        <f t="shared" si="282"/>
        <v>0.80999999999999994</v>
      </c>
      <c r="GW50" s="55">
        <f t="shared" si="282"/>
        <v>0.78999999999999992</v>
      </c>
      <c r="GX50" s="55">
        <f t="shared" si="282"/>
        <v>0.76999999999999991</v>
      </c>
      <c r="GY50" s="55">
        <f t="shared" si="282"/>
        <v>0.74999999999999989</v>
      </c>
      <c r="GZ50" s="55">
        <f t="shared" si="282"/>
        <v>0.72999999999999987</v>
      </c>
      <c r="HA50" s="55">
        <f t="shared" si="282"/>
        <v>0.70999999999999985</v>
      </c>
      <c r="HB50" s="55">
        <f t="shared" si="282"/>
        <v>0.68999999999999984</v>
      </c>
      <c r="HC50" s="55">
        <f t="shared" si="282"/>
        <v>0.66999999999999982</v>
      </c>
      <c r="HD50" s="55">
        <f t="shared" si="282"/>
        <v>0.6499999999999998</v>
      </c>
      <c r="HE50" s="55">
        <f t="shared" si="282"/>
        <v>0.62999999999999978</v>
      </c>
      <c r="HF50" s="55">
        <f t="shared" si="282"/>
        <v>0.60999999999999976</v>
      </c>
      <c r="HG50" s="55">
        <f t="shared" si="282"/>
        <v>0.58999999999999975</v>
      </c>
      <c r="HH50" s="55">
        <f t="shared" si="282"/>
        <v>0.56999999999999973</v>
      </c>
    </row>
    <row r="51" spans="1:216" x14ac:dyDescent="0.3">
      <c r="A51" s="2">
        <v>18</v>
      </c>
      <c r="C51" s="38" t="s">
        <v>148</v>
      </c>
      <c r="D51" s="42">
        <v>0</v>
      </c>
      <c r="E51" s="86">
        <f>TRUNC(+D51*3.3058,-1)</f>
        <v>0</v>
      </c>
      <c r="H51" s="55">
        <f t="shared" si="60"/>
        <v>0</v>
      </c>
      <c r="I51" s="55">
        <f t="shared" si="61"/>
        <v>0</v>
      </c>
      <c r="J51" s="59">
        <f t="shared" si="62"/>
        <v>0</v>
      </c>
      <c r="K51" s="55">
        <f t="shared" si="147"/>
        <v>0</v>
      </c>
      <c r="L51" s="59">
        <f t="shared" si="148"/>
        <v>0</v>
      </c>
      <c r="M51" s="55">
        <f t="shared" si="149"/>
        <v>0</v>
      </c>
      <c r="N51" s="59">
        <f t="shared" si="150"/>
        <v>0</v>
      </c>
      <c r="O51" s="55">
        <f t="shared" si="151"/>
        <v>0</v>
      </c>
      <c r="P51" s="59">
        <f t="shared" si="152"/>
        <v>0</v>
      </c>
      <c r="Q51" s="57">
        <f t="shared" si="153"/>
        <v>0</v>
      </c>
      <c r="R51" s="59">
        <f t="shared" si="154"/>
        <v>0</v>
      </c>
      <c r="S51" s="55">
        <f t="shared" si="155"/>
        <v>0</v>
      </c>
      <c r="T51" s="59">
        <f t="shared" si="156"/>
        <v>0</v>
      </c>
      <c r="U51" s="57">
        <f t="shared" si="157"/>
        <v>0</v>
      </c>
      <c r="V51" s="59">
        <f t="shared" si="158"/>
        <v>0</v>
      </c>
      <c r="W51" s="60">
        <f t="shared" si="159"/>
        <v>0</v>
      </c>
      <c r="X51" s="59">
        <f t="shared" si="160"/>
        <v>0</v>
      </c>
      <c r="Y51" s="57">
        <f t="shared" si="161"/>
        <v>0</v>
      </c>
      <c r="Z51" s="59">
        <f t="shared" si="162"/>
        <v>0</v>
      </c>
      <c r="AA51" s="55">
        <f t="shared" si="163"/>
        <v>0</v>
      </c>
      <c r="AB51" s="59">
        <f t="shared" si="164"/>
        <v>0</v>
      </c>
      <c r="AC51" s="60">
        <f t="shared" si="165"/>
        <v>0</v>
      </c>
      <c r="AD51" s="59">
        <f t="shared" si="166"/>
        <v>0</v>
      </c>
      <c r="AE51" s="60">
        <f t="shared" si="167"/>
        <v>0</v>
      </c>
      <c r="AF51" s="59">
        <f t="shared" si="168"/>
        <v>0</v>
      </c>
      <c r="AG51" s="60">
        <f t="shared" si="169"/>
        <v>0</v>
      </c>
      <c r="AH51" s="59">
        <f t="shared" si="170"/>
        <v>0</v>
      </c>
      <c r="AI51" s="55">
        <f t="shared" si="171"/>
        <v>0</v>
      </c>
      <c r="AJ51" s="59">
        <f t="shared" si="172"/>
        <v>0</v>
      </c>
      <c r="AK51" s="60">
        <f t="shared" si="173"/>
        <v>0</v>
      </c>
      <c r="AL51" s="59">
        <f t="shared" si="174"/>
        <v>0</v>
      </c>
      <c r="AM51" s="60">
        <f t="shared" si="175"/>
        <v>0</v>
      </c>
      <c r="AN51" s="59">
        <f t="shared" si="176"/>
        <v>0</v>
      </c>
      <c r="AO51" s="60">
        <f t="shared" si="177"/>
        <v>0</v>
      </c>
      <c r="AP51" s="59">
        <f t="shared" si="178"/>
        <v>0</v>
      </c>
      <c r="AQ51" s="60">
        <f t="shared" si="179"/>
        <v>0</v>
      </c>
      <c r="AR51" s="59">
        <f t="shared" si="180"/>
        <v>0</v>
      </c>
      <c r="AS51" s="55">
        <f t="shared" si="181"/>
        <v>0</v>
      </c>
      <c r="AT51" s="59">
        <f t="shared" si="182"/>
        <v>0</v>
      </c>
      <c r="AU51" s="60">
        <f t="shared" si="183"/>
        <v>0</v>
      </c>
      <c r="AV51" s="59">
        <f t="shared" si="184"/>
        <v>0</v>
      </c>
      <c r="AW51" s="60">
        <f t="shared" si="185"/>
        <v>0</v>
      </c>
      <c r="AX51" s="59">
        <f t="shared" si="186"/>
        <v>0</v>
      </c>
      <c r="AY51" s="55">
        <f t="shared" si="187"/>
        <v>0</v>
      </c>
      <c r="AZ51" s="59">
        <f t="shared" si="188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278"/>
        <v>0.91</v>
      </c>
      <c r="BH51" s="55">
        <f t="shared" si="278"/>
        <v>0.89</v>
      </c>
      <c r="BI51" s="55">
        <f t="shared" si="278"/>
        <v>0.87</v>
      </c>
      <c r="BJ51" s="55">
        <f t="shared" si="278"/>
        <v>0.85</v>
      </c>
      <c r="BK51" s="55">
        <f t="shared" si="278"/>
        <v>0.83</v>
      </c>
      <c r="BL51" s="55">
        <f t="shared" si="278"/>
        <v>0.80999999999999994</v>
      </c>
      <c r="BM51" s="55">
        <f t="shared" si="278"/>
        <v>0.78999999999999992</v>
      </c>
      <c r="BN51" s="55">
        <f t="shared" si="278"/>
        <v>0.76999999999999991</v>
      </c>
      <c r="BO51" s="55">
        <f t="shared" si="278"/>
        <v>0.74999999999999989</v>
      </c>
      <c r="BP51" s="55">
        <f t="shared" si="278"/>
        <v>0.72999999999999987</v>
      </c>
      <c r="BQ51" s="55">
        <f t="shared" si="278"/>
        <v>0.70999999999999985</v>
      </c>
      <c r="BR51" s="55">
        <f t="shared" si="278"/>
        <v>0.68999999999999984</v>
      </c>
      <c r="BS51" s="55">
        <f t="shared" si="278"/>
        <v>0.66999999999999982</v>
      </c>
      <c r="BT51" s="55">
        <f t="shared" si="278"/>
        <v>0.6499999999999998</v>
      </c>
      <c r="BU51" s="55">
        <f t="shared" si="278"/>
        <v>0.62999999999999978</v>
      </c>
      <c r="BV51" s="55">
        <f t="shared" si="278"/>
        <v>0.60999999999999976</v>
      </c>
      <c r="BW51" s="55">
        <f t="shared" si="278"/>
        <v>0.58999999999999975</v>
      </c>
      <c r="BX51" s="55">
        <f t="shared" si="278"/>
        <v>0.56999999999999973</v>
      </c>
      <c r="BZ51" s="55">
        <f t="shared" si="87"/>
        <v>0</v>
      </c>
      <c r="CA51" s="55">
        <f t="shared" si="88"/>
        <v>0</v>
      </c>
      <c r="CB51" s="59">
        <f t="shared" si="189"/>
        <v>0</v>
      </c>
      <c r="CC51" s="55">
        <f t="shared" si="190"/>
        <v>0</v>
      </c>
      <c r="CD51" s="59">
        <f t="shared" si="191"/>
        <v>0</v>
      </c>
      <c r="CE51" s="55">
        <f t="shared" si="192"/>
        <v>0</v>
      </c>
      <c r="CF51" s="59">
        <f t="shared" si="193"/>
        <v>0</v>
      </c>
      <c r="CG51" s="55">
        <f t="shared" si="194"/>
        <v>0</v>
      </c>
      <c r="CH51" s="59">
        <f t="shared" si="195"/>
        <v>0</v>
      </c>
      <c r="CI51" s="57">
        <f t="shared" si="196"/>
        <v>0</v>
      </c>
      <c r="CJ51" s="59">
        <f t="shared" si="197"/>
        <v>0</v>
      </c>
      <c r="CK51" s="55">
        <f t="shared" si="198"/>
        <v>0</v>
      </c>
      <c r="CL51" s="59">
        <f t="shared" si="199"/>
        <v>0</v>
      </c>
      <c r="CM51" s="57">
        <f t="shared" si="200"/>
        <v>0</v>
      </c>
      <c r="CN51" s="59">
        <f t="shared" si="201"/>
        <v>0</v>
      </c>
      <c r="CO51" s="60">
        <f t="shared" si="202"/>
        <v>0</v>
      </c>
      <c r="CP51" s="59">
        <f t="shared" si="203"/>
        <v>0</v>
      </c>
      <c r="CQ51" s="57">
        <f t="shared" si="204"/>
        <v>0</v>
      </c>
      <c r="CR51" s="59">
        <f t="shared" si="205"/>
        <v>0</v>
      </c>
      <c r="CS51" s="55">
        <f t="shared" si="206"/>
        <v>0</v>
      </c>
      <c r="CT51" s="59">
        <f t="shared" si="207"/>
        <v>0</v>
      </c>
      <c r="CU51" s="60">
        <f t="shared" si="208"/>
        <v>0</v>
      </c>
      <c r="CV51" s="59">
        <f t="shared" si="209"/>
        <v>0</v>
      </c>
      <c r="CW51" s="60">
        <f t="shared" si="210"/>
        <v>0</v>
      </c>
      <c r="CX51" s="59">
        <f t="shared" si="211"/>
        <v>0</v>
      </c>
      <c r="CY51" s="60">
        <f t="shared" si="212"/>
        <v>0</v>
      </c>
      <c r="CZ51" s="59">
        <f t="shared" si="213"/>
        <v>0</v>
      </c>
      <c r="DA51" s="55">
        <f t="shared" si="214"/>
        <v>0</v>
      </c>
      <c r="DB51" s="59">
        <f t="shared" si="215"/>
        <v>0</v>
      </c>
      <c r="DC51" s="60">
        <f t="shared" si="216"/>
        <v>0</v>
      </c>
      <c r="DD51" s="59">
        <f t="shared" si="217"/>
        <v>0</v>
      </c>
      <c r="DE51" s="60">
        <f t="shared" si="218"/>
        <v>0</v>
      </c>
      <c r="DF51" s="59">
        <f t="shared" si="219"/>
        <v>0</v>
      </c>
      <c r="DG51" s="60">
        <f t="shared" si="220"/>
        <v>0</v>
      </c>
      <c r="DH51" s="59">
        <f t="shared" si="221"/>
        <v>0</v>
      </c>
      <c r="DI51" s="60">
        <f t="shared" si="222"/>
        <v>0</v>
      </c>
      <c r="DJ51" s="59">
        <f t="shared" si="223"/>
        <v>0</v>
      </c>
      <c r="DK51" s="55">
        <f t="shared" si="224"/>
        <v>0</v>
      </c>
      <c r="DL51" s="59">
        <f t="shared" si="225"/>
        <v>0</v>
      </c>
      <c r="DM51" s="60">
        <f t="shared" si="226"/>
        <v>0</v>
      </c>
      <c r="DN51" s="59">
        <f t="shared" si="227"/>
        <v>0</v>
      </c>
      <c r="DO51" s="60">
        <f t="shared" si="228"/>
        <v>0</v>
      </c>
      <c r="DP51" s="59">
        <f t="shared" si="229"/>
        <v>0</v>
      </c>
      <c r="DQ51" s="55">
        <f t="shared" si="230"/>
        <v>0</v>
      </c>
      <c r="DR51" s="59">
        <f t="shared" si="231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81"/>
        <v>0.91</v>
      </c>
      <c r="DZ51" s="55">
        <f t="shared" si="281"/>
        <v>0.89</v>
      </c>
      <c r="EA51" s="55">
        <f t="shared" si="281"/>
        <v>0.87</v>
      </c>
      <c r="EB51" s="55">
        <f t="shared" si="281"/>
        <v>0.85</v>
      </c>
      <c r="EC51" s="55">
        <f t="shared" si="281"/>
        <v>0.83</v>
      </c>
      <c r="ED51" s="55">
        <f t="shared" si="281"/>
        <v>0.80999999999999994</v>
      </c>
      <c r="EE51" s="55">
        <f t="shared" si="281"/>
        <v>0.78999999999999992</v>
      </c>
      <c r="EF51" s="55">
        <f t="shared" si="281"/>
        <v>0.76999999999999991</v>
      </c>
      <c r="EG51" s="55">
        <f t="shared" si="281"/>
        <v>0.74999999999999989</v>
      </c>
      <c r="EH51" s="55">
        <f t="shared" si="281"/>
        <v>0.72999999999999987</v>
      </c>
      <c r="EI51" s="55">
        <f t="shared" si="281"/>
        <v>0.70999999999999985</v>
      </c>
      <c r="EJ51" s="55">
        <f t="shared" si="281"/>
        <v>0.68999999999999984</v>
      </c>
      <c r="EK51" s="55">
        <f t="shared" si="281"/>
        <v>0.66999999999999982</v>
      </c>
      <c r="EL51" s="55">
        <f t="shared" si="281"/>
        <v>0.6499999999999998</v>
      </c>
      <c r="EM51" s="55">
        <f t="shared" si="281"/>
        <v>0.62999999999999978</v>
      </c>
      <c r="EN51" s="55">
        <f t="shared" si="281"/>
        <v>0.60999999999999976</v>
      </c>
      <c r="EO51" s="55">
        <f t="shared" si="281"/>
        <v>0.58999999999999975</v>
      </c>
      <c r="EP51" s="55">
        <f t="shared" si="281"/>
        <v>0.56999999999999973</v>
      </c>
      <c r="ER51" s="55">
        <f t="shared" si="141"/>
        <v>0</v>
      </c>
      <c r="ES51" s="55">
        <f t="shared" si="115"/>
        <v>0</v>
      </c>
      <c r="ET51" s="59">
        <f t="shared" si="233"/>
        <v>0</v>
      </c>
      <c r="EU51" s="55">
        <f t="shared" si="234"/>
        <v>0</v>
      </c>
      <c r="EV51" s="59">
        <f t="shared" si="235"/>
        <v>0</v>
      </c>
      <c r="EW51" s="55">
        <f t="shared" si="236"/>
        <v>0</v>
      </c>
      <c r="EX51" s="59">
        <f t="shared" si="237"/>
        <v>0</v>
      </c>
      <c r="EY51" s="55">
        <f t="shared" si="238"/>
        <v>0</v>
      </c>
      <c r="EZ51" s="59">
        <f t="shared" si="239"/>
        <v>0</v>
      </c>
      <c r="FA51" s="57">
        <f t="shared" si="240"/>
        <v>0</v>
      </c>
      <c r="FB51" s="59">
        <f t="shared" si="241"/>
        <v>0</v>
      </c>
      <c r="FC51" s="55">
        <f t="shared" si="242"/>
        <v>0</v>
      </c>
      <c r="FD51" s="59">
        <f t="shared" si="243"/>
        <v>0</v>
      </c>
      <c r="FE51" s="57">
        <f t="shared" si="244"/>
        <v>0</v>
      </c>
      <c r="FF51" s="59">
        <f t="shared" si="245"/>
        <v>0</v>
      </c>
      <c r="FG51" s="60">
        <f t="shared" si="246"/>
        <v>0</v>
      </c>
      <c r="FH51" s="59">
        <f t="shared" si="247"/>
        <v>0</v>
      </c>
      <c r="FI51" s="57">
        <f t="shared" si="248"/>
        <v>0</v>
      </c>
      <c r="FJ51" s="59">
        <f t="shared" si="249"/>
        <v>0</v>
      </c>
      <c r="FK51" s="55">
        <f t="shared" si="250"/>
        <v>0</v>
      </c>
      <c r="FL51" s="59">
        <f t="shared" si="251"/>
        <v>0</v>
      </c>
      <c r="FM51" s="60">
        <f t="shared" si="252"/>
        <v>0</v>
      </c>
      <c r="FN51" s="59">
        <f t="shared" si="253"/>
        <v>0</v>
      </c>
      <c r="FO51" s="60">
        <f t="shared" si="254"/>
        <v>0</v>
      </c>
      <c r="FP51" s="59">
        <f t="shared" si="255"/>
        <v>0</v>
      </c>
      <c r="FQ51" s="60">
        <f t="shared" si="256"/>
        <v>0</v>
      </c>
      <c r="FR51" s="59">
        <f t="shared" si="257"/>
        <v>0</v>
      </c>
      <c r="FS51" s="55">
        <f t="shared" si="258"/>
        <v>0</v>
      </c>
      <c r="FT51" s="59">
        <f t="shared" si="259"/>
        <v>0</v>
      </c>
      <c r="FU51" s="60">
        <f t="shared" si="260"/>
        <v>0</v>
      </c>
      <c r="FV51" s="59">
        <f t="shared" si="261"/>
        <v>0</v>
      </c>
      <c r="FW51" s="60">
        <f t="shared" si="262"/>
        <v>0</v>
      </c>
      <c r="FX51" s="59">
        <f t="shared" si="263"/>
        <v>0</v>
      </c>
      <c r="FY51" s="60">
        <f t="shared" si="264"/>
        <v>0</v>
      </c>
      <c r="FZ51" s="59">
        <f t="shared" si="265"/>
        <v>0</v>
      </c>
      <c r="GA51" s="60">
        <f t="shared" si="266"/>
        <v>0</v>
      </c>
      <c r="GB51" s="59">
        <f t="shared" si="267"/>
        <v>0</v>
      </c>
      <c r="GC51" s="55">
        <f t="shared" si="268"/>
        <v>0</v>
      </c>
      <c r="GD51" s="59">
        <f t="shared" si="269"/>
        <v>0</v>
      </c>
      <c r="GE51" s="60">
        <f t="shared" si="270"/>
        <v>0</v>
      </c>
      <c r="GF51" s="59">
        <f t="shared" si="271"/>
        <v>0</v>
      </c>
      <c r="GG51" s="60">
        <f t="shared" si="272"/>
        <v>0</v>
      </c>
      <c r="GH51" s="59">
        <f t="shared" si="273"/>
        <v>0</v>
      </c>
      <c r="GI51" s="55">
        <f t="shared" si="274"/>
        <v>0</v>
      </c>
      <c r="GJ51" s="59">
        <f t="shared" si="275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82"/>
        <v>0.91</v>
      </c>
      <c r="GR51" s="55">
        <f t="shared" si="282"/>
        <v>0.89</v>
      </c>
      <c r="GS51" s="55">
        <f t="shared" si="282"/>
        <v>0.87</v>
      </c>
      <c r="GT51" s="55">
        <f t="shared" si="282"/>
        <v>0.85</v>
      </c>
      <c r="GU51" s="55">
        <f t="shared" si="282"/>
        <v>0.83</v>
      </c>
      <c r="GV51" s="55">
        <f t="shared" si="282"/>
        <v>0.80999999999999994</v>
      </c>
      <c r="GW51" s="55">
        <f t="shared" si="282"/>
        <v>0.78999999999999992</v>
      </c>
      <c r="GX51" s="55">
        <f t="shared" si="282"/>
        <v>0.76999999999999991</v>
      </c>
      <c r="GY51" s="55">
        <f t="shared" si="282"/>
        <v>0.74999999999999989</v>
      </c>
      <c r="GZ51" s="55">
        <f t="shared" si="282"/>
        <v>0.72999999999999987</v>
      </c>
      <c r="HA51" s="55">
        <f t="shared" si="282"/>
        <v>0.70999999999999985</v>
      </c>
      <c r="HB51" s="55">
        <f t="shared" si="282"/>
        <v>0.68999999999999984</v>
      </c>
      <c r="HC51" s="55">
        <f t="shared" si="282"/>
        <v>0.66999999999999982</v>
      </c>
      <c r="HD51" s="55">
        <f t="shared" si="282"/>
        <v>0.6499999999999998</v>
      </c>
      <c r="HE51" s="55">
        <f t="shared" si="282"/>
        <v>0.62999999999999978</v>
      </c>
      <c r="HF51" s="55">
        <f t="shared" si="282"/>
        <v>0.60999999999999976</v>
      </c>
      <c r="HG51" s="55">
        <f t="shared" si="282"/>
        <v>0.58999999999999975</v>
      </c>
      <c r="HH51" s="55">
        <f t="shared" si="282"/>
        <v>0.56999999999999973</v>
      </c>
    </row>
    <row r="52" spans="1:216" x14ac:dyDescent="0.3">
      <c r="A52" s="2">
        <v>19</v>
      </c>
      <c r="C52" s="38" t="s">
        <v>26</v>
      </c>
      <c r="D52" s="42">
        <f>TRUNC(44971+8162-781+6373+10490,-1)</f>
        <v>69210</v>
      </c>
      <c r="E52" s="86">
        <f>TRUNC(+D52*3.3058,-1)</f>
        <v>228790</v>
      </c>
      <c r="F52" s="2" t="s">
        <v>309</v>
      </c>
      <c r="H52" s="55">
        <f t="shared" si="60"/>
        <v>251669.00000000003</v>
      </c>
      <c r="I52" s="55">
        <f t="shared" si="61"/>
        <v>251669.00000000003</v>
      </c>
      <c r="J52" s="59">
        <f t="shared" si="62"/>
        <v>831967.38020000013</v>
      </c>
      <c r="K52" s="55">
        <f t="shared" si="147"/>
        <v>244118.93000000002</v>
      </c>
      <c r="L52" s="59">
        <f t="shared" si="148"/>
        <v>807008.35879400012</v>
      </c>
      <c r="M52" s="55">
        <f t="shared" si="149"/>
        <v>239085.55000000002</v>
      </c>
      <c r="N52" s="59">
        <f t="shared" si="150"/>
        <v>790369.01119000011</v>
      </c>
      <c r="O52" s="55">
        <f t="shared" si="151"/>
        <v>234052.17000000004</v>
      </c>
      <c r="P52" s="59">
        <f t="shared" si="152"/>
        <v>773729.66358600021</v>
      </c>
      <c r="Q52" s="57">
        <f t="shared" si="153"/>
        <v>229018.79000000004</v>
      </c>
      <c r="R52" s="59">
        <f t="shared" si="154"/>
        <v>757090.31598200009</v>
      </c>
      <c r="S52" s="55">
        <f t="shared" si="155"/>
        <v>223985.41000000003</v>
      </c>
      <c r="T52" s="59">
        <f t="shared" si="156"/>
        <v>740450.96837800008</v>
      </c>
      <c r="U52" s="57">
        <f t="shared" si="157"/>
        <v>218952.03000000003</v>
      </c>
      <c r="V52" s="59">
        <f t="shared" si="158"/>
        <v>723811.62077400007</v>
      </c>
      <c r="W52" s="60">
        <f t="shared" si="159"/>
        <v>213918.65000000002</v>
      </c>
      <c r="X52" s="59">
        <f t="shared" si="160"/>
        <v>707172.27317000006</v>
      </c>
      <c r="Y52" s="57">
        <f t="shared" si="161"/>
        <v>208885.27000000002</v>
      </c>
      <c r="Z52" s="59">
        <f t="shared" si="162"/>
        <v>690532.92556600005</v>
      </c>
      <c r="AA52" s="55">
        <f t="shared" si="163"/>
        <v>203851.89</v>
      </c>
      <c r="AB52" s="59">
        <f t="shared" si="164"/>
        <v>673893.57796200004</v>
      </c>
      <c r="AC52" s="60">
        <f t="shared" si="165"/>
        <v>198818.51</v>
      </c>
      <c r="AD52" s="59">
        <f t="shared" si="166"/>
        <v>657254.23035800003</v>
      </c>
      <c r="AE52" s="60">
        <f t="shared" si="167"/>
        <v>193785.13</v>
      </c>
      <c r="AF52" s="59">
        <f t="shared" si="168"/>
        <v>640614.88275400002</v>
      </c>
      <c r="AG52" s="60">
        <f t="shared" si="169"/>
        <v>188751.75</v>
      </c>
      <c r="AH52" s="59">
        <f t="shared" si="170"/>
        <v>623975.53515000001</v>
      </c>
      <c r="AI52" s="55">
        <f t="shared" si="171"/>
        <v>183718.37</v>
      </c>
      <c r="AJ52" s="59">
        <f t="shared" si="172"/>
        <v>607336.187546</v>
      </c>
      <c r="AK52" s="60">
        <f t="shared" si="173"/>
        <v>178684.99</v>
      </c>
      <c r="AL52" s="59">
        <f t="shared" si="174"/>
        <v>590696.83994199999</v>
      </c>
      <c r="AM52" s="60">
        <f t="shared" si="175"/>
        <v>173651.61</v>
      </c>
      <c r="AN52" s="59">
        <f t="shared" si="176"/>
        <v>574057.49233799998</v>
      </c>
      <c r="AO52" s="60">
        <f t="shared" si="177"/>
        <v>168618.22999999998</v>
      </c>
      <c r="AP52" s="59">
        <f t="shared" si="178"/>
        <v>557418.14473399997</v>
      </c>
      <c r="AQ52" s="60">
        <f t="shared" si="179"/>
        <v>163584.84999999998</v>
      </c>
      <c r="AR52" s="59">
        <f t="shared" si="180"/>
        <v>540778.79712999996</v>
      </c>
      <c r="AS52" s="55">
        <f t="shared" si="181"/>
        <v>158551.46999999997</v>
      </c>
      <c r="AT52" s="59">
        <f t="shared" si="182"/>
        <v>524139.44952599989</v>
      </c>
      <c r="AU52" s="60">
        <f t="shared" si="183"/>
        <v>153518.08999999997</v>
      </c>
      <c r="AV52" s="59">
        <f t="shared" si="184"/>
        <v>507500.10192199989</v>
      </c>
      <c r="AW52" s="60">
        <f t="shared" si="185"/>
        <v>148484.70999999996</v>
      </c>
      <c r="AX52" s="59">
        <f t="shared" si="186"/>
        <v>490860.75431799988</v>
      </c>
      <c r="AY52" s="55">
        <f t="shared" si="187"/>
        <v>143451.32999999996</v>
      </c>
      <c r="AZ52" s="59">
        <f t="shared" si="188"/>
        <v>474221.40671399987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si="278"/>
        <v>0.91</v>
      </c>
      <c r="BH52" s="55">
        <f t="shared" si="278"/>
        <v>0.89</v>
      </c>
      <c r="BI52" s="55">
        <f t="shared" si="278"/>
        <v>0.87</v>
      </c>
      <c r="BJ52" s="55">
        <f t="shared" si="278"/>
        <v>0.85</v>
      </c>
      <c r="BK52" s="55">
        <f t="shared" si="278"/>
        <v>0.83</v>
      </c>
      <c r="BL52" s="55">
        <f t="shared" si="278"/>
        <v>0.80999999999999994</v>
      </c>
      <c r="BM52" s="55">
        <f t="shared" si="278"/>
        <v>0.78999999999999992</v>
      </c>
      <c r="BN52" s="55">
        <f t="shared" si="278"/>
        <v>0.76999999999999991</v>
      </c>
      <c r="BO52" s="55">
        <f t="shared" si="278"/>
        <v>0.74999999999999989</v>
      </c>
      <c r="BP52" s="55">
        <f t="shared" si="278"/>
        <v>0.72999999999999987</v>
      </c>
      <c r="BQ52" s="55">
        <f t="shared" si="278"/>
        <v>0.70999999999999985</v>
      </c>
      <c r="BR52" s="55">
        <f t="shared" si="278"/>
        <v>0.68999999999999984</v>
      </c>
      <c r="BS52" s="55">
        <f t="shared" si="278"/>
        <v>0.66999999999999982</v>
      </c>
      <c r="BT52" s="55">
        <f t="shared" si="278"/>
        <v>0.6499999999999998</v>
      </c>
      <c r="BU52" s="55">
        <f t="shared" si="278"/>
        <v>0.62999999999999978</v>
      </c>
      <c r="BV52" s="55">
        <f t="shared" si="278"/>
        <v>0.60999999999999976</v>
      </c>
      <c r="BW52" s="55">
        <f t="shared" si="278"/>
        <v>0.58999999999999975</v>
      </c>
      <c r="BX52" s="55">
        <f t="shared" si="278"/>
        <v>0.56999999999999973</v>
      </c>
      <c r="BZ52" s="55">
        <f t="shared" si="87"/>
        <v>229018.79000000004</v>
      </c>
      <c r="CA52" s="55">
        <f t="shared" si="88"/>
        <v>229018.79000000004</v>
      </c>
      <c r="CB52" s="59">
        <f t="shared" si="189"/>
        <v>757090.31598200009</v>
      </c>
      <c r="CC52" s="55">
        <f t="shared" si="190"/>
        <v>222148.22630000004</v>
      </c>
      <c r="CD52" s="59">
        <f t="shared" si="191"/>
        <v>734377.60650254018</v>
      </c>
      <c r="CE52" s="55">
        <f t="shared" si="192"/>
        <v>217567.85050000003</v>
      </c>
      <c r="CF52" s="59">
        <f t="shared" si="193"/>
        <v>719235.80018290016</v>
      </c>
      <c r="CG52" s="55">
        <f t="shared" si="194"/>
        <v>212987.47470000005</v>
      </c>
      <c r="CH52" s="59">
        <f t="shared" si="195"/>
        <v>704093.99386326014</v>
      </c>
      <c r="CI52" s="57">
        <f t="shared" si="196"/>
        <v>208407.09890000004</v>
      </c>
      <c r="CJ52" s="59">
        <f t="shared" si="197"/>
        <v>688952.18754362012</v>
      </c>
      <c r="CK52" s="55">
        <f t="shared" si="198"/>
        <v>203826.72310000003</v>
      </c>
      <c r="CL52" s="59">
        <f t="shared" si="199"/>
        <v>673810.3812239801</v>
      </c>
      <c r="CM52" s="57">
        <f t="shared" si="200"/>
        <v>199246.34730000002</v>
      </c>
      <c r="CN52" s="59">
        <f t="shared" si="201"/>
        <v>658668.57490434009</v>
      </c>
      <c r="CO52" s="60">
        <f t="shared" si="202"/>
        <v>194665.97150000001</v>
      </c>
      <c r="CP52" s="59">
        <f t="shared" si="203"/>
        <v>643526.76858470007</v>
      </c>
      <c r="CQ52" s="57">
        <f t="shared" si="204"/>
        <v>190085.59570000003</v>
      </c>
      <c r="CR52" s="59">
        <f t="shared" si="205"/>
        <v>628384.96226506017</v>
      </c>
      <c r="CS52" s="55">
        <f t="shared" si="206"/>
        <v>185505.21990000003</v>
      </c>
      <c r="CT52" s="59">
        <f t="shared" si="207"/>
        <v>613243.15594542015</v>
      </c>
      <c r="CU52" s="60">
        <f t="shared" si="208"/>
        <v>180924.84410000002</v>
      </c>
      <c r="CV52" s="59">
        <f t="shared" si="209"/>
        <v>598101.34962578001</v>
      </c>
      <c r="CW52" s="60">
        <f t="shared" si="210"/>
        <v>176344.46830000001</v>
      </c>
      <c r="CX52" s="59">
        <f t="shared" si="211"/>
        <v>582959.54330614</v>
      </c>
      <c r="CY52" s="60">
        <f t="shared" si="212"/>
        <v>171764.0925</v>
      </c>
      <c r="CZ52" s="59">
        <f t="shared" si="213"/>
        <v>567817.73698649998</v>
      </c>
      <c r="DA52" s="55">
        <f t="shared" si="214"/>
        <v>167183.71669999999</v>
      </c>
      <c r="DB52" s="59">
        <f t="shared" si="215"/>
        <v>552675.93066685996</v>
      </c>
      <c r="DC52" s="60">
        <f t="shared" si="216"/>
        <v>162603.34089999998</v>
      </c>
      <c r="DD52" s="59">
        <f t="shared" si="217"/>
        <v>537534.12434721994</v>
      </c>
      <c r="DE52" s="60">
        <f t="shared" si="218"/>
        <v>158022.9651</v>
      </c>
      <c r="DF52" s="59">
        <f t="shared" si="219"/>
        <v>522392.31802758004</v>
      </c>
      <c r="DG52" s="60">
        <f t="shared" si="220"/>
        <v>153442.58929999999</v>
      </c>
      <c r="DH52" s="59">
        <f t="shared" si="221"/>
        <v>507250.51170793996</v>
      </c>
      <c r="DI52" s="60">
        <f t="shared" si="222"/>
        <v>148862.21349999998</v>
      </c>
      <c r="DJ52" s="59">
        <f t="shared" si="223"/>
        <v>492108.70538829995</v>
      </c>
      <c r="DK52" s="55">
        <f t="shared" si="224"/>
        <v>144281.83769999997</v>
      </c>
      <c r="DL52" s="59">
        <f t="shared" si="225"/>
        <v>476966.89906865993</v>
      </c>
      <c r="DM52" s="60">
        <f t="shared" si="226"/>
        <v>139701.46189999997</v>
      </c>
      <c r="DN52" s="59">
        <f t="shared" si="227"/>
        <v>461825.09274901991</v>
      </c>
      <c r="DO52" s="60">
        <f t="shared" si="228"/>
        <v>135121.08609999996</v>
      </c>
      <c r="DP52" s="59">
        <f t="shared" si="229"/>
        <v>446683.28642937989</v>
      </c>
      <c r="DQ52" s="55">
        <f t="shared" si="230"/>
        <v>130540.71029999996</v>
      </c>
      <c r="DR52" s="59">
        <f t="shared" si="231"/>
        <v>431541.48010973987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81"/>
        <v>0.91</v>
      </c>
      <c r="DZ52" s="55">
        <f t="shared" si="281"/>
        <v>0.89</v>
      </c>
      <c r="EA52" s="55">
        <f t="shared" si="281"/>
        <v>0.87</v>
      </c>
      <c r="EB52" s="55">
        <f t="shared" si="281"/>
        <v>0.85</v>
      </c>
      <c r="EC52" s="55">
        <f t="shared" si="281"/>
        <v>0.83</v>
      </c>
      <c r="ED52" s="55">
        <f t="shared" si="281"/>
        <v>0.80999999999999994</v>
      </c>
      <c r="EE52" s="55">
        <f t="shared" si="281"/>
        <v>0.78999999999999992</v>
      </c>
      <c r="EF52" s="55">
        <f t="shared" si="281"/>
        <v>0.76999999999999991</v>
      </c>
      <c r="EG52" s="55">
        <f t="shared" si="281"/>
        <v>0.74999999999999989</v>
      </c>
      <c r="EH52" s="55">
        <f t="shared" si="281"/>
        <v>0.72999999999999987</v>
      </c>
      <c r="EI52" s="55">
        <f t="shared" si="281"/>
        <v>0.70999999999999985</v>
      </c>
      <c r="EJ52" s="55">
        <f t="shared" si="281"/>
        <v>0.68999999999999984</v>
      </c>
      <c r="EK52" s="55">
        <f t="shared" si="281"/>
        <v>0.66999999999999982</v>
      </c>
      <c r="EL52" s="55">
        <f t="shared" si="281"/>
        <v>0.6499999999999998</v>
      </c>
      <c r="EM52" s="55">
        <f t="shared" si="281"/>
        <v>0.62999999999999978</v>
      </c>
      <c r="EN52" s="55">
        <f t="shared" si="281"/>
        <v>0.60999999999999976</v>
      </c>
      <c r="EO52" s="55">
        <f t="shared" si="281"/>
        <v>0.58999999999999975</v>
      </c>
      <c r="EP52" s="55">
        <f t="shared" si="281"/>
        <v>0.56999999999999973</v>
      </c>
      <c r="ER52" s="55">
        <f t="shared" si="141"/>
        <v>208407.09890000004</v>
      </c>
      <c r="ES52" s="55">
        <f t="shared" si="115"/>
        <v>208407.09890000004</v>
      </c>
      <c r="ET52" s="59">
        <f t="shared" si="233"/>
        <v>688952.18754362012</v>
      </c>
      <c r="EU52" s="55">
        <f t="shared" si="234"/>
        <v>202154.88593300004</v>
      </c>
      <c r="EV52" s="59">
        <f t="shared" si="235"/>
        <v>668283.62191731157</v>
      </c>
      <c r="EW52" s="55">
        <f t="shared" si="236"/>
        <v>197986.74395500004</v>
      </c>
      <c r="EX52" s="59">
        <f t="shared" si="237"/>
        <v>654504.5781664392</v>
      </c>
      <c r="EY52" s="55">
        <f t="shared" si="238"/>
        <v>193818.60197700004</v>
      </c>
      <c r="EZ52" s="59">
        <f t="shared" si="239"/>
        <v>640725.53441556671</v>
      </c>
      <c r="FA52" s="57">
        <f t="shared" si="240"/>
        <v>189650.45999900004</v>
      </c>
      <c r="FB52" s="59">
        <f t="shared" si="241"/>
        <v>626946.49066469434</v>
      </c>
      <c r="FC52" s="55">
        <f t="shared" si="242"/>
        <v>185482.31802100004</v>
      </c>
      <c r="FD52" s="59">
        <f t="shared" si="243"/>
        <v>613167.44691382197</v>
      </c>
      <c r="FE52" s="57">
        <f t="shared" si="244"/>
        <v>181314.17604300004</v>
      </c>
      <c r="FF52" s="59">
        <f t="shared" si="245"/>
        <v>599388.4031629496</v>
      </c>
      <c r="FG52" s="60">
        <f t="shared" si="246"/>
        <v>177146.03406500004</v>
      </c>
      <c r="FH52" s="59">
        <f t="shared" si="247"/>
        <v>585609.35941207712</v>
      </c>
      <c r="FI52" s="57">
        <f t="shared" si="248"/>
        <v>172977.89208700001</v>
      </c>
      <c r="FJ52" s="59">
        <f t="shared" si="249"/>
        <v>571830.31566120463</v>
      </c>
      <c r="FK52" s="55">
        <f t="shared" si="250"/>
        <v>168809.75010900002</v>
      </c>
      <c r="FL52" s="59">
        <f t="shared" si="251"/>
        <v>558051.27191033226</v>
      </c>
      <c r="FM52" s="60">
        <f t="shared" si="252"/>
        <v>164641.60813100002</v>
      </c>
      <c r="FN52" s="59">
        <f t="shared" si="253"/>
        <v>544272.22815945989</v>
      </c>
      <c r="FO52" s="60">
        <f t="shared" si="254"/>
        <v>160473.46615300002</v>
      </c>
      <c r="FP52" s="59">
        <f t="shared" si="255"/>
        <v>530493.18440858752</v>
      </c>
      <c r="FQ52" s="60">
        <f t="shared" si="256"/>
        <v>156305.32417500002</v>
      </c>
      <c r="FR52" s="59">
        <f t="shared" si="257"/>
        <v>516714.14065771509</v>
      </c>
      <c r="FS52" s="55">
        <f t="shared" si="258"/>
        <v>152137.18219700002</v>
      </c>
      <c r="FT52" s="59">
        <f t="shared" si="259"/>
        <v>502935.09690684266</v>
      </c>
      <c r="FU52" s="60">
        <f t="shared" si="260"/>
        <v>147969.04021899999</v>
      </c>
      <c r="FV52" s="59">
        <f t="shared" si="261"/>
        <v>489156.05315597018</v>
      </c>
      <c r="FW52" s="60">
        <f t="shared" si="262"/>
        <v>143800.89824099999</v>
      </c>
      <c r="FX52" s="59">
        <f t="shared" si="263"/>
        <v>475377.00940509775</v>
      </c>
      <c r="FY52" s="60">
        <f t="shared" si="264"/>
        <v>139632.75626299999</v>
      </c>
      <c r="FZ52" s="59">
        <f t="shared" si="265"/>
        <v>461597.96565422538</v>
      </c>
      <c r="GA52" s="60">
        <f t="shared" si="266"/>
        <v>135464.61428499999</v>
      </c>
      <c r="GB52" s="59">
        <f t="shared" si="267"/>
        <v>447818.92190335295</v>
      </c>
      <c r="GC52" s="55">
        <f t="shared" si="268"/>
        <v>131296.47230699999</v>
      </c>
      <c r="GD52" s="59">
        <f t="shared" si="269"/>
        <v>434039.87815248058</v>
      </c>
      <c r="GE52" s="60">
        <f t="shared" si="270"/>
        <v>127128.33032899997</v>
      </c>
      <c r="GF52" s="59">
        <f t="shared" si="271"/>
        <v>420260.83440160815</v>
      </c>
      <c r="GG52" s="60">
        <f t="shared" si="272"/>
        <v>122960.18835099998</v>
      </c>
      <c r="GH52" s="59">
        <f t="shared" si="273"/>
        <v>406481.79065073573</v>
      </c>
      <c r="GI52" s="55">
        <f t="shared" si="274"/>
        <v>118792.04637299996</v>
      </c>
      <c r="GJ52" s="59">
        <f t="shared" si="275"/>
        <v>392702.7468998633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82"/>
        <v>0.91</v>
      </c>
      <c r="GR52" s="55">
        <f t="shared" si="282"/>
        <v>0.89</v>
      </c>
      <c r="GS52" s="55">
        <f t="shared" si="282"/>
        <v>0.87</v>
      </c>
      <c r="GT52" s="55">
        <f t="shared" si="282"/>
        <v>0.85</v>
      </c>
      <c r="GU52" s="55">
        <f t="shared" si="282"/>
        <v>0.83</v>
      </c>
      <c r="GV52" s="55">
        <f t="shared" si="282"/>
        <v>0.80999999999999994</v>
      </c>
      <c r="GW52" s="55">
        <f t="shared" si="282"/>
        <v>0.78999999999999992</v>
      </c>
      <c r="GX52" s="55">
        <f t="shared" si="282"/>
        <v>0.76999999999999991</v>
      </c>
      <c r="GY52" s="55">
        <f t="shared" si="282"/>
        <v>0.74999999999999989</v>
      </c>
      <c r="GZ52" s="55">
        <f t="shared" si="282"/>
        <v>0.72999999999999987</v>
      </c>
      <c r="HA52" s="55">
        <f t="shared" si="282"/>
        <v>0.70999999999999985</v>
      </c>
      <c r="HB52" s="55">
        <f t="shared" si="282"/>
        <v>0.68999999999999984</v>
      </c>
      <c r="HC52" s="55">
        <f t="shared" si="282"/>
        <v>0.66999999999999982</v>
      </c>
      <c r="HD52" s="55">
        <f t="shared" si="282"/>
        <v>0.6499999999999998</v>
      </c>
      <c r="HE52" s="55">
        <f t="shared" si="282"/>
        <v>0.62999999999999978</v>
      </c>
      <c r="HF52" s="55">
        <f t="shared" si="282"/>
        <v>0.60999999999999976</v>
      </c>
      <c r="HG52" s="55">
        <f t="shared" si="282"/>
        <v>0.58999999999999975</v>
      </c>
      <c r="HH52" s="55">
        <f t="shared" si="282"/>
        <v>0.56999999999999973</v>
      </c>
    </row>
    <row r="53" spans="1:216" ht="17.25" thickBot="1" x14ac:dyDescent="0.35">
      <c r="A53" s="2">
        <v>20</v>
      </c>
      <c r="C53" s="38" t="s">
        <v>150</v>
      </c>
      <c r="D53" s="43">
        <f>TRUNC(255617,-1)</f>
        <v>255610</v>
      </c>
      <c r="E53" s="87">
        <f>TRUNC(+D53*3.3058,-1)</f>
        <v>844990</v>
      </c>
      <c r="H53" s="55">
        <f t="shared" si="60"/>
        <v>929489.00000000012</v>
      </c>
      <c r="I53" s="55">
        <f t="shared" si="61"/>
        <v>929489.00000000012</v>
      </c>
      <c r="J53" s="59">
        <f t="shared" si="62"/>
        <v>3072704.7362000006</v>
      </c>
      <c r="K53" s="55">
        <f t="shared" si="147"/>
        <v>901604.33000000007</v>
      </c>
      <c r="L53" s="59">
        <f t="shared" si="148"/>
        <v>2980523.5941140004</v>
      </c>
      <c r="M53" s="55">
        <f t="shared" si="149"/>
        <v>883014.55</v>
      </c>
      <c r="N53" s="59">
        <f t="shared" si="150"/>
        <v>2919069.49939</v>
      </c>
      <c r="O53" s="55">
        <f t="shared" si="151"/>
        <v>864424.77000000014</v>
      </c>
      <c r="P53" s="59">
        <f t="shared" si="152"/>
        <v>2857615.4046660005</v>
      </c>
      <c r="Q53" s="57">
        <f t="shared" si="153"/>
        <v>845834.99000000011</v>
      </c>
      <c r="R53" s="59">
        <f t="shared" si="154"/>
        <v>2796161.3099420005</v>
      </c>
      <c r="S53" s="55">
        <f t="shared" si="155"/>
        <v>827245.21000000008</v>
      </c>
      <c r="T53" s="59">
        <f t="shared" si="156"/>
        <v>2734707.2152180001</v>
      </c>
      <c r="U53" s="57">
        <f t="shared" si="157"/>
        <v>808655.43</v>
      </c>
      <c r="V53" s="59">
        <f t="shared" si="158"/>
        <v>2673253.1204940001</v>
      </c>
      <c r="W53" s="60">
        <f t="shared" si="159"/>
        <v>790065.65</v>
      </c>
      <c r="X53" s="59">
        <f t="shared" si="160"/>
        <v>2611799.0257700002</v>
      </c>
      <c r="Y53" s="57">
        <f t="shared" si="161"/>
        <v>771475.87000000011</v>
      </c>
      <c r="Z53" s="59">
        <f t="shared" si="162"/>
        <v>2550344.9310460002</v>
      </c>
      <c r="AA53" s="55">
        <f t="shared" si="163"/>
        <v>752886.09000000008</v>
      </c>
      <c r="AB53" s="59">
        <f t="shared" si="164"/>
        <v>2488890.8363220003</v>
      </c>
      <c r="AC53" s="60">
        <f t="shared" si="165"/>
        <v>734296.31</v>
      </c>
      <c r="AD53" s="59">
        <f t="shared" si="166"/>
        <v>2427436.7415980003</v>
      </c>
      <c r="AE53" s="60">
        <f t="shared" si="167"/>
        <v>715706.53</v>
      </c>
      <c r="AF53" s="59">
        <f t="shared" si="168"/>
        <v>2365982.6468740003</v>
      </c>
      <c r="AG53" s="60">
        <f t="shared" si="169"/>
        <v>697116.75</v>
      </c>
      <c r="AH53" s="59">
        <f t="shared" si="170"/>
        <v>2304528.5521499999</v>
      </c>
      <c r="AI53" s="55">
        <f t="shared" si="171"/>
        <v>678526.97</v>
      </c>
      <c r="AJ53" s="59">
        <f t="shared" si="172"/>
        <v>2243074.4574259999</v>
      </c>
      <c r="AK53" s="60">
        <f t="shared" si="173"/>
        <v>659937.18999999994</v>
      </c>
      <c r="AL53" s="59">
        <f t="shared" si="174"/>
        <v>2181620.362702</v>
      </c>
      <c r="AM53" s="60">
        <f t="shared" si="175"/>
        <v>641347.40999999992</v>
      </c>
      <c r="AN53" s="59">
        <f t="shared" si="176"/>
        <v>2120166.267978</v>
      </c>
      <c r="AO53" s="60">
        <f t="shared" si="177"/>
        <v>622757.62999999989</v>
      </c>
      <c r="AP53" s="59">
        <f t="shared" si="178"/>
        <v>2058712.1732539998</v>
      </c>
      <c r="AQ53" s="60">
        <f t="shared" si="179"/>
        <v>604167.84999999986</v>
      </c>
      <c r="AR53" s="59">
        <f t="shared" si="180"/>
        <v>1997258.0785299996</v>
      </c>
      <c r="AS53" s="55">
        <f t="shared" si="181"/>
        <v>585578.06999999983</v>
      </c>
      <c r="AT53" s="59">
        <f t="shared" si="182"/>
        <v>1935803.9838059994</v>
      </c>
      <c r="AU53" s="60">
        <f t="shared" si="183"/>
        <v>566988.2899999998</v>
      </c>
      <c r="AV53" s="59">
        <f t="shared" si="184"/>
        <v>1874349.8890819994</v>
      </c>
      <c r="AW53" s="60">
        <f t="shared" si="185"/>
        <v>548398.50999999978</v>
      </c>
      <c r="AX53" s="59">
        <f t="shared" si="186"/>
        <v>1812895.7943579992</v>
      </c>
      <c r="AY53" s="55">
        <f t="shared" si="187"/>
        <v>529808.72999999986</v>
      </c>
      <c r="AZ53" s="59">
        <f t="shared" si="188"/>
        <v>1751441.6996339995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78"/>
        <v>0.91</v>
      </c>
      <c r="BH53" s="55">
        <f t="shared" si="278"/>
        <v>0.89</v>
      </c>
      <c r="BI53" s="55">
        <f t="shared" si="278"/>
        <v>0.87</v>
      </c>
      <c r="BJ53" s="55">
        <f t="shared" si="278"/>
        <v>0.85</v>
      </c>
      <c r="BK53" s="55">
        <f t="shared" si="278"/>
        <v>0.83</v>
      </c>
      <c r="BL53" s="55">
        <f t="shared" si="278"/>
        <v>0.80999999999999994</v>
      </c>
      <c r="BM53" s="55">
        <f t="shared" si="278"/>
        <v>0.78999999999999992</v>
      </c>
      <c r="BN53" s="55">
        <f t="shared" si="278"/>
        <v>0.76999999999999991</v>
      </c>
      <c r="BO53" s="55">
        <f t="shared" si="278"/>
        <v>0.74999999999999989</v>
      </c>
      <c r="BP53" s="55">
        <f t="shared" si="278"/>
        <v>0.72999999999999987</v>
      </c>
      <c r="BQ53" s="55">
        <f t="shared" si="278"/>
        <v>0.70999999999999985</v>
      </c>
      <c r="BR53" s="55">
        <f t="shared" si="278"/>
        <v>0.68999999999999984</v>
      </c>
      <c r="BS53" s="55">
        <f t="shared" si="278"/>
        <v>0.66999999999999982</v>
      </c>
      <c r="BT53" s="55">
        <f t="shared" si="278"/>
        <v>0.6499999999999998</v>
      </c>
      <c r="BU53" s="55">
        <f t="shared" si="278"/>
        <v>0.62999999999999978</v>
      </c>
      <c r="BV53" s="55">
        <f t="shared" si="278"/>
        <v>0.60999999999999976</v>
      </c>
      <c r="BW53" s="55">
        <f t="shared" si="278"/>
        <v>0.58999999999999975</v>
      </c>
      <c r="BX53" s="55">
        <f t="shared" si="278"/>
        <v>0.56999999999999973</v>
      </c>
      <c r="BZ53" s="55">
        <f t="shared" si="87"/>
        <v>845834.99000000011</v>
      </c>
      <c r="CA53" s="55">
        <f t="shared" si="88"/>
        <v>845834.99000000011</v>
      </c>
      <c r="CB53" s="59">
        <f t="shared" si="189"/>
        <v>2796161.3099420005</v>
      </c>
      <c r="CC53" s="55">
        <f t="shared" si="190"/>
        <v>820459.94030000013</v>
      </c>
      <c r="CD53" s="59">
        <f t="shared" si="191"/>
        <v>2712276.4706437406</v>
      </c>
      <c r="CE53" s="55">
        <f t="shared" si="192"/>
        <v>803543.24050000007</v>
      </c>
      <c r="CF53" s="59">
        <f t="shared" si="193"/>
        <v>2656353.2444449002</v>
      </c>
      <c r="CG53" s="55">
        <f t="shared" si="194"/>
        <v>786626.54070000013</v>
      </c>
      <c r="CH53" s="59">
        <f t="shared" si="195"/>
        <v>2600430.0182460607</v>
      </c>
      <c r="CI53" s="57">
        <f t="shared" si="196"/>
        <v>769709.84090000007</v>
      </c>
      <c r="CJ53" s="59">
        <f t="shared" si="197"/>
        <v>2544506.7920472203</v>
      </c>
      <c r="CK53" s="55">
        <f t="shared" si="198"/>
        <v>752793.14110000012</v>
      </c>
      <c r="CL53" s="59">
        <f t="shared" si="199"/>
        <v>2488583.5658483803</v>
      </c>
      <c r="CM53" s="57">
        <f t="shared" si="200"/>
        <v>735876.44130000006</v>
      </c>
      <c r="CN53" s="59">
        <f t="shared" si="201"/>
        <v>2432660.3396495404</v>
      </c>
      <c r="CO53" s="60">
        <f t="shared" si="202"/>
        <v>718959.74150000012</v>
      </c>
      <c r="CP53" s="59">
        <f t="shared" si="203"/>
        <v>2376737.1134507004</v>
      </c>
      <c r="CQ53" s="57">
        <f t="shared" si="204"/>
        <v>702043.04170000006</v>
      </c>
      <c r="CR53" s="59">
        <f t="shared" si="205"/>
        <v>2320813.8872518605</v>
      </c>
      <c r="CS53" s="55">
        <f t="shared" si="206"/>
        <v>685126.3419</v>
      </c>
      <c r="CT53" s="59">
        <f t="shared" si="207"/>
        <v>2264890.66105302</v>
      </c>
      <c r="CU53" s="60">
        <f t="shared" si="208"/>
        <v>668209.64210000006</v>
      </c>
      <c r="CV53" s="59">
        <f t="shared" si="209"/>
        <v>2208967.4348541801</v>
      </c>
      <c r="CW53" s="60">
        <f t="shared" si="210"/>
        <v>651292.9423</v>
      </c>
      <c r="CX53" s="59">
        <f t="shared" si="211"/>
        <v>2153044.2086553401</v>
      </c>
      <c r="CY53" s="60">
        <f t="shared" si="212"/>
        <v>634376.24249999993</v>
      </c>
      <c r="CZ53" s="59">
        <f t="shared" si="213"/>
        <v>2097120.9824564999</v>
      </c>
      <c r="DA53" s="55">
        <f t="shared" si="214"/>
        <v>617459.54269999999</v>
      </c>
      <c r="DB53" s="59">
        <f t="shared" si="215"/>
        <v>2041197.75625766</v>
      </c>
      <c r="DC53" s="60">
        <f t="shared" si="216"/>
        <v>600542.84289999993</v>
      </c>
      <c r="DD53" s="59">
        <f t="shared" si="217"/>
        <v>1985274.5300588198</v>
      </c>
      <c r="DE53" s="60">
        <f t="shared" si="218"/>
        <v>583626.14309999999</v>
      </c>
      <c r="DF53" s="59">
        <f t="shared" si="219"/>
        <v>1929351.3038599801</v>
      </c>
      <c r="DG53" s="60">
        <f t="shared" si="220"/>
        <v>566709.44329999993</v>
      </c>
      <c r="DH53" s="59">
        <f t="shared" si="221"/>
        <v>1873428.0776611399</v>
      </c>
      <c r="DI53" s="60">
        <f t="shared" si="222"/>
        <v>549792.74349999987</v>
      </c>
      <c r="DJ53" s="59">
        <f t="shared" si="223"/>
        <v>1817504.8514622997</v>
      </c>
      <c r="DK53" s="55">
        <f t="shared" si="224"/>
        <v>532876.04369999992</v>
      </c>
      <c r="DL53" s="59">
        <f t="shared" si="225"/>
        <v>1761581.6252634597</v>
      </c>
      <c r="DM53" s="60">
        <f t="shared" si="226"/>
        <v>515959.34389999986</v>
      </c>
      <c r="DN53" s="59">
        <f t="shared" si="227"/>
        <v>1705658.3990646196</v>
      </c>
      <c r="DO53" s="60">
        <f t="shared" si="228"/>
        <v>499042.64409999986</v>
      </c>
      <c r="DP53" s="59">
        <f t="shared" si="229"/>
        <v>1649735.1728657796</v>
      </c>
      <c r="DQ53" s="55">
        <f t="shared" si="230"/>
        <v>482125.94429999986</v>
      </c>
      <c r="DR53" s="59">
        <f t="shared" si="231"/>
        <v>1593811.9466669396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81"/>
        <v>0.91</v>
      </c>
      <c r="DZ53" s="55">
        <f t="shared" si="281"/>
        <v>0.89</v>
      </c>
      <c r="EA53" s="55">
        <f t="shared" si="281"/>
        <v>0.87</v>
      </c>
      <c r="EB53" s="55">
        <f t="shared" si="281"/>
        <v>0.85</v>
      </c>
      <c r="EC53" s="55">
        <f t="shared" si="281"/>
        <v>0.83</v>
      </c>
      <c r="ED53" s="55">
        <f t="shared" si="281"/>
        <v>0.80999999999999994</v>
      </c>
      <c r="EE53" s="55">
        <f t="shared" si="281"/>
        <v>0.78999999999999992</v>
      </c>
      <c r="EF53" s="55">
        <f t="shared" si="281"/>
        <v>0.76999999999999991</v>
      </c>
      <c r="EG53" s="55">
        <f t="shared" si="281"/>
        <v>0.74999999999999989</v>
      </c>
      <c r="EH53" s="55">
        <f t="shared" si="281"/>
        <v>0.72999999999999987</v>
      </c>
      <c r="EI53" s="55">
        <f t="shared" si="281"/>
        <v>0.70999999999999985</v>
      </c>
      <c r="EJ53" s="55">
        <f t="shared" si="281"/>
        <v>0.68999999999999984</v>
      </c>
      <c r="EK53" s="55">
        <f t="shared" si="281"/>
        <v>0.66999999999999982</v>
      </c>
      <c r="EL53" s="55">
        <f t="shared" si="281"/>
        <v>0.6499999999999998</v>
      </c>
      <c r="EM53" s="55">
        <f t="shared" si="281"/>
        <v>0.62999999999999978</v>
      </c>
      <c r="EN53" s="55">
        <f t="shared" si="281"/>
        <v>0.60999999999999976</v>
      </c>
      <c r="EO53" s="55">
        <f t="shared" si="281"/>
        <v>0.58999999999999975</v>
      </c>
      <c r="EP53" s="55">
        <f t="shared" si="281"/>
        <v>0.56999999999999973</v>
      </c>
      <c r="ER53" s="55">
        <f t="shared" si="141"/>
        <v>769709.84090000007</v>
      </c>
      <c r="ES53" s="55">
        <f t="shared" si="115"/>
        <v>769709.84090000007</v>
      </c>
      <c r="ET53" s="59">
        <f t="shared" si="233"/>
        <v>2544506.7920472203</v>
      </c>
      <c r="EU53" s="55">
        <f t="shared" si="234"/>
        <v>746618.54567300004</v>
      </c>
      <c r="EV53" s="59">
        <f t="shared" si="235"/>
        <v>2468171.5882858038</v>
      </c>
      <c r="EW53" s="55">
        <f t="shared" si="236"/>
        <v>731224.34885499999</v>
      </c>
      <c r="EX53" s="59">
        <f t="shared" si="237"/>
        <v>2417281.4524448588</v>
      </c>
      <c r="EY53" s="55">
        <f t="shared" si="238"/>
        <v>715830.15203700005</v>
      </c>
      <c r="EZ53" s="59">
        <f t="shared" si="239"/>
        <v>2366391.3166039148</v>
      </c>
      <c r="FA53" s="57">
        <f t="shared" si="240"/>
        <v>700435.95521900011</v>
      </c>
      <c r="FB53" s="59">
        <f t="shared" si="241"/>
        <v>2315501.1807629708</v>
      </c>
      <c r="FC53" s="55">
        <f t="shared" si="242"/>
        <v>685041.75840100006</v>
      </c>
      <c r="FD53" s="59">
        <f t="shared" si="243"/>
        <v>2264611.0449220259</v>
      </c>
      <c r="FE53" s="57">
        <f t="shared" si="244"/>
        <v>669647.561583</v>
      </c>
      <c r="FF53" s="59">
        <f t="shared" si="245"/>
        <v>2213720.9090810814</v>
      </c>
      <c r="FG53" s="60">
        <f t="shared" si="246"/>
        <v>654253.36476500006</v>
      </c>
      <c r="FH53" s="59">
        <f t="shared" si="247"/>
        <v>2162830.7732401374</v>
      </c>
      <c r="FI53" s="57">
        <f t="shared" si="248"/>
        <v>638859.16794700001</v>
      </c>
      <c r="FJ53" s="59">
        <f t="shared" si="249"/>
        <v>2111940.6373991929</v>
      </c>
      <c r="FK53" s="55">
        <f t="shared" si="250"/>
        <v>623464.97112899995</v>
      </c>
      <c r="FL53" s="59">
        <f t="shared" si="251"/>
        <v>2061050.5015582482</v>
      </c>
      <c r="FM53" s="60">
        <f t="shared" si="252"/>
        <v>608070.77431100002</v>
      </c>
      <c r="FN53" s="59">
        <f t="shared" si="253"/>
        <v>2010160.3657173039</v>
      </c>
      <c r="FO53" s="60">
        <f t="shared" si="254"/>
        <v>592676.57749299996</v>
      </c>
      <c r="FP53" s="59">
        <f t="shared" si="255"/>
        <v>1959270.2298763592</v>
      </c>
      <c r="FQ53" s="60">
        <f t="shared" si="256"/>
        <v>577282.38067500002</v>
      </c>
      <c r="FR53" s="59">
        <f t="shared" si="257"/>
        <v>1908380.0940354152</v>
      </c>
      <c r="FS53" s="55">
        <f t="shared" si="258"/>
        <v>561888.18385699997</v>
      </c>
      <c r="FT53" s="59">
        <f t="shared" si="259"/>
        <v>1857489.9581944705</v>
      </c>
      <c r="FU53" s="60">
        <f t="shared" si="260"/>
        <v>546493.98703899991</v>
      </c>
      <c r="FV53" s="59">
        <f t="shared" si="261"/>
        <v>1806599.822353526</v>
      </c>
      <c r="FW53" s="60">
        <f t="shared" si="262"/>
        <v>531099.79022099997</v>
      </c>
      <c r="FX53" s="59">
        <f t="shared" si="263"/>
        <v>1755709.6865125818</v>
      </c>
      <c r="FY53" s="60">
        <f t="shared" si="264"/>
        <v>515705.59340299992</v>
      </c>
      <c r="FZ53" s="59">
        <f t="shared" si="265"/>
        <v>1704819.5506716371</v>
      </c>
      <c r="GA53" s="60">
        <f t="shared" si="266"/>
        <v>500311.39658499986</v>
      </c>
      <c r="GB53" s="59">
        <f t="shared" si="267"/>
        <v>1653929.4148306926</v>
      </c>
      <c r="GC53" s="55">
        <f t="shared" si="268"/>
        <v>484917.19976699987</v>
      </c>
      <c r="GD53" s="59">
        <f t="shared" si="269"/>
        <v>1603039.2789897481</v>
      </c>
      <c r="GE53" s="60">
        <f t="shared" si="270"/>
        <v>469523.00294899987</v>
      </c>
      <c r="GF53" s="59">
        <f t="shared" si="271"/>
        <v>1552149.1431488039</v>
      </c>
      <c r="GG53" s="60">
        <f t="shared" si="272"/>
        <v>454128.80613099987</v>
      </c>
      <c r="GH53" s="59">
        <f t="shared" si="273"/>
        <v>1501259.0073078594</v>
      </c>
      <c r="GI53" s="55">
        <f t="shared" si="274"/>
        <v>438734.60931299982</v>
      </c>
      <c r="GJ53" s="59">
        <f t="shared" si="275"/>
        <v>1450368.8714669149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82"/>
        <v>0.91</v>
      </c>
      <c r="GR53" s="55">
        <f t="shared" si="282"/>
        <v>0.89</v>
      </c>
      <c r="GS53" s="55">
        <f t="shared" si="282"/>
        <v>0.87</v>
      </c>
      <c r="GT53" s="55">
        <f t="shared" si="282"/>
        <v>0.85</v>
      </c>
      <c r="GU53" s="55">
        <f t="shared" si="282"/>
        <v>0.83</v>
      </c>
      <c r="GV53" s="55">
        <f t="shared" si="282"/>
        <v>0.80999999999999994</v>
      </c>
      <c r="GW53" s="55">
        <f t="shared" si="282"/>
        <v>0.78999999999999992</v>
      </c>
      <c r="GX53" s="55">
        <f t="shared" si="282"/>
        <v>0.76999999999999991</v>
      </c>
      <c r="GY53" s="55">
        <f t="shared" si="282"/>
        <v>0.74999999999999989</v>
      </c>
      <c r="GZ53" s="55">
        <f t="shared" si="282"/>
        <v>0.72999999999999987</v>
      </c>
      <c r="HA53" s="55">
        <f t="shared" si="282"/>
        <v>0.70999999999999985</v>
      </c>
      <c r="HB53" s="55">
        <f t="shared" si="282"/>
        <v>0.68999999999999984</v>
      </c>
      <c r="HC53" s="55">
        <f t="shared" si="282"/>
        <v>0.66999999999999982</v>
      </c>
      <c r="HD53" s="55">
        <f t="shared" si="282"/>
        <v>0.6499999999999998</v>
      </c>
      <c r="HE53" s="55">
        <f t="shared" si="282"/>
        <v>0.62999999999999978</v>
      </c>
      <c r="HF53" s="55">
        <f t="shared" si="282"/>
        <v>0.60999999999999976</v>
      </c>
      <c r="HG53" s="55">
        <f t="shared" si="282"/>
        <v>0.58999999999999975</v>
      </c>
      <c r="HH53" s="55">
        <f t="shared" si="282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886130</v>
      </c>
      <c r="E54" s="39">
        <f>SUM(E34:E53)</f>
        <v>2929280</v>
      </c>
      <c r="H54" s="55">
        <f t="shared" si="60"/>
        <v>3222208.0000000005</v>
      </c>
      <c r="I54" s="55">
        <f t="shared" si="61"/>
        <v>3222208.0000000005</v>
      </c>
      <c r="J54" s="59">
        <f t="shared" si="62"/>
        <v>10651975.206400001</v>
      </c>
      <c r="K54" s="55">
        <f t="shared" si="147"/>
        <v>3125541.7600000002</v>
      </c>
      <c r="L54" s="59">
        <f t="shared" si="148"/>
        <v>10332415.950208001</v>
      </c>
      <c r="M54" s="55">
        <f t="shared" si="149"/>
        <v>3061097.6</v>
      </c>
      <c r="N54" s="59">
        <f t="shared" si="150"/>
        <v>10119376.446080001</v>
      </c>
      <c r="O54" s="55">
        <f t="shared" si="151"/>
        <v>2996653.4400000004</v>
      </c>
      <c r="P54" s="59">
        <f t="shared" si="152"/>
        <v>9906336.9419520013</v>
      </c>
      <c r="Q54" s="57">
        <f t="shared" si="153"/>
        <v>2932209.2800000007</v>
      </c>
      <c r="R54" s="59">
        <f t="shared" si="154"/>
        <v>9693297.4378240034</v>
      </c>
      <c r="S54" s="55">
        <f t="shared" si="155"/>
        <v>2867765.1200000006</v>
      </c>
      <c r="T54" s="59">
        <f t="shared" si="156"/>
        <v>9480257.9336960018</v>
      </c>
      <c r="U54" s="57">
        <f t="shared" si="157"/>
        <v>2803320.9600000004</v>
      </c>
      <c r="V54" s="59">
        <f t="shared" si="158"/>
        <v>9267218.429568002</v>
      </c>
      <c r="W54" s="60">
        <f t="shared" si="159"/>
        <v>2738876.8000000003</v>
      </c>
      <c r="X54" s="59">
        <f t="shared" si="160"/>
        <v>9054178.9254400004</v>
      </c>
      <c r="Y54" s="57">
        <f t="shared" si="161"/>
        <v>2674432.64</v>
      </c>
      <c r="Z54" s="59">
        <f t="shared" si="162"/>
        <v>8841139.4213120006</v>
      </c>
      <c r="AA54" s="55">
        <f t="shared" si="163"/>
        <v>2609988.48</v>
      </c>
      <c r="AB54" s="59">
        <f t="shared" si="164"/>
        <v>8628099.9171840008</v>
      </c>
      <c r="AC54" s="60">
        <f t="shared" si="165"/>
        <v>2545544.3200000003</v>
      </c>
      <c r="AD54" s="59">
        <f t="shared" si="166"/>
        <v>8415060.4130560011</v>
      </c>
      <c r="AE54" s="60">
        <f t="shared" si="167"/>
        <v>2481100.16</v>
      </c>
      <c r="AF54" s="59">
        <f t="shared" si="168"/>
        <v>8202020.9089280004</v>
      </c>
      <c r="AG54" s="60">
        <f t="shared" si="169"/>
        <v>2416656</v>
      </c>
      <c r="AH54" s="59">
        <f t="shared" si="170"/>
        <v>7988981.4048000006</v>
      </c>
      <c r="AI54" s="55">
        <f t="shared" si="171"/>
        <v>2352211.84</v>
      </c>
      <c r="AJ54" s="59">
        <f t="shared" si="172"/>
        <v>7775941.9006719999</v>
      </c>
      <c r="AK54" s="60">
        <f t="shared" si="173"/>
        <v>2287767.6799999997</v>
      </c>
      <c r="AL54" s="59">
        <f t="shared" si="174"/>
        <v>7562902.3965439992</v>
      </c>
      <c r="AM54" s="60">
        <f t="shared" si="175"/>
        <v>2223323.52</v>
      </c>
      <c r="AN54" s="59">
        <f t="shared" si="176"/>
        <v>7349862.8924160004</v>
      </c>
      <c r="AO54" s="60">
        <f t="shared" si="177"/>
        <v>2158879.36</v>
      </c>
      <c r="AP54" s="59">
        <f t="shared" si="178"/>
        <v>7136823.3882879997</v>
      </c>
      <c r="AQ54" s="60">
        <f t="shared" si="179"/>
        <v>2094435.1999999997</v>
      </c>
      <c r="AR54" s="59">
        <f t="shared" si="180"/>
        <v>6923783.884159999</v>
      </c>
      <c r="AS54" s="55">
        <f t="shared" si="181"/>
        <v>2029991.0399999996</v>
      </c>
      <c r="AT54" s="59">
        <f t="shared" si="182"/>
        <v>6710744.3800319983</v>
      </c>
      <c r="AU54" s="60">
        <f t="shared" si="183"/>
        <v>1965546.8799999994</v>
      </c>
      <c r="AV54" s="59">
        <f t="shared" si="184"/>
        <v>6497704.8759039985</v>
      </c>
      <c r="AW54" s="60">
        <f t="shared" si="185"/>
        <v>1901102.7199999995</v>
      </c>
      <c r="AX54" s="59">
        <f t="shared" si="186"/>
        <v>6284665.3717759987</v>
      </c>
      <c r="AY54" s="55">
        <f t="shared" si="187"/>
        <v>1836658.5599999994</v>
      </c>
      <c r="AZ54" s="59">
        <f t="shared" si="188"/>
        <v>6071625.867647998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78"/>
        <v>0.91</v>
      </c>
      <c r="BH54" s="55">
        <f t="shared" si="278"/>
        <v>0.89</v>
      </c>
      <c r="BI54" s="55">
        <f t="shared" si="278"/>
        <v>0.87</v>
      </c>
      <c r="BJ54" s="55">
        <f t="shared" si="278"/>
        <v>0.85</v>
      </c>
      <c r="BK54" s="55">
        <f t="shared" si="278"/>
        <v>0.83</v>
      </c>
      <c r="BL54" s="55">
        <f t="shared" si="278"/>
        <v>0.80999999999999994</v>
      </c>
      <c r="BM54" s="55">
        <f t="shared" si="278"/>
        <v>0.78999999999999992</v>
      </c>
      <c r="BN54" s="55">
        <f t="shared" si="278"/>
        <v>0.76999999999999991</v>
      </c>
      <c r="BO54" s="55">
        <f t="shared" si="278"/>
        <v>0.74999999999999989</v>
      </c>
      <c r="BP54" s="55">
        <f t="shared" si="278"/>
        <v>0.72999999999999987</v>
      </c>
      <c r="BQ54" s="55">
        <f t="shared" si="278"/>
        <v>0.70999999999999985</v>
      </c>
      <c r="BR54" s="55">
        <f t="shared" si="278"/>
        <v>0.68999999999999984</v>
      </c>
      <c r="BS54" s="55">
        <f t="shared" si="278"/>
        <v>0.66999999999999982</v>
      </c>
      <c r="BT54" s="55">
        <f t="shared" si="278"/>
        <v>0.6499999999999998</v>
      </c>
      <c r="BU54" s="55">
        <f t="shared" si="278"/>
        <v>0.62999999999999978</v>
      </c>
      <c r="BV54" s="55">
        <f t="shared" si="278"/>
        <v>0.60999999999999976</v>
      </c>
      <c r="BW54" s="55">
        <f t="shared" si="278"/>
        <v>0.58999999999999975</v>
      </c>
      <c r="BX54" s="55">
        <f t="shared" si="278"/>
        <v>0.56999999999999973</v>
      </c>
      <c r="BZ54" s="55">
        <f t="shared" si="87"/>
        <v>2932209.2800000007</v>
      </c>
      <c r="CA54" s="55">
        <f t="shared" si="88"/>
        <v>2932209.2800000007</v>
      </c>
      <c r="CB54" s="59">
        <f t="shared" si="189"/>
        <v>9693297.4378240034</v>
      </c>
      <c r="CC54" s="55">
        <f t="shared" si="190"/>
        <v>2844243.0016000005</v>
      </c>
      <c r="CD54" s="59">
        <f t="shared" si="191"/>
        <v>9402498.5146892816</v>
      </c>
      <c r="CE54" s="55">
        <f t="shared" si="192"/>
        <v>2785598.8160000006</v>
      </c>
      <c r="CF54" s="59">
        <f t="shared" si="193"/>
        <v>9208632.5659328029</v>
      </c>
      <c r="CG54" s="55">
        <f t="shared" si="194"/>
        <v>2726954.6304000006</v>
      </c>
      <c r="CH54" s="59">
        <f t="shared" si="195"/>
        <v>9014766.6171763223</v>
      </c>
      <c r="CI54" s="57">
        <f t="shared" si="196"/>
        <v>2668310.4448000006</v>
      </c>
      <c r="CJ54" s="59">
        <f t="shared" si="197"/>
        <v>8820900.6684198417</v>
      </c>
      <c r="CK54" s="55">
        <f t="shared" si="198"/>
        <v>2609666.2592000007</v>
      </c>
      <c r="CL54" s="59">
        <f t="shared" si="199"/>
        <v>8627034.719663363</v>
      </c>
      <c r="CM54" s="57">
        <f t="shared" si="200"/>
        <v>2551022.0736000007</v>
      </c>
      <c r="CN54" s="59">
        <f t="shared" si="201"/>
        <v>8433168.7709068824</v>
      </c>
      <c r="CO54" s="60">
        <f t="shared" si="202"/>
        <v>2492377.8880000007</v>
      </c>
      <c r="CP54" s="59">
        <f t="shared" si="203"/>
        <v>8239302.8221504027</v>
      </c>
      <c r="CQ54" s="57">
        <f t="shared" si="204"/>
        <v>2433733.7024000003</v>
      </c>
      <c r="CR54" s="59">
        <f t="shared" si="205"/>
        <v>8045436.8733939212</v>
      </c>
      <c r="CS54" s="55">
        <f t="shared" si="206"/>
        <v>2375089.5168000003</v>
      </c>
      <c r="CT54" s="59">
        <f t="shared" si="207"/>
        <v>7851570.9246374415</v>
      </c>
      <c r="CU54" s="60">
        <f t="shared" si="208"/>
        <v>2316445.3312000004</v>
      </c>
      <c r="CV54" s="59">
        <f t="shared" si="209"/>
        <v>7657704.9758809609</v>
      </c>
      <c r="CW54" s="60">
        <f t="shared" si="210"/>
        <v>2257801.1456000004</v>
      </c>
      <c r="CX54" s="59">
        <f t="shared" si="211"/>
        <v>7463839.0271244813</v>
      </c>
      <c r="CY54" s="60">
        <f t="shared" si="212"/>
        <v>2199156.9600000004</v>
      </c>
      <c r="CZ54" s="59">
        <f t="shared" si="213"/>
        <v>7269973.0783680016</v>
      </c>
      <c r="DA54" s="55">
        <f t="shared" si="214"/>
        <v>2140512.7744</v>
      </c>
      <c r="DB54" s="59">
        <f t="shared" si="215"/>
        <v>7076107.1296115201</v>
      </c>
      <c r="DC54" s="60">
        <f t="shared" si="216"/>
        <v>2081868.5888</v>
      </c>
      <c r="DD54" s="59">
        <f t="shared" si="217"/>
        <v>6882241.1808550404</v>
      </c>
      <c r="DE54" s="60">
        <f t="shared" si="218"/>
        <v>2023224.4032000001</v>
      </c>
      <c r="DF54" s="59">
        <f t="shared" si="219"/>
        <v>6688375.2320985608</v>
      </c>
      <c r="DG54" s="60">
        <f t="shared" si="220"/>
        <v>1964580.2175999999</v>
      </c>
      <c r="DH54" s="59">
        <f t="shared" si="221"/>
        <v>6494509.2833420793</v>
      </c>
      <c r="DI54" s="60">
        <f t="shared" si="222"/>
        <v>1905936.0319999999</v>
      </c>
      <c r="DJ54" s="59">
        <f t="shared" si="223"/>
        <v>6300643.3345855996</v>
      </c>
      <c r="DK54" s="55">
        <f t="shared" si="224"/>
        <v>1847291.8463999999</v>
      </c>
      <c r="DL54" s="59">
        <f t="shared" si="225"/>
        <v>6106777.3858291199</v>
      </c>
      <c r="DM54" s="60">
        <f t="shared" si="226"/>
        <v>1788647.6607999997</v>
      </c>
      <c r="DN54" s="59">
        <f t="shared" si="227"/>
        <v>5912911.4370726394</v>
      </c>
      <c r="DO54" s="60">
        <f t="shared" si="228"/>
        <v>1730003.4751999998</v>
      </c>
      <c r="DP54" s="59">
        <f t="shared" si="229"/>
        <v>5719045.4883161597</v>
      </c>
      <c r="DQ54" s="55">
        <f t="shared" si="230"/>
        <v>1671359.2895999996</v>
      </c>
      <c r="DR54" s="59">
        <f t="shared" si="231"/>
        <v>5525179.5395596791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81"/>
        <v>0.91</v>
      </c>
      <c r="DZ54" s="55">
        <f t="shared" si="281"/>
        <v>0.89</v>
      </c>
      <c r="EA54" s="55">
        <f t="shared" si="281"/>
        <v>0.87</v>
      </c>
      <c r="EB54" s="55">
        <f t="shared" si="281"/>
        <v>0.85</v>
      </c>
      <c r="EC54" s="55">
        <f t="shared" si="281"/>
        <v>0.83</v>
      </c>
      <c r="ED54" s="55">
        <f t="shared" si="281"/>
        <v>0.80999999999999994</v>
      </c>
      <c r="EE54" s="55">
        <f t="shared" si="281"/>
        <v>0.78999999999999992</v>
      </c>
      <c r="EF54" s="55">
        <f t="shared" si="281"/>
        <v>0.76999999999999991</v>
      </c>
      <c r="EG54" s="55">
        <f t="shared" si="281"/>
        <v>0.74999999999999989</v>
      </c>
      <c r="EH54" s="55">
        <f t="shared" si="281"/>
        <v>0.72999999999999987</v>
      </c>
      <c r="EI54" s="55">
        <f t="shared" si="281"/>
        <v>0.70999999999999985</v>
      </c>
      <c r="EJ54" s="55">
        <f t="shared" si="281"/>
        <v>0.68999999999999984</v>
      </c>
      <c r="EK54" s="55">
        <f t="shared" si="281"/>
        <v>0.66999999999999982</v>
      </c>
      <c r="EL54" s="55">
        <f t="shared" si="281"/>
        <v>0.6499999999999998</v>
      </c>
      <c r="EM54" s="55">
        <f t="shared" si="281"/>
        <v>0.62999999999999978</v>
      </c>
      <c r="EN54" s="55">
        <f t="shared" si="281"/>
        <v>0.60999999999999976</v>
      </c>
      <c r="EO54" s="55">
        <f t="shared" si="281"/>
        <v>0.58999999999999975</v>
      </c>
      <c r="EP54" s="55">
        <f t="shared" si="281"/>
        <v>0.56999999999999973</v>
      </c>
      <c r="ER54" s="55">
        <f t="shared" si="141"/>
        <v>2668310.4448000006</v>
      </c>
      <c r="ES54" s="55">
        <f t="shared" si="115"/>
        <v>2668310.4448000006</v>
      </c>
      <c r="ET54" s="59">
        <f t="shared" si="233"/>
        <v>8820900.6684198417</v>
      </c>
      <c r="EU54" s="55">
        <f t="shared" si="234"/>
        <v>2588261.1314560007</v>
      </c>
      <c r="EV54" s="59">
        <f t="shared" si="235"/>
        <v>8556273.6483672466</v>
      </c>
      <c r="EW54" s="55">
        <f t="shared" si="236"/>
        <v>2534894.9225600003</v>
      </c>
      <c r="EX54" s="59">
        <f t="shared" si="237"/>
        <v>8379855.6349988496</v>
      </c>
      <c r="EY54" s="55">
        <f t="shared" si="238"/>
        <v>2481528.7136640009</v>
      </c>
      <c r="EZ54" s="59">
        <f t="shared" si="239"/>
        <v>8203437.6216304544</v>
      </c>
      <c r="FA54" s="57">
        <f t="shared" si="240"/>
        <v>2428162.5047680004</v>
      </c>
      <c r="FB54" s="59">
        <f t="shared" si="241"/>
        <v>8027019.6082620565</v>
      </c>
      <c r="FC54" s="55">
        <f t="shared" si="242"/>
        <v>2374796.2958720005</v>
      </c>
      <c r="FD54" s="59">
        <f t="shared" si="243"/>
        <v>7850601.5948936595</v>
      </c>
      <c r="FE54" s="57">
        <f t="shared" si="244"/>
        <v>2321430.0869760006</v>
      </c>
      <c r="FF54" s="59">
        <f t="shared" si="245"/>
        <v>7674183.5815252624</v>
      </c>
      <c r="FG54" s="60">
        <f t="shared" si="246"/>
        <v>2268063.8780800006</v>
      </c>
      <c r="FH54" s="59">
        <f t="shared" si="247"/>
        <v>7497765.5681568664</v>
      </c>
      <c r="FI54" s="57">
        <f t="shared" si="248"/>
        <v>2214697.6691840002</v>
      </c>
      <c r="FJ54" s="59">
        <f t="shared" si="249"/>
        <v>7321347.5547884684</v>
      </c>
      <c r="FK54" s="55">
        <f t="shared" si="250"/>
        <v>2161331.4602880003</v>
      </c>
      <c r="FL54" s="59">
        <f t="shared" si="251"/>
        <v>7144929.5414200714</v>
      </c>
      <c r="FM54" s="60">
        <f t="shared" si="252"/>
        <v>2107965.2513920004</v>
      </c>
      <c r="FN54" s="59">
        <f t="shared" si="253"/>
        <v>6968511.5280516753</v>
      </c>
      <c r="FO54" s="60">
        <f t="shared" si="254"/>
        <v>2054599.0424960002</v>
      </c>
      <c r="FP54" s="59">
        <f t="shared" si="255"/>
        <v>6792093.5146832773</v>
      </c>
      <c r="FQ54" s="60">
        <f t="shared" si="256"/>
        <v>2001232.8336000002</v>
      </c>
      <c r="FR54" s="59">
        <f t="shared" si="257"/>
        <v>6615675.5013148813</v>
      </c>
      <c r="FS54" s="55">
        <f t="shared" si="258"/>
        <v>1947866.6247040001</v>
      </c>
      <c r="FT54" s="59">
        <f t="shared" si="259"/>
        <v>6439257.4879464833</v>
      </c>
      <c r="FU54" s="60">
        <f t="shared" si="260"/>
        <v>1894500.4158080001</v>
      </c>
      <c r="FV54" s="59">
        <f t="shared" si="261"/>
        <v>6262839.4745780872</v>
      </c>
      <c r="FW54" s="60">
        <f t="shared" si="262"/>
        <v>1841134.206912</v>
      </c>
      <c r="FX54" s="59">
        <f t="shared" si="263"/>
        <v>6086421.4612096893</v>
      </c>
      <c r="FY54" s="60">
        <f t="shared" si="264"/>
        <v>1787767.998016</v>
      </c>
      <c r="FZ54" s="59">
        <f t="shared" si="265"/>
        <v>5910003.4478412932</v>
      </c>
      <c r="GA54" s="60">
        <f t="shared" si="266"/>
        <v>1734401.7891199999</v>
      </c>
      <c r="GB54" s="59">
        <f t="shared" si="267"/>
        <v>5733585.4344728952</v>
      </c>
      <c r="GC54" s="55">
        <f t="shared" si="268"/>
        <v>1681035.5802239999</v>
      </c>
      <c r="GD54" s="59">
        <f t="shared" si="269"/>
        <v>5557167.4211044991</v>
      </c>
      <c r="GE54" s="60">
        <f t="shared" si="270"/>
        <v>1627669.3713279997</v>
      </c>
      <c r="GF54" s="59">
        <f t="shared" si="271"/>
        <v>5380749.4077361021</v>
      </c>
      <c r="GG54" s="60">
        <f t="shared" si="272"/>
        <v>1574303.1624319998</v>
      </c>
      <c r="GH54" s="59">
        <f t="shared" si="273"/>
        <v>5204331.3943677051</v>
      </c>
      <c r="GI54" s="55">
        <f t="shared" si="274"/>
        <v>1520936.9535359996</v>
      </c>
      <c r="GJ54" s="59">
        <f t="shared" si="275"/>
        <v>5027913.3809993081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82"/>
        <v>0.91</v>
      </c>
      <c r="GR54" s="55">
        <f t="shared" si="282"/>
        <v>0.89</v>
      </c>
      <c r="GS54" s="55">
        <f t="shared" si="282"/>
        <v>0.87</v>
      </c>
      <c r="GT54" s="55">
        <f t="shared" si="282"/>
        <v>0.85</v>
      </c>
      <c r="GU54" s="55">
        <f t="shared" si="282"/>
        <v>0.83</v>
      </c>
      <c r="GV54" s="55">
        <f t="shared" si="282"/>
        <v>0.80999999999999994</v>
      </c>
      <c r="GW54" s="55">
        <f t="shared" si="282"/>
        <v>0.78999999999999992</v>
      </c>
      <c r="GX54" s="55">
        <f t="shared" si="282"/>
        <v>0.76999999999999991</v>
      </c>
      <c r="GY54" s="55">
        <f t="shared" si="282"/>
        <v>0.74999999999999989</v>
      </c>
      <c r="GZ54" s="55">
        <f t="shared" si="282"/>
        <v>0.72999999999999987</v>
      </c>
      <c r="HA54" s="55">
        <f t="shared" si="282"/>
        <v>0.70999999999999985</v>
      </c>
      <c r="HB54" s="55">
        <f t="shared" si="282"/>
        <v>0.68999999999999984</v>
      </c>
      <c r="HC54" s="55">
        <f t="shared" si="282"/>
        <v>0.66999999999999982</v>
      </c>
      <c r="HD54" s="55">
        <f t="shared" si="282"/>
        <v>0.6499999999999998</v>
      </c>
      <c r="HE54" s="55">
        <f t="shared" si="282"/>
        <v>0.62999999999999978</v>
      </c>
      <c r="HF54" s="55">
        <f t="shared" si="282"/>
        <v>0.60999999999999976</v>
      </c>
      <c r="HG54" s="55">
        <f t="shared" si="282"/>
        <v>0.58999999999999975</v>
      </c>
      <c r="HH54" s="55">
        <f t="shared" si="282"/>
        <v>0.56999999999999973</v>
      </c>
    </row>
    <row r="55" spans="1:216" s="64" customFormat="1" x14ac:dyDescent="0.3">
      <c r="C55" s="65"/>
      <c r="D55" s="65"/>
      <c r="E55" s="65"/>
      <c r="G55" s="61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2"/>
      <c r="U55" s="61"/>
      <c r="V55" s="63"/>
      <c r="W55" s="61"/>
      <c r="X55" s="62"/>
      <c r="Y55" s="61"/>
      <c r="Z55" s="61"/>
      <c r="AA55" s="61"/>
      <c r="AB55" s="63"/>
      <c r="AC55" s="61"/>
      <c r="AD55" s="63"/>
      <c r="AE55" s="61"/>
      <c r="AF55" s="63"/>
      <c r="AG55" s="61"/>
      <c r="AH55" s="61"/>
      <c r="AI55" s="61"/>
      <c r="AJ55" s="63"/>
      <c r="AK55" s="61"/>
      <c r="AL55" s="63"/>
      <c r="AM55" s="61"/>
      <c r="AN55" s="63"/>
      <c r="AO55" s="61"/>
      <c r="AP55" s="63"/>
      <c r="AQ55" s="61"/>
      <c r="AR55" s="61"/>
      <c r="AS55" s="61"/>
      <c r="AT55" s="63"/>
      <c r="AU55" s="61"/>
      <c r="AV55" s="63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>
        <f t="shared" ref="BY55:BY56" si="283">+G55*0.91</f>
        <v>0</v>
      </c>
      <c r="BZ55" s="61"/>
      <c r="CA55" s="61"/>
      <c r="CB55" s="61"/>
      <c r="CC55" s="61"/>
      <c r="CD55" s="61"/>
      <c r="CE55" s="61"/>
      <c r="CF55" s="61"/>
      <c r="CG55" s="61"/>
      <c r="CH55" s="62"/>
      <c r="CI55" s="61"/>
      <c r="CJ55" s="61"/>
      <c r="CK55" s="61"/>
      <c r="CL55" s="62"/>
      <c r="CM55" s="61"/>
      <c r="CN55" s="63"/>
      <c r="CO55" s="61"/>
      <c r="CP55" s="62"/>
      <c r="CQ55" s="61"/>
      <c r="CR55" s="61"/>
      <c r="CS55" s="61"/>
      <c r="CT55" s="63"/>
      <c r="CU55" s="61"/>
      <c r="CV55" s="63"/>
      <c r="CW55" s="61"/>
      <c r="CX55" s="63"/>
      <c r="CY55" s="61"/>
      <c r="CZ55" s="61"/>
      <c r="DA55" s="61"/>
      <c r="DB55" s="63"/>
      <c r="DC55" s="61"/>
      <c r="DD55" s="63"/>
      <c r="DE55" s="61"/>
      <c r="DF55" s="63"/>
      <c r="DG55" s="61"/>
      <c r="DH55" s="63"/>
      <c r="DI55" s="61"/>
      <c r="DJ55" s="61"/>
      <c r="DK55" s="61"/>
      <c r="DL55" s="63"/>
      <c r="DM55" s="61"/>
      <c r="DN55" s="63"/>
      <c r="DO55" s="61"/>
      <c r="DP55" s="61"/>
      <c r="DQ55" s="61"/>
      <c r="DR55" s="61"/>
      <c r="DS55" s="61"/>
      <c r="DT55" s="61">
        <v>1</v>
      </c>
      <c r="DU55" s="61">
        <v>0.97</v>
      </c>
      <c r="DV55" s="61">
        <v>0.95</v>
      </c>
      <c r="DW55" s="61">
        <v>0.93</v>
      </c>
      <c r="DX55" s="61">
        <f t="shared" ref="DX55:EO56" si="284">+DW55-0.02</f>
        <v>0.91</v>
      </c>
      <c r="DY55" s="61">
        <f t="shared" si="284"/>
        <v>0.89</v>
      </c>
      <c r="DZ55" s="61">
        <f t="shared" si="284"/>
        <v>0.87</v>
      </c>
      <c r="EA55" s="61">
        <f t="shared" si="284"/>
        <v>0.85</v>
      </c>
      <c r="EB55" s="61">
        <f t="shared" si="284"/>
        <v>0.83</v>
      </c>
      <c r="EC55" s="61">
        <f t="shared" si="284"/>
        <v>0.80999999999999994</v>
      </c>
      <c r="ED55" s="61">
        <f t="shared" si="284"/>
        <v>0.78999999999999992</v>
      </c>
      <c r="EE55" s="61">
        <f t="shared" si="284"/>
        <v>0.76999999999999991</v>
      </c>
      <c r="EF55" s="61">
        <f t="shared" si="284"/>
        <v>0.74999999999999989</v>
      </c>
      <c r="EG55" s="61">
        <f t="shared" si="284"/>
        <v>0.72999999999999987</v>
      </c>
      <c r="EH55" s="61">
        <f t="shared" si="284"/>
        <v>0.70999999999999985</v>
      </c>
      <c r="EI55" s="61">
        <f t="shared" si="284"/>
        <v>0.68999999999999984</v>
      </c>
      <c r="EJ55" s="61">
        <f t="shared" si="284"/>
        <v>0.66999999999999982</v>
      </c>
      <c r="EK55" s="61">
        <f t="shared" si="284"/>
        <v>0.6499999999999998</v>
      </c>
      <c r="EL55" s="61">
        <f t="shared" si="284"/>
        <v>0.62999999999999978</v>
      </c>
      <c r="EM55" s="61">
        <f t="shared" si="284"/>
        <v>0.60999999999999976</v>
      </c>
      <c r="EN55" s="61">
        <f t="shared" si="284"/>
        <v>0.58999999999999975</v>
      </c>
      <c r="EO55" s="61">
        <f t="shared" si="284"/>
        <v>0.56999999999999973</v>
      </c>
      <c r="EQ55" s="61">
        <f t="shared" ref="EQ55:EQ56" si="285">+BY55*0.91</f>
        <v>0</v>
      </c>
      <c r="ER55" s="61"/>
      <c r="ES55" s="61"/>
      <c r="ET55" s="61"/>
      <c r="EU55" s="61"/>
      <c r="EV55" s="61"/>
      <c r="EW55" s="61"/>
      <c r="EX55" s="61"/>
      <c r="EY55" s="61"/>
      <c r="EZ55" s="62"/>
      <c r="FA55" s="61"/>
      <c r="FB55" s="61"/>
      <c r="FC55" s="61"/>
      <c r="FD55" s="62"/>
      <c r="FE55" s="61"/>
      <c r="FF55" s="63"/>
      <c r="FG55" s="61"/>
      <c r="FH55" s="62"/>
      <c r="FI55" s="61"/>
      <c r="FJ55" s="61"/>
      <c r="FK55" s="61"/>
      <c r="FL55" s="63"/>
      <c r="FM55" s="61"/>
      <c r="FN55" s="63"/>
      <c r="FO55" s="61"/>
      <c r="FP55" s="63"/>
      <c r="FQ55" s="61"/>
      <c r="FR55" s="61"/>
      <c r="FS55" s="61"/>
      <c r="FT55" s="63"/>
      <c r="FU55" s="61"/>
      <c r="FV55" s="63"/>
      <c r="FW55" s="61"/>
      <c r="FX55" s="63"/>
      <c r="FY55" s="61"/>
      <c r="FZ55" s="63"/>
      <c r="GA55" s="61"/>
      <c r="GB55" s="61"/>
      <c r="GC55" s="61"/>
      <c r="GD55" s="63"/>
      <c r="GE55" s="61"/>
      <c r="GF55" s="63"/>
      <c r="GG55" s="61"/>
      <c r="GH55" s="61"/>
      <c r="GI55" s="61"/>
      <c r="GJ55" s="61"/>
      <c r="GK55" s="61"/>
      <c r="GL55" s="61">
        <v>1</v>
      </c>
      <c r="GM55" s="61">
        <v>0.97</v>
      </c>
      <c r="GN55" s="61">
        <v>0.95</v>
      </c>
      <c r="GO55" s="61">
        <v>0.93</v>
      </c>
      <c r="GP55" s="61">
        <f t="shared" ref="GP55:HG56" si="286">+GO55-0.02</f>
        <v>0.91</v>
      </c>
      <c r="GQ55" s="61">
        <f t="shared" si="286"/>
        <v>0.89</v>
      </c>
      <c r="GR55" s="61">
        <f t="shared" si="286"/>
        <v>0.87</v>
      </c>
      <c r="GS55" s="61">
        <f t="shared" si="286"/>
        <v>0.85</v>
      </c>
      <c r="GT55" s="61">
        <f t="shared" si="286"/>
        <v>0.83</v>
      </c>
      <c r="GU55" s="61">
        <f t="shared" si="286"/>
        <v>0.80999999999999994</v>
      </c>
      <c r="GV55" s="61">
        <f t="shared" si="286"/>
        <v>0.78999999999999992</v>
      </c>
      <c r="GW55" s="61">
        <f t="shared" si="286"/>
        <v>0.76999999999999991</v>
      </c>
      <c r="GX55" s="61">
        <f t="shared" si="286"/>
        <v>0.74999999999999989</v>
      </c>
      <c r="GY55" s="61">
        <f t="shared" si="286"/>
        <v>0.72999999999999987</v>
      </c>
      <c r="GZ55" s="61">
        <f t="shared" si="286"/>
        <v>0.70999999999999985</v>
      </c>
      <c r="HA55" s="61">
        <f t="shared" si="286"/>
        <v>0.68999999999999984</v>
      </c>
      <c r="HB55" s="61">
        <f t="shared" si="286"/>
        <v>0.66999999999999982</v>
      </c>
      <c r="HC55" s="61">
        <f t="shared" si="286"/>
        <v>0.6499999999999998</v>
      </c>
      <c r="HD55" s="61">
        <f t="shared" si="286"/>
        <v>0.62999999999999978</v>
      </c>
      <c r="HE55" s="61">
        <f t="shared" si="286"/>
        <v>0.60999999999999976</v>
      </c>
      <c r="HF55" s="61">
        <f t="shared" si="286"/>
        <v>0.58999999999999975</v>
      </c>
      <c r="HG55" s="61">
        <f t="shared" si="286"/>
        <v>0.56999999999999973</v>
      </c>
    </row>
    <row r="56" spans="1:216" s="64" customFormat="1" ht="17.25" thickBot="1" x14ac:dyDescent="0.35">
      <c r="B56" s="64" t="s">
        <v>294</v>
      </c>
      <c r="C56" s="64" t="s">
        <v>295</v>
      </c>
      <c r="D56" s="65" t="s">
        <v>292</v>
      </c>
      <c r="E56" s="65" t="s">
        <v>315</v>
      </c>
      <c r="G56" s="61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2"/>
      <c r="U56" s="61"/>
      <c r="V56" s="63"/>
      <c r="W56" s="61"/>
      <c r="X56" s="62"/>
      <c r="Y56" s="61"/>
      <c r="Z56" s="61"/>
      <c r="AA56" s="61"/>
      <c r="AB56" s="63"/>
      <c r="AC56" s="61"/>
      <c r="AD56" s="63"/>
      <c r="AE56" s="61"/>
      <c r="AF56" s="63"/>
      <c r="AG56" s="61"/>
      <c r="AH56" s="61"/>
      <c r="AI56" s="61"/>
      <c r="AJ56" s="63"/>
      <c r="AK56" s="61"/>
      <c r="AL56" s="63"/>
      <c r="AM56" s="61"/>
      <c r="AN56" s="63"/>
      <c r="AO56" s="61"/>
      <c r="AP56" s="63"/>
      <c r="AQ56" s="61"/>
      <c r="AR56" s="61"/>
      <c r="AS56" s="61"/>
      <c r="AT56" s="63"/>
      <c r="AU56" s="61"/>
      <c r="AV56" s="63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>
        <f t="shared" si="283"/>
        <v>0</v>
      </c>
      <c r="BZ56" s="61"/>
      <c r="CA56" s="61"/>
      <c r="CB56" s="61"/>
      <c r="CC56" s="61"/>
      <c r="CD56" s="61"/>
      <c r="CE56" s="61"/>
      <c r="CF56" s="61"/>
      <c r="CG56" s="61"/>
      <c r="CH56" s="62"/>
      <c r="CI56" s="61"/>
      <c r="CJ56" s="61"/>
      <c r="CK56" s="61"/>
      <c r="CL56" s="62"/>
      <c r="CM56" s="61"/>
      <c r="CN56" s="63"/>
      <c r="CO56" s="61"/>
      <c r="CP56" s="62"/>
      <c r="CQ56" s="61"/>
      <c r="CR56" s="61"/>
      <c r="CS56" s="61"/>
      <c r="CT56" s="63"/>
      <c r="CU56" s="61"/>
      <c r="CV56" s="63"/>
      <c r="CW56" s="61"/>
      <c r="CX56" s="63"/>
      <c r="CY56" s="61"/>
      <c r="CZ56" s="61"/>
      <c r="DA56" s="61"/>
      <c r="DB56" s="63"/>
      <c r="DC56" s="61"/>
      <c r="DD56" s="63"/>
      <c r="DE56" s="61"/>
      <c r="DF56" s="63"/>
      <c r="DG56" s="61"/>
      <c r="DH56" s="63"/>
      <c r="DI56" s="61"/>
      <c r="DJ56" s="61"/>
      <c r="DK56" s="61"/>
      <c r="DL56" s="63"/>
      <c r="DM56" s="61"/>
      <c r="DN56" s="63"/>
      <c r="DO56" s="61"/>
      <c r="DP56" s="61"/>
      <c r="DQ56" s="61"/>
      <c r="DR56" s="61"/>
      <c r="DS56" s="61"/>
      <c r="DT56" s="61">
        <v>1</v>
      </c>
      <c r="DU56" s="61">
        <v>0.97</v>
      </c>
      <c r="DV56" s="61">
        <v>0.95</v>
      </c>
      <c r="DW56" s="61">
        <v>0.93</v>
      </c>
      <c r="DX56" s="61">
        <f t="shared" si="284"/>
        <v>0.91</v>
      </c>
      <c r="DY56" s="61">
        <f t="shared" si="284"/>
        <v>0.89</v>
      </c>
      <c r="DZ56" s="61">
        <f t="shared" si="284"/>
        <v>0.87</v>
      </c>
      <c r="EA56" s="61">
        <f t="shared" si="284"/>
        <v>0.85</v>
      </c>
      <c r="EB56" s="61">
        <f t="shared" si="284"/>
        <v>0.83</v>
      </c>
      <c r="EC56" s="61">
        <f t="shared" si="284"/>
        <v>0.80999999999999994</v>
      </c>
      <c r="ED56" s="61">
        <f t="shared" si="284"/>
        <v>0.78999999999999992</v>
      </c>
      <c r="EE56" s="61">
        <f t="shared" si="284"/>
        <v>0.76999999999999991</v>
      </c>
      <c r="EF56" s="61">
        <f t="shared" si="284"/>
        <v>0.74999999999999989</v>
      </c>
      <c r="EG56" s="61">
        <f t="shared" si="284"/>
        <v>0.72999999999999987</v>
      </c>
      <c r="EH56" s="61">
        <f t="shared" si="284"/>
        <v>0.70999999999999985</v>
      </c>
      <c r="EI56" s="61">
        <f t="shared" si="284"/>
        <v>0.68999999999999984</v>
      </c>
      <c r="EJ56" s="61">
        <f t="shared" si="284"/>
        <v>0.66999999999999982</v>
      </c>
      <c r="EK56" s="61">
        <f t="shared" si="284"/>
        <v>0.6499999999999998</v>
      </c>
      <c r="EL56" s="61">
        <f t="shared" si="284"/>
        <v>0.62999999999999978</v>
      </c>
      <c r="EM56" s="61">
        <f t="shared" si="284"/>
        <v>0.60999999999999976</v>
      </c>
      <c r="EN56" s="61">
        <f t="shared" si="284"/>
        <v>0.58999999999999975</v>
      </c>
      <c r="EO56" s="61">
        <f t="shared" si="284"/>
        <v>0.56999999999999973</v>
      </c>
      <c r="EQ56" s="61">
        <f t="shared" si="285"/>
        <v>0</v>
      </c>
      <c r="ER56" s="61"/>
      <c r="ES56" s="61"/>
      <c r="ET56" s="61"/>
      <c r="EU56" s="61"/>
      <c r="EV56" s="61"/>
      <c r="EW56" s="61"/>
      <c r="EX56" s="61"/>
      <c r="EY56" s="61"/>
      <c r="EZ56" s="62"/>
      <c r="FA56" s="61"/>
      <c r="FB56" s="61"/>
      <c r="FC56" s="61"/>
      <c r="FD56" s="62"/>
      <c r="FE56" s="61"/>
      <c r="FF56" s="63"/>
      <c r="FG56" s="61"/>
      <c r="FH56" s="62"/>
      <c r="FI56" s="61"/>
      <c r="FJ56" s="61"/>
      <c r="FK56" s="61"/>
      <c r="FL56" s="63"/>
      <c r="FM56" s="61"/>
      <c r="FN56" s="63"/>
      <c r="FO56" s="61"/>
      <c r="FP56" s="63"/>
      <c r="FQ56" s="61"/>
      <c r="FR56" s="61"/>
      <c r="FS56" s="61"/>
      <c r="FT56" s="63"/>
      <c r="FU56" s="61"/>
      <c r="FV56" s="63"/>
      <c r="FW56" s="61"/>
      <c r="FX56" s="63"/>
      <c r="FY56" s="61"/>
      <c r="FZ56" s="63"/>
      <c r="GA56" s="61"/>
      <c r="GB56" s="61"/>
      <c r="GC56" s="61"/>
      <c r="GD56" s="63"/>
      <c r="GE56" s="61"/>
      <c r="GF56" s="63"/>
      <c r="GG56" s="61"/>
      <c r="GH56" s="61"/>
      <c r="GI56" s="61"/>
      <c r="GJ56" s="61"/>
      <c r="GK56" s="61"/>
      <c r="GL56" s="61">
        <v>1</v>
      </c>
      <c r="GM56" s="61">
        <v>0.97</v>
      </c>
      <c r="GN56" s="61">
        <v>0.95</v>
      </c>
      <c r="GO56" s="61">
        <v>0.93</v>
      </c>
      <c r="GP56" s="61">
        <f t="shared" si="286"/>
        <v>0.91</v>
      </c>
      <c r="GQ56" s="61">
        <f t="shared" si="286"/>
        <v>0.89</v>
      </c>
      <c r="GR56" s="61">
        <f t="shared" si="286"/>
        <v>0.87</v>
      </c>
      <c r="GS56" s="61">
        <f t="shared" si="286"/>
        <v>0.85</v>
      </c>
      <c r="GT56" s="61">
        <f t="shared" si="286"/>
        <v>0.83</v>
      </c>
      <c r="GU56" s="61">
        <f t="shared" si="286"/>
        <v>0.80999999999999994</v>
      </c>
      <c r="GV56" s="61">
        <f t="shared" si="286"/>
        <v>0.78999999999999992</v>
      </c>
      <c r="GW56" s="61">
        <f t="shared" si="286"/>
        <v>0.76999999999999991</v>
      </c>
      <c r="GX56" s="61">
        <f t="shared" si="286"/>
        <v>0.74999999999999989</v>
      </c>
      <c r="GY56" s="61">
        <f t="shared" si="286"/>
        <v>0.72999999999999987</v>
      </c>
      <c r="GZ56" s="61">
        <f t="shared" si="286"/>
        <v>0.70999999999999985</v>
      </c>
      <c r="HA56" s="61">
        <f t="shared" si="286"/>
        <v>0.68999999999999984</v>
      </c>
      <c r="HB56" s="61">
        <f t="shared" si="286"/>
        <v>0.66999999999999982</v>
      </c>
      <c r="HC56" s="61">
        <f t="shared" si="286"/>
        <v>0.6499999999999998</v>
      </c>
      <c r="HD56" s="61">
        <f t="shared" si="286"/>
        <v>0.62999999999999978</v>
      </c>
      <c r="HE56" s="61">
        <f t="shared" si="286"/>
        <v>0.60999999999999976</v>
      </c>
      <c r="HF56" s="61">
        <f t="shared" si="286"/>
        <v>0.58999999999999975</v>
      </c>
      <c r="HG56" s="61">
        <f t="shared" si="286"/>
        <v>0.56999999999999973</v>
      </c>
    </row>
    <row r="57" spans="1:216" x14ac:dyDescent="0.3">
      <c r="A57" s="2">
        <v>1</v>
      </c>
      <c r="C57" s="38" t="s">
        <v>27</v>
      </c>
      <c r="D57" s="40">
        <f>TRUNC(5850,-1)</f>
        <v>5850</v>
      </c>
      <c r="E57" s="85">
        <f>TRUNC(+D57*3.3058,-1)</f>
        <v>19330</v>
      </c>
      <c r="H57" s="55">
        <f t="shared" si="60"/>
        <v>21263</v>
      </c>
      <c r="I57" s="55">
        <f t="shared" si="61"/>
        <v>21263</v>
      </c>
      <c r="J57" s="59">
        <f t="shared" si="62"/>
        <v>70291.225399999996</v>
      </c>
      <c r="K57" s="55">
        <f t="shared" ref="K57:K60" si="287">+I57*BD57</f>
        <v>20625.11</v>
      </c>
      <c r="L57" s="59">
        <f t="shared" ref="L57:L60" si="288">+K57*3.3058</f>
        <v>68182.48863800001</v>
      </c>
      <c r="M57" s="55">
        <f t="shared" ref="M57:M60" si="289">+I57*BE57</f>
        <v>20199.849999999999</v>
      </c>
      <c r="N57" s="59">
        <f t="shared" ref="N57:N60" si="290">+M57*3.3058</f>
        <v>66776.66412999999</v>
      </c>
      <c r="O57" s="55">
        <f>+I57*BF57</f>
        <v>19774.59</v>
      </c>
      <c r="P57" s="59">
        <f t="shared" ref="P57:P60" si="291">+O57*3.3058</f>
        <v>65370.839622</v>
      </c>
      <c r="Q57" s="57">
        <f>+I57*BG57</f>
        <v>19349.330000000002</v>
      </c>
      <c r="R57" s="59">
        <f t="shared" ref="R57:R60" si="292">+Q57*3.3058</f>
        <v>63965.015114000009</v>
      </c>
      <c r="S57" s="55">
        <f>+I57*BH57</f>
        <v>18924.07</v>
      </c>
      <c r="T57" s="59">
        <f t="shared" ref="T57:T60" si="293">+S57*3.3058</f>
        <v>62559.190606000004</v>
      </c>
      <c r="U57" s="57">
        <f>+I57*BI57</f>
        <v>18498.810000000001</v>
      </c>
      <c r="V57" s="59">
        <f t="shared" ref="V57:V60" si="294">+U57*3.3058</f>
        <v>61153.366098000006</v>
      </c>
      <c r="W57" s="60">
        <f>+I57*BJ57</f>
        <v>18073.55</v>
      </c>
      <c r="X57" s="59">
        <f t="shared" ref="X57:X60" si="295">+W57*3.3058</f>
        <v>59747.541590000001</v>
      </c>
      <c r="Y57" s="57">
        <f>+I57*BK57</f>
        <v>17648.29</v>
      </c>
      <c r="Z57" s="59">
        <f t="shared" ref="Z57:Z60" si="296">+Y57*3.3058</f>
        <v>58341.717082000003</v>
      </c>
      <c r="AA57" s="55">
        <f>+I57*BL57</f>
        <v>17223.03</v>
      </c>
      <c r="AB57" s="59">
        <f t="shared" ref="AB57:AB60" si="297">+AA57*3.3058</f>
        <v>56935.892573999998</v>
      </c>
      <c r="AC57" s="60">
        <f>+I57*BM57</f>
        <v>16797.769999999997</v>
      </c>
      <c r="AD57" s="59">
        <f t="shared" ref="AD57:AD60" si="298">+AC57*3.3058</f>
        <v>55530.068065999993</v>
      </c>
      <c r="AE57" s="60">
        <f>+I57*BN57</f>
        <v>16372.509999999998</v>
      </c>
      <c r="AF57" s="59">
        <f t="shared" ref="AF57:AF60" si="299">+AE57*3.3058</f>
        <v>54124.243557999995</v>
      </c>
      <c r="AG57" s="60">
        <f>+I57*BO57</f>
        <v>15947.249999999998</v>
      </c>
      <c r="AH57" s="59">
        <f t="shared" ref="AH57:AH60" si="300">+AG57*3.3058</f>
        <v>52718.419049999997</v>
      </c>
      <c r="AI57" s="55">
        <f>+I57*BP57</f>
        <v>15521.989999999998</v>
      </c>
      <c r="AJ57" s="59">
        <f t="shared" ref="AJ57:AJ60" si="301">+AI57*3.3058</f>
        <v>51312.594541999992</v>
      </c>
      <c r="AK57" s="60">
        <f>+I57*BQ57</f>
        <v>15096.729999999998</v>
      </c>
      <c r="AL57" s="59">
        <f t="shared" ref="AL57:AL60" si="302">+AK57*3.3058</f>
        <v>49906.770033999994</v>
      </c>
      <c r="AM57" s="60">
        <f>+I57*BR57</f>
        <v>14671.469999999996</v>
      </c>
      <c r="AN57" s="59">
        <f t="shared" ref="AN57:AN60" si="303">+AM57*3.3058</f>
        <v>48500.945525999989</v>
      </c>
      <c r="AO57" s="60">
        <f>+I57*BS57</f>
        <v>14246.209999999995</v>
      </c>
      <c r="AP57" s="59">
        <f t="shared" ref="AP57:AP60" si="304">+AO57*3.3058</f>
        <v>47095.121017999983</v>
      </c>
      <c r="AQ57" s="60">
        <f>+I57*BT57</f>
        <v>13820.949999999995</v>
      </c>
      <c r="AR57" s="59">
        <f t="shared" ref="AR57:AR60" si="305">+AQ57*3.3058</f>
        <v>45689.296509999986</v>
      </c>
      <c r="AS57" s="55">
        <f>+I57*BU57</f>
        <v>13395.689999999995</v>
      </c>
      <c r="AT57" s="59">
        <f t="shared" ref="AT57:AT60" si="306">+AS57*3.3058</f>
        <v>44283.472001999988</v>
      </c>
      <c r="AU57" s="60">
        <f>+I57*BV57</f>
        <v>12970.429999999995</v>
      </c>
      <c r="AV57" s="59">
        <f t="shared" ref="AV57:AV60" si="307">+AU57*3.3058</f>
        <v>42877.647493999983</v>
      </c>
      <c r="AW57" s="60">
        <f>+I57*BW57</f>
        <v>12545.169999999995</v>
      </c>
      <c r="AX57" s="59">
        <f t="shared" ref="AX57:AX60" si="308">+AW57*3.3058</f>
        <v>41471.822985999985</v>
      </c>
      <c r="AY57" s="55">
        <f>+I57*BX57</f>
        <v>12119.909999999994</v>
      </c>
      <c r="AZ57" s="59">
        <f t="shared" ref="AZ57:AZ60" si="309">+AY57*3.3058</f>
        <v>40065.99847799998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ref="BG57:BX60" si="310">+BF57-0.02</f>
        <v>0.91</v>
      </c>
      <c r="BH57" s="55">
        <f t="shared" si="310"/>
        <v>0.89</v>
      </c>
      <c r="BI57" s="55">
        <f t="shared" si="310"/>
        <v>0.87</v>
      </c>
      <c r="BJ57" s="55">
        <f t="shared" si="310"/>
        <v>0.85</v>
      </c>
      <c r="BK57" s="55">
        <f t="shared" si="310"/>
        <v>0.83</v>
      </c>
      <c r="BL57" s="55">
        <f t="shared" si="310"/>
        <v>0.80999999999999994</v>
      </c>
      <c r="BM57" s="55">
        <f t="shared" si="310"/>
        <v>0.78999999999999992</v>
      </c>
      <c r="BN57" s="55">
        <f t="shared" si="310"/>
        <v>0.76999999999999991</v>
      </c>
      <c r="BO57" s="55">
        <f t="shared" si="310"/>
        <v>0.74999999999999989</v>
      </c>
      <c r="BP57" s="55">
        <f t="shared" si="310"/>
        <v>0.72999999999999987</v>
      </c>
      <c r="BQ57" s="55">
        <f t="shared" si="310"/>
        <v>0.70999999999999985</v>
      </c>
      <c r="BR57" s="55">
        <f t="shared" si="310"/>
        <v>0.68999999999999984</v>
      </c>
      <c r="BS57" s="55">
        <f t="shared" si="310"/>
        <v>0.66999999999999982</v>
      </c>
      <c r="BT57" s="55">
        <f t="shared" si="310"/>
        <v>0.6499999999999998</v>
      </c>
      <c r="BU57" s="55">
        <f t="shared" si="310"/>
        <v>0.62999999999999978</v>
      </c>
      <c r="BV57" s="55">
        <f t="shared" si="310"/>
        <v>0.60999999999999976</v>
      </c>
      <c r="BW57" s="55">
        <f t="shared" si="310"/>
        <v>0.58999999999999975</v>
      </c>
      <c r="BX57" s="55">
        <f t="shared" si="310"/>
        <v>0.56999999999999973</v>
      </c>
      <c r="BZ57" s="55">
        <f t="shared" si="87"/>
        <v>19349.330000000002</v>
      </c>
      <c r="CA57" s="55">
        <f t="shared" si="88"/>
        <v>19349.330000000002</v>
      </c>
      <c r="CB57" s="59">
        <f t="shared" ref="CB57:CB60" si="311">+CA57*3.3058</f>
        <v>63965.015114000009</v>
      </c>
      <c r="CC57" s="55">
        <f t="shared" ref="CC57:CC60" si="312">+CA57*DV57</f>
        <v>18768.8501</v>
      </c>
      <c r="CD57" s="59">
        <f t="shared" ref="CD57:CD60" si="313">+CC57*3.3058</f>
        <v>62046.064660579999</v>
      </c>
      <c r="CE57" s="55">
        <f t="shared" ref="CE57:CE60" si="314">+CA57*DW57</f>
        <v>18381.863499999999</v>
      </c>
      <c r="CF57" s="59">
        <f t="shared" ref="CF57:CF60" si="315">+CE57*3.3058</f>
        <v>60766.764358300003</v>
      </c>
      <c r="CG57" s="55">
        <f>+CA57*DX57</f>
        <v>17994.876900000003</v>
      </c>
      <c r="CH57" s="59">
        <f t="shared" ref="CH57:CH60" si="316">+CG57*3.3058</f>
        <v>59487.464056020013</v>
      </c>
      <c r="CI57" s="57">
        <f>+CA57*DY57</f>
        <v>17607.890300000003</v>
      </c>
      <c r="CJ57" s="59">
        <f t="shared" ref="CJ57:CJ60" si="317">+CI57*3.3058</f>
        <v>58208.163753740009</v>
      </c>
      <c r="CK57" s="55">
        <f>+CA57*DZ57</f>
        <v>17220.903700000003</v>
      </c>
      <c r="CL57" s="59">
        <f t="shared" ref="CL57:CL60" si="318">+CK57*3.3058</f>
        <v>56928.863451460013</v>
      </c>
      <c r="CM57" s="57">
        <f>+CA57*EA57</f>
        <v>16833.917100000002</v>
      </c>
      <c r="CN57" s="59">
        <f t="shared" ref="CN57:CN60" si="319">+CM57*3.3058</f>
        <v>55649.563149180009</v>
      </c>
      <c r="CO57" s="60">
        <f>+CA57*EB57</f>
        <v>16446.930500000002</v>
      </c>
      <c r="CP57" s="59">
        <f t="shared" ref="CP57:CP60" si="320">+CO57*3.3058</f>
        <v>54370.262846900012</v>
      </c>
      <c r="CQ57" s="57">
        <f>+CA57*EC57</f>
        <v>16059.9439</v>
      </c>
      <c r="CR57" s="59">
        <f t="shared" ref="CR57:CR60" si="321">+CQ57*3.3058</f>
        <v>53090.962544620001</v>
      </c>
      <c r="CS57" s="55">
        <f>+CA57*ED57</f>
        <v>15672.9573</v>
      </c>
      <c r="CT57" s="59">
        <f t="shared" ref="CT57:CT60" si="322">+CS57*3.3058</f>
        <v>51811.662242340004</v>
      </c>
      <c r="CU57" s="60">
        <f>+CA57*EE57</f>
        <v>15285.9707</v>
      </c>
      <c r="CV57" s="59">
        <f t="shared" ref="CV57:CV60" si="323">+CU57*3.3058</f>
        <v>50532.36194006</v>
      </c>
      <c r="CW57" s="60">
        <f>+CA57*EF57</f>
        <v>14898.9841</v>
      </c>
      <c r="CX57" s="59">
        <f t="shared" ref="CX57:CX60" si="324">+CW57*3.3058</f>
        <v>49253.061637780003</v>
      </c>
      <c r="CY57" s="60">
        <f>+CA57*EG57</f>
        <v>14511.997499999999</v>
      </c>
      <c r="CZ57" s="59">
        <f t="shared" ref="CZ57:CZ60" si="325">+CY57*3.3058</f>
        <v>47973.761335499999</v>
      </c>
      <c r="DA57" s="55">
        <f>+CA57*EH57</f>
        <v>14125.010899999999</v>
      </c>
      <c r="DB57" s="59">
        <f t="shared" ref="DB57:DB60" si="326">+DA57*3.3058</f>
        <v>46694.461033219995</v>
      </c>
      <c r="DC57" s="60">
        <f>+CA57*EI57</f>
        <v>13738.024299999999</v>
      </c>
      <c r="DD57" s="59">
        <f t="shared" ref="DD57:DD60" si="327">+DC57*3.3058</f>
        <v>45415.160730939999</v>
      </c>
      <c r="DE57" s="60">
        <f>+CA57*EJ57</f>
        <v>13351.037699999997</v>
      </c>
      <c r="DF57" s="59">
        <f t="shared" ref="DF57:DF60" si="328">+DE57*3.3058</f>
        <v>44135.860428659995</v>
      </c>
      <c r="DG57" s="60">
        <f>+CA57*EK57</f>
        <v>12964.051099999997</v>
      </c>
      <c r="DH57" s="59">
        <f t="shared" ref="DH57:DH60" si="329">+DG57*3.3058</f>
        <v>42856.560126379991</v>
      </c>
      <c r="DI57" s="60">
        <f>+CA57*EL57</f>
        <v>12577.064499999997</v>
      </c>
      <c r="DJ57" s="59">
        <f t="shared" ref="DJ57:DJ60" si="330">+DI57*3.3058</f>
        <v>41577.259824099987</v>
      </c>
      <c r="DK57" s="55">
        <f>+CA57*EM57</f>
        <v>12190.077899999997</v>
      </c>
      <c r="DL57" s="59">
        <f t="shared" ref="DL57:DL60" si="331">+DK57*3.3058</f>
        <v>40297.95952181999</v>
      </c>
      <c r="DM57" s="60">
        <f>+CA57*EN57</f>
        <v>11803.091299999996</v>
      </c>
      <c r="DN57" s="59">
        <f t="shared" ref="DN57:DN60" si="332">+DM57*3.3058</f>
        <v>39018.659219539986</v>
      </c>
      <c r="DO57" s="60">
        <f>+CA57*EO57</f>
        <v>11416.104699999996</v>
      </c>
      <c r="DP57" s="59">
        <f t="shared" ref="DP57:DP60" si="333">+DO57*3.3058</f>
        <v>37739.35891725999</v>
      </c>
      <c r="DQ57" s="55">
        <f>+CA57*EP57</f>
        <v>11029.118099999996</v>
      </c>
      <c r="DR57" s="59">
        <f t="shared" ref="DR57:DR60" si="334">+DQ57*3.3058</f>
        <v>36460.058614979986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1"/>
        <v>0.91</v>
      </c>
      <c r="DZ57" s="55">
        <f t="shared" si="281"/>
        <v>0.89</v>
      </c>
      <c r="EA57" s="55">
        <f t="shared" si="281"/>
        <v>0.87</v>
      </c>
      <c r="EB57" s="55">
        <f t="shared" si="281"/>
        <v>0.85</v>
      </c>
      <c r="EC57" s="55">
        <f t="shared" si="281"/>
        <v>0.83</v>
      </c>
      <c r="ED57" s="55">
        <f t="shared" si="281"/>
        <v>0.80999999999999994</v>
      </c>
      <c r="EE57" s="55">
        <f t="shared" si="281"/>
        <v>0.78999999999999992</v>
      </c>
      <c r="EF57" s="55">
        <f t="shared" si="281"/>
        <v>0.76999999999999991</v>
      </c>
      <c r="EG57" s="55">
        <f t="shared" si="281"/>
        <v>0.74999999999999989</v>
      </c>
      <c r="EH57" s="55">
        <f t="shared" si="281"/>
        <v>0.72999999999999987</v>
      </c>
      <c r="EI57" s="55">
        <f t="shared" si="281"/>
        <v>0.70999999999999985</v>
      </c>
      <c r="EJ57" s="55">
        <f t="shared" si="281"/>
        <v>0.68999999999999984</v>
      </c>
      <c r="EK57" s="55">
        <f t="shared" si="281"/>
        <v>0.66999999999999982</v>
      </c>
      <c r="EL57" s="55">
        <f t="shared" si="281"/>
        <v>0.6499999999999998</v>
      </c>
      <c r="EM57" s="55">
        <f t="shared" si="281"/>
        <v>0.62999999999999978</v>
      </c>
      <c r="EN57" s="55">
        <f t="shared" si="281"/>
        <v>0.60999999999999976</v>
      </c>
      <c r="EO57" s="55">
        <f t="shared" si="281"/>
        <v>0.58999999999999975</v>
      </c>
      <c r="EP57" s="55">
        <f t="shared" si="281"/>
        <v>0.56999999999999973</v>
      </c>
      <c r="ER57" s="55">
        <f t="shared" si="141"/>
        <v>17607.890300000003</v>
      </c>
      <c r="ES57" s="55">
        <f t="shared" si="115"/>
        <v>17607.890300000003</v>
      </c>
      <c r="ET57" s="59">
        <f t="shared" ref="ET57:ET60" si="335">+ES57*3.3058</f>
        <v>58208.163753740009</v>
      </c>
      <c r="EU57" s="55">
        <f t="shared" ref="EU57:EU60" si="336">+ES57*GN57</f>
        <v>17079.653591000002</v>
      </c>
      <c r="EV57" s="59">
        <f t="shared" ref="EV57:EV60" si="337">+EU57*3.3058</f>
        <v>56461.918841127808</v>
      </c>
      <c r="EW57" s="55">
        <f t="shared" ref="EW57:EW60" si="338">+ES57*GO57</f>
        <v>16727.495785000003</v>
      </c>
      <c r="EX57" s="59">
        <f t="shared" ref="EX57:EX60" si="339">+EW57*3.3058</f>
        <v>55297.755566053012</v>
      </c>
      <c r="EY57" s="55">
        <f>+ES57*GP57</f>
        <v>16375.337979000004</v>
      </c>
      <c r="EZ57" s="59">
        <f t="shared" ref="EZ57:EZ60" si="340">+EY57*3.3058</f>
        <v>54133.592290978209</v>
      </c>
      <c r="FA57" s="57">
        <f>+ES57*GQ57</f>
        <v>16023.180173000002</v>
      </c>
      <c r="FB57" s="59">
        <f t="shared" ref="FB57:FB60" si="341">+FA57*3.3058</f>
        <v>52969.429015903406</v>
      </c>
      <c r="FC57" s="55">
        <f>+ES57*GR57</f>
        <v>15671.022367000003</v>
      </c>
      <c r="FD57" s="59">
        <f t="shared" ref="FD57:FD60" si="342">+FC57*3.3058</f>
        <v>51805.26574082861</v>
      </c>
      <c r="FE57" s="57">
        <f>+ES57*GS57</f>
        <v>15318.864561000002</v>
      </c>
      <c r="FF57" s="59">
        <f t="shared" ref="FF57:FF60" si="343">+FE57*3.3058</f>
        <v>50641.102465753807</v>
      </c>
      <c r="FG57" s="60">
        <f>+ES57*GT57</f>
        <v>14966.706755000001</v>
      </c>
      <c r="FH57" s="59">
        <f t="shared" ref="FH57:FH60" si="344">+FG57*3.3058</f>
        <v>49476.939190679004</v>
      </c>
      <c r="FI57" s="57">
        <f>+ES57*GU57</f>
        <v>14614.548949000002</v>
      </c>
      <c r="FJ57" s="59">
        <f t="shared" ref="FJ57:FJ60" si="345">+FI57*3.3058</f>
        <v>48312.775915604208</v>
      </c>
      <c r="FK57" s="55">
        <f>+ES57*GV57</f>
        <v>14262.391143000001</v>
      </c>
      <c r="FL57" s="59">
        <f t="shared" ref="FL57:FL60" si="346">+FK57*3.3058</f>
        <v>47148.612640529405</v>
      </c>
      <c r="FM57" s="60">
        <f>+ES57*GW57</f>
        <v>13910.233337000001</v>
      </c>
      <c r="FN57" s="59">
        <f t="shared" ref="FN57:FN60" si="347">+FM57*3.3058</f>
        <v>45984.44936545461</v>
      </c>
      <c r="FO57" s="60">
        <f>+ES57*GX57</f>
        <v>13558.075531</v>
      </c>
      <c r="FP57" s="59">
        <f t="shared" ref="FP57:FP60" si="348">+FO57*3.3058</f>
        <v>44820.286090379799</v>
      </c>
      <c r="FQ57" s="60">
        <f>+ES57*GY57</f>
        <v>13205.917724999999</v>
      </c>
      <c r="FR57" s="59">
        <f t="shared" ref="FR57:FR60" si="349">+FQ57*3.3058</f>
        <v>43656.122815304996</v>
      </c>
      <c r="FS57" s="55">
        <f>+ES57*GZ57</f>
        <v>12853.759919</v>
      </c>
      <c r="FT57" s="59">
        <f t="shared" ref="FT57:FT60" si="350">+FS57*3.3058</f>
        <v>42491.9595402302</v>
      </c>
      <c r="FU57" s="60">
        <f>+ES57*HA57</f>
        <v>12501.602112999999</v>
      </c>
      <c r="FV57" s="59">
        <f t="shared" ref="FV57:FV60" si="351">+FU57*3.3058</f>
        <v>41327.796265155397</v>
      </c>
      <c r="FW57" s="60">
        <f>+ES57*HB57</f>
        <v>12149.444307</v>
      </c>
      <c r="FX57" s="59">
        <f t="shared" ref="FX57:FX60" si="352">+FW57*3.3058</f>
        <v>40163.632990080601</v>
      </c>
      <c r="FY57" s="60">
        <f>+ES57*HC57</f>
        <v>11797.286500999999</v>
      </c>
      <c r="FZ57" s="59">
        <f t="shared" ref="FZ57:FZ60" si="353">+FY57*3.3058</f>
        <v>38999.469715005798</v>
      </c>
      <c r="GA57" s="60">
        <f>+ES57*HD57</f>
        <v>11445.128694999998</v>
      </c>
      <c r="GB57" s="59">
        <f t="shared" ref="GB57:GB60" si="354">+GA57*3.3058</f>
        <v>37835.306439930995</v>
      </c>
      <c r="GC57" s="55">
        <f>+ES57*HE57</f>
        <v>11092.970888999998</v>
      </c>
      <c r="GD57" s="59">
        <f t="shared" ref="GD57:GD60" si="355">+GC57*3.3058</f>
        <v>36671.143164856192</v>
      </c>
      <c r="GE57" s="60">
        <f>+ES57*HF57</f>
        <v>10740.813082999997</v>
      </c>
      <c r="GF57" s="59">
        <f t="shared" ref="GF57:GF60" si="356">+GE57*3.3058</f>
        <v>35506.979889781389</v>
      </c>
      <c r="GG57" s="60">
        <f>+ES57*HG57</f>
        <v>10388.655276999998</v>
      </c>
      <c r="GH57" s="59">
        <f t="shared" ref="GH57:GH60" si="357">+GG57*3.3058</f>
        <v>34342.816614706593</v>
      </c>
      <c r="GI57" s="55">
        <f>+ES57*HH57</f>
        <v>10036.497470999997</v>
      </c>
      <c r="GJ57" s="59">
        <f t="shared" ref="GJ57:GJ60" si="358">+GI57*3.3058</f>
        <v>33178.65333963179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82"/>
        <v>0.91</v>
      </c>
      <c r="GR57" s="55">
        <f t="shared" si="282"/>
        <v>0.89</v>
      </c>
      <c r="GS57" s="55">
        <f t="shared" si="282"/>
        <v>0.87</v>
      </c>
      <c r="GT57" s="55">
        <f t="shared" si="282"/>
        <v>0.85</v>
      </c>
      <c r="GU57" s="55">
        <f t="shared" si="282"/>
        <v>0.83</v>
      </c>
      <c r="GV57" s="55">
        <f t="shared" si="282"/>
        <v>0.80999999999999994</v>
      </c>
      <c r="GW57" s="55">
        <f t="shared" si="282"/>
        <v>0.78999999999999992</v>
      </c>
      <c r="GX57" s="55">
        <f t="shared" si="282"/>
        <v>0.76999999999999991</v>
      </c>
      <c r="GY57" s="55">
        <f t="shared" si="282"/>
        <v>0.74999999999999989</v>
      </c>
      <c r="GZ57" s="55">
        <f t="shared" si="282"/>
        <v>0.72999999999999987</v>
      </c>
      <c r="HA57" s="55">
        <f t="shared" si="282"/>
        <v>0.70999999999999985</v>
      </c>
      <c r="HB57" s="55">
        <f t="shared" si="282"/>
        <v>0.68999999999999984</v>
      </c>
      <c r="HC57" s="55">
        <f t="shared" si="282"/>
        <v>0.66999999999999982</v>
      </c>
      <c r="HD57" s="55">
        <f t="shared" si="282"/>
        <v>0.6499999999999998</v>
      </c>
      <c r="HE57" s="55">
        <f t="shared" si="282"/>
        <v>0.62999999999999978</v>
      </c>
      <c r="HF57" s="55">
        <f t="shared" si="282"/>
        <v>0.60999999999999976</v>
      </c>
      <c r="HG57" s="55">
        <f t="shared" si="282"/>
        <v>0.58999999999999975</v>
      </c>
      <c r="HH57" s="55">
        <f t="shared" si="282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86">
        <f>TRUNC(+D58*3.3058,-1)</f>
        <v>0</v>
      </c>
      <c r="H58" s="55">
        <f t="shared" si="60"/>
        <v>0</v>
      </c>
      <c r="I58" s="55">
        <f t="shared" si="61"/>
        <v>0</v>
      </c>
      <c r="J58" s="59">
        <f t="shared" si="62"/>
        <v>0</v>
      </c>
      <c r="K58" s="55">
        <f t="shared" si="287"/>
        <v>0</v>
      </c>
      <c r="L58" s="59">
        <f t="shared" si="288"/>
        <v>0</v>
      </c>
      <c r="M58" s="55">
        <f t="shared" si="289"/>
        <v>0</v>
      </c>
      <c r="N58" s="59">
        <f t="shared" si="290"/>
        <v>0</v>
      </c>
      <c r="O58" s="55">
        <f>+I58*BF58</f>
        <v>0</v>
      </c>
      <c r="P58" s="59">
        <f t="shared" si="291"/>
        <v>0</v>
      </c>
      <c r="Q58" s="57">
        <f>+I58*BG58</f>
        <v>0</v>
      </c>
      <c r="R58" s="59">
        <f t="shared" si="292"/>
        <v>0</v>
      </c>
      <c r="S58" s="55">
        <f>+I58*BH58</f>
        <v>0</v>
      </c>
      <c r="T58" s="59">
        <f t="shared" si="293"/>
        <v>0</v>
      </c>
      <c r="U58" s="57">
        <f>+I58*BI58</f>
        <v>0</v>
      </c>
      <c r="V58" s="59">
        <f t="shared" si="294"/>
        <v>0</v>
      </c>
      <c r="W58" s="60">
        <f>+I58*BJ58</f>
        <v>0</v>
      </c>
      <c r="X58" s="59">
        <f t="shared" si="295"/>
        <v>0</v>
      </c>
      <c r="Y58" s="57">
        <f>+I58*BK58</f>
        <v>0</v>
      </c>
      <c r="Z58" s="59">
        <f t="shared" si="296"/>
        <v>0</v>
      </c>
      <c r="AA58" s="55">
        <f>+I58*BL58</f>
        <v>0</v>
      </c>
      <c r="AB58" s="59">
        <f t="shared" si="297"/>
        <v>0</v>
      </c>
      <c r="AC58" s="60">
        <f>+I58*BM58</f>
        <v>0</v>
      </c>
      <c r="AD58" s="59">
        <f t="shared" si="298"/>
        <v>0</v>
      </c>
      <c r="AE58" s="60">
        <f>+I58*BN58</f>
        <v>0</v>
      </c>
      <c r="AF58" s="59">
        <f t="shared" si="299"/>
        <v>0</v>
      </c>
      <c r="AG58" s="60">
        <f>+I58*BO58</f>
        <v>0</v>
      </c>
      <c r="AH58" s="59">
        <f t="shared" si="300"/>
        <v>0</v>
      </c>
      <c r="AI58" s="55">
        <f>+I58*BP58</f>
        <v>0</v>
      </c>
      <c r="AJ58" s="59">
        <f t="shared" si="301"/>
        <v>0</v>
      </c>
      <c r="AK58" s="60">
        <f>+I58*BQ58</f>
        <v>0</v>
      </c>
      <c r="AL58" s="59">
        <f t="shared" si="302"/>
        <v>0</v>
      </c>
      <c r="AM58" s="60">
        <f>+I58*BR58</f>
        <v>0</v>
      </c>
      <c r="AN58" s="59">
        <f t="shared" si="303"/>
        <v>0</v>
      </c>
      <c r="AO58" s="60">
        <f>+I58*BS58</f>
        <v>0</v>
      </c>
      <c r="AP58" s="59">
        <f t="shared" si="304"/>
        <v>0</v>
      </c>
      <c r="AQ58" s="60">
        <f>+I58*BT58</f>
        <v>0</v>
      </c>
      <c r="AR58" s="59">
        <f t="shared" si="305"/>
        <v>0</v>
      </c>
      <c r="AS58" s="55">
        <f>+I58*BU58</f>
        <v>0</v>
      </c>
      <c r="AT58" s="59">
        <f t="shared" si="306"/>
        <v>0</v>
      </c>
      <c r="AU58" s="60">
        <f>+I58*BV58</f>
        <v>0</v>
      </c>
      <c r="AV58" s="59">
        <f t="shared" si="307"/>
        <v>0</v>
      </c>
      <c r="AW58" s="60">
        <f>+I58*BW58</f>
        <v>0</v>
      </c>
      <c r="AX58" s="59">
        <f t="shared" si="308"/>
        <v>0</v>
      </c>
      <c r="AY58" s="55">
        <f>+I58*BX58</f>
        <v>0</v>
      </c>
      <c r="AZ58" s="59">
        <f t="shared" si="309"/>
        <v>0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310"/>
        <v>0.91</v>
      </c>
      <c r="BH58" s="55">
        <f t="shared" si="310"/>
        <v>0.89</v>
      </c>
      <c r="BI58" s="55">
        <f t="shared" si="310"/>
        <v>0.87</v>
      </c>
      <c r="BJ58" s="55">
        <f t="shared" si="310"/>
        <v>0.85</v>
      </c>
      <c r="BK58" s="55">
        <f t="shared" si="310"/>
        <v>0.83</v>
      </c>
      <c r="BL58" s="55">
        <f t="shared" si="310"/>
        <v>0.80999999999999994</v>
      </c>
      <c r="BM58" s="55">
        <f t="shared" si="310"/>
        <v>0.78999999999999992</v>
      </c>
      <c r="BN58" s="55">
        <f t="shared" si="310"/>
        <v>0.76999999999999991</v>
      </c>
      <c r="BO58" s="55">
        <f t="shared" si="310"/>
        <v>0.74999999999999989</v>
      </c>
      <c r="BP58" s="55">
        <f t="shared" si="310"/>
        <v>0.72999999999999987</v>
      </c>
      <c r="BQ58" s="55">
        <f t="shared" si="310"/>
        <v>0.70999999999999985</v>
      </c>
      <c r="BR58" s="55">
        <f t="shared" si="310"/>
        <v>0.68999999999999984</v>
      </c>
      <c r="BS58" s="55">
        <f t="shared" si="310"/>
        <v>0.66999999999999982</v>
      </c>
      <c r="BT58" s="55">
        <f t="shared" si="310"/>
        <v>0.6499999999999998</v>
      </c>
      <c r="BU58" s="55">
        <f t="shared" si="310"/>
        <v>0.62999999999999978</v>
      </c>
      <c r="BV58" s="55">
        <f t="shared" si="310"/>
        <v>0.60999999999999976</v>
      </c>
      <c r="BW58" s="55">
        <f t="shared" si="310"/>
        <v>0.58999999999999975</v>
      </c>
      <c r="BX58" s="55">
        <f t="shared" si="310"/>
        <v>0.56999999999999973</v>
      </c>
      <c r="BZ58" s="55">
        <f t="shared" si="87"/>
        <v>0</v>
      </c>
      <c r="CA58" s="55">
        <f t="shared" si="88"/>
        <v>0</v>
      </c>
      <c r="CB58" s="59">
        <f t="shared" si="311"/>
        <v>0</v>
      </c>
      <c r="CC58" s="55">
        <f t="shared" si="312"/>
        <v>0</v>
      </c>
      <c r="CD58" s="59">
        <f t="shared" si="313"/>
        <v>0</v>
      </c>
      <c r="CE58" s="55">
        <f t="shared" si="314"/>
        <v>0</v>
      </c>
      <c r="CF58" s="59">
        <f t="shared" si="315"/>
        <v>0</v>
      </c>
      <c r="CG58" s="55">
        <f>+CA58*DX58</f>
        <v>0</v>
      </c>
      <c r="CH58" s="59">
        <f t="shared" si="316"/>
        <v>0</v>
      </c>
      <c r="CI58" s="57">
        <f>+CA58*DY58</f>
        <v>0</v>
      </c>
      <c r="CJ58" s="59">
        <f t="shared" si="317"/>
        <v>0</v>
      </c>
      <c r="CK58" s="55">
        <f>+CA58*DZ58</f>
        <v>0</v>
      </c>
      <c r="CL58" s="59">
        <f t="shared" si="318"/>
        <v>0</v>
      </c>
      <c r="CM58" s="57">
        <f>+CA58*EA58</f>
        <v>0</v>
      </c>
      <c r="CN58" s="59">
        <f t="shared" si="319"/>
        <v>0</v>
      </c>
      <c r="CO58" s="60">
        <f>+CA58*EB58</f>
        <v>0</v>
      </c>
      <c r="CP58" s="59">
        <f t="shared" si="320"/>
        <v>0</v>
      </c>
      <c r="CQ58" s="57">
        <f>+CA58*EC58</f>
        <v>0</v>
      </c>
      <c r="CR58" s="59">
        <f t="shared" si="321"/>
        <v>0</v>
      </c>
      <c r="CS58" s="55">
        <f>+CA58*ED58</f>
        <v>0</v>
      </c>
      <c r="CT58" s="59">
        <f t="shared" si="322"/>
        <v>0</v>
      </c>
      <c r="CU58" s="60">
        <f>+CA58*EE58</f>
        <v>0</v>
      </c>
      <c r="CV58" s="59">
        <f t="shared" si="323"/>
        <v>0</v>
      </c>
      <c r="CW58" s="60">
        <f>+CA58*EF58</f>
        <v>0</v>
      </c>
      <c r="CX58" s="59">
        <f t="shared" si="324"/>
        <v>0</v>
      </c>
      <c r="CY58" s="60">
        <f>+CA58*EG58</f>
        <v>0</v>
      </c>
      <c r="CZ58" s="59">
        <f t="shared" si="325"/>
        <v>0</v>
      </c>
      <c r="DA58" s="55">
        <f>+CA58*EH58</f>
        <v>0</v>
      </c>
      <c r="DB58" s="59">
        <f t="shared" si="326"/>
        <v>0</v>
      </c>
      <c r="DC58" s="60">
        <f>+CA58*EI58</f>
        <v>0</v>
      </c>
      <c r="DD58" s="59">
        <f t="shared" si="327"/>
        <v>0</v>
      </c>
      <c r="DE58" s="60">
        <f>+CA58*EJ58</f>
        <v>0</v>
      </c>
      <c r="DF58" s="59">
        <f t="shared" si="328"/>
        <v>0</v>
      </c>
      <c r="DG58" s="60">
        <f>+CA58*EK58</f>
        <v>0</v>
      </c>
      <c r="DH58" s="59">
        <f t="shared" si="329"/>
        <v>0</v>
      </c>
      <c r="DI58" s="60">
        <f>+CA58*EL58</f>
        <v>0</v>
      </c>
      <c r="DJ58" s="59">
        <f t="shared" si="330"/>
        <v>0</v>
      </c>
      <c r="DK58" s="55">
        <f>+CA58*EM58</f>
        <v>0</v>
      </c>
      <c r="DL58" s="59">
        <f t="shared" si="331"/>
        <v>0</v>
      </c>
      <c r="DM58" s="60">
        <f>+CA58*EN58</f>
        <v>0</v>
      </c>
      <c r="DN58" s="59">
        <f t="shared" si="332"/>
        <v>0</v>
      </c>
      <c r="DO58" s="60">
        <f>+CA58*EO58</f>
        <v>0</v>
      </c>
      <c r="DP58" s="59">
        <f t="shared" si="333"/>
        <v>0</v>
      </c>
      <c r="DQ58" s="55">
        <f>+CA58*EP58</f>
        <v>0</v>
      </c>
      <c r="DR58" s="59">
        <f t="shared" si="334"/>
        <v>0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1"/>
        <v>0.91</v>
      </c>
      <c r="DZ58" s="55">
        <f t="shared" si="281"/>
        <v>0.89</v>
      </c>
      <c r="EA58" s="55">
        <f t="shared" si="281"/>
        <v>0.87</v>
      </c>
      <c r="EB58" s="55">
        <f t="shared" si="281"/>
        <v>0.85</v>
      </c>
      <c r="EC58" s="55">
        <f t="shared" si="281"/>
        <v>0.83</v>
      </c>
      <c r="ED58" s="55">
        <f t="shared" si="281"/>
        <v>0.80999999999999994</v>
      </c>
      <c r="EE58" s="55">
        <f t="shared" si="281"/>
        <v>0.78999999999999992</v>
      </c>
      <c r="EF58" s="55">
        <f t="shared" si="281"/>
        <v>0.76999999999999991</v>
      </c>
      <c r="EG58" s="55">
        <f t="shared" si="281"/>
        <v>0.74999999999999989</v>
      </c>
      <c r="EH58" s="55">
        <f t="shared" si="281"/>
        <v>0.72999999999999987</v>
      </c>
      <c r="EI58" s="55">
        <f t="shared" si="281"/>
        <v>0.70999999999999985</v>
      </c>
      <c r="EJ58" s="55">
        <f t="shared" si="281"/>
        <v>0.68999999999999984</v>
      </c>
      <c r="EK58" s="55">
        <f t="shared" si="281"/>
        <v>0.66999999999999982</v>
      </c>
      <c r="EL58" s="55">
        <f t="shared" si="281"/>
        <v>0.6499999999999998</v>
      </c>
      <c r="EM58" s="55">
        <f t="shared" si="281"/>
        <v>0.62999999999999978</v>
      </c>
      <c r="EN58" s="55">
        <f t="shared" si="281"/>
        <v>0.60999999999999976</v>
      </c>
      <c r="EO58" s="55">
        <f t="shared" si="281"/>
        <v>0.58999999999999975</v>
      </c>
      <c r="EP58" s="55">
        <f t="shared" si="281"/>
        <v>0.56999999999999973</v>
      </c>
      <c r="ER58" s="55">
        <f t="shared" si="141"/>
        <v>0</v>
      </c>
      <c r="ES58" s="55">
        <f t="shared" si="115"/>
        <v>0</v>
      </c>
      <c r="ET58" s="59">
        <f t="shared" si="335"/>
        <v>0</v>
      </c>
      <c r="EU58" s="55">
        <f t="shared" si="336"/>
        <v>0</v>
      </c>
      <c r="EV58" s="59">
        <f t="shared" si="337"/>
        <v>0</v>
      </c>
      <c r="EW58" s="55">
        <f t="shared" si="338"/>
        <v>0</v>
      </c>
      <c r="EX58" s="59">
        <f t="shared" si="339"/>
        <v>0</v>
      </c>
      <c r="EY58" s="55">
        <f>+ES58*GP58</f>
        <v>0</v>
      </c>
      <c r="EZ58" s="59">
        <f t="shared" si="340"/>
        <v>0</v>
      </c>
      <c r="FA58" s="57">
        <f>+ES58*GQ58</f>
        <v>0</v>
      </c>
      <c r="FB58" s="59">
        <f t="shared" si="341"/>
        <v>0</v>
      </c>
      <c r="FC58" s="55">
        <f>+ES58*GR58</f>
        <v>0</v>
      </c>
      <c r="FD58" s="59">
        <f t="shared" si="342"/>
        <v>0</v>
      </c>
      <c r="FE58" s="57">
        <f>+ES58*GS58</f>
        <v>0</v>
      </c>
      <c r="FF58" s="59">
        <f t="shared" si="343"/>
        <v>0</v>
      </c>
      <c r="FG58" s="60">
        <f>+ES58*GT58</f>
        <v>0</v>
      </c>
      <c r="FH58" s="59">
        <f t="shared" si="344"/>
        <v>0</v>
      </c>
      <c r="FI58" s="57">
        <f>+ES58*GU58</f>
        <v>0</v>
      </c>
      <c r="FJ58" s="59">
        <f t="shared" si="345"/>
        <v>0</v>
      </c>
      <c r="FK58" s="55">
        <f>+ES58*GV58</f>
        <v>0</v>
      </c>
      <c r="FL58" s="59">
        <f t="shared" si="346"/>
        <v>0</v>
      </c>
      <c r="FM58" s="60">
        <f>+ES58*GW58</f>
        <v>0</v>
      </c>
      <c r="FN58" s="59">
        <f t="shared" si="347"/>
        <v>0</v>
      </c>
      <c r="FO58" s="60">
        <f>+ES58*GX58</f>
        <v>0</v>
      </c>
      <c r="FP58" s="59">
        <f t="shared" si="348"/>
        <v>0</v>
      </c>
      <c r="FQ58" s="60">
        <f>+ES58*GY58</f>
        <v>0</v>
      </c>
      <c r="FR58" s="59">
        <f t="shared" si="349"/>
        <v>0</v>
      </c>
      <c r="FS58" s="55">
        <f>+ES58*GZ58</f>
        <v>0</v>
      </c>
      <c r="FT58" s="59">
        <f t="shared" si="350"/>
        <v>0</v>
      </c>
      <c r="FU58" s="60">
        <f>+ES58*HA58</f>
        <v>0</v>
      </c>
      <c r="FV58" s="59">
        <f t="shared" si="351"/>
        <v>0</v>
      </c>
      <c r="FW58" s="60">
        <f>+ES58*HB58</f>
        <v>0</v>
      </c>
      <c r="FX58" s="59">
        <f t="shared" si="352"/>
        <v>0</v>
      </c>
      <c r="FY58" s="60">
        <f>+ES58*HC58</f>
        <v>0</v>
      </c>
      <c r="FZ58" s="59">
        <f t="shared" si="353"/>
        <v>0</v>
      </c>
      <c r="GA58" s="60">
        <f>+ES58*HD58</f>
        <v>0</v>
      </c>
      <c r="GB58" s="59">
        <f t="shared" si="354"/>
        <v>0</v>
      </c>
      <c r="GC58" s="55">
        <f>+ES58*HE58</f>
        <v>0</v>
      </c>
      <c r="GD58" s="59">
        <f t="shared" si="355"/>
        <v>0</v>
      </c>
      <c r="GE58" s="60">
        <f>+ES58*HF58</f>
        <v>0</v>
      </c>
      <c r="GF58" s="59">
        <f t="shared" si="356"/>
        <v>0</v>
      </c>
      <c r="GG58" s="60">
        <f>+ES58*HG58</f>
        <v>0</v>
      </c>
      <c r="GH58" s="59">
        <f t="shared" si="357"/>
        <v>0</v>
      </c>
      <c r="GI58" s="55">
        <f>+ES58*HH58</f>
        <v>0</v>
      </c>
      <c r="GJ58" s="59">
        <f t="shared" si="358"/>
        <v>0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82"/>
        <v>0.91</v>
      </c>
      <c r="GR58" s="55">
        <f t="shared" si="282"/>
        <v>0.89</v>
      </c>
      <c r="GS58" s="55">
        <f t="shared" si="282"/>
        <v>0.87</v>
      </c>
      <c r="GT58" s="55">
        <f t="shared" si="282"/>
        <v>0.85</v>
      </c>
      <c r="GU58" s="55">
        <f t="shared" si="282"/>
        <v>0.83</v>
      </c>
      <c r="GV58" s="55">
        <f t="shared" si="282"/>
        <v>0.80999999999999994</v>
      </c>
      <c r="GW58" s="55">
        <f t="shared" si="282"/>
        <v>0.78999999999999992</v>
      </c>
      <c r="GX58" s="55">
        <f t="shared" si="282"/>
        <v>0.76999999999999991</v>
      </c>
      <c r="GY58" s="55">
        <f t="shared" si="282"/>
        <v>0.74999999999999989</v>
      </c>
      <c r="GZ58" s="55">
        <f t="shared" si="282"/>
        <v>0.72999999999999987</v>
      </c>
      <c r="HA58" s="55">
        <f t="shared" si="282"/>
        <v>0.70999999999999985</v>
      </c>
      <c r="HB58" s="55">
        <f t="shared" si="282"/>
        <v>0.68999999999999984</v>
      </c>
      <c r="HC58" s="55">
        <f t="shared" si="282"/>
        <v>0.66999999999999982</v>
      </c>
      <c r="HD58" s="55">
        <f t="shared" si="282"/>
        <v>0.6499999999999998</v>
      </c>
      <c r="HE58" s="55">
        <f t="shared" si="282"/>
        <v>0.62999999999999978</v>
      </c>
      <c r="HF58" s="55">
        <f t="shared" si="282"/>
        <v>0.60999999999999976</v>
      </c>
      <c r="HG58" s="55">
        <f t="shared" si="282"/>
        <v>0.58999999999999975</v>
      </c>
      <c r="HH58" s="55">
        <f t="shared" si="282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v>0</v>
      </c>
      <c r="E59" s="87">
        <f>TRUNC(+D59*3.3058,-1)</f>
        <v>0</v>
      </c>
      <c r="H59" s="55">
        <f t="shared" si="60"/>
        <v>0</v>
      </c>
      <c r="I59" s="55">
        <f t="shared" si="61"/>
        <v>0</v>
      </c>
      <c r="J59" s="59">
        <f t="shared" si="62"/>
        <v>0</v>
      </c>
      <c r="K59" s="55">
        <f t="shared" si="287"/>
        <v>0</v>
      </c>
      <c r="L59" s="59">
        <f t="shared" si="288"/>
        <v>0</v>
      </c>
      <c r="M59" s="55">
        <f t="shared" si="289"/>
        <v>0</v>
      </c>
      <c r="N59" s="59">
        <f t="shared" si="290"/>
        <v>0</v>
      </c>
      <c r="O59" s="55">
        <f>+I59*BF59</f>
        <v>0</v>
      </c>
      <c r="P59" s="59">
        <f t="shared" si="291"/>
        <v>0</v>
      </c>
      <c r="Q59" s="57">
        <f>+I59*BG59</f>
        <v>0</v>
      </c>
      <c r="R59" s="59">
        <f t="shared" si="292"/>
        <v>0</v>
      </c>
      <c r="S59" s="55">
        <f>+I59*BH59</f>
        <v>0</v>
      </c>
      <c r="T59" s="59">
        <f t="shared" si="293"/>
        <v>0</v>
      </c>
      <c r="U59" s="57">
        <f>+I59*BI59</f>
        <v>0</v>
      </c>
      <c r="V59" s="59">
        <f t="shared" si="294"/>
        <v>0</v>
      </c>
      <c r="W59" s="60">
        <f>+I59*BJ59</f>
        <v>0</v>
      </c>
      <c r="X59" s="59">
        <f t="shared" si="295"/>
        <v>0</v>
      </c>
      <c r="Y59" s="57">
        <f>+I59*BK59</f>
        <v>0</v>
      </c>
      <c r="Z59" s="59">
        <f t="shared" si="296"/>
        <v>0</v>
      </c>
      <c r="AA59" s="55">
        <f>+I59*BL59</f>
        <v>0</v>
      </c>
      <c r="AB59" s="59">
        <f t="shared" si="297"/>
        <v>0</v>
      </c>
      <c r="AC59" s="60">
        <f>+I59*BM59</f>
        <v>0</v>
      </c>
      <c r="AD59" s="59">
        <f t="shared" si="298"/>
        <v>0</v>
      </c>
      <c r="AE59" s="60">
        <f>+I59*BN59</f>
        <v>0</v>
      </c>
      <c r="AF59" s="59">
        <f t="shared" si="299"/>
        <v>0</v>
      </c>
      <c r="AG59" s="60">
        <f>+I59*BO59</f>
        <v>0</v>
      </c>
      <c r="AH59" s="59">
        <f t="shared" si="300"/>
        <v>0</v>
      </c>
      <c r="AI59" s="55">
        <f>+I59*BP59</f>
        <v>0</v>
      </c>
      <c r="AJ59" s="59">
        <f t="shared" si="301"/>
        <v>0</v>
      </c>
      <c r="AK59" s="60">
        <f>+I59*BQ59</f>
        <v>0</v>
      </c>
      <c r="AL59" s="59">
        <f t="shared" si="302"/>
        <v>0</v>
      </c>
      <c r="AM59" s="60">
        <f>+I59*BR59</f>
        <v>0</v>
      </c>
      <c r="AN59" s="59">
        <f t="shared" si="303"/>
        <v>0</v>
      </c>
      <c r="AO59" s="60">
        <f>+I59*BS59</f>
        <v>0</v>
      </c>
      <c r="AP59" s="59">
        <f t="shared" si="304"/>
        <v>0</v>
      </c>
      <c r="AQ59" s="60">
        <f>+I59*BT59</f>
        <v>0</v>
      </c>
      <c r="AR59" s="59">
        <f t="shared" si="305"/>
        <v>0</v>
      </c>
      <c r="AS59" s="55">
        <f>+I59*BU59</f>
        <v>0</v>
      </c>
      <c r="AT59" s="59">
        <f t="shared" si="306"/>
        <v>0</v>
      </c>
      <c r="AU59" s="60">
        <f>+I59*BV59</f>
        <v>0</v>
      </c>
      <c r="AV59" s="59">
        <f t="shared" si="307"/>
        <v>0</v>
      </c>
      <c r="AW59" s="60">
        <f>+I59*BW59</f>
        <v>0</v>
      </c>
      <c r="AX59" s="59">
        <f t="shared" si="308"/>
        <v>0</v>
      </c>
      <c r="AY59" s="55">
        <f>+I59*BX59</f>
        <v>0</v>
      </c>
      <c r="AZ59" s="59">
        <f t="shared" si="309"/>
        <v>0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310"/>
        <v>0.91</v>
      </c>
      <c r="BH59" s="55">
        <f t="shared" si="310"/>
        <v>0.89</v>
      </c>
      <c r="BI59" s="55">
        <f t="shared" si="310"/>
        <v>0.87</v>
      </c>
      <c r="BJ59" s="55">
        <f t="shared" si="310"/>
        <v>0.85</v>
      </c>
      <c r="BK59" s="55">
        <f t="shared" si="310"/>
        <v>0.83</v>
      </c>
      <c r="BL59" s="55">
        <f t="shared" si="310"/>
        <v>0.80999999999999994</v>
      </c>
      <c r="BM59" s="55">
        <f t="shared" si="310"/>
        <v>0.78999999999999992</v>
      </c>
      <c r="BN59" s="55">
        <f t="shared" si="310"/>
        <v>0.76999999999999991</v>
      </c>
      <c r="BO59" s="55">
        <f t="shared" si="310"/>
        <v>0.74999999999999989</v>
      </c>
      <c r="BP59" s="55">
        <f t="shared" si="310"/>
        <v>0.72999999999999987</v>
      </c>
      <c r="BQ59" s="55">
        <f t="shared" si="310"/>
        <v>0.70999999999999985</v>
      </c>
      <c r="BR59" s="55">
        <f t="shared" si="310"/>
        <v>0.68999999999999984</v>
      </c>
      <c r="BS59" s="55">
        <f t="shared" si="310"/>
        <v>0.66999999999999982</v>
      </c>
      <c r="BT59" s="55">
        <f t="shared" si="310"/>
        <v>0.6499999999999998</v>
      </c>
      <c r="BU59" s="55">
        <f t="shared" si="310"/>
        <v>0.62999999999999978</v>
      </c>
      <c r="BV59" s="55">
        <f t="shared" si="310"/>
        <v>0.60999999999999976</v>
      </c>
      <c r="BW59" s="55">
        <f t="shared" si="310"/>
        <v>0.58999999999999975</v>
      </c>
      <c r="BX59" s="55">
        <f t="shared" si="310"/>
        <v>0.56999999999999973</v>
      </c>
      <c r="BZ59" s="55">
        <f t="shared" si="87"/>
        <v>0</v>
      </c>
      <c r="CA59" s="55">
        <f t="shared" si="88"/>
        <v>0</v>
      </c>
      <c r="CB59" s="59">
        <f t="shared" si="311"/>
        <v>0</v>
      </c>
      <c r="CC59" s="55">
        <f t="shared" si="312"/>
        <v>0</v>
      </c>
      <c r="CD59" s="59">
        <f t="shared" si="313"/>
        <v>0</v>
      </c>
      <c r="CE59" s="55">
        <f t="shared" si="314"/>
        <v>0</v>
      </c>
      <c r="CF59" s="59">
        <f t="shared" si="315"/>
        <v>0</v>
      </c>
      <c r="CG59" s="55">
        <f>+CA59*DX59</f>
        <v>0</v>
      </c>
      <c r="CH59" s="59">
        <f t="shared" si="316"/>
        <v>0</v>
      </c>
      <c r="CI59" s="57">
        <f>+CA59*DY59</f>
        <v>0</v>
      </c>
      <c r="CJ59" s="59">
        <f t="shared" si="317"/>
        <v>0</v>
      </c>
      <c r="CK59" s="55">
        <f>+CA59*DZ59</f>
        <v>0</v>
      </c>
      <c r="CL59" s="59">
        <f t="shared" si="318"/>
        <v>0</v>
      </c>
      <c r="CM59" s="57">
        <f>+CA59*EA59</f>
        <v>0</v>
      </c>
      <c r="CN59" s="59">
        <f t="shared" si="319"/>
        <v>0</v>
      </c>
      <c r="CO59" s="60">
        <f>+CA59*EB59</f>
        <v>0</v>
      </c>
      <c r="CP59" s="59">
        <f t="shared" si="320"/>
        <v>0</v>
      </c>
      <c r="CQ59" s="57">
        <f>+CA59*EC59</f>
        <v>0</v>
      </c>
      <c r="CR59" s="59">
        <f t="shared" si="321"/>
        <v>0</v>
      </c>
      <c r="CS59" s="55">
        <f>+CA59*ED59</f>
        <v>0</v>
      </c>
      <c r="CT59" s="59">
        <f t="shared" si="322"/>
        <v>0</v>
      </c>
      <c r="CU59" s="60">
        <f>+CA59*EE59</f>
        <v>0</v>
      </c>
      <c r="CV59" s="59">
        <f t="shared" si="323"/>
        <v>0</v>
      </c>
      <c r="CW59" s="60">
        <f>+CA59*EF59</f>
        <v>0</v>
      </c>
      <c r="CX59" s="59">
        <f t="shared" si="324"/>
        <v>0</v>
      </c>
      <c r="CY59" s="60">
        <f>+CA59*EG59</f>
        <v>0</v>
      </c>
      <c r="CZ59" s="59">
        <f t="shared" si="325"/>
        <v>0</v>
      </c>
      <c r="DA59" s="55">
        <f>+CA59*EH59</f>
        <v>0</v>
      </c>
      <c r="DB59" s="59">
        <f t="shared" si="326"/>
        <v>0</v>
      </c>
      <c r="DC59" s="60">
        <f>+CA59*EI59</f>
        <v>0</v>
      </c>
      <c r="DD59" s="59">
        <f t="shared" si="327"/>
        <v>0</v>
      </c>
      <c r="DE59" s="60">
        <f>+CA59*EJ59</f>
        <v>0</v>
      </c>
      <c r="DF59" s="59">
        <f t="shared" si="328"/>
        <v>0</v>
      </c>
      <c r="DG59" s="60">
        <f>+CA59*EK59</f>
        <v>0</v>
      </c>
      <c r="DH59" s="59">
        <f t="shared" si="329"/>
        <v>0</v>
      </c>
      <c r="DI59" s="60">
        <f>+CA59*EL59</f>
        <v>0</v>
      </c>
      <c r="DJ59" s="59">
        <f t="shared" si="330"/>
        <v>0</v>
      </c>
      <c r="DK59" s="55">
        <f>+CA59*EM59</f>
        <v>0</v>
      </c>
      <c r="DL59" s="59">
        <f t="shared" si="331"/>
        <v>0</v>
      </c>
      <c r="DM59" s="60">
        <f>+CA59*EN59</f>
        <v>0</v>
      </c>
      <c r="DN59" s="59">
        <f t="shared" si="332"/>
        <v>0</v>
      </c>
      <c r="DO59" s="60">
        <f>+CA59*EO59</f>
        <v>0</v>
      </c>
      <c r="DP59" s="59">
        <f t="shared" si="333"/>
        <v>0</v>
      </c>
      <c r="DQ59" s="55">
        <f>+CA59*EP59</f>
        <v>0</v>
      </c>
      <c r="DR59" s="59">
        <f t="shared" si="334"/>
        <v>0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1"/>
        <v>0.91</v>
      </c>
      <c r="DZ59" s="55">
        <f t="shared" si="281"/>
        <v>0.89</v>
      </c>
      <c r="EA59" s="55">
        <f t="shared" si="281"/>
        <v>0.87</v>
      </c>
      <c r="EB59" s="55">
        <f t="shared" si="281"/>
        <v>0.85</v>
      </c>
      <c r="EC59" s="55">
        <f t="shared" si="281"/>
        <v>0.83</v>
      </c>
      <c r="ED59" s="55">
        <f t="shared" si="281"/>
        <v>0.80999999999999994</v>
      </c>
      <c r="EE59" s="55">
        <f t="shared" si="281"/>
        <v>0.78999999999999992</v>
      </c>
      <c r="EF59" s="55">
        <f t="shared" si="281"/>
        <v>0.76999999999999991</v>
      </c>
      <c r="EG59" s="55">
        <f t="shared" si="281"/>
        <v>0.74999999999999989</v>
      </c>
      <c r="EH59" s="55">
        <f t="shared" si="281"/>
        <v>0.72999999999999987</v>
      </c>
      <c r="EI59" s="55">
        <f t="shared" si="281"/>
        <v>0.70999999999999985</v>
      </c>
      <c r="EJ59" s="55">
        <f t="shared" si="281"/>
        <v>0.68999999999999984</v>
      </c>
      <c r="EK59" s="55">
        <f t="shared" si="281"/>
        <v>0.66999999999999982</v>
      </c>
      <c r="EL59" s="55">
        <f t="shared" si="281"/>
        <v>0.6499999999999998</v>
      </c>
      <c r="EM59" s="55">
        <f t="shared" si="281"/>
        <v>0.62999999999999978</v>
      </c>
      <c r="EN59" s="55">
        <f t="shared" si="281"/>
        <v>0.60999999999999976</v>
      </c>
      <c r="EO59" s="55">
        <f t="shared" si="281"/>
        <v>0.58999999999999975</v>
      </c>
      <c r="EP59" s="55">
        <f t="shared" si="281"/>
        <v>0.56999999999999973</v>
      </c>
      <c r="ER59" s="55">
        <f t="shared" si="141"/>
        <v>0</v>
      </c>
      <c r="ES59" s="55">
        <f t="shared" si="115"/>
        <v>0</v>
      </c>
      <c r="ET59" s="59">
        <f t="shared" si="335"/>
        <v>0</v>
      </c>
      <c r="EU59" s="55">
        <f t="shared" si="336"/>
        <v>0</v>
      </c>
      <c r="EV59" s="59">
        <f t="shared" si="337"/>
        <v>0</v>
      </c>
      <c r="EW59" s="55">
        <f t="shared" si="338"/>
        <v>0</v>
      </c>
      <c r="EX59" s="59">
        <f t="shared" si="339"/>
        <v>0</v>
      </c>
      <c r="EY59" s="55">
        <f>+ES59*GP59</f>
        <v>0</v>
      </c>
      <c r="EZ59" s="59">
        <f t="shared" si="340"/>
        <v>0</v>
      </c>
      <c r="FA59" s="57">
        <f>+ES59*GQ59</f>
        <v>0</v>
      </c>
      <c r="FB59" s="59">
        <f t="shared" si="341"/>
        <v>0</v>
      </c>
      <c r="FC59" s="55">
        <f>+ES59*GR59</f>
        <v>0</v>
      </c>
      <c r="FD59" s="59">
        <f t="shared" si="342"/>
        <v>0</v>
      </c>
      <c r="FE59" s="57">
        <f>+ES59*GS59</f>
        <v>0</v>
      </c>
      <c r="FF59" s="59">
        <f t="shared" si="343"/>
        <v>0</v>
      </c>
      <c r="FG59" s="60">
        <f>+ES59*GT59</f>
        <v>0</v>
      </c>
      <c r="FH59" s="59">
        <f t="shared" si="344"/>
        <v>0</v>
      </c>
      <c r="FI59" s="57">
        <f>+ES59*GU59</f>
        <v>0</v>
      </c>
      <c r="FJ59" s="59">
        <f t="shared" si="345"/>
        <v>0</v>
      </c>
      <c r="FK59" s="55">
        <f>+ES59*GV59</f>
        <v>0</v>
      </c>
      <c r="FL59" s="59">
        <f t="shared" si="346"/>
        <v>0</v>
      </c>
      <c r="FM59" s="60">
        <f>+ES59*GW59</f>
        <v>0</v>
      </c>
      <c r="FN59" s="59">
        <f t="shared" si="347"/>
        <v>0</v>
      </c>
      <c r="FO59" s="60">
        <f>+ES59*GX59</f>
        <v>0</v>
      </c>
      <c r="FP59" s="59">
        <f t="shared" si="348"/>
        <v>0</v>
      </c>
      <c r="FQ59" s="60">
        <f>+ES59*GY59</f>
        <v>0</v>
      </c>
      <c r="FR59" s="59">
        <f t="shared" si="349"/>
        <v>0</v>
      </c>
      <c r="FS59" s="55">
        <f>+ES59*GZ59</f>
        <v>0</v>
      </c>
      <c r="FT59" s="59">
        <f t="shared" si="350"/>
        <v>0</v>
      </c>
      <c r="FU59" s="60">
        <f>+ES59*HA59</f>
        <v>0</v>
      </c>
      <c r="FV59" s="59">
        <f t="shared" si="351"/>
        <v>0</v>
      </c>
      <c r="FW59" s="60">
        <f>+ES59*HB59</f>
        <v>0</v>
      </c>
      <c r="FX59" s="59">
        <f t="shared" si="352"/>
        <v>0</v>
      </c>
      <c r="FY59" s="60">
        <f>+ES59*HC59</f>
        <v>0</v>
      </c>
      <c r="FZ59" s="59">
        <f t="shared" si="353"/>
        <v>0</v>
      </c>
      <c r="GA59" s="60">
        <f>+ES59*HD59</f>
        <v>0</v>
      </c>
      <c r="GB59" s="59">
        <f t="shared" si="354"/>
        <v>0</v>
      </c>
      <c r="GC59" s="55">
        <f>+ES59*HE59</f>
        <v>0</v>
      </c>
      <c r="GD59" s="59">
        <f t="shared" si="355"/>
        <v>0</v>
      </c>
      <c r="GE59" s="60">
        <f>+ES59*HF59</f>
        <v>0</v>
      </c>
      <c r="GF59" s="59">
        <f t="shared" si="356"/>
        <v>0</v>
      </c>
      <c r="GG59" s="60">
        <f>+ES59*HG59</f>
        <v>0</v>
      </c>
      <c r="GH59" s="59">
        <f t="shared" si="357"/>
        <v>0</v>
      </c>
      <c r="GI59" s="55">
        <f>+ES59*HH59</f>
        <v>0</v>
      </c>
      <c r="GJ59" s="59">
        <f t="shared" si="358"/>
        <v>0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82"/>
        <v>0.91</v>
      </c>
      <c r="GR59" s="55">
        <f t="shared" si="282"/>
        <v>0.89</v>
      </c>
      <c r="GS59" s="55">
        <f t="shared" si="282"/>
        <v>0.87</v>
      </c>
      <c r="GT59" s="55">
        <f t="shared" si="282"/>
        <v>0.85</v>
      </c>
      <c r="GU59" s="55">
        <f t="shared" si="282"/>
        <v>0.83</v>
      </c>
      <c r="GV59" s="55">
        <f t="shared" si="282"/>
        <v>0.80999999999999994</v>
      </c>
      <c r="GW59" s="55">
        <f t="shared" si="282"/>
        <v>0.78999999999999992</v>
      </c>
      <c r="GX59" s="55">
        <f t="shared" si="282"/>
        <v>0.76999999999999991</v>
      </c>
      <c r="GY59" s="55">
        <f t="shared" si="282"/>
        <v>0.74999999999999989</v>
      </c>
      <c r="GZ59" s="55">
        <f t="shared" si="282"/>
        <v>0.72999999999999987</v>
      </c>
      <c r="HA59" s="55">
        <f t="shared" si="282"/>
        <v>0.70999999999999985</v>
      </c>
      <c r="HB59" s="55">
        <f t="shared" si="282"/>
        <v>0.68999999999999984</v>
      </c>
      <c r="HC59" s="55">
        <f t="shared" si="282"/>
        <v>0.66999999999999982</v>
      </c>
      <c r="HD59" s="55">
        <f t="shared" si="282"/>
        <v>0.6499999999999998</v>
      </c>
      <c r="HE59" s="55">
        <f t="shared" si="282"/>
        <v>0.62999999999999978</v>
      </c>
      <c r="HF59" s="55">
        <f t="shared" si="282"/>
        <v>0.60999999999999976</v>
      </c>
      <c r="HG59" s="55">
        <f t="shared" si="282"/>
        <v>0.58999999999999975</v>
      </c>
      <c r="HH59" s="55">
        <f t="shared" si="282"/>
        <v>0.56999999999999973</v>
      </c>
    </row>
    <row r="60" spans="1:216" x14ac:dyDescent="0.3">
      <c r="A60" s="2">
        <v>4</v>
      </c>
      <c r="C60" s="27" t="s">
        <v>113</v>
      </c>
      <c r="D60" s="39">
        <f>SUM(D57:D59)</f>
        <v>5850</v>
      </c>
      <c r="E60" s="88">
        <f>SUM(E57:E59)</f>
        <v>19330</v>
      </c>
      <c r="H60" s="55">
        <f t="shared" si="60"/>
        <v>21263</v>
      </c>
      <c r="I60" s="55">
        <f t="shared" si="61"/>
        <v>21263</v>
      </c>
      <c r="J60" s="59">
        <f t="shared" si="62"/>
        <v>70291.225399999996</v>
      </c>
      <c r="K60" s="55">
        <f t="shared" si="287"/>
        <v>20625.11</v>
      </c>
      <c r="L60" s="59">
        <f t="shared" si="288"/>
        <v>68182.48863800001</v>
      </c>
      <c r="M60" s="55">
        <f t="shared" si="289"/>
        <v>20199.849999999999</v>
      </c>
      <c r="N60" s="59">
        <f t="shared" si="290"/>
        <v>66776.66412999999</v>
      </c>
      <c r="O60" s="55">
        <f>+I60*BF60</f>
        <v>19774.59</v>
      </c>
      <c r="P60" s="59">
        <f t="shared" si="291"/>
        <v>65370.839622</v>
      </c>
      <c r="Q60" s="57">
        <f>+I60*BG60</f>
        <v>19349.330000000002</v>
      </c>
      <c r="R60" s="59">
        <f t="shared" si="292"/>
        <v>63965.015114000009</v>
      </c>
      <c r="S60" s="55">
        <f>+I60*BH60</f>
        <v>18924.07</v>
      </c>
      <c r="T60" s="59">
        <f t="shared" si="293"/>
        <v>62559.190606000004</v>
      </c>
      <c r="U60" s="57">
        <f>+I60*BI60</f>
        <v>18498.810000000001</v>
      </c>
      <c r="V60" s="59">
        <f t="shared" si="294"/>
        <v>61153.366098000006</v>
      </c>
      <c r="W60" s="60">
        <f>+I60*BJ60</f>
        <v>18073.55</v>
      </c>
      <c r="X60" s="59">
        <f t="shared" si="295"/>
        <v>59747.541590000001</v>
      </c>
      <c r="Y60" s="57">
        <f>+I60*BK60</f>
        <v>17648.29</v>
      </c>
      <c r="Z60" s="59">
        <f t="shared" si="296"/>
        <v>58341.717082000003</v>
      </c>
      <c r="AA60" s="55">
        <f>+I60*BL60</f>
        <v>17223.03</v>
      </c>
      <c r="AB60" s="59">
        <f t="shared" si="297"/>
        <v>56935.892573999998</v>
      </c>
      <c r="AC60" s="60">
        <f>+I60*BM60</f>
        <v>16797.769999999997</v>
      </c>
      <c r="AD60" s="59">
        <f t="shared" si="298"/>
        <v>55530.068065999993</v>
      </c>
      <c r="AE60" s="60">
        <f>+I60*BN60</f>
        <v>16372.509999999998</v>
      </c>
      <c r="AF60" s="59">
        <f t="shared" si="299"/>
        <v>54124.243557999995</v>
      </c>
      <c r="AG60" s="60">
        <f>+I60*BO60</f>
        <v>15947.249999999998</v>
      </c>
      <c r="AH60" s="59">
        <f t="shared" si="300"/>
        <v>52718.419049999997</v>
      </c>
      <c r="AI60" s="55">
        <f>+I60*BP60</f>
        <v>15521.989999999998</v>
      </c>
      <c r="AJ60" s="59">
        <f t="shared" si="301"/>
        <v>51312.594541999992</v>
      </c>
      <c r="AK60" s="60">
        <f>+I60*BQ60</f>
        <v>15096.729999999998</v>
      </c>
      <c r="AL60" s="59">
        <f t="shared" si="302"/>
        <v>49906.770033999994</v>
      </c>
      <c r="AM60" s="60">
        <f>+I60*BR60</f>
        <v>14671.469999999996</v>
      </c>
      <c r="AN60" s="59">
        <f t="shared" si="303"/>
        <v>48500.945525999989</v>
      </c>
      <c r="AO60" s="60">
        <f>+I60*BS60</f>
        <v>14246.209999999995</v>
      </c>
      <c r="AP60" s="59">
        <f t="shared" si="304"/>
        <v>47095.121017999983</v>
      </c>
      <c r="AQ60" s="60">
        <f>+I60*BT60</f>
        <v>13820.949999999995</v>
      </c>
      <c r="AR60" s="59">
        <f t="shared" si="305"/>
        <v>45689.296509999986</v>
      </c>
      <c r="AS60" s="55">
        <f>+I60*BU60</f>
        <v>13395.689999999995</v>
      </c>
      <c r="AT60" s="59">
        <f t="shared" si="306"/>
        <v>44283.472001999988</v>
      </c>
      <c r="AU60" s="60">
        <f>+I60*BV60</f>
        <v>12970.429999999995</v>
      </c>
      <c r="AV60" s="59">
        <f t="shared" si="307"/>
        <v>42877.647493999983</v>
      </c>
      <c r="AW60" s="60">
        <f>+I60*BW60</f>
        <v>12545.169999999995</v>
      </c>
      <c r="AX60" s="59">
        <f t="shared" si="308"/>
        <v>41471.822985999985</v>
      </c>
      <c r="AY60" s="55">
        <f>+I60*BX60</f>
        <v>12119.909999999994</v>
      </c>
      <c r="AZ60" s="59">
        <f t="shared" si="309"/>
        <v>40065.99847799998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310"/>
        <v>0.91</v>
      </c>
      <c r="BH60" s="55">
        <f t="shared" si="310"/>
        <v>0.89</v>
      </c>
      <c r="BI60" s="55">
        <f t="shared" si="310"/>
        <v>0.87</v>
      </c>
      <c r="BJ60" s="55">
        <f t="shared" si="310"/>
        <v>0.85</v>
      </c>
      <c r="BK60" s="55">
        <f t="shared" si="310"/>
        <v>0.83</v>
      </c>
      <c r="BL60" s="55">
        <f t="shared" si="310"/>
        <v>0.80999999999999994</v>
      </c>
      <c r="BM60" s="55">
        <f t="shared" si="310"/>
        <v>0.78999999999999992</v>
      </c>
      <c r="BN60" s="55">
        <f t="shared" si="310"/>
        <v>0.76999999999999991</v>
      </c>
      <c r="BO60" s="55">
        <f t="shared" si="310"/>
        <v>0.74999999999999989</v>
      </c>
      <c r="BP60" s="55">
        <f t="shared" si="310"/>
        <v>0.72999999999999987</v>
      </c>
      <c r="BQ60" s="55">
        <f t="shared" si="310"/>
        <v>0.70999999999999985</v>
      </c>
      <c r="BR60" s="55">
        <f t="shared" si="310"/>
        <v>0.68999999999999984</v>
      </c>
      <c r="BS60" s="55">
        <f t="shared" si="310"/>
        <v>0.66999999999999982</v>
      </c>
      <c r="BT60" s="55">
        <f t="shared" si="310"/>
        <v>0.6499999999999998</v>
      </c>
      <c r="BU60" s="55">
        <f t="shared" si="310"/>
        <v>0.62999999999999978</v>
      </c>
      <c r="BV60" s="55">
        <f t="shared" si="310"/>
        <v>0.60999999999999976</v>
      </c>
      <c r="BW60" s="55">
        <f t="shared" si="310"/>
        <v>0.58999999999999975</v>
      </c>
      <c r="BX60" s="55">
        <f t="shared" si="310"/>
        <v>0.56999999999999973</v>
      </c>
      <c r="BZ60" s="55">
        <f t="shared" si="87"/>
        <v>19349.330000000002</v>
      </c>
      <c r="CA60" s="55">
        <f t="shared" si="88"/>
        <v>19349.330000000002</v>
      </c>
      <c r="CB60" s="59">
        <f t="shared" si="311"/>
        <v>63965.015114000009</v>
      </c>
      <c r="CC60" s="55">
        <f t="shared" si="312"/>
        <v>18768.8501</v>
      </c>
      <c r="CD60" s="59">
        <f t="shared" si="313"/>
        <v>62046.064660579999</v>
      </c>
      <c r="CE60" s="55">
        <f t="shared" si="314"/>
        <v>18381.863499999999</v>
      </c>
      <c r="CF60" s="59">
        <f t="shared" si="315"/>
        <v>60766.764358300003</v>
      </c>
      <c r="CG60" s="55">
        <f>+CA60*DX60</f>
        <v>17994.876900000003</v>
      </c>
      <c r="CH60" s="59">
        <f t="shared" si="316"/>
        <v>59487.464056020013</v>
      </c>
      <c r="CI60" s="57">
        <f>+CA60*DY60</f>
        <v>17607.890300000003</v>
      </c>
      <c r="CJ60" s="59">
        <f t="shared" si="317"/>
        <v>58208.163753740009</v>
      </c>
      <c r="CK60" s="55">
        <f>+CA60*DZ60</f>
        <v>17220.903700000003</v>
      </c>
      <c r="CL60" s="59">
        <f t="shared" si="318"/>
        <v>56928.863451460013</v>
      </c>
      <c r="CM60" s="57">
        <f>+CA60*EA60</f>
        <v>16833.917100000002</v>
      </c>
      <c r="CN60" s="59">
        <f t="shared" si="319"/>
        <v>55649.563149180009</v>
      </c>
      <c r="CO60" s="60">
        <f>+CA60*EB60</f>
        <v>16446.930500000002</v>
      </c>
      <c r="CP60" s="59">
        <f t="shared" si="320"/>
        <v>54370.262846900012</v>
      </c>
      <c r="CQ60" s="57">
        <f>+CA60*EC60</f>
        <v>16059.9439</v>
      </c>
      <c r="CR60" s="59">
        <f t="shared" si="321"/>
        <v>53090.962544620001</v>
      </c>
      <c r="CS60" s="55">
        <f>+CA60*ED60</f>
        <v>15672.9573</v>
      </c>
      <c r="CT60" s="59">
        <f t="shared" si="322"/>
        <v>51811.662242340004</v>
      </c>
      <c r="CU60" s="60">
        <f>+CA60*EE60</f>
        <v>15285.9707</v>
      </c>
      <c r="CV60" s="59">
        <f t="shared" si="323"/>
        <v>50532.36194006</v>
      </c>
      <c r="CW60" s="60">
        <f>+CA60*EF60</f>
        <v>14898.9841</v>
      </c>
      <c r="CX60" s="59">
        <f t="shared" si="324"/>
        <v>49253.061637780003</v>
      </c>
      <c r="CY60" s="60">
        <f>+CA60*EG60</f>
        <v>14511.997499999999</v>
      </c>
      <c r="CZ60" s="59">
        <f t="shared" si="325"/>
        <v>47973.761335499999</v>
      </c>
      <c r="DA60" s="55">
        <f>+CA60*EH60</f>
        <v>14125.010899999999</v>
      </c>
      <c r="DB60" s="59">
        <f t="shared" si="326"/>
        <v>46694.461033219995</v>
      </c>
      <c r="DC60" s="60">
        <f>+CA60*EI60</f>
        <v>13738.024299999999</v>
      </c>
      <c r="DD60" s="59">
        <f t="shared" si="327"/>
        <v>45415.160730939999</v>
      </c>
      <c r="DE60" s="60">
        <f>+CA60*EJ60</f>
        <v>13351.037699999997</v>
      </c>
      <c r="DF60" s="59">
        <f t="shared" si="328"/>
        <v>44135.860428659995</v>
      </c>
      <c r="DG60" s="60">
        <f>+CA60*EK60</f>
        <v>12964.051099999997</v>
      </c>
      <c r="DH60" s="59">
        <f t="shared" si="329"/>
        <v>42856.560126379991</v>
      </c>
      <c r="DI60" s="60">
        <f>+CA60*EL60</f>
        <v>12577.064499999997</v>
      </c>
      <c r="DJ60" s="59">
        <f t="shared" si="330"/>
        <v>41577.259824099987</v>
      </c>
      <c r="DK60" s="55">
        <f>+CA60*EM60</f>
        <v>12190.077899999997</v>
      </c>
      <c r="DL60" s="59">
        <f t="shared" si="331"/>
        <v>40297.95952181999</v>
      </c>
      <c r="DM60" s="60">
        <f>+CA60*EN60</f>
        <v>11803.091299999996</v>
      </c>
      <c r="DN60" s="59">
        <f t="shared" si="332"/>
        <v>39018.659219539986</v>
      </c>
      <c r="DO60" s="60">
        <f>+CA60*EO60</f>
        <v>11416.104699999996</v>
      </c>
      <c r="DP60" s="59">
        <f t="shared" si="333"/>
        <v>37739.35891725999</v>
      </c>
      <c r="DQ60" s="55">
        <f>+CA60*EP60</f>
        <v>11029.118099999996</v>
      </c>
      <c r="DR60" s="59">
        <f t="shared" si="334"/>
        <v>36460.058614979986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1"/>
        <v>0.91</v>
      </c>
      <c r="DZ60" s="55">
        <f t="shared" si="281"/>
        <v>0.89</v>
      </c>
      <c r="EA60" s="55">
        <f t="shared" si="281"/>
        <v>0.87</v>
      </c>
      <c r="EB60" s="55">
        <f t="shared" si="281"/>
        <v>0.85</v>
      </c>
      <c r="EC60" s="55">
        <f t="shared" si="281"/>
        <v>0.83</v>
      </c>
      <c r="ED60" s="55">
        <f t="shared" si="281"/>
        <v>0.80999999999999994</v>
      </c>
      <c r="EE60" s="55">
        <f t="shared" si="281"/>
        <v>0.78999999999999992</v>
      </c>
      <c r="EF60" s="55">
        <f t="shared" si="281"/>
        <v>0.76999999999999991</v>
      </c>
      <c r="EG60" s="55">
        <f t="shared" si="281"/>
        <v>0.74999999999999989</v>
      </c>
      <c r="EH60" s="55">
        <f t="shared" si="281"/>
        <v>0.72999999999999987</v>
      </c>
      <c r="EI60" s="55">
        <f t="shared" si="281"/>
        <v>0.70999999999999985</v>
      </c>
      <c r="EJ60" s="55">
        <f t="shared" si="281"/>
        <v>0.68999999999999984</v>
      </c>
      <c r="EK60" s="55">
        <f t="shared" si="281"/>
        <v>0.66999999999999982</v>
      </c>
      <c r="EL60" s="55">
        <f t="shared" si="281"/>
        <v>0.6499999999999998</v>
      </c>
      <c r="EM60" s="55">
        <f t="shared" si="281"/>
        <v>0.62999999999999978</v>
      </c>
      <c r="EN60" s="55">
        <f t="shared" si="281"/>
        <v>0.60999999999999976</v>
      </c>
      <c r="EO60" s="55">
        <f t="shared" si="281"/>
        <v>0.58999999999999975</v>
      </c>
      <c r="EP60" s="55">
        <f t="shared" si="281"/>
        <v>0.56999999999999973</v>
      </c>
      <c r="ER60" s="55">
        <f t="shared" si="141"/>
        <v>17607.890300000003</v>
      </c>
      <c r="ES60" s="55">
        <f t="shared" si="115"/>
        <v>17607.890300000003</v>
      </c>
      <c r="ET60" s="59">
        <f t="shared" si="335"/>
        <v>58208.163753740009</v>
      </c>
      <c r="EU60" s="55">
        <f t="shared" si="336"/>
        <v>17079.653591000002</v>
      </c>
      <c r="EV60" s="59">
        <f t="shared" si="337"/>
        <v>56461.918841127808</v>
      </c>
      <c r="EW60" s="55">
        <f t="shared" si="338"/>
        <v>16727.495785000003</v>
      </c>
      <c r="EX60" s="59">
        <f t="shared" si="339"/>
        <v>55297.755566053012</v>
      </c>
      <c r="EY60" s="55">
        <f>+ES60*GP60</f>
        <v>16375.337979000004</v>
      </c>
      <c r="EZ60" s="59">
        <f t="shared" si="340"/>
        <v>54133.592290978209</v>
      </c>
      <c r="FA60" s="57">
        <f>+ES60*GQ60</f>
        <v>16023.180173000002</v>
      </c>
      <c r="FB60" s="59">
        <f t="shared" si="341"/>
        <v>52969.429015903406</v>
      </c>
      <c r="FC60" s="55">
        <f>+ES60*GR60</f>
        <v>15671.022367000003</v>
      </c>
      <c r="FD60" s="59">
        <f t="shared" si="342"/>
        <v>51805.26574082861</v>
      </c>
      <c r="FE60" s="57">
        <f>+ES60*GS60</f>
        <v>15318.864561000002</v>
      </c>
      <c r="FF60" s="59">
        <f t="shared" si="343"/>
        <v>50641.102465753807</v>
      </c>
      <c r="FG60" s="60">
        <f>+ES60*GT60</f>
        <v>14966.706755000001</v>
      </c>
      <c r="FH60" s="59">
        <f t="shared" si="344"/>
        <v>49476.939190679004</v>
      </c>
      <c r="FI60" s="57">
        <f>+ES60*GU60</f>
        <v>14614.548949000002</v>
      </c>
      <c r="FJ60" s="59">
        <f t="shared" si="345"/>
        <v>48312.775915604208</v>
      </c>
      <c r="FK60" s="55">
        <f>+ES60*GV60</f>
        <v>14262.391143000001</v>
      </c>
      <c r="FL60" s="59">
        <f t="shared" si="346"/>
        <v>47148.612640529405</v>
      </c>
      <c r="FM60" s="60">
        <f>+ES60*GW60</f>
        <v>13910.233337000001</v>
      </c>
      <c r="FN60" s="59">
        <f t="shared" si="347"/>
        <v>45984.44936545461</v>
      </c>
      <c r="FO60" s="60">
        <f>+ES60*GX60</f>
        <v>13558.075531</v>
      </c>
      <c r="FP60" s="59">
        <f t="shared" si="348"/>
        <v>44820.286090379799</v>
      </c>
      <c r="FQ60" s="60">
        <f>+ES60*GY60</f>
        <v>13205.917724999999</v>
      </c>
      <c r="FR60" s="59">
        <f t="shared" si="349"/>
        <v>43656.122815304996</v>
      </c>
      <c r="FS60" s="55">
        <f>+ES60*GZ60</f>
        <v>12853.759919</v>
      </c>
      <c r="FT60" s="59">
        <f t="shared" si="350"/>
        <v>42491.9595402302</v>
      </c>
      <c r="FU60" s="60">
        <f>+ES60*HA60</f>
        <v>12501.602112999999</v>
      </c>
      <c r="FV60" s="59">
        <f t="shared" si="351"/>
        <v>41327.796265155397</v>
      </c>
      <c r="FW60" s="60">
        <f>+ES60*HB60</f>
        <v>12149.444307</v>
      </c>
      <c r="FX60" s="59">
        <f t="shared" si="352"/>
        <v>40163.632990080601</v>
      </c>
      <c r="FY60" s="60">
        <f>+ES60*HC60</f>
        <v>11797.286500999999</v>
      </c>
      <c r="FZ60" s="59">
        <f t="shared" si="353"/>
        <v>38999.469715005798</v>
      </c>
      <c r="GA60" s="60">
        <f>+ES60*HD60</f>
        <v>11445.128694999998</v>
      </c>
      <c r="GB60" s="59">
        <f t="shared" si="354"/>
        <v>37835.306439930995</v>
      </c>
      <c r="GC60" s="55">
        <f>+ES60*HE60</f>
        <v>11092.970888999998</v>
      </c>
      <c r="GD60" s="59">
        <f t="shared" si="355"/>
        <v>36671.143164856192</v>
      </c>
      <c r="GE60" s="60">
        <f>+ES60*HF60</f>
        <v>10740.813082999997</v>
      </c>
      <c r="GF60" s="59">
        <f t="shared" si="356"/>
        <v>35506.979889781389</v>
      </c>
      <c r="GG60" s="60">
        <f>+ES60*HG60</f>
        <v>10388.655276999998</v>
      </c>
      <c r="GH60" s="59">
        <f t="shared" si="357"/>
        <v>34342.816614706593</v>
      </c>
      <c r="GI60" s="55">
        <f>+ES60*HH60</f>
        <v>10036.497470999997</v>
      </c>
      <c r="GJ60" s="59">
        <f t="shared" si="358"/>
        <v>33178.65333963179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82"/>
        <v>0.91</v>
      </c>
      <c r="GR60" s="55">
        <f t="shared" si="282"/>
        <v>0.89</v>
      </c>
      <c r="GS60" s="55">
        <f t="shared" si="282"/>
        <v>0.87</v>
      </c>
      <c r="GT60" s="55">
        <f t="shared" si="282"/>
        <v>0.85</v>
      </c>
      <c r="GU60" s="55">
        <f t="shared" si="282"/>
        <v>0.83</v>
      </c>
      <c r="GV60" s="55">
        <f t="shared" si="282"/>
        <v>0.80999999999999994</v>
      </c>
      <c r="GW60" s="55">
        <f t="shared" si="282"/>
        <v>0.78999999999999992</v>
      </c>
      <c r="GX60" s="55">
        <f t="shared" si="282"/>
        <v>0.76999999999999991</v>
      </c>
      <c r="GY60" s="55">
        <f t="shared" si="282"/>
        <v>0.74999999999999989</v>
      </c>
      <c r="GZ60" s="55">
        <f t="shared" si="282"/>
        <v>0.72999999999999987</v>
      </c>
      <c r="HA60" s="55">
        <f t="shared" si="282"/>
        <v>0.70999999999999985</v>
      </c>
      <c r="HB60" s="55">
        <f t="shared" si="282"/>
        <v>0.68999999999999984</v>
      </c>
      <c r="HC60" s="55">
        <f t="shared" si="282"/>
        <v>0.66999999999999982</v>
      </c>
      <c r="HD60" s="55">
        <f t="shared" si="282"/>
        <v>0.6499999999999998</v>
      </c>
      <c r="HE60" s="55">
        <f t="shared" si="282"/>
        <v>0.62999999999999978</v>
      </c>
      <c r="HF60" s="55">
        <f t="shared" si="282"/>
        <v>0.60999999999999976</v>
      </c>
      <c r="HG60" s="55">
        <f t="shared" si="282"/>
        <v>0.58999999999999975</v>
      </c>
      <c r="HH60" s="55">
        <f t="shared" si="282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359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360">+DW61-0.02</f>
        <v>0.91</v>
      </c>
      <c r="DY61" s="61">
        <f t="shared" si="360"/>
        <v>0.89</v>
      </c>
      <c r="DZ61" s="61">
        <f t="shared" si="360"/>
        <v>0.87</v>
      </c>
      <c r="EA61" s="61">
        <f t="shared" si="360"/>
        <v>0.85</v>
      </c>
      <c r="EB61" s="61">
        <f t="shared" si="360"/>
        <v>0.83</v>
      </c>
      <c r="EC61" s="61">
        <f t="shared" si="360"/>
        <v>0.80999999999999994</v>
      </c>
      <c r="ED61" s="61">
        <f t="shared" si="360"/>
        <v>0.78999999999999992</v>
      </c>
      <c r="EE61" s="61">
        <f t="shared" si="360"/>
        <v>0.76999999999999991</v>
      </c>
      <c r="EF61" s="61">
        <f t="shared" si="360"/>
        <v>0.74999999999999989</v>
      </c>
      <c r="EG61" s="61">
        <f t="shared" si="360"/>
        <v>0.72999999999999987</v>
      </c>
      <c r="EH61" s="61">
        <f t="shared" si="360"/>
        <v>0.70999999999999985</v>
      </c>
      <c r="EI61" s="61">
        <f t="shared" si="360"/>
        <v>0.68999999999999984</v>
      </c>
      <c r="EJ61" s="61">
        <f t="shared" si="360"/>
        <v>0.66999999999999982</v>
      </c>
      <c r="EK61" s="61">
        <f t="shared" si="360"/>
        <v>0.6499999999999998</v>
      </c>
      <c r="EL61" s="61">
        <f t="shared" si="360"/>
        <v>0.62999999999999978</v>
      </c>
      <c r="EM61" s="61">
        <f t="shared" si="360"/>
        <v>0.60999999999999976</v>
      </c>
      <c r="EN61" s="61">
        <f t="shared" si="360"/>
        <v>0.58999999999999975</v>
      </c>
      <c r="EO61" s="61">
        <f t="shared" si="360"/>
        <v>0.56999999999999973</v>
      </c>
      <c r="EQ61" s="61">
        <f t="shared" ref="EQ61:EQ62" si="361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362">+GO61-0.02</f>
        <v>0.91</v>
      </c>
      <c r="GQ61" s="61">
        <f t="shared" si="362"/>
        <v>0.89</v>
      </c>
      <c r="GR61" s="61">
        <f t="shared" si="362"/>
        <v>0.87</v>
      </c>
      <c r="GS61" s="61">
        <f t="shared" si="362"/>
        <v>0.85</v>
      </c>
      <c r="GT61" s="61">
        <f t="shared" si="362"/>
        <v>0.83</v>
      </c>
      <c r="GU61" s="61">
        <f t="shared" si="362"/>
        <v>0.80999999999999994</v>
      </c>
      <c r="GV61" s="61">
        <f t="shared" si="362"/>
        <v>0.78999999999999992</v>
      </c>
      <c r="GW61" s="61">
        <f t="shared" si="362"/>
        <v>0.76999999999999991</v>
      </c>
      <c r="GX61" s="61">
        <f t="shared" si="362"/>
        <v>0.74999999999999989</v>
      </c>
      <c r="GY61" s="61">
        <f t="shared" si="362"/>
        <v>0.72999999999999987</v>
      </c>
      <c r="GZ61" s="61">
        <f t="shared" si="362"/>
        <v>0.70999999999999985</v>
      </c>
      <c r="HA61" s="61">
        <f t="shared" si="362"/>
        <v>0.68999999999999984</v>
      </c>
      <c r="HB61" s="61">
        <f t="shared" si="362"/>
        <v>0.66999999999999982</v>
      </c>
      <c r="HC61" s="61">
        <f t="shared" si="362"/>
        <v>0.6499999999999998</v>
      </c>
      <c r="HD61" s="61">
        <f t="shared" si="362"/>
        <v>0.62999999999999978</v>
      </c>
      <c r="HE61" s="61">
        <f t="shared" si="362"/>
        <v>0.60999999999999976</v>
      </c>
      <c r="HF61" s="61">
        <f t="shared" si="362"/>
        <v>0.58999999999999975</v>
      </c>
      <c r="HG61" s="61">
        <f t="shared" si="362"/>
        <v>0.56999999999999973</v>
      </c>
    </row>
    <row r="62" spans="1:216" s="64" customFormat="1" ht="17.25" thickBot="1" x14ac:dyDescent="0.35">
      <c r="B62" s="64" t="s">
        <v>296</v>
      </c>
      <c r="C62" s="64" t="s">
        <v>297</v>
      </c>
      <c r="D62" s="65" t="s">
        <v>271</v>
      </c>
      <c r="E62" s="65" t="s">
        <v>315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359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360"/>
        <v>0.91</v>
      </c>
      <c r="DY62" s="61">
        <f t="shared" si="360"/>
        <v>0.89</v>
      </c>
      <c r="DZ62" s="61">
        <f t="shared" si="360"/>
        <v>0.87</v>
      </c>
      <c r="EA62" s="61">
        <f t="shared" si="360"/>
        <v>0.85</v>
      </c>
      <c r="EB62" s="61">
        <f t="shared" si="360"/>
        <v>0.83</v>
      </c>
      <c r="EC62" s="61">
        <f t="shared" si="360"/>
        <v>0.80999999999999994</v>
      </c>
      <c r="ED62" s="61">
        <f t="shared" si="360"/>
        <v>0.78999999999999992</v>
      </c>
      <c r="EE62" s="61">
        <f t="shared" si="360"/>
        <v>0.76999999999999991</v>
      </c>
      <c r="EF62" s="61">
        <f t="shared" si="360"/>
        <v>0.74999999999999989</v>
      </c>
      <c r="EG62" s="61">
        <f t="shared" si="360"/>
        <v>0.72999999999999987</v>
      </c>
      <c r="EH62" s="61">
        <f t="shared" si="360"/>
        <v>0.70999999999999985</v>
      </c>
      <c r="EI62" s="61">
        <f t="shared" si="360"/>
        <v>0.68999999999999984</v>
      </c>
      <c r="EJ62" s="61">
        <f t="shared" si="360"/>
        <v>0.66999999999999982</v>
      </c>
      <c r="EK62" s="61">
        <f t="shared" si="360"/>
        <v>0.6499999999999998</v>
      </c>
      <c r="EL62" s="61">
        <f t="shared" si="360"/>
        <v>0.62999999999999978</v>
      </c>
      <c r="EM62" s="61">
        <f t="shared" si="360"/>
        <v>0.60999999999999976</v>
      </c>
      <c r="EN62" s="61">
        <f t="shared" si="360"/>
        <v>0.58999999999999975</v>
      </c>
      <c r="EO62" s="61">
        <f t="shared" si="360"/>
        <v>0.56999999999999973</v>
      </c>
      <c r="EQ62" s="61">
        <f t="shared" si="361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362"/>
        <v>0.91</v>
      </c>
      <c r="GQ62" s="61">
        <f t="shared" si="362"/>
        <v>0.89</v>
      </c>
      <c r="GR62" s="61">
        <f t="shared" si="362"/>
        <v>0.87</v>
      </c>
      <c r="GS62" s="61">
        <f t="shared" si="362"/>
        <v>0.85</v>
      </c>
      <c r="GT62" s="61">
        <f t="shared" si="362"/>
        <v>0.83</v>
      </c>
      <c r="GU62" s="61">
        <f t="shared" si="362"/>
        <v>0.80999999999999994</v>
      </c>
      <c r="GV62" s="61">
        <f t="shared" si="362"/>
        <v>0.78999999999999992</v>
      </c>
      <c r="GW62" s="61">
        <f t="shared" si="362"/>
        <v>0.76999999999999991</v>
      </c>
      <c r="GX62" s="61">
        <f t="shared" si="362"/>
        <v>0.74999999999999989</v>
      </c>
      <c r="GY62" s="61">
        <f t="shared" si="362"/>
        <v>0.72999999999999987</v>
      </c>
      <c r="GZ62" s="61">
        <f t="shared" si="362"/>
        <v>0.70999999999999985</v>
      </c>
      <c r="HA62" s="61">
        <f t="shared" si="362"/>
        <v>0.68999999999999984</v>
      </c>
      <c r="HB62" s="61">
        <f t="shared" si="362"/>
        <v>0.66999999999999982</v>
      </c>
      <c r="HC62" s="61">
        <f t="shared" si="362"/>
        <v>0.6499999999999998</v>
      </c>
      <c r="HD62" s="61">
        <f t="shared" si="362"/>
        <v>0.62999999999999978</v>
      </c>
      <c r="HE62" s="61">
        <f t="shared" si="362"/>
        <v>0.60999999999999976</v>
      </c>
      <c r="HF62" s="61">
        <f t="shared" si="362"/>
        <v>0.58999999999999975</v>
      </c>
      <c r="HG62" s="61">
        <f t="shared" si="362"/>
        <v>0.56999999999999973</v>
      </c>
    </row>
    <row r="63" spans="1:216" x14ac:dyDescent="0.3">
      <c r="A63" s="2">
        <v>1</v>
      </c>
      <c r="C63" s="38" t="s">
        <v>30</v>
      </c>
      <c r="D63" s="40">
        <f>TRUNC(8523,-1)</f>
        <v>8520</v>
      </c>
      <c r="E63" s="85">
        <f>TRUNC(+D63*3.3058,-1)</f>
        <v>28160</v>
      </c>
      <c r="H63" s="55">
        <f t="shared" si="60"/>
        <v>30976.000000000004</v>
      </c>
      <c r="I63" s="55">
        <f t="shared" si="61"/>
        <v>30976.000000000004</v>
      </c>
      <c r="J63" s="59">
        <f t="shared" si="62"/>
        <v>102400.46080000002</v>
      </c>
      <c r="K63" s="55">
        <f t="shared" ref="K63:K89" si="363">+I63*BD63</f>
        <v>30046.720000000001</v>
      </c>
      <c r="L63" s="59">
        <f t="shared" ref="L63:L89" si="364">+K63*3.3058</f>
        <v>99328.446976000007</v>
      </c>
      <c r="M63" s="55">
        <f t="shared" ref="M63:M89" si="365">+I63*BE63</f>
        <v>29427.200000000001</v>
      </c>
      <c r="N63" s="59">
        <f t="shared" ref="N63:N89" si="366">+M63*3.3058</f>
        <v>97280.437760000001</v>
      </c>
      <c r="O63" s="55">
        <f t="shared" ref="O63:O89" si="367">+I63*BF63</f>
        <v>28807.680000000004</v>
      </c>
      <c r="P63" s="59">
        <f t="shared" ref="P63:P89" si="368">+O63*3.3058</f>
        <v>95232.428544000009</v>
      </c>
      <c r="Q63" s="57">
        <f t="shared" ref="Q63:Q89" si="369">+I63*BG63</f>
        <v>28188.160000000003</v>
      </c>
      <c r="R63" s="59">
        <f t="shared" ref="R63:R89" si="370">+Q63*3.3058</f>
        <v>93184.419328000018</v>
      </c>
      <c r="S63" s="55">
        <f t="shared" ref="S63:S89" si="371">+I63*BH63</f>
        <v>27568.640000000003</v>
      </c>
      <c r="T63" s="59">
        <f t="shared" ref="T63:T89" si="372">+S63*3.3058</f>
        <v>91136.410112000012</v>
      </c>
      <c r="U63" s="57">
        <f t="shared" ref="U63:U89" si="373">+I63*BI63</f>
        <v>26949.120000000003</v>
      </c>
      <c r="V63" s="59">
        <f t="shared" ref="V63:V89" si="374">+U63*3.3058</f>
        <v>89088.400896000006</v>
      </c>
      <c r="W63" s="60">
        <f t="shared" ref="W63:W89" si="375">+I63*BJ63</f>
        <v>26329.600000000002</v>
      </c>
      <c r="X63" s="59">
        <f t="shared" ref="X63:X89" si="376">+W63*3.3058</f>
        <v>87040.391680000015</v>
      </c>
      <c r="Y63" s="57">
        <f t="shared" ref="Y63:Y89" si="377">+I63*BK63</f>
        <v>25710.080000000002</v>
      </c>
      <c r="Z63" s="59">
        <f t="shared" ref="Z63:Z89" si="378">+Y63*3.3058</f>
        <v>84992.382464000009</v>
      </c>
      <c r="AA63" s="55">
        <f t="shared" ref="AA63:AA89" si="379">+I63*BL63</f>
        <v>25090.560000000001</v>
      </c>
      <c r="AB63" s="59">
        <f t="shared" ref="AB63:AB89" si="380">+AA63*3.3058</f>
        <v>82944.373248000004</v>
      </c>
      <c r="AC63" s="60">
        <f t="shared" ref="AC63:AC89" si="381">+I63*BM63</f>
        <v>24471.040000000001</v>
      </c>
      <c r="AD63" s="59">
        <f t="shared" ref="AD63:AD89" si="382">+AC63*3.3058</f>
        <v>80896.364031999998</v>
      </c>
      <c r="AE63" s="60">
        <f t="shared" ref="AE63:AE89" si="383">+I63*BN63</f>
        <v>23851.52</v>
      </c>
      <c r="AF63" s="59">
        <f t="shared" ref="AF63:AF89" si="384">+AE63*3.3058</f>
        <v>78848.354816000006</v>
      </c>
      <c r="AG63" s="60">
        <f t="shared" ref="AG63:AG89" si="385">+I63*BO63</f>
        <v>23232</v>
      </c>
      <c r="AH63" s="59">
        <f t="shared" ref="AH63:AH89" si="386">+AG63*3.3058</f>
        <v>76800.345600000001</v>
      </c>
      <c r="AI63" s="55">
        <f t="shared" ref="AI63:AI89" si="387">+I63*BP63</f>
        <v>22612.48</v>
      </c>
      <c r="AJ63" s="59">
        <f t="shared" ref="AJ63:AJ89" si="388">+AI63*3.3058</f>
        <v>74752.336383999995</v>
      </c>
      <c r="AK63" s="60">
        <f t="shared" ref="AK63:AK89" si="389">+I63*BQ63</f>
        <v>21992.959999999999</v>
      </c>
      <c r="AL63" s="59">
        <f t="shared" ref="AL63:AL89" si="390">+AK63*3.3058</f>
        <v>72704.327168000003</v>
      </c>
      <c r="AM63" s="60">
        <f t="shared" ref="AM63:AM89" si="391">+I63*BR63</f>
        <v>21373.439999999999</v>
      </c>
      <c r="AN63" s="59">
        <f t="shared" ref="AN63:AN89" si="392">+AM63*3.3058</f>
        <v>70656.317951999998</v>
      </c>
      <c r="AO63" s="60">
        <f t="shared" ref="AO63:AO89" si="393">+I63*BS63</f>
        <v>20753.919999999998</v>
      </c>
      <c r="AP63" s="59">
        <f t="shared" ref="AP63:AP89" si="394">+AO63*3.3058</f>
        <v>68608.308735999992</v>
      </c>
      <c r="AQ63" s="60">
        <f t="shared" ref="AQ63:AQ89" si="395">+I63*BT63</f>
        <v>20134.399999999998</v>
      </c>
      <c r="AR63" s="59">
        <f t="shared" ref="AR63:AR89" si="396">+AQ63*3.3058</f>
        <v>66560.29952</v>
      </c>
      <c r="AS63" s="55">
        <f t="shared" ref="AS63:AS89" si="397">+I63*BU63</f>
        <v>19514.879999999994</v>
      </c>
      <c r="AT63" s="59">
        <f t="shared" ref="AT63:AT89" si="398">+AS63*3.3058</f>
        <v>64512.29030399998</v>
      </c>
      <c r="AU63" s="60">
        <f t="shared" ref="AU63:AU89" si="399">+I63*BV63</f>
        <v>18895.359999999993</v>
      </c>
      <c r="AV63" s="59">
        <f t="shared" ref="AV63:AV89" si="400">+AU63*3.3058</f>
        <v>62464.281087999982</v>
      </c>
      <c r="AW63" s="60">
        <f t="shared" ref="AW63:AW89" si="401">+I63*BW63</f>
        <v>18275.839999999993</v>
      </c>
      <c r="AX63" s="59">
        <f t="shared" ref="AX63:AX89" si="402">+AW63*3.3058</f>
        <v>60416.271871999976</v>
      </c>
      <c r="AY63" s="55">
        <f t="shared" ref="AY63:AY89" si="403">+I63*BX63</f>
        <v>17656.319999999992</v>
      </c>
      <c r="AZ63" s="59">
        <f t="shared" ref="AZ63:AZ89" si="404">+AY63*3.3058</f>
        <v>58368.262655999977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77" si="405">+BF63-0.02</f>
        <v>0.91</v>
      </c>
      <c r="BH63" s="55">
        <f t="shared" si="405"/>
        <v>0.89</v>
      </c>
      <c r="BI63" s="55">
        <f t="shared" si="405"/>
        <v>0.87</v>
      </c>
      <c r="BJ63" s="55">
        <f t="shared" si="405"/>
        <v>0.85</v>
      </c>
      <c r="BK63" s="55">
        <f t="shared" si="405"/>
        <v>0.83</v>
      </c>
      <c r="BL63" s="55">
        <f t="shared" si="405"/>
        <v>0.80999999999999994</v>
      </c>
      <c r="BM63" s="55">
        <f t="shared" si="405"/>
        <v>0.78999999999999992</v>
      </c>
      <c r="BN63" s="55">
        <f t="shared" si="405"/>
        <v>0.76999999999999991</v>
      </c>
      <c r="BO63" s="55">
        <f t="shared" si="405"/>
        <v>0.74999999999999989</v>
      </c>
      <c r="BP63" s="55">
        <f t="shared" si="405"/>
        <v>0.72999999999999987</v>
      </c>
      <c r="BQ63" s="55">
        <f t="shared" si="405"/>
        <v>0.70999999999999985</v>
      </c>
      <c r="BR63" s="55">
        <f t="shared" si="405"/>
        <v>0.68999999999999984</v>
      </c>
      <c r="BS63" s="55">
        <f t="shared" si="405"/>
        <v>0.66999999999999982</v>
      </c>
      <c r="BT63" s="55">
        <f t="shared" si="405"/>
        <v>0.6499999999999998</v>
      </c>
      <c r="BU63" s="55">
        <f t="shared" si="405"/>
        <v>0.62999999999999978</v>
      </c>
      <c r="BV63" s="55">
        <f t="shared" si="405"/>
        <v>0.60999999999999976</v>
      </c>
      <c r="BW63" s="55">
        <f t="shared" si="405"/>
        <v>0.58999999999999975</v>
      </c>
      <c r="BX63" s="55">
        <f t="shared" si="405"/>
        <v>0.56999999999999973</v>
      </c>
      <c r="BZ63" s="55">
        <f t="shared" si="87"/>
        <v>28188.160000000003</v>
      </c>
      <c r="CA63" s="55">
        <f t="shared" si="88"/>
        <v>28188.160000000003</v>
      </c>
      <c r="CB63" s="59">
        <f t="shared" ref="CB63:CB89" si="406">+CA63*3.3058</f>
        <v>93184.419328000018</v>
      </c>
      <c r="CC63" s="55">
        <f t="shared" ref="CC63:CC89" si="407">+CA63*DV63</f>
        <v>27342.515200000002</v>
      </c>
      <c r="CD63" s="59">
        <f t="shared" ref="CD63:CD89" si="408">+CC63*3.3058</f>
        <v>90388.886748160003</v>
      </c>
      <c r="CE63" s="55">
        <f t="shared" ref="CE63:CE89" si="409">+CA63*DW63</f>
        <v>26778.752</v>
      </c>
      <c r="CF63" s="59">
        <f t="shared" ref="CF63:CF89" si="410">+CE63*3.3058</f>
        <v>88525.198361600007</v>
      </c>
      <c r="CG63" s="55">
        <f t="shared" ref="CG63:CG89" si="411">+CA63*DX63</f>
        <v>26214.988800000003</v>
      </c>
      <c r="CH63" s="59">
        <f t="shared" ref="CH63:CH89" si="412">+CG63*3.3058</f>
        <v>86661.509975040011</v>
      </c>
      <c r="CI63" s="57">
        <f t="shared" ref="CI63:CI89" si="413">+CA63*DY63</f>
        <v>25651.225600000005</v>
      </c>
      <c r="CJ63" s="59">
        <f t="shared" ref="CJ63:CJ89" si="414">+CI63*3.3058</f>
        <v>84797.821588480016</v>
      </c>
      <c r="CK63" s="55">
        <f t="shared" ref="CK63:CK89" si="415">+CA63*DZ63</f>
        <v>25087.462400000004</v>
      </c>
      <c r="CL63" s="59">
        <f t="shared" ref="CL63:CL89" si="416">+CK63*3.3058</f>
        <v>82934.13320192002</v>
      </c>
      <c r="CM63" s="57">
        <f t="shared" ref="CM63:CM89" si="417">+CA63*EA63</f>
        <v>24523.699200000003</v>
      </c>
      <c r="CN63" s="59">
        <f t="shared" ref="CN63:CN89" si="418">+CM63*3.3058</f>
        <v>81070.44481536001</v>
      </c>
      <c r="CO63" s="60">
        <f t="shared" ref="CO63:CO89" si="419">+CA63*EB63</f>
        <v>23959.936000000002</v>
      </c>
      <c r="CP63" s="59">
        <f t="shared" ref="CP63:CP89" si="420">+CO63*3.3058</f>
        <v>79206.756428800014</v>
      </c>
      <c r="CQ63" s="57">
        <f t="shared" ref="CQ63:CQ89" si="421">+CA63*EC63</f>
        <v>23396.1728</v>
      </c>
      <c r="CR63" s="59">
        <f t="shared" ref="CR63:CR89" si="422">+CQ63*3.3058</f>
        <v>77343.068042240004</v>
      </c>
      <c r="CS63" s="55">
        <f t="shared" ref="CS63:CS89" si="423">+CA63*ED63</f>
        <v>22832.409600000003</v>
      </c>
      <c r="CT63" s="59">
        <f t="shared" ref="CT63:CT89" si="424">+CS63*3.3058</f>
        <v>75479.379655680008</v>
      </c>
      <c r="CU63" s="60">
        <f t="shared" ref="CU63:CU89" si="425">+CA63*EE63</f>
        <v>22268.646400000001</v>
      </c>
      <c r="CV63" s="59">
        <f t="shared" ref="CV63:CV89" si="426">+CU63*3.3058</f>
        <v>73615.691269120012</v>
      </c>
      <c r="CW63" s="60">
        <f t="shared" ref="CW63:CW89" si="427">+CA63*EF63</f>
        <v>21704.8832</v>
      </c>
      <c r="CX63" s="59">
        <f t="shared" ref="CX63:CX89" si="428">+CW63*3.3058</f>
        <v>71752.002882560002</v>
      </c>
      <c r="CY63" s="60">
        <f t="shared" ref="CY63:CY89" si="429">+CA63*EG63</f>
        <v>21141.119999999999</v>
      </c>
      <c r="CZ63" s="59">
        <f t="shared" ref="CZ63:CZ89" si="430">+CY63*3.3058</f>
        <v>69888.314495999992</v>
      </c>
      <c r="DA63" s="55">
        <f t="shared" ref="DA63:DA89" si="431">+CA63*EH63</f>
        <v>20577.356799999998</v>
      </c>
      <c r="DB63" s="59">
        <f t="shared" ref="DB63:DB89" si="432">+DA63*3.3058</f>
        <v>68024.626109439996</v>
      </c>
      <c r="DC63" s="60">
        <f t="shared" ref="DC63:DC89" si="433">+CA63*EI63</f>
        <v>20013.5936</v>
      </c>
      <c r="DD63" s="59">
        <f t="shared" ref="DD63:DD89" si="434">+DC63*3.3058</f>
        <v>66160.93772288</v>
      </c>
      <c r="DE63" s="60">
        <f t="shared" ref="DE63:DE89" si="435">+CA63*EJ63</f>
        <v>19449.830399999999</v>
      </c>
      <c r="DF63" s="59">
        <f t="shared" ref="DF63:DF89" si="436">+DE63*3.3058</f>
        <v>64297.249336319997</v>
      </c>
      <c r="DG63" s="60">
        <f t="shared" ref="DG63:DG89" si="437">+CA63*EK63</f>
        <v>18886.067199999998</v>
      </c>
      <c r="DH63" s="59">
        <f t="shared" ref="DH63:DH89" si="438">+DG63*3.3058</f>
        <v>62433.560949759994</v>
      </c>
      <c r="DI63" s="60">
        <f t="shared" ref="DI63:DI89" si="439">+CA63*EL63</f>
        <v>18322.303999999996</v>
      </c>
      <c r="DJ63" s="59">
        <f t="shared" ref="DJ63:DJ89" si="440">+DI63*3.3058</f>
        <v>60569.872563199991</v>
      </c>
      <c r="DK63" s="55">
        <f t="shared" ref="DK63:DK89" si="441">+CA63*EM63</f>
        <v>17758.540799999995</v>
      </c>
      <c r="DL63" s="59">
        <f t="shared" ref="DL63:DL89" si="442">+DK63*3.3058</f>
        <v>58706.184176639988</v>
      </c>
      <c r="DM63" s="60">
        <f t="shared" ref="DM63:DM89" si="443">+CA63*EN63</f>
        <v>17194.777599999994</v>
      </c>
      <c r="DN63" s="59">
        <f t="shared" ref="DN63:DN89" si="444">+DM63*3.3058</f>
        <v>56842.495790079978</v>
      </c>
      <c r="DO63" s="60">
        <f t="shared" ref="DO63:DO89" si="445">+CA63*EO63</f>
        <v>16631.014399999996</v>
      </c>
      <c r="DP63" s="59">
        <f t="shared" ref="DP63:DP89" si="446">+DO63*3.3058</f>
        <v>54978.80740351999</v>
      </c>
      <c r="DQ63" s="55">
        <f t="shared" ref="DQ63:DQ89" si="447">+CA63*EP63</f>
        <v>16067.251199999995</v>
      </c>
      <c r="DR63" s="59">
        <f t="shared" ref="DR63:DR89" si="448">+DQ63*3.3058</f>
        <v>53115.119016959987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1"/>
        <v>0.91</v>
      </c>
      <c r="DZ63" s="55">
        <f t="shared" si="281"/>
        <v>0.89</v>
      </c>
      <c r="EA63" s="55">
        <f t="shared" si="281"/>
        <v>0.87</v>
      </c>
      <c r="EB63" s="55">
        <f t="shared" ref="EB63:EP63" si="449">+EA63-0.02</f>
        <v>0.85</v>
      </c>
      <c r="EC63" s="55">
        <f t="shared" si="449"/>
        <v>0.83</v>
      </c>
      <c r="ED63" s="55">
        <f t="shared" si="449"/>
        <v>0.80999999999999994</v>
      </c>
      <c r="EE63" s="55">
        <f t="shared" si="449"/>
        <v>0.78999999999999992</v>
      </c>
      <c r="EF63" s="55">
        <f t="shared" si="449"/>
        <v>0.76999999999999991</v>
      </c>
      <c r="EG63" s="55">
        <f t="shared" si="449"/>
        <v>0.74999999999999989</v>
      </c>
      <c r="EH63" s="55">
        <f t="shared" si="449"/>
        <v>0.72999999999999987</v>
      </c>
      <c r="EI63" s="55">
        <f t="shared" si="449"/>
        <v>0.70999999999999985</v>
      </c>
      <c r="EJ63" s="55">
        <f t="shared" si="449"/>
        <v>0.68999999999999984</v>
      </c>
      <c r="EK63" s="55">
        <f t="shared" si="449"/>
        <v>0.66999999999999982</v>
      </c>
      <c r="EL63" s="55">
        <f t="shared" si="449"/>
        <v>0.6499999999999998</v>
      </c>
      <c r="EM63" s="55">
        <f t="shared" si="449"/>
        <v>0.62999999999999978</v>
      </c>
      <c r="EN63" s="55">
        <f t="shared" si="449"/>
        <v>0.60999999999999976</v>
      </c>
      <c r="EO63" s="55">
        <f t="shared" si="449"/>
        <v>0.58999999999999975</v>
      </c>
      <c r="EP63" s="55">
        <f t="shared" si="449"/>
        <v>0.56999999999999973</v>
      </c>
      <c r="ER63" s="55">
        <f t="shared" si="141"/>
        <v>25651.225600000005</v>
      </c>
      <c r="ES63" s="55">
        <f t="shared" si="115"/>
        <v>25651.225600000005</v>
      </c>
      <c r="ET63" s="59">
        <f t="shared" ref="ET63:ET89" si="450">+ES63*3.3058</f>
        <v>84797.821588480016</v>
      </c>
      <c r="EU63" s="55">
        <f t="shared" ref="EU63:EU89" si="451">+ES63*GN63</f>
        <v>24881.688832000003</v>
      </c>
      <c r="EV63" s="59">
        <f t="shared" ref="EV63:EV89" si="452">+EU63*3.3058</f>
        <v>82253.886940825614</v>
      </c>
      <c r="EW63" s="55">
        <f t="shared" ref="EW63:EW89" si="453">+ES63*GO63</f>
        <v>24368.664320000003</v>
      </c>
      <c r="EX63" s="59">
        <f t="shared" ref="EX63:EX89" si="454">+EW63*3.3058</f>
        <v>80557.930509056008</v>
      </c>
      <c r="EY63" s="55">
        <f t="shared" ref="EY63:EY89" si="455">+ES63*GP63</f>
        <v>23855.639808000007</v>
      </c>
      <c r="EZ63" s="59">
        <f t="shared" ref="EZ63:EZ89" si="456">+EY63*3.3058</f>
        <v>78861.974077286432</v>
      </c>
      <c r="FA63" s="57">
        <f t="shared" ref="FA63:FA89" si="457">+ES63*GQ63</f>
        <v>23342.615296000007</v>
      </c>
      <c r="FB63" s="59">
        <f t="shared" ref="FB63:FB89" si="458">+FA63*3.3058</f>
        <v>77166.017645516826</v>
      </c>
      <c r="FC63" s="55">
        <f t="shared" ref="FC63:FC89" si="459">+ES63*GR63</f>
        <v>22829.590784000004</v>
      </c>
      <c r="FD63" s="59">
        <f t="shared" ref="FD63:FD89" si="460">+FC63*3.3058</f>
        <v>75470.06121374722</v>
      </c>
      <c r="FE63" s="57">
        <f t="shared" ref="FE63:FE89" si="461">+ES63*GS63</f>
        <v>22316.566272000004</v>
      </c>
      <c r="FF63" s="59">
        <f t="shared" ref="FF63:FF89" si="462">+FE63*3.3058</f>
        <v>73774.104781977614</v>
      </c>
      <c r="FG63" s="60">
        <f t="shared" ref="FG63:FG89" si="463">+ES63*GT63</f>
        <v>21803.541760000004</v>
      </c>
      <c r="FH63" s="59">
        <f t="shared" ref="FH63:FH89" si="464">+FG63*3.3058</f>
        <v>72078.148350208008</v>
      </c>
      <c r="FI63" s="57">
        <f t="shared" ref="FI63:FI89" si="465">+ES63*GU63</f>
        <v>21290.517248000004</v>
      </c>
      <c r="FJ63" s="59">
        <f t="shared" ref="FJ63:FJ89" si="466">+FI63*3.3058</f>
        <v>70382.191918438417</v>
      </c>
      <c r="FK63" s="55">
        <f t="shared" ref="FK63:FK89" si="467">+ES63*GV63</f>
        <v>20777.492736000004</v>
      </c>
      <c r="FL63" s="59">
        <f t="shared" ref="FL63:FL89" si="468">+FK63*3.3058</f>
        <v>68686.235486668811</v>
      </c>
      <c r="FM63" s="60">
        <f t="shared" ref="FM63:FM89" si="469">+ES63*GW63</f>
        <v>20264.468224000004</v>
      </c>
      <c r="FN63" s="59">
        <f t="shared" ref="FN63:FN89" si="470">+FM63*3.3058</f>
        <v>66990.27905489922</v>
      </c>
      <c r="FO63" s="60">
        <f t="shared" ref="FO63:FO89" si="471">+ES63*GX63</f>
        <v>19751.443712</v>
      </c>
      <c r="FP63" s="59">
        <f t="shared" ref="FP63:FP89" si="472">+FO63*3.3058</f>
        <v>65294.322623129599</v>
      </c>
      <c r="FQ63" s="60">
        <f t="shared" ref="FQ63:FQ89" si="473">+ES63*GY63</f>
        <v>19238.4192</v>
      </c>
      <c r="FR63" s="59">
        <f t="shared" ref="FR63:FR89" si="474">+FQ63*3.3058</f>
        <v>63598.366191360001</v>
      </c>
      <c r="FS63" s="55">
        <f t="shared" ref="FS63:FS89" si="475">+ES63*GZ63</f>
        <v>18725.394688</v>
      </c>
      <c r="FT63" s="59">
        <f t="shared" ref="FT63:FT89" si="476">+FS63*3.3058</f>
        <v>61902.409759590402</v>
      </c>
      <c r="FU63" s="60">
        <f t="shared" ref="FU63:FU89" si="477">+ES63*HA63</f>
        <v>18212.370176</v>
      </c>
      <c r="FV63" s="59">
        <f t="shared" ref="FV63:FV89" si="478">+FU63*3.3058</f>
        <v>60206.453327820804</v>
      </c>
      <c r="FW63" s="60">
        <f t="shared" ref="FW63:FW89" si="479">+ES63*HB63</f>
        <v>17699.345664</v>
      </c>
      <c r="FX63" s="59">
        <f t="shared" ref="FX63:FX89" si="480">+FW63*3.3058</f>
        <v>58510.496896051205</v>
      </c>
      <c r="FY63" s="60">
        <f t="shared" ref="FY63:FY89" si="481">+ES63*HC63</f>
        <v>17186.321152</v>
      </c>
      <c r="FZ63" s="59">
        <f t="shared" ref="FZ63:FZ89" si="482">+FY63*3.3058</f>
        <v>56814.540464281599</v>
      </c>
      <c r="GA63" s="60">
        <f t="shared" ref="GA63:GA89" si="483">+ES63*HD63</f>
        <v>16673.296639999997</v>
      </c>
      <c r="GB63" s="59">
        <f t="shared" ref="GB63:GB89" si="484">+GA63*3.3058</f>
        <v>55118.584032511993</v>
      </c>
      <c r="GC63" s="55">
        <f t="shared" ref="GC63:GC89" si="485">+ES63*HE63</f>
        <v>16160.272127999997</v>
      </c>
      <c r="GD63" s="59">
        <f t="shared" ref="GD63:GD89" si="486">+GC63*3.3058</f>
        <v>53422.627600742388</v>
      </c>
      <c r="GE63" s="60">
        <f t="shared" ref="GE63:GE89" si="487">+ES63*HF63</f>
        <v>15647.247615999997</v>
      </c>
      <c r="GF63" s="59">
        <f t="shared" ref="GF63:GF89" si="488">+GE63*3.3058</f>
        <v>51726.671168972789</v>
      </c>
      <c r="GG63" s="60">
        <f t="shared" ref="GG63:GG89" si="489">+ES63*HG63</f>
        <v>15134.223103999997</v>
      </c>
      <c r="GH63" s="59">
        <f t="shared" ref="GH63:GH89" si="490">+GG63*3.3058</f>
        <v>50030.71473720319</v>
      </c>
      <c r="GI63" s="55">
        <f t="shared" ref="GI63:GI89" si="491">+ES63*HH63</f>
        <v>14621.198591999995</v>
      </c>
      <c r="GJ63" s="59">
        <f t="shared" ref="GJ63:GJ89" si="492">+GI63*3.3058</f>
        <v>48334.758305433585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82"/>
        <v>0.91</v>
      </c>
      <c r="GR63" s="55">
        <f t="shared" si="282"/>
        <v>0.89</v>
      </c>
      <c r="GS63" s="55">
        <f t="shared" si="282"/>
        <v>0.87</v>
      </c>
      <c r="GT63" s="55">
        <f t="shared" ref="GT63:HH63" si="493">+GS63-0.02</f>
        <v>0.85</v>
      </c>
      <c r="GU63" s="55">
        <f t="shared" si="493"/>
        <v>0.83</v>
      </c>
      <c r="GV63" s="55">
        <f t="shared" si="493"/>
        <v>0.80999999999999994</v>
      </c>
      <c r="GW63" s="55">
        <f t="shared" si="493"/>
        <v>0.78999999999999992</v>
      </c>
      <c r="GX63" s="55">
        <f t="shared" si="493"/>
        <v>0.76999999999999991</v>
      </c>
      <c r="GY63" s="55">
        <f t="shared" si="493"/>
        <v>0.74999999999999989</v>
      </c>
      <c r="GZ63" s="55">
        <f t="shared" si="493"/>
        <v>0.72999999999999987</v>
      </c>
      <c r="HA63" s="55">
        <f t="shared" si="493"/>
        <v>0.70999999999999985</v>
      </c>
      <c r="HB63" s="55">
        <f t="shared" si="493"/>
        <v>0.68999999999999984</v>
      </c>
      <c r="HC63" s="55">
        <f t="shared" si="493"/>
        <v>0.66999999999999982</v>
      </c>
      <c r="HD63" s="55">
        <f t="shared" si="493"/>
        <v>0.6499999999999998</v>
      </c>
      <c r="HE63" s="55">
        <f t="shared" si="493"/>
        <v>0.62999999999999978</v>
      </c>
      <c r="HF63" s="55">
        <f t="shared" si="493"/>
        <v>0.60999999999999976</v>
      </c>
      <c r="HG63" s="55">
        <f t="shared" si="493"/>
        <v>0.58999999999999975</v>
      </c>
      <c r="HH63" s="55">
        <f t="shared" si="493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f>TRUNC(2566,-1)</f>
        <v>2560</v>
      </c>
      <c r="E64" s="86">
        <f>TRUNC(+D64*3.3058,-1)</f>
        <v>8460</v>
      </c>
      <c r="H64" s="55">
        <f t="shared" si="60"/>
        <v>9306</v>
      </c>
      <c r="I64" s="55">
        <f t="shared" si="61"/>
        <v>9306</v>
      </c>
      <c r="J64" s="59">
        <f t="shared" si="62"/>
        <v>30763.774799999999</v>
      </c>
      <c r="K64" s="55">
        <f t="shared" si="363"/>
        <v>9026.82</v>
      </c>
      <c r="L64" s="59">
        <f t="shared" si="364"/>
        <v>29840.861556</v>
      </c>
      <c r="M64" s="55">
        <f t="shared" si="365"/>
        <v>8840.6999999999989</v>
      </c>
      <c r="N64" s="59">
        <f t="shared" si="366"/>
        <v>29225.586059999998</v>
      </c>
      <c r="O64" s="55">
        <f t="shared" si="367"/>
        <v>8654.58</v>
      </c>
      <c r="P64" s="59">
        <f t="shared" si="368"/>
        <v>28610.310563999999</v>
      </c>
      <c r="Q64" s="57">
        <f t="shared" si="369"/>
        <v>8468.4600000000009</v>
      </c>
      <c r="R64" s="59">
        <f t="shared" si="370"/>
        <v>27995.035068000005</v>
      </c>
      <c r="S64" s="55">
        <f t="shared" si="371"/>
        <v>8282.34</v>
      </c>
      <c r="T64" s="59">
        <f t="shared" si="372"/>
        <v>27379.759572000003</v>
      </c>
      <c r="U64" s="57">
        <f t="shared" si="373"/>
        <v>8096.22</v>
      </c>
      <c r="V64" s="59">
        <f t="shared" si="374"/>
        <v>26764.484076000001</v>
      </c>
      <c r="W64" s="60">
        <f t="shared" si="375"/>
        <v>7910.0999999999995</v>
      </c>
      <c r="X64" s="59">
        <f t="shared" si="376"/>
        <v>26149.208579999999</v>
      </c>
      <c r="Y64" s="57">
        <f t="shared" si="377"/>
        <v>7723.98</v>
      </c>
      <c r="Z64" s="59">
        <f t="shared" si="378"/>
        <v>25533.933084</v>
      </c>
      <c r="AA64" s="55">
        <f t="shared" si="379"/>
        <v>7537.86</v>
      </c>
      <c r="AB64" s="59">
        <f t="shared" si="380"/>
        <v>24918.657587999998</v>
      </c>
      <c r="AC64" s="60">
        <f t="shared" si="381"/>
        <v>7351.7399999999989</v>
      </c>
      <c r="AD64" s="59">
        <f t="shared" si="382"/>
        <v>24303.382091999996</v>
      </c>
      <c r="AE64" s="60">
        <f t="shared" si="383"/>
        <v>7165.619999999999</v>
      </c>
      <c r="AF64" s="59">
        <f t="shared" si="384"/>
        <v>23688.106595999998</v>
      </c>
      <c r="AG64" s="60">
        <f t="shared" si="385"/>
        <v>6979.4999999999991</v>
      </c>
      <c r="AH64" s="59">
        <f t="shared" si="386"/>
        <v>23072.831099999996</v>
      </c>
      <c r="AI64" s="55">
        <f t="shared" si="387"/>
        <v>6793.3799999999992</v>
      </c>
      <c r="AJ64" s="59">
        <f t="shared" si="388"/>
        <v>22457.555603999997</v>
      </c>
      <c r="AK64" s="60">
        <f t="shared" si="389"/>
        <v>6607.2599999999984</v>
      </c>
      <c r="AL64" s="59">
        <f t="shared" si="390"/>
        <v>21842.280107999995</v>
      </c>
      <c r="AM64" s="60">
        <f t="shared" si="391"/>
        <v>6421.1399999999985</v>
      </c>
      <c r="AN64" s="59">
        <f t="shared" si="392"/>
        <v>21227.004611999997</v>
      </c>
      <c r="AO64" s="60">
        <f t="shared" si="393"/>
        <v>6235.0199999999986</v>
      </c>
      <c r="AP64" s="59">
        <f t="shared" si="394"/>
        <v>20611.729115999995</v>
      </c>
      <c r="AQ64" s="60">
        <f t="shared" si="395"/>
        <v>6048.8999999999978</v>
      </c>
      <c r="AR64" s="59">
        <f t="shared" si="396"/>
        <v>19996.453619999993</v>
      </c>
      <c r="AS64" s="55">
        <f t="shared" si="397"/>
        <v>5862.7799999999979</v>
      </c>
      <c r="AT64" s="59">
        <f t="shared" si="398"/>
        <v>19381.178123999995</v>
      </c>
      <c r="AU64" s="60">
        <f t="shared" si="399"/>
        <v>5676.659999999998</v>
      </c>
      <c r="AV64" s="59">
        <f t="shared" si="400"/>
        <v>18765.902627999993</v>
      </c>
      <c r="AW64" s="60">
        <f t="shared" si="401"/>
        <v>5490.5399999999972</v>
      </c>
      <c r="AX64" s="59">
        <f t="shared" si="402"/>
        <v>18150.627131999991</v>
      </c>
      <c r="AY64" s="55">
        <f t="shared" si="403"/>
        <v>5304.4199999999973</v>
      </c>
      <c r="AZ64" s="59">
        <f t="shared" si="404"/>
        <v>17535.351635999992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405"/>
        <v>0.91</v>
      </c>
      <c r="BH64" s="55">
        <f t="shared" si="405"/>
        <v>0.89</v>
      </c>
      <c r="BI64" s="55">
        <f t="shared" si="405"/>
        <v>0.87</v>
      </c>
      <c r="BJ64" s="55">
        <f t="shared" si="405"/>
        <v>0.85</v>
      </c>
      <c r="BK64" s="55">
        <f t="shared" si="405"/>
        <v>0.83</v>
      </c>
      <c r="BL64" s="55">
        <f t="shared" si="405"/>
        <v>0.80999999999999994</v>
      </c>
      <c r="BM64" s="55">
        <f t="shared" si="405"/>
        <v>0.78999999999999992</v>
      </c>
      <c r="BN64" s="55">
        <f t="shared" si="405"/>
        <v>0.76999999999999991</v>
      </c>
      <c r="BO64" s="55">
        <f t="shared" si="405"/>
        <v>0.74999999999999989</v>
      </c>
      <c r="BP64" s="55">
        <f t="shared" si="405"/>
        <v>0.72999999999999987</v>
      </c>
      <c r="BQ64" s="55">
        <f t="shared" si="405"/>
        <v>0.70999999999999985</v>
      </c>
      <c r="BR64" s="55">
        <f t="shared" si="405"/>
        <v>0.68999999999999984</v>
      </c>
      <c r="BS64" s="55">
        <f t="shared" si="405"/>
        <v>0.66999999999999982</v>
      </c>
      <c r="BT64" s="55">
        <f t="shared" si="405"/>
        <v>0.6499999999999998</v>
      </c>
      <c r="BU64" s="55">
        <f t="shared" si="405"/>
        <v>0.62999999999999978</v>
      </c>
      <c r="BV64" s="55">
        <f t="shared" si="405"/>
        <v>0.60999999999999976</v>
      </c>
      <c r="BW64" s="55">
        <f t="shared" si="405"/>
        <v>0.58999999999999975</v>
      </c>
      <c r="BX64" s="55">
        <f t="shared" si="405"/>
        <v>0.56999999999999973</v>
      </c>
      <c r="BZ64" s="55">
        <f t="shared" si="87"/>
        <v>8468.4600000000009</v>
      </c>
      <c r="CA64" s="55">
        <f t="shared" si="88"/>
        <v>8468.4600000000009</v>
      </c>
      <c r="CB64" s="59">
        <f t="shared" si="406"/>
        <v>27995.035068000005</v>
      </c>
      <c r="CC64" s="55">
        <f t="shared" si="407"/>
        <v>8214.4062000000013</v>
      </c>
      <c r="CD64" s="59">
        <f t="shared" si="408"/>
        <v>27155.184015960003</v>
      </c>
      <c r="CE64" s="55">
        <f t="shared" si="409"/>
        <v>8045.0370000000003</v>
      </c>
      <c r="CF64" s="59">
        <f t="shared" si="410"/>
        <v>26595.283314600001</v>
      </c>
      <c r="CG64" s="55">
        <f t="shared" si="411"/>
        <v>7875.6678000000011</v>
      </c>
      <c r="CH64" s="59">
        <f t="shared" si="412"/>
        <v>26035.382613240003</v>
      </c>
      <c r="CI64" s="57">
        <f t="shared" si="413"/>
        <v>7706.298600000001</v>
      </c>
      <c r="CJ64" s="59">
        <f t="shared" si="414"/>
        <v>25475.481911880004</v>
      </c>
      <c r="CK64" s="55">
        <f t="shared" si="415"/>
        <v>7536.9294000000009</v>
      </c>
      <c r="CL64" s="59">
        <f t="shared" si="416"/>
        <v>24915.581210520002</v>
      </c>
      <c r="CM64" s="57">
        <f t="shared" si="417"/>
        <v>7367.5602000000008</v>
      </c>
      <c r="CN64" s="59">
        <f t="shared" si="418"/>
        <v>24355.680509160004</v>
      </c>
      <c r="CO64" s="60">
        <f t="shared" si="419"/>
        <v>7198.1910000000007</v>
      </c>
      <c r="CP64" s="59">
        <f t="shared" si="420"/>
        <v>23795.779807800001</v>
      </c>
      <c r="CQ64" s="57">
        <f t="shared" si="421"/>
        <v>7028.8218000000006</v>
      </c>
      <c r="CR64" s="59">
        <f t="shared" si="422"/>
        <v>23235.879106440003</v>
      </c>
      <c r="CS64" s="55">
        <f t="shared" si="423"/>
        <v>6859.4526000000005</v>
      </c>
      <c r="CT64" s="59">
        <f t="shared" si="424"/>
        <v>22675.978405080001</v>
      </c>
      <c r="CU64" s="60">
        <f t="shared" si="425"/>
        <v>6690.0834000000004</v>
      </c>
      <c r="CV64" s="59">
        <f t="shared" si="426"/>
        <v>22116.077703720002</v>
      </c>
      <c r="CW64" s="60">
        <f t="shared" si="427"/>
        <v>6520.7142000000003</v>
      </c>
      <c r="CX64" s="59">
        <f t="shared" si="428"/>
        <v>21556.17700236</v>
      </c>
      <c r="CY64" s="60">
        <f t="shared" si="429"/>
        <v>6351.3449999999993</v>
      </c>
      <c r="CZ64" s="59">
        <f t="shared" si="430"/>
        <v>20996.276300999998</v>
      </c>
      <c r="DA64" s="55">
        <f t="shared" si="431"/>
        <v>6181.9757999999993</v>
      </c>
      <c r="DB64" s="59">
        <f t="shared" si="432"/>
        <v>20436.37559964</v>
      </c>
      <c r="DC64" s="60">
        <f t="shared" si="433"/>
        <v>6012.6065999999992</v>
      </c>
      <c r="DD64" s="59">
        <f t="shared" si="434"/>
        <v>19876.474898279997</v>
      </c>
      <c r="DE64" s="60">
        <f t="shared" si="435"/>
        <v>5843.2373999999991</v>
      </c>
      <c r="DF64" s="59">
        <f t="shared" si="436"/>
        <v>19316.574196919999</v>
      </c>
      <c r="DG64" s="60">
        <f t="shared" si="437"/>
        <v>5673.868199999999</v>
      </c>
      <c r="DH64" s="59">
        <f t="shared" si="438"/>
        <v>18756.673495559997</v>
      </c>
      <c r="DI64" s="60">
        <f t="shared" si="439"/>
        <v>5504.4989999999989</v>
      </c>
      <c r="DJ64" s="59">
        <f t="shared" si="440"/>
        <v>18196.772794199998</v>
      </c>
      <c r="DK64" s="55">
        <f t="shared" si="441"/>
        <v>5335.1297999999988</v>
      </c>
      <c r="DL64" s="59">
        <f t="shared" si="442"/>
        <v>17636.872092839996</v>
      </c>
      <c r="DM64" s="60">
        <f t="shared" si="443"/>
        <v>5165.7605999999987</v>
      </c>
      <c r="DN64" s="59">
        <f t="shared" si="444"/>
        <v>17076.971391479998</v>
      </c>
      <c r="DO64" s="60">
        <f t="shared" si="445"/>
        <v>4996.3913999999986</v>
      </c>
      <c r="DP64" s="59">
        <f t="shared" si="446"/>
        <v>16517.070690119996</v>
      </c>
      <c r="DQ64" s="55">
        <f t="shared" si="447"/>
        <v>4827.0221999999985</v>
      </c>
      <c r="DR64" s="59">
        <f t="shared" si="448"/>
        <v>15957.169988759995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ref="DY64:EP78" si="494">+DX64-0.02</f>
        <v>0.91</v>
      </c>
      <c r="DZ64" s="55">
        <f t="shared" si="494"/>
        <v>0.89</v>
      </c>
      <c r="EA64" s="55">
        <f t="shared" si="494"/>
        <v>0.87</v>
      </c>
      <c r="EB64" s="55">
        <f t="shared" si="494"/>
        <v>0.85</v>
      </c>
      <c r="EC64" s="55">
        <f t="shared" si="494"/>
        <v>0.83</v>
      </c>
      <c r="ED64" s="55">
        <f t="shared" si="494"/>
        <v>0.80999999999999994</v>
      </c>
      <c r="EE64" s="55">
        <f t="shared" si="494"/>
        <v>0.78999999999999992</v>
      </c>
      <c r="EF64" s="55">
        <f t="shared" si="494"/>
        <v>0.76999999999999991</v>
      </c>
      <c r="EG64" s="55">
        <f t="shared" si="494"/>
        <v>0.74999999999999989</v>
      </c>
      <c r="EH64" s="55">
        <f t="shared" si="494"/>
        <v>0.72999999999999987</v>
      </c>
      <c r="EI64" s="55">
        <f t="shared" si="494"/>
        <v>0.70999999999999985</v>
      </c>
      <c r="EJ64" s="55">
        <f t="shared" si="494"/>
        <v>0.68999999999999984</v>
      </c>
      <c r="EK64" s="55">
        <f t="shared" si="494"/>
        <v>0.66999999999999982</v>
      </c>
      <c r="EL64" s="55">
        <f t="shared" si="494"/>
        <v>0.6499999999999998</v>
      </c>
      <c r="EM64" s="55">
        <f t="shared" si="494"/>
        <v>0.62999999999999978</v>
      </c>
      <c r="EN64" s="55">
        <f t="shared" si="494"/>
        <v>0.60999999999999976</v>
      </c>
      <c r="EO64" s="55">
        <f t="shared" si="494"/>
        <v>0.58999999999999975</v>
      </c>
      <c r="EP64" s="55">
        <f t="shared" si="494"/>
        <v>0.56999999999999973</v>
      </c>
      <c r="ER64" s="55">
        <f t="shared" si="141"/>
        <v>7706.298600000001</v>
      </c>
      <c r="ES64" s="55">
        <f t="shared" si="115"/>
        <v>7706.298600000001</v>
      </c>
      <c r="ET64" s="59">
        <f t="shared" si="450"/>
        <v>25475.481911880004</v>
      </c>
      <c r="EU64" s="55">
        <f t="shared" si="451"/>
        <v>7475.1096420000003</v>
      </c>
      <c r="EV64" s="59">
        <f t="shared" si="452"/>
        <v>24711.217454523601</v>
      </c>
      <c r="EW64" s="55">
        <f t="shared" si="453"/>
        <v>7320.9836700000005</v>
      </c>
      <c r="EX64" s="59">
        <f t="shared" si="454"/>
        <v>24201.707816286002</v>
      </c>
      <c r="EY64" s="55">
        <f t="shared" si="455"/>
        <v>7166.8576980000016</v>
      </c>
      <c r="EZ64" s="59">
        <f t="shared" si="456"/>
        <v>23692.198178048406</v>
      </c>
      <c r="FA64" s="57">
        <f t="shared" si="457"/>
        <v>7012.7317260000009</v>
      </c>
      <c r="FB64" s="59">
        <f t="shared" si="458"/>
        <v>23182.688539810802</v>
      </c>
      <c r="FC64" s="55">
        <f t="shared" si="459"/>
        <v>6858.6057540000011</v>
      </c>
      <c r="FD64" s="59">
        <f t="shared" si="460"/>
        <v>22673.178901573203</v>
      </c>
      <c r="FE64" s="57">
        <f t="shared" si="461"/>
        <v>6704.4797820000013</v>
      </c>
      <c r="FF64" s="59">
        <f t="shared" si="462"/>
        <v>22163.669263335603</v>
      </c>
      <c r="FG64" s="60">
        <f t="shared" si="463"/>
        <v>6550.3538100000005</v>
      </c>
      <c r="FH64" s="59">
        <f t="shared" si="464"/>
        <v>21654.159625098004</v>
      </c>
      <c r="FI64" s="57">
        <f t="shared" si="465"/>
        <v>6396.2278380000007</v>
      </c>
      <c r="FJ64" s="59">
        <f t="shared" si="466"/>
        <v>21144.649986860404</v>
      </c>
      <c r="FK64" s="55">
        <f t="shared" si="467"/>
        <v>6242.101866</v>
      </c>
      <c r="FL64" s="59">
        <f t="shared" si="468"/>
        <v>20635.140348622801</v>
      </c>
      <c r="FM64" s="60">
        <f t="shared" si="469"/>
        <v>6087.9758940000002</v>
      </c>
      <c r="FN64" s="59">
        <f t="shared" si="470"/>
        <v>20125.630710385201</v>
      </c>
      <c r="FO64" s="60">
        <f t="shared" si="471"/>
        <v>5933.8499220000003</v>
      </c>
      <c r="FP64" s="59">
        <f t="shared" si="472"/>
        <v>19616.121072147602</v>
      </c>
      <c r="FQ64" s="60">
        <f t="shared" si="473"/>
        <v>5779.7239499999996</v>
      </c>
      <c r="FR64" s="59">
        <f t="shared" si="474"/>
        <v>19106.611433909999</v>
      </c>
      <c r="FS64" s="55">
        <f t="shared" si="475"/>
        <v>5625.5979779999998</v>
      </c>
      <c r="FT64" s="59">
        <f t="shared" si="476"/>
        <v>18597.101795672399</v>
      </c>
      <c r="FU64" s="60">
        <f t="shared" si="477"/>
        <v>5471.472006</v>
      </c>
      <c r="FV64" s="59">
        <f t="shared" si="478"/>
        <v>18087.592157434799</v>
      </c>
      <c r="FW64" s="60">
        <f t="shared" si="479"/>
        <v>5317.3460339999992</v>
      </c>
      <c r="FX64" s="59">
        <f t="shared" si="480"/>
        <v>17578.082519197196</v>
      </c>
      <c r="FY64" s="60">
        <f t="shared" si="481"/>
        <v>5163.2200619999994</v>
      </c>
      <c r="FZ64" s="59">
        <f t="shared" si="482"/>
        <v>17068.572880959597</v>
      </c>
      <c r="GA64" s="60">
        <f t="shared" si="483"/>
        <v>5009.0940899999987</v>
      </c>
      <c r="GB64" s="59">
        <f t="shared" si="484"/>
        <v>16559.063242721997</v>
      </c>
      <c r="GC64" s="55">
        <f t="shared" si="485"/>
        <v>4854.9681179999989</v>
      </c>
      <c r="GD64" s="59">
        <f t="shared" si="486"/>
        <v>16049.553604484398</v>
      </c>
      <c r="GE64" s="60">
        <f t="shared" si="487"/>
        <v>4700.842145999999</v>
      </c>
      <c r="GF64" s="59">
        <f t="shared" si="488"/>
        <v>15540.043966246798</v>
      </c>
      <c r="GG64" s="60">
        <f t="shared" si="489"/>
        <v>4546.7161739999983</v>
      </c>
      <c r="GH64" s="59">
        <f t="shared" si="490"/>
        <v>15030.534328009195</v>
      </c>
      <c r="GI64" s="55">
        <f t="shared" si="491"/>
        <v>4392.5902019999985</v>
      </c>
      <c r="GJ64" s="59">
        <f t="shared" si="492"/>
        <v>14521.024689771595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ref="GQ64:HH78" si="495">+GP64-0.02</f>
        <v>0.91</v>
      </c>
      <c r="GR64" s="55">
        <f t="shared" si="495"/>
        <v>0.89</v>
      </c>
      <c r="GS64" s="55">
        <f t="shared" si="495"/>
        <v>0.87</v>
      </c>
      <c r="GT64" s="55">
        <f t="shared" si="495"/>
        <v>0.85</v>
      </c>
      <c r="GU64" s="55">
        <f t="shared" si="495"/>
        <v>0.83</v>
      </c>
      <c r="GV64" s="55">
        <f t="shared" si="495"/>
        <v>0.80999999999999994</v>
      </c>
      <c r="GW64" s="55">
        <f t="shared" si="495"/>
        <v>0.78999999999999992</v>
      </c>
      <c r="GX64" s="55">
        <f t="shared" si="495"/>
        <v>0.76999999999999991</v>
      </c>
      <c r="GY64" s="55">
        <f t="shared" si="495"/>
        <v>0.74999999999999989</v>
      </c>
      <c r="GZ64" s="55">
        <f t="shared" si="495"/>
        <v>0.72999999999999987</v>
      </c>
      <c r="HA64" s="55">
        <f t="shared" si="495"/>
        <v>0.70999999999999985</v>
      </c>
      <c r="HB64" s="55">
        <f t="shared" si="495"/>
        <v>0.68999999999999984</v>
      </c>
      <c r="HC64" s="55">
        <f t="shared" si="495"/>
        <v>0.66999999999999982</v>
      </c>
      <c r="HD64" s="55">
        <f t="shared" si="495"/>
        <v>0.6499999999999998</v>
      </c>
      <c r="HE64" s="55">
        <f t="shared" si="495"/>
        <v>0.62999999999999978</v>
      </c>
      <c r="HF64" s="55">
        <f t="shared" si="495"/>
        <v>0.60999999999999976</v>
      </c>
      <c r="HG64" s="55">
        <f t="shared" si="495"/>
        <v>0.58999999999999975</v>
      </c>
      <c r="HH64" s="55">
        <f t="shared" si="495"/>
        <v>0.56999999999999973</v>
      </c>
    </row>
    <row r="65" spans="1:216" x14ac:dyDescent="0.3">
      <c r="A65" s="2">
        <v>3</v>
      </c>
      <c r="C65" s="38" t="s">
        <v>32</v>
      </c>
      <c r="D65" s="42">
        <v>0</v>
      </c>
      <c r="E65" s="86">
        <f>TRUNC(+D65*3.3058,-1)</f>
        <v>0</v>
      </c>
      <c r="H65" s="55">
        <f t="shared" si="60"/>
        <v>0</v>
      </c>
      <c r="I65" s="55">
        <f t="shared" si="61"/>
        <v>0</v>
      </c>
      <c r="J65" s="59">
        <f t="shared" si="62"/>
        <v>0</v>
      </c>
      <c r="K65" s="55">
        <f t="shared" si="363"/>
        <v>0</v>
      </c>
      <c r="L65" s="59">
        <f t="shared" si="364"/>
        <v>0</v>
      </c>
      <c r="M65" s="55">
        <f t="shared" si="365"/>
        <v>0</v>
      </c>
      <c r="N65" s="59">
        <f t="shared" si="366"/>
        <v>0</v>
      </c>
      <c r="O65" s="55">
        <f t="shared" si="367"/>
        <v>0</v>
      </c>
      <c r="P65" s="59">
        <f t="shared" si="368"/>
        <v>0</v>
      </c>
      <c r="Q65" s="57">
        <f t="shared" si="369"/>
        <v>0</v>
      </c>
      <c r="R65" s="59">
        <f t="shared" si="370"/>
        <v>0</v>
      </c>
      <c r="S65" s="55">
        <f t="shared" si="371"/>
        <v>0</v>
      </c>
      <c r="T65" s="59">
        <f t="shared" si="372"/>
        <v>0</v>
      </c>
      <c r="U65" s="57">
        <f t="shared" si="373"/>
        <v>0</v>
      </c>
      <c r="V65" s="59">
        <f t="shared" si="374"/>
        <v>0</v>
      </c>
      <c r="W65" s="60">
        <f t="shared" si="375"/>
        <v>0</v>
      </c>
      <c r="X65" s="59">
        <f t="shared" si="376"/>
        <v>0</v>
      </c>
      <c r="Y65" s="57">
        <f t="shared" si="377"/>
        <v>0</v>
      </c>
      <c r="Z65" s="59">
        <f t="shared" si="378"/>
        <v>0</v>
      </c>
      <c r="AA65" s="55">
        <f t="shared" si="379"/>
        <v>0</v>
      </c>
      <c r="AB65" s="59">
        <f t="shared" si="380"/>
        <v>0</v>
      </c>
      <c r="AC65" s="60">
        <f t="shared" si="381"/>
        <v>0</v>
      </c>
      <c r="AD65" s="59">
        <f t="shared" si="382"/>
        <v>0</v>
      </c>
      <c r="AE65" s="60">
        <f t="shared" si="383"/>
        <v>0</v>
      </c>
      <c r="AF65" s="59">
        <f t="shared" si="384"/>
        <v>0</v>
      </c>
      <c r="AG65" s="60">
        <f t="shared" si="385"/>
        <v>0</v>
      </c>
      <c r="AH65" s="59">
        <f t="shared" si="386"/>
        <v>0</v>
      </c>
      <c r="AI65" s="55">
        <f t="shared" si="387"/>
        <v>0</v>
      </c>
      <c r="AJ65" s="59">
        <f t="shared" si="388"/>
        <v>0</v>
      </c>
      <c r="AK65" s="60">
        <f t="shared" si="389"/>
        <v>0</v>
      </c>
      <c r="AL65" s="59">
        <f t="shared" si="390"/>
        <v>0</v>
      </c>
      <c r="AM65" s="60">
        <f t="shared" si="391"/>
        <v>0</v>
      </c>
      <c r="AN65" s="59">
        <f t="shared" si="392"/>
        <v>0</v>
      </c>
      <c r="AO65" s="60">
        <f t="shared" si="393"/>
        <v>0</v>
      </c>
      <c r="AP65" s="59">
        <f t="shared" si="394"/>
        <v>0</v>
      </c>
      <c r="AQ65" s="60">
        <f t="shared" si="395"/>
        <v>0</v>
      </c>
      <c r="AR65" s="59">
        <f t="shared" si="396"/>
        <v>0</v>
      </c>
      <c r="AS65" s="55">
        <f t="shared" si="397"/>
        <v>0</v>
      </c>
      <c r="AT65" s="59">
        <f t="shared" si="398"/>
        <v>0</v>
      </c>
      <c r="AU65" s="60">
        <f t="shared" si="399"/>
        <v>0</v>
      </c>
      <c r="AV65" s="59">
        <f t="shared" si="400"/>
        <v>0</v>
      </c>
      <c r="AW65" s="60">
        <f t="shared" si="401"/>
        <v>0</v>
      </c>
      <c r="AX65" s="59">
        <f t="shared" si="402"/>
        <v>0</v>
      </c>
      <c r="AY65" s="55">
        <f t="shared" si="403"/>
        <v>0</v>
      </c>
      <c r="AZ65" s="59">
        <f t="shared" si="404"/>
        <v>0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405"/>
        <v>0.91</v>
      </c>
      <c r="BH65" s="55">
        <f t="shared" si="405"/>
        <v>0.89</v>
      </c>
      <c r="BI65" s="55">
        <f t="shared" si="405"/>
        <v>0.87</v>
      </c>
      <c r="BJ65" s="55">
        <f t="shared" si="405"/>
        <v>0.85</v>
      </c>
      <c r="BK65" s="55">
        <f t="shared" si="405"/>
        <v>0.83</v>
      </c>
      <c r="BL65" s="55">
        <f t="shared" si="405"/>
        <v>0.80999999999999994</v>
      </c>
      <c r="BM65" s="55">
        <f t="shared" si="405"/>
        <v>0.78999999999999992</v>
      </c>
      <c r="BN65" s="55">
        <f t="shared" si="405"/>
        <v>0.76999999999999991</v>
      </c>
      <c r="BO65" s="55">
        <f t="shared" si="405"/>
        <v>0.74999999999999989</v>
      </c>
      <c r="BP65" s="55">
        <f t="shared" si="405"/>
        <v>0.72999999999999987</v>
      </c>
      <c r="BQ65" s="55">
        <f t="shared" si="405"/>
        <v>0.70999999999999985</v>
      </c>
      <c r="BR65" s="55">
        <f t="shared" si="405"/>
        <v>0.68999999999999984</v>
      </c>
      <c r="BS65" s="55">
        <f t="shared" si="405"/>
        <v>0.66999999999999982</v>
      </c>
      <c r="BT65" s="55">
        <f t="shared" si="405"/>
        <v>0.6499999999999998</v>
      </c>
      <c r="BU65" s="55">
        <f t="shared" si="405"/>
        <v>0.62999999999999978</v>
      </c>
      <c r="BV65" s="55">
        <f t="shared" si="405"/>
        <v>0.60999999999999976</v>
      </c>
      <c r="BW65" s="55">
        <f t="shared" si="405"/>
        <v>0.58999999999999975</v>
      </c>
      <c r="BX65" s="55">
        <f t="shared" si="405"/>
        <v>0.56999999999999973</v>
      </c>
      <c r="BZ65" s="55">
        <f t="shared" si="87"/>
        <v>0</v>
      </c>
      <c r="CA65" s="55">
        <f t="shared" si="88"/>
        <v>0</v>
      </c>
      <c r="CB65" s="59">
        <f t="shared" si="406"/>
        <v>0</v>
      </c>
      <c r="CC65" s="55">
        <f t="shared" si="407"/>
        <v>0</v>
      </c>
      <c r="CD65" s="59">
        <f t="shared" si="408"/>
        <v>0</v>
      </c>
      <c r="CE65" s="55">
        <f t="shared" si="409"/>
        <v>0</v>
      </c>
      <c r="CF65" s="59">
        <f t="shared" si="410"/>
        <v>0</v>
      </c>
      <c r="CG65" s="55">
        <f t="shared" si="411"/>
        <v>0</v>
      </c>
      <c r="CH65" s="59">
        <f t="shared" si="412"/>
        <v>0</v>
      </c>
      <c r="CI65" s="57">
        <f t="shared" si="413"/>
        <v>0</v>
      </c>
      <c r="CJ65" s="59">
        <f t="shared" si="414"/>
        <v>0</v>
      </c>
      <c r="CK65" s="55">
        <f t="shared" si="415"/>
        <v>0</v>
      </c>
      <c r="CL65" s="59">
        <f t="shared" si="416"/>
        <v>0</v>
      </c>
      <c r="CM65" s="57">
        <f t="shared" si="417"/>
        <v>0</v>
      </c>
      <c r="CN65" s="59">
        <f t="shared" si="418"/>
        <v>0</v>
      </c>
      <c r="CO65" s="60">
        <f t="shared" si="419"/>
        <v>0</v>
      </c>
      <c r="CP65" s="59">
        <f t="shared" si="420"/>
        <v>0</v>
      </c>
      <c r="CQ65" s="57">
        <f t="shared" si="421"/>
        <v>0</v>
      </c>
      <c r="CR65" s="59">
        <f t="shared" si="422"/>
        <v>0</v>
      </c>
      <c r="CS65" s="55">
        <f t="shared" si="423"/>
        <v>0</v>
      </c>
      <c r="CT65" s="59">
        <f t="shared" si="424"/>
        <v>0</v>
      </c>
      <c r="CU65" s="60">
        <f t="shared" si="425"/>
        <v>0</v>
      </c>
      <c r="CV65" s="59">
        <f t="shared" si="426"/>
        <v>0</v>
      </c>
      <c r="CW65" s="60">
        <f t="shared" si="427"/>
        <v>0</v>
      </c>
      <c r="CX65" s="59">
        <f t="shared" si="428"/>
        <v>0</v>
      </c>
      <c r="CY65" s="60">
        <f t="shared" si="429"/>
        <v>0</v>
      </c>
      <c r="CZ65" s="59">
        <f t="shared" si="430"/>
        <v>0</v>
      </c>
      <c r="DA65" s="55">
        <f t="shared" si="431"/>
        <v>0</v>
      </c>
      <c r="DB65" s="59">
        <f t="shared" si="432"/>
        <v>0</v>
      </c>
      <c r="DC65" s="60">
        <f t="shared" si="433"/>
        <v>0</v>
      </c>
      <c r="DD65" s="59">
        <f t="shared" si="434"/>
        <v>0</v>
      </c>
      <c r="DE65" s="60">
        <f t="shared" si="435"/>
        <v>0</v>
      </c>
      <c r="DF65" s="59">
        <f t="shared" si="436"/>
        <v>0</v>
      </c>
      <c r="DG65" s="60">
        <f t="shared" si="437"/>
        <v>0</v>
      </c>
      <c r="DH65" s="59">
        <f t="shared" si="438"/>
        <v>0</v>
      </c>
      <c r="DI65" s="60">
        <f t="shared" si="439"/>
        <v>0</v>
      </c>
      <c r="DJ65" s="59">
        <f t="shared" si="440"/>
        <v>0</v>
      </c>
      <c r="DK65" s="55">
        <f t="shared" si="441"/>
        <v>0</v>
      </c>
      <c r="DL65" s="59">
        <f t="shared" si="442"/>
        <v>0</v>
      </c>
      <c r="DM65" s="60">
        <f t="shared" si="443"/>
        <v>0</v>
      </c>
      <c r="DN65" s="59">
        <f t="shared" si="444"/>
        <v>0</v>
      </c>
      <c r="DO65" s="60">
        <f t="shared" si="445"/>
        <v>0</v>
      </c>
      <c r="DP65" s="59">
        <f t="shared" si="446"/>
        <v>0</v>
      </c>
      <c r="DQ65" s="55">
        <f t="shared" si="447"/>
        <v>0</v>
      </c>
      <c r="DR65" s="59">
        <f t="shared" si="448"/>
        <v>0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494"/>
        <v>0.91</v>
      </c>
      <c r="DZ65" s="55">
        <f t="shared" si="494"/>
        <v>0.89</v>
      </c>
      <c r="EA65" s="55">
        <f t="shared" si="494"/>
        <v>0.87</v>
      </c>
      <c r="EB65" s="55">
        <f t="shared" si="494"/>
        <v>0.85</v>
      </c>
      <c r="EC65" s="55">
        <f t="shared" si="494"/>
        <v>0.83</v>
      </c>
      <c r="ED65" s="55">
        <f t="shared" si="494"/>
        <v>0.80999999999999994</v>
      </c>
      <c r="EE65" s="55">
        <f t="shared" si="494"/>
        <v>0.78999999999999992</v>
      </c>
      <c r="EF65" s="55">
        <f t="shared" si="494"/>
        <v>0.76999999999999991</v>
      </c>
      <c r="EG65" s="55">
        <f t="shared" si="494"/>
        <v>0.74999999999999989</v>
      </c>
      <c r="EH65" s="55">
        <f t="shared" si="494"/>
        <v>0.72999999999999987</v>
      </c>
      <c r="EI65" s="55">
        <f t="shared" si="494"/>
        <v>0.70999999999999985</v>
      </c>
      <c r="EJ65" s="55">
        <f t="shared" si="494"/>
        <v>0.68999999999999984</v>
      </c>
      <c r="EK65" s="55">
        <f t="shared" si="494"/>
        <v>0.66999999999999982</v>
      </c>
      <c r="EL65" s="55">
        <f t="shared" si="494"/>
        <v>0.6499999999999998</v>
      </c>
      <c r="EM65" s="55">
        <f t="shared" si="494"/>
        <v>0.62999999999999978</v>
      </c>
      <c r="EN65" s="55">
        <f t="shared" si="494"/>
        <v>0.60999999999999976</v>
      </c>
      <c r="EO65" s="55">
        <f t="shared" si="494"/>
        <v>0.58999999999999975</v>
      </c>
      <c r="EP65" s="55">
        <f t="shared" si="494"/>
        <v>0.56999999999999973</v>
      </c>
      <c r="ER65" s="55">
        <f t="shared" si="141"/>
        <v>0</v>
      </c>
      <c r="ES65" s="55">
        <f t="shared" si="115"/>
        <v>0</v>
      </c>
      <c r="ET65" s="59">
        <f t="shared" si="450"/>
        <v>0</v>
      </c>
      <c r="EU65" s="55">
        <f t="shared" si="451"/>
        <v>0</v>
      </c>
      <c r="EV65" s="59">
        <f t="shared" si="452"/>
        <v>0</v>
      </c>
      <c r="EW65" s="55">
        <f t="shared" si="453"/>
        <v>0</v>
      </c>
      <c r="EX65" s="59">
        <f t="shared" si="454"/>
        <v>0</v>
      </c>
      <c r="EY65" s="55">
        <f t="shared" si="455"/>
        <v>0</v>
      </c>
      <c r="EZ65" s="59">
        <f t="shared" si="456"/>
        <v>0</v>
      </c>
      <c r="FA65" s="57">
        <f t="shared" si="457"/>
        <v>0</v>
      </c>
      <c r="FB65" s="59">
        <f t="shared" si="458"/>
        <v>0</v>
      </c>
      <c r="FC65" s="55">
        <f t="shared" si="459"/>
        <v>0</v>
      </c>
      <c r="FD65" s="59">
        <f t="shared" si="460"/>
        <v>0</v>
      </c>
      <c r="FE65" s="57">
        <f t="shared" si="461"/>
        <v>0</v>
      </c>
      <c r="FF65" s="59">
        <f t="shared" si="462"/>
        <v>0</v>
      </c>
      <c r="FG65" s="60">
        <f t="shared" si="463"/>
        <v>0</v>
      </c>
      <c r="FH65" s="59">
        <f t="shared" si="464"/>
        <v>0</v>
      </c>
      <c r="FI65" s="57">
        <f t="shared" si="465"/>
        <v>0</v>
      </c>
      <c r="FJ65" s="59">
        <f t="shared" si="466"/>
        <v>0</v>
      </c>
      <c r="FK65" s="55">
        <f t="shared" si="467"/>
        <v>0</v>
      </c>
      <c r="FL65" s="59">
        <f t="shared" si="468"/>
        <v>0</v>
      </c>
      <c r="FM65" s="60">
        <f t="shared" si="469"/>
        <v>0</v>
      </c>
      <c r="FN65" s="59">
        <f t="shared" si="470"/>
        <v>0</v>
      </c>
      <c r="FO65" s="60">
        <f t="shared" si="471"/>
        <v>0</v>
      </c>
      <c r="FP65" s="59">
        <f t="shared" si="472"/>
        <v>0</v>
      </c>
      <c r="FQ65" s="60">
        <f t="shared" si="473"/>
        <v>0</v>
      </c>
      <c r="FR65" s="59">
        <f t="shared" si="474"/>
        <v>0</v>
      </c>
      <c r="FS65" s="55">
        <f t="shared" si="475"/>
        <v>0</v>
      </c>
      <c r="FT65" s="59">
        <f t="shared" si="476"/>
        <v>0</v>
      </c>
      <c r="FU65" s="60">
        <f t="shared" si="477"/>
        <v>0</v>
      </c>
      <c r="FV65" s="59">
        <f t="shared" si="478"/>
        <v>0</v>
      </c>
      <c r="FW65" s="60">
        <f t="shared" si="479"/>
        <v>0</v>
      </c>
      <c r="FX65" s="59">
        <f t="shared" si="480"/>
        <v>0</v>
      </c>
      <c r="FY65" s="60">
        <f t="shared" si="481"/>
        <v>0</v>
      </c>
      <c r="FZ65" s="59">
        <f t="shared" si="482"/>
        <v>0</v>
      </c>
      <c r="GA65" s="60">
        <f t="shared" si="483"/>
        <v>0</v>
      </c>
      <c r="GB65" s="59">
        <f t="shared" si="484"/>
        <v>0</v>
      </c>
      <c r="GC65" s="55">
        <f t="shared" si="485"/>
        <v>0</v>
      </c>
      <c r="GD65" s="59">
        <f t="shared" si="486"/>
        <v>0</v>
      </c>
      <c r="GE65" s="60">
        <f t="shared" si="487"/>
        <v>0</v>
      </c>
      <c r="GF65" s="59">
        <f t="shared" si="488"/>
        <v>0</v>
      </c>
      <c r="GG65" s="60">
        <f t="shared" si="489"/>
        <v>0</v>
      </c>
      <c r="GH65" s="59">
        <f t="shared" si="490"/>
        <v>0</v>
      </c>
      <c r="GI65" s="55">
        <f t="shared" si="491"/>
        <v>0</v>
      </c>
      <c r="GJ65" s="59">
        <f t="shared" si="492"/>
        <v>0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495"/>
        <v>0.91</v>
      </c>
      <c r="GR65" s="55">
        <f t="shared" si="495"/>
        <v>0.89</v>
      </c>
      <c r="GS65" s="55">
        <f t="shared" si="495"/>
        <v>0.87</v>
      </c>
      <c r="GT65" s="55">
        <f t="shared" si="495"/>
        <v>0.85</v>
      </c>
      <c r="GU65" s="55">
        <f t="shared" si="495"/>
        <v>0.83</v>
      </c>
      <c r="GV65" s="55">
        <f t="shared" si="495"/>
        <v>0.80999999999999994</v>
      </c>
      <c r="GW65" s="55">
        <f t="shared" si="495"/>
        <v>0.78999999999999992</v>
      </c>
      <c r="GX65" s="55">
        <f t="shared" si="495"/>
        <v>0.76999999999999991</v>
      </c>
      <c r="GY65" s="55">
        <f t="shared" si="495"/>
        <v>0.74999999999999989</v>
      </c>
      <c r="GZ65" s="55">
        <f t="shared" si="495"/>
        <v>0.72999999999999987</v>
      </c>
      <c r="HA65" s="55">
        <f t="shared" si="495"/>
        <v>0.70999999999999985</v>
      </c>
      <c r="HB65" s="55">
        <f t="shared" si="495"/>
        <v>0.68999999999999984</v>
      </c>
      <c r="HC65" s="55">
        <f t="shared" si="495"/>
        <v>0.66999999999999982</v>
      </c>
      <c r="HD65" s="55">
        <f t="shared" si="495"/>
        <v>0.6499999999999998</v>
      </c>
      <c r="HE65" s="55">
        <f t="shared" si="495"/>
        <v>0.62999999999999978</v>
      </c>
      <c r="HF65" s="55">
        <f t="shared" si="495"/>
        <v>0.60999999999999976</v>
      </c>
      <c r="HG65" s="55">
        <f t="shared" si="495"/>
        <v>0.58999999999999975</v>
      </c>
      <c r="HH65" s="55">
        <f t="shared" si="495"/>
        <v>0.56999999999999973</v>
      </c>
    </row>
    <row r="66" spans="1:216" x14ac:dyDescent="0.3">
      <c r="A66" s="2">
        <v>4</v>
      </c>
      <c r="C66" s="38" t="s">
        <v>33</v>
      </c>
      <c r="D66" s="42">
        <f>TRUNC(3257,-1)</f>
        <v>3250</v>
      </c>
      <c r="E66" s="86">
        <f>TRUNC(+D66*3.3058,-1)</f>
        <v>10740</v>
      </c>
      <c r="H66" s="55">
        <f t="shared" si="60"/>
        <v>11814.000000000002</v>
      </c>
      <c r="I66" s="55">
        <f t="shared" si="61"/>
        <v>11814.000000000002</v>
      </c>
      <c r="J66" s="59">
        <f t="shared" si="62"/>
        <v>39054.721200000007</v>
      </c>
      <c r="K66" s="55">
        <f t="shared" si="363"/>
        <v>11459.580000000002</v>
      </c>
      <c r="L66" s="59">
        <f t="shared" si="364"/>
        <v>37883.079564000007</v>
      </c>
      <c r="M66" s="55">
        <f t="shared" si="365"/>
        <v>11223.300000000001</v>
      </c>
      <c r="N66" s="59">
        <f t="shared" si="366"/>
        <v>37101.985140000004</v>
      </c>
      <c r="O66" s="55">
        <f t="shared" si="367"/>
        <v>10987.020000000002</v>
      </c>
      <c r="P66" s="59">
        <f t="shared" si="368"/>
        <v>36320.890716000009</v>
      </c>
      <c r="Q66" s="57">
        <f t="shared" si="369"/>
        <v>10750.740000000002</v>
      </c>
      <c r="R66" s="59">
        <f t="shared" si="370"/>
        <v>35539.796292000006</v>
      </c>
      <c r="S66" s="55">
        <f t="shared" si="371"/>
        <v>10514.460000000001</v>
      </c>
      <c r="T66" s="59">
        <f t="shared" si="372"/>
        <v>34758.701868000004</v>
      </c>
      <c r="U66" s="57">
        <f t="shared" si="373"/>
        <v>10278.180000000002</v>
      </c>
      <c r="V66" s="59">
        <f t="shared" si="374"/>
        <v>33977.607444000008</v>
      </c>
      <c r="W66" s="60">
        <f t="shared" si="375"/>
        <v>10041.900000000001</v>
      </c>
      <c r="X66" s="59">
        <f t="shared" si="376"/>
        <v>33196.513020000006</v>
      </c>
      <c r="Y66" s="57">
        <f t="shared" si="377"/>
        <v>9805.6200000000008</v>
      </c>
      <c r="Z66" s="59">
        <f t="shared" si="378"/>
        <v>32415.418596000003</v>
      </c>
      <c r="AA66" s="55">
        <f t="shared" si="379"/>
        <v>9569.34</v>
      </c>
      <c r="AB66" s="59">
        <f t="shared" si="380"/>
        <v>31634.324172000001</v>
      </c>
      <c r="AC66" s="60">
        <f t="shared" si="381"/>
        <v>9333.0600000000013</v>
      </c>
      <c r="AD66" s="59">
        <f t="shared" si="382"/>
        <v>30853.229748000005</v>
      </c>
      <c r="AE66" s="60">
        <f t="shared" si="383"/>
        <v>9096.7800000000007</v>
      </c>
      <c r="AF66" s="59">
        <f t="shared" si="384"/>
        <v>30072.135324000003</v>
      </c>
      <c r="AG66" s="60">
        <f t="shared" si="385"/>
        <v>8860.5</v>
      </c>
      <c r="AH66" s="59">
        <f t="shared" si="386"/>
        <v>29291.0409</v>
      </c>
      <c r="AI66" s="55">
        <f t="shared" si="387"/>
        <v>8624.2199999999993</v>
      </c>
      <c r="AJ66" s="59">
        <f t="shared" si="388"/>
        <v>28509.946475999997</v>
      </c>
      <c r="AK66" s="60">
        <f t="shared" si="389"/>
        <v>8387.9399999999987</v>
      </c>
      <c r="AL66" s="59">
        <f t="shared" si="390"/>
        <v>27728.852051999995</v>
      </c>
      <c r="AM66" s="60">
        <f t="shared" si="391"/>
        <v>8151.6599999999989</v>
      </c>
      <c r="AN66" s="59">
        <f t="shared" si="392"/>
        <v>26947.757627999996</v>
      </c>
      <c r="AO66" s="60">
        <f t="shared" si="393"/>
        <v>7915.3799999999992</v>
      </c>
      <c r="AP66" s="59">
        <f t="shared" si="394"/>
        <v>26166.663203999997</v>
      </c>
      <c r="AQ66" s="60">
        <f t="shared" si="395"/>
        <v>7679.0999999999985</v>
      </c>
      <c r="AR66" s="59">
        <f t="shared" si="396"/>
        <v>25385.568779999994</v>
      </c>
      <c r="AS66" s="55">
        <f t="shared" si="397"/>
        <v>7442.8199999999988</v>
      </c>
      <c r="AT66" s="59">
        <f t="shared" si="398"/>
        <v>24604.474355999995</v>
      </c>
      <c r="AU66" s="60">
        <f t="shared" si="399"/>
        <v>7206.5399999999981</v>
      </c>
      <c r="AV66" s="59">
        <f t="shared" si="400"/>
        <v>23823.379931999996</v>
      </c>
      <c r="AW66" s="60">
        <f t="shared" si="401"/>
        <v>6970.2599999999984</v>
      </c>
      <c r="AX66" s="59">
        <f t="shared" si="402"/>
        <v>23042.285507999994</v>
      </c>
      <c r="AY66" s="55">
        <f t="shared" si="403"/>
        <v>6733.9799999999977</v>
      </c>
      <c r="AZ66" s="59">
        <f t="shared" si="404"/>
        <v>22261.191083999995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405"/>
        <v>0.91</v>
      </c>
      <c r="BH66" s="55">
        <f t="shared" si="405"/>
        <v>0.89</v>
      </c>
      <c r="BI66" s="55">
        <f t="shared" si="405"/>
        <v>0.87</v>
      </c>
      <c r="BJ66" s="55">
        <f t="shared" si="405"/>
        <v>0.85</v>
      </c>
      <c r="BK66" s="55">
        <f t="shared" si="405"/>
        <v>0.83</v>
      </c>
      <c r="BL66" s="55">
        <f t="shared" si="405"/>
        <v>0.80999999999999994</v>
      </c>
      <c r="BM66" s="55">
        <f t="shared" si="405"/>
        <v>0.78999999999999992</v>
      </c>
      <c r="BN66" s="55">
        <f t="shared" si="405"/>
        <v>0.76999999999999991</v>
      </c>
      <c r="BO66" s="55">
        <f t="shared" si="405"/>
        <v>0.74999999999999989</v>
      </c>
      <c r="BP66" s="55">
        <f t="shared" si="405"/>
        <v>0.72999999999999987</v>
      </c>
      <c r="BQ66" s="55">
        <f t="shared" si="405"/>
        <v>0.70999999999999985</v>
      </c>
      <c r="BR66" s="55">
        <f t="shared" si="405"/>
        <v>0.68999999999999984</v>
      </c>
      <c r="BS66" s="55">
        <f t="shared" si="405"/>
        <v>0.66999999999999982</v>
      </c>
      <c r="BT66" s="55">
        <f t="shared" si="405"/>
        <v>0.6499999999999998</v>
      </c>
      <c r="BU66" s="55">
        <f t="shared" si="405"/>
        <v>0.62999999999999978</v>
      </c>
      <c r="BV66" s="55">
        <f t="shared" si="405"/>
        <v>0.60999999999999976</v>
      </c>
      <c r="BW66" s="55">
        <f t="shared" si="405"/>
        <v>0.58999999999999975</v>
      </c>
      <c r="BX66" s="55">
        <f t="shared" si="405"/>
        <v>0.56999999999999973</v>
      </c>
      <c r="BZ66" s="55">
        <f t="shared" si="87"/>
        <v>10750.740000000002</v>
      </c>
      <c r="CA66" s="55">
        <f t="shared" si="88"/>
        <v>10750.740000000002</v>
      </c>
      <c r="CB66" s="59">
        <f t="shared" si="406"/>
        <v>35539.796292000006</v>
      </c>
      <c r="CC66" s="55">
        <f t="shared" si="407"/>
        <v>10428.217800000002</v>
      </c>
      <c r="CD66" s="59">
        <f t="shared" si="408"/>
        <v>34473.602403240009</v>
      </c>
      <c r="CE66" s="55">
        <f t="shared" si="409"/>
        <v>10213.203000000001</v>
      </c>
      <c r="CF66" s="59">
        <f t="shared" si="410"/>
        <v>33762.806477400009</v>
      </c>
      <c r="CG66" s="55">
        <f t="shared" si="411"/>
        <v>9998.1882000000023</v>
      </c>
      <c r="CH66" s="59">
        <f t="shared" si="412"/>
        <v>33052.010551560008</v>
      </c>
      <c r="CI66" s="57">
        <f t="shared" si="413"/>
        <v>9783.1734000000015</v>
      </c>
      <c r="CJ66" s="59">
        <f t="shared" si="414"/>
        <v>32341.214625720004</v>
      </c>
      <c r="CK66" s="55">
        <f t="shared" si="415"/>
        <v>9568.1586000000007</v>
      </c>
      <c r="CL66" s="59">
        <f t="shared" si="416"/>
        <v>31630.418699880003</v>
      </c>
      <c r="CM66" s="57">
        <f t="shared" si="417"/>
        <v>9353.1438000000016</v>
      </c>
      <c r="CN66" s="59">
        <f t="shared" si="418"/>
        <v>30919.622774040006</v>
      </c>
      <c r="CO66" s="60">
        <f t="shared" si="419"/>
        <v>9138.1290000000008</v>
      </c>
      <c r="CP66" s="59">
        <f t="shared" si="420"/>
        <v>30208.826848200002</v>
      </c>
      <c r="CQ66" s="57">
        <f t="shared" si="421"/>
        <v>8923.1142000000018</v>
      </c>
      <c r="CR66" s="59">
        <f t="shared" si="422"/>
        <v>29498.030922360005</v>
      </c>
      <c r="CS66" s="55">
        <f t="shared" si="423"/>
        <v>8708.099400000001</v>
      </c>
      <c r="CT66" s="59">
        <f t="shared" si="424"/>
        <v>28787.234996520005</v>
      </c>
      <c r="CU66" s="60">
        <f t="shared" si="425"/>
        <v>8493.0846000000001</v>
      </c>
      <c r="CV66" s="59">
        <f t="shared" si="426"/>
        <v>28076.43907068</v>
      </c>
      <c r="CW66" s="60">
        <f t="shared" si="427"/>
        <v>8278.0698000000011</v>
      </c>
      <c r="CX66" s="59">
        <f t="shared" si="428"/>
        <v>27365.643144840004</v>
      </c>
      <c r="CY66" s="60">
        <f t="shared" si="429"/>
        <v>8063.0550000000003</v>
      </c>
      <c r="CZ66" s="59">
        <f t="shared" si="430"/>
        <v>26654.847219000003</v>
      </c>
      <c r="DA66" s="55">
        <f t="shared" si="431"/>
        <v>7848.0401999999995</v>
      </c>
      <c r="DB66" s="59">
        <f t="shared" si="432"/>
        <v>25944.051293159999</v>
      </c>
      <c r="DC66" s="60">
        <f t="shared" si="433"/>
        <v>7633.0253999999995</v>
      </c>
      <c r="DD66" s="59">
        <f t="shared" si="434"/>
        <v>25233.255367319998</v>
      </c>
      <c r="DE66" s="60">
        <f t="shared" si="435"/>
        <v>7418.0105999999996</v>
      </c>
      <c r="DF66" s="59">
        <f t="shared" si="436"/>
        <v>24522.459441479998</v>
      </c>
      <c r="DG66" s="60">
        <f t="shared" si="437"/>
        <v>7202.9957999999988</v>
      </c>
      <c r="DH66" s="59">
        <f t="shared" si="438"/>
        <v>23811.663515639997</v>
      </c>
      <c r="DI66" s="60">
        <f t="shared" si="439"/>
        <v>6987.9809999999989</v>
      </c>
      <c r="DJ66" s="59">
        <f t="shared" si="440"/>
        <v>23100.867589799996</v>
      </c>
      <c r="DK66" s="55">
        <f t="shared" si="441"/>
        <v>6772.9661999999989</v>
      </c>
      <c r="DL66" s="59">
        <f t="shared" si="442"/>
        <v>22390.071663959996</v>
      </c>
      <c r="DM66" s="60">
        <f t="shared" si="443"/>
        <v>6557.9513999999981</v>
      </c>
      <c r="DN66" s="59">
        <f t="shared" si="444"/>
        <v>21679.275738119995</v>
      </c>
      <c r="DO66" s="60">
        <f t="shared" si="445"/>
        <v>6342.9365999999982</v>
      </c>
      <c r="DP66" s="59">
        <f t="shared" si="446"/>
        <v>20968.479812279995</v>
      </c>
      <c r="DQ66" s="55">
        <f t="shared" si="447"/>
        <v>6127.9217999999983</v>
      </c>
      <c r="DR66" s="59">
        <f t="shared" si="448"/>
        <v>20257.683886439994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494"/>
        <v>0.91</v>
      </c>
      <c r="DZ66" s="55">
        <f t="shared" si="494"/>
        <v>0.89</v>
      </c>
      <c r="EA66" s="55">
        <f t="shared" si="494"/>
        <v>0.87</v>
      </c>
      <c r="EB66" s="55">
        <f t="shared" si="494"/>
        <v>0.85</v>
      </c>
      <c r="EC66" s="55">
        <f t="shared" si="494"/>
        <v>0.83</v>
      </c>
      <c r="ED66" s="55">
        <f t="shared" si="494"/>
        <v>0.80999999999999994</v>
      </c>
      <c r="EE66" s="55">
        <f t="shared" si="494"/>
        <v>0.78999999999999992</v>
      </c>
      <c r="EF66" s="55">
        <f t="shared" si="494"/>
        <v>0.76999999999999991</v>
      </c>
      <c r="EG66" s="55">
        <f t="shared" si="494"/>
        <v>0.74999999999999989</v>
      </c>
      <c r="EH66" s="55">
        <f t="shared" si="494"/>
        <v>0.72999999999999987</v>
      </c>
      <c r="EI66" s="55">
        <f t="shared" si="494"/>
        <v>0.70999999999999985</v>
      </c>
      <c r="EJ66" s="55">
        <f t="shared" si="494"/>
        <v>0.68999999999999984</v>
      </c>
      <c r="EK66" s="55">
        <f t="shared" si="494"/>
        <v>0.66999999999999982</v>
      </c>
      <c r="EL66" s="55">
        <f t="shared" si="494"/>
        <v>0.6499999999999998</v>
      </c>
      <c r="EM66" s="55">
        <f t="shared" si="494"/>
        <v>0.62999999999999978</v>
      </c>
      <c r="EN66" s="55">
        <f t="shared" si="494"/>
        <v>0.60999999999999976</v>
      </c>
      <c r="EO66" s="55">
        <f t="shared" si="494"/>
        <v>0.58999999999999975</v>
      </c>
      <c r="EP66" s="55">
        <f t="shared" si="494"/>
        <v>0.56999999999999973</v>
      </c>
      <c r="ER66" s="55">
        <f t="shared" si="141"/>
        <v>9783.1734000000015</v>
      </c>
      <c r="ES66" s="55">
        <f t="shared" si="115"/>
        <v>9783.1734000000015</v>
      </c>
      <c r="ET66" s="59">
        <f t="shared" si="450"/>
        <v>32341.214625720004</v>
      </c>
      <c r="EU66" s="55">
        <f t="shared" si="451"/>
        <v>9489.6781980000014</v>
      </c>
      <c r="EV66" s="59">
        <f t="shared" si="452"/>
        <v>31370.978186948407</v>
      </c>
      <c r="EW66" s="55">
        <f t="shared" si="453"/>
        <v>9294.0147300000008</v>
      </c>
      <c r="EX66" s="59">
        <f t="shared" si="454"/>
        <v>30724.153894434003</v>
      </c>
      <c r="EY66" s="55">
        <f t="shared" si="455"/>
        <v>9098.351262000002</v>
      </c>
      <c r="EZ66" s="59">
        <f t="shared" si="456"/>
        <v>30077.329601919606</v>
      </c>
      <c r="FA66" s="57">
        <f t="shared" si="457"/>
        <v>8902.6877940000013</v>
      </c>
      <c r="FB66" s="59">
        <f t="shared" si="458"/>
        <v>29430.505309405205</v>
      </c>
      <c r="FC66" s="55">
        <f t="shared" si="459"/>
        <v>8707.0243260000007</v>
      </c>
      <c r="FD66" s="59">
        <f t="shared" si="460"/>
        <v>28783.681016890801</v>
      </c>
      <c r="FE66" s="57">
        <f t="shared" si="461"/>
        <v>8511.3608580000018</v>
      </c>
      <c r="FF66" s="59">
        <f t="shared" si="462"/>
        <v>28136.856724376408</v>
      </c>
      <c r="FG66" s="60">
        <f t="shared" si="463"/>
        <v>8315.6973900000012</v>
      </c>
      <c r="FH66" s="59">
        <f t="shared" si="464"/>
        <v>27490.032431862004</v>
      </c>
      <c r="FI66" s="57">
        <f t="shared" si="465"/>
        <v>8120.0339220000005</v>
      </c>
      <c r="FJ66" s="59">
        <f t="shared" si="466"/>
        <v>26843.208139347604</v>
      </c>
      <c r="FK66" s="55">
        <f t="shared" si="467"/>
        <v>7924.3704540000008</v>
      </c>
      <c r="FL66" s="59">
        <f t="shared" si="468"/>
        <v>26196.383846833203</v>
      </c>
      <c r="FM66" s="60">
        <f t="shared" si="469"/>
        <v>7728.7069860000001</v>
      </c>
      <c r="FN66" s="59">
        <f t="shared" si="470"/>
        <v>25549.559554318803</v>
      </c>
      <c r="FO66" s="60">
        <f t="shared" si="471"/>
        <v>7533.0435180000004</v>
      </c>
      <c r="FP66" s="59">
        <f t="shared" si="472"/>
        <v>24902.735261804402</v>
      </c>
      <c r="FQ66" s="60">
        <f t="shared" si="473"/>
        <v>7337.3800499999998</v>
      </c>
      <c r="FR66" s="59">
        <f t="shared" si="474"/>
        <v>24255.910969289998</v>
      </c>
      <c r="FS66" s="55">
        <f t="shared" si="475"/>
        <v>7141.716582</v>
      </c>
      <c r="FT66" s="59">
        <f t="shared" si="476"/>
        <v>23609.086676775602</v>
      </c>
      <c r="FU66" s="60">
        <f t="shared" si="477"/>
        <v>6946.0531139999994</v>
      </c>
      <c r="FV66" s="59">
        <f t="shared" si="478"/>
        <v>22962.262384261197</v>
      </c>
      <c r="FW66" s="60">
        <f t="shared" si="479"/>
        <v>6750.3896459999996</v>
      </c>
      <c r="FX66" s="59">
        <f t="shared" si="480"/>
        <v>22315.438091746801</v>
      </c>
      <c r="FY66" s="60">
        <f t="shared" si="481"/>
        <v>6554.726177999999</v>
      </c>
      <c r="FZ66" s="59">
        <f t="shared" si="482"/>
        <v>21668.613799232397</v>
      </c>
      <c r="GA66" s="60">
        <f t="shared" si="483"/>
        <v>6359.0627099999992</v>
      </c>
      <c r="GB66" s="59">
        <f t="shared" si="484"/>
        <v>21021.789506718</v>
      </c>
      <c r="GC66" s="55">
        <f t="shared" si="485"/>
        <v>6163.3992419999986</v>
      </c>
      <c r="GD66" s="59">
        <f t="shared" si="486"/>
        <v>20374.965214203596</v>
      </c>
      <c r="GE66" s="60">
        <f t="shared" si="487"/>
        <v>5967.7357739999989</v>
      </c>
      <c r="GF66" s="59">
        <f t="shared" si="488"/>
        <v>19728.140921689195</v>
      </c>
      <c r="GG66" s="60">
        <f t="shared" si="489"/>
        <v>5772.0723059999982</v>
      </c>
      <c r="GH66" s="59">
        <f t="shared" si="490"/>
        <v>19081.316629174795</v>
      </c>
      <c r="GI66" s="55">
        <f t="shared" si="491"/>
        <v>5576.4088379999985</v>
      </c>
      <c r="GJ66" s="59">
        <f t="shared" si="492"/>
        <v>18434.492336660394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495"/>
        <v>0.91</v>
      </c>
      <c r="GR66" s="55">
        <f t="shared" si="495"/>
        <v>0.89</v>
      </c>
      <c r="GS66" s="55">
        <f t="shared" si="495"/>
        <v>0.87</v>
      </c>
      <c r="GT66" s="55">
        <f t="shared" si="495"/>
        <v>0.85</v>
      </c>
      <c r="GU66" s="55">
        <f t="shared" si="495"/>
        <v>0.83</v>
      </c>
      <c r="GV66" s="55">
        <f t="shared" si="495"/>
        <v>0.80999999999999994</v>
      </c>
      <c r="GW66" s="55">
        <f t="shared" si="495"/>
        <v>0.78999999999999992</v>
      </c>
      <c r="GX66" s="55">
        <f t="shared" si="495"/>
        <v>0.76999999999999991</v>
      </c>
      <c r="GY66" s="55">
        <f t="shared" si="495"/>
        <v>0.74999999999999989</v>
      </c>
      <c r="GZ66" s="55">
        <f t="shared" si="495"/>
        <v>0.72999999999999987</v>
      </c>
      <c r="HA66" s="55">
        <f t="shared" si="495"/>
        <v>0.70999999999999985</v>
      </c>
      <c r="HB66" s="55">
        <f t="shared" si="495"/>
        <v>0.68999999999999984</v>
      </c>
      <c r="HC66" s="55">
        <f t="shared" si="495"/>
        <v>0.66999999999999982</v>
      </c>
      <c r="HD66" s="55">
        <f t="shared" si="495"/>
        <v>0.6499999999999998</v>
      </c>
      <c r="HE66" s="55">
        <f t="shared" si="495"/>
        <v>0.62999999999999978</v>
      </c>
      <c r="HF66" s="55">
        <f t="shared" si="495"/>
        <v>0.60999999999999976</v>
      </c>
      <c r="HG66" s="55">
        <f t="shared" si="495"/>
        <v>0.58999999999999975</v>
      </c>
      <c r="HH66" s="55">
        <f t="shared" si="495"/>
        <v>0.56999999999999973</v>
      </c>
    </row>
    <row r="67" spans="1:216" x14ac:dyDescent="0.3">
      <c r="A67" s="2">
        <v>5</v>
      </c>
      <c r="C67" s="38" t="s">
        <v>34</v>
      </c>
      <c r="D67" s="42">
        <f>TRUNC(19582,-1)</f>
        <v>19580</v>
      </c>
      <c r="E67" s="86">
        <f>TRUNC(+D67*3.3058,-1)</f>
        <v>64720</v>
      </c>
      <c r="H67" s="55">
        <f t="shared" si="60"/>
        <v>71192</v>
      </c>
      <c r="I67" s="55">
        <f t="shared" si="61"/>
        <v>71192</v>
      </c>
      <c r="J67" s="59">
        <f t="shared" si="62"/>
        <v>235346.51360000001</v>
      </c>
      <c r="K67" s="55">
        <f t="shared" si="363"/>
        <v>69056.240000000005</v>
      </c>
      <c r="L67" s="59">
        <f t="shared" si="364"/>
        <v>228286.11819200002</v>
      </c>
      <c r="M67" s="55">
        <f t="shared" si="365"/>
        <v>67632.399999999994</v>
      </c>
      <c r="N67" s="59">
        <f t="shared" si="366"/>
        <v>223579.18792</v>
      </c>
      <c r="O67" s="55">
        <f t="shared" si="367"/>
        <v>66208.56</v>
      </c>
      <c r="P67" s="59">
        <f t="shared" si="368"/>
        <v>218872.257648</v>
      </c>
      <c r="Q67" s="57">
        <f t="shared" si="369"/>
        <v>64784.72</v>
      </c>
      <c r="R67" s="59">
        <f t="shared" si="370"/>
        <v>214165.327376</v>
      </c>
      <c r="S67" s="55">
        <f t="shared" si="371"/>
        <v>63360.88</v>
      </c>
      <c r="T67" s="59">
        <f t="shared" si="372"/>
        <v>209458.397104</v>
      </c>
      <c r="U67" s="57">
        <f t="shared" si="373"/>
        <v>61937.04</v>
      </c>
      <c r="V67" s="59">
        <f t="shared" si="374"/>
        <v>204751.46683200001</v>
      </c>
      <c r="W67" s="60">
        <f t="shared" si="375"/>
        <v>60513.2</v>
      </c>
      <c r="X67" s="59">
        <f t="shared" si="376"/>
        <v>200044.53656000001</v>
      </c>
      <c r="Y67" s="57">
        <f t="shared" si="377"/>
        <v>59089.36</v>
      </c>
      <c r="Z67" s="59">
        <f t="shared" si="378"/>
        <v>195337.60628800001</v>
      </c>
      <c r="AA67" s="55">
        <f t="shared" si="379"/>
        <v>57665.52</v>
      </c>
      <c r="AB67" s="59">
        <f t="shared" si="380"/>
        <v>190630.67601599998</v>
      </c>
      <c r="AC67" s="60">
        <f t="shared" si="381"/>
        <v>56241.679999999993</v>
      </c>
      <c r="AD67" s="59">
        <f t="shared" si="382"/>
        <v>185923.74574399999</v>
      </c>
      <c r="AE67" s="60">
        <f t="shared" si="383"/>
        <v>54817.84</v>
      </c>
      <c r="AF67" s="59">
        <f t="shared" si="384"/>
        <v>181216.81547199999</v>
      </c>
      <c r="AG67" s="60">
        <f t="shared" si="385"/>
        <v>53393.999999999993</v>
      </c>
      <c r="AH67" s="59">
        <f t="shared" si="386"/>
        <v>176509.88519999999</v>
      </c>
      <c r="AI67" s="55">
        <f t="shared" si="387"/>
        <v>51970.159999999989</v>
      </c>
      <c r="AJ67" s="59">
        <f t="shared" si="388"/>
        <v>171802.95492799996</v>
      </c>
      <c r="AK67" s="60">
        <f t="shared" si="389"/>
        <v>50546.319999999992</v>
      </c>
      <c r="AL67" s="59">
        <f t="shared" si="390"/>
        <v>167096.02465599997</v>
      </c>
      <c r="AM67" s="60">
        <f t="shared" si="391"/>
        <v>49122.479999999989</v>
      </c>
      <c r="AN67" s="59">
        <f t="shared" si="392"/>
        <v>162389.09438399997</v>
      </c>
      <c r="AO67" s="60">
        <f t="shared" si="393"/>
        <v>47698.639999999985</v>
      </c>
      <c r="AP67" s="59">
        <f t="shared" si="394"/>
        <v>157682.16411199994</v>
      </c>
      <c r="AQ67" s="60">
        <f t="shared" si="395"/>
        <v>46274.799999999988</v>
      </c>
      <c r="AR67" s="59">
        <f t="shared" si="396"/>
        <v>152975.23383999997</v>
      </c>
      <c r="AS67" s="55">
        <f t="shared" si="397"/>
        <v>44850.959999999985</v>
      </c>
      <c r="AT67" s="59">
        <f t="shared" si="398"/>
        <v>148268.30356799994</v>
      </c>
      <c r="AU67" s="60">
        <f t="shared" si="399"/>
        <v>43427.119999999981</v>
      </c>
      <c r="AV67" s="59">
        <f t="shared" si="400"/>
        <v>143561.37329599995</v>
      </c>
      <c r="AW67" s="60">
        <f t="shared" si="401"/>
        <v>42003.279999999984</v>
      </c>
      <c r="AX67" s="59">
        <f t="shared" si="402"/>
        <v>138854.44302399995</v>
      </c>
      <c r="AY67" s="55">
        <f t="shared" si="403"/>
        <v>40579.439999999981</v>
      </c>
      <c r="AZ67" s="59">
        <f t="shared" si="404"/>
        <v>134147.51275199995</v>
      </c>
      <c r="BC67" s="55">
        <v>1</v>
      </c>
      <c r="BD67" s="55">
        <v>0.97</v>
      </c>
      <c r="BE67" s="55">
        <v>0.95</v>
      </c>
      <c r="BF67" s="55">
        <v>0.93</v>
      </c>
      <c r="BG67" s="55">
        <f t="shared" si="405"/>
        <v>0.91</v>
      </c>
      <c r="BH67" s="55">
        <f t="shared" si="405"/>
        <v>0.89</v>
      </c>
      <c r="BI67" s="55">
        <f t="shared" si="405"/>
        <v>0.87</v>
      </c>
      <c r="BJ67" s="55">
        <f t="shared" si="405"/>
        <v>0.85</v>
      </c>
      <c r="BK67" s="55">
        <f t="shared" si="405"/>
        <v>0.83</v>
      </c>
      <c r="BL67" s="55">
        <f t="shared" si="405"/>
        <v>0.80999999999999994</v>
      </c>
      <c r="BM67" s="55">
        <f t="shared" si="405"/>
        <v>0.78999999999999992</v>
      </c>
      <c r="BN67" s="55">
        <f t="shared" si="405"/>
        <v>0.76999999999999991</v>
      </c>
      <c r="BO67" s="55">
        <f t="shared" si="405"/>
        <v>0.74999999999999989</v>
      </c>
      <c r="BP67" s="55">
        <f t="shared" si="405"/>
        <v>0.72999999999999987</v>
      </c>
      <c r="BQ67" s="55">
        <f t="shared" si="405"/>
        <v>0.70999999999999985</v>
      </c>
      <c r="BR67" s="55">
        <f t="shared" si="405"/>
        <v>0.68999999999999984</v>
      </c>
      <c r="BS67" s="55">
        <f t="shared" si="405"/>
        <v>0.66999999999999982</v>
      </c>
      <c r="BT67" s="55">
        <f t="shared" si="405"/>
        <v>0.6499999999999998</v>
      </c>
      <c r="BU67" s="55">
        <f t="shared" si="405"/>
        <v>0.62999999999999978</v>
      </c>
      <c r="BV67" s="55">
        <f t="shared" si="405"/>
        <v>0.60999999999999976</v>
      </c>
      <c r="BW67" s="55">
        <f t="shared" si="405"/>
        <v>0.58999999999999975</v>
      </c>
      <c r="BX67" s="55">
        <f t="shared" si="405"/>
        <v>0.56999999999999973</v>
      </c>
      <c r="BZ67" s="55">
        <f t="shared" si="87"/>
        <v>64784.72</v>
      </c>
      <c r="CA67" s="55">
        <f t="shared" si="88"/>
        <v>64784.72</v>
      </c>
      <c r="CB67" s="59">
        <f t="shared" si="406"/>
        <v>214165.327376</v>
      </c>
      <c r="CC67" s="55">
        <f t="shared" si="407"/>
        <v>62841.178399999997</v>
      </c>
      <c r="CD67" s="59">
        <f t="shared" si="408"/>
        <v>207740.36755472</v>
      </c>
      <c r="CE67" s="55">
        <f t="shared" si="409"/>
        <v>61545.483999999997</v>
      </c>
      <c r="CF67" s="59">
        <f t="shared" si="410"/>
        <v>203457.06100719998</v>
      </c>
      <c r="CG67" s="55">
        <f t="shared" si="411"/>
        <v>60249.789600000004</v>
      </c>
      <c r="CH67" s="59">
        <f t="shared" si="412"/>
        <v>199173.75445968003</v>
      </c>
      <c r="CI67" s="57">
        <f t="shared" si="413"/>
        <v>58954.095200000003</v>
      </c>
      <c r="CJ67" s="59">
        <f t="shared" si="414"/>
        <v>194890.44791216002</v>
      </c>
      <c r="CK67" s="55">
        <f t="shared" si="415"/>
        <v>57658.400800000003</v>
      </c>
      <c r="CL67" s="59">
        <f t="shared" si="416"/>
        <v>190607.14136464</v>
      </c>
      <c r="CM67" s="57">
        <f t="shared" si="417"/>
        <v>56362.706400000003</v>
      </c>
      <c r="CN67" s="59">
        <f t="shared" si="418"/>
        <v>186323.83481712002</v>
      </c>
      <c r="CO67" s="60">
        <f t="shared" si="419"/>
        <v>55067.012000000002</v>
      </c>
      <c r="CP67" s="59">
        <f t="shared" si="420"/>
        <v>182040.52826960001</v>
      </c>
      <c r="CQ67" s="57">
        <f t="shared" si="421"/>
        <v>53771.317599999995</v>
      </c>
      <c r="CR67" s="59">
        <f t="shared" si="422"/>
        <v>177757.22172207999</v>
      </c>
      <c r="CS67" s="55">
        <f t="shared" si="423"/>
        <v>52475.623199999995</v>
      </c>
      <c r="CT67" s="59">
        <f t="shared" si="424"/>
        <v>173473.91517455998</v>
      </c>
      <c r="CU67" s="60">
        <f t="shared" si="425"/>
        <v>51179.928799999994</v>
      </c>
      <c r="CV67" s="59">
        <f t="shared" si="426"/>
        <v>169190.60862704</v>
      </c>
      <c r="CW67" s="60">
        <f t="shared" si="427"/>
        <v>49884.234399999994</v>
      </c>
      <c r="CX67" s="59">
        <f t="shared" si="428"/>
        <v>164907.30207951998</v>
      </c>
      <c r="CY67" s="60">
        <f t="shared" si="429"/>
        <v>48588.539999999994</v>
      </c>
      <c r="CZ67" s="59">
        <f t="shared" si="430"/>
        <v>160623.99553199997</v>
      </c>
      <c r="DA67" s="55">
        <f t="shared" si="431"/>
        <v>47292.845599999993</v>
      </c>
      <c r="DB67" s="59">
        <f t="shared" si="432"/>
        <v>156340.68898447999</v>
      </c>
      <c r="DC67" s="60">
        <f t="shared" si="433"/>
        <v>45997.151199999993</v>
      </c>
      <c r="DD67" s="59">
        <f t="shared" si="434"/>
        <v>152057.38243695998</v>
      </c>
      <c r="DE67" s="60">
        <f t="shared" si="435"/>
        <v>44701.456799999993</v>
      </c>
      <c r="DF67" s="59">
        <f t="shared" si="436"/>
        <v>147774.07588943999</v>
      </c>
      <c r="DG67" s="60">
        <f t="shared" si="437"/>
        <v>43405.762399999992</v>
      </c>
      <c r="DH67" s="59">
        <f t="shared" si="438"/>
        <v>143490.76934191998</v>
      </c>
      <c r="DI67" s="60">
        <f t="shared" si="439"/>
        <v>42110.067999999985</v>
      </c>
      <c r="DJ67" s="59">
        <f t="shared" si="440"/>
        <v>139207.46279439997</v>
      </c>
      <c r="DK67" s="55">
        <f t="shared" si="441"/>
        <v>40814.373599999984</v>
      </c>
      <c r="DL67" s="59">
        <f t="shared" si="442"/>
        <v>134924.15624687995</v>
      </c>
      <c r="DM67" s="60">
        <f t="shared" si="443"/>
        <v>39518.679199999984</v>
      </c>
      <c r="DN67" s="59">
        <f t="shared" si="444"/>
        <v>130640.84969935995</v>
      </c>
      <c r="DO67" s="60">
        <f t="shared" si="445"/>
        <v>38222.984799999984</v>
      </c>
      <c r="DP67" s="59">
        <f t="shared" si="446"/>
        <v>126357.54315183996</v>
      </c>
      <c r="DQ67" s="55">
        <f t="shared" si="447"/>
        <v>36927.290399999983</v>
      </c>
      <c r="DR67" s="59">
        <f t="shared" si="448"/>
        <v>122074.23660431994</v>
      </c>
      <c r="DU67" s="55">
        <v>1</v>
      </c>
      <c r="DV67" s="55">
        <v>0.97</v>
      </c>
      <c r="DW67" s="55">
        <v>0.95</v>
      </c>
      <c r="DX67" s="55">
        <v>0.93</v>
      </c>
      <c r="DY67" s="55">
        <f t="shared" si="494"/>
        <v>0.91</v>
      </c>
      <c r="DZ67" s="55">
        <f t="shared" si="494"/>
        <v>0.89</v>
      </c>
      <c r="EA67" s="55">
        <f t="shared" si="494"/>
        <v>0.87</v>
      </c>
      <c r="EB67" s="55">
        <f t="shared" si="494"/>
        <v>0.85</v>
      </c>
      <c r="EC67" s="55">
        <f t="shared" si="494"/>
        <v>0.83</v>
      </c>
      <c r="ED67" s="55">
        <f t="shared" si="494"/>
        <v>0.80999999999999994</v>
      </c>
      <c r="EE67" s="55">
        <f t="shared" si="494"/>
        <v>0.78999999999999992</v>
      </c>
      <c r="EF67" s="55">
        <f t="shared" si="494"/>
        <v>0.76999999999999991</v>
      </c>
      <c r="EG67" s="55">
        <f t="shared" si="494"/>
        <v>0.74999999999999989</v>
      </c>
      <c r="EH67" s="55">
        <f t="shared" si="494"/>
        <v>0.72999999999999987</v>
      </c>
      <c r="EI67" s="55">
        <f t="shared" si="494"/>
        <v>0.70999999999999985</v>
      </c>
      <c r="EJ67" s="55">
        <f t="shared" si="494"/>
        <v>0.68999999999999984</v>
      </c>
      <c r="EK67" s="55">
        <f t="shared" si="494"/>
        <v>0.66999999999999982</v>
      </c>
      <c r="EL67" s="55">
        <f t="shared" si="494"/>
        <v>0.6499999999999998</v>
      </c>
      <c r="EM67" s="55">
        <f t="shared" si="494"/>
        <v>0.62999999999999978</v>
      </c>
      <c r="EN67" s="55">
        <f t="shared" si="494"/>
        <v>0.60999999999999976</v>
      </c>
      <c r="EO67" s="55">
        <f t="shared" si="494"/>
        <v>0.58999999999999975</v>
      </c>
      <c r="EP67" s="55">
        <f t="shared" si="494"/>
        <v>0.56999999999999973</v>
      </c>
      <c r="ER67" s="55">
        <f t="shared" si="141"/>
        <v>58954.095200000003</v>
      </c>
      <c r="ES67" s="55">
        <f t="shared" si="115"/>
        <v>58954.095200000003</v>
      </c>
      <c r="ET67" s="59">
        <f t="shared" si="450"/>
        <v>194890.44791216002</v>
      </c>
      <c r="EU67" s="55">
        <f t="shared" si="451"/>
        <v>57185.472344000002</v>
      </c>
      <c r="EV67" s="59">
        <f t="shared" si="452"/>
        <v>189043.7344747952</v>
      </c>
      <c r="EW67" s="55">
        <f t="shared" si="453"/>
        <v>56006.390440000003</v>
      </c>
      <c r="EX67" s="59">
        <f t="shared" si="454"/>
        <v>185145.925516552</v>
      </c>
      <c r="EY67" s="55">
        <f t="shared" si="455"/>
        <v>54827.308536000004</v>
      </c>
      <c r="EZ67" s="59">
        <f t="shared" si="456"/>
        <v>181248.11655830883</v>
      </c>
      <c r="FA67" s="57">
        <f t="shared" si="457"/>
        <v>53648.226632000005</v>
      </c>
      <c r="FB67" s="59">
        <f t="shared" si="458"/>
        <v>177350.30760006563</v>
      </c>
      <c r="FC67" s="55">
        <f t="shared" si="459"/>
        <v>52469.144728000007</v>
      </c>
      <c r="FD67" s="59">
        <f t="shared" si="460"/>
        <v>173452.49864182243</v>
      </c>
      <c r="FE67" s="57">
        <f t="shared" si="461"/>
        <v>51290.062824000001</v>
      </c>
      <c r="FF67" s="59">
        <f t="shared" si="462"/>
        <v>169554.6896835792</v>
      </c>
      <c r="FG67" s="60">
        <f t="shared" si="463"/>
        <v>50110.980920000002</v>
      </c>
      <c r="FH67" s="59">
        <f t="shared" si="464"/>
        <v>165656.880725336</v>
      </c>
      <c r="FI67" s="57">
        <f t="shared" si="465"/>
        <v>48931.899016000003</v>
      </c>
      <c r="FJ67" s="59">
        <f t="shared" si="466"/>
        <v>161759.07176709283</v>
      </c>
      <c r="FK67" s="55">
        <f t="shared" si="467"/>
        <v>47752.817111999997</v>
      </c>
      <c r="FL67" s="59">
        <f t="shared" si="468"/>
        <v>157861.2628088496</v>
      </c>
      <c r="FM67" s="60">
        <f t="shared" si="469"/>
        <v>46573.735207999998</v>
      </c>
      <c r="FN67" s="59">
        <f t="shared" si="470"/>
        <v>153963.4538506064</v>
      </c>
      <c r="FO67" s="60">
        <f t="shared" si="471"/>
        <v>45394.653303999999</v>
      </c>
      <c r="FP67" s="59">
        <f t="shared" si="472"/>
        <v>150065.6448923632</v>
      </c>
      <c r="FQ67" s="60">
        <f t="shared" si="473"/>
        <v>44215.571399999993</v>
      </c>
      <c r="FR67" s="59">
        <f t="shared" si="474"/>
        <v>146167.83593411997</v>
      </c>
      <c r="FS67" s="55">
        <f t="shared" si="475"/>
        <v>43036.489495999995</v>
      </c>
      <c r="FT67" s="59">
        <f t="shared" si="476"/>
        <v>142270.0269758768</v>
      </c>
      <c r="FU67" s="60">
        <f t="shared" si="477"/>
        <v>41857.407591999996</v>
      </c>
      <c r="FV67" s="59">
        <f t="shared" si="478"/>
        <v>138372.2180176336</v>
      </c>
      <c r="FW67" s="60">
        <f t="shared" si="479"/>
        <v>40678.32568799999</v>
      </c>
      <c r="FX67" s="59">
        <f t="shared" si="480"/>
        <v>134474.40905939037</v>
      </c>
      <c r="FY67" s="60">
        <f t="shared" si="481"/>
        <v>39499.243783999991</v>
      </c>
      <c r="FZ67" s="59">
        <f t="shared" si="482"/>
        <v>130576.60010114717</v>
      </c>
      <c r="GA67" s="60">
        <f t="shared" si="483"/>
        <v>38320.161879999992</v>
      </c>
      <c r="GB67" s="59">
        <f t="shared" si="484"/>
        <v>126678.79114290398</v>
      </c>
      <c r="GC67" s="55">
        <f t="shared" si="485"/>
        <v>37141.079975999986</v>
      </c>
      <c r="GD67" s="59">
        <f t="shared" si="486"/>
        <v>122780.98218466075</v>
      </c>
      <c r="GE67" s="60">
        <f t="shared" si="487"/>
        <v>35961.998071999988</v>
      </c>
      <c r="GF67" s="59">
        <f t="shared" si="488"/>
        <v>118883.17322641757</v>
      </c>
      <c r="GG67" s="60">
        <f t="shared" si="489"/>
        <v>34782.916167999989</v>
      </c>
      <c r="GH67" s="59">
        <f t="shared" si="490"/>
        <v>114985.36426817437</v>
      </c>
      <c r="GI67" s="55">
        <f t="shared" si="491"/>
        <v>33603.834263999983</v>
      </c>
      <c r="GJ67" s="59">
        <f t="shared" si="492"/>
        <v>111087.55530993115</v>
      </c>
      <c r="GK67" s="55"/>
      <c r="GL67" s="55"/>
      <c r="GM67" s="55">
        <v>1</v>
      </c>
      <c r="GN67" s="55">
        <v>0.97</v>
      </c>
      <c r="GO67" s="55">
        <v>0.95</v>
      </c>
      <c r="GP67" s="55">
        <v>0.93</v>
      </c>
      <c r="GQ67" s="55">
        <f t="shared" si="495"/>
        <v>0.91</v>
      </c>
      <c r="GR67" s="55">
        <f t="shared" si="495"/>
        <v>0.89</v>
      </c>
      <c r="GS67" s="55">
        <f t="shared" si="495"/>
        <v>0.87</v>
      </c>
      <c r="GT67" s="55">
        <f t="shared" si="495"/>
        <v>0.85</v>
      </c>
      <c r="GU67" s="55">
        <f t="shared" si="495"/>
        <v>0.83</v>
      </c>
      <c r="GV67" s="55">
        <f t="shared" si="495"/>
        <v>0.80999999999999994</v>
      </c>
      <c r="GW67" s="55">
        <f t="shared" si="495"/>
        <v>0.78999999999999992</v>
      </c>
      <c r="GX67" s="55">
        <f t="shared" si="495"/>
        <v>0.76999999999999991</v>
      </c>
      <c r="GY67" s="55">
        <f t="shared" si="495"/>
        <v>0.74999999999999989</v>
      </c>
      <c r="GZ67" s="55">
        <f t="shared" si="495"/>
        <v>0.72999999999999987</v>
      </c>
      <c r="HA67" s="55">
        <f t="shared" si="495"/>
        <v>0.70999999999999985</v>
      </c>
      <c r="HB67" s="55">
        <f t="shared" si="495"/>
        <v>0.68999999999999984</v>
      </c>
      <c r="HC67" s="55">
        <f t="shared" si="495"/>
        <v>0.66999999999999982</v>
      </c>
      <c r="HD67" s="55">
        <f t="shared" si="495"/>
        <v>0.6499999999999998</v>
      </c>
      <c r="HE67" s="55">
        <f t="shared" si="495"/>
        <v>0.62999999999999978</v>
      </c>
      <c r="HF67" s="55">
        <f t="shared" si="495"/>
        <v>0.60999999999999976</v>
      </c>
      <c r="HG67" s="55">
        <f t="shared" si="495"/>
        <v>0.58999999999999975</v>
      </c>
      <c r="HH67" s="55">
        <f t="shared" si="495"/>
        <v>0.56999999999999973</v>
      </c>
    </row>
    <row r="68" spans="1:216" x14ac:dyDescent="0.3">
      <c r="A68" s="2">
        <v>6</v>
      </c>
      <c r="C68" s="38" t="s">
        <v>177</v>
      </c>
      <c r="D68" s="42">
        <v>0</v>
      </c>
      <c r="E68" s="86">
        <f>TRUNC(+D68*3.3058,-1)</f>
        <v>0</v>
      </c>
      <c r="H68" s="55">
        <f t="shared" si="60"/>
        <v>0</v>
      </c>
      <c r="I68" s="55">
        <f t="shared" si="61"/>
        <v>0</v>
      </c>
      <c r="J68" s="59">
        <f t="shared" si="62"/>
        <v>0</v>
      </c>
      <c r="K68" s="55">
        <f t="shared" si="363"/>
        <v>0</v>
      </c>
      <c r="L68" s="59">
        <f t="shared" si="364"/>
        <v>0</v>
      </c>
      <c r="M68" s="55">
        <f t="shared" si="365"/>
        <v>0</v>
      </c>
      <c r="N68" s="59">
        <f t="shared" si="366"/>
        <v>0</v>
      </c>
      <c r="O68" s="55">
        <f t="shared" si="367"/>
        <v>0</v>
      </c>
      <c r="P68" s="59">
        <f t="shared" si="368"/>
        <v>0</v>
      </c>
      <c r="Q68" s="57">
        <f t="shared" si="369"/>
        <v>0</v>
      </c>
      <c r="R68" s="59">
        <f t="shared" si="370"/>
        <v>0</v>
      </c>
      <c r="S68" s="55">
        <f t="shared" si="371"/>
        <v>0</v>
      </c>
      <c r="T68" s="59">
        <f t="shared" si="372"/>
        <v>0</v>
      </c>
      <c r="U68" s="57">
        <f t="shared" si="373"/>
        <v>0</v>
      </c>
      <c r="V68" s="59">
        <f t="shared" si="374"/>
        <v>0</v>
      </c>
      <c r="W68" s="60">
        <f t="shared" si="375"/>
        <v>0</v>
      </c>
      <c r="X68" s="59">
        <f t="shared" si="376"/>
        <v>0</v>
      </c>
      <c r="Y68" s="57">
        <f t="shared" si="377"/>
        <v>0</v>
      </c>
      <c r="Z68" s="59">
        <f t="shared" si="378"/>
        <v>0</v>
      </c>
      <c r="AA68" s="55">
        <f t="shared" si="379"/>
        <v>0</v>
      </c>
      <c r="AB68" s="59">
        <f t="shared" si="380"/>
        <v>0</v>
      </c>
      <c r="AC68" s="60">
        <f t="shared" si="381"/>
        <v>0</v>
      </c>
      <c r="AD68" s="59">
        <f t="shared" si="382"/>
        <v>0</v>
      </c>
      <c r="AE68" s="60">
        <f t="shared" si="383"/>
        <v>0</v>
      </c>
      <c r="AF68" s="59">
        <f t="shared" si="384"/>
        <v>0</v>
      </c>
      <c r="AG68" s="60">
        <f t="shared" si="385"/>
        <v>0</v>
      </c>
      <c r="AH68" s="59">
        <f t="shared" si="386"/>
        <v>0</v>
      </c>
      <c r="AI68" s="55">
        <f t="shared" si="387"/>
        <v>0</v>
      </c>
      <c r="AJ68" s="59">
        <f t="shared" si="388"/>
        <v>0</v>
      </c>
      <c r="AK68" s="60">
        <f t="shared" si="389"/>
        <v>0</v>
      </c>
      <c r="AL68" s="59">
        <f t="shared" si="390"/>
        <v>0</v>
      </c>
      <c r="AM68" s="60">
        <f t="shared" si="391"/>
        <v>0</v>
      </c>
      <c r="AN68" s="59">
        <f t="shared" si="392"/>
        <v>0</v>
      </c>
      <c r="AO68" s="60">
        <f t="shared" si="393"/>
        <v>0</v>
      </c>
      <c r="AP68" s="59">
        <f t="shared" si="394"/>
        <v>0</v>
      </c>
      <c r="AQ68" s="60">
        <f t="shared" si="395"/>
        <v>0</v>
      </c>
      <c r="AR68" s="59">
        <f t="shared" si="396"/>
        <v>0</v>
      </c>
      <c r="AS68" s="55">
        <f t="shared" si="397"/>
        <v>0</v>
      </c>
      <c r="AT68" s="59">
        <f t="shared" si="398"/>
        <v>0</v>
      </c>
      <c r="AU68" s="60">
        <f t="shared" si="399"/>
        <v>0</v>
      </c>
      <c r="AV68" s="59">
        <f t="shared" si="400"/>
        <v>0</v>
      </c>
      <c r="AW68" s="60">
        <f t="shared" si="401"/>
        <v>0</v>
      </c>
      <c r="AX68" s="59">
        <f t="shared" si="402"/>
        <v>0</v>
      </c>
      <c r="AY68" s="55">
        <f t="shared" si="403"/>
        <v>0</v>
      </c>
      <c r="AZ68" s="59">
        <f t="shared" si="404"/>
        <v>0</v>
      </c>
      <c r="BC68" s="55">
        <v>1</v>
      </c>
      <c r="BD68" s="55">
        <v>0.97</v>
      </c>
      <c r="BE68" s="55">
        <v>0.95</v>
      </c>
      <c r="BF68" s="55">
        <v>0.93</v>
      </c>
      <c r="BG68" s="55">
        <f t="shared" si="405"/>
        <v>0.91</v>
      </c>
      <c r="BH68" s="55">
        <f t="shared" si="405"/>
        <v>0.89</v>
      </c>
      <c r="BI68" s="55">
        <f t="shared" si="405"/>
        <v>0.87</v>
      </c>
      <c r="BJ68" s="55">
        <f t="shared" si="405"/>
        <v>0.85</v>
      </c>
      <c r="BK68" s="55">
        <f t="shared" si="405"/>
        <v>0.83</v>
      </c>
      <c r="BL68" s="55">
        <f t="shared" si="405"/>
        <v>0.80999999999999994</v>
      </c>
      <c r="BM68" s="55">
        <f t="shared" si="405"/>
        <v>0.78999999999999992</v>
      </c>
      <c r="BN68" s="55">
        <f t="shared" si="405"/>
        <v>0.76999999999999991</v>
      </c>
      <c r="BO68" s="55">
        <f t="shared" si="405"/>
        <v>0.74999999999999989</v>
      </c>
      <c r="BP68" s="55">
        <f t="shared" si="405"/>
        <v>0.72999999999999987</v>
      </c>
      <c r="BQ68" s="55">
        <f t="shared" si="405"/>
        <v>0.70999999999999985</v>
      </c>
      <c r="BR68" s="55">
        <f t="shared" si="405"/>
        <v>0.68999999999999984</v>
      </c>
      <c r="BS68" s="55">
        <f t="shared" si="405"/>
        <v>0.66999999999999982</v>
      </c>
      <c r="BT68" s="55">
        <f t="shared" si="405"/>
        <v>0.6499999999999998</v>
      </c>
      <c r="BU68" s="55">
        <f t="shared" si="405"/>
        <v>0.62999999999999978</v>
      </c>
      <c r="BV68" s="55">
        <f t="shared" si="405"/>
        <v>0.60999999999999976</v>
      </c>
      <c r="BW68" s="55">
        <f t="shared" si="405"/>
        <v>0.58999999999999975</v>
      </c>
      <c r="BX68" s="55">
        <f t="shared" si="405"/>
        <v>0.56999999999999973</v>
      </c>
      <c r="BZ68" s="55">
        <f t="shared" si="87"/>
        <v>0</v>
      </c>
      <c r="CA68" s="55">
        <f t="shared" si="88"/>
        <v>0</v>
      </c>
      <c r="CB68" s="59">
        <f t="shared" si="406"/>
        <v>0</v>
      </c>
      <c r="CC68" s="55">
        <f t="shared" si="407"/>
        <v>0</v>
      </c>
      <c r="CD68" s="59">
        <f t="shared" si="408"/>
        <v>0</v>
      </c>
      <c r="CE68" s="55">
        <f t="shared" si="409"/>
        <v>0</v>
      </c>
      <c r="CF68" s="59">
        <f t="shared" si="410"/>
        <v>0</v>
      </c>
      <c r="CG68" s="55">
        <f t="shared" si="411"/>
        <v>0</v>
      </c>
      <c r="CH68" s="59">
        <f t="shared" si="412"/>
        <v>0</v>
      </c>
      <c r="CI68" s="57">
        <f t="shared" si="413"/>
        <v>0</v>
      </c>
      <c r="CJ68" s="59">
        <f t="shared" si="414"/>
        <v>0</v>
      </c>
      <c r="CK68" s="55">
        <f t="shared" si="415"/>
        <v>0</v>
      </c>
      <c r="CL68" s="59">
        <f t="shared" si="416"/>
        <v>0</v>
      </c>
      <c r="CM68" s="57">
        <f t="shared" si="417"/>
        <v>0</v>
      </c>
      <c r="CN68" s="59">
        <f t="shared" si="418"/>
        <v>0</v>
      </c>
      <c r="CO68" s="60">
        <f t="shared" si="419"/>
        <v>0</v>
      </c>
      <c r="CP68" s="59">
        <f t="shared" si="420"/>
        <v>0</v>
      </c>
      <c r="CQ68" s="57">
        <f t="shared" si="421"/>
        <v>0</v>
      </c>
      <c r="CR68" s="59">
        <f t="shared" si="422"/>
        <v>0</v>
      </c>
      <c r="CS68" s="55">
        <f t="shared" si="423"/>
        <v>0</v>
      </c>
      <c r="CT68" s="59">
        <f t="shared" si="424"/>
        <v>0</v>
      </c>
      <c r="CU68" s="60">
        <f t="shared" si="425"/>
        <v>0</v>
      </c>
      <c r="CV68" s="59">
        <f t="shared" si="426"/>
        <v>0</v>
      </c>
      <c r="CW68" s="60">
        <f t="shared" si="427"/>
        <v>0</v>
      </c>
      <c r="CX68" s="59">
        <f t="shared" si="428"/>
        <v>0</v>
      </c>
      <c r="CY68" s="60">
        <f t="shared" si="429"/>
        <v>0</v>
      </c>
      <c r="CZ68" s="59">
        <f t="shared" si="430"/>
        <v>0</v>
      </c>
      <c r="DA68" s="55">
        <f t="shared" si="431"/>
        <v>0</v>
      </c>
      <c r="DB68" s="59">
        <f t="shared" si="432"/>
        <v>0</v>
      </c>
      <c r="DC68" s="60">
        <f t="shared" si="433"/>
        <v>0</v>
      </c>
      <c r="DD68" s="59">
        <f t="shared" si="434"/>
        <v>0</v>
      </c>
      <c r="DE68" s="60">
        <f t="shared" si="435"/>
        <v>0</v>
      </c>
      <c r="DF68" s="59">
        <f t="shared" si="436"/>
        <v>0</v>
      </c>
      <c r="DG68" s="60">
        <f t="shared" si="437"/>
        <v>0</v>
      </c>
      <c r="DH68" s="59">
        <f t="shared" si="438"/>
        <v>0</v>
      </c>
      <c r="DI68" s="60">
        <f t="shared" si="439"/>
        <v>0</v>
      </c>
      <c r="DJ68" s="59">
        <f t="shared" si="440"/>
        <v>0</v>
      </c>
      <c r="DK68" s="55">
        <f t="shared" si="441"/>
        <v>0</v>
      </c>
      <c r="DL68" s="59">
        <f t="shared" si="442"/>
        <v>0</v>
      </c>
      <c r="DM68" s="60">
        <f t="shared" si="443"/>
        <v>0</v>
      </c>
      <c r="DN68" s="59">
        <f t="shared" si="444"/>
        <v>0</v>
      </c>
      <c r="DO68" s="60">
        <f t="shared" si="445"/>
        <v>0</v>
      </c>
      <c r="DP68" s="59">
        <f t="shared" si="446"/>
        <v>0</v>
      </c>
      <c r="DQ68" s="55">
        <f t="shared" si="447"/>
        <v>0</v>
      </c>
      <c r="DR68" s="59">
        <f t="shared" si="448"/>
        <v>0</v>
      </c>
      <c r="DU68" s="55">
        <v>1</v>
      </c>
      <c r="DV68" s="55">
        <v>0.97</v>
      </c>
      <c r="DW68" s="55">
        <v>0.95</v>
      </c>
      <c r="DX68" s="55">
        <v>0.93</v>
      </c>
      <c r="DY68" s="55">
        <f t="shared" si="494"/>
        <v>0.91</v>
      </c>
      <c r="DZ68" s="55">
        <f t="shared" si="494"/>
        <v>0.89</v>
      </c>
      <c r="EA68" s="55">
        <f t="shared" si="494"/>
        <v>0.87</v>
      </c>
      <c r="EB68" s="55">
        <f t="shared" si="494"/>
        <v>0.85</v>
      </c>
      <c r="EC68" s="55">
        <f t="shared" si="494"/>
        <v>0.83</v>
      </c>
      <c r="ED68" s="55">
        <f t="shared" si="494"/>
        <v>0.80999999999999994</v>
      </c>
      <c r="EE68" s="55">
        <f t="shared" si="494"/>
        <v>0.78999999999999992</v>
      </c>
      <c r="EF68" s="55">
        <f t="shared" si="494"/>
        <v>0.76999999999999991</v>
      </c>
      <c r="EG68" s="55">
        <f t="shared" si="494"/>
        <v>0.74999999999999989</v>
      </c>
      <c r="EH68" s="55">
        <f t="shared" si="494"/>
        <v>0.72999999999999987</v>
      </c>
      <c r="EI68" s="55">
        <f t="shared" si="494"/>
        <v>0.70999999999999985</v>
      </c>
      <c r="EJ68" s="55">
        <f t="shared" si="494"/>
        <v>0.68999999999999984</v>
      </c>
      <c r="EK68" s="55">
        <f t="shared" si="494"/>
        <v>0.66999999999999982</v>
      </c>
      <c r="EL68" s="55">
        <f t="shared" si="494"/>
        <v>0.6499999999999998</v>
      </c>
      <c r="EM68" s="55">
        <f t="shared" si="494"/>
        <v>0.62999999999999978</v>
      </c>
      <c r="EN68" s="55">
        <f t="shared" si="494"/>
        <v>0.60999999999999976</v>
      </c>
      <c r="EO68" s="55">
        <f t="shared" si="494"/>
        <v>0.58999999999999975</v>
      </c>
      <c r="EP68" s="55">
        <f t="shared" si="494"/>
        <v>0.56999999999999973</v>
      </c>
      <c r="ER68" s="55">
        <f t="shared" si="141"/>
        <v>0</v>
      </c>
      <c r="ES68" s="55">
        <f t="shared" si="115"/>
        <v>0</v>
      </c>
      <c r="ET68" s="59">
        <f t="shared" si="450"/>
        <v>0</v>
      </c>
      <c r="EU68" s="55">
        <f t="shared" si="451"/>
        <v>0</v>
      </c>
      <c r="EV68" s="59">
        <f t="shared" si="452"/>
        <v>0</v>
      </c>
      <c r="EW68" s="55">
        <f t="shared" si="453"/>
        <v>0</v>
      </c>
      <c r="EX68" s="59">
        <f t="shared" si="454"/>
        <v>0</v>
      </c>
      <c r="EY68" s="55">
        <f t="shared" si="455"/>
        <v>0</v>
      </c>
      <c r="EZ68" s="59">
        <f t="shared" si="456"/>
        <v>0</v>
      </c>
      <c r="FA68" s="57">
        <f t="shared" si="457"/>
        <v>0</v>
      </c>
      <c r="FB68" s="59">
        <f t="shared" si="458"/>
        <v>0</v>
      </c>
      <c r="FC68" s="55">
        <f t="shared" si="459"/>
        <v>0</v>
      </c>
      <c r="FD68" s="59">
        <f t="shared" si="460"/>
        <v>0</v>
      </c>
      <c r="FE68" s="57">
        <f t="shared" si="461"/>
        <v>0</v>
      </c>
      <c r="FF68" s="59">
        <f t="shared" si="462"/>
        <v>0</v>
      </c>
      <c r="FG68" s="60">
        <f t="shared" si="463"/>
        <v>0</v>
      </c>
      <c r="FH68" s="59">
        <f t="shared" si="464"/>
        <v>0</v>
      </c>
      <c r="FI68" s="57">
        <f t="shared" si="465"/>
        <v>0</v>
      </c>
      <c r="FJ68" s="59">
        <f t="shared" si="466"/>
        <v>0</v>
      </c>
      <c r="FK68" s="55">
        <f t="shared" si="467"/>
        <v>0</v>
      </c>
      <c r="FL68" s="59">
        <f t="shared" si="468"/>
        <v>0</v>
      </c>
      <c r="FM68" s="60">
        <f t="shared" si="469"/>
        <v>0</v>
      </c>
      <c r="FN68" s="59">
        <f t="shared" si="470"/>
        <v>0</v>
      </c>
      <c r="FO68" s="60">
        <f t="shared" si="471"/>
        <v>0</v>
      </c>
      <c r="FP68" s="59">
        <f t="shared" si="472"/>
        <v>0</v>
      </c>
      <c r="FQ68" s="60">
        <f t="shared" si="473"/>
        <v>0</v>
      </c>
      <c r="FR68" s="59">
        <f t="shared" si="474"/>
        <v>0</v>
      </c>
      <c r="FS68" s="55">
        <f t="shared" si="475"/>
        <v>0</v>
      </c>
      <c r="FT68" s="59">
        <f t="shared" si="476"/>
        <v>0</v>
      </c>
      <c r="FU68" s="60">
        <f t="shared" si="477"/>
        <v>0</v>
      </c>
      <c r="FV68" s="59">
        <f t="shared" si="478"/>
        <v>0</v>
      </c>
      <c r="FW68" s="60">
        <f t="shared" si="479"/>
        <v>0</v>
      </c>
      <c r="FX68" s="59">
        <f t="shared" si="480"/>
        <v>0</v>
      </c>
      <c r="FY68" s="60">
        <f t="shared" si="481"/>
        <v>0</v>
      </c>
      <c r="FZ68" s="59">
        <f t="shared" si="482"/>
        <v>0</v>
      </c>
      <c r="GA68" s="60">
        <f t="shared" si="483"/>
        <v>0</v>
      </c>
      <c r="GB68" s="59">
        <f t="shared" si="484"/>
        <v>0</v>
      </c>
      <c r="GC68" s="55">
        <f t="shared" si="485"/>
        <v>0</v>
      </c>
      <c r="GD68" s="59">
        <f t="shared" si="486"/>
        <v>0</v>
      </c>
      <c r="GE68" s="60">
        <f t="shared" si="487"/>
        <v>0</v>
      </c>
      <c r="GF68" s="59">
        <f t="shared" si="488"/>
        <v>0</v>
      </c>
      <c r="GG68" s="60">
        <f t="shared" si="489"/>
        <v>0</v>
      </c>
      <c r="GH68" s="59">
        <f t="shared" si="490"/>
        <v>0</v>
      </c>
      <c r="GI68" s="55">
        <f t="shared" si="491"/>
        <v>0</v>
      </c>
      <c r="GJ68" s="59">
        <f t="shared" si="492"/>
        <v>0</v>
      </c>
      <c r="GK68" s="55"/>
      <c r="GL68" s="55"/>
      <c r="GM68" s="55">
        <v>1</v>
      </c>
      <c r="GN68" s="55">
        <v>0.97</v>
      </c>
      <c r="GO68" s="55">
        <v>0.95</v>
      </c>
      <c r="GP68" s="55">
        <v>0.93</v>
      </c>
      <c r="GQ68" s="55">
        <f t="shared" si="495"/>
        <v>0.91</v>
      </c>
      <c r="GR68" s="55">
        <f t="shared" si="495"/>
        <v>0.89</v>
      </c>
      <c r="GS68" s="55">
        <f t="shared" si="495"/>
        <v>0.87</v>
      </c>
      <c r="GT68" s="55">
        <f t="shared" si="495"/>
        <v>0.85</v>
      </c>
      <c r="GU68" s="55">
        <f t="shared" si="495"/>
        <v>0.83</v>
      </c>
      <c r="GV68" s="55">
        <f t="shared" si="495"/>
        <v>0.80999999999999994</v>
      </c>
      <c r="GW68" s="55">
        <f t="shared" si="495"/>
        <v>0.78999999999999992</v>
      </c>
      <c r="GX68" s="55">
        <f t="shared" si="495"/>
        <v>0.76999999999999991</v>
      </c>
      <c r="GY68" s="55">
        <f t="shared" si="495"/>
        <v>0.74999999999999989</v>
      </c>
      <c r="GZ68" s="55">
        <f t="shared" si="495"/>
        <v>0.72999999999999987</v>
      </c>
      <c r="HA68" s="55">
        <f t="shared" si="495"/>
        <v>0.70999999999999985</v>
      </c>
      <c r="HB68" s="55">
        <f t="shared" si="495"/>
        <v>0.68999999999999984</v>
      </c>
      <c r="HC68" s="55">
        <f t="shared" si="495"/>
        <v>0.66999999999999982</v>
      </c>
      <c r="HD68" s="55">
        <f t="shared" si="495"/>
        <v>0.6499999999999998</v>
      </c>
      <c r="HE68" s="55">
        <f t="shared" si="495"/>
        <v>0.62999999999999978</v>
      </c>
      <c r="HF68" s="55">
        <f t="shared" si="495"/>
        <v>0.60999999999999976</v>
      </c>
      <c r="HG68" s="55">
        <f t="shared" si="495"/>
        <v>0.58999999999999975</v>
      </c>
      <c r="HH68" s="55">
        <f t="shared" si="495"/>
        <v>0.56999999999999973</v>
      </c>
    </row>
    <row r="69" spans="1:216" x14ac:dyDescent="0.3">
      <c r="A69" s="2">
        <v>7</v>
      </c>
      <c r="C69" s="38" t="s">
        <v>141</v>
      </c>
      <c r="D69" s="42">
        <f>TRUNC(439,-1)</f>
        <v>430</v>
      </c>
      <c r="E69" s="86">
        <f>TRUNC(+D69*3.3058,-1)</f>
        <v>1420</v>
      </c>
      <c r="H69" s="55">
        <f t="shared" si="60"/>
        <v>1562.0000000000002</v>
      </c>
      <c r="I69" s="55">
        <f t="shared" si="61"/>
        <v>1562.0000000000002</v>
      </c>
      <c r="J69" s="59">
        <f t="shared" si="62"/>
        <v>5163.6596000000009</v>
      </c>
      <c r="K69" s="55">
        <f t="shared" si="363"/>
        <v>1515.14</v>
      </c>
      <c r="L69" s="59">
        <f t="shared" si="364"/>
        <v>5008.749812</v>
      </c>
      <c r="M69" s="55">
        <f t="shared" si="365"/>
        <v>1483.9</v>
      </c>
      <c r="N69" s="59">
        <f t="shared" si="366"/>
        <v>4905.4766200000004</v>
      </c>
      <c r="O69" s="55">
        <f t="shared" si="367"/>
        <v>1452.6600000000003</v>
      </c>
      <c r="P69" s="59">
        <f t="shared" si="368"/>
        <v>4802.2034280000007</v>
      </c>
      <c r="Q69" s="57">
        <f t="shared" si="369"/>
        <v>1421.4200000000003</v>
      </c>
      <c r="R69" s="59">
        <f t="shared" si="370"/>
        <v>4698.9302360000011</v>
      </c>
      <c r="S69" s="55">
        <f t="shared" si="371"/>
        <v>1390.1800000000003</v>
      </c>
      <c r="T69" s="59">
        <f t="shared" si="372"/>
        <v>4595.6570440000014</v>
      </c>
      <c r="U69" s="57">
        <f t="shared" si="373"/>
        <v>1358.9400000000003</v>
      </c>
      <c r="V69" s="59">
        <f t="shared" si="374"/>
        <v>4492.3838520000008</v>
      </c>
      <c r="W69" s="60">
        <f t="shared" si="375"/>
        <v>1327.7</v>
      </c>
      <c r="X69" s="59">
        <f t="shared" si="376"/>
        <v>4389.1106600000003</v>
      </c>
      <c r="Y69" s="57">
        <f t="shared" si="377"/>
        <v>1296.46</v>
      </c>
      <c r="Z69" s="59">
        <f t="shared" si="378"/>
        <v>4285.8374680000006</v>
      </c>
      <c r="AA69" s="55">
        <f t="shared" si="379"/>
        <v>1265.22</v>
      </c>
      <c r="AB69" s="59">
        <f t="shared" si="380"/>
        <v>4182.5642760000001</v>
      </c>
      <c r="AC69" s="60">
        <f t="shared" si="381"/>
        <v>1233.98</v>
      </c>
      <c r="AD69" s="59">
        <f t="shared" si="382"/>
        <v>4079.291084</v>
      </c>
      <c r="AE69" s="60">
        <f t="shared" si="383"/>
        <v>1202.74</v>
      </c>
      <c r="AF69" s="59">
        <f t="shared" si="384"/>
        <v>3976.0178920000003</v>
      </c>
      <c r="AG69" s="60">
        <f t="shared" si="385"/>
        <v>1171.5</v>
      </c>
      <c r="AH69" s="59">
        <f t="shared" si="386"/>
        <v>3872.7447000000002</v>
      </c>
      <c r="AI69" s="55">
        <f t="shared" si="387"/>
        <v>1140.26</v>
      </c>
      <c r="AJ69" s="59">
        <f t="shared" si="388"/>
        <v>3769.4715080000001</v>
      </c>
      <c r="AK69" s="60">
        <f t="shared" si="389"/>
        <v>1109.02</v>
      </c>
      <c r="AL69" s="59">
        <f t="shared" si="390"/>
        <v>3666.198316</v>
      </c>
      <c r="AM69" s="60">
        <f t="shared" si="391"/>
        <v>1077.78</v>
      </c>
      <c r="AN69" s="59">
        <f t="shared" si="392"/>
        <v>3562.9251239999999</v>
      </c>
      <c r="AO69" s="60">
        <f t="shared" si="393"/>
        <v>1046.54</v>
      </c>
      <c r="AP69" s="59">
        <f t="shared" si="394"/>
        <v>3459.6519319999998</v>
      </c>
      <c r="AQ69" s="60">
        <f t="shared" si="395"/>
        <v>1015.2999999999998</v>
      </c>
      <c r="AR69" s="59">
        <f t="shared" si="396"/>
        <v>3356.3787399999997</v>
      </c>
      <c r="AS69" s="55">
        <f t="shared" si="397"/>
        <v>984.05999999999983</v>
      </c>
      <c r="AT69" s="59">
        <f t="shared" si="398"/>
        <v>3253.1055479999995</v>
      </c>
      <c r="AU69" s="60">
        <f t="shared" si="399"/>
        <v>952.81999999999982</v>
      </c>
      <c r="AV69" s="59">
        <f t="shared" si="400"/>
        <v>3149.8323559999994</v>
      </c>
      <c r="AW69" s="60">
        <f t="shared" si="401"/>
        <v>921.5799999999997</v>
      </c>
      <c r="AX69" s="59">
        <f t="shared" si="402"/>
        <v>3046.5591639999989</v>
      </c>
      <c r="AY69" s="55">
        <f t="shared" si="403"/>
        <v>890.33999999999969</v>
      </c>
      <c r="AZ69" s="59">
        <f t="shared" si="404"/>
        <v>2943.2859719999992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si="405"/>
        <v>0.91</v>
      </c>
      <c r="BH69" s="55">
        <f t="shared" si="405"/>
        <v>0.89</v>
      </c>
      <c r="BI69" s="55">
        <f t="shared" si="405"/>
        <v>0.87</v>
      </c>
      <c r="BJ69" s="55">
        <f t="shared" si="405"/>
        <v>0.85</v>
      </c>
      <c r="BK69" s="55">
        <f t="shared" si="405"/>
        <v>0.83</v>
      </c>
      <c r="BL69" s="55">
        <f t="shared" si="405"/>
        <v>0.80999999999999994</v>
      </c>
      <c r="BM69" s="55">
        <f t="shared" si="405"/>
        <v>0.78999999999999992</v>
      </c>
      <c r="BN69" s="55">
        <f t="shared" si="405"/>
        <v>0.76999999999999991</v>
      </c>
      <c r="BO69" s="55">
        <f t="shared" si="405"/>
        <v>0.74999999999999989</v>
      </c>
      <c r="BP69" s="55">
        <f t="shared" si="405"/>
        <v>0.72999999999999987</v>
      </c>
      <c r="BQ69" s="55">
        <f t="shared" si="405"/>
        <v>0.70999999999999985</v>
      </c>
      <c r="BR69" s="55">
        <f t="shared" si="405"/>
        <v>0.68999999999999984</v>
      </c>
      <c r="BS69" s="55">
        <f t="shared" si="405"/>
        <v>0.66999999999999982</v>
      </c>
      <c r="BT69" s="55">
        <f t="shared" si="405"/>
        <v>0.6499999999999998</v>
      </c>
      <c r="BU69" s="55">
        <f t="shared" si="405"/>
        <v>0.62999999999999978</v>
      </c>
      <c r="BV69" s="55">
        <f t="shared" si="405"/>
        <v>0.60999999999999976</v>
      </c>
      <c r="BW69" s="55">
        <f t="shared" si="405"/>
        <v>0.58999999999999975</v>
      </c>
      <c r="BX69" s="55">
        <f t="shared" si="405"/>
        <v>0.56999999999999973</v>
      </c>
      <c r="BZ69" s="55">
        <f t="shared" si="87"/>
        <v>1421.4200000000003</v>
      </c>
      <c r="CA69" s="55">
        <f t="shared" si="88"/>
        <v>1421.4200000000003</v>
      </c>
      <c r="CB69" s="59">
        <f t="shared" si="406"/>
        <v>4698.9302360000011</v>
      </c>
      <c r="CC69" s="55">
        <f t="shared" si="407"/>
        <v>1378.7774000000002</v>
      </c>
      <c r="CD69" s="59">
        <f t="shared" si="408"/>
        <v>4557.9623289200008</v>
      </c>
      <c r="CE69" s="55">
        <f t="shared" si="409"/>
        <v>1350.3490000000002</v>
      </c>
      <c r="CF69" s="59">
        <f t="shared" si="410"/>
        <v>4463.9837242000003</v>
      </c>
      <c r="CG69" s="55">
        <f t="shared" si="411"/>
        <v>1321.9206000000004</v>
      </c>
      <c r="CH69" s="59">
        <f t="shared" si="412"/>
        <v>4370.0051194800017</v>
      </c>
      <c r="CI69" s="57">
        <f t="shared" si="413"/>
        <v>1293.4922000000004</v>
      </c>
      <c r="CJ69" s="59">
        <f t="shared" si="414"/>
        <v>4276.0265147600012</v>
      </c>
      <c r="CK69" s="55">
        <f t="shared" si="415"/>
        <v>1265.0638000000004</v>
      </c>
      <c r="CL69" s="59">
        <f t="shared" si="416"/>
        <v>4182.0479100400016</v>
      </c>
      <c r="CM69" s="57">
        <f t="shared" si="417"/>
        <v>1236.6354000000003</v>
      </c>
      <c r="CN69" s="59">
        <f t="shared" si="418"/>
        <v>4088.0693053200011</v>
      </c>
      <c r="CO69" s="60">
        <f t="shared" si="419"/>
        <v>1208.2070000000003</v>
      </c>
      <c r="CP69" s="59">
        <f t="shared" si="420"/>
        <v>3994.0907006000011</v>
      </c>
      <c r="CQ69" s="57">
        <f t="shared" si="421"/>
        <v>1179.7786000000001</v>
      </c>
      <c r="CR69" s="59">
        <f t="shared" si="422"/>
        <v>3900.1120958800002</v>
      </c>
      <c r="CS69" s="55">
        <f t="shared" si="423"/>
        <v>1151.3502000000001</v>
      </c>
      <c r="CT69" s="59">
        <f t="shared" si="424"/>
        <v>3806.1334911600002</v>
      </c>
      <c r="CU69" s="60">
        <f t="shared" si="425"/>
        <v>1122.9218000000001</v>
      </c>
      <c r="CV69" s="59">
        <f t="shared" si="426"/>
        <v>3712.1548864400002</v>
      </c>
      <c r="CW69" s="60">
        <f t="shared" si="427"/>
        <v>1094.4934000000001</v>
      </c>
      <c r="CX69" s="59">
        <f t="shared" si="428"/>
        <v>3618.1762817200001</v>
      </c>
      <c r="CY69" s="60">
        <f t="shared" si="429"/>
        <v>1066.0650000000001</v>
      </c>
      <c r="CZ69" s="59">
        <f t="shared" si="430"/>
        <v>3524.1976770000001</v>
      </c>
      <c r="DA69" s="55">
        <f t="shared" si="431"/>
        <v>1037.6366</v>
      </c>
      <c r="DB69" s="59">
        <f t="shared" si="432"/>
        <v>3430.2190722800001</v>
      </c>
      <c r="DC69" s="60">
        <f t="shared" si="433"/>
        <v>1009.2082</v>
      </c>
      <c r="DD69" s="59">
        <f t="shared" si="434"/>
        <v>3336.2404675600001</v>
      </c>
      <c r="DE69" s="60">
        <f t="shared" si="435"/>
        <v>980.77980000000002</v>
      </c>
      <c r="DF69" s="59">
        <f t="shared" si="436"/>
        <v>3242.26186284</v>
      </c>
      <c r="DG69" s="60">
        <f t="shared" si="437"/>
        <v>952.3513999999999</v>
      </c>
      <c r="DH69" s="59">
        <f t="shared" si="438"/>
        <v>3148.2832581199996</v>
      </c>
      <c r="DI69" s="60">
        <f t="shared" si="439"/>
        <v>923.92299999999989</v>
      </c>
      <c r="DJ69" s="59">
        <f t="shared" si="440"/>
        <v>3054.3046533999996</v>
      </c>
      <c r="DK69" s="55">
        <f t="shared" si="441"/>
        <v>895.49459999999988</v>
      </c>
      <c r="DL69" s="59">
        <f t="shared" si="442"/>
        <v>2960.3260486799995</v>
      </c>
      <c r="DM69" s="60">
        <f t="shared" si="443"/>
        <v>867.06619999999987</v>
      </c>
      <c r="DN69" s="59">
        <f t="shared" si="444"/>
        <v>2866.3474439599995</v>
      </c>
      <c r="DO69" s="60">
        <f t="shared" si="445"/>
        <v>838.63779999999986</v>
      </c>
      <c r="DP69" s="59">
        <f t="shared" si="446"/>
        <v>2772.3688392399995</v>
      </c>
      <c r="DQ69" s="55">
        <f t="shared" si="447"/>
        <v>810.20939999999973</v>
      </c>
      <c r="DR69" s="59">
        <f t="shared" si="448"/>
        <v>2678.390234519999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494"/>
        <v>0.91</v>
      </c>
      <c r="DZ69" s="55">
        <f t="shared" si="494"/>
        <v>0.89</v>
      </c>
      <c r="EA69" s="55">
        <f t="shared" si="494"/>
        <v>0.87</v>
      </c>
      <c r="EB69" s="55">
        <f t="shared" si="494"/>
        <v>0.85</v>
      </c>
      <c r="EC69" s="55">
        <f t="shared" si="494"/>
        <v>0.83</v>
      </c>
      <c r="ED69" s="55">
        <f t="shared" si="494"/>
        <v>0.80999999999999994</v>
      </c>
      <c r="EE69" s="55">
        <f t="shared" si="494"/>
        <v>0.78999999999999992</v>
      </c>
      <c r="EF69" s="55">
        <f t="shared" si="494"/>
        <v>0.76999999999999991</v>
      </c>
      <c r="EG69" s="55">
        <f t="shared" si="494"/>
        <v>0.74999999999999989</v>
      </c>
      <c r="EH69" s="55">
        <f t="shared" si="494"/>
        <v>0.72999999999999987</v>
      </c>
      <c r="EI69" s="55">
        <f t="shared" si="494"/>
        <v>0.70999999999999985</v>
      </c>
      <c r="EJ69" s="55">
        <f t="shared" si="494"/>
        <v>0.68999999999999984</v>
      </c>
      <c r="EK69" s="55">
        <f t="shared" si="494"/>
        <v>0.66999999999999982</v>
      </c>
      <c r="EL69" s="55">
        <f t="shared" si="494"/>
        <v>0.6499999999999998</v>
      </c>
      <c r="EM69" s="55">
        <f t="shared" si="494"/>
        <v>0.62999999999999978</v>
      </c>
      <c r="EN69" s="55">
        <f t="shared" si="494"/>
        <v>0.60999999999999976</v>
      </c>
      <c r="EO69" s="55">
        <f t="shared" si="494"/>
        <v>0.58999999999999975</v>
      </c>
      <c r="EP69" s="55">
        <f t="shared" si="494"/>
        <v>0.56999999999999973</v>
      </c>
      <c r="ER69" s="55">
        <f t="shared" si="141"/>
        <v>1293.4922000000004</v>
      </c>
      <c r="ES69" s="55">
        <f t="shared" si="115"/>
        <v>1293.4922000000004</v>
      </c>
      <c r="ET69" s="59">
        <f t="shared" si="450"/>
        <v>4276.0265147600012</v>
      </c>
      <c r="EU69" s="55">
        <f t="shared" si="451"/>
        <v>1254.6874340000004</v>
      </c>
      <c r="EV69" s="59">
        <f t="shared" si="452"/>
        <v>4147.7457193172013</v>
      </c>
      <c r="EW69" s="55">
        <f t="shared" si="453"/>
        <v>1228.8175900000003</v>
      </c>
      <c r="EX69" s="59">
        <f t="shared" si="454"/>
        <v>4062.2251890220014</v>
      </c>
      <c r="EY69" s="55">
        <f t="shared" si="455"/>
        <v>1202.9477460000005</v>
      </c>
      <c r="EZ69" s="59">
        <f t="shared" si="456"/>
        <v>3976.7046587268019</v>
      </c>
      <c r="FA69" s="57">
        <f t="shared" si="457"/>
        <v>1177.0779020000004</v>
      </c>
      <c r="FB69" s="59">
        <f t="shared" si="458"/>
        <v>3891.1841284316015</v>
      </c>
      <c r="FC69" s="55">
        <f t="shared" si="459"/>
        <v>1151.2080580000004</v>
      </c>
      <c r="FD69" s="59">
        <f t="shared" si="460"/>
        <v>3805.6635981364016</v>
      </c>
      <c r="FE69" s="57">
        <f t="shared" si="461"/>
        <v>1125.3382140000003</v>
      </c>
      <c r="FF69" s="59">
        <f t="shared" si="462"/>
        <v>3720.1430678412012</v>
      </c>
      <c r="FG69" s="60">
        <f t="shared" si="463"/>
        <v>1099.4683700000003</v>
      </c>
      <c r="FH69" s="59">
        <f t="shared" si="464"/>
        <v>3634.6225375460008</v>
      </c>
      <c r="FI69" s="57">
        <f t="shared" si="465"/>
        <v>1073.5985260000002</v>
      </c>
      <c r="FJ69" s="59">
        <f t="shared" si="466"/>
        <v>3549.1020072508009</v>
      </c>
      <c r="FK69" s="55">
        <f t="shared" si="467"/>
        <v>1047.7286820000002</v>
      </c>
      <c r="FL69" s="59">
        <f t="shared" si="468"/>
        <v>3463.5814769556005</v>
      </c>
      <c r="FM69" s="60">
        <f t="shared" si="469"/>
        <v>1021.8588380000002</v>
      </c>
      <c r="FN69" s="59">
        <f t="shared" si="470"/>
        <v>3378.060946660401</v>
      </c>
      <c r="FO69" s="60">
        <f t="shared" si="471"/>
        <v>995.98899400000016</v>
      </c>
      <c r="FP69" s="59">
        <f t="shared" si="472"/>
        <v>3292.5404163652006</v>
      </c>
      <c r="FQ69" s="60">
        <f t="shared" si="473"/>
        <v>970.1191500000001</v>
      </c>
      <c r="FR69" s="59">
        <f t="shared" si="474"/>
        <v>3207.0198860700002</v>
      </c>
      <c r="FS69" s="55">
        <f t="shared" si="475"/>
        <v>944.24930600000005</v>
      </c>
      <c r="FT69" s="59">
        <f t="shared" si="476"/>
        <v>3121.4993557748003</v>
      </c>
      <c r="FU69" s="60">
        <f t="shared" si="477"/>
        <v>918.3794620000001</v>
      </c>
      <c r="FV69" s="59">
        <f t="shared" si="478"/>
        <v>3035.9788254796003</v>
      </c>
      <c r="FW69" s="60">
        <f t="shared" si="479"/>
        <v>892.50961800000005</v>
      </c>
      <c r="FX69" s="59">
        <f t="shared" si="480"/>
        <v>2950.4582951844004</v>
      </c>
      <c r="FY69" s="60">
        <f t="shared" si="481"/>
        <v>866.63977399999999</v>
      </c>
      <c r="FZ69" s="59">
        <f t="shared" si="482"/>
        <v>2864.9377648892</v>
      </c>
      <c r="GA69" s="60">
        <f t="shared" si="483"/>
        <v>840.76992999999993</v>
      </c>
      <c r="GB69" s="59">
        <f t="shared" si="484"/>
        <v>2779.4172345939996</v>
      </c>
      <c r="GC69" s="55">
        <f t="shared" si="485"/>
        <v>814.90008599999999</v>
      </c>
      <c r="GD69" s="59">
        <f t="shared" si="486"/>
        <v>2693.8967042988002</v>
      </c>
      <c r="GE69" s="60">
        <f t="shared" si="487"/>
        <v>789.03024199999993</v>
      </c>
      <c r="GF69" s="59">
        <f t="shared" si="488"/>
        <v>2608.3761740035998</v>
      </c>
      <c r="GG69" s="60">
        <f t="shared" si="489"/>
        <v>763.16039799999987</v>
      </c>
      <c r="GH69" s="59">
        <f t="shared" si="490"/>
        <v>2522.8556437083998</v>
      </c>
      <c r="GI69" s="55">
        <f t="shared" si="491"/>
        <v>737.29055399999982</v>
      </c>
      <c r="GJ69" s="59">
        <f t="shared" si="492"/>
        <v>2437.3351134131995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495"/>
        <v>0.91</v>
      </c>
      <c r="GR69" s="55">
        <f t="shared" si="495"/>
        <v>0.89</v>
      </c>
      <c r="GS69" s="55">
        <f t="shared" si="495"/>
        <v>0.87</v>
      </c>
      <c r="GT69" s="55">
        <f t="shared" si="495"/>
        <v>0.85</v>
      </c>
      <c r="GU69" s="55">
        <f t="shared" si="495"/>
        <v>0.83</v>
      </c>
      <c r="GV69" s="55">
        <f t="shared" si="495"/>
        <v>0.80999999999999994</v>
      </c>
      <c r="GW69" s="55">
        <f t="shared" si="495"/>
        <v>0.78999999999999992</v>
      </c>
      <c r="GX69" s="55">
        <f t="shared" si="495"/>
        <v>0.76999999999999991</v>
      </c>
      <c r="GY69" s="55">
        <f t="shared" si="495"/>
        <v>0.74999999999999989</v>
      </c>
      <c r="GZ69" s="55">
        <f t="shared" si="495"/>
        <v>0.72999999999999987</v>
      </c>
      <c r="HA69" s="55">
        <f t="shared" si="495"/>
        <v>0.70999999999999985</v>
      </c>
      <c r="HB69" s="55">
        <f t="shared" si="495"/>
        <v>0.68999999999999984</v>
      </c>
      <c r="HC69" s="55">
        <f t="shared" si="495"/>
        <v>0.66999999999999982</v>
      </c>
      <c r="HD69" s="55">
        <f t="shared" si="495"/>
        <v>0.6499999999999998</v>
      </c>
      <c r="HE69" s="55">
        <f t="shared" si="495"/>
        <v>0.62999999999999978</v>
      </c>
      <c r="HF69" s="55">
        <f t="shared" si="495"/>
        <v>0.60999999999999976</v>
      </c>
      <c r="HG69" s="55">
        <f t="shared" si="495"/>
        <v>0.58999999999999975</v>
      </c>
      <c r="HH69" s="55">
        <f t="shared" si="495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86">
        <f>TRUNC(+D70*3.3058,-1)</f>
        <v>0</v>
      </c>
      <c r="H70" s="55">
        <f t="shared" si="60"/>
        <v>0</v>
      </c>
      <c r="I70" s="55">
        <f t="shared" si="61"/>
        <v>0</v>
      </c>
      <c r="J70" s="59">
        <f t="shared" si="62"/>
        <v>0</v>
      </c>
      <c r="K70" s="55">
        <f t="shared" si="363"/>
        <v>0</v>
      </c>
      <c r="L70" s="59">
        <f t="shared" si="364"/>
        <v>0</v>
      </c>
      <c r="M70" s="55">
        <f t="shared" si="365"/>
        <v>0</v>
      </c>
      <c r="N70" s="59">
        <f t="shared" si="366"/>
        <v>0</v>
      </c>
      <c r="O70" s="55">
        <f t="shared" si="367"/>
        <v>0</v>
      </c>
      <c r="P70" s="59">
        <f t="shared" si="368"/>
        <v>0</v>
      </c>
      <c r="Q70" s="57">
        <f t="shared" si="369"/>
        <v>0</v>
      </c>
      <c r="R70" s="59">
        <f t="shared" si="370"/>
        <v>0</v>
      </c>
      <c r="S70" s="55">
        <f t="shared" si="371"/>
        <v>0</v>
      </c>
      <c r="T70" s="59">
        <f t="shared" si="372"/>
        <v>0</v>
      </c>
      <c r="U70" s="57">
        <f t="shared" si="373"/>
        <v>0</v>
      </c>
      <c r="V70" s="59">
        <f t="shared" si="374"/>
        <v>0</v>
      </c>
      <c r="W70" s="60">
        <f t="shared" si="375"/>
        <v>0</v>
      </c>
      <c r="X70" s="59">
        <f t="shared" si="376"/>
        <v>0</v>
      </c>
      <c r="Y70" s="57">
        <f t="shared" si="377"/>
        <v>0</v>
      </c>
      <c r="Z70" s="59">
        <f t="shared" si="378"/>
        <v>0</v>
      </c>
      <c r="AA70" s="55">
        <f t="shared" si="379"/>
        <v>0</v>
      </c>
      <c r="AB70" s="59">
        <f t="shared" si="380"/>
        <v>0</v>
      </c>
      <c r="AC70" s="60">
        <f t="shared" si="381"/>
        <v>0</v>
      </c>
      <c r="AD70" s="59">
        <f t="shared" si="382"/>
        <v>0</v>
      </c>
      <c r="AE70" s="60">
        <f t="shared" si="383"/>
        <v>0</v>
      </c>
      <c r="AF70" s="59">
        <f t="shared" si="384"/>
        <v>0</v>
      </c>
      <c r="AG70" s="60">
        <f t="shared" si="385"/>
        <v>0</v>
      </c>
      <c r="AH70" s="59">
        <f t="shared" si="386"/>
        <v>0</v>
      </c>
      <c r="AI70" s="55">
        <f t="shared" si="387"/>
        <v>0</v>
      </c>
      <c r="AJ70" s="59">
        <f t="shared" si="388"/>
        <v>0</v>
      </c>
      <c r="AK70" s="60">
        <f t="shared" si="389"/>
        <v>0</v>
      </c>
      <c r="AL70" s="59">
        <f t="shared" si="390"/>
        <v>0</v>
      </c>
      <c r="AM70" s="60">
        <f t="shared" si="391"/>
        <v>0</v>
      </c>
      <c r="AN70" s="59">
        <f t="shared" si="392"/>
        <v>0</v>
      </c>
      <c r="AO70" s="60">
        <f t="shared" si="393"/>
        <v>0</v>
      </c>
      <c r="AP70" s="59">
        <f t="shared" si="394"/>
        <v>0</v>
      </c>
      <c r="AQ70" s="60">
        <f t="shared" si="395"/>
        <v>0</v>
      </c>
      <c r="AR70" s="59">
        <f t="shared" si="396"/>
        <v>0</v>
      </c>
      <c r="AS70" s="55">
        <f t="shared" si="397"/>
        <v>0</v>
      </c>
      <c r="AT70" s="59">
        <f t="shared" si="398"/>
        <v>0</v>
      </c>
      <c r="AU70" s="60">
        <f t="shared" si="399"/>
        <v>0</v>
      </c>
      <c r="AV70" s="59">
        <f t="shared" si="400"/>
        <v>0</v>
      </c>
      <c r="AW70" s="60">
        <f t="shared" si="401"/>
        <v>0</v>
      </c>
      <c r="AX70" s="59">
        <f t="shared" si="402"/>
        <v>0</v>
      </c>
      <c r="AY70" s="55">
        <f t="shared" si="403"/>
        <v>0</v>
      </c>
      <c r="AZ70" s="59">
        <f t="shared" si="404"/>
        <v>0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05"/>
        <v>0.91</v>
      </c>
      <c r="BH70" s="55">
        <f t="shared" si="405"/>
        <v>0.89</v>
      </c>
      <c r="BI70" s="55">
        <f t="shared" si="405"/>
        <v>0.87</v>
      </c>
      <c r="BJ70" s="55">
        <f t="shared" si="405"/>
        <v>0.85</v>
      </c>
      <c r="BK70" s="55">
        <f t="shared" si="405"/>
        <v>0.83</v>
      </c>
      <c r="BL70" s="55">
        <f t="shared" si="405"/>
        <v>0.80999999999999994</v>
      </c>
      <c r="BM70" s="55">
        <f t="shared" si="405"/>
        <v>0.78999999999999992</v>
      </c>
      <c r="BN70" s="55">
        <f t="shared" si="405"/>
        <v>0.76999999999999991</v>
      </c>
      <c r="BO70" s="55">
        <f t="shared" si="405"/>
        <v>0.74999999999999989</v>
      </c>
      <c r="BP70" s="55">
        <f t="shared" si="405"/>
        <v>0.72999999999999987</v>
      </c>
      <c r="BQ70" s="55">
        <f t="shared" si="405"/>
        <v>0.70999999999999985</v>
      </c>
      <c r="BR70" s="55">
        <f t="shared" si="405"/>
        <v>0.68999999999999984</v>
      </c>
      <c r="BS70" s="55">
        <f t="shared" si="405"/>
        <v>0.66999999999999982</v>
      </c>
      <c r="BT70" s="55">
        <f t="shared" si="405"/>
        <v>0.6499999999999998</v>
      </c>
      <c r="BU70" s="55">
        <f t="shared" si="405"/>
        <v>0.62999999999999978</v>
      </c>
      <c r="BV70" s="55">
        <f t="shared" si="405"/>
        <v>0.60999999999999976</v>
      </c>
      <c r="BW70" s="55">
        <f t="shared" si="405"/>
        <v>0.58999999999999975</v>
      </c>
      <c r="BX70" s="55">
        <f t="shared" si="405"/>
        <v>0.56999999999999973</v>
      </c>
      <c r="BZ70" s="55">
        <f t="shared" si="87"/>
        <v>0</v>
      </c>
      <c r="CA70" s="55">
        <f t="shared" si="88"/>
        <v>0</v>
      </c>
      <c r="CB70" s="59">
        <f t="shared" si="406"/>
        <v>0</v>
      </c>
      <c r="CC70" s="55">
        <f t="shared" si="407"/>
        <v>0</v>
      </c>
      <c r="CD70" s="59">
        <f t="shared" si="408"/>
        <v>0</v>
      </c>
      <c r="CE70" s="55">
        <f t="shared" si="409"/>
        <v>0</v>
      </c>
      <c r="CF70" s="59">
        <f t="shared" si="410"/>
        <v>0</v>
      </c>
      <c r="CG70" s="55">
        <f t="shared" si="411"/>
        <v>0</v>
      </c>
      <c r="CH70" s="59">
        <f t="shared" si="412"/>
        <v>0</v>
      </c>
      <c r="CI70" s="57">
        <f t="shared" si="413"/>
        <v>0</v>
      </c>
      <c r="CJ70" s="59">
        <f t="shared" si="414"/>
        <v>0</v>
      </c>
      <c r="CK70" s="55">
        <f t="shared" si="415"/>
        <v>0</v>
      </c>
      <c r="CL70" s="59">
        <f t="shared" si="416"/>
        <v>0</v>
      </c>
      <c r="CM70" s="57">
        <f t="shared" si="417"/>
        <v>0</v>
      </c>
      <c r="CN70" s="59">
        <f t="shared" si="418"/>
        <v>0</v>
      </c>
      <c r="CO70" s="60">
        <f t="shared" si="419"/>
        <v>0</v>
      </c>
      <c r="CP70" s="59">
        <f t="shared" si="420"/>
        <v>0</v>
      </c>
      <c r="CQ70" s="57">
        <f t="shared" si="421"/>
        <v>0</v>
      </c>
      <c r="CR70" s="59">
        <f t="shared" si="422"/>
        <v>0</v>
      </c>
      <c r="CS70" s="55">
        <f t="shared" si="423"/>
        <v>0</v>
      </c>
      <c r="CT70" s="59">
        <f t="shared" si="424"/>
        <v>0</v>
      </c>
      <c r="CU70" s="60">
        <f t="shared" si="425"/>
        <v>0</v>
      </c>
      <c r="CV70" s="59">
        <f t="shared" si="426"/>
        <v>0</v>
      </c>
      <c r="CW70" s="60">
        <f t="shared" si="427"/>
        <v>0</v>
      </c>
      <c r="CX70" s="59">
        <f t="shared" si="428"/>
        <v>0</v>
      </c>
      <c r="CY70" s="60">
        <f t="shared" si="429"/>
        <v>0</v>
      </c>
      <c r="CZ70" s="59">
        <f t="shared" si="430"/>
        <v>0</v>
      </c>
      <c r="DA70" s="55">
        <f t="shared" si="431"/>
        <v>0</v>
      </c>
      <c r="DB70" s="59">
        <f t="shared" si="432"/>
        <v>0</v>
      </c>
      <c r="DC70" s="60">
        <f t="shared" si="433"/>
        <v>0</v>
      </c>
      <c r="DD70" s="59">
        <f t="shared" si="434"/>
        <v>0</v>
      </c>
      <c r="DE70" s="60">
        <f t="shared" si="435"/>
        <v>0</v>
      </c>
      <c r="DF70" s="59">
        <f t="shared" si="436"/>
        <v>0</v>
      </c>
      <c r="DG70" s="60">
        <f t="shared" si="437"/>
        <v>0</v>
      </c>
      <c r="DH70" s="59">
        <f t="shared" si="438"/>
        <v>0</v>
      </c>
      <c r="DI70" s="60">
        <f t="shared" si="439"/>
        <v>0</v>
      </c>
      <c r="DJ70" s="59">
        <f t="shared" si="440"/>
        <v>0</v>
      </c>
      <c r="DK70" s="55">
        <f t="shared" si="441"/>
        <v>0</v>
      </c>
      <c r="DL70" s="59">
        <f t="shared" si="442"/>
        <v>0</v>
      </c>
      <c r="DM70" s="60">
        <f t="shared" si="443"/>
        <v>0</v>
      </c>
      <c r="DN70" s="59">
        <f t="shared" si="444"/>
        <v>0</v>
      </c>
      <c r="DO70" s="60">
        <f t="shared" si="445"/>
        <v>0</v>
      </c>
      <c r="DP70" s="59">
        <f t="shared" si="446"/>
        <v>0</v>
      </c>
      <c r="DQ70" s="55">
        <f t="shared" si="447"/>
        <v>0</v>
      </c>
      <c r="DR70" s="59">
        <f t="shared" si="448"/>
        <v>0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si="494"/>
        <v>0.91</v>
      </c>
      <c r="DZ70" s="55">
        <f t="shared" si="494"/>
        <v>0.89</v>
      </c>
      <c r="EA70" s="55">
        <f t="shared" si="494"/>
        <v>0.87</v>
      </c>
      <c r="EB70" s="55">
        <f t="shared" si="494"/>
        <v>0.85</v>
      </c>
      <c r="EC70" s="55">
        <f t="shared" si="494"/>
        <v>0.83</v>
      </c>
      <c r="ED70" s="55">
        <f t="shared" si="494"/>
        <v>0.80999999999999994</v>
      </c>
      <c r="EE70" s="55">
        <f t="shared" si="494"/>
        <v>0.78999999999999992</v>
      </c>
      <c r="EF70" s="55">
        <f t="shared" si="494"/>
        <v>0.76999999999999991</v>
      </c>
      <c r="EG70" s="55">
        <f t="shared" si="494"/>
        <v>0.74999999999999989</v>
      </c>
      <c r="EH70" s="55">
        <f t="shared" si="494"/>
        <v>0.72999999999999987</v>
      </c>
      <c r="EI70" s="55">
        <f t="shared" si="494"/>
        <v>0.70999999999999985</v>
      </c>
      <c r="EJ70" s="55">
        <f t="shared" si="494"/>
        <v>0.68999999999999984</v>
      </c>
      <c r="EK70" s="55">
        <f t="shared" si="494"/>
        <v>0.66999999999999982</v>
      </c>
      <c r="EL70" s="55">
        <f t="shared" si="494"/>
        <v>0.6499999999999998</v>
      </c>
      <c r="EM70" s="55">
        <f t="shared" si="494"/>
        <v>0.62999999999999978</v>
      </c>
      <c r="EN70" s="55">
        <f t="shared" si="494"/>
        <v>0.60999999999999976</v>
      </c>
      <c r="EO70" s="55">
        <f t="shared" si="494"/>
        <v>0.58999999999999975</v>
      </c>
      <c r="EP70" s="55">
        <f t="shared" si="494"/>
        <v>0.56999999999999973</v>
      </c>
      <c r="ER70" s="55">
        <f t="shared" si="141"/>
        <v>0</v>
      </c>
      <c r="ES70" s="55">
        <f t="shared" si="115"/>
        <v>0</v>
      </c>
      <c r="ET70" s="59">
        <f t="shared" si="450"/>
        <v>0</v>
      </c>
      <c r="EU70" s="55">
        <f t="shared" si="451"/>
        <v>0</v>
      </c>
      <c r="EV70" s="59">
        <f t="shared" si="452"/>
        <v>0</v>
      </c>
      <c r="EW70" s="55">
        <f t="shared" si="453"/>
        <v>0</v>
      </c>
      <c r="EX70" s="59">
        <f t="shared" si="454"/>
        <v>0</v>
      </c>
      <c r="EY70" s="55">
        <f t="shared" si="455"/>
        <v>0</v>
      </c>
      <c r="EZ70" s="59">
        <f t="shared" si="456"/>
        <v>0</v>
      </c>
      <c r="FA70" s="57">
        <f t="shared" si="457"/>
        <v>0</v>
      </c>
      <c r="FB70" s="59">
        <f t="shared" si="458"/>
        <v>0</v>
      </c>
      <c r="FC70" s="55">
        <f t="shared" si="459"/>
        <v>0</v>
      </c>
      <c r="FD70" s="59">
        <f t="shared" si="460"/>
        <v>0</v>
      </c>
      <c r="FE70" s="57">
        <f t="shared" si="461"/>
        <v>0</v>
      </c>
      <c r="FF70" s="59">
        <f t="shared" si="462"/>
        <v>0</v>
      </c>
      <c r="FG70" s="60">
        <f t="shared" si="463"/>
        <v>0</v>
      </c>
      <c r="FH70" s="59">
        <f t="shared" si="464"/>
        <v>0</v>
      </c>
      <c r="FI70" s="57">
        <f t="shared" si="465"/>
        <v>0</v>
      </c>
      <c r="FJ70" s="59">
        <f t="shared" si="466"/>
        <v>0</v>
      </c>
      <c r="FK70" s="55">
        <f t="shared" si="467"/>
        <v>0</v>
      </c>
      <c r="FL70" s="59">
        <f t="shared" si="468"/>
        <v>0</v>
      </c>
      <c r="FM70" s="60">
        <f t="shared" si="469"/>
        <v>0</v>
      </c>
      <c r="FN70" s="59">
        <f t="shared" si="470"/>
        <v>0</v>
      </c>
      <c r="FO70" s="60">
        <f t="shared" si="471"/>
        <v>0</v>
      </c>
      <c r="FP70" s="59">
        <f t="shared" si="472"/>
        <v>0</v>
      </c>
      <c r="FQ70" s="60">
        <f t="shared" si="473"/>
        <v>0</v>
      </c>
      <c r="FR70" s="59">
        <f t="shared" si="474"/>
        <v>0</v>
      </c>
      <c r="FS70" s="55">
        <f t="shared" si="475"/>
        <v>0</v>
      </c>
      <c r="FT70" s="59">
        <f t="shared" si="476"/>
        <v>0</v>
      </c>
      <c r="FU70" s="60">
        <f t="shared" si="477"/>
        <v>0</v>
      </c>
      <c r="FV70" s="59">
        <f t="shared" si="478"/>
        <v>0</v>
      </c>
      <c r="FW70" s="60">
        <f t="shared" si="479"/>
        <v>0</v>
      </c>
      <c r="FX70" s="59">
        <f t="shared" si="480"/>
        <v>0</v>
      </c>
      <c r="FY70" s="60">
        <f t="shared" si="481"/>
        <v>0</v>
      </c>
      <c r="FZ70" s="59">
        <f t="shared" si="482"/>
        <v>0</v>
      </c>
      <c r="GA70" s="60">
        <f t="shared" si="483"/>
        <v>0</v>
      </c>
      <c r="GB70" s="59">
        <f t="shared" si="484"/>
        <v>0</v>
      </c>
      <c r="GC70" s="55">
        <f t="shared" si="485"/>
        <v>0</v>
      </c>
      <c r="GD70" s="59">
        <f t="shared" si="486"/>
        <v>0</v>
      </c>
      <c r="GE70" s="60">
        <f t="shared" si="487"/>
        <v>0</v>
      </c>
      <c r="GF70" s="59">
        <f t="shared" si="488"/>
        <v>0</v>
      </c>
      <c r="GG70" s="60">
        <f t="shared" si="489"/>
        <v>0</v>
      </c>
      <c r="GH70" s="59">
        <f t="shared" si="490"/>
        <v>0</v>
      </c>
      <c r="GI70" s="55">
        <f t="shared" si="491"/>
        <v>0</v>
      </c>
      <c r="GJ70" s="59">
        <f t="shared" si="492"/>
        <v>0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si="495"/>
        <v>0.91</v>
      </c>
      <c r="GR70" s="55">
        <f t="shared" si="495"/>
        <v>0.89</v>
      </c>
      <c r="GS70" s="55">
        <f t="shared" si="495"/>
        <v>0.87</v>
      </c>
      <c r="GT70" s="55">
        <f t="shared" si="495"/>
        <v>0.85</v>
      </c>
      <c r="GU70" s="55">
        <f t="shared" si="495"/>
        <v>0.83</v>
      </c>
      <c r="GV70" s="55">
        <f t="shared" si="495"/>
        <v>0.80999999999999994</v>
      </c>
      <c r="GW70" s="55">
        <f t="shared" si="495"/>
        <v>0.78999999999999992</v>
      </c>
      <c r="GX70" s="55">
        <f t="shared" si="495"/>
        <v>0.76999999999999991</v>
      </c>
      <c r="GY70" s="55">
        <f t="shared" si="495"/>
        <v>0.74999999999999989</v>
      </c>
      <c r="GZ70" s="55">
        <f t="shared" si="495"/>
        <v>0.72999999999999987</v>
      </c>
      <c r="HA70" s="55">
        <f t="shared" si="495"/>
        <v>0.70999999999999985</v>
      </c>
      <c r="HB70" s="55">
        <f t="shared" si="495"/>
        <v>0.68999999999999984</v>
      </c>
      <c r="HC70" s="55">
        <f t="shared" si="495"/>
        <v>0.66999999999999982</v>
      </c>
      <c r="HD70" s="55">
        <f t="shared" si="495"/>
        <v>0.6499999999999998</v>
      </c>
      <c r="HE70" s="55">
        <f t="shared" si="495"/>
        <v>0.62999999999999978</v>
      </c>
      <c r="HF70" s="55">
        <f t="shared" si="495"/>
        <v>0.60999999999999976</v>
      </c>
      <c r="HG70" s="55">
        <f t="shared" si="495"/>
        <v>0.58999999999999975</v>
      </c>
      <c r="HH70" s="55">
        <f t="shared" si="495"/>
        <v>0.56999999999999973</v>
      </c>
    </row>
    <row r="71" spans="1:216" x14ac:dyDescent="0.3">
      <c r="A71" s="2">
        <v>9</v>
      </c>
      <c r="C71" s="38" t="s">
        <v>154</v>
      </c>
      <c r="D71" s="42">
        <v>0</v>
      </c>
      <c r="E71" s="86">
        <f>TRUNC(+D71*3.3058,-1)</f>
        <v>0</v>
      </c>
      <c r="H71" s="55">
        <f t="shared" si="60"/>
        <v>0</v>
      </c>
      <c r="I71" s="55">
        <f t="shared" si="61"/>
        <v>0</v>
      </c>
      <c r="J71" s="59">
        <f t="shared" si="62"/>
        <v>0</v>
      </c>
      <c r="K71" s="55">
        <f t="shared" si="363"/>
        <v>0</v>
      </c>
      <c r="L71" s="59">
        <f t="shared" si="364"/>
        <v>0</v>
      </c>
      <c r="M71" s="55">
        <f t="shared" si="365"/>
        <v>0</v>
      </c>
      <c r="N71" s="59">
        <f t="shared" si="366"/>
        <v>0</v>
      </c>
      <c r="O71" s="55">
        <f t="shared" si="367"/>
        <v>0</v>
      </c>
      <c r="P71" s="59">
        <f t="shared" si="368"/>
        <v>0</v>
      </c>
      <c r="Q71" s="57">
        <f t="shared" si="369"/>
        <v>0</v>
      </c>
      <c r="R71" s="59">
        <f t="shared" si="370"/>
        <v>0</v>
      </c>
      <c r="S71" s="55">
        <f t="shared" si="371"/>
        <v>0</v>
      </c>
      <c r="T71" s="59">
        <f t="shared" si="372"/>
        <v>0</v>
      </c>
      <c r="U71" s="57">
        <f t="shared" si="373"/>
        <v>0</v>
      </c>
      <c r="V71" s="59">
        <f t="shared" si="374"/>
        <v>0</v>
      </c>
      <c r="W71" s="60">
        <f t="shared" si="375"/>
        <v>0</v>
      </c>
      <c r="X71" s="59">
        <f t="shared" si="376"/>
        <v>0</v>
      </c>
      <c r="Y71" s="57">
        <f t="shared" si="377"/>
        <v>0</v>
      </c>
      <c r="Z71" s="59">
        <f t="shared" si="378"/>
        <v>0</v>
      </c>
      <c r="AA71" s="55">
        <f t="shared" si="379"/>
        <v>0</v>
      </c>
      <c r="AB71" s="59">
        <f t="shared" si="380"/>
        <v>0</v>
      </c>
      <c r="AC71" s="60">
        <f t="shared" si="381"/>
        <v>0</v>
      </c>
      <c r="AD71" s="59">
        <f t="shared" si="382"/>
        <v>0</v>
      </c>
      <c r="AE71" s="60">
        <f t="shared" si="383"/>
        <v>0</v>
      </c>
      <c r="AF71" s="59">
        <f t="shared" si="384"/>
        <v>0</v>
      </c>
      <c r="AG71" s="60">
        <f t="shared" si="385"/>
        <v>0</v>
      </c>
      <c r="AH71" s="59">
        <f t="shared" si="386"/>
        <v>0</v>
      </c>
      <c r="AI71" s="55">
        <f t="shared" si="387"/>
        <v>0</v>
      </c>
      <c r="AJ71" s="59">
        <f t="shared" si="388"/>
        <v>0</v>
      </c>
      <c r="AK71" s="60">
        <f t="shared" si="389"/>
        <v>0</v>
      </c>
      <c r="AL71" s="59">
        <f t="shared" si="390"/>
        <v>0</v>
      </c>
      <c r="AM71" s="60">
        <f t="shared" si="391"/>
        <v>0</v>
      </c>
      <c r="AN71" s="59">
        <f t="shared" si="392"/>
        <v>0</v>
      </c>
      <c r="AO71" s="60">
        <f t="shared" si="393"/>
        <v>0</v>
      </c>
      <c r="AP71" s="59">
        <f t="shared" si="394"/>
        <v>0</v>
      </c>
      <c r="AQ71" s="60">
        <f t="shared" si="395"/>
        <v>0</v>
      </c>
      <c r="AR71" s="59">
        <f t="shared" si="396"/>
        <v>0</v>
      </c>
      <c r="AS71" s="55">
        <f t="shared" si="397"/>
        <v>0</v>
      </c>
      <c r="AT71" s="59">
        <f t="shared" si="398"/>
        <v>0</v>
      </c>
      <c r="AU71" s="60">
        <f t="shared" si="399"/>
        <v>0</v>
      </c>
      <c r="AV71" s="59">
        <f t="shared" si="400"/>
        <v>0</v>
      </c>
      <c r="AW71" s="60">
        <f t="shared" si="401"/>
        <v>0</v>
      </c>
      <c r="AX71" s="59">
        <f t="shared" si="402"/>
        <v>0</v>
      </c>
      <c r="AY71" s="55">
        <f t="shared" si="403"/>
        <v>0</v>
      </c>
      <c r="AZ71" s="59">
        <f t="shared" si="404"/>
        <v>0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05"/>
        <v>0.91</v>
      </c>
      <c r="BH71" s="55">
        <f t="shared" si="405"/>
        <v>0.89</v>
      </c>
      <c r="BI71" s="55">
        <f t="shared" si="405"/>
        <v>0.87</v>
      </c>
      <c r="BJ71" s="55">
        <f t="shared" si="405"/>
        <v>0.85</v>
      </c>
      <c r="BK71" s="55">
        <f t="shared" si="405"/>
        <v>0.83</v>
      </c>
      <c r="BL71" s="55">
        <f t="shared" si="405"/>
        <v>0.80999999999999994</v>
      </c>
      <c r="BM71" s="55">
        <f t="shared" si="405"/>
        <v>0.78999999999999992</v>
      </c>
      <c r="BN71" s="55">
        <f t="shared" si="405"/>
        <v>0.76999999999999991</v>
      </c>
      <c r="BO71" s="55">
        <f t="shared" si="405"/>
        <v>0.74999999999999989</v>
      </c>
      <c r="BP71" s="55">
        <f t="shared" si="405"/>
        <v>0.72999999999999987</v>
      </c>
      <c r="BQ71" s="55">
        <f t="shared" si="405"/>
        <v>0.70999999999999985</v>
      </c>
      <c r="BR71" s="55">
        <f t="shared" si="405"/>
        <v>0.68999999999999984</v>
      </c>
      <c r="BS71" s="55">
        <f t="shared" si="405"/>
        <v>0.66999999999999982</v>
      </c>
      <c r="BT71" s="55">
        <f t="shared" si="405"/>
        <v>0.6499999999999998</v>
      </c>
      <c r="BU71" s="55">
        <f t="shared" si="405"/>
        <v>0.62999999999999978</v>
      </c>
      <c r="BV71" s="55">
        <f t="shared" si="405"/>
        <v>0.60999999999999976</v>
      </c>
      <c r="BW71" s="55">
        <f t="shared" si="405"/>
        <v>0.58999999999999975</v>
      </c>
      <c r="BX71" s="55">
        <f t="shared" si="405"/>
        <v>0.56999999999999973</v>
      </c>
      <c r="BZ71" s="55">
        <f t="shared" si="87"/>
        <v>0</v>
      </c>
      <c r="CA71" s="55">
        <f t="shared" si="88"/>
        <v>0</v>
      </c>
      <c r="CB71" s="59">
        <f t="shared" si="406"/>
        <v>0</v>
      </c>
      <c r="CC71" s="55">
        <f t="shared" si="407"/>
        <v>0</v>
      </c>
      <c r="CD71" s="59">
        <f t="shared" si="408"/>
        <v>0</v>
      </c>
      <c r="CE71" s="55">
        <f t="shared" si="409"/>
        <v>0</v>
      </c>
      <c r="CF71" s="59">
        <f t="shared" si="410"/>
        <v>0</v>
      </c>
      <c r="CG71" s="55">
        <f t="shared" si="411"/>
        <v>0</v>
      </c>
      <c r="CH71" s="59">
        <f t="shared" si="412"/>
        <v>0</v>
      </c>
      <c r="CI71" s="57">
        <f t="shared" si="413"/>
        <v>0</v>
      </c>
      <c r="CJ71" s="59">
        <f t="shared" si="414"/>
        <v>0</v>
      </c>
      <c r="CK71" s="55">
        <f t="shared" si="415"/>
        <v>0</v>
      </c>
      <c r="CL71" s="59">
        <f t="shared" si="416"/>
        <v>0</v>
      </c>
      <c r="CM71" s="57">
        <f t="shared" si="417"/>
        <v>0</v>
      </c>
      <c r="CN71" s="59">
        <f t="shared" si="418"/>
        <v>0</v>
      </c>
      <c r="CO71" s="60">
        <f t="shared" si="419"/>
        <v>0</v>
      </c>
      <c r="CP71" s="59">
        <f t="shared" si="420"/>
        <v>0</v>
      </c>
      <c r="CQ71" s="57">
        <f t="shared" si="421"/>
        <v>0</v>
      </c>
      <c r="CR71" s="59">
        <f t="shared" si="422"/>
        <v>0</v>
      </c>
      <c r="CS71" s="55">
        <f t="shared" si="423"/>
        <v>0</v>
      </c>
      <c r="CT71" s="59">
        <f t="shared" si="424"/>
        <v>0</v>
      </c>
      <c r="CU71" s="60">
        <f t="shared" si="425"/>
        <v>0</v>
      </c>
      <c r="CV71" s="59">
        <f t="shared" si="426"/>
        <v>0</v>
      </c>
      <c r="CW71" s="60">
        <f t="shared" si="427"/>
        <v>0</v>
      </c>
      <c r="CX71" s="59">
        <f t="shared" si="428"/>
        <v>0</v>
      </c>
      <c r="CY71" s="60">
        <f t="shared" si="429"/>
        <v>0</v>
      </c>
      <c r="CZ71" s="59">
        <f t="shared" si="430"/>
        <v>0</v>
      </c>
      <c r="DA71" s="55">
        <f t="shared" si="431"/>
        <v>0</v>
      </c>
      <c r="DB71" s="59">
        <f t="shared" si="432"/>
        <v>0</v>
      </c>
      <c r="DC71" s="60">
        <f t="shared" si="433"/>
        <v>0</v>
      </c>
      <c r="DD71" s="59">
        <f t="shared" si="434"/>
        <v>0</v>
      </c>
      <c r="DE71" s="60">
        <f t="shared" si="435"/>
        <v>0</v>
      </c>
      <c r="DF71" s="59">
        <f t="shared" si="436"/>
        <v>0</v>
      </c>
      <c r="DG71" s="60">
        <f t="shared" si="437"/>
        <v>0</v>
      </c>
      <c r="DH71" s="59">
        <f t="shared" si="438"/>
        <v>0</v>
      </c>
      <c r="DI71" s="60">
        <f t="shared" si="439"/>
        <v>0</v>
      </c>
      <c r="DJ71" s="59">
        <f t="shared" si="440"/>
        <v>0</v>
      </c>
      <c r="DK71" s="55">
        <f t="shared" si="441"/>
        <v>0</v>
      </c>
      <c r="DL71" s="59">
        <f t="shared" si="442"/>
        <v>0</v>
      </c>
      <c r="DM71" s="60">
        <f t="shared" si="443"/>
        <v>0</v>
      </c>
      <c r="DN71" s="59">
        <f t="shared" si="444"/>
        <v>0</v>
      </c>
      <c r="DO71" s="60">
        <f t="shared" si="445"/>
        <v>0</v>
      </c>
      <c r="DP71" s="59">
        <f t="shared" si="446"/>
        <v>0</v>
      </c>
      <c r="DQ71" s="55">
        <f t="shared" si="447"/>
        <v>0</v>
      </c>
      <c r="DR71" s="59">
        <f t="shared" si="448"/>
        <v>0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494"/>
        <v>0.91</v>
      </c>
      <c r="DZ71" s="55">
        <f t="shared" si="494"/>
        <v>0.89</v>
      </c>
      <c r="EA71" s="55">
        <f t="shared" si="494"/>
        <v>0.87</v>
      </c>
      <c r="EB71" s="55">
        <f t="shared" si="494"/>
        <v>0.85</v>
      </c>
      <c r="EC71" s="55">
        <f t="shared" si="494"/>
        <v>0.83</v>
      </c>
      <c r="ED71" s="55">
        <f t="shared" si="494"/>
        <v>0.80999999999999994</v>
      </c>
      <c r="EE71" s="55">
        <f t="shared" si="494"/>
        <v>0.78999999999999992</v>
      </c>
      <c r="EF71" s="55">
        <f t="shared" si="494"/>
        <v>0.76999999999999991</v>
      </c>
      <c r="EG71" s="55">
        <f t="shared" si="494"/>
        <v>0.74999999999999989</v>
      </c>
      <c r="EH71" s="55">
        <f t="shared" si="494"/>
        <v>0.72999999999999987</v>
      </c>
      <c r="EI71" s="55">
        <f t="shared" si="494"/>
        <v>0.70999999999999985</v>
      </c>
      <c r="EJ71" s="55">
        <f t="shared" si="494"/>
        <v>0.68999999999999984</v>
      </c>
      <c r="EK71" s="55">
        <f t="shared" si="494"/>
        <v>0.66999999999999982</v>
      </c>
      <c r="EL71" s="55">
        <f t="shared" si="494"/>
        <v>0.6499999999999998</v>
      </c>
      <c r="EM71" s="55">
        <f t="shared" si="494"/>
        <v>0.62999999999999978</v>
      </c>
      <c r="EN71" s="55">
        <f t="shared" si="494"/>
        <v>0.60999999999999976</v>
      </c>
      <c r="EO71" s="55">
        <f t="shared" si="494"/>
        <v>0.58999999999999975</v>
      </c>
      <c r="EP71" s="55">
        <f t="shared" si="494"/>
        <v>0.56999999999999973</v>
      </c>
      <c r="ER71" s="55">
        <f t="shared" si="141"/>
        <v>0</v>
      </c>
      <c r="ES71" s="55">
        <f t="shared" si="115"/>
        <v>0</v>
      </c>
      <c r="ET71" s="59">
        <f t="shared" si="450"/>
        <v>0</v>
      </c>
      <c r="EU71" s="55">
        <f t="shared" si="451"/>
        <v>0</v>
      </c>
      <c r="EV71" s="59">
        <f t="shared" si="452"/>
        <v>0</v>
      </c>
      <c r="EW71" s="55">
        <f t="shared" si="453"/>
        <v>0</v>
      </c>
      <c r="EX71" s="59">
        <f t="shared" si="454"/>
        <v>0</v>
      </c>
      <c r="EY71" s="55">
        <f t="shared" si="455"/>
        <v>0</v>
      </c>
      <c r="EZ71" s="59">
        <f t="shared" si="456"/>
        <v>0</v>
      </c>
      <c r="FA71" s="57">
        <f t="shared" si="457"/>
        <v>0</v>
      </c>
      <c r="FB71" s="59">
        <f t="shared" si="458"/>
        <v>0</v>
      </c>
      <c r="FC71" s="55">
        <f t="shared" si="459"/>
        <v>0</v>
      </c>
      <c r="FD71" s="59">
        <f t="shared" si="460"/>
        <v>0</v>
      </c>
      <c r="FE71" s="57">
        <f t="shared" si="461"/>
        <v>0</v>
      </c>
      <c r="FF71" s="59">
        <f t="shared" si="462"/>
        <v>0</v>
      </c>
      <c r="FG71" s="60">
        <f t="shared" si="463"/>
        <v>0</v>
      </c>
      <c r="FH71" s="59">
        <f t="shared" si="464"/>
        <v>0</v>
      </c>
      <c r="FI71" s="57">
        <f t="shared" si="465"/>
        <v>0</v>
      </c>
      <c r="FJ71" s="59">
        <f t="shared" si="466"/>
        <v>0</v>
      </c>
      <c r="FK71" s="55">
        <f t="shared" si="467"/>
        <v>0</v>
      </c>
      <c r="FL71" s="59">
        <f t="shared" si="468"/>
        <v>0</v>
      </c>
      <c r="FM71" s="60">
        <f t="shared" si="469"/>
        <v>0</v>
      </c>
      <c r="FN71" s="59">
        <f t="shared" si="470"/>
        <v>0</v>
      </c>
      <c r="FO71" s="60">
        <f t="shared" si="471"/>
        <v>0</v>
      </c>
      <c r="FP71" s="59">
        <f t="shared" si="472"/>
        <v>0</v>
      </c>
      <c r="FQ71" s="60">
        <f t="shared" si="473"/>
        <v>0</v>
      </c>
      <c r="FR71" s="59">
        <f t="shared" si="474"/>
        <v>0</v>
      </c>
      <c r="FS71" s="55">
        <f t="shared" si="475"/>
        <v>0</v>
      </c>
      <c r="FT71" s="59">
        <f t="shared" si="476"/>
        <v>0</v>
      </c>
      <c r="FU71" s="60">
        <f t="shared" si="477"/>
        <v>0</v>
      </c>
      <c r="FV71" s="59">
        <f t="shared" si="478"/>
        <v>0</v>
      </c>
      <c r="FW71" s="60">
        <f t="shared" si="479"/>
        <v>0</v>
      </c>
      <c r="FX71" s="59">
        <f t="shared" si="480"/>
        <v>0</v>
      </c>
      <c r="FY71" s="60">
        <f t="shared" si="481"/>
        <v>0</v>
      </c>
      <c r="FZ71" s="59">
        <f t="shared" si="482"/>
        <v>0</v>
      </c>
      <c r="GA71" s="60">
        <f t="shared" si="483"/>
        <v>0</v>
      </c>
      <c r="GB71" s="59">
        <f t="shared" si="484"/>
        <v>0</v>
      </c>
      <c r="GC71" s="55">
        <f t="shared" si="485"/>
        <v>0</v>
      </c>
      <c r="GD71" s="59">
        <f t="shared" si="486"/>
        <v>0</v>
      </c>
      <c r="GE71" s="60">
        <f t="shared" si="487"/>
        <v>0</v>
      </c>
      <c r="GF71" s="59">
        <f t="shared" si="488"/>
        <v>0</v>
      </c>
      <c r="GG71" s="60">
        <f t="shared" si="489"/>
        <v>0</v>
      </c>
      <c r="GH71" s="59">
        <f t="shared" si="490"/>
        <v>0</v>
      </c>
      <c r="GI71" s="55">
        <f t="shared" si="491"/>
        <v>0</v>
      </c>
      <c r="GJ71" s="59">
        <f t="shared" si="492"/>
        <v>0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495"/>
        <v>0.91</v>
      </c>
      <c r="GR71" s="55">
        <f t="shared" si="495"/>
        <v>0.89</v>
      </c>
      <c r="GS71" s="55">
        <f t="shared" si="495"/>
        <v>0.87</v>
      </c>
      <c r="GT71" s="55">
        <f t="shared" si="495"/>
        <v>0.85</v>
      </c>
      <c r="GU71" s="55">
        <f t="shared" si="495"/>
        <v>0.83</v>
      </c>
      <c r="GV71" s="55">
        <f t="shared" si="495"/>
        <v>0.80999999999999994</v>
      </c>
      <c r="GW71" s="55">
        <f t="shared" si="495"/>
        <v>0.78999999999999992</v>
      </c>
      <c r="GX71" s="55">
        <f t="shared" si="495"/>
        <v>0.76999999999999991</v>
      </c>
      <c r="GY71" s="55">
        <f t="shared" si="495"/>
        <v>0.74999999999999989</v>
      </c>
      <c r="GZ71" s="55">
        <f t="shared" si="495"/>
        <v>0.72999999999999987</v>
      </c>
      <c r="HA71" s="55">
        <f t="shared" si="495"/>
        <v>0.70999999999999985</v>
      </c>
      <c r="HB71" s="55">
        <f t="shared" si="495"/>
        <v>0.68999999999999984</v>
      </c>
      <c r="HC71" s="55">
        <f t="shared" si="495"/>
        <v>0.66999999999999982</v>
      </c>
      <c r="HD71" s="55">
        <f t="shared" si="495"/>
        <v>0.6499999999999998</v>
      </c>
      <c r="HE71" s="55">
        <f t="shared" si="495"/>
        <v>0.62999999999999978</v>
      </c>
      <c r="HF71" s="55">
        <f t="shared" si="495"/>
        <v>0.60999999999999976</v>
      </c>
      <c r="HG71" s="55">
        <f t="shared" si="495"/>
        <v>0.58999999999999975</v>
      </c>
      <c r="HH71" s="55">
        <f t="shared" si="495"/>
        <v>0.56999999999999973</v>
      </c>
    </row>
    <row r="72" spans="1:216" x14ac:dyDescent="0.3">
      <c r="A72" s="2">
        <v>10</v>
      </c>
      <c r="C72" s="38" t="s">
        <v>138</v>
      </c>
      <c r="D72" s="42">
        <v>0</v>
      </c>
      <c r="E72" s="86">
        <f>TRUNC(+D72*3.3058,-1)</f>
        <v>0</v>
      </c>
      <c r="H72" s="55">
        <f t="shared" si="60"/>
        <v>0</v>
      </c>
      <c r="I72" s="55">
        <f t="shared" si="61"/>
        <v>0</v>
      </c>
      <c r="J72" s="59">
        <f t="shared" si="62"/>
        <v>0</v>
      </c>
      <c r="K72" s="55">
        <f t="shared" si="363"/>
        <v>0</v>
      </c>
      <c r="L72" s="59">
        <f t="shared" si="364"/>
        <v>0</v>
      </c>
      <c r="M72" s="55">
        <f t="shared" si="365"/>
        <v>0</v>
      </c>
      <c r="N72" s="59">
        <f t="shared" si="366"/>
        <v>0</v>
      </c>
      <c r="O72" s="55">
        <f t="shared" si="367"/>
        <v>0</v>
      </c>
      <c r="P72" s="59">
        <f t="shared" si="368"/>
        <v>0</v>
      </c>
      <c r="Q72" s="57">
        <f t="shared" si="369"/>
        <v>0</v>
      </c>
      <c r="R72" s="59">
        <f t="shared" si="370"/>
        <v>0</v>
      </c>
      <c r="S72" s="55">
        <f t="shared" si="371"/>
        <v>0</v>
      </c>
      <c r="T72" s="59">
        <f t="shared" si="372"/>
        <v>0</v>
      </c>
      <c r="U72" s="57">
        <f t="shared" si="373"/>
        <v>0</v>
      </c>
      <c r="V72" s="59">
        <f t="shared" si="374"/>
        <v>0</v>
      </c>
      <c r="W72" s="60">
        <f t="shared" si="375"/>
        <v>0</v>
      </c>
      <c r="X72" s="59">
        <f t="shared" si="376"/>
        <v>0</v>
      </c>
      <c r="Y72" s="57">
        <f t="shared" si="377"/>
        <v>0</v>
      </c>
      <c r="Z72" s="59">
        <f t="shared" si="378"/>
        <v>0</v>
      </c>
      <c r="AA72" s="55">
        <f t="shared" si="379"/>
        <v>0</v>
      </c>
      <c r="AB72" s="59">
        <f t="shared" si="380"/>
        <v>0</v>
      </c>
      <c r="AC72" s="60">
        <f t="shared" si="381"/>
        <v>0</v>
      </c>
      <c r="AD72" s="59">
        <f t="shared" si="382"/>
        <v>0</v>
      </c>
      <c r="AE72" s="60">
        <f t="shared" si="383"/>
        <v>0</v>
      </c>
      <c r="AF72" s="59">
        <f t="shared" si="384"/>
        <v>0</v>
      </c>
      <c r="AG72" s="60">
        <f t="shared" si="385"/>
        <v>0</v>
      </c>
      <c r="AH72" s="59">
        <f t="shared" si="386"/>
        <v>0</v>
      </c>
      <c r="AI72" s="55">
        <f t="shared" si="387"/>
        <v>0</v>
      </c>
      <c r="AJ72" s="59">
        <f t="shared" si="388"/>
        <v>0</v>
      </c>
      <c r="AK72" s="60">
        <f t="shared" si="389"/>
        <v>0</v>
      </c>
      <c r="AL72" s="59">
        <f t="shared" si="390"/>
        <v>0</v>
      </c>
      <c r="AM72" s="60">
        <f t="shared" si="391"/>
        <v>0</v>
      </c>
      <c r="AN72" s="59">
        <f t="shared" si="392"/>
        <v>0</v>
      </c>
      <c r="AO72" s="60">
        <f t="shared" si="393"/>
        <v>0</v>
      </c>
      <c r="AP72" s="59">
        <f t="shared" si="394"/>
        <v>0</v>
      </c>
      <c r="AQ72" s="60">
        <f t="shared" si="395"/>
        <v>0</v>
      </c>
      <c r="AR72" s="59">
        <f t="shared" si="396"/>
        <v>0</v>
      </c>
      <c r="AS72" s="55">
        <f t="shared" si="397"/>
        <v>0</v>
      </c>
      <c r="AT72" s="59">
        <f t="shared" si="398"/>
        <v>0</v>
      </c>
      <c r="AU72" s="60">
        <f t="shared" si="399"/>
        <v>0</v>
      </c>
      <c r="AV72" s="59">
        <f t="shared" si="400"/>
        <v>0</v>
      </c>
      <c r="AW72" s="60">
        <f t="shared" si="401"/>
        <v>0</v>
      </c>
      <c r="AX72" s="59">
        <f t="shared" si="402"/>
        <v>0</v>
      </c>
      <c r="AY72" s="55">
        <f t="shared" si="403"/>
        <v>0</v>
      </c>
      <c r="AZ72" s="59">
        <f t="shared" si="404"/>
        <v>0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05"/>
        <v>0.91</v>
      </c>
      <c r="BH72" s="55">
        <f t="shared" si="405"/>
        <v>0.89</v>
      </c>
      <c r="BI72" s="55">
        <f t="shared" si="405"/>
        <v>0.87</v>
      </c>
      <c r="BJ72" s="55">
        <f t="shared" si="405"/>
        <v>0.85</v>
      </c>
      <c r="BK72" s="55">
        <f t="shared" si="405"/>
        <v>0.83</v>
      </c>
      <c r="BL72" s="55">
        <f t="shared" si="405"/>
        <v>0.80999999999999994</v>
      </c>
      <c r="BM72" s="55">
        <f t="shared" si="405"/>
        <v>0.78999999999999992</v>
      </c>
      <c r="BN72" s="55">
        <f t="shared" si="405"/>
        <v>0.76999999999999991</v>
      </c>
      <c r="BO72" s="55">
        <f t="shared" si="405"/>
        <v>0.74999999999999989</v>
      </c>
      <c r="BP72" s="55">
        <f t="shared" si="405"/>
        <v>0.72999999999999987</v>
      </c>
      <c r="BQ72" s="55">
        <f t="shared" si="405"/>
        <v>0.70999999999999985</v>
      </c>
      <c r="BR72" s="55">
        <f t="shared" si="405"/>
        <v>0.68999999999999984</v>
      </c>
      <c r="BS72" s="55">
        <f t="shared" si="405"/>
        <v>0.66999999999999982</v>
      </c>
      <c r="BT72" s="55">
        <f t="shared" si="405"/>
        <v>0.6499999999999998</v>
      </c>
      <c r="BU72" s="55">
        <f t="shared" si="405"/>
        <v>0.62999999999999978</v>
      </c>
      <c r="BV72" s="55">
        <f t="shared" si="405"/>
        <v>0.60999999999999976</v>
      </c>
      <c r="BW72" s="55">
        <f t="shared" si="405"/>
        <v>0.58999999999999975</v>
      </c>
      <c r="BX72" s="55">
        <f t="shared" si="405"/>
        <v>0.56999999999999973</v>
      </c>
      <c r="BZ72" s="55">
        <f t="shared" si="87"/>
        <v>0</v>
      </c>
      <c r="CA72" s="55">
        <f t="shared" si="88"/>
        <v>0</v>
      </c>
      <c r="CB72" s="59">
        <f t="shared" si="406"/>
        <v>0</v>
      </c>
      <c r="CC72" s="55">
        <f t="shared" si="407"/>
        <v>0</v>
      </c>
      <c r="CD72" s="59">
        <f t="shared" si="408"/>
        <v>0</v>
      </c>
      <c r="CE72" s="55">
        <f t="shared" si="409"/>
        <v>0</v>
      </c>
      <c r="CF72" s="59">
        <f t="shared" si="410"/>
        <v>0</v>
      </c>
      <c r="CG72" s="55">
        <f t="shared" si="411"/>
        <v>0</v>
      </c>
      <c r="CH72" s="59">
        <f t="shared" si="412"/>
        <v>0</v>
      </c>
      <c r="CI72" s="57">
        <f t="shared" si="413"/>
        <v>0</v>
      </c>
      <c r="CJ72" s="59">
        <f t="shared" si="414"/>
        <v>0</v>
      </c>
      <c r="CK72" s="55">
        <f t="shared" si="415"/>
        <v>0</v>
      </c>
      <c r="CL72" s="59">
        <f t="shared" si="416"/>
        <v>0</v>
      </c>
      <c r="CM72" s="57">
        <f t="shared" si="417"/>
        <v>0</v>
      </c>
      <c r="CN72" s="59">
        <f t="shared" si="418"/>
        <v>0</v>
      </c>
      <c r="CO72" s="60">
        <f t="shared" si="419"/>
        <v>0</v>
      </c>
      <c r="CP72" s="59">
        <f t="shared" si="420"/>
        <v>0</v>
      </c>
      <c r="CQ72" s="57">
        <f t="shared" si="421"/>
        <v>0</v>
      </c>
      <c r="CR72" s="59">
        <f t="shared" si="422"/>
        <v>0</v>
      </c>
      <c r="CS72" s="55">
        <f t="shared" si="423"/>
        <v>0</v>
      </c>
      <c r="CT72" s="59">
        <f t="shared" si="424"/>
        <v>0</v>
      </c>
      <c r="CU72" s="60">
        <f t="shared" si="425"/>
        <v>0</v>
      </c>
      <c r="CV72" s="59">
        <f t="shared" si="426"/>
        <v>0</v>
      </c>
      <c r="CW72" s="60">
        <f t="shared" si="427"/>
        <v>0</v>
      </c>
      <c r="CX72" s="59">
        <f t="shared" si="428"/>
        <v>0</v>
      </c>
      <c r="CY72" s="60">
        <f t="shared" si="429"/>
        <v>0</v>
      </c>
      <c r="CZ72" s="59">
        <f t="shared" si="430"/>
        <v>0</v>
      </c>
      <c r="DA72" s="55">
        <f t="shared" si="431"/>
        <v>0</v>
      </c>
      <c r="DB72" s="59">
        <f t="shared" si="432"/>
        <v>0</v>
      </c>
      <c r="DC72" s="60">
        <f t="shared" si="433"/>
        <v>0</v>
      </c>
      <c r="DD72" s="59">
        <f t="shared" si="434"/>
        <v>0</v>
      </c>
      <c r="DE72" s="60">
        <f t="shared" si="435"/>
        <v>0</v>
      </c>
      <c r="DF72" s="59">
        <f t="shared" si="436"/>
        <v>0</v>
      </c>
      <c r="DG72" s="60">
        <f t="shared" si="437"/>
        <v>0</v>
      </c>
      <c r="DH72" s="59">
        <f t="shared" si="438"/>
        <v>0</v>
      </c>
      <c r="DI72" s="60">
        <f t="shared" si="439"/>
        <v>0</v>
      </c>
      <c r="DJ72" s="59">
        <f t="shared" si="440"/>
        <v>0</v>
      </c>
      <c r="DK72" s="55">
        <f t="shared" si="441"/>
        <v>0</v>
      </c>
      <c r="DL72" s="59">
        <f t="shared" si="442"/>
        <v>0</v>
      </c>
      <c r="DM72" s="60">
        <f t="shared" si="443"/>
        <v>0</v>
      </c>
      <c r="DN72" s="59">
        <f t="shared" si="444"/>
        <v>0</v>
      </c>
      <c r="DO72" s="60">
        <f t="shared" si="445"/>
        <v>0</v>
      </c>
      <c r="DP72" s="59">
        <f t="shared" si="446"/>
        <v>0</v>
      </c>
      <c r="DQ72" s="55">
        <f t="shared" si="447"/>
        <v>0</v>
      </c>
      <c r="DR72" s="59">
        <f t="shared" si="448"/>
        <v>0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494"/>
        <v>0.91</v>
      </c>
      <c r="DZ72" s="55">
        <f t="shared" si="494"/>
        <v>0.89</v>
      </c>
      <c r="EA72" s="55">
        <f t="shared" si="494"/>
        <v>0.87</v>
      </c>
      <c r="EB72" s="55">
        <f t="shared" si="494"/>
        <v>0.85</v>
      </c>
      <c r="EC72" s="55">
        <f t="shared" si="494"/>
        <v>0.83</v>
      </c>
      <c r="ED72" s="55">
        <f t="shared" si="494"/>
        <v>0.80999999999999994</v>
      </c>
      <c r="EE72" s="55">
        <f t="shared" si="494"/>
        <v>0.78999999999999992</v>
      </c>
      <c r="EF72" s="55">
        <f t="shared" si="494"/>
        <v>0.76999999999999991</v>
      </c>
      <c r="EG72" s="55">
        <f t="shared" si="494"/>
        <v>0.74999999999999989</v>
      </c>
      <c r="EH72" s="55">
        <f t="shared" si="494"/>
        <v>0.72999999999999987</v>
      </c>
      <c r="EI72" s="55">
        <f t="shared" si="494"/>
        <v>0.70999999999999985</v>
      </c>
      <c r="EJ72" s="55">
        <f t="shared" si="494"/>
        <v>0.68999999999999984</v>
      </c>
      <c r="EK72" s="55">
        <f t="shared" si="494"/>
        <v>0.66999999999999982</v>
      </c>
      <c r="EL72" s="55">
        <f t="shared" si="494"/>
        <v>0.6499999999999998</v>
      </c>
      <c r="EM72" s="55">
        <f t="shared" si="494"/>
        <v>0.62999999999999978</v>
      </c>
      <c r="EN72" s="55">
        <f t="shared" si="494"/>
        <v>0.60999999999999976</v>
      </c>
      <c r="EO72" s="55">
        <f t="shared" si="494"/>
        <v>0.58999999999999975</v>
      </c>
      <c r="EP72" s="55">
        <f t="shared" si="494"/>
        <v>0.56999999999999973</v>
      </c>
      <c r="ER72" s="55">
        <f t="shared" si="141"/>
        <v>0</v>
      </c>
      <c r="ES72" s="55">
        <f t="shared" si="115"/>
        <v>0</v>
      </c>
      <c r="ET72" s="59">
        <f t="shared" si="450"/>
        <v>0</v>
      </c>
      <c r="EU72" s="55">
        <f t="shared" si="451"/>
        <v>0</v>
      </c>
      <c r="EV72" s="59">
        <f t="shared" si="452"/>
        <v>0</v>
      </c>
      <c r="EW72" s="55">
        <f t="shared" si="453"/>
        <v>0</v>
      </c>
      <c r="EX72" s="59">
        <f t="shared" si="454"/>
        <v>0</v>
      </c>
      <c r="EY72" s="55">
        <f t="shared" si="455"/>
        <v>0</v>
      </c>
      <c r="EZ72" s="59">
        <f t="shared" si="456"/>
        <v>0</v>
      </c>
      <c r="FA72" s="57">
        <f t="shared" si="457"/>
        <v>0</v>
      </c>
      <c r="FB72" s="59">
        <f t="shared" si="458"/>
        <v>0</v>
      </c>
      <c r="FC72" s="55">
        <f t="shared" si="459"/>
        <v>0</v>
      </c>
      <c r="FD72" s="59">
        <f t="shared" si="460"/>
        <v>0</v>
      </c>
      <c r="FE72" s="57">
        <f t="shared" si="461"/>
        <v>0</v>
      </c>
      <c r="FF72" s="59">
        <f t="shared" si="462"/>
        <v>0</v>
      </c>
      <c r="FG72" s="60">
        <f t="shared" si="463"/>
        <v>0</v>
      </c>
      <c r="FH72" s="59">
        <f t="shared" si="464"/>
        <v>0</v>
      </c>
      <c r="FI72" s="57">
        <f t="shared" si="465"/>
        <v>0</v>
      </c>
      <c r="FJ72" s="59">
        <f t="shared" si="466"/>
        <v>0</v>
      </c>
      <c r="FK72" s="55">
        <f t="shared" si="467"/>
        <v>0</v>
      </c>
      <c r="FL72" s="59">
        <f t="shared" si="468"/>
        <v>0</v>
      </c>
      <c r="FM72" s="60">
        <f t="shared" si="469"/>
        <v>0</v>
      </c>
      <c r="FN72" s="59">
        <f t="shared" si="470"/>
        <v>0</v>
      </c>
      <c r="FO72" s="60">
        <f t="shared" si="471"/>
        <v>0</v>
      </c>
      <c r="FP72" s="59">
        <f t="shared" si="472"/>
        <v>0</v>
      </c>
      <c r="FQ72" s="60">
        <f t="shared" si="473"/>
        <v>0</v>
      </c>
      <c r="FR72" s="59">
        <f t="shared" si="474"/>
        <v>0</v>
      </c>
      <c r="FS72" s="55">
        <f t="shared" si="475"/>
        <v>0</v>
      </c>
      <c r="FT72" s="59">
        <f t="shared" si="476"/>
        <v>0</v>
      </c>
      <c r="FU72" s="60">
        <f t="shared" si="477"/>
        <v>0</v>
      </c>
      <c r="FV72" s="59">
        <f t="shared" si="478"/>
        <v>0</v>
      </c>
      <c r="FW72" s="60">
        <f t="shared" si="479"/>
        <v>0</v>
      </c>
      <c r="FX72" s="59">
        <f t="shared" si="480"/>
        <v>0</v>
      </c>
      <c r="FY72" s="60">
        <f t="shared" si="481"/>
        <v>0</v>
      </c>
      <c r="FZ72" s="59">
        <f t="shared" si="482"/>
        <v>0</v>
      </c>
      <c r="GA72" s="60">
        <f t="shared" si="483"/>
        <v>0</v>
      </c>
      <c r="GB72" s="59">
        <f t="shared" si="484"/>
        <v>0</v>
      </c>
      <c r="GC72" s="55">
        <f t="shared" si="485"/>
        <v>0</v>
      </c>
      <c r="GD72" s="59">
        <f t="shared" si="486"/>
        <v>0</v>
      </c>
      <c r="GE72" s="60">
        <f t="shared" si="487"/>
        <v>0</v>
      </c>
      <c r="GF72" s="59">
        <f t="shared" si="488"/>
        <v>0</v>
      </c>
      <c r="GG72" s="60">
        <f t="shared" si="489"/>
        <v>0</v>
      </c>
      <c r="GH72" s="59">
        <f t="shared" si="490"/>
        <v>0</v>
      </c>
      <c r="GI72" s="55">
        <f t="shared" si="491"/>
        <v>0</v>
      </c>
      <c r="GJ72" s="59">
        <f t="shared" si="492"/>
        <v>0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495"/>
        <v>0.91</v>
      </c>
      <c r="GR72" s="55">
        <f t="shared" si="495"/>
        <v>0.89</v>
      </c>
      <c r="GS72" s="55">
        <f t="shared" si="495"/>
        <v>0.87</v>
      </c>
      <c r="GT72" s="55">
        <f t="shared" si="495"/>
        <v>0.85</v>
      </c>
      <c r="GU72" s="55">
        <f t="shared" si="495"/>
        <v>0.83</v>
      </c>
      <c r="GV72" s="55">
        <f t="shared" si="495"/>
        <v>0.80999999999999994</v>
      </c>
      <c r="GW72" s="55">
        <f t="shared" si="495"/>
        <v>0.78999999999999992</v>
      </c>
      <c r="GX72" s="55">
        <f t="shared" si="495"/>
        <v>0.76999999999999991</v>
      </c>
      <c r="GY72" s="55">
        <f t="shared" si="495"/>
        <v>0.74999999999999989</v>
      </c>
      <c r="GZ72" s="55">
        <f t="shared" si="495"/>
        <v>0.72999999999999987</v>
      </c>
      <c r="HA72" s="55">
        <f t="shared" si="495"/>
        <v>0.70999999999999985</v>
      </c>
      <c r="HB72" s="55">
        <f t="shared" si="495"/>
        <v>0.68999999999999984</v>
      </c>
      <c r="HC72" s="55">
        <f t="shared" si="495"/>
        <v>0.66999999999999982</v>
      </c>
      <c r="HD72" s="55">
        <f t="shared" si="495"/>
        <v>0.6499999999999998</v>
      </c>
      <c r="HE72" s="55">
        <f t="shared" si="495"/>
        <v>0.62999999999999978</v>
      </c>
      <c r="HF72" s="55">
        <f t="shared" si="495"/>
        <v>0.60999999999999976</v>
      </c>
      <c r="HG72" s="55">
        <f t="shared" si="495"/>
        <v>0.58999999999999975</v>
      </c>
      <c r="HH72" s="55">
        <f t="shared" si="495"/>
        <v>0.56999999999999973</v>
      </c>
    </row>
    <row r="73" spans="1:216" x14ac:dyDescent="0.3">
      <c r="A73" s="2">
        <v>11</v>
      </c>
      <c r="C73" s="38" t="s">
        <v>134</v>
      </c>
      <c r="D73" s="42">
        <v>0</v>
      </c>
      <c r="E73" s="86">
        <f>TRUNC(+D73*3.3058,-1)</f>
        <v>0</v>
      </c>
      <c r="H73" s="55">
        <f t="shared" si="60"/>
        <v>0</v>
      </c>
      <c r="I73" s="55">
        <f t="shared" si="61"/>
        <v>0</v>
      </c>
      <c r="J73" s="59">
        <f t="shared" si="62"/>
        <v>0</v>
      </c>
      <c r="K73" s="55">
        <f t="shared" si="363"/>
        <v>0</v>
      </c>
      <c r="L73" s="59">
        <f t="shared" si="364"/>
        <v>0</v>
      </c>
      <c r="M73" s="55">
        <f t="shared" si="365"/>
        <v>0</v>
      </c>
      <c r="N73" s="59">
        <f t="shared" si="366"/>
        <v>0</v>
      </c>
      <c r="O73" s="55">
        <f t="shared" si="367"/>
        <v>0</v>
      </c>
      <c r="P73" s="59">
        <f t="shared" si="368"/>
        <v>0</v>
      </c>
      <c r="Q73" s="57">
        <f t="shared" si="369"/>
        <v>0</v>
      </c>
      <c r="R73" s="59">
        <f t="shared" si="370"/>
        <v>0</v>
      </c>
      <c r="S73" s="55">
        <f t="shared" si="371"/>
        <v>0</v>
      </c>
      <c r="T73" s="59">
        <f t="shared" si="372"/>
        <v>0</v>
      </c>
      <c r="U73" s="57">
        <f t="shared" si="373"/>
        <v>0</v>
      </c>
      <c r="V73" s="59">
        <f t="shared" si="374"/>
        <v>0</v>
      </c>
      <c r="W73" s="60">
        <f t="shared" si="375"/>
        <v>0</v>
      </c>
      <c r="X73" s="59">
        <f t="shared" si="376"/>
        <v>0</v>
      </c>
      <c r="Y73" s="57">
        <f t="shared" si="377"/>
        <v>0</v>
      </c>
      <c r="Z73" s="59">
        <f t="shared" si="378"/>
        <v>0</v>
      </c>
      <c r="AA73" s="55">
        <f t="shared" si="379"/>
        <v>0</v>
      </c>
      <c r="AB73" s="59">
        <f t="shared" si="380"/>
        <v>0</v>
      </c>
      <c r="AC73" s="60">
        <f t="shared" si="381"/>
        <v>0</v>
      </c>
      <c r="AD73" s="59">
        <f t="shared" si="382"/>
        <v>0</v>
      </c>
      <c r="AE73" s="60">
        <f t="shared" si="383"/>
        <v>0</v>
      </c>
      <c r="AF73" s="59">
        <f t="shared" si="384"/>
        <v>0</v>
      </c>
      <c r="AG73" s="60">
        <f t="shared" si="385"/>
        <v>0</v>
      </c>
      <c r="AH73" s="59">
        <f t="shared" si="386"/>
        <v>0</v>
      </c>
      <c r="AI73" s="55">
        <f t="shared" si="387"/>
        <v>0</v>
      </c>
      <c r="AJ73" s="59">
        <f t="shared" si="388"/>
        <v>0</v>
      </c>
      <c r="AK73" s="60">
        <f t="shared" si="389"/>
        <v>0</v>
      </c>
      <c r="AL73" s="59">
        <f t="shared" si="390"/>
        <v>0</v>
      </c>
      <c r="AM73" s="60">
        <f t="shared" si="391"/>
        <v>0</v>
      </c>
      <c r="AN73" s="59">
        <f t="shared" si="392"/>
        <v>0</v>
      </c>
      <c r="AO73" s="60">
        <f t="shared" si="393"/>
        <v>0</v>
      </c>
      <c r="AP73" s="59">
        <f t="shared" si="394"/>
        <v>0</v>
      </c>
      <c r="AQ73" s="60">
        <f t="shared" si="395"/>
        <v>0</v>
      </c>
      <c r="AR73" s="59">
        <f t="shared" si="396"/>
        <v>0</v>
      </c>
      <c r="AS73" s="55">
        <f t="shared" si="397"/>
        <v>0</v>
      </c>
      <c r="AT73" s="59">
        <f t="shared" si="398"/>
        <v>0</v>
      </c>
      <c r="AU73" s="60">
        <f t="shared" si="399"/>
        <v>0</v>
      </c>
      <c r="AV73" s="59">
        <f t="shared" si="400"/>
        <v>0</v>
      </c>
      <c r="AW73" s="60">
        <f t="shared" si="401"/>
        <v>0</v>
      </c>
      <c r="AX73" s="59">
        <f t="shared" si="402"/>
        <v>0</v>
      </c>
      <c r="AY73" s="55">
        <f t="shared" si="403"/>
        <v>0</v>
      </c>
      <c r="AZ73" s="59">
        <f t="shared" si="404"/>
        <v>0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05"/>
        <v>0.91</v>
      </c>
      <c r="BH73" s="55">
        <f t="shared" si="405"/>
        <v>0.89</v>
      </c>
      <c r="BI73" s="55">
        <f t="shared" si="405"/>
        <v>0.87</v>
      </c>
      <c r="BJ73" s="55">
        <f t="shared" si="405"/>
        <v>0.85</v>
      </c>
      <c r="BK73" s="55">
        <f t="shared" si="405"/>
        <v>0.83</v>
      </c>
      <c r="BL73" s="55">
        <f t="shared" si="405"/>
        <v>0.80999999999999994</v>
      </c>
      <c r="BM73" s="55">
        <f t="shared" si="405"/>
        <v>0.78999999999999992</v>
      </c>
      <c r="BN73" s="55">
        <f t="shared" si="405"/>
        <v>0.76999999999999991</v>
      </c>
      <c r="BO73" s="55">
        <f t="shared" si="405"/>
        <v>0.74999999999999989</v>
      </c>
      <c r="BP73" s="55">
        <f t="shared" si="405"/>
        <v>0.72999999999999987</v>
      </c>
      <c r="BQ73" s="55">
        <f t="shared" si="405"/>
        <v>0.70999999999999985</v>
      </c>
      <c r="BR73" s="55">
        <f t="shared" si="405"/>
        <v>0.68999999999999984</v>
      </c>
      <c r="BS73" s="55">
        <f t="shared" si="405"/>
        <v>0.66999999999999982</v>
      </c>
      <c r="BT73" s="55">
        <f t="shared" si="405"/>
        <v>0.6499999999999998</v>
      </c>
      <c r="BU73" s="55">
        <f t="shared" si="405"/>
        <v>0.62999999999999978</v>
      </c>
      <c r="BV73" s="55">
        <f t="shared" si="405"/>
        <v>0.60999999999999976</v>
      </c>
      <c r="BW73" s="55">
        <f t="shared" si="405"/>
        <v>0.58999999999999975</v>
      </c>
      <c r="BX73" s="55">
        <f t="shared" si="405"/>
        <v>0.56999999999999973</v>
      </c>
      <c r="BZ73" s="55">
        <f t="shared" si="87"/>
        <v>0</v>
      </c>
      <c r="CA73" s="55">
        <f t="shared" si="88"/>
        <v>0</v>
      </c>
      <c r="CB73" s="59">
        <f t="shared" si="406"/>
        <v>0</v>
      </c>
      <c r="CC73" s="55">
        <f t="shared" si="407"/>
        <v>0</v>
      </c>
      <c r="CD73" s="59">
        <f t="shared" si="408"/>
        <v>0</v>
      </c>
      <c r="CE73" s="55">
        <f t="shared" si="409"/>
        <v>0</v>
      </c>
      <c r="CF73" s="59">
        <f t="shared" si="410"/>
        <v>0</v>
      </c>
      <c r="CG73" s="55">
        <f t="shared" si="411"/>
        <v>0</v>
      </c>
      <c r="CH73" s="59">
        <f t="shared" si="412"/>
        <v>0</v>
      </c>
      <c r="CI73" s="57">
        <f t="shared" si="413"/>
        <v>0</v>
      </c>
      <c r="CJ73" s="59">
        <f t="shared" si="414"/>
        <v>0</v>
      </c>
      <c r="CK73" s="55">
        <f t="shared" si="415"/>
        <v>0</v>
      </c>
      <c r="CL73" s="59">
        <f t="shared" si="416"/>
        <v>0</v>
      </c>
      <c r="CM73" s="57">
        <f t="shared" si="417"/>
        <v>0</v>
      </c>
      <c r="CN73" s="59">
        <f t="shared" si="418"/>
        <v>0</v>
      </c>
      <c r="CO73" s="60">
        <f t="shared" si="419"/>
        <v>0</v>
      </c>
      <c r="CP73" s="59">
        <f t="shared" si="420"/>
        <v>0</v>
      </c>
      <c r="CQ73" s="57">
        <f t="shared" si="421"/>
        <v>0</v>
      </c>
      <c r="CR73" s="59">
        <f t="shared" si="422"/>
        <v>0</v>
      </c>
      <c r="CS73" s="55">
        <f t="shared" si="423"/>
        <v>0</v>
      </c>
      <c r="CT73" s="59">
        <f t="shared" si="424"/>
        <v>0</v>
      </c>
      <c r="CU73" s="60">
        <f t="shared" si="425"/>
        <v>0</v>
      </c>
      <c r="CV73" s="59">
        <f t="shared" si="426"/>
        <v>0</v>
      </c>
      <c r="CW73" s="60">
        <f t="shared" si="427"/>
        <v>0</v>
      </c>
      <c r="CX73" s="59">
        <f t="shared" si="428"/>
        <v>0</v>
      </c>
      <c r="CY73" s="60">
        <f t="shared" si="429"/>
        <v>0</v>
      </c>
      <c r="CZ73" s="59">
        <f t="shared" si="430"/>
        <v>0</v>
      </c>
      <c r="DA73" s="55">
        <f t="shared" si="431"/>
        <v>0</v>
      </c>
      <c r="DB73" s="59">
        <f t="shared" si="432"/>
        <v>0</v>
      </c>
      <c r="DC73" s="60">
        <f t="shared" si="433"/>
        <v>0</v>
      </c>
      <c r="DD73" s="59">
        <f t="shared" si="434"/>
        <v>0</v>
      </c>
      <c r="DE73" s="60">
        <f t="shared" si="435"/>
        <v>0</v>
      </c>
      <c r="DF73" s="59">
        <f t="shared" si="436"/>
        <v>0</v>
      </c>
      <c r="DG73" s="60">
        <f t="shared" si="437"/>
        <v>0</v>
      </c>
      <c r="DH73" s="59">
        <f t="shared" si="438"/>
        <v>0</v>
      </c>
      <c r="DI73" s="60">
        <f t="shared" si="439"/>
        <v>0</v>
      </c>
      <c r="DJ73" s="59">
        <f t="shared" si="440"/>
        <v>0</v>
      </c>
      <c r="DK73" s="55">
        <f t="shared" si="441"/>
        <v>0</v>
      </c>
      <c r="DL73" s="59">
        <f t="shared" si="442"/>
        <v>0</v>
      </c>
      <c r="DM73" s="60">
        <f t="shared" si="443"/>
        <v>0</v>
      </c>
      <c r="DN73" s="59">
        <f t="shared" si="444"/>
        <v>0</v>
      </c>
      <c r="DO73" s="60">
        <f t="shared" si="445"/>
        <v>0</v>
      </c>
      <c r="DP73" s="59">
        <f t="shared" si="446"/>
        <v>0</v>
      </c>
      <c r="DQ73" s="55">
        <f t="shared" si="447"/>
        <v>0</v>
      </c>
      <c r="DR73" s="59">
        <f t="shared" si="448"/>
        <v>0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494"/>
        <v>0.91</v>
      </c>
      <c r="DZ73" s="55">
        <f t="shared" si="494"/>
        <v>0.89</v>
      </c>
      <c r="EA73" s="55">
        <f t="shared" si="494"/>
        <v>0.87</v>
      </c>
      <c r="EB73" s="55">
        <f t="shared" si="494"/>
        <v>0.85</v>
      </c>
      <c r="EC73" s="55">
        <f t="shared" si="494"/>
        <v>0.83</v>
      </c>
      <c r="ED73" s="55">
        <f t="shared" si="494"/>
        <v>0.80999999999999994</v>
      </c>
      <c r="EE73" s="55">
        <f t="shared" si="494"/>
        <v>0.78999999999999992</v>
      </c>
      <c r="EF73" s="55">
        <f t="shared" si="494"/>
        <v>0.76999999999999991</v>
      </c>
      <c r="EG73" s="55">
        <f t="shared" si="494"/>
        <v>0.74999999999999989</v>
      </c>
      <c r="EH73" s="55">
        <f t="shared" si="494"/>
        <v>0.72999999999999987</v>
      </c>
      <c r="EI73" s="55">
        <f t="shared" si="494"/>
        <v>0.70999999999999985</v>
      </c>
      <c r="EJ73" s="55">
        <f t="shared" si="494"/>
        <v>0.68999999999999984</v>
      </c>
      <c r="EK73" s="55">
        <f t="shared" si="494"/>
        <v>0.66999999999999982</v>
      </c>
      <c r="EL73" s="55">
        <f t="shared" si="494"/>
        <v>0.6499999999999998</v>
      </c>
      <c r="EM73" s="55">
        <f t="shared" si="494"/>
        <v>0.62999999999999978</v>
      </c>
      <c r="EN73" s="55">
        <f t="shared" si="494"/>
        <v>0.60999999999999976</v>
      </c>
      <c r="EO73" s="55">
        <f t="shared" si="494"/>
        <v>0.58999999999999975</v>
      </c>
      <c r="EP73" s="55">
        <f t="shared" si="494"/>
        <v>0.56999999999999973</v>
      </c>
      <c r="ER73" s="55">
        <f t="shared" si="141"/>
        <v>0</v>
      </c>
      <c r="ES73" s="55">
        <f t="shared" si="115"/>
        <v>0</v>
      </c>
      <c r="ET73" s="59">
        <f t="shared" si="450"/>
        <v>0</v>
      </c>
      <c r="EU73" s="55">
        <f t="shared" si="451"/>
        <v>0</v>
      </c>
      <c r="EV73" s="59">
        <f t="shared" si="452"/>
        <v>0</v>
      </c>
      <c r="EW73" s="55">
        <f t="shared" si="453"/>
        <v>0</v>
      </c>
      <c r="EX73" s="59">
        <f t="shared" si="454"/>
        <v>0</v>
      </c>
      <c r="EY73" s="55">
        <f t="shared" si="455"/>
        <v>0</v>
      </c>
      <c r="EZ73" s="59">
        <f t="shared" si="456"/>
        <v>0</v>
      </c>
      <c r="FA73" s="57">
        <f t="shared" si="457"/>
        <v>0</v>
      </c>
      <c r="FB73" s="59">
        <f t="shared" si="458"/>
        <v>0</v>
      </c>
      <c r="FC73" s="55">
        <f t="shared" si="459"/>
        <v>0</v>
      </c>
      <c r="FD73" s="59">
        <f t="shared" si="460"/>
        <v>0</v>
      </c>
      <c r="FE73" s="57">
        <f t="shared" si="461"/>
        <v>0</v>
      </c>
      <c r="FF73" s="59">
        <f t="shared" si="462"/>
        <v>0</v>
      </c>
      <c r="FG73" s="60">
        <f t="shared" si="463"/>
        <v>0</v>
      </c>
      <c r="FH73" s="59">
        <f t="shared" si="464"/>
        <v>0</v>
      </c>
      <c r="FI73" s="57">
        <f t="shared" si="465"/>
        <v>0</v>
      </c>
      <c r="FJ73" s="59">
        <f t="shared" si="466"/>
        <v>0</v>
      </c>
      <c r="FK73" s="55">
        <f t="shared" si="467"/>
        <v>0</v>
      </c>
      <c r="FL73" s="59">
        <f t="shared" si="468"/>
        <v>0</v>
      </c>
      <c r="FM73" s="60">
        <f t="shared" si="469"/>
        <v>0</v>
      </c>
      <c r="FN73" s="59">
        <f t="shared" si="470"/>
        <v>0</v>
      </c>
      <c r="FO73" s="60">
        <f t="shared" si="471"/>
        <v>0</v>
      </c>
      <c r="FP73" s="59">
        <f t="shared" si="472"/>
        <v>0</v>
      </c>
      <c r="FQ73" s="60">
        <f t="shared" si="473"/>
        <v>0</v>
      </c>
      <c r="FR73" s="59">
        <f t="shared" si="474"/>
        <v>0</v>
      </c>
      <c r="FS73" s="55">
        <f t="shared" si="475"/>
        <v>0</v>
      </c>
      <c r="FT73" s="59">
        <f t="shared" si="476"/>
        <v>0</v>
      </c>
      <c r="FU73" s="60">
        <f t="shared" si="477"/>
        <v>0</v>
      </c>
      <c r="FV73" s="59">
        <f t="shared" si="478"/>
        <v>0</v>
      </c>
      <c r="FW73" s="60">
        <f t="shared" si="479"/>
        <v>0</v>
      </c>
      <c r="FX73" s="59">
        <f t="shared" si="480"/>
        <v>0</v>
      </c>
      <c r="FY73" s="60">
        <f t="shared" si="481"/>
        <v>0</v>
      </c>
      <c r="FZ73" s="59">
        <f t="shared" si="482"/>
        <v>0</v>
      </c>
      <c r="GA73" s="60">
        <f t="shared" si="483"/>
        <v>0</v>
      </c>
      <c r="GB73" s="59">
        <f t="shared" si="484"/>
        <v>0</v>
      </c>
      <c r="GC73" s="55">
        <f t="shared" si="485"/>
        <v>0</v>
      </c>
      <c r="GD73" s="59">
        <f t="shared" si="486"/>
        <v>0</v>
      </c>
      <c r="GE73" s="60">
        <f t="shared" si="487"/>
        <v>0</v>
      </c>
      <c r="GF73" s="59">
        <f t="shared" si="488"/>
        <v>0</v>
      </c>
      <c r="GG73" s="60">
        <f t="shared" si="489"/>
        <v>0</v>
      </c>
      <c r="GH73" s="59">
        <f t="shared" si="490"/>
        <v>0</v>
      </c>
      <c r="GI73" s="55">
        <f t="shared" si="491"/>
        <v>0</v>
      </c>
      <c r="GJ73" s="59">
        <f t="shared" si="492"/>
        <v>0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495"/>
        <v>0.91</v>
      </c>
      <c r="GR73" s="55">
        <f t="shared" si="495"/>
        <v>0.89</v>
      </c>
      <c r="GS73" s="55">
        <f t="shared" si="495"/>
        <v>0.87</v>
      </c>
      <c r="GT73" s="55">
        <f t="shared" si="495"/>
        <v>0.85</v>
      </c>
      <c r="GU73" s="55">
        <f t="shared" si="495"/>
        <v>0.83</v>
      </c>
      <c r="GV73" s="55">
        <f t="shared" si="495"/>
        <v>0.80999999999999994</v>
      </c>
      <c r="GW73" s="55">
        <f t="shared" si="495"/>
        <v>0.78999999999999992</v>
      </c>
      <c r="GX73" s="55">
        <f t="shared" si="495"/>
        <v>0.76999999999999991</v>
      </c>
      <c r="GY73" s="55">
        <f t="shared" si="495"/>
        <v>0.74999999999999989</v>
      </c>
      <c r="GZ73" s="55">
        <f t="shared" si="495"/>
        <v>0.72999999999999987</v>
      </c>
      <c r="HA73" s="55">
        <f t="shared" si="495"/>
        <v>0.70999999999999985</v>
      </c>
      <c r="HB73" s="55">
        <f t="shared" si="495"/>
        <v>0.68999999999999984</v>
      </c>
      <c r="HC73" s="55">
        <f t="shared" si="495"/>
        <v>0.66999999999999982</v>
      </c>
      <c r="HD73" s="55">
        <f t="shared" si="495"/>
        <v>0.6499999999999998</v>
      </c>
      <c r="HE73" s="55">
        <f t="shared" si="495"/>
        <v>0.62999999999999978</v>
      </c>
      <c r="HF73" s="55">
        <f t="shared" si="495"/>
        <v>0.60999999999999976</v>
      </c>
      <c r="HG73" s="55">
        <f t="shared" si="495"/>
        <v>0.58999999999999975</v>
      </c>
      <c r="HH73" s="55">
        <f t="shared" si="495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86">
        <f>TRUNC(+D74*3.3058,-1)</f>
        <v>0</v>
      </c>
      <c r="H74" s="55">
        <f t="shared" si="60"/>
        <v>0</v>
      </c>
      <c r="I74" s="55">
        <f t="shared" si="61"/>
        <v>0</v>
      </c>
      <c r="J74" s="59">
        <f t="shared" si="62"/>
        <v>0</v>
      </c>
      <c r="K74" s="55">
        <f t="shared" si="363"/>
        <v>0</v>
      </c>
      <c r="L74" s="59">
        <f t="shared" si="364"/>
        <v>0</v>
      </c>
      <c r="M74" s="55">
        <f t="shared" si="365"/>
        <v>0</v>
      </c>
      <c r="N74" s="59">
        <f t="shared" si="366"/>
        <v>0</v>
      </c>
      <c r="O74" s="55">
        <f t="shared" si="367"/>
        <v>0</v>
      </c>
      <c r="P74" s="59">
        <f t="shared" si="368"/>
        <v>0</v>
      </c>
      <c r="Q74" s="57">
        <f t="shared" si="369"/>
        <v>0</v>
      </c>
      <c r="R74" s="59">
        <f t="shared" si="370"/>
        <v>0</v>
      </c>
      <c r="S74" s="55">
        <f t="shared" si="371"/>
        <v>0</v>
      </c>
      <c r="T74" s="59">
        <f t="shared" si="372"/>
        <v>0</v>
      </c>
      <c r="U74" s="57">
        <f t="shared" si="373"/>
        <v>0</v>
      </c>
      <c r="V74" s="59">
        <f t="shared" si="374"/>
        <v>0</v>
      </c>
      <c r="W74" s="60">
        <f t="shared" si="375"/>
        <v>0</v>
      </c>
      <c r="X74" s="59">
        <f t="shared" si="376"/>
        <v>0</v>
      </c>
      <c r="Y74" s="57">
        <f t="shared" si="377"/>
        <v>0</v>
      </c>
      <c r="Z74" s="59">
        <f t="shared" si="378"/>
        <v>0</v>
      </c>
      <c r="AA74" s="55">
        <f t="shared" si="379"/>
        <v>0</v>
      </c>
      <c r="AB74" s="59">
        <f t="shared" si="380"/>
        <v>0</v>
      </c>
      <c r="AC74" s="60">
        <f t="shared" si="381"/>
        <v>0</v>
      </c>
      <c r="AD74" s="59">
        <f t="shared" si="382"/>
        <v>0</v>
      </c>
      <c r="AE74" s="60">
        <f t="shared" si="383"/>
        <v>0</v>
      </c>
      <c r="AF74" s="59">
        <f t="shared" si="384"/>
        <v>0</v>
      </c>
      <c r="AG74" s="60">
        <f t="shared" si="385"/>
        <v>0</v>
      </c>
      <c r="AH74" s="59">
        <f t="shared" si="386"/>
        <v>0</v>
      </c>
      <c r="AI74" s="55">
        <f t="shared" si="387"/>
        <v>0</v>
      </c>
      <c r="AJ74" s="59">
        <f t="shared" si="388"/>
        <v>0</v>
      </c>
      <c r="AK74" s="60">
        <f t="shared" si="389"/>
        <v>0</v>
      </c>
      <c r="AL74" s="59">
        <f t="shared" si="390"/>
        <v>0</v>
      </c>
      <c r="AM74" s="60">
        <f t="shared" si="391"/>
        <v>0</v>
      </c>
      <c r="AN74" s="59">
        <f t="shared" si="392"/>
        <v>0</v>
      </c>
      <c r="AO74" s="60">
        <f t="shared" si="393"/>
        <v>0</v>
      </c>
      <c r="AP74" s="59">
        <f t="shared" si="394"/>
        <v>0</v>
      </c>
      <c r="AQ74" s="60">
        <f t="shared" si="395"/>
        <v>0</v>
      </c>
      <c r="AR74" s="59">
        <f t="shared" si="396"/>
        <v>0</v>
      </c>
      <c r="AS74" s="55">
        <f t="shared" si="397"/>
        <v>0</v>
      </c>
      <c r="AT74" s="59">
        <f t="shared" si="398"/>
        <v>0</v>
      </c>
      <c r="AU74" s="60">
        <f t="shared" si="399"/>
        <v>0</v>
      </c>
      <c r="AV74" s="59">
        <f t="shared" si="400"/>
        <v>0</v>
      </c>
      <c r="AW74" s="60">
        <f t="shared" si="401"/>
        <v>0</v>
      </c>
      <c r="AX74" s="59">
        <f t="shared" si="402"/>
        <v>0</v>
      </c>
      <c r="AY74" s="55">
        <f t="shared" si="403"/>
        <v>0</v>
      </c>
      <c r="AZ74" s="59">
        <f t="shared" si="404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05"/>
        <v>0.91</v>
      </c>
      <c r="BH74" s="55">
        <f t="shared" si="405"/>
        <v>0.89</v>
      </c>
      <c r="BI74" s="55">
        <f t="shared" si="405"/>
        <v>0.87</v>
      </c>
      <c r="BJ74" s="55">
        <f t="shared" si="405"/>
        <v>0.85</v>
      </c>
      <c r="BK74" s="55">
        <f t="shared" si="405"/>
        <v>0.83</v>
      </c>
      <c r="BL74" s="55">
        <f t="shared" si="405"/>
        <v>0.80999999999999994</v>
      </c>
      <c r="BM74" s="55">
        <f t="shared" si="405"/>
        <v>0.78999999999999992</v>
      </c>
      <c r="BN74" s="55">
        <f t="shared" si="405"/>
        <v>0.76999999999999991</v>
      </c>
      <c r="BO74" s="55">
        <f t="shared" si="405"/>
        <v>0.74999999999999989</v>
      </c>
      <c r="BP74" s="55">
        <f t="shared" si="405"/>
        <v>0.72999999999999987</v>
      </c>
      <c r="BQ74" s="55">
        <f t="shared" si="405"/>
        <v>0.70999999999999985</v>
      </c>
      <c r="BR74" s="55">
        <f t="shared" si="405"/>
        <v>0.68999999999999984</v>
      </c>
      <c r="BS74" s="55">
        <f t="shared" si="405"/>
        <v>0.66999999999999982</v>
      </c>
      <c r="BT74" s="55">
        <f t="shared" si="405"/>
        <v>0.6499999999999998</v>
      </c>
      <c r="BU74" s="55">
        <f t="shared" si="405"/>
        <v>0.62999999999999978</v>
      </c>
      <c r="BV74" s="55">
        <f t="shared" si="405"/>
        <v>0.60999999999999976</v>
      </c>
      <c r="BW74" s="55">
        <f t="shared" si="405"/>
        <v>0.58999999999999975</v>
      </c>
      <c r="BX74" s="55">
        <f t="shared" si="405"/>
        <v>0.56999999999999973</v>
      </c>
      <c r="BZ74" s="55">
        <f t="shared" si="87"/>
        <v>0</v>
      </c>
      <c r="CA74" s="55">
        <f t="shared" si="88"/>
        <v>0</v>
      </c>
      <c r="CB74" s="59">
        <f t="shared" si="406"/>
        <v>0</v>
      </c>
      <c r="CC74" s="55">
        <f t="shared" si="407"/>
        <v>0</v>
      </c>
      <c r="CD74" s="59">
        <f t="shared" si="408"/>
        <v>0</v>
      </c>
      <c r="CE74" s="55">
        <f t="shared" si="409"/>
        <v>0</v>
      </c>
      <c r="CF74" s="59">
        <f t="shared" si="410"/>
        <v>0</v>
      </c>
      <c r="CG74" s="55">
        <f t="shared" si="411"/>
        <v>0</v>
      </c>
      <c r="CH74" s="59">
        <f t="shared" si="412"/>
        <v>0</v>
      </c>
      <c r="CI74" s="57">
        <f t="shared" si="413"/>
        <v>0</v>
      </c>
      <c r="CJ74" s="59">
        <f t="shared" si="414"/>
        <v>0</v>
      </c>
      <c r="CK74" s="55">
        <f t="shared" si="415"/>
        <v>0</v>
      </c>
      <c r="CL74" s="59">
        <f t="shared" si="416"/>
        <v>0</v>
      </c>
      <c r="CM74" s="57">
        <f t="shared" si="417"/>
        <v>0</v>
      </c>
      <c r="CN74" s="59">
        <f t="shared" si="418"/>
        <v>0</v>
      </c>
      <c r="CO74" s="60">
        <f t="shared" si="419"/>
        <v>0</v>
      </c>
      <c r="CP74" s="59">
        <f t="shared" si="420"/>
        <v>0</v>
      </c>
      <c r="CQ74" s="57">
        <f t="shared" si="421"/>
        <v>0</v>
      </c>
      <c r="CR74" s="59">
        <f t="shared" si="422"/>
        <v>0</v>
      </c>
      <c r="CS74" s="55">
        <f t="shared" si="423"/>
        <v>0</v>
      </c>
      <c r="CT74" s="59">
        <f t="shared" si="424"/>
        <v>0</v>
      </c>
      <c r="CU74" s="60">
        <f t="shared" si="425"/>
        <v>0</v>
      </c>
      <c r="CV74" s="59">
        <f t="shared" si="426"/>
        <v>0</v>
      </c>
      <c r="CW74" s="60">
        <f t="shared" si="427"/>
        <v>0</v>
      </c>
      <c r="CX74" s="59">
        <f t="shared" si="428"/>
        <v>0</v>
      </c>
      <c r="CY74" s="60">
        <f t="shared" si="429"/>
        <v>0</v>
      </c>
      <c r="CZ74" s="59">
        <f t="shared" si="430"/>
        <v>0</v>
      </c>
      <c r="DA74" s="55">
        <f t="shared" si="431"/>
        <v>0</v>
      </c>
      <c r="DB74" s="59">
        <f t="shared" si="432"/>
        <v>0</v>
      </c>
      <c r="DC74" s="60">
        <f t="shared" si="433"/>
        <v>0</v>
      </c>
      <c r="DD74" s="59">
        <f t="shared" si="434"/>
        <v>0</v>
      </c>
      <c r="DE74" s="60">
        <f t="shared" si="435"/>
        <v>0</v>
      </c>
      <c r="DF74" s="59">
        <f t="shared" si="436"/>
        <v>0</v>
      </c>
      <c r="DG74" s="60">
        <f t="shared" si="437"/>
        <v>0</v>
      </c>
      <c r="DH74" s="59">
        <f t="shared" si="438"/>
        <v>0</v>
      </c>
      <c r="DI74" s="60">
        <f t="shared" si="439"/>
        <v>0</v>
      </c>
      <c r="DJ74" s="59">
        <f t="shared" si="440"/>
        <v>0</v>
      </c>
      <c r="DK74" s="55">
        <f t="shared" si="441"/>
        <v>0</v>
      </c>
      <c r="DL74" s="59">
        <f t="shared" si="442"/>
        <v>0</v>
      </c>
      <c r="DM74" s="60">
        <f t="shared" si="443"/>
        <v>0</v>
      </c>
      <c r="DN74" s="59">
        <f t="shared" si="444"/>
        <v>0</v>
      </c>
      <c r="DO74" s="60">
        <f t="shared" si="445"/>
        <v>0</v>
      </c>
      <c r="DP74" s="59">
        <f t="shared" si="446"/>
        <v>0</v>
      </c>
      <c r="DQ74" s="55">
        <f t="shared" si="447"/>
        <v>0</v>
      </c>
      <c r="DR74" s="59">
        <f t="shared" si="448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494"/>
        <v>0.91</v>
      </c>
      <c r="DZ74" s="55">
        <f t="shared" si="494"/>
        <v>0.89</v>
      </c>
      <c r="EA74" s="55">
        <f t="shared" si="494"/>
        <v>0.87</v>
      </c>
      <c r="EB74" s="55">
        <f t="shared" si="494"/>
        <v>0.85</v>
      </c>
      <c r="EC74" s="55">
        <f t="shared" si="494"/>
        <v>0.83</v>
      </c>
      <c r="ED74" s="55">
        <f t="shared" si="494"/>
        <v>0.80999999999999994</v>
      </c>
      <c r="EE74" s="55">
        <f t="shared" si="494"/>
        <v>0.78999999999999992</v>
      </c>
      <c r="EF74" s="55">
        <f t="shared" si="494"/>
        <v>0.76999999999999991</v>
      </c>
      <c r="EG74" s="55">
        <f t="shared" si="494"/>
        <v>0.74999999999999989</v>
      </c>
      <c r="EH74" s="55">
        <f t="shared" si="494"/>
        <v>0.72999999999999987</v>
      </c>
      <c r="EI74" s="55">
        <f t="shared" si="494"/>
        <v>0.70999999999999985</v>
      </c>
      <c r="EJ74" s="55">
        <f t="shared" si="494"/>
        <v>0.68999999999999984</v>
      </c>
      <c r="EK74" s="55">
        <f t="shared" si="494"/>
        <v>0.66999999999999982</v>
      </c>
      <c r="EL74" s="55">
        <f t="shared" si="494"/>
        <v>0.6499999999999998</v>
      </c>
      <c r="EM74" s="55">
        <f t="shared" si="494"/>
        <v>0.62999999999999978</v>
      </c>
      <c r="EN74" s="55">
        <f t="shared" si="494"/>
        <v>0.60999999999999976</v>
      </c>
      <c r="EO74" s="55">
        <f t="shared" si="494"/>
        <v>0.58999999999999975</v>
      </c>
      <c r="EP74" s="55">
        <f t="shared" si="494"/>
        <v>0.56999999999999973</v>
      </c>
      <c r="ER74" s="55">
        <f t="shared" si="141"/>
        <v>0</v>
      </c>
      <c r="ES74" s="55">
        <f t="shared" si="115"/>
        <v>0</v>
      </c>
      <c r="ET74" s="59">
        <f t="shared" si="450"/>
        <v>0</v>
      </c>
      <c r="EU74" s="55">
        <f t="shared" si="451"/>
        <v>0</v>
      </c>
      <c r="EV74" s="59">
        <f t="shared" si="452"/>
        <v>0</v>
      </c>
      <c r="EW74" s="55">
        <f t="shared" si="453"/>
        <v>0</v>
      </c>
      <c r="EX74" s="59">
        <f t="shared" si="454"/>
        <v>0</v>
      </c>
      <c r="EY74" s="55">
        <f t="shared" si="455"/>
        <v>0</v>
      </c>
      <c r="EZ74" s="59">
        <f t="shared" si="456"/>
        <v>0</v>
      </c>
      <c r="FA74" s="57">
        <f t="shared" si="457"/>
        <v>0</v>
      </c>
      <c r="FB74" s="59">
        <f t="shared" si="458"/>
        <v>0</v>
      </c>
      <c r="FC74" s="55">
        <f t="shared" si="459"/>
        <v>0</v>
      </c>
      <c r="FD74" s="59">
        <f t="shared" si="460"/>
        <v>0</v>
      </c>
      <c r="FE74" s="57">
        <f t="shared" si="461"/>
        <v>0</v>
      </c>
      <c r="FF74" s="59">
        <f t="shared" si="462"/>
        <v>0</v>
      </c>
      <c r="FG74" s="60">
        <f t="shared" si="463"/>
        <v>0</v>
      </c>
      <c r="FH74" s="59">
        <f t="shared" si="464"/>
        <v>0</v>
      </c>
      <c r="FI74" s="57">
        <f t="shared" si="465"/>
        <v>0</v>
      </c>
      <c r="FJ74" s="59">
        <f t="shared" si="466"/>
        <v>0</v>
      </c>
      <c r="FK74" s="55">
        <f t="shared" si="467"/>
        <v>0</v>
      </c>
      <c r="FL74" s="59">
        <f t="shared" si="468"/>
        <v>0</v>
      </c>
      <c r="FM74" s="60">
        <f t="shared" si="469"/>
        <v>0</v>
      </c>
      <c r="FN74" s="59">
        <f t="shared" si="470"/>
        <v>0</v>
      </c>
      <c r="FO74" s="60">
        <f t="shared" si="471"/>
        <v>0</v>
      </c>
      <c r="FP74" s="59">
        <f t="shared" si="472"/>
        <v>0</v>
      </c>
      <c r="FQ74" s="60">
        <f t="shared" si="473"/>
        <v>0</v>
      </c>
      <c r="FR74" s="59">
        <f t="shared" si="474"/>
        <v>0</v>
      </c>
      <c r="FS74" s="55">
        <f t="shared" si="475"/>
        <v>0</v>
      </c>
      <c r="FT74" s="59">
        <f t="shared" si="476"/>
        <v>0</v>
      </c>
      <c r="FU74" s="60">
        <f t="shared" si="477"/>
        <v>0</v>
      </c>
      <c r="FV74" s="59">
        <f t="shared" si="478"/>
        <v>0</v>
      </c>
      <c r="FW74" s="60">
        <f t="shared" si="479"/>
        <v>0</v>
      </c>
      <c r="FX74" s="59">
        <f t="shared" si="480"/>
        <v>0</v>
      </c>
      <c r="FY74" s="60">
        <f t="shared" si="481"/>
        <v>0</v>
      </c>
      <c r="FZ74" s="59">
        <f t="shared" si="482"/>
        <v>0</v>
      </c>
      <c r="GA74" s="60">
        <f t="shared" si="483"/>
        <v>0</v>
      </c>
      <c r="GB74" s="59">
        <f t="shared" si="484"/>
        <v>0</v>
      </c>
      <c r="GC74" s="55">
        <f t="shared" si="485"/>
        <v>0</v>
      </c>
      <c r="GD74" s="59">
        <f t="shared" si="486"/>
        <v>0</v>
      </c>
      <c r="GE74" s="60">
        <f t="shared" si="487"/>
        <v>0</v>
      </c>
      <c r="GF74" s="59">
        <f t="shared" si="488"/>
        <v>0</v>
      </c>
      <c r="GG74" s="60">
        <f t="shared" si="489"/>
        <v>0</v>
      </c>
      <c r="GH74" s="59">
        <f t="shared" si="490"/>
        <v>0</v>
      </c>
      <c r="GI74" s="55">
        <f t="shared" si="491"/>
        <v>0</v>
      </c>
      <c r="GJ74" s="59">
        <f t="shared" si="492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495"/>
        <v>0.91</v>
      </c>
      <c r="GR74" s="55">
        <f t="shared" si="495"/>
        <v>0.89</v>
      </c>
      <c r="GS74" s="55">
        <f t="shared" si="495"/>
        <v>0.87</v>
      </c>
      <c r="GT74" s="55">
        <f t="shared" si="495"/>
        <v>0.85</v>
      </c>
      <c r="GU74" s="55">
        <f t="shared" si="495"/>
        <v>0.83</v>
      </c>
      <c r="GV74" s="55">
        <f t="shared" si="495"/>
        <v>0.80999999999999994</v>
      </c>
      <c r="GW74" s="55">
        <f t="shared" si="495"/>
        <v>0.78999999999999992</v>
      </c>
      <c r="GX74" s="55">
        <f t="shared" si="495"/>
        <v>0.76999999999999991</v>
      </c>
      <c r="GY74" s="55">
        <f t="shared" si="495"/>
        <v>0.74999999999999989</v>
      </c>
      <c r="GZ74" s="55">
        <f t="shared" si="495"/>
        <v>0.72999999999999987</v>
      </c>
      <c r="HA74" s="55">
        <f t="shared" si="495"/>
        <v>0.70999999999999985</v>
      </c>
      <c r="HB74" s="55">
        <f t="shared" si="495"/>
        <v>0.68999999999999984</v>
      </c>
      <c r="HC74" s="55">
        <f t="shared" si="495"/>
        <v>0.66999999999999982</v>
      </c>
      <c r="HD74" s="55">
        <f t="shared" si="495"/>
        <v>0.6499999999999998</v>
      </c>
      <c r="HE74" s="55">
        <f t="shared" si="495"/>
        <v>0.62999999999999978</v>
      </c>
      <c r="HF74" s="55">
        <f t="shared" si="495"/>
        <v>0.60999999999999976</v>
      </c>
      <c r="HG74" s="55">
        <f t="shared" si="495"/>
        <v>0.58999999999999975</v>
      </c>
      <c r="HH74" s="55">
        <f t="shared" si="495"/>
        <v>0.56999999999999973</v>
      </c>
    </row>
    <row r="75" spans="1:216" x14ac:dyDescent="0.3">
      <c r="A75" s="2">
        <v>13</v>
      </c>
      <c r="C75" s="38" t="s">
        <v>122</v>
      </c>
      <c r="D75" s="42">
        <v>0</v>
      </c>
      <c r="E75" s="86">
        <f>TRUNC(+D75*3.3058,-1)</f>
        <v>0</v>
      </c>
      <c r="H75" s="55">
        <f t="shared" si="60"/>
        <v>0</v>
      </c>
      <c r="I75" s="55">
        <f t="shared" si="61"/>
        <v>0</v>
      </c>
      <c r="J75" s="59">
        <f t="shared" si="62"/>
        <v>0</v>
      </c>
      <c r="K75" s="55">
        <f t="shared" si="363"/>
        <v>0</v>
      </c>
      <c r="L75" s="59">
        <f t="shared" si="364"/>
        <v>0</v>
      </c>
      <c r="M75" s="55">
        <f t="shared" si="365"/>
        <v>0</v>
      </c>
      <c r="N75" s="59">
        <f t="shared" si="366"/>
        <v>0</v>
      </c>
      <c r="O75" s="55">
        <f t="shared" si="367"/>
        <v>0</v>
      </c>
      <c r="P75" s="59">
        <f t="shared" si="368"/>
        <v>0</v>
      </c>
      <c r="Q75" s="57">
        <f t="shared" si="369"/>
        <v>0</v>
      </c>
      <c r="R75" s="59">
        <f t="shared" si="370"/>
        <v>0</v>
      </c>
      <c r="S75" s="55">
        <f t="shared" si="371"/>
        <v>0</v>
      </c>
      <c r="T75" s="59">
        <f t="shared" si="372"/>
        <v>0</v>
      </c>
      <c r="U75" s="57">
        <f t="shared" si="373"/>
        <v>0</v>
      </c>
      <c r="V75" s="59">
        <f t="shared" si="374"/>
        <v>0</v>
      </c>
      <c r="W75" s="60">
        <f t="shared" si="375"/>
        <v>0</v>
      </c>
      <c r="X75" s="59">
        <f t="shared" si="376"/>
        <v>0</v>
      </c>
      <c r="Y75" s="57">
        <f t="shared" si="377"/>
        <v>0</v>
      </c>
      <c r="Z75" s="59">
        <f t="shared" si="378"/>
        <v>0</v>
      </c>
      <c r="AA75" s="55">
        <f t="shared" si="379"/>
        <v>0</v>
      </c>
      <c r="AB75" s="59">
        <f t="shared" si="380"/>
        <v>0</v>
      </c>
      <c r="AC75" s="60">
        <f t="shared" si="381"/>
        <v>0</v>
      </c>
      <c r="AD75" s="59">
        <f t="shared" si="382"/>
        <v>0</v>
      </c>
      <c r="AE75" s="60">
        <f t="shared" si="383"/>
        <v>0</v>
      </c>
      <c r="AF75" s="59">
        <f t="shared" si="384"/>
        <v>0</v>
      </c>
      <c r="AG75" s="60">
        <f t="shared" si="385"/>
        <v>0</v>
      </c>
      <c r="AH75" s="59">
        <f t="shared" si="386"/>
        <v>0</v>
      </c>
      <c r="AI75" s="55">
        <f t="shared" si="387"/>
        <v>0</v>
      </c>
      <c r="AJ75" s="59">
        <f t="shared" si="388"/>
        <v>0</v>
      </c>
      <c r="AK75" s="60">
        <f t="shared" si="389"/>
        <v>0</v>
      </c>
      <c r="AL75" s="59">
        <f t="shared" si="390"/>
        <v>0</v>
      </c>
      <c r="AM75" s="60">
        <f t="shared" si="391"/>
        <v>0</v>
      </c>
      <c r="AN75" s="59">
        <f t="shared" si="392"/>
        <v>0</v>
      </c>
      <c r="AO75" s="60">
        <f t="shared" si="393"/>
        <v>0</v>
      </c>
      <c r="AP75" s="59">
        <f t="shared" si="394"/>
        <v>0</v>
      </c>
      <c r="AQ75" s="60">
        <f t="shared" si="395"/>
        <v>0</v>
      </c>
      <c r="AR75" s="59">
        <f t="shared" si="396"/>
        <v>0</v>
      </c>
      <c r="AS75" s="55">
        <f t="shared" si="397"/>
        <v>0</v>
      </c>
      <c r="AT75" s="59">
        <f t="shared" si="398"/>
        <v>0</v>
      </c>
      <c r="AU75" s="60">
        <f t="shared" si="399"/>
        <v>0</v>
      </c>
      <c r="AV75" s="59">
        <f t="shared" si="400"/>
        <v>0</v>
      </c>
      <c r="AW75" s="60">
        <f t="shared" si="401"/>
        <v>0</v>
      </c>
      <c r="AX75" s="59">
        <f t="shared" si="402"/>
        <v>0</v>
      </c>
      <c r="AY75" s="55">
        <f t="shared" si="403"/>
        <v>0</v>
      </c>
      <c r="AZ75" s="59">
        <f t="shared" si="404"/>
        <v>0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05"/>
        <v>0.91</v>
      </c>
      <c r="BH75" s="55">
        <f t="shared" si="405"/>
        <v>0.89</v>
      </c>
      <c r="BI75" s="55">
        <f t="shared" si="405"/>
        <v>0.87</v>
      </c>
      <c r="BJ75" s="55">
        <f t="shared" si="405"/>
        <v>0.85</v>
      </c>
      <c r="BK75" s="55">
        <f t="shared" si="405"/>
        <v>0.83</v>
      </c>
      <c r="BL75" s="55">
        <f t="shared" si="405"/>
        <v>0.80999999999999994</v>
      </c>
      <c r="BM75" s="55">
        <f t="shared" si="405"/>
        <v>0.78999999999999992</v>
      </c>
      <c r="BN75" s="55">
        <f t="shared" si="405"/>
        <v>0.76999999999999991</v>
      </c>
      <c r="BO75" s="55">
        <f t="shared" si="405"/>
        <v>0.74999999999999989</v>
      </c>
      <c r="BP75" s="55">
        <f t="shared" si="405"/>
        <v>0.72999999999999987</v>
      </c>
      <c r="BQ75" s="55">
        <f t="shared" si="405"/>
        <v>0.70999999999999985</v>
      </c>
      <c r="BR75" s="55">
        <f t="shared" si="405"/>
        <v>0.68999999999999984</v>
      </c>
      <c r="BS75" s="55">
        <f t="shared" si="405"/>
        <v>0.66999999999999982</v>
      </c>
      <c r="BT75" s="55">
        <f t="shared" si="405"/>
        <v>0.6499999999999998</v>
      </c>
      <c r="BU75" s="55">
        <f t="shared" si="405"/>
        <v>0.62999999999999978</v>
      </c>
      <c r="BV75" s="55">
        <f t="shared" si="405"/>
        <v>0.60999999999999976</v>
      </c>
      <c r="BW75" s="55">
        <f t="shared" si="405"/>
        <v>0.58999999999999975</v>
      </c>
      <c r="BX75" s="55">
        <f t="shared" si="405"/>
        <v>0.56999999999999973</v>
      </c>
      <c r="BZ75" s="55">
        <f t="shared" si="87"/>
        <v>0</v>
      </c>
      <c r="CA75" s="55">
        <f t="shared" si="88"/>
        <v>0</v>
      </c>
      <c r="CB75" s="59">
        <f t="shared" si="406"/>
        <v>0</v>
      </c>
      <c r="CC75" s="55">
        <f t="shared" si="407"/>
        <v>0</v>
      </c>
      <c r="CD75" s="59">
        <f t="shared" si="408"/>
        <v>0</v>
      </c>
      <c r="CE75" s="55">
        <f t="shared" si="409"/>
        <v>0</v>
      </c>
      <c r="CF75" s="59">
        <f t="shared" si="410"/>
        <v>0</v>
      </c>
      <c r="CG75" s="55">
        <f t="shared" si="411"/>
        <v>0</v>
      </c>
      <c r="CH75" s="59">
        <f t="shared" si="412"/>
        <v>0</v>
      </c>
      <c r="CI75" s="57">
        <f t="shared" si="413"/>
        <v>0</v>
      </c>
      <c r="CJ75" s="59">
        <f t="shared" si="414"/>
        <v>0</v>
      </c>
      <c r="CK75" s="55">
        <f t="shared" si="415"/>
        <v>0</v>
      </c>
      <c r="CL75" s="59">
        <f t="shared" si="416"/>
        <v>0</v>
      </c>
      <c r="CM75" s="57">
        <f t="shared" si="417"/>
        <v>0</v>
      </c>
      <c r="CN75" s="59">
        <f t="shared" si="418"/>
        <v>0</v>
      </c>
      <c r="CO75" s="60">
        <f t="shared" si="419"/>
        <v>0</v>
      </c>
      <c r="CP75" s="59">
        <f t="shared" si="420"/>
        <v>0</v>
      </c>
      <c r="CQ75" s="57">
        <f t="shared" si="421"/>
        <v>0</v>
      </c>
      <c r="CR75" s="59">
        <f t="shared" si="422"/>
        <v>0</v>
      </c>
      <c r="CS75" s="55">
        <f t="shared" si="423"/>
        <v>0</v>
      </c>
      <c r="CT75" s="59">
        <f t="shared" si="424"/>
        <v>0</v>
      </c>
      <c r="CU75" s="60">
        <f t="shared" si="425"/>
        <v>0</v>
      </c>
      <c r="CV75" s="59">
        <f t="shared" si="426"/>
        <v>0</v>
      </c>
      <c r="CW75" s="60">
        <f t="shared" si="427"/>
        <v>0</v>
      </c>
      <c r="CX75" s="59">
        <f t="shared" si="428"/>
        <v>0</v>
      </c>
      <c r="CY75" s="60">
        <f t="shared" si="429"/>
        <v>0</v>
      </c>
      <c r="CZ75" s="59">
        <f t="shared" si="430"/>
        <v>0</v>
      </c>
      <c r="DA75" s="55">
        <f t="shared" si="431"/>
        <v>0</v>
      </c>
      <c r="DB75" s="59">
        <f t="shared" si="432"/>
        <v>0</v>
      </c>
      <c r="DC75" s="60">
        <f t="shared" si="433"/>
        <v>0</v>
      </c>
      <c r="DD75" s="59">
        <f t="shared" si="434"/>
        <v>0</v>
      </c>
      <c r="DE75" s="60">
        <f t="shared" si="435"/>
        <v>0</v>
      </c>
      <c r="DF75" s="59">
        <f t="shared" si="436"/>
        <v>0</v>
      </c>
      <c r="DG75" s="60">
        <f t="shared" si="437"/>
        <v>0</v>
      </c>
      <c r="DH75" s="59">
        <f t="shared" si="438"/>
        <v>0</v>
      </c>
      <c r="DI75" s="60">
        <f t="shared" si="439"/>
        <v>0</v>
      </c>
      <c r="DJ75" s="59">
        <f t="shared" si="440"/>
        <v>0</v>
      </c>
      <c r="DK75" s="55">
        <f t="shared" si="441"/>
        <v>0</v>
      </c>
      <c r="DL75" s="59">
        <f t="shared" si="442"/>
        <v>0</v>
      </c>
      <c r="DM75" s="60">
        <f t="shared" si="443"/>
        <v>0</v>
      </c>
      <c r="DN75" s="59">
        <f t="shared" si="444"/>
        <v>0</v>
      </c>
      <c r="DO75" s="60">
        <f t="shared" si="445"/>
        <v>0</v>
      </c>
      <c r="DP75" s="59">
        <f t="shared" si="446"/>
        <v>0</v>
      </c>
      <c r="DQ75" s="55">
        <f t="shared" si="447"/>
        <v>0</v>
      </c>
      <c r="DR75" s="59">
        <f t="shared" si="448"/>
        <v>0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494"/>
        <v>0.91</v>
      </c>
      <c r="DZ75" s="55">
        <f t="shared" si="494"/>
        <v>0.89</v>
      </c>
      <c r="EA75" s="55">
        <f t="shared" si="494"/>
        <v>0.87</v>
      </c>
      <c r="EB75" s="55">
        <f t="shared" si="494"/>
        <v>0.85</v>
      </c>
      <c r="EC75" s="55">
        <f t="shared" si="494"/>
        <v>0.83</v>
      </c>
      <c r="ED75" s="55">
        <f t="shared" si="494"/>
        <v>0.80999999999999994</v>
      </c>
      <c r="EE75" s="55">
        <f t="shared" si="494"/>
        <v>0.78999999999999992</v>
      </c>
      <c r="EF75" s="55">
        <f t="shared" si="494"/>
        <v>0.76999999999999991</v>
      </c>
      <c r="EG75" s="55">
        <f t="shared" si="494"/>
        <v>0.74999999999999989</v>
      </c>
      <c r="EH75" s="55">
        <f t="shared" si="494"/>
        <v>0.72999999999999987</v>
      </c>
      <c r="EI75" s="55">
        <f t="shared" si="494"/>
        <v>0.70999999999999985</v>
      </c>
      <c r="EJ75" s="55">
        <f t="shared" si="494"/>
        <v>0.68999999999999984</v>
      </c>
      <c r="EK75" s="55">
        <f t="shared" si="494"/>
        <v>0.66999999999999982</v>
      </c>
      <c r="EL75" s="55">
        <f t="shared" si="494"/>
        <v>0.6499999999999998</v>
      </c>
      <c r="EM75" s="55">
        <f t="shared" si="494"/>
        <v>0.62999999999999978</v>
      </c>
      <c r="EN75" s="55">
        <f t="shared" si="494"/>
        <v>0.60999999999999976</v>
      </c>
      <c r="EO75" s="55">
        <f t="shared" si="494"/>
        <v>0.58999999999999975</v>
      </c>
      <c r="EP75" s="55">
        <f t="shared" si="494"/>
        <v>0.56999999999999973</v>
      </c>
      <c r="ER75" s="55">
        <f t="shared" si="141"/>
        <v>0</v>
      </c>
      <c r="ES75" s="55">
        <f t="shared" si="115"/>
        <v>0</v>
      </c>
      <c r="ET75" s="59">
        <f t="shared" si="450"/>
        <v>0</v>
      </c>
      <c r="EU75" s="55">
        <f t="shared" si="451"/>
        <v>0</v>
      </c>
      <c r="EV75" s="59">
        <f t="shared" si="452"/>
        <v>0</v>
      </c>
      <c r="EW75" s="55">
        <f t="shared" si="453"/>
        <v>0</v>
      </c>
      <c r="EX75" s="59">
        <f t="shared" si="454"/>
        <v>0</v>
      </c>
      <c r="EY75" s="55">
        <f t="shared" si="455"/>
        <v>0</v>
      </c>
      <c r="EZ75" s="59">
        <f t="shared" si="456"/>
        <v>0</v>
      </c>
      <c r="FA75" s="57">
        <f t="shared" si="457"/>
        <v>0</v>
      </c>
      <c r="FB75" s="59">
        <f t="shared" si="458"/>
        <v>0</v>
      </c>
      <c r="FC75" s="55">
        <f t="shared" si="459"/>
        <v>0</v>
      </c>
      <c r="FD75" s="59">
        <f t="shared" si="460"/>
        <v>0</v>
      </c>
      <c r="FE75" s="57">
        <f t="shared" si="461"/>
        <v>0</v>
      </c>
      <c r="FF75" s="59">
        <f t="shared" si="462"/>
        <v>0</v>
      </c>
      <c r="FG75" s="60">
        <f t="shared" si="463"/>
        <v>0</v>
      </c>
      <c r="FH75" s="59">
        <f t="shared" si="464"/>
        <v>0</v>
      </c>
      <c r="FI75" s="57">
        <f t="shared" si="465"/>
        <v>0</v>
      </c>
      <c r="FJ75" s="59">
        <f t="shared" si="466"/>
        <v>0</v>
      </c>
      <c r="FK75" s="55">
        <f t="shared" si="467"/>
        <v>0</v>
      </c>
      <c r="FL75" s="59">
        <f t="shared" si="468"/>
        <v>0</v>
      </c>
      <c r="FM75" s="60">
        <f t="shared" si="469"/>
        <v>0</v>
      </c>
      <c r="FN75" s="59">
        <f t="shared" si="470"/>
        <v>0</v>
      </c>
      <c r="FO75" s="60">
        <f t="shared" si="471"/>
        <v>0</v>
      </c>
      <c r="FP75" s="59">
        <f t="shared" si="472"/>
        <v>0</v>
      </c>
      <c r="FQ75" s="60">
        <f t="shared" si="473"/>
        <v>0</v>
      </c>
      <c r="FR75" s="59">
        <f t="shared" si="474"/>
        <v>0</v>
      </c>
      <c r="FS75" s="55">
        <f t="shared" si="475"/>
        <v>0</v>
      </c>
      <c r="FT75" s="59">
        <f t="shared" si="476"/>
        <v>0</v>
      </c>
      <c r="FU75" s="60">
        <f t="shared" si="477"/>
        <v>0</v>
      </c>
      <c r="FV75" s="59">
        <f t="shared" si="478"/>
        <v>0</v>
      </c>
      <c r="FW75" s="60">
        <f t="shared" si="479"/>
        <v>0</v>
      </c>
      <c r="FX75" s="59">
        <f t="shared" si="480"/>
        <v>0</v>
      </c>
      <c r="FY75" s="60">
        <f t="shared" si="481"/>
        <v>0</v>
      </c>
      <c r="FZ75" s="59">
        <f t="shared" si="482"/>
        <v>0</v>
      </c>
      <c r="GA75" s="60">
        <f t="shared" si="483"/>
        <v>0</v>
      </c>
      <c r="GB75" s="59">
        <f t="shared" si="484"/>
        <v>0</v>
      </c>
      <c r="GC75" s="55">
        <f t="shared" si="485"/>
        <v>0</v>
      </c>
      <c r="GD75" s="59">
        <f t="shared" si="486"/>
        <v>0</v>
      </c>
      <c r="GE75" s="60">
        <f t="shared" si="487"/>
        <v>0</v>
      </c>
      <c r="GF75" s="59">
        <f t="shared" si="488"/>
        <v>0</v>
      </c>
      <c r="GG75" s="60">
        <f t="shared" si="489"/>
        <v>0</v>
      </c>
      <c r="GH75" s="59">
        <f t="shared" si="490"/>
        <v>0</v>
      </c>
      <c r="GI75" s="55">
        <f t="shared" si="491"/>
        <v>0</v>
      </c>
      <c r="GJ75" s="59">
        <f t="shared" si="492"/>
        <v>0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495"/>
        <v>0.91</v>
      </c>
      <c r="GR75" s="55">
        <f t="shared" si="495"/>
        <v>0.89</v>
      </c>
      <c r="GS75" s="55">
        <f t="shared" si="495"/>
        <v>0.87</v>
      </c>
      <c r="GT75" s="55">
        <f t="shared" si="495"/>
        <v>0.85</v>
      </c>
      <c r="GU75" s="55">
        <f t="shared" si="495"/>
        <v>0.83</v>
      </c>
      <c r="GV75" s="55">
        <f t="shared" si="495"/>
        <v>0.80999999999999994</v>
      </c>
      <c r="GW75" s="55">
        <f t="shared" si="495"/>
        <v>0.78999999999999992</v>
      </c>
      <c r="GX75" s="55">
        <f t="shared" si="495"/>
        <v>0.76999999999999991</v>
      </c>
      <c r="GY75" s="55">
        <f t="shared" si="495"/>
        <v>0.74999999999999989</v>
      </c>
      <c r="GZ75" s="55">
        <f t="shared" si="495"/>
        <v>0.72999999999999987</v>
      </c>
      <c r="HA75" s="55">
        <f t="shared" si="495"/>
        <v>0.70999999999999985</v>
      </c>
      <c r="HB75" s="55">
        <f t="shared" si="495"/>
        <v>0.68999999999999984</v>
      </c>
      <c r="HC75" s="55">
        <f t="shared" si="495"/>
        <v>0.66999999999999982</v>
      </c>
      <c r="HD75" s="55">
        <f t="shared" si="495"/>
        <v>0.6499999999999998</v>
      </c>
      <c r="HE75" s="55">
        <f t="shared" si="495"/>
        <v>0.62999999999999978</v>
      </c>
      <c r="HF75" s="55">
        <f t="shared" si="495"/>
        <v>0.60999999999999976</v>
      </c>
      <c r="HG75" s="55">
        <f t="shared" si="495"/>
        <v>0.58999999999999975</v>
      </c>
      <c r="HH75" s="55">
        <f t="shared" si="495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86">
        <f>TRUNC(+D76*3.3058,-1)</f>
        <v>0</v>
      </c>
      <c r="H76" s="55">
        <f t="shared" si="60"/>
        <v>0</v>
      </c>
      <c r="I76" s="55">
        <f t="shared" si="61"/>
        <v>0</v>
      </c>
      <c r="J76" s="59">
        <f t="shared" si="62"/>
        <v>0</v>
      </c>
      <c r="K76" s="55">
        <f t="shared" si="363"/>
        <v>0</v>
      </c>
      <c r="L76" s="59">
        <f t="shared" si="364"/>
        <v>0</v>
      </c>
      <c r="M76" s="55">
        <f t="shared" si="365"/>
        <v>0</v>
      </c>
      <c r="N76" s="59">
        <f t="shared" si="366"/>
        <v>0</v>
      </c>
      <c r="O76" s="55">
        <f t="shared" si="367"/>
        <v>0</v>
      </c>
      <c r="P76" s="59">
        <f t="shared" si="368"/>
        <v>0</v>
      </c>
      <c r="Q76" s="57">
        <f t="shared" si="369"/>
        <v>0</v>
      </c>
      <c r="R76" s="59">
        <f t="shared" si="370"/>
        <v>0</v>
      </c>
      <c r="S76" s="55">
        <f t="shared" si="371"/>
        <v>0</v>
      </c>
      <c r="T76" s="59">
        <f t="shared" si="372"/>
        <v>0</v>
      </c>
      <c r="U76" s="57">
        <f t="shared" si="373"/>
        <v>0</v>
      </c>
      <c r="V76" s="59">
        <f t="shared" si="374"/>
        <v>0</v>
      </c>
      <c r="W76" s="60">
        <f t="shared" si="375"/>
        <v>0</v>
      </c>
      <c r="X76" s="59">
        <f t="shared" si="376"/>
        <v>0</v>
      </c>
      <c r="Y76" s="57">
        <f t="shared" si="377"/>
        <v>0</v>
      </c>
      <c r="Z76" s="59">
        <f t="shared" si="378"/>
        <v>0</v>
      </c>
      <c r="AA76" s="55">
        <f t="shared" si="379"/>
        <v>0</v>
      </c>
      <c r="AB76" s="59">
        <f t="shared" si="380"/>
        <v>0</v>
      </c>
      <c r="AC76" s="60">
        <f t="shared" si="381"/>
        <v>0</v>
      </c>
      <c r="AD76" s="59">
        <f t="shared" si="382"/>
        <v>0</v>
      </c>
      <c r="AE76" s="60">
        <f t="shared" si="383"/>
        <v>0</v>
      </c>
      <c r="AF76" s="59">
        <f t="shared" si="384"/>
        <v>0</v>
      </c>
      <c r="AG76" s="60">
        <f t="shared" si="385"/>
        <v>0</v>
      </c>
      <c r="AH76" s="59">
        <f t="shared" si="386"/>
        <v>0</v>
      </c>
      <c r="AI76" s="55">
        <f t="shared" si="387"/>
        <v>0</v>
      </c>
      <c r="AJ76" s="59">
        <f t="shared" si="388"/>
        <v>0</v>
      </c>
      <c r="AK76" s="60">
        <f t="shared" si="389"/>
        <v>0</v>
      </c>
      <c r="AL76" s="59">
        <f t="shared" si="390"/>
        <v>0</v>
      </c>
      <c r="AM76" s="60">
        <f t="shared" si="391"/>
        <v>0</v>
      </c>
      <c r="AN76" s="59">
        <f t="shared" si="392"/>
        <v>0</v>
      </c>
      <c r="AO76" s="60">
        <f t="shared" si="393"/>
        <v>0</v>
      </c>
      <c r="AP76" s="59">
        <f t="shared" si="394"/>
        <v>0</v>
      </c>
      <c r="AQ76" s="60">
        <f t="shared" si="395"/>
        <v>0</v>
      </c>
      <c r="AR76" s="59">
        <f t="shared" si="396"/>
        <v>0</v>
      </c>
      <c r="AS76" s="55">
        <f t="shared" si="397"/>
        <v>0</v>
      </c>
      <c r="AT76" s="59">
        <f t="shared" si="398"/>
        <v>0</v>
      </c>
      <c r="AU76" s="60">
        <f t="shared" si="399"/>
        <v>0</v>
      </c>
      <c r="AV76" s="59">
        <f t="shared" si="400"/>
        <v>0</v>
      </c>
      <c r="AW76" s="60">
        <f t="shared" si="401"/>
        <v>0</v>
      </c>
      <c r="AX76" s="59">
        <f t="shared" si="402"/>
        <v>0</v>
      </c>
      <c r="AY76" s="55">
        <f t="shared" si="403"/>
        <v>0</v>
      </c>
      <c r="AZ76" s="59">
        <f t="shared" si="404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05"/>
        <v>0.91</v>
      </c>
      <c r="BH76" s="55">
        <f t="shared" si="405"/>
        <v>0.89</v>
      </c>
      <c r="BI76" s="55">
        <f t="shared" si="405"/>
        <v>0.87</v>
      </c>
      <c r="BJ76" s="55">
        <f t="shared" si="405"/>
        <v>0.85</v>
      </c>
      <c r="BK76" s="55">
        <f t="shared" si="405"/>
        <v>0.83</v>
      </c>
      <c r="BL76" s="55">
        <f t="shared" si="405"/>
        <v>0.80999999999999994</v>
      </c>
      <c r="BM76" s="55">
        <f t="shared" si="405"/>
        <v>0.78999999999999992</v>
      </c>
      <c r="BN76" s="55">
        <f t="shared" si="405"/>
        <v>0.76999999999999991</v>
      </c>
      <c r="BO76" s="55">
        <f t="shared" si="405"/>
        <v>0.74999999999999989</v>
      </c>
      <c r="BP76" s="55">
        <f t="shared" si="405"/>
        <v>0.72999999999999987</v>
      </c>
      <c r="BQ76" s="55">
        <f t="shared" si="405"/>
        <v>0.70999999999999985</v>
      </c>
      <c r="BR76" s="55">
        <f t="shared" si="405"/>
        <v>0.68999999999999984</v>
      </c>
      <c r="BS76" s="55">
        <f t="shared" si="405"/>
        <v>0.66999999999999982</v>
      </c>
      <c r="BT76" s="55">
        <f t="shared" si="405"/>
        <v>0.6499999999999998</v>
      </c>
      <c r="BU76" s="55">
        <f t="shared" si="405"/>
        <v>0.62999999999999978</v>
      </c>
      <c r="BV76" s="55">
        <f t="shared" si="405"/>
        <v>0.60999999999999976</v>
      </c>
      <c r="BW76" s="55">
        <f t="shared" si="405"/>
        <v>0.58999999999999975</v>
      </c>
      <c r="BX76" s="55">
        <f t="shared" si="405"/>
        <v>0.56999999999999973</v>
      </c>
      <c r="BZ76" s="55">
        <f t="shared" si="87"/>
        <v>0</v>
      </c>
      <c r="CA76" s="55">
        <f t="shared" si="88"/>
        <v>0</v>
      </c>
      <c r="CB76" s="59">
        <f t="shared" si="406"/>
        <v>0</v>
      </c>
      <c r="CC76" s="55">
        <f t="shared" si="407"/>
        <v>0</v>
      </c>
      <c r="CD76" s="59">
        <f t="shared" si="408"/>
        <v>0</v>
      </c>
      <c r="CE76" s="55">
        <f t="shared" si="409"/>
        <v>0</v>
      </c>
      <c r="CF76" s="59">
        <f t="shared" si="410"/>
        <v>0</v>
      </c>
      <c r="CG76" s="55">
        <f t="shared" si="411"/>
        <v>0</v>
      </c>
      <c r="CH76" s="59">
        <f t="shared" si="412"/>
        <v>0</v>
      </c>
      <c r="CI76" s="57">
        <f t="shared" si="413"/>
        <v>0</v>
      </c>
      <c r="CJ76" s="59">
        <f t="shared" si="414"/>
        <v>0</v>
      </c>
      <c r="CK76" s="55">
        <f t="shared" si="415"/>
        <v>0</v>
      </c>
      <c r="CL76" s="59">
        <f t="shared" si="416"/>
        <v>0</v>
      </c>
      <c r="CM76" s="57">
        <f t="shared" si="417"/>
        <v>0</v>
      </c>
      <c r="CN76" s="59">
        <f t="shared" si="418"/>
        <v>0</v>
      </c>
      <c r="CO76" s="60">
        <f t="shared" si="419"/>
        <v>0</v>
      </c>
      <c r="CP76" s="59">
        <f t="shared" si="420"/>
        <v>0</v>
      </c>
      <c r="CQ76" s="57">
        <f t="shared" si="421"/>
        <v>0</v>
      </c>
      <c r="CR76" s="59">
        <f t="shared" si="422"/>
        <v>0</v>
      </c>
      <c r="CS76" s="55">
        <f t="shared" si="423"/>
        <v>0</v>
      </c>
      <c r="CT76" s="59">
        <f t="shared" si="424"/>
        <v>0</v>
      </c>
      <c r="CU76" s="60">
        <f t="shared" si="425"/>
        <v>0</v>
      </c>
      <c r="CV76" s="59">
        <f t="shared" si="426"/>
        <v>0</v>
      </c>
      <c r="CW76" s="60">
        <f t="shared" si="427"/>
        <v>0</v>
      </c>
      <c r="CX76" s="59">
        <f t="shared" si="428"/>
        <v>0</v>
      </c>
      <c r="CY76" s="60">
        <f t="shared" si="429"/>
        <v>0</v>
      </c>
      <c r="CZ76" s="59">
        <f t="shared" si="430"/>
        <v>0</v>
      </c>
      <c r="DA76" s="55">
        <f t="shared" si="431"/>
        <v>0</v>
      </c>
      <c r="DB76" s="59">
        <f t="shared" si="432"/>
        <v>0</v>
      </c>
      <c r="DC76" s="60">
        <f t="shared" si="433"/>
        <v>0</v>
      </c>
      <c r="DD76" s="59">
        <f t="shared" si="434"/>
        <v>0</v>
      </c>
      <c r="DE76" s="60">
        <f t="shared" si="435"/>
        <v>0</v>
      </c>
      <c r="DF76" s="59">
        <f t="shared" si="436"/>
        <v>0</v>
      </c>
      <c r="DG76" s="60">
        <f t="shared" si="437"/>
        <v>0</v>
      </c>
      <c r="DH76" s="59">
        <f t="shared" si="438"/>
        <v>0</v>
      </c>
      <c r="DI76" s="60">
        <f t="shared" si="439"/>
        <v>0</v>
      </c>
      <c r="DJ76" s="59">
        <f t="shared" si="440"/>
        <v>0</v>
      </c>
      <c r="DK76" s="55">
        <f t="shared" si="441"/>
        <v>0</v>
      </c>
      <c r="DL76" s="59">
        <f t="shared" si="442"/>
        <v>0</v>
      </c>
      <c r="DM76" s="60">
        <f t="shared" si="443"/>
        <v>0</v>
      </c>
      <c r="DN76" s="59">
        <f t="shared" si="444"/>
        <v>0</v>
      </c>
      <c r="DO76" s="60">
        <f t="shared" si="445"/>
        <v>0</v>
      </c>
      <c r="DP76" s="59">
        <f t="shared" si="446"/>
        <v>0</v>
      </c>
      <c r="DQ76" s="55">
        <f t="shared" si="447"/>
        <v>0</v>
      </c>
      <c r="DR76" s="59">
        <f t="shared" si="448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494"/>
        <v>0.91</v>
      </c>
      <c r="DZ76" s="55">
        <f t="shared" si="494"/>
        <v>0.89</v>
      </c>
      <c r="EA76" s="55">
        <f t="shared" si="494"/>
        <v>0.87</v>
      </c>
      <c r="EB76" s="55">
        <f t="shared" si="494"/>
        <v>0.85</v>
      </c>
      <c r="EC76" s="55">
        <f t="shared" si="494"/>
        <v>0.83</v>
      </c>
      <c r="ED76" s="55">
        <f t="shared" si="494"/>
        <v>0.80999999999999994</v>
      </c>
      <c r="EE76" s="55">
        <f t="shared" si="494"/>
        <v>0.78999999999999992</v>
      </c>
      <c r="EF76" s="55">
        <f t="shared" si="494"/>
        <v>0.76999999999999991</v>
      </c>
      <c r="EG76" s="55">
        <f t="shared" si="494"/>
        <v>0.74999999999999989</v>
      </c>
      <c r="EH76" s="55">
        <f t="shared" si="494"/>
        <v>0.72999999999999987</v>
      </c>
      <c r="EI76" s="55">
        <f t="shared" si="494"/>
        <v>0.70999999999999985</v>
      </c>
      <c r="EJ76" s="55">
        <f t="shared" si="494"/>
        <v>0.68999999999999984</v>
      </c>
      <c r="EK76" s="55">
        <f t="shared" si="494"/>
        <v>0.66999999999999982</v>
      </c>
      <c r="EL76" s="55">
        <f t="shared" si="494"/>
        <v>0.6499999999999998</v>
      </c>
      <c r="EM76" s="55">
        <f t="shared" si="494"/>
        <v>0.62999999999999978</v>
      </c>
      <c r="EN76" s="55">
        <f t="shared" si="494"/>
        <v>0.60999999999999976</v>
      </c>
      <c r="EO76" s="55">
        <f t="shared" si="494"/>
        <v>0.58999999999999975</v>
      </c>
      <c r="EP76" s="55">
        <f t="shared" si="494"/>
        <v>0.56999999999999973</v>
      </c>
      <c r="ER76" s="55">
        <f t="shared" si="141"/>
        <v>0</v>
      </c>
      <c r="ES76" s="55">
        <f t="shared" si="115"/>
        <v>0</v>
      </c>
      <c r="ET76" s="59">
        <f t="shared" si="450"/>
        <v>0</v>
      </c>
      <c r="EU76" s="55">
        <f t="shared" si="451"/>
        <v>0</v>
      </c>
      <c r="EV76" s="59">
        <f t="shared" si="452"/>
        <v>0</v>
      </c>
      <c r="EW76" s="55">
        <f t="shared" si="453"/>
        <v>0</v>
      </c>
      <c r="EX76" s="59">
        <f t="shared" si="454"/>
        <v>0</v>
      </c>
      <c r="EY76" s="55">
        <f t="shared" si="455"/>
        <v>0</v>
      </c>
      <c r="EZ76" s="59">
        <f t="shared" si="456"/>
        <v>0</v>
      </c>
      <c r="FA76" s="57">
        <f t="shared" si="457"/>
        <v>0</v>
      </c>
      <c r="FB76" s="59">
        <f t="shared" si="458"/>
        <v>0</v>
      </c>
      <c r="FC76" s="55">
        <f t="shared" si="459"/>
        <v>0</v>
      </c>
      <c r="FD76" s="59">
        <f t="shared" si="460"/>
        <v>0</v>
      </c>
      <c r="FE76" s="57">
        <f t="shared" si="461"/>
        <v>0</v>
      </c>
      <c r="FF76" s="59">
        <f t="shared" si="462"/>
        <v>0</v>
      </c>
      <c r="FG76" s="60">
        <f t="shared" si="463"/>
        <v>0</v>
      </c>
      <c r="FH76" s="59">
        <f t="shared" si="464"/>
        <v>0</v>
      </c>
      <c r="FI76" s="57">
        <f t="shared" si="465"/>
        <v>0</v>
      </c>
      <c r="FJ76" s="59">
        <f t="shared" si="466"/>
        <v>0</v>
      </c>
      <c r="FK76" s="55">
        <f t="shared" si="467"/>
        <v>0</v>
      </c>
      <c r="FL76" s="59">
        <f t="shared" si="468"/>
        <v>0</v>
      </c>
      <c r="FM76" s="60">
        <f t="shared" si="469"/>
        <v>0</v>
      </c>
      <c r="FN76" s="59">
        <f t="shared" si="470"/>
        <v>0</v>
      </c>
      <c r="FO76" s="60">
        <f t="shared" si="471"/>
        <v>0</v>
      </c>
      <c r="FP76" s="59">
        <f t="shared" si="472"/>
        <v>0</v>
      </c>
      <c r="FQ76" s="60">
        <f t="shared" si="473"/>
        <v>0</v>
      </c>
      <c r="FR76" s="59">
        <f t="shared" si="474"/>
        <v>0</v>
      </c>
      <c r="FS76" s="55">
        <f t="shared" si="475"/>
        <v>0</v>
      </c>
      <c r="FT76" s="59">
        <f t="shared" si="476"/>
        <v>0</v>
      </c>
      <c r="FU76" s="60">
        <f t="shared" si="477"/>
        <v>0</v>
      </c>
      <c r="FV76" s="59">
        <f t="shared" si="478"/>
        <v>0</v>
      </c>
      <c r="FW76" s="60">
        <f t="shared" si="479"/>
        <v>0</v>
      </c>
      <c r="FX76" s="59">
        <f t="shared" si="480"/>
        <v>0</v>
      </c>
      <c r="FY76" s="60">
        <f t="shared" si="481"/>
        <v>0</v>
      </c>
      <c r="FZ76" s="59">
        <f t="shared" si="482"/>
        <v>0</v>
      </c>
      <c r="GA76" s="60">
        <f t="shared" si="483"/>
        <v>0</v>
      </c>
      <c r="GB76" s="59">
        <f t="shared" si="484"/>
        <v>0</v>
      </c>
      <c r="GC76" s="55">
        <f t="shared" si="485"/>
        <v>0</v>
      </c>
      <c r="GD76" s="59">
        <f t="shared" si="486"/>
        <v>0</v>
      </c>
      <c r="GE76" s="60">
        <f t="shared" si="487"/>
        <v>0</v>
      </c>
      <c r="GF76" s="59">
        <f t="shared" si="488"/>
        <v>0</v>
      </c>
      <c r="GG76" s="60">
        <f t="shared" si="489"/>
        <v>0</v>
      </c>
      <c r="GH76" s="59">
        <f t="shared" si="490"/>
        <v>0</v>
      </c>
      <c r="GI76" s="55">
        <f t="shared" si="491"/>
        <v>0</v>
      </c>
      <c r="GJ76" s="59">
        <f t="shared" si="492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495"/>
        <v>0.91</v>
      </c>
      <c r="GR76" s="55">
        <f t="shared" si="495"/>
        <v>0.89</v>
      </c>
      <c r="GS76" s="55">
        <f t="shared" si="495"/>
        <v>0.87</v>
      </c>
      <c r="GT76" s="55">
        <f t="shared" si="495"/>
        <v>0.85</v>
      </c>
      <c r="GU76" s="55">
        <f t="shared" si="495"/>
        <v>0.83</v>
      </c>
      <c r="GV76" s="55">
        <f t="shared" si="495"/>
        <v>0.80999999999999994</v>
      </c>
      <c r="GW76" s="55">
        <f t="shared" si="495"/>
        <v>0.78999999999999992</v>
      </c>
      <c r="GX76" s="55">
        <f t="shared" si="495"/>
        <v>0.76999999999999991</v>
      </c>
      <c r="GY76" s="55">
        <f t="shared" si="495"/>
        <v>0.74999999999999989</v>
      </c>
      <c r="GZ76" s="55">
        <f t="shared" si="495"/>
        <v>0.72999999999999987</v>
      </c>
      <c r="HA76" s="55">
        <f t="shared" si="495"/>
        <v>0.70999999999999985</v>
      </c>
      <c r="HB76" s="55">
        <f t="shared" si="495"/>
        <v>0.68999999999999984</v>
      </c>
      <c r="HC76" s="55">
        <f t="shared" si="495"/>
        <v>0.66999999999999982</v>
      </c>
      <c r="HD76" s="55">
        <f t="shared" si="495"/>
        <v>0.6499999999999998</v>
      </c>
      <c r="HE76" s="55">
        <f t="shared" si="495"/>
        <v>0.62999999999999978</v>
      </c>
      <c r="HF76" s="55">
        <f t="shared" si="495"/>
        <v>0.60999999999999976</v>
      </c>
      <c r="HG76" s="55">
        <f t="shared" si="495"/>
        <v>0.58999999999999975</v>
      </c>
      <c r="HH76" s="55">
        <f t="shared" si="495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86">
        <f>TRUNC(+D77*3.3058,-1)</f>
        <v>0</v>
      </c>
      <c r="H77" s="55">
        <f t="shared" si="60"/>
        <v>0</v>
      </c>
      <c r="I77" s="55">
        <f t="shared" si="61"/>
        <v>0</v>
      </c>
      <c r="J77" s="59">
        <f t="shared" si="62"/>
        <v>0</v>
      </c>
      <c r="K77" s="55">
        <f t="shared" si="363"/>
        <v>0</v>
      </c>
      <c r="L77" s="59">
        <f t="shared" si="364"/>
        <v>0</v>
      </c>
      <c r="M77" s="55">
        <f t="shared" si="365"/>
        <v>0</v>
      </c>
      <c r="N77" s="59">
        <f t="shared" si="366"/>
        <v>0</v>
      </c>
      <c r="O77" s="55">
        <f t="shared" si="367"/>
        <v>0</v>
      </c>
      <c r="P77" s="59">
        <f t="shared" si="368"/>
        <v>0</v>
      </c>
      <c r="Q77" s="57">
        <f t="shared" si="369"/>
        <v>0</v>
      </c>
      <c r="R77" s="59">
        <f t="shared" si="370"/>
        <v>0</v>
      </c>
      <c r="S77" s="55">
        <f t="shared" si="371"/>
        <v>0</v>
      </c>
      <c r="T77" s="59">
        <f t="shared" si="372"/>
        <v>0</v>
      </c>
      <c r="U77" s="57">
        <f t="shared" si="373"/>
        <v>0</v>
      </c>
      <c r="V77" s="59">
        <f t="shared" si="374"/>
        <v>0</v>
      </c>
      <c r="W77" s="60">
        <f t="shared" si="375"/>
        <v>0</v>
      </c>
      <c r="X77" s="59">
        <f t="shared" si="376"/>
        <v>0</v>
      </c>
      <c r="Y77" s="57">
        <f t="shared" si="377"/>
        <v>0</v>
      </c>
      <c r="Z77" s="59">
        <f t="shared" si="378"/>
        <v>0</v>
      </c>
      <c r="AA77" s="55">
        <f t="shared" si="379"/>
        <v>0</v>
      </c>
      <c r="AB77" s="59">
        <f t="shared" si="380"/>
        <v>0</v>
      </c>
      <c r="AC77" s="60">
        <f t="shared" si="381"/>
        <v>0</v>
      </c>
      <c r="AD77" s="59">
        <f t="shared" si="382"/>
        <v>0</v>
      </c>
      <c r="AE77" s="60">
        <f t="shared" si="383"/>
        <v>0</v>
      </c>
      <c r="AF77" s="59">
        <f t="shared" si="384"/>
        <v>0</v>
      </c>
      <c r="AG77" s="60">
        <f t="shared" si="385"/>
        <v>0</v>
      </c>
      <c r="AH77" s="59">
        <f t="shared" si="386"/>
        <v>0</v>
      </c>
      <c r="AI77" s="55">
        <f t="shared" si="387"/>
        <v>0</v>
      </c>
      <c r="AJ77" s="59">
        <f t="shared" si="388"/>
        <v>0</v>
      </c>
      <c r="AK77" s="60">
        <f t="shared" si="389"/>
        <v>0</v>
      </c>
      <c r="AL77" s="59">
        <f t="shared" si="390"/>
        <v>0</v>
      </c>
      <c r="AM77" s="60">
        <f t="shared" si="391"/>
        <v>0</v>
      </c>
      <c r="AN77" s="59">
        <f t="shared" si="392"/>
        <v>0</v>
      </c>
      <c r="AO77" s="60">
        <f t="shared" si="393"/>
        <v>0</v>
      </c>
      <c r="AP77" s="59">
        <f t="shared" si="394"/>
        <v>0</v>
      </c>
      <c r="AQ77" s="60">
        <f t="shared" si="395"/>
        <v>0</v>
      </c>
      <c r="AR77" s="59">
        <f t="shared" si="396"/>
        <v>0</v>
      </c>
      <c r="AS77" s="55">
        <f t="shared" si="397"/>
        <v>0</v>
      </c>
      <c r="AT77" s="59">
        <f t="shared" si="398"/>
        <v>0</v>
      </c>
      <c r="AU77" s="60">
        <f t="shared" si="399"/>
        <v>0</v>
      </c>
      <c r="AV77" s="59">
        <f t="shared" si="400"/>
        <v>0</v>
      </c>
      <c r="AW77" s="60">
        <f t="shared" si="401"/>
        <v>0</v>
      </c>
      <c r="AX77" s="59">
        <f t="shared" si="402"/>
        <v>0</v>
      </c>
      <c r="AY77" s="55">
        <f t="shared" si="403"/>
        <v>0</v>
      </c>
      <c r="AZ77" s="59">
        <f t="shared" si="404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05"/>
        <v>0.91</v>
      </c>
      <c r="BH77" s="55">
        <f t="shared" si="405"/>
        <v>0.89</v>
      </c>
      <c r="BI77" s="55">
        <f t="shared" si="405"/>
        <v>0.87</v>
      </c>
      <c r="BJ77" s="55">
        <f t="shared" ref="BJ77:BX77" si="496">+BI77-0.02</f>
        <v>0.85</v>
      </c>
      <c r="BK77" s="55">
        <f t="shared" si="496"/>
        <v>0.83</v>
      </c>
      <c r="BL77" s="55">
        <f t="shared" si="496"/>
        <v>0.80999999999999994</v>
      </c>
      <c r="BM77" s="55">
        <f t="shared" si="496"/>
        <v>0.78999999999999992</v>
      </c>
      <c r="BN77" s="55">
        <f t="shared" si="496"/>
        <v>0.76999999999999991</v>
      </c>
      <c r="BO77" s="55">
        <f t="shared" si="496"/>
        <v>0.74999999999999989</v>
      </c>
      <c r="BP77" s="55">
        <f t="shared" si="496"/>
        <v>0.72999999999999987</v>
      </c>
      <c r="BQ77" s="55">
        <f t="shared" si="496"/>
        <v>0.70999999999999985</v>
      </c>
      <c r="BR77" s="55">
        <f t="shared" si="496"/>
        <v>0.68999999999999984</v>
      </c>
      <c r="BS77" s="55">
        <f t="shared" si="496"/>
        <v>0.66999999999999982</v>
      </c>
      <c r="BT77" s="55">
        <f t="shared" si="496"/>
        <v>0.6499999999999998</v>
      </c>
      <c r="BU77" s="55">
        <f t="shared" si="496"/>
        <v>0.62999999999999978</v>
      </c>
      <c r="BV77" s="55">
        <f t="shared" si="496"/>
        <v>0.60999999999999976</v>
      </c>
      <c r="BW77" s="55">
        <f t="shared" si="496"/>
        <v>0.58999999999999975</v>
      </c>
      <c r="BX77" s="55">
        <f t="shared" si="496"/>
        <v>0.56999999999999973</v>
      </c>
      <c r="BZ77" s="55">
        <f t="shared" si="87"/>
        <v>0</v>
      </c>
      <c r="CA77" s="55">
        <f t="shared" si="88"/>
        <v>0</v>
      </c>
      <c r="CB77" s="59">
        <f t="shared" si="406"/>
        <v>0</v>
      </c>
      <c r="CC77" s="55">
        <f t="shared" si="407"/>
        <v>0</v>
      </c>
      <c r="CD77" s="59">
        <f t="shared" si="408"/>
        <v>0</v>
      </c>
      <c r="CE77" s="55">
        <f t="shared" si="409"/>
        <v>0</v>
      </c>
      <c r="CF77" s="59">
        <f t="shared" si="410"/>
        <v>0</v>
      </c>
      <c r="CG77" s="55">
        <f t="shared" si="411"/>
        <v>0</v>
      </c>
      <c r="CH77" s="59">
        <f t="shared" si="412"/>
        <v>0</v>
      </c>
      <c r="CI77" s="57">
        <f t="shared" si="413"/>
        <v>0</v>
      </c>
      <c r="CJ77" s="59">
        <f t="shared" si="414"/>
        <v>0</v>
      </c>
      <c r="CK77" s="55">
        <f t="shared" si="415"/>
        <v>0</v>
      </c>
      <c r="CL77" s="59">
        <f t="shared" si="416"/>
        <v>0</v>
      </c>
      <c r="CM77" s="57">
        <f t="shared" si="417"/>
        <v>0</v>
      </c>
      <c r="CN77" s="59">
        <f t="shared" si="418"/>
        <v>0</v>
      </c>
      <c r="CO77" s="60">
        <f t="shared" si="419"/>
        <v>0</v>
      </c>
      <c r="CP77" s="59">
        <f t="shared" si="420"/>
        <v>0</v>
      </c>
      <c r="CQ77" s="57">
        <f t="shared" si="421"/>
        <v>0</v>
      </c>
      <c r="CR77" s="59">
        <f t="shared" si="422"/>
        <v>0</v>
      </c>
      <c r="CS77" s="55">
        <f t="shared" si="423"/>
        <v>0</v>
      </c>
      <c r="CT77" s="59">
        <f t="shared" si="424"/>
        <v>0</v>
      </c>
      <c r="CU77" s="60">
        <f t="shared" si="425"/>
        <v>0</v>
      </c>
      <c r="CV77" s="59">
        <f t="shared" si="426"/>
        <v>0</v>
      </c>
      <c r="CW77" s="60">
        <f t="shared" si="427"/>
        <v>0</v>
      </c>
      <c r="CX77" s="59">
        <f t="shared" si="428"/>
        <v>0</v>
      </c>
      <c r="CY77" s="60">
        <f t="shared" si="429"/>
        <v>0</v>
      </c>
      <c r="CZ77" s="59">
        <f t="shared" si="430"/>
        <v>0</v>
      </c>
      <c r="DA77" s="55">
        <f t="shared" si="431"/>
        <v>0</v>
      </c>
      <c r="DB77" s="59">
        <f t="shared" si="432"/>
        <v>0</v>
      </c>
      <c r="DC77" s="60">
        <f t="shared" si="433"/>
        <v>0</v>
      </c>
      <c r="DD77" s="59">
        <f t="shared" si="434"/>
        <v>0</v>
      </c>
      <c r="DE77" s="60">
        <f t="shared" si="435"/>
        <v>0</v>
      </c>
      <c r="DF77" s="59">
        <f t="shared" si="436"/>
        <v>0</v>
      </c>
      <c r="DG77" s="60">
        <f t="shared" si="437"/>
        <v>0</v>
      </c>
      <c r="DH77" s="59">
        <f t="shared" si="438"/>
        <v>0</v>
      </c>
      <c r="DI77" s="60">
        <f t="shared" si="439"/>
        <v>0</v>
      </c>
      <c r="DJ77" s="59">
        <f t="shared" si="440"/>
        <v>0</v>
      </c>
      <c r="DK77" s="55">
        <f t="shared" si="441"/>
        <v>0</v>
      </c>
      <c r="DL77" s="59">
        <f t="shared" si="442"/>
        <v>0</v>
      </c>
      <c r="DM77" s="60">
        <f t="shared" si="443"/>
        <v>0</v>
      </c>
      <c r="DN77" s="59">
        <f t="shared" si="444"/>
        <v>0</v>
      </c>
      <c r="DO77" s="60">
        <f t="shared" si="445"/>
        <v>0</v>
      </c>
      <c r="DP77" s="59">
        <f t="shared" si="446"/>
        <v>0</v>
      </c>
      <c r="DQ77" s="55">
        <f t="shared" si="447"/>
        <v>0</v>
      </c>
      <c r="DR77" s="59">
        <f t="shared" si="448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494"/>
        <v>0.91</v>
      </c>
      <c r="DZ77" s="55">
        <f t="shared" si="494"/>
        <v>0.89</v>
      </c>
      <c r="EA77" s="55">
        <f t="shared" si="494"/>
        <v>0.87</v>
      </c>
      <c r="EB77" s="55">
        <f t="shared" si="494"/>
        <v>0.85</v>
      </c>
      <c r="EC77" s="55">
        <f t="shared" si="494"/>
        <v>0.83</v>
      </c>
      <c r="ED77" s="55">
        <f t="shared" si="494"/>
        <v>0.80999999999999994</v>
      </c>
      <c r="EE77" s="55">
        <f t="shared" si="494"/>
        <v>0.78999999999999992</v>
      </c>
      <c r="EF77" s="55">
        <f t="shared" si="494"/>
        <v>0.76999999999999991</v>
      </c>
      <c r="EG77" s="55">
        <f t="shared" si="494"/>
        <v>0.74999999999999989</v>
      </c>
      <c r="EH77" s="55">
        <f t="shared" si="494"/>
        <v>0.72999999999999987</v>
      </c>
      <c r="EI77" s="55">
        <f t="shared" si="494"/>
        <v>0.70999999999999985</v>
      </c>
      <c r="EJ77" s="55">
        <f t="shared" si="494"/>
        <v>0.68999999999999984</v>
      </c>
      <c r="EK77" s="55">
        <f t="shared" si="494"/>
        <v>0.66999999999999982</v>
      </c>
      <c r="EL77" s="55">
        <f t="shared" si="494"/>
        <v>0.6499999999999998</v>
      </c>
      <c r="EM77" s="55">
        <f t="shared" si="494"/>
        <v>0.62999999999999978</v>
      </c>
      <c r="EN77" s="55">
        <f t="shared" si="494"/>
        <v>0.60999999999999976</v>
      </c>
      <c r="EO77" s="55">
        <f t="shared" si="494"/>
        <v>0.58999999999999975</v>
      </c>
      <c r="EP77" s="55">
        <f t="shared" si="494"/>
        <v>0.56999999999999973</v>
      </c>
      <c r="ER77" s="55">
        <f t="shared" si="141"/>
        <v>0</v>
      </c>
      <c r="ES77" s="55">
        <f t="shared" si="115"/>
        <v>0</v>
      </c>
      <c r="ET77" s="59">
        <f t="shared" si="450"/>
        <v>0</v>
      </c>
      <c r="EU77" s="55">
        <f t="shared" si="451"/>
        <v>0</v>
      </c>
      <c r="EV77" s="59">
        <f t="shared" si="452"/>
        <v>0</v>
      </c>
      <c r="EW77" s="55">
        <f t="shared" si="453"/>
        <v>0</v>
      </c>
      <c r="EX77" s="59">
        <f t="shared" si="454"/>
        <v>0</v>
      </c>
      <c r="EY77" s="55">
        <f t="shared" si="455"/>
        <v>0</v>
      </c>
      <c r="EZ77" s="59">
        <f t="shared" si="456"/>
        <v>0</v>
      </c>
      <c r="FA77" s="57">
        <f t="shared" si="457"/>
        <v>0</v>
      </c>
      <c r="FB77" s="59">
        <f t="shared" si="458"/>
        <v>0</v>
      </c>
      <c r="FC77" s="55">
        <f t="shared" si="459"/>
        <v>0</v>
      </c>
      <c r="FD77" s="59">
        <f t="shared" si="460"/>
        <v>0</v>
      </c>
      <c r="FE77" s="57">
        <f t="shared" si="461"/>
        <v>0</v>
      </c>
      <c r="FF77" s="59">
        <f t="shared" si="462"/>
        <v>0</v>
      </c>
      <c r="FG77" s="60">
        <f t="shared" si="463"/>
        <v>0</v>
      </c>
      <c r="FH77" s="59">
        <f t="shared" si="464"/>
        <v>0</v>
      </c>
      <c r="FI77" s="57">
        <f t="shared" si="465"/>
        <v>0</v>
      </c>
      <c r="FJ77" s="59">
        <f t="shared" si="466"/>
        <v>0</v>
      </c>
      <c r="FK77" s="55">
        <f t="shared" si="467"/>
        <v>0</v>
      </c>
      <c r="FL77" s="59">
        <f t="shared" si="468"/>
        <v>0</v>
      </c>
      <c r="FM77" s="60">
        <f t="shared" si="469"/>
        <v>0</v>
      </c>
      <c r="FN77" s="59">
        <f t="shared" si="470"/>
        <v>0</v>
      </c>
      <c r="FO77" s="60">
        <f t="shared" si="471"/>
        <v>0</v>
      </c>
      <c r="FP77" s="59">
        <f t="shared" si="472"/>
        <v>0</v>
      </c>
      <c r="FQ77" s="60">
        <f t="shared" si="473"/>
        <v>0</v>
      </c>
      <c r="FR77" s="59">
        <f t="shared" si="474"/>
        <v>0</v>
      </c>
      <c r="FS77" s="55">
        <f t="shared" si="475"/>
        <v>0</v>
      </c>
      <c r="FT77" s="59">
        <f t="shared" si="476"/>
        <v>0</v>
      </c>
      <c r="FU77" s="60">
        <f t="shared" si="477"/>
        <v>0</v>
      </c>
      <c r="FV77" s="59">
        <f t="shared" si="478"/>
        <v>0</v>
      </c>
      <c r="FW77" s="60">
        <f t="shared" si="479"/>
        <v>0</v>
      </c>
      <c r="FX77" s="59">
        <f t="shared" si="480"/>
        <v>0</v>
      </c>
      <c r="FY77" s="60">
        <f t="shared" si="481"/>
        <v>0</v>
      </c>
      <c r="FZ77" s="59">
        <f t="shared" si="482"/>
        <v>0</v>
      </c>
      <c r="GA77" s="60">
        <f t="shared" si="483"/>
        <v>0</v>
      </c>
      <c r="GB77" s="59">
        <f t="shared" si="484"/>
        <v>0</v>
      </c>
      <c r="GC77" s="55">
        <f t="shared" si="485"/>
        <v>0</v>
      </c>
      <c r="GD77" s="59">
        <f t="shared" si="486"/>
        <v>0</v>
      </c>
      <c r="GE77" s="60">
        <f t="shared" si="487"/>
        <v>0</v>
      </c>
      <c r="GF77" s="59">
        <f t="shared" si="488"/>
        <v>0</v>
      </c>
      <c r="GG77" s="60">
        <f t="shared" si="489"/>
        <v>0</v>
      </c>
      <c r="GH77" s="59">
        <f t="shared" si="490"/>
        <v>0</v>
      </c>
      <c r="GI77" s="55">
        <f t="shared" si="491"/>
        <v>0</v>
      </c>
      <c r="GJ77" s="59">
        <f t="shared" si="492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495"/>
        <v>0.91</v>
      </c>
      <c r="GR77" s="55">
        <f t="shared" si="495"/>
        <v>0.89</v>
      </c>
      <c r="GS77" s="55">
        <f t="shared" si="495"/>
        <v>0.87</v>
      </c>
      <c r="GT77" s="55">
        <f t="shared" si="495"/>
        <v>0.85</v>
      </c>
      <c r="GU77" s="55">
        <f t="shared" si="495"/>
        <v>0.83</v>
      </c>
      <c r="GV77" s="55">
        <f t="shared" si="495"/>
        <v>0.80999999999999994</v>
      </c>
      <c r="GW77" s="55">
        <f t="shared" si="495"/>
        <v>0.78999999999999992</v>
      </c>
      <c r="GX77" s="55">
        <f t="shared" si="495"/>
        <v>0.76999999999999991</v>
      </c>
      <c r="GY77" s="55">
        <f t="shared" si="495"/>
        <v>0.74999999999999989</v>
      </c>
      <c r="GZ77" s="55">
        <f t="shared" si="495"/>
        <v>0.72999999999999987</v>
      </c>
      <c r="HA77" s="55">
        <f t="shared" si="495"/>
        <v>0.70999999999999985</v>
      </c>
      <c r="HB77" s="55">
        <f t="shared" si="495"/>
        <v>0.68999999999999984</v>
      </c>
      <c r="HC77" s="55">
        <f t="shared" si="495"/>
        <v>0.66999999999999982</v>
      </c>
      <c r="HD77" s="55">
        <f t="shared" si="495"/>
        <v>0.6499999999999998</v>
      </c>
      <c r="HE77" s="55">
        <f t="shared" si="495"/>
        <v>0.62999999999999978</v>
      </c>
      <c r="HF77" s="55">
        <f t="shared" si="495"/>
        <v>0.60999999999999976</v>
      </c>
      <c r="HG77" s="55">
        <f t="shared" si="495"/>
        <v>0.58999999999999975</v>
      </c>
      <c r="HH77" s="55">
        <f t="shared" si="495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86">
        <f>TRUNC(+D78*3.3058,-1)</f>
        <v>0</v>
      </c>
      <c r="H78" s="55">
        <f t="shared" si="60"/>
        <v>0</v>
      </c>
      <c r="I78" s="55">
        <f t="shared" si="61"/>
        <v>0</v>
      </c>
      <c r="J78" s="59">
        <f t="shared" si="62"/>
        <v>0</v>
      </c>
      <c r="K78" s="55">
        <f t="shared" si="363"/>
        <v>0</v>
      </c>
      <c r="L78" s="59">
        <f t="shared" si="364"/>
        <v>0</v>
      </c>
      <c r="M78" s="55">
        <f t="shared" si="365"/>
        <v>0</v>
      </c>
      <c r="N78" s="59">
        <f t="shared" si="366"/>
        <v>0</v>
      </c>
      <c r="O78" s="55">
        <f t="shared" si="367"/>
        <v>0</v>
      </c>
      <c r="P78" s="59">
        <f t="shared" si="368"/>
        <v>0</v>
      </c>
      <c r="Q78" s="57">
        <f t="shared" si="369"/>
        <v>0</v>
      </c>
      <c r="R78" s="59">
        <f t="shared" si="370"/>
        <v>0</v>
      </c>
      <c r="S78" s="55">
        <f t="shared" si="371"/>
        <v>0</v>
      </c>
      <c r="T78" s="59">
        <f t="shared" si="372"/>
        <v>0</v>
      </c>
      <c r="U78" s="57">
        <f t="shared" si="373"/>
        <v>0</v>
      </c>
      <c r="V78" s="59">
        <f t="shared" si="374"/>
        <v>0</v>
      </c>
      <c r="W78" s="60">
        <f t="shared" si="375"/>
        <v>0</v>
      </c>
      <c r="X78" s="59">
        <f t="shared" si="376"/>
        <v>0</v>
      </c>
      <c r="Y78" s="57">
        <f t="shared" si="377"/>
        <v>0</v>
      </c>
      <c r="Z78" s="59">
        <f t="shared" si="378"/>
        <v>0</v>
      </c>
      <c r="AA78" s="55">
        <f t="shared" si="379"/>
        <v>0</v>
      </c>
      <c r="AB78" s="59">
        <f t="shared" si="380"/>
        <v>0</v>
      </c>
      <c r="AC78" s="60">
        <f t="shared" si="381"/>
        <v>0</v>
      </c>
      <c r="AD78" s="59">
        <f t="shared" si="382"/>
        <v>0</v>
      </c>
      <c r="AE78" s="60">
        <f t="shared" si="383"/>
        <v>0</v>
      </c>
      <c r="AF78" s="59">
        <f t="shared" si="384"/>
        <v>0</v>
      </c>
      <c r="AG78" s="60">
        <f t="shared" si="385"/>
        <v>0</v>
      </c>
      <c r="AH78" s="59">
        <f t="shared" si="386"/>
        <v>0</v>
      </c>
      <c r="AI78" s="55">
        <f t="shared" si="387"/>
        <v>0</v>
      </c>
      <c r="AJ78" s="59">
        <f t="shared" si="388"/>
        <v>0</v>
      </c>
      <c r="AK78" s="60">
        <f t="shared" si="389"/>
        <v>0</v>
      </c>
      <c r="AL78" s="59">
        <f t="shared" si="390"/>
        <v>0</v>
      </c>
      <c r="AM78" s="60">
        <f t="shared" si="391"/>
        <v>0</v>
      </c>
      <c r="AN78" s="59">
        <f t="shared" si="392"/>
        <v>0</v>
      </c>
      <c r="AO78" s="60">
        <f t="shared" si="393"/>
        <v>0</v>
      </c>
      <c r="AP78" s="59">
        <f t="shared" si="394"/>
        <v>0</v>
      </c>
      <c r="AQ78" s="60">
        <f t="shared" si="395"/>
        <v>0</v>
      </c>
      <c r="AR78" s="59">
        <f t="shared" si="396"/>
        <v>0</v>
      </c>
      <c r="AS78" s="55">
        <f t="shared" si="397"/>
        <v>0</v>
      </c>
      <c r="AT78" s="59">
        <f t="shared" si="398"/>
        <v>0</v>
      </c>
      <c r="AU78" s="60">
        <f t="shared" si="399"/>
        <v>0</v>
      </c>
      <c r="AV78" s="59">
        <f t="shared" si="400"/>
        <v>0</v>
      </c>
      <c r="AW78" s="60">
        <f t="shared" si="401"/>
        <v>0</v>
      </c>
      <c r="AX78" s="59">
        <f t="shared" si="402"/>
        <v>0</v>
      </c>
      <c r="AY78" s="55">
        <f t="shared" si="403"/>
        <v>0</v>
      </c>
      <c r="AZ78" s="59">
        <f t="shared" si="404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ref="BG78:BX89" si="497">+BF78-0.02</f>
        <v>0.91</v>
      </c>
      <c r="BH78" s="55">
        <f t="shared" si="497"/>
        <v>0.89</v>
      </c>
      <c r="BI78" s="55">
        <f t="shared" si="497"/>
        <v>0.87</v>
      </c>
      <c r="BJ78" s="55">
        <f t="shared" si="497"/>
        <v>0.85</v>
      </c>
      <c r="BK78" s="55">
        <f t="shared" si="497"/>
        <v>0.83</v>
      </c>
      <c r="BL78" s="55">
        <f t="shared" si="497"/>
        <v>0.80999999999999994</v>
      </c>
      <c r="BM78" s="55">
        <f t="shared" si="497"/>
        <v>0.78999999999999992</v>
      </c>
      <c r="BN78" s="55">
        <f t="shared" si="497"/>
        <v>0.76999999999999991</v>
      </c>
      <c r="BO78" s="55">
        <f t="shared" si="497"/>
        <v>0.74999999999999989</v>
      </c>
      <c r="BP78" s="55">
        <f t="shared" si="497"/>
        <v>0.72999999999999987</v>
      </c>
      <c r="BQ78" s="55">
        <f t="shared" si="497"/>
        <v>0.70999999999999985</v>
      </c>
      <c r="BR78" s="55">
        <f t="shared" si="497"/>
        <v>0.68999999999999984</v>
      </c>
      <c r="BS78" s="55">
        <f t="shared" si="497"/>
        <v>0.66999999999999982</v>
      </c>
      <c r="BT78" s="55">
        <f t="shared" si="497"/>
        <v>0.6499999999999998</v>
      </c>
      <c r="BU78" s="55">
        <f t="shared" si="497"/>
        <v>0.62999999999999978</v>
      </c>
      <c r="BV78" s="55">
        <f t="shared" si="497"/>
        <v>0.60999999999999976</v>
      </c>
      <c r="BW78" s="55">
        <f t="shared" si="497"/>
        <v>0.58999999999999975</v>
      </c>
      <c r="BX78" s="55">
        <f t="shared" si="497"/>
        <v>0.56999999999999973</v>
      </c>
      <c r="BZ78" s="55">
        <f t="shared" si="87"/>
        <v>0</v>
      </c>
      <c r="CA78" s="55">
        <f t="shared" si="88"/>
        <v>0</v>
      </c>
      <c r="CB78" s="59">
        <f t="shared" si="406"/>
        <v>0</v>
      </c>
      <c r="CC78" s="55">
        <f t="shared" si="407"/>
        <v>0</v>
      </c>
      <c r="CD78" s="59">
        <f t="shared" si="408"/>
        <v>0</v>
      </c>
      <c r="CE78" s="55">
        <f t="shared" si="409"/>
        <v>0</v>
      </c>
      <c r="CF78" s="59">
        <f t="shared" si="410"/>
        <v>0</v>
      </c>
      <c r="CG78" s="55">
        <f t="shared" si="411"/>
        <v>0</v>
      </c>
      <c r="CH78" s="59">
        <f t="shared" si="412"/>
        <v>0</v>
      </c>
      <c r="CI78" s="57">
        <f t="shared" si="413"/>
        <v>0</v>
      </c>
      <c r="CJ78" s="59">
        <f t="shared" si="414"/>
        <v>0</v>
      </c>
      <c r="CK78" s="55">
        <f t="shared" si="415"/>
        <v>0</v>
      </c>
      <c r="CL78" s="59">
        <f t="shared" si="416"/>
        <v>0</v>
      </c>
      <c r="CM78" s="57">
        <f t="shared" si="417"/>
        <v>0</v>
      </c>
      <c r="CN78" s="59">
        <f t="shared" si="418"/>
        <v>0</v>
      </c>
      <c r="CO78" s="60">
        <f t="shared" si="419"/>
        <v>0</v>
      </c>
      <c r="CP78" s="59">
        <f t="shared" si="420"/>
        <v>0</v>
      </c>
      <c r="CQ78" s="57">
        <f t="shared" si="421"/>
        <v>0</v>
      </c>
      <c r="CR78" s="59">
        <f t="shared" si="422"/>
        <v>0</v>
      </c>
      <c r="CS78" s="55">
        <f t="shared" si="423"/>
        <v>0</v>
      </c>
      <c r="CT78" s="59">
        <f t="shared" si="424"/>
        <v>0</v>
      </c>
      <c r="CU78" s="60">
        <f t="shared" si="425"/>
        <v>0</v>
      </c>
      <c r="CV78" s="59">
        <f t="shared" si="426"/>
        <v>0</v>
      </c>
      <c r="CW78" s="60">
        <f t="shared" si="427"/>
        <v>0</v>
      </c>
      <c r="CX78" s="59">
        <f t="shared" si="428"/>
        <v>0</v>
      </c>
      <c r="CY78" s="60">
        <f t="shared" si="429"/>
        <v>0</v>
      </c>
      <c r="CZ78" s="59">
        <f t="shared" si="430"/>
        <v>0</v>
      </c>
      <c r="DA78" s="55">
        <f t="shared" si="431"/>
        <v>0</v>
      </c>
      <c r="DB78" s="59">
        <f t="shared" si="432"/>
        <v>0</v>
      </c>
      <c r="DC78" s="60">
        <f t="shared" si="433"/>
        <v>0</v>
      </c>
      <c r="DD78" s="59">
        <f t="shared" si="434"/>
        <v>0</v>
      </c>
      <c r="DE78" s="60">
        <f t="shared" si="435"/>
        <v>0</v>
      </c>
      <c r="DF78" s="59">
        <f t="shared" si="436"/>
        <v>0</v>
      </c>
      <c r="DG78" s="60">
        <f t="shared" si="437"/>
        <v>0</v>
      </c>
      <c r="DH78" s="59">
        <f t="shared" si="438"/>
        <v>0</v>
      </c>
      <c r="DI78" s="60">
        <f t="shared" si="439"/>
        <v>0</v>
      </c>
      <c r="DJ78" s="59">
        <f t="shared" si="440"/>
        <v>0</v>
      </c>
      <c r="DK78" s="55">
        <f t="shared" si="441"/>
        <v>0</v>
      </c>
      <c r="DL78" s="59">
        <f t="shared" si="442"/>
        <v>0</v>
      </c>
      <c r="DM78" s="60">
        <f t="shared" si="443"/>
        <v>0</v>
      </c>
      <c r="DN78" s="59">
        <f t="shared" si="444"/>
        <v>0</v>
      </c>
      <c r="DO78" s="60">
        <f t="shared" si="445"/>
        <v>0</v>
      </c>
      <c r="DP78" s="59">
        <f t="shared" si="446"/>
        <v>0</v>
      </c>
      <c r="DQ78" s="55">
        <f t="shared" si="447"/>
        <v>0</v>
      </c>
      <c r="DR78" s="59">
        <f t="shared" si="448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494"/>
        <v>0.91</v>
      </c>
      <c r="DZ78" s="55">
        <f t="shared" si="494"/>
        <v>0.89</v>
      </c>
      <c r="EA78" s="55">
        <f t="shared" si="494"/>
        <v>0.87</v>
      </c>
      <c r="EB78" s="55">
        <f t="shared" ref="EB78:EP78" si="498">+EA78-0.02</f>
        <v>0.85</v>
      </c>
      <c r="EC78" s="55">
        <f t="shared" si="498"/>
        <v>0.83</v>
      </c>
      <c r="ED78" s="55">
        <f t="shared" si="498"/>
        <v>0.80999999999999994</v>
      </c>
      <c r="EE78" s="55">
        <f t="shared" si="498"/>
        <v>0.78999999999999992</v>
      </c>
      <c r="EF78" s="55">
        <f t="shared" si="498"/>
        <v>0.76999999999999991</v>
      </c>
      <c r="EG78" s="55">
        <f t="shared" si="498"/>
        <v>0.74999999999999989</v>
      </c>
      <c r="EH78" s="55">
        <f t="shared" si="498"/>
        <v>0.72999999999999987</v>
      </c>
      <c r="EI78" s="55">
        <f t="shared" si="498"/>
        <v>0.70999999999999985</v>
      </c>
      <c r="EJ78" s="55">
        <f t="shared" si="498"/>
        <v>0.68999999999999984</v>
      </c>
      <c r="EK78" s="55">
        <f t="shared" si="498"/>
        <v>0.66999999999999982</v>
      </c>
      <c r="EL78" s="55">
        <f t="shared" si="498"/>
        <v>0.6499999999999998</v>
      </c>
      <c r="EM78" s="55">
        <f t="shared" si="498"/>
        <v>0.62999999999999978</v>
      </c>
      <c r="EN78" s="55">
        <f t="shared" si="498"/>
        <v>0.60999999999999976</v>
      </c>
      <c r="EO78" s="55">
        <f t="shared" si="498"/>
        <v>0.58999999999999975</v>
      </c>
      <c r="EP78" s="55">
        <f t="shared" si="498"/>
        <v>0.56999999999999973</v>
      </c>
      <c r="ER78" s="55">
        <f t="shared" si="141"/>
        <v>0</v>
      </c>
      <c r="ES78" s="55">
        <f t="shared" si="115"/>
        <v>0</v>
      </c>
      <c r="ET78" s="59">
        <f t="shared" si="450"/>
        <v>0</v>
      </c>
      <c r="EU78" s="55">
        <f t="shared" si="451"/>
        <v>0</v>
      </c>
      <c r="EV78" s="59">
        <f t="shared" si="452"/>
        <v>0</v>
      </c>
      <c r="EW78" s="55">
        <f t="shared" si="453"/>
        <v>0</v>
      </c>
      <c r="EX78" s="59">
        <f t="shared" si="454"/>
        <v>0</v>
      </c>
      <c r="EY78" s="55">
        <f t="shared" si="455"/>
        <v>0</v>
      </c>
      <c r="EZ78" s="59">
        <f t="shared" si="456"/>
        <v>0</v>
      </c>
      <c r="FA78" s="57">
        <f t="shared" si="457"/>
        <v>0</v>
      </c>
      <c r="FB78" s="59">
        <f t="shared" si="458"/>
        <v>0</v>
      </c>
      <c r="FC78" s="55">
        <f t="shared" si="459"/>
        <v>0</v>
      </c>
      <c r="FD78" s="59">
        <f t="shared" si="460"/>
        <v>0</v>
      </c>
      <c r="FE78" s="57">
        <f t="shared" si="461"/>
        <v>0</v>
      </c>
      <c r="FF78" s="59">
        <f t="shared" si="462"/>
        <v>0</v>
      </c>
      <c r="FG78" s="60">
        <f t="shared" si="463"/>
        <v>0</v>
      </c>
      <c r="FH78" s="59">
        <f t="shared" si="464"/>
        <v>0</v>
      </c>
      <c r="FI78" s="57">
        <f t="shared" si="465"/>
        <v>0</v>
      </c>
      <c r="FJ78" s="59">
        <f t="shared" si="466"/>
        <v>0</v>
      </c>
      <c r="FK78" s="55">
        <f t="shared" si="467"/>
        <v>0</v>
      </c>
      <c r="FL78" s="59">
        <f t="shared" si="468"/>
        <v>0</v>
      </c>
      <c r="FM78" s="60">
        <f t="shared" si="469"/>
        <v>0</v>
      </c>
      <c r="FN78" s="59">
        <f t="shared" si="470"/>
        <v>0</v>
      </c>
      <c r="FO78" s="60">
        <f t="shared" si="471"/>
        <v>0</v>
      </c>
      <c r="FP78" s="59">
        <f t="shared" si="472"/>
        <v>0</v>
      </c>
      <c r="FQ78" s="60">
        <f t="shared" si="473"/>
        <v>0</v>
      </c>
      <c r="FR78" s="59">
        <f t="shared" si="474"/>
        <v>0</v>
      </c>
      <c r="FS78" s="55">
        <f t="shared" si="475"/>
        <v>0</v>
      </c>
      <c r="FT78" s="59">
        <f t="shared" si="476"/>
        <v>0</v>
      </c>
      <c r="FU78" s="60">
        <f t="shared" si="477"/>
        <v>0</v>
      </c>
      <c r="FV78" s="59">
        <f t="shared" si="478"/>
        <v>0</v>
      </c>
      <c r="FW78" s="60">
        <f t="shared" si="479"/>
        <v>0</v>
      </c>
      <c r="FX78" s="59">
        <f t="shared" si="480"/>
        <v>0</v>
      </c>
      <c r="FY78" s="60">
        <f t="shared" si="481"/>
        <v>0</v>
      </c>
      <c r="FZ78" s="59">
        <f t="shared" si="482"/>
        <v>0</v>
      </c>
      <c r="GA78" s="60">
        <f t="shared" si="483"/>
        <v>0</v>
      </c>
      <c r="GB78" s="59">
        <f t="shared" si="484"/>
        <v>0</v>
      </c>
      <c r="GC78" s="55">
        <f t="shared" si="485"/>
        <v>0</v>
      </c>
      <c r="GD78" s="59">
        <f t="shared" si="486"/>
        <v>0</v>
      </c>
      <c r="GE78" s="60">
        <f t="shared" si="487"/>
        <v>0</v>
      </c>
      <c r="GF78" s="59">
        <f t="shared" si="488"/>
        <v>0</v>
      </c>
      <c r="GG78" s="60">
        <f t="shared" si="489"/>
        <v>0</v>
      </c>
      <c r="GH78" s="59">
        <f t="shared" si="490"/>
        <v>0</v>
      </c>
      <c r="GI78" s="55">
        <f t="shared" si="491"/>
        <v>0</v>
      </c>
      <c r="GJ78" s="59">
        <f t="shared" si="492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495"/>
        <v>0.91</v>
      </c>
      <c r="GR78" s="55">
        <f t="shared" si="495"/>
        <v>0.89</v>
      </c>
      <c r="GS78" s="55">
        <f t="shared" si="495"/>
        <v>0.87</v>
      </c>
      <c r="GT78" s="55">
        <f t="shared" ref="GT78:HH78" si="499">+GS78-0.02</f>
        <v>0.85</v>
      </c>
      <c r="GU78" s="55">
        <f t="shared" si="499"/>
        <v>0.83</v>
      </c>
      <c r="GV78" s="55">
        <f t="shared" si="499"/>
        <v>0.80999999999999994</v>
      </c>
      <c r="GW78" s="55">
        <f t="shared" si="499"/>
        <v>0.78999999999999992</v>
      </c>
      <c r="GX78" s="55">
        <f t="shared" si="499"/>
        <v>0.76999999999999991</v>
      </c>
      <c r="GY78" s="55">
        <f t="shared" si="499"/>
        <v>0.74999999999999989</v>
      </c>
      <c r="GZ78" s="55">
        <f t="shared" si="499"/>
        <v>0.72999999999999987</v>
      </c>
      <c r="HA78" s="55">
        <f t="shared" si="499"/>
        <v>0.70999999999999985</v>
      </c>
      <c r="HB78" s="55">
        <f t="shared" si="499"/>
        <v>0.68999999999999984</v>
      </c>
      <c r="HC78" s="55">
        <f t="shared" si="499"/>
        <v>0.66999999999999982</v>
      </c>
      <c r="HD78" s="55">
        <f t="shared" si="499"/>
        <v>0.6499999999999998</v>
      </c>
      <c r="HE78" s="55">
        <f t="shared" si="499"/>
        <v>0.62999999999999978</v>
      </c>
      <c r="HF78" s="55">
        <f t="shared" si="499"/>
        <v>0.60999999999999976</v>
      </c>
      <c r="HG78" s="55">
        <f t="shared" si="499"/>
        <v>0.58999999999999975</v>
      </c>
      <c r="HH78" s="55">
        <f t="shared" si="499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86">
        <f>TRUNC(+D79*3.3058,-1)</f>
        <v>0</v>
      </c>
      <c r="H79" s="55">
        <f t="shared" si="60"/>
        <v>0</v>
      </c>
      <c r="I79" s="55">
        <f t="shared" si="61"/>
        <v>0</v>
      </c>
      <c r="J79" s="59">
        <f t="shared" si="62"/>
        <v>0</v>
      </c>
      <c r="K79" s="55">
        <f t="shared" si="363"/>
        <v>0</v>
      </c>
      <c r="L79" s="59">
        <f t="shared" si="364"/>
        <v>0</v>
      </c>
      <c r="M79" s="55">
        <f t="shared" si="365"/>
        <v>0</v>
      </c>
      <c r="N79" s="59">
        <f t="shared" si="366"/>
        <v>0</v>
      </c>
      <c r="O79" s="55">
        <f t="shared" si="367"/>
        <v>0</v>
      </c>
      <c r="P79" s="59">
        <f t="shared" si="368"/>
        <v>0</v>
      </c>
      <c r="Q79" s="57">
        <f t="shared" si="369"/>
        <v>0</v>
      </c>
      <c r="R79" s="59">
        <f t="shared" si="370"/>
        <v>0</v>
      </c>
      <c r="S79" s="55">
        <f t="shared" si="371"/>
        <v>0</v>
      </c>
      <c r="T79" s="59">
        <f t="shared" si="372"/>
        <v>0</v>
      </c>
      <c r="U79" s="57">
        <f t="shared" si="373"/>
        <v>0</v>
      </c>
      <c r="V79" s="59">
        <f t="shared" si="374"/>
        <v>0</v>
      </c>
      <c r="W79" s="60">
        <f t="shared" si="375"/>
        <v>0</v>
      </c>
      <c r="X79" s="59">
        <f t="shared" si="376"/>
        <v>0</v>
      </c>
      <c r="Y79" s="57">
        <f t="shared" si="377"/>
        <v>0</v>
      </c>
      <c r="Z79" s="59">
        <f t="shared" si="378"/>
        <v>0</v>
      </c>
      <c r="AA79" s="55">
        <f t="shared" si="379"/>
        <v>0</v>
      </c>
      <c r="AB79" s="59">
        <f t="shared" si="380"/>
        <v>0</v>
      </c>
      <c r="AC79" s="60">
        <f t="shared" si="381"/>
        <v>0</v>
      </c>
      <c r="AD79" s="59">
        <f t="shared" si="382"/>
        <v>0</v>
      </c>
      <c r="AE79" s="60">
        <f t="shared" si="383"/>
        <v>0</v>
      </c>
      <c r="AF79" s="59">
        <f t="shared" si="384"/>
        <v>0</v>
      </c>
      <c r="AG79" s="60">
        <f t="shared" si="385"/>
        <v>0</v>
      </c>
      <c r="AH79" s="59">
        <f t="shared" si="386"/>
        <v>0</v>
      </c>
      <c r="AI79" s="55">
        <f t="shared" si="387"/>
        <v>0</v>
      </c>
      <c r="AJ79" s="59">
        <f t="shared" si="388"/>
        <v>0</v>
      </c>
      <c r="AK79" s="60">
        <f t="shared" si="389"/>
        <v>0</v>
      </c>
      <c r="AL79" s="59">
        <f t="shared" si="390"/>
        <v>0</v>
      </c>
      <c r="AM79" s="60">
        <f t="shared" si="391"/>
        <v>0</v>
      </c>
      <c r="AN79" s="59">
        <f t="shared" si="392"/>
        <v>0</v>
      </c>
      <c r="AO79" s="60">
        <f t="shared" si="393"/>
        <v>0</v>
      </c>
      <c r="AP79" s="59">
        <f t="shared" si="394"/>
        <v>0</v>
      </c>
      <c r="AQ79" s="60">
        <f t="shared" si="395"/>
        <v>0</v>
      </c>
      <c r="AR79" s="59">
        <f t="shared" si="396"/>
        <v>0</v>
      </c>
      <c r="AS79" s="55">
        <f t="shared" si="397"/>
        <v>0</v>
      </c>
      <c r="AT79" s="59">
        <f t="shared" si="398"/>
        <v>0</v>
      </c>
      <c r="AU79" s="60">
        <f t="shared" si="399"/>
        <v>0</v>
      </c>
      <c r="AV79" s="59">
        <f t="shared" si="400"/>
        <v>0</v>
      </c>
      <c r="AW79" s="60">
        <f t="shared" si="401"/>
        <v>0</v>
      </c>
      <c r="AX79" s="59">
        <f t="shared" si="402"/>
        <v>0</v>
      </c>
      <c r="AY79" s="55">
        <f t="shared" si="403"/>
        <v>0</v>
      </c>
      <c r="AZ79" s="59">
        <f t="shared" si="404"/>
        <v>0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497"/>
        <v>0.91</v>
      </c>
      <c r="BH79" s="55">
        <f t="shared" si="497"/>
        <v>0.89</v>
      </c>
      <c r="BI79" s="55">
        <f t="shared" si="497"/>
        <v>0.87</v>
      </c>
      <c r="BJ79" s="55">
        <f t="shared" si="497"/>
        <v>0.85</v>
      </c>
      <c r="BK79" s="55">
        <f t="shared" si="497"/>
        <v>0.83</v>
      </c>
      <c r="BL79" s="55">
        <f t="shared" si="497"/>
        <v>0.80999999999999994</v>
      </c>
      <c r="BM79" s="55">
        <f t="shared" si="497"/>
        <v>0.78999999999999992</v>
      </c>
      <c r="BN79" s="55">
        <f t="shared" si="497"/>
        <v>0.76999999999999991</v>
      </c>
      <c r="BO79" s="55">
        <f t="shared" si="497"/>
        <v>0.74999999999999989</v>
      </c>
      <c r="BP79" s="55">
        <f t="shared" si="497"/>
        <v>0.72999999999999987</v>
      </c>
      <c r="BQ79" s="55">
        <f t="shared" si="497"/>
        <v>0.70999999999999985</v>
      </c>
      <c r="BR79" s="55">
        <f t="shared" si="497"/>
        <v>0.68999999999999984</v>
      </c>
      <c r="BS79" s="55">
        <f t="shared" si="497"/>
        <v>0.66999999999999982</v>
      </c>
      <c r="BT79" s="55">
        <f t="shared" si="497"/>
        <v>0.6499999999999998</v>
      </c>
      <c r="BU79" s="55">
        <f t="shared" si="497"/>
        <v>0.62999999999999978</v>
      </c>
      <c r="BV79" s="55">
        <f t="shared" si="497"/>
        <v>0.60999999999999976</v>
      </c>
      <c r="BW79" s="55">
        <f t="shared" si="497"/>
        <v>0.58999999999999975</v>
      </c>
      <c r="BX79" s="55">
        <f t="shared" si="497"/>
        <v>0.56999999999999973</v>
      </c>
      <c r="BZ79" s="55">
        <f t="shared" si="87"/>
        <v>0</v>
      </c>
      <c r="CA79" s="55">
        <f t="shared" si="88"/>
        <v>0</v>
      </c>
      <c r="CB79" s="59">
        <f t="shared" si="406"/>
        <v>0</v>
      </c>
      <c r="CC79" s="55">
        <f t="shared" si="407"/>
        <v>0</v>
      </c>
      <c r="CD79" s="59">
        <f t="shared" si="408"/>
        <v>0</v>
      </c>
      <c r="CE79" s="55">
        <f t="shared" si="409"/>
        <v>0</v>
      </c>
      <c r="CF79" s="59">
        <f t="shared" si="410"/>
        <v>0</v>
      </c>
      <c r="CG79" s="55">
        <f t="shared" si="411"/>
        <v>0</v>
      </c>
      <c r="CH79" s="59">
        <f t="shared" si="412"/>
        <v>0</v>
      </c>
      <c r="CI79" s="57">
        <f t="shared" si="413"/>
        <v>0</v>
      </c>
      <c r="CJ79" s="59">
        <f t="shared" si="414"/>
        <v>0</v>
      </c>
      <c r="CK79" s="55">
        <f t="shared" si="415"/>
        <v>0</v>
      </c>
      <c r="CL79" s="59">
        <f t="shared" si="416"/>
        <v>0</v>
      </c>
      <c r="CM79" s="57">
        <f t="shared" si="417"/>
        <v>0</v>
      </c>
      <c r="CN79" s="59">
        <f t="shared" si="418"/>
        <v>0</v>
      </c>
      <c r="CO79" s="60">
        <f t="shared" si="419"/>
        <v>0</v>
      </c>
      <c r="CP79" s="59">
        <f t="shared" si="420"/>
        <v>0</v>
      </c>
      <c r="CQ79" s="57">
        <f t="shared" si="421"/>
        <v>0</v>
      </c>
      <c r="CR79" s="59">
        <f t="shared" si="422"/>
        <v>0</v>
      </c>
      <c r="CS79" s="55">
        <f t="shared" si="423"/>
        <v>0</v>
      </c>
      <c r="CT79" s="59">
        <f t="shared" si="424"/>
        <v>0</v>
      </c>
      <c r="CU79" s="60">
        <f t="shared" si="425"/>
        <v>0</v>
      </c>
      <c r="CV79" s="59">
        <f t="shared" si="426"/>
        <v>0</v>
      </c>
      <c r="CW79" s="60">
        <f t="shared" si="427"/>
        <v>0</v>
      </c>
      <c r="CX79" s="59">
        <f t="shared" si="428"/>
        <v>0</v>
      </c>
      <c r="CY79" s="60">
        <f t="shared" si="429"/>
        <v>0</v>
      </c>
      <c r="CZ79" s="59">
        <f t="shared" si="430"/>
        <v>0</v>
      </c>
      <c r="DA79" s="55">
        <f t="shared" si="431"/>
        <v>0</v>
      </c>
      <c r="DB79" s="59">
        <f t="shared" si="432"/>
        <v>0</v>
      </c>
      <c r="DC79" s="60">
        <f t="shared" si="433"/>
        <v>0</v>
      </c>
      <c r="DD79" s="59">
        <f t="shared" si="434"/>
        <v>0</v>
      </c>
      <c r="DE79" s="60">
        <f t="shared" si="435"/>
        <v>0</v>
      </c>
      <c r="DF79" s="59">
        <f t="shared" si="436"/>
        <v>0</v>
      </c>
      <c r="DG79" s="60">
        <f t="shared" si="437"/>
        <v>0</v>
      </c>
      <c r="DH79" s="59">
        <f t="shared" si="438"/>
        <v>0</v>
      </c>
      <c r="DI79" s="60">
        <f t="shared" si="439"/>
        <v>0</v>
      </c>
      <c r="DJ79" s="59">
        <f t="shared" si="440"/>
        <v>0</v>
      </c>
      <c r="DK79" s="55">
        <f t="shared" si="441"/>
        <v>0</v>
      </c>
      <c r="DL79" s="59">
        <f t="shared" si="442"/>
        <v>0</v>
      </c>
      <c r="DM79" s="60">
        <f t="shared" si="443"/>
        <v>0</v>
      </c>
      <c r="DN79" s="59">
        <f t="shared" si="444"/>
        <v>0</v>
      </c>
      <c r="DO79" s="60">
        <f t="shared" si="445"/>
        <v>0</v>
      </c>
      <c r="DP79" s="59">
        <f t="shared" si="446"/>
        <v>0</v>
      </c>
      <c r="DQ79" s="55">
        <f t="shared" si="447"/>
        <v>0</v>
      </c>
      <c r="DR79" s="59">
        <f t="shared" si="448"/>
        <v>0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ref="DY79:EP93" si="500">+DX79-0.02</f>
        <v>0.91</v>
      </c>
      <c r="DZ79" s="55">
        <f t="shared" si="500"/>
        <v>0.89</v>
      </c>
      <c r="EA79" s="55">
        <f t="shared" si="500"/>
        <v>0.87</v>
      </c>
      <c r="EB79" s="55">
        <f t="shared" si="500"/>
        <v>0.85</v>
      </c>
      <c r="EC79" s="55">
        <f t="shared" si="500"/>
        <v>0.83</v>
      </c>
      <c r="ED79" s="55">
        <f t="shared" si="500"/>
        <v>0.80999999999999994</v>
      </c>
      <c r="EE79" s="55">
        <f t="shared" si="500"/>
        <v>0.78999999999999992</v>
      </c>
      <c r="EF79" s="55">
        <f t="shared" si="500"/>
        <v>0.76999999999999991</v>
      </c>
      <c r="EG79" s="55">
        <f t="shared" si="500"/>
        <v>0.74999999999999989</v>
      </c>
      <c r="EH79" s="55">
        <f t="shared" si="500"/>
        <v>0.72999999999999987</v>
      </c>
      <c r="EI79" s="55">
        <f t="shared" si="500"/>
        <v>0.70999999999999985</v>
      </c>
      <c r="EJ79" s="55">
        <f t="shared" si="500"/>
        <v>0.68999999999999984</v>
      </c>
      <c r="EK79" s="55">
        <f t="shared" si="500"/>
        <v>0.66999999999999982</v>
      </c>
      <c r="EL79" s="55">
        <f t="shared" si="500"/>
        <v>0.6499999999999998</v>
      </c>
      <c r="EM79" s="55">
        <f t="shared" si="500"/>
        <v>0.62999999999999978</v>
      </c>
      <c r="EN79" s="55">
        <f t="shared" si="500"/>
        <v>0.60999999999999976</v>
      </c>
      <c r="EO79" s="55">
        <f t="shared" si="500"/>
        <v>0.58999999999999975</v>
      </c>
      <c r="EP79" s="55">
        <f t="shared" si="500"/>
        <v>0.56999999999999973</v>
      </c>
      <c r="ER79" s="55">
        <f t="shared" si="141"/>
        <v>0</v>
      </c>
      <c r="ES79" s="55">
        <f t="shared" si="115"/>
        <v>0</v>
      </c>
      <c r="ET79" s="59">
        <f t="shared" si="450"/>
        <v>0</v>
      </c>
      <c r="EU79" s="55">
        <f t="shared" si="451"/>
        <v>0</v>
      </c>
      <c r="EV79" s="59">
        <f t="shared" si="452"/>
        <v>0</v>
      </c>
      <c r="EW79" s="55">
        <f t="shared" si="453"/>
        <v>0</v>
      </c>
      <c r="EX79" s="59">
        <f t="shared" si="454"/>
        <v>0</v>
      </c>
      <c r="EY79" s="55">
        <f t="shared" si="455"/>
        <v>0</v>
      </c>
      <c r="EZ79" s="59">
        <f t="shared" si="456"/>
        <v>0</v>
      </c>
      <c r="FA79" s="57">
        <f t="shared" si="457"/>
        <v>0</v>
      </c>
      <c r="FB79" s="59">
        <f t="shared" si="458"/>
        <v>0</v>
      </c>
      <c r="FC79" s="55">
        <f t="shared" si="459"/>
        <v>0</v>
      </c>
      <c r="FD79" s="59">
        <f t="shared" si="460"/>
        <v>0</v>
      </c>
      <c r="FE79" s="57">
        <f t="shared" si="461"/>
        <v>0</v>
      </c>
      <c r="FF79" s="59">
        <f t="shared" si="462"/>
        <v>0</v>
      </c>
      <c r="FG79" s="60">
        <f t="shared" si="463"/>
        <v>0</v>
      </c>
      <c r="FH79" s="59">
        <f t="shared" si="464"/>
        <v>0</v>
      </c>
      <c r="FI79" s="57">
        <f t="shared" si="465"/>
        <v>0</v>
      </c>
      <c r="FJ79" s="59">
        <f t="shared" si="466"/>
        <v>0</v>
      </c>
      <c r="FK79" s="55">
        <f t="shared" si="467"/>
        <v>0</v>
      </c>
      <c r="FL79" s="59">
        <f t="shared" si="468"/>
        <v>0</v>
      </c>
      <c r="FM79" s="60">
        <f t="shared" si="469"/>
        <v>0</v>
      </c>
      <c r="FN79" s="59">
        <f t="shared" si="470"/>
        <v>0</v>
      </c>
      <c r="FO79" s="60">
        <f t="shared" si="471"/>
        <v>0</v>
      </c>
      <c r="FP79" s="59">
        <f t="shared" si="472"/>
        <v>0</v>
      </c>
      <c r="FQ79" s="60">
        <f t="shared" si="473"/>
        <v>0</v>
      </c>
      <c r="FR79" s="59">
        <f t="shared" si="474"/>
        <v>0</v>
      </c>
      <c r="FS79" s="55">
        <f t="shared" si="475"/>
        <v>0</v>
      </c>
      <c r="FT79" s="59">
        <f t="shared" si="476"/>
        <v>0</v>
      </c>
      <c r="FU79" s="60">
        <f t="shared" si="477"/>
        <v>0</v>
      </c>
      <c r="FV79" s="59">
        <f t="shared" si="478"/>
        <v>0</v>
      </c>
      <c r="FW79" s="60">
        <f t="shared" si="479"/>
        <v>0</v>
      </c>
      <c r="FX79" s="59">
        <f t="shared" si="480"/>
        <v>0</v>
      </c>
      <c r="FY79" s="60">
        <f t="shared" si="481"/>
        <v>0</v>
      </c>
      <c r="FZ79" s="59">
        <f t="shared" si="482"/>
        <v>0</v>
      </c>
      <c r="GA79" s="60">
        <f t="shared" si="483"/>
        <v>0</v>
      </c>
      <c r="GB79" s="59">
        <f t="shared" si="484"/>
        <v>0</v>
      </c>
      <c r="GC79" s="55">
        <f t="shared" si="485"/>
        <v>0</v>
      </c>
      <c r="GD79" s="59">
        <f t="shared" si="486"/>
        <v>0</v>
      </c>
      <c r="GE79" s="60">
        <f t="shared" si="487"/>
        <v>0</v>
      </c>
      <c r="GF79" s="59">
        <f t="shared" si="488"/>
        <v>0</v>
      </c>
      <c r="GG79" s="60">
        <f t="shared" si="489"/>
        <v>0</v>
      </c>
      <c r="GH79" s="59">
        <f t="shared" si="490"/>
        <v>0</v>
      </c>
      <c r="GI79" s="55">
        <f t="shared" si="491"/>
        <v>0</v>
      </c>
      <c r="GJ79" s="59">
        <f t="shared" si="492"/>
        <v>0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ref="GQ79:HH93" si="501">+GP79-0.02</f>
        <v>0.91</v>
      </c>
      <c r="GR79" s="55">
        <f t="shared" si="501"/>
        <v>0.89</v>
      </c>
      <c r="GS79" s="55">
        <f t="shared" si="501"/>
        <v>0.87</v>
      </c>
      <c r="GT79" s="55">
        <f t="shared" si="501"/>
        <v>0.85</v>
      </c>
      <c r="GU79" s="55">
        <f t="shared" si="501"/>
        <v>0.83</v>
      </c>
      <c r="GV79" s="55">
        <f t="shared" si="501"/>
        <v>0.80999999999999994</v>
      </c>
      <c r="GW79" s="55">
        <f t="shared" si="501"/>
        <v>0.78999999999999992</v>
      </c>
      <c r="GX79" s="55">
        <f t="shared" si="501"/>
        <v>0.76999999999999991</v>
      </c>
      <c r="GY79" s="55">
        <f t="shared" si="501"/>
        <v>0.74999999999999989</v>
      </c>
      <c r="GZ79" s="55">
        <f t="shared" si="501"/>
        <v>0.72999999999999987</v>
      </c>
      <c r="HA79" s="55">
        <f t="shared" si="501"/>
        <v>0.70999999999999985</v>
      </c>
      <c r="HB79" s="55">
        <f t="shared" si="501"/>
        <v>0.68999999999999984</v>
      </c>
      <c r="HC79" s="55">
        <f t="shared" si="501"/>
        <v>0.66999999999999982</v>
      </c>
      <c r="HD79" s="55">
        <f t="shared" si="501"/>
        <v>0.6499999999999998</v>
      </c>
      <c r="HE79" s="55">
        <f t="shared" si="501"/>
        <v>0.62999999999999978</v>
      </c>
      <c r="HF79" s="55">
        <f t="shared" si="501"/>
        <v>0.60999999999999976</v>
      </c>
      <c r="HG79" s="55">
        <f t="shared" si="501"/>
        <v>0.58999999999999975</v>
      </c>
      <c r="HH79" s="55">
        <f t="shared" si="501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86">
        <f>TRUNC(+D80*3.3058,-1)</f>
        <v>0</v>
      </c>
      <c r="H80" s="55">
        <f t="shared" si="60"/>
        <v>0</v>
      </c>
      <c r="I80" s="55">
        <f t="shared" si="61"/>
        <v>0</v>
      </c>
      <c r="J80" s="59">
        <f t="shared" si="62"/>
        <v>0</v>
      </c>
      <c r="K80" s="55">
        <f t="shared" si="363"/>
        <v>0</v>
      </c>
      <c r="L80" s="59">
        <f t="shared" si="364"/>
        <v>0</v>
      </c>
      <c r="M80" s="55">
        <f t="shared" si="365"/>
        <v>0</v>
      </c>
      <c r="N80" s="59">
        <f t="shared" si="366"/>
        <v>0</v>
      </c>
      <c r="O80" s="55">
        <f t="shared" si="367"/>
        <v>0</v>
      </c>
      <c r="P80" s="59">
        <f t="shared" si="368"/>
        <v>0</v>
      </c>
      <c r="Q80" s="57">
        <f t="shared" si="369"/>
        <v>0</v>
      </c>
      <c r="R80" s="59">
        <f t="shared" si="370"/>
        <v>0</v>
      </c>
      <c r="S80" s="55">
        <f t="shared" si="371"/>
        <v>0</v>
      </c>
      <c r="T80" s="59">
        <f t="shared" si="372"/>
        <v>0</v>
      </c>
      <c r="U80" s="57">
        <f t="shared" si="373"/>
        <v>0</v>
      </c>
      <c r="V80" s="59">
        <f t="shared" si="374"/>
        <v>0</v>
      </c>
      <c r="W80" s="60">
        <f t="shared" si="375"/>
        <v>0</v>
      </c>
      <c r="X80" s="59">
        <f t="shared" si="376"/>
        <v>0</v>
      </c>
      <c r="Y80" s="57">
        <f t="shared" si="377"/>
        <v>0</v>
      </c>
      <c r="Z80" s="59">
        <f t="shared" si="378"/>
        <v>0</v>
      </c>
      <c r="AA80" s="55">
        <f t="shared" si="379"/>
        <v>0</v>
      </c>
      <c r="AB80" s="59">
        <f t="shared" si="380"/>
        <v>0</v>
      </c>
      <c r="AC80" s="60">
        <f t="shared" si="381"/>
        <v>0</v>
      </c>
      <c r="AD80" s="59">
        <f t="shared" si="382"/>
        <v>0</v>
      </c>
      <c r="AE80" s="60">
        <f t="shared" si="383"/>
        <v>0</v>
      </c>
      <c r="AF80" s="59">
        <f t="shared" si="384"/>
        <v>0</v>
      </c>
      <c r="AG80" s="60">
        <f t="shared" si="385"/>
        <v>0</v>
      </c>
      <c r="AH80" s="59">
        <f t="shared" si="386"/>
        <v>0</v>
      </c>
      <c r="AI80" s="55">
        <f t="shared" si="387"/>
        <v>0</v>
      </c>
      <c r="AJ80" s="59">
        <f t="shared" si="388"/>
        <v>0</v>
      </c>
      <c r="AK80" s="60">
        <f t="shared" si="389"/>
        <v>0</v>
      </c>
      <c r="AL80" s="59">
        <f t="shared" si="390"/>
        <v>0</v>
      </c>
      <c r="AM80" s="60">
        <f t="shared" si="391"/>
        <v>0</v>
      </c>
      <c r="AN80" s="59">
        <f t="shared" si="392"/>
        <v>0</v>
      </c>
      <c r="AO80" s="60">
        <f t="shared" si="393"/>
        <v>0</v>
      </c>
      <c r="AP80" s="59">
        <f t="shared" si="394"/>
        <v>0</v>
      </c>
      <c r="AQ80" s="60">
        <f t="shared" si="395"/>
        <v>0</v>
      </c>
      <c r="AR80" s="59">
        <f t="shared" si="396"/>
        <v>0</v>
      </c>
      <c r="AS80" s="55">
        <f t="shared" si="397"/>
        <v>0</v>
      </c>
      <c r="AT80" s="59">
        <f t="shared" si="398"/>
        <v>0</v>
      </c>
      <c r="AU80" s="60">
        <f t="shared" si="399"/>
        <v>0</v>
      </c>
      <c r="AV80" s="59">
        <f t="shared" si="400"/>
        <v>0</v>
      </c>
      <c r="AW80" s="60">
        <f t="shared" si="401"/>
        <v>0</v>
      </c>
      <c r="AX80" s="59">
        <f t="shared" si="402"/>
        <v>0</v>
      </c>
      <c r="AY80" s="55">
        <f t="shared" si="403"/>
        <v>0</v>
      </c>
      <c r="AZ80" s="59">
        <f t="shared" si="404"/>
        <v>0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497"/>
        <v>0.91</v>
      </c>
      <c r="BH80" s="55">
        <f t="shared" si="497"/>
        <v>0.89</v>
      </c>
      <c r="BI80" s="55">
        <f t="shared" si="497"/>
        <v>0.87</v>
      </c>
      <c r="BJ80" s="55">
        <f t="shared" si="497"/>
        <v>0.85</v>
      </c>
      <c r="BK80" s="55">
        <f t="shared" si="497"/>
        <v>0.83</v>
      </c>
      <c r="BL80" s="55">
        <f t="shared" si="497"/>
        <v>0.80999999999999994</v>
      </c>
      <c r="BM80" s="55">
        <f t="shared" si="497"/>
        <v>0.78999999999999992</v>
      </c>
      <c r="BN80" s="55">
        <f t="shared" si="497"/>
        <v>0.76999999999999991</v>
      </c>
      <c r="BO80" s="55">
        <f t="shared" si="497"/>
        <v>0.74999999999999989</v>
      </c>
      <c r="BP80" s="55">
        <f t="shared" si="497"/>
        <v>0.72999999999999987</v>
      </c>
      <c r="BQ80" s="55">
        <f t="shared" si="497"/>
        <v>0.70999999999999985</v>
      </c>
      <c r="BR80" s="55">
        <f t="shared" si="497"/>
        <v>0.68999999999999984</v>
      </c>
      <c r="BS80" s="55">
        <f t="shared" si="497"/>
        <v>0.66999999999999982</v>
      </c>
      <c r="BT80" s="55">
        <f t="shared" si="497"/>
        <v>0.6499999999999998</v>
      </c>
      <c r="BU80" s="55">
        <f t="shared" si="497"/>
        <v>0.62999999999999978</v>
      </c>
      <c r="BV80" s="55">
        <f t="shared" si="497"/>
        <v>0.60999999999999976</v>
      </c>
      <c r="BW80" s="55">
        <f t="shared" si="497"/>
        <v>0.58999999999999975</v>
      </c>
      <c r="BX80" s="55">
        <f t="shared" si="497"/>
        <v>0.56999999999999973</v>
      </c>
      <c r="BZ80" s="55">
        <f t="shared" si="87"/>
        <v>0</v>
      </c>
      <c r="CA80" s="55">
        <f t="shared" si="88"/>
        <v>0</v>
      </c>
      <c r="CB80" s="59">
        <f t="shared" si="406"/>
        <v>0</v>
      </c>
      <c r="CC80" s="55">
        <f t="shared" si="407"/>
        <v>0</v>
      </c>
      <c r="CD80" s="59">
        <f t="shared" si="408"/>
        <v>0</v>
      </c>
      <c r="CE80" s="55">
        <f t="shared" si="409"/>
        <v>0</v>
      </c>
      <c r="CF80" s="59">
        <f t="shared" si="410"/>
        <v>0</v>
      </c>
      <c r="CG80" s="55">
        <f t="shared" si="411"/>
        <v>0</v>
      </c>
      <c r="CH80" s="59">
        <f t="shared" si="412"/>
        <v>0</v>
      </c>
      <c r="CI80" s="57">
        <f t="shared" si="413"/>
        <v>0</v>
      </c>
      <c r="CJ80" s="59">
        <f t="shared" si="414"/>
        <v>0</v>
      </c>
      <c r="CK80" s="55">
        <f t="shared" si="415"/>
        <v>0</v>
      </c>
      <c r="CL80" s="59">
        <f t="shared" si="416"/>
        <v>0</v>
      </c>
      <c r="CM80" s="57">
        <f t="shared" si="417"/>
        <v>0</v>
      </c>
      <c r="CN80" s="59">
        <f t="shared" si="418"/>
        <v>0</v>
      </c>
      <c r="CO80" s="60">
        <f t="shared" si="419"/>
        <v>0</v>
      </c>
      <c r="CP80" s="59">
        <f t="shared" si="420"/>
        <v>0</v>
      </c>
      <c r="CQ80" s="57">
        <f t="shared" si="421"/>
        <v>0</v>
      </c>
      <c r="CR80" s="59">
        <f t="shared" si="422"/>
        <v>0</v>
      </c>
      <c r="CS80" s="55">
        <f t="shared" si="423"/>
        <v>0</v>
      </c>
      <c r="CT80" s="59">
        <f t="shared" si="424"/>
        <v>0</v>
      </c>
      <c r="CU80" s="60">
        <f t="shared" si="425"/>
        <v>0</v>
      </c>
      <c r="CV80" s="59">
        <f t="shared" si="426"/>
        <v>0</v>
      </c>
      <c r="CW80" s="60">
        <f t="shared" si="427"/>
        <v>0</v>
      </c>
      <c r="CX80" s="59">
        <f t="shared" si="428"/>
        <v>0</v>
      </c>
      <c r="CY80" s="60">
        <f t="shared" si="429"/>
        <v>0</v>
      </c>
      <c r="CZ80" s="59">
        <f t="shared" si="430"/>
        <v>0</v>
      </c>
      <c r="DA80" s="55">
        <f t="shared" si="431"/>
        <v>0</v>
      </c>
      <c r="DB80" s="59">
        <f t="shared" si="432"/>
        <v>0</v>
      </c>
      <c r="DC80" s="60">
        <f t="shared" si="433"/>
        <v>0</v>
      </c>
      <c r="DD80" s="59">
        <f t="shared" si="434"/>
        <v>0</v>
      </c>
      <c r="DE80" s="60">
        <f t="shared" si="435"/>
        <v>0</v>
      </c>
      <c r="DF80" s="59">
        <f t="shared" si="436"/>
        <v>0</v>
      </c>
      <c r="DG80" s="60">
        <f t="shared" si="437"/>
        <v>0</v>
      </c>
      <c r="DH80" s="59">
        <f t="shared" si="438"/>
        <v>0</v>
      </c>
      <c r="DI80" s="60">
        <f t="shared" si="439"/>
        <v>0</v>
      </c>
      <c r="DJ80" s="59">
        <f t="shared" si="440"/>
        <v>0</v>
      </c>
      <c r="DK80" s="55">
        <f t="shared" si="441"/>
        <v>0</v>
      </c>
      <c r="DL80" s="59">
        <f t="shared" si="442"/>
        <v>0</v>
      </c>
      <c r="DM80" s="60">
        <f t="shared" si="443"/>
        <v>0</v>
      </c>
      <c r="DN80" s="59">
        <f t="shared" si="444"/>
        <v>0</v>
      </c>
      <c r="DO80" s="60">
        <f t="shared" si="445"/>
        <v>0</v>
      </c>
      <c r="DP80" s="59">
        <f t="shared" si="446"/>
        <v>0</v>
      </c>
      <c r="DQ80" s="55">
        <f t="shared" si="447"/>
        <v>0</v>
      </c>
      <c r="DR80" s="59">
        <f t="shared" si="448"/>
        <v>0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00"/>
        <v>0.91</v>
      </c>
      <c r="DZ80" s="55">
        <f t="shared" si="500"/>
        <v>0.89</v>
      </c>
      <c r="EA80" s="55">
        <f t="shared" si="500"/>
        <v>0.87</v>
      </c>
      <c r="EB80" s="55">
        <f t="shared" si="500"/>
        <v>0.85</v>
      </c>
      <c r="EC80" s="55">
        <f t="shared" si="500"/>
        <v>0.83</v>
      </c>
      <c r="ED80" s="55">
        <f t="shared" si="500"/>
        <v>0.80999999999999994</v>
      </c>
      <c r="EE80" s="55">
        <f t="shared" si="500"/>
        <v>0.78999999999999992</v>
      </c>
      <c r="EF80" s="55">
        <f t="shared" si="500"/>
        <v>0.76999999999999991</v>
      </c>
      <c r="EG80" s="55">
        <f t="shared" si="500"/>
        <v>0.74999999999999989</v>
      </c>
      <c r="EH80" s="55">
        <f t="shared" si="500"/>
        <v>0.72999999999999987</v>
      </c>
      <c r="EI80" s="55">
        <f t="shared" si="500"/>
        <v>0.70999999999999985</v>
      </c>
      <c r="EJ80" s="55">
        <f t="shared" si="500"/>
        <v>0.68999999999999984</v>
      </c>
      <c r="EK80" s="55">
        <f t="shared" si="500"/>
        <v>0.66999999999999982</v>
      </c>
      <c r="EL80" s="55">
        <f t="shared" si="500"/>
        <v>0.6499999999999998</v>
      </c>
      <c r="EM80" s="55">
        <f t="shared" si="500"/>
        <v>0.62999999999999978</v>
      </c>
      <c r="EN80" s="55">
        <f t="shared" si="500"/>
        <v>0.60999999999999976</v>
      </c>
      <c r="EO80" s="55">
        <f t="shared" si="500"/>
        <v>0.58999999999999975</v>
      </c>
      <c r="EP80" s="55">
        <f t="shared" si="500"/>
        <v>0.56999999999999973</v>
      </c>
      <c r="ER80" s="55">
        <f t="shared" si="141"/>
        <v>0</v>
      </c>
      <c r="ES80" s="55">
        <f t="shared" si="115"/>
        <v>0</v>
      </c>
      <c r="ET80" s="59">
        <f t="shared" si="450"/>
        <v>0</v>
      </c>
      <c r="EU80" s="55">
        <f t="shared" si="451"/>
        <v>0</v>
      </c>
      <c r="EV80" s="59">
        <f t="shared" si="452"/>
        <v>0</v>
      </c>
      <c r="EW80" s="55">
        <f t="shared" si="453"/>
        <v>0</v>
      </c>
      <c r="EX80" s="59">
        <f t="shared" si="454"/>
        <v>0</v>
      </c>
      <c r="EY80" s="55">
        <f t="shared" si="455"/>
        <v>0</v>
      </c>
      <c r="EZ80" s="59">
        <f t="shared" si="456"/>
        <v>0</v>
      </c>
      <c r="FA80" s="57">
        <f t="shared" si="457"/>
        <v>0</v>
      </c>
      <c r="FB80" s="59">
        <f t="shared" si="458"/>
        <v>0</v>
      </c>
      <c r="FC80" s="55">
        <f t="shared" si="459"/>
        <v>0</v>
      </c>
      <c r="FD80" s="59">
        <f t="shared" si="460"/>
        <v>0</v>
      </c>
      <c r="FE80" s="57">
        <f t="shared" si="461"/>
        <v>0</v>
      </c>
      <c r="FF80" s="59">
        <f t="shared" si="462"/>
        <v>0</v>
      </c>
      <c r="FG80" s="60">
        <f t="shared" si="463"/>
        <v>0</v>
      </c>
      <c r="FH80" s="59">
        <f t="shared" si="464"/>
        <v>0</v>
      </c>
      <c r="FI80" s="57">
        <f t="shared" si="465"/>
        <v>0</v>
      </c>
      <c r="FJ80" s="59">
        <f t="shared" si="466"/>
        <v>0</v>
      </c>
      <c r="FK80" s="55">
        <f t="shared" si="467"/>
        <v>0</v>
      </c>
      <c r="FL80" s="59">
        <f t="shared" si="468"/>
        <v>0</v>
      </c>
      <c r="FM80" s="60">
        <f t="shared" si="469"/>
        <v>0</v>
      </c>
      <c r="FN80" s="59">
        <f t="shared" si="470"/>
        <v>0</v>
      </c>
      <c r="FO80" s="60">
        <f t="shared" si="471"/>
        <v>0</v>
      </c>
      <c r="FP80" s="59">
        <f t="shared" si="472"/>
        <v>0</v>
      </c>
      <c r="FQ80" s="60">
        <f t="shared" si="473"/>
        <v>0</v>
      </c>
      <c r="FR80" s="59">
        <f t="shared" si="474"/>
        <v>0</v>
      </c>
      <c r="FS80" s="55">
        <f t="shared" si="475"/>
        <v>0</v>
      </c>
      <c r="FT80" s="59">
        <f t="shared" si="476"/>
        <v>0</v>
      </c>
      <c r="FU80" s="60">
        <f t="shared" si="477"/>
        <v>0</v>
      </c>
      <c r="FV80" s="59">
        <f t="shared" si="478"/>
        <v>0</v>
      </c>
      <c r="FW80" s="60">
        <f t="shared" si="479"/>
        <v>0</v>
      </c>
      <c r="FX80" s="59">
        <f t="shared" si="480"/>
        <v>0</v>
      </c>
      <c r="FY80" s="60">
        <f t="shared" si="481"/>
        <v>0</v>
      </c>
      <c r="FZ80" s="59">
        <f t="shared" si="482"/>
        <v>0</v>
      </c>
      <c r="GA80" s="60">
        <f t="shared" si="483"/>
        <v>0</v>
      </c>
      <c r="GB80" s="59">
        <f t="shared" si="484"/>
        <v>0</v>
      </c>
      <c r="GC80" s="55">
        <f t="shared" si="485"/>
        <v>0</v>
      </c>
      <c r="GD80" s="59">
        <f t="shared" si="486"/>
        <v>0</v>
      </c>
      <c r="GE80" s="60">
        <f t="shared" si="487"/>
        <v>0</v>
      </c>
      <c r="GF80" s="59">
        <f t="shared" si="488"/>
        <v>0</v>
      </c>
      <c r="GG80" s="60">
        <f t="shared" si="489"/>
        <v>0</v>
      </c>
      <c r="GH80" s="59">
        <f t="shared" si="490"/>
        <v>0</v>
      </c>
      <c r="GI80" s="55">
        <f t="shared" si="491"/>
        <v>0</v>
      </c>
      <c r="GJ80" s="59">
        <f t="shared" si="492"/>
        <v>0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01"/>
        <v>0.91</v>
      </c>
      <c r="GR80" s="55">
        <f t="shared" si="501"/>
        <v>0.89</v>
      </c>
      <c r="GS80" s="55">
        <f t="shared" si="501"/>
        <v>0.87</v>
      </c>
      <c r="GT80" s="55">
        <f t="shared" si="501"/>
        <v>0.85</v>
      </c>
      <c r="GU80" s="55">
        <f t="shared" si="501"/>
        <v>0.83</v>
      </c>
      <c r="GV80" s="55">
        <f t="shared" si="501"/>
        <v>0.80999999999999994</v>
      </c>
      <c r="GW80" s="55">
        <f t="shared" si="501"/>
        <v>0.78999999999999992</v>
      </c>
      <c r="GX80" s="55">
        <f t="shared" si="501"/>
        <v>0.76999999999999991</v>
      </c>
      <c r="GY80" s="55">
        <f t="shared" si="501"/>
        <v>0.74999999999999989</v>
      </c>
      <c r="GZ80" s="55">
        <f t="shared" si="501"/>
        <v>0.72999999999999987</v>
      </c>
      <c r="HA80" s="55">
        <f t="shared" si="501"/>
        <v>0.70999999999999985</v>
      </c>
      <c r="HB80" s="55">
        <f t="shared" si="501"/>
        <v>0.68999999999999984</v>
      </c>
      <c r="HC80" s="55">
        <f t="shared" si="501"/>
        <v>0.66999999999999982</v>
      </c>
      <c r="HD80" s="55">
        <f t="shared" si="501"/>
        <v>0.6499999999999998</v>
      </c>
      <c r="HE80" s="55">
        <f t="shared" si="501"/>
        <v>0.62999999999999978</v>
      </c>
      <c r="HF80" s="55">
        <f t="shared" si="501"/>
        <v>0.60999999999999976</v>
      </c>
      <c r="HG80" s="55">
        <f t="shared" si="501"/>
        <v>0.58999999999999975</v>
      </c>
      <c r="HH80" s="55">
        <f t="shared" si="501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86">
        <f>TRUNC(+D81*3.3058,-1)</f>
        <v>0</v>
      </c>
      <c r="H81" s="55">
        <f t="shared" si="60"/>
        <v>0</v>
      </c>
      <c r="I81" s="55">
        <f t="shared" si="61"/>
        <v>0</v>
      </c>
      <c r="J81" s="59">
        <f t="shared" si="62"/>
        <v>0</v>
      </c>
      <c r="K81" s="55">
        <f t="shared" si="363"/>
        <v>0</v>
      </c>
      <c r="L81" s="59">
        <f t="shared" si="364"/>
        <v>0</v>
      </c>
      <c r="M81" s="55">
        <f t="shared" si="365"/>
        <v>0</v>
      </c>
      <c r="N81" s="59">
        <f t="shared" si="366"/>
        <v>0</v>
      </c>
      <c r="O81" s="55">
        <f t="shared" si="367"/>
        <v>0</v>
      </c>
      <c r="P81" s="59">
        <f t="shared" si="368"/>
        <v>0</v>
      </c>
      <c r="Q81" s="57">
        <f t="shared" si="369"/>
        <v>0</v>
      </c>
      <c r="R81" s="59">
        <f t="shared" si="370"/>
        <v>0</v>
      </c>
      <c r="S81" s="55">
        <f t="shared" si="371"/>
        <v>0</v>
      </c>
      <c r="T81" s="59">
        <f t="shared" si="372"/>
        <v>0</v>
      </c>
      <c r="U81" s="57">
        <f t="shared" si="373"/>
        <v>0</v>
      </c>
      <c r="V81" s="59">
        <f t="shared" si="374"/>
        <v>0</v>
      </c>
      <c r="W81" s="60">
        <f t="shared" si="375"/>
        <v>0</v>
      </c>
      <c r="X81" s="59">
        <f t="shared" si="376"/>
        <v>0</v>
      </c>
      <c r="Y81" s="57">
        <f t="shared" si="377"/>
        <v>0</v>
      </c>
      <c r="Z81" s="59">
        <f t="shared" si="378"/>
        <v>0</v>
      </c>
      <c r="AA81" s="55">
        <f t="shared" si="379"/>
        <v>0</v>
      </c>
      <c r="AB81" s="59">
        <f t="shared" si="380"/>
        <v>0</v>
      </c>
      <c r="AC81" s="60">
        <f t="shared" si="381"/>
        <v>0</v>
      </c>
      <c r="AD81" s="59">
        <f t="shared" si="382"/>
        <v>0</v>
      </c>
      <c r="AE81" s="60">
        <f t="shared" si="383"/>
        <v>0</v>
      </c>
      <c r="AF81" s="59">
        <f t="shared" si="384"/>
        <v>0</v>
      </c>
      <c r="AG81" s="60">
        <f t="shared" si="385"/>
        <v>0</v>
      </c>
      <c r="AH81" s="59">
        <f t="shared" si="386"/>
        <v>0</v>
      </c>
      <c r="AI81" s="55">
        <f t="shared" si="387"/>
        <v>0</v>
      </c>
      <c r="AJ81" s="59">
        <f t="shared" si="388"/>
        <v>0</v>
      </c>
      <c r="AK81" s="60">
        <f t="shared" si="389"/>
        <v>0</v>
      </c>
      <c r="AL81" s="59">
        <f t="shared" si="390"/>
        <v>0</v>
      </c>
      <c r="AM81" s="60">
        <f t="shared" si="391"/>
        <v>0</v>
      </c>
      <c r="AN81" s="59">
        <f t="shared" si="392"/>
        <v>0</v>
      </c>
      <c r="AO81" s="60">
        <f t="shared" si="393"/>
        <v>0</v>
      </c>
      <c r="AP81" s="59">
        <f t="shared" si="394"/>
        <v>0</v>
      </c>
      <c r="AQ81" s="60">
        <f t="shared" si="395"/>
        <v>0</v>
      </c>
      <c r="AR81" s="59">
        <f t="shared" si="396"/>
        <v>0</v>
      </c>
      <c r="AS81" s="55">
        <f t="shared" si="397"/>
        <v>0</v>
      </c>
      <c r="AT81" s="59">
        <f t="shared" si="398"/>
        <v>0</v>
      </c>
      <c r="AU81" s="60">
        <f t="shared" si="399"/>
        <v>0</v>
      </c>
      <c r="AV81" s="59">
        <f t="shared" si="400"/>
        <v>0</v>
      </c>
      <c r="AW81" s="60">
        <f t="shared" si="401"/>
        <v>0</v>
      </c>
      <c r="AX81" s="59">
        <f t="shared" si="402"/>
        <v>0</v>
      </c>
      <c r="AY81" s="55">
        <f t="shared" si="403"/>
        <v>0</v>
      </c>
      <c r="AZ81" s="59">
        <f t="shared" si="404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497"/>
        <v>0.91</v>
      </c>
      <c r="BH81" s="55">
        <f t="shared" si="497"/>
        <v>0.89</v>
      </c>
      <c r="BI81" s="55">
        <f t="shared" si="497"/>
        <v>0.87</v>
      </c>
      <c r="BJ81" s="55">
        <f t="shared" si="497"/>
        <v>0.85</v>
      </c>
      <c r="BK81" s="55">
        <f t="shared" si="497"/>
        <v>0.83</v>
      </c>
      <c r="BL81" s="55">
        <f t="shared" si="497"/>
        <v>0.80999999999999994</v>
      </c>
      <c r="BM81" s="55">
        <f t="shared" si="497"/>
        <v>0.78999999999999992</v>
      </c>
      <c r="BN81" s="55">
        <f t="shared" si="497"/>
        <v>0.76999999999999991</v>
      </c>
      <c r="BO81" s="55">
        <f t="shared" si="497"/>
        <v>0.74999999999999989</v>
      </c>
      <c r="BP81" s="55">
        <f t="shared" si="497"/>
        <v>0.72999999999999987</v>
      </c>
      <c r="BQ81" s="55">
        <f t="shared" si="497"/>
        <v>0.70999999999999985</v>
      </c>
      <c r="BR81" s="55">
        <f t="shared" si="497"/>
        <v>0.68999999999999984</v>
      </c>
      <c r="BS81" s="55">
        <f t="shared" si="497"/>
        <v>0.66999999999999982</v>
      </c>
      <c r="BT81" s="55">
        <f t="shared" si="497"/>
        <v>0.6499999999999998</v>
      </c>
      <c r="BU81" s="55">
        <f t="shared" si="497"/>
        <v>0.62999999999999978</v>
      </c>
      <c r="BV81" s="55">
        <f t="shared" si="497"/>
        <v>0.60999999999999976</v>
      </c>
      <c r="BW81" s="55">
        <f t="shared" si="497"/>
        <v>0.58999999999999975</v>
      </c>
      <c r="BX81" s="55">
        <f t="shared" si="497"/>
        <v>0.56999999999999973</v>
      </c>
      <c r="BZ81" s="55">
        <f t="shared" si="87"/>
        <v>0</v>
      </c>
      <c r="CA81" s="55">
        <f t="shared" si="88"/>
        <v>0</v>
      </c>
      <c r="CB81" s="59">
        <f t="shared" si="406"/>
        <v>0</v>
      </c>
      <c r="CC81" s="55">
        <f t="shared" si="407"/>
        <v>0</v>
      </c>
      <c r="CD81" s="59">
        <f t="shared" si="408"/>
        <v>0</v>
      </c>
      <c r="CE81" s="55">
        <f t="shared" si="409"/>
        <v>0</v>
      </c>
      <c r="CF81" s="59">
        <f t="shared" si="410"/>
        <v>0</v>
      </c>
      <c r="CG81" s="55">
        <f t="shared" si="411"/>
        <v>0</v>
      </c>
      <c r="CH81" s="59">
        <f t="shared" si="412"/>
        <v>0</v>
      </c>
      <c r="CI81" s="57">
        <f t="shared" si="413"/>
        <v>0</v>
      </c>
      <c r="CJ81" s="59">
        <f t="shared" si="414"/>
        <v>0</v>
      </c>
      <c r="CK81" s="55">
        <f t="shared" si="415"/>
        <v>0</v>
      </c>
      <c r="CL81" s="59">
        <f t="shared" si="416"/>
        <v>0</v>
      </c>
      <c r="CM81" s="57">
        <f t="shared" si="417"/>
        <v>0</v>
      </c>
      <c r="CN81" s="59">
        <f t="shared" si="418"/>
        <v>0</v>
      </c>
      <c r="CO81" s="60">
        <f t="shared" si="419"/>
        <v>0</v>
      </c>
      <c r="CP81" s="59">
        <f t="shared" si="420"/>
        <v>0</v>
      </c>
      <c r="CQ81" s="57">
        <f t="shared" si="421"/>
        <v>0</v>
      </c>
      <c r="CR81" s="59">
        <f t="shared" si="422"/>
        <v>0</v>
      </c>
      <c r="CS81" s="55">
        <f t="shared" si="423"/>
        <v>0</v>
      </c>
      <c r="CT81" s="59">
        <f t="shared" si="424"/>
        <v>0</v>
      </c>
      <c r="CU81" s="60">
        <f t="shared" si="425"/>
        <v>0</v>
      </c>
      <c r="CV81" s="59">
        <f t="shared" si="426"/>
        <v>0</v>
      </c>
      <c r="CW81" s="60">
        <f t="shared" si="427"/>
        <v>0</v>
      </c>
      <c r="CX81" s="59">
        <f t="shared" si="428"/>
        <v>0</v>
      </c>
      <c r="CY81" s="60">
        <f t="shared" si="429"/>
        <v>0</v>
      </c>
      <c r="CZ81" s="59">
        <f t="shared" si="430"/>
        <v>0</v>
      </c>
      <c r="DA81" s="55">
        <f t="shared" si="431"/>
        <v>0</v>
      </c>
      <c r="DB81" s="59">
        <f t="shared" si="432"/>
        <v>0</v>
      </c>
      <c r="DC81" s="60">
        <f t="shared" si="433"/>
        <v>0</v>
      </c>
      <c r="DD81" s="59">
        <f t="shared" si="434"/>
        <v>0</v>
      </c>
      <c r="DE81" s="60">
        <f t="shared" si="435"/>
        <v>0</v>
      </c>
      <c r="DF81" s="59">
        <f t="shared" si="436"/>
        <v>0</v>
      </c>
      <c r="DG81" s="60">
        <f t="shared" si="437"/>
        <v>0</v>
      </c>
      <c r="DH81" s="59">
        <f t="shared" si="438"/>
        <v>0</v>
      </c>
      <c r="DI81" s="60">
        <f t="shared" si="439"/>
        <v>0</v>
      </c>
      <c r="DJ81" s="59">
        <f t="shared" si="440"/>
        <v>0</v>
      </c>
      <c r="DK81" s="55">
        <f t="shared" si="441"/>
        <v>0</v>
      </c>
      <c r="DL81" s="59">
        <f t="shared" si="442"/>
        <v>0</v>
      </c>
      <c r="DM81" s="60">
        <f t="shared" si="443"/>
        <v>0</v>
      </c>
      <c r="DN81" s="59">
        <f t="shared" si="444"/>
        <v>0</v>
      </c>
      <c r="DO81" s="60">
        <f t="shared" si="445"/>
        <v>0</v>
      </c>
      <c r="DP81" s="59">
        <f t="shared" si="446"/>
        <v>0</v>
      </c>
      <c r="DQ81" s="55">
        <f t="shared" si="447"/>
        <v>0</v>
      </c>
      <c r="DR81" s="59">
        <f t="shared" si="448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00"/>
        <v>0.91</v>
      </c>
      <c r="DZ81" s="55">
        <f t="shared" si="500"/>
        <v>0.89</v>
      </c>
      <c r="EA81" s="55">
        <f t="shared" si="500"/>
        <v>0.87</v>
      </c>
      <c r="EB81" s="55">
        <f t="shared" si="500"/>
        <v>0.85</v>
      </c>
      <c r="EC81" s="55">
        <f t="shared" si="500"/>
        <v>0.83</v>
      </c>
      <c r="ED81" s="55">
        <f t="shared" si="500"/>
        <v>0.80999999999999994</v>
      </c>
      <c r="EE81" s="55">
        <f t="shared" si="500"/>
        <v>0.78999999999999992</v>
      </c>
      <c r="EF81" s="55">
        <f t="shared" si="500"/>
        <v>0.76999999999999991</v>
      </c>
      <c r="EG81" s="55">
        <f t="shared" si="500"/>
        <v>0.74999999999999989</v>
      </c>
      <c r="EH81" s="55">
        <f t="shared" si="500"/>
        <v>0.72999999999999987</v>
      </c>
      <c r="EI81" s="55">
        <f t="shared" si="500"/>
        <v>0.70999999999999985</v>
      </c>
      <c r="EJ81" s="55">
        <f t="shared" si="500"/>
        <v>0.68999999999999984</v>
      </c>
      <c r="EK81" s="55">
        <f t="shared" si="500"/>
        <v>0.66999999999999982</v>
      </c>
      <c r="EL81" s="55">
        <f t="shared" si="500"/>
        <v>0.6499999999999998</v>
      </c>
      <c r="EM81" s="55">
        <f t="shared" si="500"/>
        <v>0.62999999999999978</v>
      </c>
      <c r="EN81" s="55">
        <f t="shared" si="500"/>
        <v>0.60999999999999976</v>
      </c>
      <c r="EO81" s="55">
        <f t="shared" si="500"/>
        <v>0.58999999999999975</v>
      </c>
      <c r="EP81" s="55">
        <f t="shared" si="500"/>
        <v>0.56999999999999973</v>
      </c>
      <c r="ER81" s="55">
        <f t="shared" si="141"/>
        <v>0</v>
      </c>
      <c r="ES81" s="55">
        <f t="shared" si="115"/>
        <v>0</v>
      </c>
      <c r="ET81" s="59">
        <f t="shared" si="450"/>
        <v>0</v>
      </c>
      <c r="EU81" s="55">
        <f t="shared" si="451"/>
        <v>0</v>
      </c>
      <c r="EV81" s="59">
        <f t="shared" si="452"/>
        <v>0</v>
      </c>
      <c r="EW81" s="55">
        <f t="shared" si="453"/>
        <v>0</v>
      </c>
      <c r="EX81" s="59">
        <f t="shared" si="454"/>
        <v>0</v>
      </c>
      <c r="EY81" s="55">
        <f t="shared" si="455"/>
        <v>0</v>
      </c>
      <c r="EZ81" s="59">
        <f t="shared" si="456"/>
        <v>0</v>
      </c>
      <c r="FA81" s="57">
        <f t="shared" si="457"/>
        <v>0</v>
      </c>
      <c r="FB81" s="59">
        <f t="shared" si="458"/>
        <v>0</v>
      </c>
      <c r="FC81" s="55">
        <f t="shared" si="459"/>
        <v>0</v>
      </c>
      <c r="FD81" s="59">
        <f t="shared" si="460"/>
        <v>0</v>
      </c>
      <c r="FE81" s="57">
        <f t="shared" si="461"/>
        <v>0</v>
      </c>
      <c r="FF81" s="59">
        <f t="shared" si="462"/>
        <v>0</v>
      </c>
      <c r="FG81" s="60">
        <f t="shared" si="463"/>
        <v>0</v>
      </c>
      <c r="FH81" s="59">
        <f t="shared" si="464"/>
        <v>0</v>
      </c>
      <c r="FI81" s="57">
        <f t="shared" si="465"/>
        <v>0</v>
      </c>
      <c r="FJ81" s="59">
        <f t="shared" si="466"/>
        <v>0</v>
      </c>
      <c r="FK81" s="55">
        <f t="shared" si="467"/>
        <v>0</v>
      </c>
      <c r="FL81" s="59">
        <f t="shared" si="468"/>
        <v>0</v>
      </c>
      <c r="FM81" s="60">
        <f t="shared" si="469"/>
        <v>0</v>
      </c>
      <c r="FN81" s="59">
        <f t="shared" si="470"/>
        <v>0</v>
      </c>
      <c r="FO81" s="60">
        <f t="shared" si="471"/>
        <v>0</v>
      </c>
      <c r="FP81" s="59">
        <f t="shared" si="472"/>
        <v>0</v>
      </c>
      <c r="FQ81" s="60">
        <f t="shared" si="473"/>
        <v>0</v>
      </c>
      <c r="FR81" s="59">
        <f t="shared" si="474"/>
        <v>0</v>
      </c>
      <c r="FS81" s="55">
        <f t="shared" si="475"/>
        <v>0</v>
      </c>
      <c r="FT81" s="59">
        <f t="shared" si="476"/>
        <v>0</v>
      </c>
      <c r="FU81" s="60">
        <f t="shared" si="477"/>
        <v>0</v>
      </c>
      <c r="FV81" s="59">
        <f t="shared" si="478"/>
        <v>0</v>
      </c>
      <c r="FW81" s="60">
        <f t="shared" si="479"/>
        <v>0</v>
      </c>
      <c r="FX81" s="59">
        <f t="shared" si="480"/>
        <v>0</v>
      </c>
      <c r="FY81" s="60">
        <f t="shared" si="481"/>
        <v>0</v>
      </c>
      <c r="FZ81" s="59">
        <f t="shared" si="482"/>
        <v>0</v>
      </c>
      <c r="GA81" s="60">
        <f t="shared" si="483"/>
        <v>0</v>
      </c>
      <c r="GB81" s="59">
        <f t="shared" si="484"/>
        <v>0</v>
      </c>
      <c r="GC81" s="55">
        <f t="shared" si="485"/>
        <v>0</v>
      </c>
      <c r="GD81" s="59">
        <f t="shared" si="486"/>
        <v>0</v>
      </c>
      <c r="GE81" s="60">
        <f t="shared" si="487"/>
        <v>0</v>
      </c>
      <c r="GF81" s="59">
        <f t="shared" si="488"/>
        <v>0</v>
      </c>
      <c r="GG81" s="60">
        <f t="shared" si="489"/>
        <v>0</v>
      </c>
      <c r="GH81" s="59">
        <f t="shared" si="490"/>
        <v>0</v>
      </c>
      <c r="GI81" s="55">
        <f t="shared" si="491"/>
        <v>0</v>
      </c>
      <c r="GJ81" s="59">
        <f t="shared" si="492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01"/>
        <v>0.91</v>
      </c>
      <c r="GR81" s="55">
        <f t="shared" si="501"/>
        <v>0.89</v>
      </c>
      <c r="GS81" s="55">
        <f t="shared" si="501"/>
        <v>0.87</v>
      </c>
      <c r="GT81" s="55">
        <f t="shared" si="501"/>
        <v>0.85</v>
      </c>
      <c r="GU81" s="55">
        <f t="shared" si="501"/>
        <v>0.83</v>
      </c>
      <c r="GV81" s="55">
        <f t="shared" si="501"/>
        <v>0.80999999999999994</v>
      </c>
      <c r="GW81" s="55">
        <f t="shared" si="501"/>
        <v>0.78999999999999992</v>
      </c>
      <c r="GX81" s="55">
        <f t="shared" si="501"/>
        <v>0.76999999999999991</v>
      </c>
      <c r="GY81" s="55">
        <f t="shared" si="501"/>
        <v>0.74999999999999989</v>
      </c>
      <c r="GZ81" s="55">
        <f t="shared" si="501"/>
        <v>0.72999999999999987</v>
      </c>
      <c r="HA81" s="55">
        <f t="shared" si="501"/>
        <v>0.70999999999999985</v>
      </c>
      <c r="HB81" s="55">
        <f t="shared" si="501"/>
        <v>0.68999999999999984</v>
      </c>
      <c r="HC81" s="55">
        <f t="shared" si="501"/>
        <v>0.66999999999999982</v>
      </c>
      <c r="HD81" s="55">
        <f t="shared" si="501"/>
        <v>0.6499999999999998</v>
      </c>
      <c r="HE81" s="55">
        <f t="shared" si="501"/>
        <v>0.62999999999999978</v>
      </c>
      <c r="HF81" s="55">
        <f t="shared" si="501"/>
        <v>0.60999999999999976</v>
      </c>
      <c r="HG81" s="55">
        <f t="shared" si="501"/>
        <v>0.58999999999999975</v>
      </c>
      <c r="HH81" s="55">
        <f t="shared" si="501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86">
        <f>TRUNC(+D82*3.3058,-1)</f>
        <v>0</v>
      </c>
      <c r="H82" s="55">
        <f t="shared" si="60"/>
        <v>0</v>
      </c>
      <c r="I82" s="55">
        <f t="shared" si="61"/>
        <v>0</v>
      </c>
      <c r="J82" s="59">
        <f t="shared" si="62"/>
        <v>0</v>
      </c>
      <c r="K82" s="55">
        <f t="shared" si="363"/>
        <v>0</v>
      </c>
      <c r="L82" s="59">
        <f t="shared" si="364"/>
        <v>0</v>
      </c>
      <c r="M82" s="55">
        <f t="shared" si="365"/>
        <v>0</v>
      </c>
      <c r="N82" s="59">
        <f t="shared" si="366"/>
        <v>0</v>
      </c>
      <c r="O82" s="55">
        <f t="shared" si="367"/>
        <v>0</v>
      </c>
      <c r="P82" s="59">
        <f t="shared" si="368"/>
        <v>0</v>
      </c>
      <c r="Q82" s="57">
        <f t="shared" si="369"/>
        <v>0</v>
      </c>
      <c r="R82" s="59">
        <f t="shared" si="370"/>
        <v>0</v>
      </c>
      <c r="S82" s="55">
        <f t="shared" si="371"/>
        <v>0</v>
      </c>
      <c r="T82" s="59">
        <f t="shared" si="372"/>
        <v>0</v>
      </c>
      <c r="U82" s="57">
        <f t="shared" si="373"/>
        <v>0</v>
      </c>
      <c r="V82" s="59">
        <f t="shared" si="374"/>
        <v>0</v>
      </c>
      <c r="W82" s="60">
        <f t="shared" si="375"/>
        <v>0</v>
      </c>
      <c r="X82" s="59">
        <f t="shared" si="376"/>
        <v>0</v>
      </c>
      <c r="Y82" s="57">
        <f t="shared" si="377"/>
        <v>0</v>
      </c>
      <c r="Z82" s="59">
        <f t="shared" si="378"/>
        <v>0</v>
      </c>
      <c r="AA82" s="55">
        <f t="shared" si="379"/>
        <v>0</v>
      </c>
      <c r="AB82" s="59">
        <f t="shared" si="380"/>
        <v>0</v>
      </c>
      <c r="AC82" s="60">
        <f t="shared" si="381"/>
        <v>0</v>
      </c>
      <c r="AD82" s="59">
        <f t="shared" si="382"/>
        <v>0</v>
      </c>
      <c r="AE82" s="60">
        <f t="shared" si="383"/>
        <v>0</v>
      </c>
      <c r="AF82" s="59">
        <f t="shared" si="384"/>
        <v>0</v>
      </c>
      <c r="AG82" s="60">
        <f t="shared" si="385"/>
        <v>0</v>
      </c>
      <c r="AH82" s="59">
        <f t="shared" si="386"/>
        <v>0</v>
      </c>
      <c r="AI82" s="55">
        <f t="shared" si="387"/>
        <v>0</v>
      </c>
      <c r="AJ82" s="59">
        <f t="shared" si="388"/>
        <v>0</v>
      </c>
      <c r="AK82" s="60">
        <f t="shared" si="389"/>
        <v>0</v>
      </c>
      <c r="AL82" s="59">
        <f t="shared" si="390"/>
        <v>0</v>
      </c>
      <c r="AM82" s="60">
        <f t="shared" si="391"/>
        <v>0</v>
      </c>
      <c r="AN82" s="59">
        <f t="shared" si="392"/>
        <v>0</v>
      </c>
      <c r="AO82" s="60">
        <f t="shared" si="393"/>
        <v>0</v>
      </c>
      <c r="AP82" s="59">
        <f t="shared" si="394"/>
        <v>0</v>
      </c>
      <c r="AQ82" s="60">
        <f t="shared" si="395"/>
        <v>0</v>
      </c>
      <c r="AR82" s="59">
        <f t="shared" si="396"/>
        <v>0</v>
      </c>
      <c r="AS82" s="55">
        <f t="shared" si="397"/>
        <v>0</v>
      </c>
      <c r="AT82" s="59">
        <f t="shared" si="398"/>
        <v>0</v>
      </c>
      <c r="AU82" s="60">
        <f t="shared" si="399"/>
        <v>0</v>
      </c>
      <c r="AV82" s="59">
        <f t="shared" si="400"/>
        <v>0</v>
      </c>
      <c r="AW82" s="60">
        <f t="shared" si="401"/>
        <v>0</v>
      </c>
      <c r="AX82" s="59">
        <f t="shared" si="402"/>
        <v>0</v>
      </c>
      <c r="AY82" s="55">
        <f t="shared" si="403"/>
        <v>0</v>
      </c>
      <c r="AZ82" s="59">
        <f t="shared" si="404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497"/>
        <v>0.91</v>
      </c>
      <c r="BH82" s="55">
        <f t="shared" si="497"/>
        <v>0.89</v>
      </c>
      <c r="BI82" s="55">
        <f t="shared" si="497"/>
        <v>0.87</v>
      </c>
      <c r="BJ82" s="55">
        <f t="shared" si="497"/>
        <v>0.85</v>
      </c>
      <c r="BK82" s="55">
        <f t="shared" si="497"/>
        <v>0.83</v>
      </c>
      <c r="BL82" s="55">
        <f t="shared" si="497"/>
        <v>0.80999999999999994</v>
      </c>
      <c r="BM82" s="55">
        <f t="shared" si="497"/>
        <v>0.78999999999999992</v>
      </c>
      <c r="BN82" s="55">
        <f t="shared" si="497"/>
        <v>0.76999999999999991</v>
      </c>
      <c r="BO82" s="55">
        <f t="shared" si="497"/>
        <v>0.74999999999999989</v>
      </c>
      <c r="BP82" s="55">
        <f t="shared" si="497"/>
        <v>0.72999999999999987</v>
      </c>
      <c r="BQ82" s="55">
        <f t="shared" si="497"/>
        <v>0.70999999999999985</v>
      </c>
      <c r="BR82" s="55">
        <f t="shared" si="497"/>
        <v>0.68999999999999984</v>
      </c>
      <c r="BS82" s="55">
        <f t="shared" si="497"/>
        <v>0.66999999999999982</v>
      </c>
      <c r="BT82" s="55">
        <f t="shared" si="497"/>
        <v>0.6499999999999998</v>
      </c>
      <c r="BU82" s="55">
        <f t="shared" si="497"/>
        <v>0.62999999999999978</v>
      </c>
      <c r="BV82" s="55">
        <f t="shared" si="497"/>
        <v>0.60999999999999976</v>
      </c>
      <c r="BW82" s="55">
        <f t="shared" si="497"/>
        <v>0.58999999999999975</v>
      </c>
      <c r="BX82" s="55">
        <f t="shared" si="497"/>
        <v>0.56999999999999973</v>
      </c>
      <c r="BZ82" s="55">
        <f t="shared" si="87"/>
        <v>0</v>
      </c>
      <c r="CA82" s="55">
        <f t="shared" si="88"/>
        <v>0</v>
      </c>
      <c r="CB82" s="59">
        <f t="shared" si="406"/>
        <v>0</v>
      </c>
      <c r="CC82" s="55">
        <f t="shared" si="407"/>
        <v>0</v>
      </c>
      <c r="CD82" s="59">
        <f t="shared" si="408"/>
        <v>0</v>
      </c>
      <c r="CE82" s="55">
        <f t="shared" si="409"/>
        <v>0</v>
      </c>
      <c r="CF82" s="59">
        <f t="shared" si="410"/>
        <v>0</v>
      </c>
      <c r="CG82" s="55">
        <f t="shared" si="411"/>
        <v>0</v>
      </c>
      <c r="CH82" s="59">
        <f t="shared" si="412"/>
        <v>0</v>
      </c>
      <c r="CI82" s="57">
        <f t="shared" si="413"/>
        <v>0</v>
      </c>
      <c r="CJ82" s="59">
        <f t="shared" si="414"/>
        <v>0</v>
      </c>
      <c r="CK82" s="55">
        <f t="shared" si="415"/>
        <v>0</v>
      </c>
      <c r="CL82" s="59">
        <f t="shared" si="416"/>
        <v>0</v>
      </c>
      <c r="CM82" s="57">
        <f t="shared" si="417"/>
        <v>0</v>
      </c>
      <c r="CN82" s="59">
        <f t="shared" si="418"/>
        <v>0</v>
      </c>
      <c r="CO82" s="60">
        <f t="shared" si="419"/>
        <v>0</v>
      </c>
      <c r="CP82" s="59">
        <f t="shared" si="420"/>
        <v>0</v>
      </c>
      <c r="CQ82" s="57">
        <f t="shared" si="421"/>
        <v>0</v>
      </c>
      <c r="CR82" s="59">
        <f t="shared" si="422"/>
        <v>0</v>
      </c>
      <c r="CS82" s="55">
        <f t="shared" si="423"/>
        <v>0</v>
      </c>
      <c r="CT82" s="59">
        <f t="shared" si="424"/>
        <v>0</v>
      </c>
      <c r="CU82" s="60">
        <f t="shared" si="425"/>
        <v>0</v>
      </c>
      <c r="CV82" s="59">
        <f t="shared" si="426"/>
        <v>0</v>
      </c>
      <c r="CW82" s="60">
        <f t="shared" si="427"/>
        <v>0</v>
      </c>
      <c r="CX82" s="59">
        <f t="shared" si="428"/>
        <v>0</v>
      </c>
      <c r="CY82" s="60">
        <f t="shared" si="429"/>
        <v>0</v>
      </c>
      <c r="CZ82" s="59">
        <f t="shared" si="430"/>
        <v>0</v>
      </c>
      <c r="DA82" s="55">
        <f t="shared" si="431"/>
        <v>0</v>
      </c>
      <c r="DB82" s="59">
        <f t="shared" si="432"/>
        <v>0</v>
      </c>
      <c r="DC82" s="60">
        <f t="shared" si="433"/>
        <v>0</v>
      </c>
      <c r="DD82" s="59">
        <f t="shared" si="434"/>
        <v>0</v>
      </c>
      <c r="DE82" s="60">
        <f t="shared" si="435"/>
        <v>0</v>
      </c>
      <c r="DF82" s="59">
        <f t="shared" si="436"/>
        <v>0</v>
      </c>
      <c r="DG82" s="60">
        <f t="shared" si="437"/>
        <v>0</v>
      </c>
      <c r="DH82" s="59">
        <f t="shared" si="438"/>
        <v>0</v>
      </c>
      <c r="DI82" s="60">
        <f t="shared" si="439"/>
        <v>0</v>
      </c>
      <c r="DJ82" s="59">
        <f t="shared" si="440"/>
        <v>0</v>
      </c>
      <c r="DK82" s="55">
        <f t="shared" si="441"/>
        <v>0</v>
      </c>
      <c r="DL82" s="59">
        <f t="shared" si="442"/>
        <v>0</v>
      </c>
      <c r="DM82" s="60">
        <f t="shared" si="443"/>
        <v>0</v>
      </c>
      <c r="DN82" s="59">
        <f t="shared" si="444"/>
        <v>0</v>
      </c>
      <c r="DO82" s="60">
        <f t="shared" si="445"/>
        <v>0</v>
      </c>
      <c r="DP82" s="59">
        <f t="shared" si="446"/>
        <v>0</v>
      </c>
      <c r="DQ82" s="55">
        <f t="shared" si="447"/>
        <v>0</v>
      </c>
      <c r="DR82" s="59">
        <f t="shared" si="448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00"/>
        <v>0.91</v>
      </c>
      <c r="DZ82" s="55">
        <f t="shared" si="500"/>
        <v>0.89</v>
      </c>
      <c r="EA82" s="55">
        <f t="shared" si="500"/>
        <v>0.87</v>
      </c>
      <c r="EB82" s="55">
        <f t="shared" si="500"/>
        <v>0.85</v>
      </c>
      <c r="EC82" s="55">
        <f t="shared" si="500"/>
        <v>0.83</v>
      </c>
      <c r="ED82" s="55">
        <f t="shared" si="500"/>
        <v>0.80999999999999994</v>
      </c>
      <c r="EE82" s="55">
        <f t="shared" si="500"/>
        <v>0.78999999999999992</v>
      </c>
      <c r="EF82" s="55">
        <f t="shared" si="500"/>
        <v>0.76999999999999991</v>
      </c>
      <c r="EG82" s="55">
        <f t="shared" si="500"/>
        <v>0.74999999999999989</v>
      </c>
      <c r="EH82" s="55">
        <f t="shared" si="500"/>
        <v>0.72999999999999987</v>
      </c>
      <c r="EI82" s="55">
        <f t="shared" si="500"/>
        <v>0.70999999999999985</v>
      </c>
      <c r="EJ82" s="55">
        <f t="shared" si="500"/>
        <v>0.68999999999999984</v>
      </c>
      <c r="EK82" s="55">
        <f t="shared" si="500"/>
        <v>0.66999999999999982</v>
      </c>
      <c r="EL82" s="55">
        <f t="shared" si="500"/>
        <v>0.6499999999999998</v>
      </c>
      <c r="EM82" s="55">
        <f t="shared" si="500"/>
        <v>0.62999999999999978</v>
      </c>
      <c r="EN82" s="55">
        <f t="shared" si="500"/>
        <v>0.60999999999999976</v>
      </c>
      <c r="EO82" s="55">
        <f t="shared" si="500"/>
        <v>0.58999999999999975</v>
      </c>
      <c r="EP82" s="55">
        <f t="shared" si="500"/>
        <v>0.56999999999999973</v>
      </c>
      <c r="ER82" s="55">
        <f t="shared" si="141"/>
        <v>0</v>
      </c>
      <c r="ES82" s="55">
        <f t="shared" si="115"/>
        <v>0</v>
      </c>
      <c r="ET82" s="59">
        <f t="shared" si="450"/>
        <v>0</v>
      </c>
      <c r="EU82" s="55">
        <f t="shared" si="451"/>
        <v>0</v>
      </c>
      <c r="EV82" s="59">
        <f t="shared" si="452"/>
        <v>0</v>
      </c>
      <c r="EW82" s="55">
        <f t="shared" si="453"/>
        <v>0</v>
      </c>
      <c r="EX82" s="59">
        <f t="shared" si="454"/>
        <v>0</v>
      </c>
      <c r="EY82" s="55">
        <f t="shared" si="455"/>
        <v>0</v>
      </c>
      <c r="EZ82" s="59">
        <f t="shared" si="456"/>
        <v>0</v>
      </c>
      <c r="FA82" s="57">
        <f t="shared" si="457"/>
        <v>0</v>
      </c>
      <c r="FB82" s="59">
        <f t="shared" si="458"/>
        <v>0</v>
      </c>
      <c r="FC82" s="55">
        <f t="shared" si="459"/>
        <v>0</v>
      </c>
      <c r="FD82" s="59">
        <f t="shared" si="460"/>
        <v>0</v>
      </c>
      <c r="FE82" s="57">
        <f t="shared" si="461"/>
        <v>0</v>
      </c>
      <c r="FF82" s="59">
        <f t="shared" si="462"/>
        <v>0</v>
      </c>
      <c r="FG82" s="60">
        <f t="shared" si="463"/>
        <v>0</v>
      </c>
      <c r="FH82" s="59">
        <f t="shared" si="464"/>
        <v>0</v>
      </c>
      <c r="FI82" s="57">
        <f t="shared" si="465"/>
        <v>0</v>
      </c>
      <c r="FJ82" s="59">
        <f t="shared" si="466"/>
        <v>0</v>
      </c>
      <c r="FK82" s="55">
        <f t="shared" si="467"/>
        <v>0</v>
      </c>
      <c r="FL82" s="59">
        <f t="shared" si="468"/>
        <v>0</v>
      </c>
      <c r="FM82" s="60">
        <f t="shared" si="469"/>
        <v>0</v>
      </c>
      <c r="FN82" s="59">
        <f t="shared" si="470"/>
        <v>0</v>
      </c>
      <c r="FO82" s="60">
        <f t="shared" si="471"/>
        <v>0</v>
      </c>
      <c r="FP82" s="59">
        <f t="shared" si="472"/>
        <v>0</v>
      </c>
      <c r="FQ82" s="60">
        <f t="shared" si="473"/>
        <v>0</v>
      </c>
      <c r="FR82" s="59">
        <f t="shared" si="474"/>
        <v>0</v>
      </c>
      <c r="FS82" s="55">
        <f t="shared" si="475"/>
        <v>0</v>
      </c>
      <c r="FT82" s="59">
        <f t="shared" si="476"/>
        <v>0</v>
      </c>
      <c r="FU82" s="60">
        <f t="shared" si="477"/>
        <v>0</v>
      </c>
      <c r="FV82" s="59">
        <f t="shared" si="478"/>
        <v>0</v>
      </c>
      <c r="FW82" s="60">
        <f t="shared" si="479"/>
        <v>0</v>
      </c>
      <c r="FX82" s="59">
        <f t="shared" si="480"/>
        <v>0</v>
      </c>
      <c r="FY82" s="60">
        <f t="shared" si="481"/>
        <v>0</v>
      </c>
      <c r="FZ82" s="59">
        <f t="shared" si="482"/>
        <v>0</v>
      </c>
      <c r="GA82" s="60">
        <f t="shared" si="483"/>
        <v>0</v>
      </c>
      <c r="GB82" s="59">
        <f t="shared" si="484"/>
        <v>0</v>
      </c>
      <c r="GC82" s="55">
        <f t="shared" si="485"/>
        <v>0</v>
      </c>
      <c r="GD82" s="59">
        <f t="shared" si="486"/>
        <v>0</v>
      </c>
      <c r="GE82" s="60">
        <f t="shared" si="487"/>
        <v>0</v>
      </c>
      <c r="GF82" s="59">
        <f t="shared" si="488"/>
        <v>0</v>
      </c>
      <c r="GG82" s="60">
        <f t="shared" si="489"/>
        <v>0</v>
      </c>
      <c r="GH82" s="59">
        <f t="shared" si="490"/>
        <v>0</v>
      </c>
      <c r="GI82" s="55">
        <f t="shared" si="491"/>
        <v>0</v>
      </c>
      <c r="GJ82" s="59">
        <f t="shared" si="492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01"/>
        <v>0.91</v>
      </c>
      <c r="GR82" s="55">
        <f t="shared" si="501"/>
        <v>0.89</v>
      </c>
      <c r="GS82" s="55">
        <f t="shared" si="501"/>
        <v>0.87</v>
      </c>
      <c r="GT82" s="55">
        <f t="shared" si="501"/>
        <v>0.85</v>
      </c>
      <c r="GU82" s="55">
        <f t="shared" si="501"/>
        <v>0.83</v>
      </c>
      <c r="GV82" s="55">
        <f t="shared" si="501"/>
        <v>0.80999999999999994</v>
      </c>
      <c r="GW82" s="55">
        <f t="shared" si="501"/>
        <v>0.78999999999999992</v>
      </c>
      <c r="GX82" s="55">
        <f t="shared" si="501"/>
        <v>0.76999999999999991</v>
      </c>
      <c r="GY82" s="55">
        <f t="shared" si="501"/>
        <v>0.74999999999999989</v>
      </c>
      <c r="GZ82" s="55">
        <f t="shared" si="501"/>
        <v>0.72999999999999987</v>
      </c>
      <c r="HA82" s="55">
        <f t="shared" si="501"/>
        <v>0.70999999999999985</v>
      </c>
      <c r="HB82" s="55">
        <f t="shared" si="501"/>
        <v>0.68999999999999984</v>
      </c>
      <c r="HC82" s="55">
        <f t="shared" si="501"/>
        <v>0.66999999999999982</v>
      </c>
      <c r="HD82" s="55">
        <f t="shared" si="501"/>
        <v>0.6499999999999998</v>
      </c>
      <c r="HE82" s="55">
        <f t="shared" si="501"/>
        <v>0.62999999999999978</v>
      </c>
      <c r="HF82" s="55">
        <f t="shared" si="501"/>
        <v>0.60999999999999976</v>
      </c>
      <c r="HG82" s="55">
        <f t="shared" si="501"/>
        <v>0.58999999999999975</v>
      </c>
      <c r="HH82" s="55">
        <f t="shared" si="501"/>
        <v>0.56999999999999973</v>
      </c>
    </row>
    <row r="83" spans="1:216" x14ac:dyDescent="0.3">
      <c r="A83" s="2">
        <v>21</v>
      </c>
      <c r="C83" s="38" t="s">
        <v>35</v>
      </c>
      <c r="D83" s="42">
        <f>TRUNC(8938,-1)</f>
        <v>8930</v>
      </c>
      <c r="E83" s="86">
        <f>TRUNC(+D83*3.3058,-1)</f>
        <v>29520</v>
      </c>
      <c r="H83" s="55">
        <f t="shared" si="60"/>
        <v>32472.000000000004</v>
      </c>
      <c r="I83" s="55">
        <f t="shared" si="61"/>
        <v>32472.000000000004</v>
      </c>
      <c r="J83" s="59">
        <f t="shared" si="62"/>
        <v>107345.93760000002</v>
      </c>
      <c r="K83" s="55">
        <f t="shared" si="363"/>
        <v>31497.840000000004</v>
      </c>
      <c r="L83" s="59">
        <f t="shared" si="364"/>
        <v>104125.55947200001</v>
      </c>
      <c r="M83" s="55">
        <f t="shared" si="365"/>
        <v>30848.400000000001</v>
      </c>
      <c r="N83" s="59">
        <f t="shared" si="366"/>
        <v>101978.64072000001</v>
      </c>
      <c r="O83" s="55">
        <f t="shared" si="367"/>
        <v>30198.960000000006</v>
      </c>
      <c r="P83" s="59">
        <f t="shared" si="368"/>
        <v>99831.721968000027</v>
      </c>
      <c r="Q83" s="57">
        <f t="shared" si="369"/>
        <v>29549.520000000004</v>
      </c>
      <c r="R83" s="59">
        <f t="shared" si="370"/>
        <v>97684.803216000015</v>
      </c>
      <c r="S83" s="55">
        <f t="shared" si="371"/>
        <v>28900.080000000005</v>
      </c>
      <c r="T83" s="59">
        <f t="shared" si="372"/>
        <v>95537.884464000017</v>
      </c>
      <c r="U83" s="57">
        <f t="shared" si="373"/>
        <v>28250.640000000003</v>
      </c>
      <c r="V83" s="59">
        <f t="shared" si="374"/>
        <v>93390.965712000019</v>
      </c>
      <c r="W83" s="60">
        <f t="shared" si="375"/>
        <v>27601.200000000001</v>
      </c>
      <c r="X83" s="59">
        <f t="shared" si="376"/>
        <v>91244.046960000007</v>
      </c>
      <c r="Y83" s="57">
        <f t="shared" si="377"/>
        <v>26951.760000000002</v>
      </c>
      <c r="Z83" s="59">
        <f t="shared" si="378"/>
        <v>89097.128208000009</v>
      </c>
      <c r="AA83" s="55">
        <f t="shared" si="379"/>
        <v>26302.32</v>
      </c>
      <c r="AB83" s="59">
        <f t="shared" si="380"/>
        <v>86950.209455999997</v>
      </c>
      <c r="AC83" s="60">
        <f t="shared" si="381"/>
        <v>25652.880000000001</v>
      </c>
      <c r="AD83" s="59">
        <f t="shared" si="382"/>
        <v>84803.290703999999</v>
      </c>
      <c r="AE83" s="60">
        <f t="shared" si="383"/>
        <v>25003.439999999999</v>
      </c>
      <c r="AF83" s="59">
        <f t="shared" si="384"/>
        <v>82656.371952000001</v>
      </c>
      <c r="AG83" s="60">
        <f t="shared" si="385"/>
        <v>24354</v>
      </c>
      <c r="AH83" s="59">
        <f t="shared" si="386"/>
        <v>80509.453200000004</v>
      </c>
      <c r="AI83" s="55">
        <f t="shared" si="387"/>
        <v>23704.559999999998</v>
      </c>
      <c r="AJ83" s="59">
        <f t="shared" si="388"/>
        <v>78362.534447999991</v>
      </c>
      <c r="AK83" s="60">
        <f t="shared" si="389"/>
        <v>23055.119999999999</v>
      </c>
      <c r="AL83" s="59">
        <f t="shared" si="390"/>
        <v>76215.615695999993</v>
      </c>
      <c r="AM83" s="60">
        <f t="shared" si="391"/>
        <v>22405.679999999997</v>
      </c>
      <c r="AN83" s="59">
        <f t="shared" si="392"/>
        <v>74068.696943999996</v>
      </c>
      <c r="AO83" s="60">
        <f t="shared" si="393"/>
        <v>21756.239999999998</v>
      </c>
      <c r="AP83" s="59">
        <f t="shared" si="394"/>
        <v>71921.778191999998</v>
      </c>
      <c r="AQ83" s="60">
        <f t="shared" si="395"/>
        <v>21106.799999999996</v>
      </c>
      <c r="AR83" s="59">
        <f t="shared" si="396"/>
        <v>69774.859439999986</v>
      </c>
      <c r="AS83" s="55">
        <f t="shared" si="397"/>
        <v>20457.359999999997</v>
      </c>
      <c r="AT83" s="59">
        <f t="shared" si="398"/>
        <v>67627.940687999988</v>
      </c>
      <c r="AU83" s="60">
        <f t="shared" si="399"/>
        <v>19807.919999999995</v>
      </c>
      <c r="AV83" s="59">
        <f t="shared" si="400"/>
        <v>65481.021935999983</v>
      </c>
      <c r="AW83" s="60">
        <f t="shared" si="401"/>
        <v>19158.479999999992</v>
      </c>
      <c r="AX83" s="59">
        <f t="shared" si="402"/>
        <v>63334.103183999978</v>
      </c>
      <c r="AY83" s="55">
        <f t="shared" si="403"/>
        <v>18509.039999999994</v>
      </c>
      <c r="AZ83" s="59">
        <f t="shared" si="404"/>
        <v>61187.18443199998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497"/>
        <v>0.91</v>
      </c>
      <c r="BH83" s="55">
        <f t="shared" si="497"/>
        <v>0.89</v>
      </c>
      <c r="BI83" s="55">
        <f t="shared" si="497"/>
        <v>0.87</v>
      </c>
      <c r="BJ83" s="55">
        <f t="shared" si="497"/>
        <v>0.85</v>
      </c>
      <c r="BK83" s="55">
        <f t="shared" si="497"/>
        <v>0.83</v>
      </c>
      <c r="BL83" s="55">
        <f t="shared" si="497"/>
        <v>0.80999999999999994</v>
      </c>
      <c r="BM83" s="55">
        <f t="shared" si="497"/>
        <v>0.78999999999999992</v>
      </c>
      <c r="BN83" s="55">
        <f t="shared" si="497"/>
        <v>0.76999999999999991</v>
      </c>
      <c r="BO83" s="55">
        <f t="shared" si="497"/>
        <v>0.74999999999999989</v>
      </c>
      <c r="BP83" s="55">
        <f t="shared" si="497"/>
        <v>0.72999999999999987</v>
      </c>
      <c r="BQ83" s="55">
        <f t="shared" si="497"/>
        <v>0.70999999999999985</v>
      </c>
      <c r="BR83" s="55">
        <f t="shared" si="497"/>
        <v>0.68999999999999984</v>
      </c>
      <c r="BS83" s="55">
        <f t="shared" si="497"/>
        <v>0.66999999999999982</v>
      </c>
      <c r="BT83" s="55">
        <f t="shared" si="497"/>
        <v>0.6499999999999998</v>
      </c>
      <c r="BU83" s="55">
        <f t="shared" si="497"/>
        <v>0.62999999999999978</v>
      </c>
      <c r="BV83" s="55">
        <f t="shared" si="497"/>
        <v>0.60999999999999976</v>
      </c>
      <c r="BW83" s="55">
        <f t="shared" si="497"/>
        <v>0.58999999999999975</v>
      </c>
      <c r="BX83" s="55">
        <f t="shared" si="497"/>
        <v>0.56999999999999973</v>
      </c>
      <c r="BZ83" s="55">
        <f t="shared" si="87"/>
        <v>29549.520000000004</v>
      </c>
      <c r="CA83" s="55">
        <f t="shared" si="88"/>
        <v>29549.520000000004</v>
      </c>
      <c r="CB83" s="59">
        <f t="shared" si="406"/>
        <v>97684.803216000015</v>
      </c>
      <c r="CC83" s="55">
        <f t="shared" si="407"/>
        <v>28663.034400000004</v>
      </c>
      <c r="CD83" s="59">
        <f t="shared" si="408"/>
        <v>94754.259119520022</v>
      </c>
      <c r="CE83" s="55">
        <f t="shared" si="409"/>
        <v>28072.044000000002</v>
      </c>
      <c r="CF83" s="59">
        <f t="shared" si="410"/>
        <v>92800.563055200008</v>
      </c>
      <c r="CG83" s="55">
        <f t="shared" si="411"/>
        <v>27481.053600000007</v>
      </c>
      <c r="CH83" s="59">
        <f t="shared" si="412"/>
        <v>90846.866990880022</v>
      </c>
      <c r="CI83" s="57">
        <f t="shared" si="413"/>
        <v>26890.063200000004</v>
      </c>
      <c r="CJ83" s="59">
        <f t="shared" si="414"/>
        <v>88893.170926560022</v>
      </c>
      <c r="CK83" s="55">
        <f t="shared" si="415"/>
        <v>26299.072800000005</v>
      </c>
      <c r="CL83" s="59">
        <f t="shared" si="416"/>
        <v>86939.474862240022</v>
      </c>
      <c r="CM83" s="57">
        <f t="shared" si="417"/>
        <v>25708.082400000003</v>
      </c>
      <c r="CN83" s="59">
        <f t="shared" si="418"/>
        <v>84985.778797920007</v>
      </c>
      <c r="CO83" s="60">
        <f t="shared" si="419"/>
        <v>25117.092000000004</v>
      </c>
      <c r="CP83" s="59">
        <f t="shared" si="420"/>
        <v>83032.082733600022</v>
      </c>
      <c r="CQ83" s="57">
        <f t="shared" si="421"/>
        <v>24526.101600000002</v>
      </c>
      <c r="CR83" s="59">
        <f t="shared" si="422"/>
        <v>81078.386669280007</v>
      </c>
      <c r="CS83" s="55">
        <f t="shared" si="423"/>
        <v>23935.111200000003</v>
      </c>
      <c r="CT83" s="59">
        <f t="shared" si="424"/>
        <v>79124.690604960007</v>
      </c>
      <c r="CU83" s="60">
        <f t="shared" si="425"/>
        <v>23344.120800000001</v>
      </c>
      <c r="CV83" s="59">
        <f t="shared" si="426"/>
        <v>77170.994540640007</v>
      </c>
      <c r="CW83" s="60">
        <f t="shared" si="427"/>
        <v>22753.130400000002</v>
      </c>
      <c r="CX83" s="59">
        <f t="shared" si="428"/>
        <v>75217.298476320007</v>
      </c>
      <c r="CY83" s="60">
        <f t="shared" si="429"/>
        <v>22162.14</v>
      </c>
      <c r="CZ83" s="59">
        <f t="shared" si="430"/>
        <v>73263.602411999993</v>
      </c>
      <c r="DA83" s="55">
        <f t="shared" si="431"/>
        <v>21571.149600000001</v>
      </c>
      <c r="DB83" s="59">
        <f t="shared" si="432"/>
        <v>71309.906347680007</v>
      </c>
      <c r="DC83" s="60">
        <f t="shared" si="433"/>
        <v>20980.159199999998</v>
      </c>
      <c r="DD83" s="59">
        <f t="shared" si="434"/>
        <v>69356.210283359993</v>
      </c>
      <c r="DE83" s="60">
        <f t="shared" si="435"/>
        <v>20389.168799999999</v>
      </c>
      <c r="DF83" s="59">
        <f t="shared" si="436"/>
        <v>67402.514219039993</v>
      </c>
      <c r="DG83" s="60">
        <f t="shared" si="437"/>
        <v>19798.178399999997</v>
      </c>
      <c r="DH83" s="59">
        <f t="shared" si="438"/>
        <v>65448.818154719993</v>
      </c>
      <c r="DI83" s="60">
        <f t="shared" si="439"/>
        <v>19207.187999999998</v>
      </c>
      <c r="DJ83" s="59">
        <f t="shared" si="440"/>
        <v>63495.122090399993</v>
      </c>
      <c r="DK83" s="55">
        <f t="shared" si="441"/>
        <v>18616.197599999996</v>
      </c>
      <c r="DL83" s="59">
        <f t="shared" si="442"/>
        <v>61541.426026079986</v>
      </c>
      <c r="DM83" s="60">
        <f t="shared" si="443"/>
        <v>18025.207199999997</v>
      </c>
      <c r="DN83" s="59">
        <f t="shared" si="444"/>
        <v>59587.729961759993</v>
      </c>
      <c r="DO83" s="60">
        <f t="shared" si="445"/>
        <v>17434.216799999995</v>
      </c>
      <c r="DP83" s="59">
        <f t="shared" si="446"/>
        <v>57634.033897439986</v>
      </c>
      <c r="DQ83" s="55">
        <f t="shared" si="447"/>
        <v>16843.226399999996</v>
      </c>
      <c r="DR83" s="59">
        <f t="shared" si="448"/>
        <v>55680.337833119986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00"/>
        <v>0.91</v>
      </c>
      <c r="DZ83" s="55">
        <f t="shared" si="500"/>
        <v>0.89</v>
      </c>
      <c r="EA83" s="55">
        <f t="shared" si="500"/>
        <v>0.87</v>
      </c>
      <c r="EB83" s="55">
        <f t="shared" si="500"/>
        <v>0.85</v>
      </c>
      <c r="EC83" s="55">
        <f t="shared" si="500"/>
        <v>0.83</v>
      </c>
      <c r="ED83" s="55">
        <f t="shared" si="500"/>
        <v>0.80999999999999994</v>
      </c>
      <c r="EE83" s="55">
        <f t="shared" si="500"/>
        <v>0.78999999999999992</v>
      </c>
      <c r="EF83" s="55">
        <f t="shared" si="500"/>
        <v>0.76999999999999991</v>
      </c>
      <c r="EG83" s="55">
        <f t="shared" si="500"/>
        <v>0.74999999999999989</v>
      </c>
      <c r="EH83" s="55">
        <f t="shared" si="500"/>
        <v>0.72999999999999987</v>
      </c>
      <c r="EI83" s="55">
        <f t="shared" si="500"/>
        <v>0.70999999999999985</v>
      </c>
      <c r="EJ83" s="55">
        <f t="shared" si="500"/>
        <v>0.68999999999999984</v>
      </c>
      <c r="EK83" s="55">
        <f t="shared" si="500"/>
        <v>0.66999999999999982</v>
      </c>
      <c r="EL83" s="55">
        <f t="shared" si="500"/>
        <v>0.6499999999999998</v>
      </c>
      <c r="EM83" s="55">
        <f t="shared" si="500"/>
        <v>0.62999999999999978</v>
      </c>
      <c r="EN83" s="55">
        <f t="shared" si="500"/>
        <v>0.60999999999999976</v>
      </c>
      <c r="EO83" s="55">
        <f t="shared" si="500"/>
        <v>0.58999999999999975</v>
      </c>
      <c r="EP83" s="55">
        <f t="shared" si="500"/>
        <v>0.56999999999999973</v>
      </c>
      <c r="ER83" s="55">
        <f t="shared" si="141"/>
        <v>26890.063200000004</v>
      </c>
      <c r="ES83" s="55">
        <f t="shared" si="115"/>
        <v>26890.063200000004</v>
      </c>
      <c r="ET83" s="59">
        <f t="shared" si="450"/>
        <v>88893.170926560022</v>
      </c>
      <c r="EU83" s="55">
        <f t="shared" si="451"/>
        <v>26083.361304000002</v>
      </c>
      <c r="EV83" s="59">
        <f t="shared" si="452"/>
        <v>86226.375798763213</v>
      </c>
      <c r="EW83" s="55">
        <f t="shared" si="453"/>
        <v>25545.560040000004</v>
      </c>
      <c r="EX83" s="59">
        <f t="shared" si="454"/>
        <v>84448.512380232016</v>
      </c>
      <c r="EY83" s="55">
        <f t="shared" si="455"/>
        <v>25007.758776000006</v>
      </c>
      <c r="EZ83" s="59">
        <f t="shared" si="456"/>
        <v>82670.648961700819</v>
      </c>
      <c r="FA83" s="57">
        <f t="shared" si="457"/>
        <v>24469.957512000004</v>
      </c>
      <c r="FB83" s="59">
        <f t="shared" si="458"/>
        <v>80892.785543169623</v>
      </c>
      <c r="FC83" s="55">
        <f t="shared" si="459"/>
        <v>23932.156248000003</v>
      </c>
      <c r="FD83" s="59">
        <f t="shared" si="460"/>
        <v>79114.922124638411</v>
      </c>
      <c r="FE83" s="57">
        <f t="shared" si="461"/>
        <v>23394.354984000005</v>
      </c>
      <c r="FF83" s="59">
        <f t="shared" si="462"/>
        <v>77337.058706107215</v>
      </c>
      <c r="FG83" s="60">
        <f t="shared" si="463"/>
        <v>22856.553720000004</v>
      </c>
      <c r="FH83" s="59">
        <f t="shared" si="464"/>
        <v>75559.195287576018</v>
      </c>
      <c r="FI83" s="57">
        <f t="shared" si="465"/>
        <v>22318.752456000002</v>
      </c>
      <c r="FJ83" s="59">
        <f t="shared" si="466"/>
        <v>73781.331869044807</v>
      </c>
      <c r="FK83" s="55">
        <f t="shared" si="467"/>
        <v>21780.951192</v>
      </c>
      <c r="FL83" s="59">
        <f t="shared" si="468"/>
        <v>72003.46845051361</v>
      </c>
      <c r="FM83" s="60">
        <f t="shared" si="469"/>
        <v>21243.149928000003</v>
      </c>
      <c r="FN83" s="59">
        <f t="shared" si="470"/>
        <v>70225.605031982413</v>
      </c>
      <c r="FO83" s="60">
        <f t="shared" si="471"/>
        <v>20705.348664000001</v>
      </c>
      <c r="FP83" s="59">
        <f t="shared" si="472"/>
        <v>68447.741613451202</v>
      </c>
      <c r="FQ83" s="60">
        <f t="shared" si="473"/>
        <v>20167.547399999999</v>
      </c>
      <c r="FR83" s="59">
        <f t="shared" si="474"/>
        <v>66669.878194920006</v>
      </c>
      <c r="FS83" s="55">
        <f t="shared" si="475"/>
        <v>19629.746135999998</v>
      </c>
      <c r="FT83" s="59">
        <f t="shared" si="476"/>
        <v>64892.014776388794</v>
      </c>
      <c r="FU83" s="60">
        <f t="shared" si="477"/>
        <v>19091.944872</v>
      </c>
      <c r="FV83" s="59">
        <f t="shared" si="478"/>
        <v>63114.151357857605</v>
      </c>
      <c r="FW83" s="60">
        <f t="shared" si="479"/>
        <v>18554.143607999998</v>
      </c>
      <c r="FX83" s="59">
        <f t="shared" si="480"/>
        <v>61336.287939326394</v>
      </c>
      <c r="FY83" s="60">
        <f t="shared" si="481"/>
        <v>18016.342343999997</v>
      </c>
      <c r="FZ83" s="59">
        <f t="shared" si="482"/>
        <v>59558.42452079519</v>
      </c>
      <c r="GA83" s="60">
        <f t="shared" si="483"/>
        <v>17478.541079999999</v>
      </c>
      <c r="GB83" s="59">
        <f t="shared" si="484"/>
        <v>57780.561102264001</v>
      </c>
      <c r="GC83" s="55">
        <f t="shared" si="485"/>
        <v>16940.739815999998</v>
      </c>
      <c r="GD83" s="59">
        <f t="shared" si="486"/>
        <v>56002.697683732797</v>
      </c>
      <c r="GE83" s="60">
        <f t="shared" si="487"/>
        <v>16402.938551999996</v>
      </c>
      <c r="GF83" s="59">
        <f t="shared" si="488"/>
        <v>54224.834265201585</v>
      </c>
      <c r="GG83" s="60">
        <f t="shared" si="489"/>
        <v>15865.137287999996</v>
      </c>
      <c r="GH83" s="59">
        <f t="shared" si="490"/>
        <v>52446.970846670389</v>
      </c>
      <c r="GI83" s="55">
        <f t="shared" si="491"/>
        <v>15327.336023999995</v>
      </c>
      <c r="GJ83" s="59">
        <f t="shared" si="492"/>
        <v>50669.107428139185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01"/>
        <v>0.91</v>
      </c>
      <c r="GR83" s="55">
        <f t="shared" si="501"/>
        <v>0.89</v>
      </c>
      <c r="GS83" s="55">
        <f t="shared" si="501"/>
        <v>0.87</v>
      </c>
      <c r="GT83" s="55">
        <f t="shared" si="501"/>
        <v>0.85</v>
      </c>
      <c r="GU83" s="55">
        <f t="shared" si="501"/>
        <v>0.83</v>
      </c>
      <c r="GV83" s="55">
        <f t="shared" si="501"/>
        <v>0.80999999999999994</v>
      </c>
      <c r="GW83" s="55">
        <f t="shared" si="501"/>
        <v>0.78999999999999992</v>
      </c>
      <c r="GX83" s="55">
        <f t="shared" si="501"/>
        <v>0.76999999999999991</v>
      </c>
      <c r="GY83" s="55">
        <f t="shared" si="501"/>
        <v>0.74999999999999989</v>
      </c>
      <c r="GZ83" s="55">
        <f t="shared" si="501"/>
        <v>0.72999999999999987</v>
      </c>
      <c r="HA83" s="55">
        <f t="shared" si="501"/>
        <v>0.70999999999999985</v>
      </c>
      <c r="HB83" s="55">
        <f t="shared" si="501"/>
        <v>0.68999999999999984</v>
      </c>
      <c r="HC83" s="55">
        <f t="shared" si="501"/>
        <v>0.66999999999999982</v>
      </c>
      <c r="HD83" s="55">
        <f t="shared" si="501"/>
        <v>0.6499999999999998</v>
      </c>
      <c r="HE83" s="55">
        <f t="shared" si="501"/>
        <v>0.62999999999999978</v>
      </c>
      <c r="HF83" s="55">
        <f t="shared" si="501"/>
        <v>0.60999999999999976</v>
      </c>
      <c r="HG83" s="55">
        <f t="shared" si="501"/>
        <v>0.58999999999999975</v>
      </c>
      <c r="HH83" s="55">
        <f t="shared" si="501"/>
        <v>0.56999999999999973</v>
      </c>
    </row>
    <row r="84" spans="1:216" x14ac:dyDescent="0.3">
      <c r="A84" s="2">
        <v>22</v>
      </c>
      <c r="C84" s="38" t="s">
        <v>36</v>
      </c>
      <c r="D84" s="42">
        <f>TRUNC(64,-1)</f>
        <v>60</v>
      </c>
      <c r="E84" s="86">
        <f>TRUNC(+D84*3.3058,-1)</f>
        <v>190</v>
      </c>
      <c r="H84" s="55">
        <f t="shared" ref="H84:H147" si="502">+E84*1.1</f>
        <v>209.00000000000003</v>
      </c>
      <c r="I84" s="55">
        <f t="shared" ref="I84:I147" si="503">+H84</f>
        <v>209.00000000000003</v>
      </c>
      <c r="J84" s="59">
        <f t="shared" ref="J84:J147" si="504">+I84*3.3058</f>
        <v>690.9122000000001</v>
      </c>
      <c r="K84" s="55">
        <f t="shared" si="363"/>
        <v>202.73000000000002</v>
      </c>
      <c r="L84" s="59">
        <f t="shared" si="364"/>
        <v>670.18483400000002</v>
      </c>
      <c r="M84" s="55">
        <f t="shared" si="365"/>
        <v>198.55</v>
      </c>
      <c r="N84" s="59">
        <f t="shared" si="366"/>
        <v>656.36659000000009</v>
      </c>
      <c r="O84" s="55">
        <f t="shared" si="367"/>
        <v>194.37000000000003</v>
      </c>
      <c r="P84" s="59">
        <f t="shared" si="368"/>
        <v>642.54834600000015</v>
      </c>
      <c r="Q84" s="57">
        <f t="shared" si="369"/>
        <v>190.19000000000003</v>
      </c>
      <c r="R84" s="59">
        <f t="shared" si="370"/>
        <v>628.7301020000001</v>
      </c>
      <c r="S84" s="55">
        <f t="shared" si="371"/>
        <v>186.01000000000002</v>
      </c>
      <c r="T84" s="59">
        <f t="shared" si="372"/>
        <v>614.91185800000005</v>
      </c>
      <c r="U84" s="57">
        <f t="shared" si="373"/>
        <v>181.83</v>
      </c>
      <c r="V84" s="59">
        <f t="shared" si="374"/>
        <v>601.093614</v>
      </c>
      <c r="W84" s="60">
        <f t="shared" si="375"/>
        <v>177.65</v>
      </c>
      <c r="X84" s="59">
        <f t="shared" si="376"/>
        <v>587.27537000000007</v>
      </c>
      <c r="Y84" s="57">
        <f t="shared" si="377"/>
        <v>173.47000000000003</v>
      </c>
      <c r="Z84" s="59">
        <f t="shared" si="378"/>
        <v>573.45712600000013</v>
      </c>
      <c r="AA84" s="55">
        <f t="shared" si="379"/>
        <v>169.29000000000002</v>
      </c>
      <c r="AB84" s="59">
        <f t="shared" si="380"/>
        <v>559.63888200000008</v>
      </c>
      <c r="AC84" s="60">
        <f t="shared" si="381"/>
        <v>165.11</v>
      </c>
      <c r="AD84" s="59">
        <f t="shared" si="382"/>
        <v>545.82063800000003</v>
      </c>
      <c r="AE84" s="60">
        <f t="shared" si="383"/>
        <v>160.93</v>
      </c>
      <c r="AF84" s="59">
        <f t="shared" si="384"/>
        <v>532.00239399999998</v>
      </c>
      <c r="AG84" s="60">
        <f t="shared" si="385"/>
        <v>156.75</v>
      </c>
      <c r="AH84" s="59">
        <f t="shared" si="386"/>
        <v>518.18415000000005</v>
      </c>
      <c r="AI84" s="55">
        <f t="shared" si="387"/>
        <v>152.57</v>
      </c>
      <c r="AJ84" s="59">
        <f t="shared" si="388"/>
        <v>504.365906</v>
      </c>
      <c r="AK84" s="60">
        <f t="shared" si="389"/>
        <v>148.38999999999999</v>
      </c>
      <c r="AL84" s="59">
        <f t="shared" si="390"/>
        <v>490.54766199999995</v>
      </c>
      <c r="AM84" s="60">
        <f t="shared" si="391"/>
        <v>144.20999999999998</v>
      </c>
      <c r="AN84" s="59">
        <f t="shared" si="392"/>
        <v>476.72941799999995</v>
      </c>
      <c r="AO84" s="60">
        <f t="shared" si="393"/>
        <v>140.02999999999997</v>
      </c>
      <c r="AP84" s="59">
        <f t="shared" si="394"/>
        <v>462.9111739999999</v>
      </c>
      <c r="AQ84" s="60">
        <f t="shared" si="395"/>
        <v>135.84999999999997</v>
      </c>
      <c r="AR84" s="59">
        <f t="shared" si="396"/>
        <v>449.09292999999991</v>
      </c>
      <c r="AS84" s="55">
        <f t="shared" si="397"/>
        <v>131.66999999999996</v>
      </c>
      <c r="AT84" s="59">
        <f t="shared" si="398"/>
        <v>435.27468599999986</v>
      </c>
      <c r="AU84" s="60">
        <f t="shared" si="399"/>
        <v>127.48999999999997</v>
      </c>
      <c r="AV84" s="59">
        <f t="shared" si="400"/>
        <v>421.45644199999992</v>
      </c>
      <c r="AW84" s="60">
        <f t="shared" si="401"/>
        <v>123.30999999999996</v>
      </c>
      <c r="AX84" s="59">
        <f t="shared" si="402"/>
        <v>407.63819799999987</v>
      </c>
      <c r="AY84" s="55">
        <f t="shared" si="403"/>
        <v>119.12999999999995</v>
      </c>
      <c r="AZ84" s="59">
        <f t="shared" si="404"/>
        <v>393.81995399999983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si="497"/>
        <v>0.91</v>
      </c>
      <c r="BH84" s="55">
        <f t="shared" si="497"/>
        <v>0.89</v>
      </c>
      <c r="BI84" s="55">
        <f t="shared" si="497"/>
        <v>0.87</v>
      </c>
      <c r="BJ84" s="55">
        <f t="shared" si="497"/>
        <v>0.85</v>
      </c>
      <c r="BK84" s="55">
        <f t="shared" si="497"/>
        <v>0.83</v>
      </c>
      <c r="BL84" s="55">
        <f t="shared" si="497"/>
        <v>0.80999999999999994</v>
      </c>
      <c r="BM84" s="55">
        <f t="shared" si="497"/>
        <v>0.78999999999999992</v>
      </c>
      <c r="BN84" s="55">
        <f t="shared" si="497"/>
        <v>0.76999999999999991</v>
      </c>
      <c r="BO84" s="55">
        <f t="shared" si="497"/>
        <v>0.74999999999999989</v>
      </c>
      <c r="BP84" s="55">
        <f t="shared" si="497"/>
        <v>0.72999999999999987</v>
      </c>
      <c r="BQ84" s="55">
        <f t="shared" si="497"/>
        <v>0.70999999999999985</v>
      </c>
      <c r="BR84" s="55">
        <f t="shared" si="497"/>
        <v>0.68999999999999984</v>
      </c>
      <c r="BS84" s="55">
        <f t="shared" si="497"/>
        <v>0.66999999999999982</v>
      </c>
      <c r="BT84" s="55">
        <f t="shared" si="497"/>
        <v>0.6499999999999998</v>
      </c>
      <c r="BU84" s="55">
        <f t="shared" si="497"/>
        <v>0.62999999999999978</v>
      </c>
      <c r="BV84" s="55">
        <f t="shared" si="497"/>
        <v>0.60999999999999976</v>
      </c>
      <c r="BW84" s="55">
        <f t="shared" si="497"/>
        <v>0.58999999999999975</v>
      </c>
      <c r="BX84" s="55">
        <f t="shared" si="497"/>
        <v>0.56999999999999973</v>
      </c>
      <c r="BZ84" s="55">
        <f t="shared" ref="BZ84:BZ147" si="505">+H84*0.91</f>
        <v>190.19000000000003</v>
      </c>
      <c r="CA84" s="55">
        <f t="shared" ref="CA84:CA147" si="506">+BZ84</f>
        <v>190.19000000000003</v>
      </c>
      <c r="CB84" s="59">
        <f t="shared" si="406"/>
        <v>628.7301020000001</v>
      </c>
      <c r="CC84" s="55">
        <f t="shared" si="407"/>
        <v>184.48430000000002</v>
      </c>
      <c r="CD84" s="59">
        <f t="shared" si="408"/>
        <v>609.86819894000007</v>
      </c>
      <c r="CE84" s="55">
        <f t="shared" si="409"/>
        <v>180.68050000000002</v>
      </c>
      <c r="CF84" s="59">
        <f t="shared" si="410"/>
        <v>597.29359690000013</v>
      </c>
      <c r="CG84" s="55">
        <f t="shared" si="411"/>
        <v>176.87670000000003</v>
      </c>
      <c r="CH84" s="59">
        <f t="shared" si="412"/>
        <v>584.71899486000007</v>
      </c>
      <c r="CI84" s="57">
        <f t="shared" si="413"/>
        <v>173.07290000000003</v>
      </c>
      <c r="CJ84" s="59">
        <f t="shared" si="414"/>
        <v>572.14439282000012</v>
      </c>
      <c r="CK84" s="55">
        <f t="shared" si="415"/>
        <v>169.26910000000004</v>
      </c>
      <c r="CL84" s="59">
        <f t="shared" si="416"/>
        <v>559.56979078000018</v>
      </c>
      <c r="CM84" s="57">
        <f t="shared" si="417"/>
        <v>165.46530000000001</v>
      </c>
      <c r="CN84" s="59">
        <f t="shared" si="418"/>
        <v>546.99518874</v>
      </c>
      <c r="CO84" s="60">
        <f t="shared" si="419"/>
        <v>161.66150000000002</v>
      </c>
      <c r="CP84" s="59">
        <f t="shared" si="420"/>
        <v>534.42058670000006</v>
      </c>
      <c r="CQ84" s="57">
        <f t="shared" si="421"/>
        <v>157.85770000000002</v>
      </c>
      <c r="CR84" s="59">
        <f t="shared" si="422"/>
        <v>521.84598466000011</v>
      </c>
      <c r="CS84" s="55">
        <f t="shared" si="423"/>
        <v>154.0539</v>
      </c>
      <c r="CT84" s="59">
        <f t="shared" si="424"/>
        <v>509.27138262</v>
      </c>
      <c r="CU84" s="60">
        <f t="shared" si="425"/>
        <v>150.2501</v>
      </c>
      <c r="CV84" s="59">
        <f t="shared" si="426"/>
        <v>496.69678058</v>
      </c>
      <c r="CW84" s="60">
        <f t="shared" si="427"/>
        <v>146.44630000000001</v>
      </c>
      <c r="CX84" s="59">
        <f t="shared" si="428"/>
        <v>484.12217854000005</v>
      </c>
      <c r="CY84" s="60">
        <f t="shared" si="429"/>
        <v>142.64250000000001</v>
      </c>
      <c r="CZ84" s="59">
        <f t="shared" si="430"/>
        <v>471.54757650000005</v>
      </c>
      <c r="DA84" s="55">
        <f t="shared" si="431"/>
        <v>138.83869999999999</v>
      </c>
      <c r="DB84" s="59">
        <f t="shared" si="432"/>
        <v>458.97297445999999</v>
      </c>
      <c r="DC84" s="60">
        <f t="shared" si="433"/>
        <v>135.03489999999999</v>
      </c>
      <c r="DD84" s="59">
        <f t="shared" si="434"/>
        <v>446.39837241999999</v>
      </c>
      <c r="DE84" s="60">
        <f t="shared" si="435"/>
        <v>131.2311</v>
      </c>
      <c r="DF84" s="59">
        <f t="shared" si="436"/>
        <v>433.82377037999998</v>
      </c>
      <c r="DG84" s="60">
        <f t="shared" si="437"/>
        <v>127.42729999999999</v>
      </c>
      <c r="DH84" s="59">
        <f t="shared" si="438"/>
        <v>421.24916833999998</v>
      </c>
      <c r="DI84" s="60">
        <f t="shared" si="439"/>
        <v>123.62349999999998</v>
      </c>
      <c r="DJ84" s="59">
        <f t="shared" si="440"/>
        <v>408.67456629999992</v>
      </c>
      <c r="DK84" s="55">
        <f t="shared" si="441"/>
        <v>119.81969999999997</v>
      </c>
      <c r="DL84" s="59">
        <f t="shared" si="442"/>
        <v>396.09996425999992</v>
      </c>
      <c r="DM84" s="60">
        <f t="shared" si="443"/>
        <v>116.01589999999997</v>
      </c>
      <c r="DN84" s="59">
        <f t="shared" si="444"/>
        <v>383.52536221999992</v>
      </c>
      <c r="DO84" s="60">
        <f t="shared" si="445"/>
        <v>112.21209999999996</v>
      </c>
      <c r="DP84" s="59">
        <f t="shared" si="446"/>
        <v>370.95076017999986</v>
      </c>
      <c r="DQ84" s="55">
        <f t="shared" si="447"/>
        <v>108.40829999999997</v>
      </c>
      <c r="DR84" s="59">
        <f t="shared" si="448"/>
        <v>358.37615813999992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00"/>
        <v>0.91</v>
      </c>
      <c r="DZ84" s="55">
        <f t="shared" si="500"/>
        <v>0.89</v>
      </c>
      <c r="EA84" s="55">
        <f t="shared" si="500"/>
        <v>0.87</v>
      </c>
      <c r="EB84" s="55">
        <f t="shared" si="500"/>
        <v>0.85</v>
      </c>
      <c r="EC84" s="55">
        <f t="shared" si="500"/>
        <v>0.83</v>
      </c>
      <c r="ED84" s="55">
        <f t="shared" si="500"/>
        <v>0.80999999999999994</v>
      </c>
      <c r="EE84" s="55">
        <f t="shared" si="500"/>
        <v>0.78999999999999992</v>
      </c>
      <c r="EF84" s="55">
        <f t="shared" si="500"/>
        <v>0.76999999999999991</v>
      </c>
      <c r="EG84" s="55">
        <f t="shared" si="500"/>
        <v>0.74999999999999989</v>
      </c>
      <c r="EH84" s="55">
        <f t="shared" si="500"/>
        <v>0.72999999999999987</v>
      </c>
      <c r="EI84" s="55">
        <f t="shared" si="500"/>
        <v>0.70999999999999985</v>
      </c>
      <c r="EJ84" s="55">
        <f t="shared" si="500"/>
        <v>0.68999999999999984</v>
      </c>
      <c r="EK84" s="55">
        <f t="shared" si="500"/>
        <v>0.66999999999999982</v>
      </c>
      <c r="EL84" s="55">
        <f t="shared" si="500"/>
        <v>0.6499999999999998</v>
      </c>
      <c r="EM84" s="55">
        <f t="shared" si="500"/>
        <v>0.62999999999999978</v>
      </c>
      <c r="EN84" s="55">
        <f t="shared" si="500"/>
        <v>0.60999999999999976</v>
      </c>
      <c r="EO84" s="55">
        <f t="shared" si="500"/>
        <v>0.58999999999999975</v>
      </c>
      <c r="EP84" s="55">
        <f t="shared" si="500"/>
        <v>0.56999999999999973</v>
      </c>
      <c r="ER84" s="55">
        <f t="shared" si="141"/>
        <v>173.07290000000003</v>
      </c>
      <c r="ES84" s="55">
        <f t="shared" ref="ES84:ES147" si="507">+ER84</f>
        <v>173.07290000000003</v>
      </c>
      <c r="ET84" s="59">
        <f t="shared" si="450"/>
        <v>572.14439282000012</v>
      </c>
      <c r="EU84" s="55">
        <f t="shared" si="451"/>
        <v>167.88071300000001</v>
      </c>
      <c r="EV84" s="59">
        <f t="shared" si="452"/>
        <v>554.98006103540001</v>
      </c>
      <c r="EW84" s="55">
        <f t="shared" si="453"/>
        <v>164.41925500000002</v>
      </c>
      <c r="EX84" s="59">
        <f t="shared" si="454"/>
        <v>543.53717317900009</v>
      </c>
      <c r="EY84" s="55">
        <f t="shared" si="455"/>
        <v>160.95779700000003</v>
      </c>
      <c r="EZ84" s="59">
        <f t="shared" si="456"/>
        <v>532.09428532260006</v>
      </c>
      <c r="FA84" s="57">
        <f t="shared" si="457"/>
        <v>157.49633900000003</v>
      </c>
      <c r="FB84" s="59">
        <f t="shared" si="458"/>
        <v>520.65139746620014</v>
      </c>
      <c r="FC84" s="55">
        <f t="shared" si="459"/>
        <v>154.03488100000004</v>
      </c>
      <c r="FD84" s="59">
        <f t="shared" si="460"/>
        <v>509.20850960980016</v>
      </c>
      <c r="FE84" s="57">
        <f t="shared" si="461"/>
        <v>150.57342300000002</v>
      </c>
      <c r="FF84" s="59">
        <f t="shared" si="462"/>
        <v>497.76562175340007</v>
      </c>
      <c r="FG84" s="60">
        <f t="shared" si="463"/>
        <v>147.11196500000003</v>
      </c>
      <c r="FH84" s="59">
        <f t="shared" si="464"/>
        <v>486.32273389700009</v>
      </c>
      <c r="FI84" s="57">
        <f t="shared" si="465"/>
        <v>143.65050700000003</v>
      </c>
      <c r="FJ84" s="59">
        <f t="shared" si="466"/>
        <v>474.87984604060011</v>
      </c>
      <c r="FK84" s="55">
        <f t="shared" si="467"/>
        <v>140.18904900000001</v>
      </c>
      <c r="FL84" s="59">
        <f t="shared" si="468"/>
        <v>463.43695818420002</v>
      </c>
      <c r="FM84" s="60">
        <f t="shared" si="469"/>
        <v>136.72759100000002</v>
      </c>
      <c r="FN84" s="59">
        <f t="shared" si="470"/>
        <v>451.99407032780005</v>
      </c>
      <c r="FO84" s="60">
        <f t="shared" si="471"/>
        <v>133.266133</v>
      </c>
      <c r="FP84" s="59">
        <f t="shared" si="472"/>
        <v>440.55118247140001</v>
      </c>
      <c r="FQ84" s="60">
        <f t="shared" si="473"/>
        <v>129.804675</v>
      </c>
      <c r="FR84" s="59">
        <f t="shared" si="474"/>
        <v>429.10829461500003</v>
      </c>
      <c r="FS84" s="55">
        <f t="shared" si="475"/>
        <v>126.343217</v>
      </c>
      <c r="FT84" s="59">
        <f t="shared" si="476"/>
        <v>417.6654067586</v>
      </c>
      <c r="FU84" s="60">
        <f t="shared" si="477"/>
        <v>122.881759</v>
      </c>
      <c r="FV84" s="59">
        <f t="shared" si="478"/>
        <v>406.22251890220002</v>
      </c>
      <c r="FW84" s="60">
        <f t="shared" si="479"/>
        <v>119.42030099999999</v>
      </c>
      <c r="FX84" s="59">
        <f t="shared" si="480"/>
        <v>394.77963104579999</v>
      </c>
      <c r="FY84" s="60">
        <f t="shared" si="481"/>
        <v>115.95884299999999</v>
      </c>
      <c r="FZ84" s="59">
        <f t="shared" si="482"/>
        <v>383.33674318939995</v>
      </c>
      <c r="GA84" s="60">
        <f t="shared" si="483"/>
        <v>112.49738499999998</v>
      </c>
      <c r="GB84" s="59">
        <f t="shared" si="484"/>
        <v>371.89385533299992</v>
      </c>
      <c r="GC84" s="55">
        <f t="shared" si="485"/>
        <v>109.03592699999999</v>
      </c>
      <c r="GD84" s="59">
        <f t="shared" si="486"/>
        <v>360.45096747659994</v>
      </c>
      <c r="GE84" s="60">
        <f t="shared" si="487"/>
        <v>105.57446899999998</v>
      </c>
      <c r="GF84" s="59">
        <f t="shared" si="488"/>
        <v>349.00807962019996</v>
      </c>
      <c r="GG84" s="60">
        <f t="shared" si="489"/>
        <v>102.11301099999997</v>
      </c>
      <c r="GH84" s="59">
        <f t="shared" si="490"/>
        <v>337.56519176379993</v>
      </c>
      <c r="GI84" s="55">
        <f t="shared" si="491"/>
        <v>98.651552999999979</v>
      </c>
      <c r="GJ84" s="59">
        <f t="shared" si="492"/>
        <v>326.12230390739995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01"/>
        <v>0.91</v>
      </c>
      <c r="GR84" s="55">
        <f t="shared" si="501"/>
        <v>0.89</v>
      </c>
      <c r="GS84" s="55">
        <f t="shared" si="501"/>
        <v>0.87</v>
      </c>
      <c r="GT84" s="55">
        <f t="shared" si="501"/>
        <v>0.85</v>
      </c>
      <c r="GU84" s="55">
        <f t="shared" si="501"/>
        <v>0.83</v>
      </c>
      <c r="GV84" s="55">
        <f t="shared" si="501"/>
        <v>0.80999999999999994</v>
      </c>
      <c r="GW84" s="55">
        <f t="shared" si="501"/>
        <v>0.78999999999999992</v>
      </c>
      <c r="GX84" s="55">
        <f t="shared" si="501"/>
        <v>0.76999999999999991</v>
      </c>
      <c r="GY84" s="55">
        <f t="shared" si="501"/>
        <v>0.74999999999999989</v>
      </c>
      <c r="GZ84" s="55">
        <f t="shared" si="501"/>
        <v>0.72999999999999987</v>
      </c>
      <c r="HA84" s="55">
        <f t="shared" si="501"/>
        <v>0.70999999999999985</v>
      </c>
      <c r="HB84" s="55">
        <f t="shared" si="501"/>
        <v>0.68999999999999984</v>
      </c>
      <c r="HC84" s="55">
        <f t="shared" si="501"/>
        <v>0.66999999999999982</v>
      </c>
      <c r="HD84" s="55">
        <f t="shared" si="501"/>
        <v>0.6499999999999998</v>
      </c>
      <c r="HE84" s="55">
        <f t="shared" si="501"/>
        <v>0.62999999999999978</v>
      </c>
      <c r="HF84" s="55">
        <f t="shared" si="501"/>
        <v>0.60999999999999976</v>
      </c>
      <c r="HG84" s="55">
        <f t="shared" si="501"/>
        <v>0.58999999999999975</v>
      </c>
      <c r="HH84" s="55">
        <f t="shared" si="501"/>
        <v>0.56999999999999973</v>
      </c>
    </row>
    <row r="85" spans="1:216" x14ac:dyDescent="0.3">
      <c r="A85" s="2">
        <v>23</v>
      </c>
      <c r="C85" s="38" t="s">
        <v>37</v>
      </c>
      <c r="D85" s="42">
        <f>TRUNC(4196,-1)</f>
        <v>4190</v>
      </c>
      <c r="E85" s="86">
        <f>TRUNC(+D85*3.3058,-1)</f>
        <v>13850</v>
      </c>
      <c r="H85" s="55">
        <f t="shared" si="502"/>
        <v>15235.000000000002</v>
      </c>
      <c r="I85" s="55">
        <f t="shared" si="503"/>
        <v>15235.000000000002</v>
      </c>
      <c r="J85" s="59">
        <f t="shared" si="504"/>
        <v>50363.863000000005</v>
      </c>
      <c r="K85" s="55">
        <f t="shared" si="363"/>
        <v>14777.95</v>
      </c>
      <c r="L85" s="59">
        <f t="shared" si="364"/>
        <v>48852.947110000001</v>
      </c>
      <c r="M85" s="55">
        <f t="shared" si="365"/>
        <v>14473.250000000002</v>
      </c>
      <c r="N85" s="59">
        <f t="shared" si="366"/>
        <v>47845.669850000006</v>
      </c>
      <c r="O85" s="55">
        <f t="shared" si="367"/>
        <v>14168.550000000003</v>
      </c>
      <c r="P85" s="59">
        <f t="shared" si="368"/>
        <v>46838.39259000001</v>
      </c>
      <c r="Q85" s="57">
        <f t="shared" si="369"/>
        <v>13863.850000000002</v>
      </c>
      <c r="R85" s="59">
        <f t="shared" si="370"/>
        <v>45831.115330000008</v>
      </c>
      <c r="S85" s="55">
        <f t="shared" si="371"/>
        <v>13559.150000000001</v>
      </c>
      <c r="T85" s="59">
        <f t="shared" si="372"/>
        <v>44823.838070000005</v>
      </c>
      <c r="U85" s="57">
        <f t="shared" si="373"/>
        <v>13254.45</v>
      </c>
      <c r="V85" s="59">
        <f t="shared" si="374"/>
        <v>43816.560810000003</v>
      </c>
      <c r="W85" s="60">
        <f t="shared" si="375"/>
        <v>12949.750000000002</v>
      </c>
      <c r="X85" s="59">
        <f t="shared" si="376"/>
        <v>42809.283550000007</v>
      </c>
      <c r="Y85" s="57">
        <f t="shared" si="377"/>
        <v>12645.050000000001</v>
      </c>
      <c r="Z85" s="59">
        <f t="shared" si="378"/>
        <v>41802.006290000005</v>
      </c>
      <c r="AA85" s="55">
        <f t="shared" si="379"/>
        <v>12340.35</v>
      </c>
      <c r="AB85" s="59">
        <f t="shared" si="380"/>
        <v>40794.729030000002</v>
      </c>
      <c r="AC85" s="60">
        <f t="shared" si="381"/>
        <v>12035.65</v>
      </c>
      <c r="AD85" s="59">
        <f t="shared" si="382"/>
        <v>39787.45177</v>
      </c>
      <c r="AE85" s="60">
        <f t="shared" si="383"/>
        <v>11730.95</v>
      </c>
      <c r="AF85" s="59">
        <f t="shared" si="384"/>
        <v>38780.174510000004</v>
      </c>
      <c r="AG85" s="60">
        <f t="shared" si="385"/>
        <v>11426.25</v>
      </c>
      <c r="AH85" s="59">
        <f t="shared" si="386"/>
        <v>37772.897250000002</v>
      </c>
      <c r="AI85" s="55">
        <f t="shared" si="387"/>
        <v>11121.55</v>
      </c>
      <c r="AJ85" s="59">
        <f t="shared" si="388"/>
        <v>36765.619989999999</v>
      </c>
      <c r="AK85" s="60">
        <f t="shared" si="389"/>
        <v>10816.849999999999</v>
      </c>
      <c r="AL85" s="59">
        <f t="shared" si="390"/>
        <v>35758.342729999997</v>
      </c>
      <c r="AM85" s="60">
        <f t="shared" si="391"/>
        <v>10512.15</v>
      </c>
      <c r="AN85" s="59">
        <f t="shared" si="392"/>
        <v>34751.065470000001</v>
      </c>
      <c r="AO85" s="60">
        <f t="shared" si="393"/>
        <v>10207.449999999999</v>
      </c>
      <c r="AP85" s="59">
        <f t="shared" si="394"/>
        <v>33743.788209999999</v>
      </c>
      <c r="AQ85" s="60">
        <f t="shared" si="395"/>
        <v>9902.7499999999982</v>
      </c>
      <c r="AR85" s="59">
        <f t="shared" si="396"/>
        <v>32736.510949999996</v>
      </c>
      <c r="AS85" s="55">
        <f t="shared" si="397"/>
        <v>9598.0499999999975</v>
      </c>
      <c r="AT85" s="59">
        <f t="shared" si="398"/>
        <v>31729.233689999994</v>
      </c>
      <c r="AU85" s="60">
        <f t="shared" si="399"/>
        <v>9293.3499999999967</v>
      </c>
      <c r="AV85" s="59">
        <f t="shared" si="400"/>
        <v>30721.956429999991</v>
      </c>
      <c r="AW85" s="60">
        <f t="shared" si="401"/>
        <v>8988.6499999999978</v>
      </c>
      <c r="AX85" s="59">
        <f t="shared" si="402"/>
        <v>29714.679169999992</v>
      </c>
      <c r="AY85" s="55">
        <f t="shared" si="403"/>
        <v>8683.9499999999971</v>
      </c>
      <c r="AZ85" s="59">
        <f t="shared" si="404"/>
        <v>28707.40190999999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497"/>
        <v>0.91</v>
      </c>
      <c r="BH85" s="55">
        <f t="shared" si="497"/>
        <v>0.89</v>
      </c>
      <c r="BI85" s="55">
        <f t="shared" si="497"/>
        <v>0.87</v>
      </c>
      <c r="BJ85" s="55">
        <f t="shared" si="497"/>
        <v>0.85</v>
      </c>
      <c r="BK85" s="55">
        <f t="shared" si="497"/>
        <v>0.83</v>
      </c>
      <c r="BL85" s="55">
        <f t="shared" si="497"/>
        <v>0.80999999999999994</v>
      </c>
      <c r="BM85" s="55">
        <f t="shared" si="497"/>
        <v>0.78999999999999992</v>
      </c>
      <c r="BN85" s="55">
        <f t="shared" si="497"/>
        <v>0.76999999999999991</v>
      </c>
      <c r="BO85" s="55">
        <f t="shared" si="497"/>
        <v>0.74999999999999989</v>
      </c>
      <c r="BP85" s="55">
        <f t="shared" si="497"/>
        <v>0.72999999999999987</v>
      </c>
      <c r="BQ85" s="55">
        <f t="shared" si="497"/>
        <v>0.70999999999999985</v>
      </c>
      <c r="BR85" s="55">
        <f t="shared" si="497"/>
        <v>0.68999999999999984</v>
      </c>
      <c r="BS85" s="55">
        <f t="shared" si="497"/>
        <v>0.66999999999999982</v>
      </c>
      <c r="BT85" s="55">
        <f t="shared" si="497"/>
        <v>0.6499999999999998</v>
      </c>
      <c r="BU85" s="55">
        <f t="shared" si="497"/>
        <v>0.62999999999999978</v>
      </c>
      <c r="BV85" s="55">
        <f t="shared" si="497"/>
        <v>0.60999999999999976</v>
      </c>
      <c r="BW85" s="55">
        <f t="shared" si="497"/>
        <v>0.58999999999999975</v>
      </c>
      <c r="BX85" s="55">
        <f t="shared" si="497"/>
        <v>0.56999999999999973</v>
      </c>
      <c r="BZ85" s="55">
        <f t="shared" si="505"/>
        <v>13863.850000000002</v>
      </c>
      <c r="CA85" s="55">
        <f t="shared" si="506"/>
        <v>13863.850000000002</v>
      </c>
      <c r="CB85" s="59">
        <f t="shared" si="406"/>
        <v>45831.115330000008</v>
      </c>
      <c r="CC85" s="55">
        <f t="shared" si="407"/>
        <v>13447.934500000001</v>
      </c>
      <c r="CD85" s="59">
        <f t="shared" si="408"/>
        <v>44456.181870100008</v>
      </c>
      <c r="CE85" s="55">
        <f t="shared" si="409"/>
        <v>13170.657500000001</v>
      </c>
      <c r="CF85" s="59">
        <f t="shared" si="410"/>
        <v>43539.559563500006</v>
      </c>
      <c r="CG85" s="55">
        <f t="shared" si="411"/>
        <v>12893.380500000003</v>
      </c>
      <c r="CH85" s="59">
        <f t="shared" si="412"/>
        <v>42622.937256900012</v>
      </c>
      <c r="CI85" s="57">
        <f t="shared" si="413"/>
        <v>12616.103500000003</v>
      </c>
      <c r="CJ85" s="59">
        <f t="shared" si="414"/>
        <v>41706.31495030001</v>
      </c>
      <c r="CK85" s="55">
        <f t="shared" si="415"/>
        <v>12338.826500000003</v>
      </c>
      <c r="CL85" s="59">
        <f t="shared" si="416"/>
        <v>40789.692643700007</v>
      </c>
      <c r="CM85" s="57">
        <f t="shared" si="417"/>
        <v>12061.549500000001</v>
      </c>
      <c r="CN85" s="59">
        <f t="shared" si="418"/>
        <v>39873.070337100005</v>
      </c>
      <c r="CO85" s="60">
        <f t="shared" si="419"/>
        <v>11784.272500000001</v>
      </c>
      <c r="CP85" s="59">
        <f t="shared" si="420"/>
        <v>38956.448030500003</v>
      </c>
      <c r="CQ85" s="57">
        <f t="shared" si="421"/>
        <v>11506.995500000001</v>
      </c>
      <c r="CR85" s="59">
        <f t="shared" si="422"/>
        <v>38039.825723900001</v>
      </c>
      <c r="CS85" s="55">
        <f t="shared" si="423"/>
        <v>11229.718500000001</v>
      </c>
      <c r="CT85" s="59">
        <f t="shared" si="424"/>
        <v>37123.203417300007</v>
      </c>
      <c r="CU85" s="60">
        <f t="shared" si="425"/>
        <v>10952.441500000001</v>
      </c>
      <c r="CV85" s="59">
        <f t="shared" si="426"/>
        <v>36206.581110700005</v>
      </c>
      <c r="CW85" s="60">
        <f t="shared" si="427"/>
        <v>10675.164500000001</v>
      </c>
      <c r="CX85" s="59">
        <f t="shared" si="428"/>
        <v>35289.958804100002</v>
      </c>
      <c r="CY85" s="60">
        <f t="shared" si="429"/>
        <v>10397.887500000001</v>
      </c>
      <c r="CZ85" s="59">
        <f t="shared" si="430"/>
        <v>34373.3364975</v>
      </c>
      <c r="DA85" s="55">
        <f t="shared" si="431"/>
        <v>10120.610500000001</v>
      </c>
      <c r="DB85" s="59">
        <f t="shared" si="432"/>
        <v>33456.714190900006</v>
      </c>
      <c r="DC85" s="60">
        <f t="shared" si="433"/>
        <v>9843.3334999999988</v>
      </c>
      <c r="DD85" s="59">
        <f t="shared" si="434"/>
        <v>32540.091884299996</v>
      </c>
      <c r="DE85" s="60">
        <f t="shared" si="435"/>
        <v>9566.0564999999988</v>
      </c>
      <c r="DF85" s="59">
        <f t="shared" si="436"/>
        <v>31623.469577699998</v>
      </c>
      <c r="DG85" s="60">
        <f t="shared" si="437"/>
        <v>9288.7794999999987</v>
      </c>
      <c r="DH85" s="59">
        <f t="shared" si="438"/>
        <v>30706.847271099996</v>
      </c>
      <c r="DI85" s="60">
        <f t="shared" si="439"/>
        <v>9011.5024999999987</v>
      </c>
      <c r="DJ85" s="59">
        <f t="shared" si="440"/>
        <v>29790.224964499997</v>
      </c>
      <c r="DK85" s="55">
        <f t="shared" si="441"/>
        <v>8734.2254999999986</v>
      </c>
      <c r="DL85" s="59">
        <f t="shared" si="442"/>
        <v>28873.602657899995</v>
      </c>
      <c r="DM85" s="60">
        <f t="shared" si="443"/>
        <v>8456.9484999999986</v>
      </c>
      <c r="DN85" s="59">
        <f t="shared" si="444"/>
        <v>27956.980351299997</v>
      </c>
      <c r="DO85" s="60">
        <f t="shared" si="445"/>
        <v>8179.6714999999976</v>
      </c>
      <c r="DP85" s="59">
        <f t="shared" si="446"/>
        <v>27040.358044699991</v>
      </c>
      <c r="DQ85" s="55">
        <f t="shared" si="447"/>
        <v>7902.3944999999976</v>
      </c>
      <c r="DR85" s="59">
        <f t="shared" si="448"/>
        <v>26123.735738099993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si="500"/>
        <v>0.91</v>
      </c>
      <c r="DZ85" s="55">
        <f t="shared" si="500"/>
        <v>0.89</v>
      </c>
      <c r="EA85" s="55">
        <f t="shared" si="500"/>
        <v>0.87</v>
      </c>
      <c r="EB85" s="55">
        <f t="shared" si="500"/>
        <v>0.85</v>
      </c>
      <c r="EC85" s="55">
        <f t="shared" si="500"/>
        <v>0.83</v>
      </c>
      <c r="ED85" s="55">
        <f t="shared" si="500"/>
        <v>0.80999999999999994</v>
      </c>
      <c r="EE85" s="55">
        <f t="shared" si="500"/>
        <v>0.78999999999999992</v>
      </c>
      <c r="EF85" s="55">
        <f t="shared" si="500"/>
        <v>0.76999999999999991</v>
      </c>
      <c r="EG85" s="55">
        <f t="shared" si="500"/>
        <v>0.74999999999999989</v>
      </c>
      <c r="EH85" s="55">
        <f t="shared" si="500"/>
        <v>0.72999999999999987</v>
      </c>
      <c r="EI85" s="55">
        <f t="shared" si="500"/>
        <v>0.70999999999999985</v>
      </c>
      <c r="EJ85" s="55">
        <f t="shared" si="500"/>
        <v>0.68999999999999984</v>
      </c>
      <c r="EK85" s="55">
        <f t="shared" si="500"/>
        <v>0.66999999999999982</v>
      </c>
      <c r="EL85" s="55">
        <f t="shared" si="500"/>
        <v>0.6499999999999998</v>
      </c>
      <c r="EM85" s="55">
        <f t="shared" si="500"/>
        <v>0.62999999999999978</v>
      </c>
      <c r="EN85" s="55">
        <f t="shared" si="500"/>
        <v>0.60999999999999976</v>
      </c>
      <c r="EO85" s="55">
        <f t="shared" si="500"/>
        <v>0.58999999999999975</v>
      </c>
      <c r="EP85" s="55">
        <f t="shared" si="500"/>
        <v>0.56999999999999973</v>
      </c>
      <c r="ER85" s="55">
        <f t="shared" si="141"/>
        <v>12616.103500000003</v>
      </c>
      <c r="ES85" s="55">
        <f t="shared" si="507"/>
        <v>12616.103500000003</v>
      </c>
      <c r="ET85" s="59">
        <f t="shared" si="450"/>
        <v>41706.31495030001</v>
      </c>
      <c r="EU85" s="55">
        <f t="shared" si="451"/>
        <v>12237.620395000002</v>
      </c>
      <c r="EV85" s="59">
        <f t="shared" si="452"/>
        <v>40455.125501791008</v>
      </c>
      <c r="EW85" s="55">
        <f t="shared" si="453"/>
        <v>11985.298325000002</v>
      </c>
      <c r="EX85" s="59">
        <f t="shared" si="454"/>
        <v>39620.999202785009</v>
      </c>
      <c r="EY85" s="55">
        <f t="shared" si="455"/>
        <v>11732.976255000003</v>
      </c>
      <c r="EZ85" s="59">
        <f t="shared" si="456"/>
        <v>38786.872903779011</v>
      </c>
      <c r="FA85" s="57">
        <f t="shared" si="457"/>
        <v>11480.654185000003</v>
      </c>
      <c r="FB85" s="59">
        <f t="shared" si="458"/>
        <v>37952.746604773012</v>
      </c>
      <c r="FC85" s="55">
        <f t="shared" si="459"/>
        <v>11228.332115000003</v>
      </c>
      <c r="FD85" s="59">
        <f t="shared" si="460"/>
        <v>37118.620305767014</v>
      </c>
      <c r="FE85" s="57">
        <f t="shared" si="461"/>
        <v>10976.010045000003</v>
      </c>
      <c r="FF85" s="59">
        <f t="shared" si="462"/>
        <v>36284.494006761008</v>
      </c>
      <c r="FG85" s="60">
        <f t="shared" si="463"/>
        <v>10723.687975000003</v>
      </c>
      <c r="FH85" s="59">
        <f t="shared" si="464"/>
        <v>35450.367707755009</v>
      </c>
      <c r="FI85" s="57">
        <f t="shared" si="465"/>
        <v>10471.365905000002</v>
      </c>
      <c r="FJ85" s="59">
        <f t="shared" si="466"/>
        <v>34616.241408749011</v>
      </c>
      <c r="FK85" s="55">
        <f t="shared" si="467"/>
        <v>10219.043835000002</v>
      </c>
      <c r="FL85" s="59">
        <f t="shared" si="468"/>
        <v>33782.115109743005</v>
      </c>
      <c r="FM85" s="60">
        <f t="shared" si="469"/>
        <v>9966.7217650000021</v>
      </c>
      <c r="FN85" s="59">
        <f t="shared" si="470"/>
        <v>32947.988810737006</v>
      </c>
      <c r="FO85" s="60">
        <f t="shared" si="471"/>
        <v>9714.3996950000019</v>
      </c>
      <c r="FP85" s="59">
        <f t="shared" si="472"/>
        <v>32113.862511731008</v>
      </c>
      <c r="FQ85" s="60">
        <f t="shared" si="473"/>
        <v>9462.0776249999999</v>
      </c>
      <c r="FR85" s="59">
        <f t="shared" si="474"/>
        <v>31279.736212725002</v>
      </c>
      <c r="FS85" s="55">
        <f t="shared" si="475"/>
        <v>9209.7555549999997</v>
      </c>
      <c r="FT85" s="59">
        <f t="shared" si="476"/>
        <v>30445.609913718999</v>
      </c>
      <c r="FU85" s="60">
        <f t="shared" si="477"/>
        <v>8957.4334849999996</v>
      </c>
      <c r="FV85" s="59">
        <f t="shared" si="478"/>
        <v>29611.483614713001</v>
      </c>
      <c r="FW85" s="60">
        <f t="shared" si="479"/>
        <v>8705.1114149999994</v>
      </c>
      <c r="FX85" s="59">
        <f t="shared" si="480"/>
        <v>28777.357315706999</v>
      </c>
      <c r="FY85" s="60">
        <f t="shared" si="481"/>
        <v>8452.7893449999992</v>
      </c>
      <c r="FZ85" s="59">
        <f t="shared" si="482"/>
        <v>27943.231016700996</v>
      </c>
      <c r="GA85" s="60">
        <f t="shared" si="483"/>
        <v>8200.4672749999991</v>
      </c>
      <c r="GB85" s="59">
        <f t="shared" si="484"/>
        <v>27109.104717694998</v>
      </c>
      <c r="GC85" s="55">
        <f t="shared" si="485"/>
        <v>7948.1452049999989</v>
      </c>
      <c r="GD85" s="59">
        <f t="shared" si="486"/>
        <v>26274.978418688996</v>
      </c>
      <c r="GE85" s="60">
        <f t="shared" si="487"/>
        <v>7695.8231349999987</v>
      </c>
      <c r="GF85" s="59">
        <f t="shared" si="488"/>
        <v>25440.852119682997</v>
      </c>
      <c r="GG85" s="60">
        <f t="shared" si="489"/>
        <v>7443.5010649999986</v>
      </c>
      <c r="GH85" s="59">
        <f t="shared" si="490"/>
        <v>24606.725820676995</v>
      </c>
      <c r="GI85" s="55">
        <f t="shared" si="491"/>
        <v>7191.1789949999984</v>
      </c>
      <c r="GJ85" s="59">
        <f t="shared" si="492"/>
        <v>23772.599521670996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si="501"/>
        <v>0.91</v>
      </c>
      <c r="GR85" s="55">
        <f t="shared" si="501"/>
        <v>0.89</v>
      </c>
      <c r="GS85" s="55">
        <f t="shared" si="501"/>
        <v>0.87</v>
      </c>
      <c r="GT85" s="55">
        <f t="shared" si="501"/>
        <v>0.85</v>
      </c>
      <c r="GU85" s="55">
        <f t="shared" si="501"/>
        <v>0.83</v>
      </c>
      <c r="GV85" s="55">
        <f t="shared" si="501"/>
        <v>0.80999999999999994</v>
      </c>
      <c r="GW85" s="55">
        <f t="shared" si="501"/>
        <v>0.78999999999999992</v>
      </c>
      <c r="GX85" s="55">
        <f t="shared" si="501"/>
        <v>0.76999999999999991</v>
      </c>
      <c r="GY85" s="55">
        <f t="shared" si="501"/>
        <v>0.74999999999999989</v>
      </c>
      <c r="GZ85" s="55">
        <f t="shared" si="501"/>
        <v>0.72999999999999987</v>
      </c>
      <c r="HA85" s="55">
        <f t="shared" si="501"/>
        <v>0.70999999999999985</v>
      </c>
      <c r="HB85" s="55">
        <f t="shared" si="501"/>
        <v>0.68999999999999984</v>
      </c>
      <c r="HC85" s="55">
        <f t="shared" si="501"/>
        <v>0.66999999999999982</v>
      </c>
      <c r="HD85" s="55">
        <f t="shared" si="501"/>
        <v>0.6499999999999998</v>
      </c>
      <c r="HE85" s="55">
        <f t="shared" si="501"/>
        <v>0.62999999999999978</v>
      </c>
      <c r="HF85" s="55">
        <f t="shared" si="501"/>
        <v>0.60999999999999976</v>
      </c>
      <c r="HG85" s="55">
        <f t="shared" si="501"/>
        <v>0.58999999999999975</v>
      </c>
      <c r="HH85" s="55">
        <f t="shared" si="501"/>
        <v>0.56999999999999973</v>
      </c>
    </row>
    <row r="86" spans="1:216" x14ac:dyDescent="0.3">
      <c r="A86" s="2">
        <v>24</v>
      </c>
      <c r="C86" s="38" t="s">
        <v>38</v>
      </c>
      <c r="D86" s="42">
        <f>TRUNC(9119,-1)</f>
        <v>9110</v>
      </c>
      <c r="E86" s="86">
        <f>TRUNC(+D86*3.3058,-1)</f>
        <v>30110</v>
      </c>
      <c r="H86" s="55">
        <f t="shared" si="502"/>
        <v>33121</v>
      </c>
      <c r="I86" s="55">
        <f t="shared" si="503"/>
        <v>33121</v>
      </c>
      <c r="J86" s="59">
        <f t="shared" si="504"/>
        <v>109491.40180000001</v>
      </c>
      <c r="K86" s="55">
        <f t="shared" si="363"/>
        <v>32127.37</v>
      </c>
      <c r="L86" s="59">
        <f t="shared" si="364"/>
        <v>106206.659746</v>
      </c>
      <c r="M86" s="55">
        <f t="shared" si="365"/>
        <v>31464.949999999997</v>
      </c>
      <c r="N86" s="59">
        <f t="shared" si="366"/>
        <v>104016.83171</v>
      </c>
      <c r="O86" s="55">
        <f t="shared" si="367"/>
        <v>30802.530000000002</v>
      </c>
      <c r="P86" s="59">
        <f t="shared" si="368"/>
        <v>101827.00367400001</v>
      </c>
      <c r="Q86" s="57">
        <f t="shared" si="369"/>
        <v>30140.11</v>
      </c>
      <c r="R86" s="59">
        <f t="shared" si="370"/>
        <v>99637.175638000001</v>
      </c>
      <c r="S86" s="55">
        <f t="shared" si="371"/>
        <v>29477.69</v>
      </c>
      <c r="T86" s="59">
        <f t="shared" si="372"/>
        <v>97447.347601999994</v>
      </c>
      <c r="U86" s="57">
        <f t="shared" si="373"/>
        <v>28815.27</v>
      </c>
      <c r="V86" s="59">
        <f t="shared" si="374"/>
        <v>95257.519566000003</v>
      </c>
      <c r="W86" s="60">
        <f t="shared" si="375"/>
        <v>28152.85</v>
      </c>
      <c r="X86" s="59">
        <f t="shared" si="376"/>
        <v>93067.691529999996</v>
      </c>
      <c r="Y86" s="57">
        <f t="shared" si="377"/>
        <v>27490.43</v>
      </c>
      <c r="Z86" s="59">
        <f t="shared" si="378"/>
        <v>90877.863494000005</v>
      </c>
      <c r="AA86" s="55">
        <f t="shared" si="379"/>
        <v>26828.01</v>
      </c>
      <c r="AB86" s="59">
        <f t="shared" si="380"/>
        <v>88688.035457999998</v>
      </c>
      <c r="AC86" s="60">
        <f t="shared" si="381"/>
        <v>26165.589999999997</v>
      </c>
      <c r="AD86" s="59">
        <f t="shared" si="382"/>
        <v>86498.207421999992</v>
      </c>
      <c r="AE86" s="60">
        <f t="shared" si="383"/>
        <v>25503.17</v>
      </c>
      <c r="AF86" s="59">
        <f t="shared" si="384"/>
        <v>84308.379386000001</v>
      </c>
      <c r="AG86" s="60">
        <f t="shared" si="385"/>
        <v>24840.749999999996</v>
      </c>
      <c r="AH86" s="59">
        <f t="shared" si="386"/>
        <v>82118.551349999994</v>
      </c>
      <c r="AI86" s="55">
        <f t="shared" si="387"/>
        <v>24178.329999999994</v>
      </c>
      <c r="AJ86" s="59">
        <f t="shared" si="388"/>
        <v>79928.723313999988</v>
      </c>
      <c r="AK86" s="60">
        <f t="shared" si="389"/>
        <v>23515.909999999996</v>
      </c>
      <c r="AL86" s="59">
        <f t="shared" si="390"/>
        <v>77738.895277999996</v>
      </c>
      <c r="AM86" s="60">
        <f t="shared" si="391"/>
        <v>22853.489999999994</v>
      </c>
      <c r="AN86" s="59">
        <f t="shared" si="392"/>
        <v>75549.06724199999</v>
      </c>
      <c r="AO86" s="60">
        <f t="shared" si="393"/>
        <v>22191.069999999992</v>
      </c>
      <c r="AP86" s="59">
        <f t="shared" si="394"/>
        <v>73359.239205999984</v>
      </c>
      <c r="AQ86" s="60">
        <f t="shared" si="395"/>
        <v>21528.649999999994</v>
      </c>
      <c r="AR86" s="59">
        <f t="shared" si="396"/>
        <v>71169.411169999978</v>
      </c>
      <c r="AS86" s="55">
        <f t="shared" si="397"/>
        <v>20866.229999999992</v>
      </c>
      <c r="AT86" s="59">
        <f t="shared" si="398"/>
        <v>68979.583133999971</v>
      </c>
      <c r="AU86" s="60">
        <f t="shared" si="399"/>
        <v>20203.80999999999</v>
      </c>
      <c r="AV86" s="59">
        <f t="shared" si="400"/>
        <v>66789.755097999965</v>
      </c>
      <c r="AW86" s="60">
        <f t="shared" si="401"/>
        <v>19541.389999999992</v>
      </c>
      <c r="AX86" s="59">
        <f t="shared" si="402"/>
        <v>64599.927061999973</v>
      </c>
      <c r="AY86" s="55">
        <f t="shared" si="403"/>
        <v>18878.96999999999</v>
      </c>
      <c r="AZ86" s="59">
        <f t="shared" si="404"/>
        <v>62410.099025999967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497"/>
        <v>0.91</v>
      </c>
      <c r="BH86" s="55">
        <f t="shared" si="497"/>
        <v>0.89</v>
      </c>
      <c r="BI86" s="55">
        <f t="shared" si="497"/>
        <v>0.87</v>
      </c>
      <c r="BJ86" s="55">
        <f t="shared" si="497"/>
        <v>0.85</v>
      </c>
      <c r="BK86" s="55">
        <f t="shared" si="497"/>
        <v>0.83</v>
      </c>
      <c r="BL86" s="55">
        <f t="shared" si="497"/>
        <v>0.80999999999999994</v>
      </c>
      <c r="BM86" s="55">
        <f t="shared" si="497"/>
        <v>0.78999999999999992</v>
      </c>
      <c r="BN86" s="55">
        <f t="shared" si="497"/>
        <v>0.76999999999999991</v>
      </c>
      <c r="BO86" s="55">
        <f t="shared" si="497"/>
        <v>0.74999999999999989</v>
      </c>
      <c r="BP86" s="55">
        <f t="shared" si="497"/>
        <v>0.72999999999999987</v>
      </c>
      <c r="BQ86" s="55">
        <f t="shared" si="497"/>
        <v>0.70999999999999985</v>
      </c>
      <c r="BR86" s="55">
        <f t="shared" si="497"/>
        <v>0.68999999999999984</v>
      </c>
      <c r="BS86" s="55">
        <f t="shared" si="497"/>
        <v>0.66999999999999982</v>
      </c>
      <c r="BT86" s="55">
        <f t="shared" si="497"/>
        <v>0.6499999999999998</v>
      </c>
      <c r="BU86" s="55">
        <f t="shared" si="497"/>
        <v>0.62999999999999978</v>
      </c>
      <c r="BV86" s="55">
        <f t="shared" si="497"/>
        <v>0.60999999999999976</v>
      </c>
      <c r="BW86" s="55">
        <f t="shared" si="497"/>
        <v>0.58999999999999975</v>
      </c>
      <c r="BX86" s="55">
        <f t="shared" si="497"/>
        <v>0.56999999999999973</v>
      </c>
      <c r="BZ86" s="55">
        <f t="shared" si="505"/>
        <v>30140.11</v>
      </c>
      <c r="CA86" s="55">
        <f t="shared" si="506"/>
        <v>30140.11</v>
      </c>
      <c r="CB86" s="59">
        <f t="shared" si="406"/>
        <v>99637.175638000001</v>
      </c>
      <c r="CC86" s="55">
        <f t="shared" si="407"/>
        <v>29235.9067</v>
      </c>
      <c r="CD86" s="59">
        <f t="shared" si="408"/>
        <v>96648.060368859995</v>
      </c>
      <c r="CE86" s="55">
        <f t="shared" si="409"/>
        <v>28633.104499999998</v>
      </c>
      <c r="CF86" s="59">
        <f t="shared" si="410"/>
        <v>94655.316856099991</v>
      </c>
      <c r="CG86" s="55">
        <f t="shared" si="411"/>
        <v>28030.302300000003</v>
      </c>
      <c r="CH86" s="59">
        <f t="shared" si="412"/>
        <v>92662.573343340016</v>
      </c>
      <c r="CI86" s="57">
        <f t="shared" si="413"/>
        <v>27427.500100000001</v>
      </c>
      <c r="CJ86" s="59">
        <f t="shared" si="414"/>
        <v>90669.829830580013</v>
      </c>
      <c r="CK86" s="55">
        <f t="shared" si="415"/>
        <v>26824.697899999999</v>
      </c>
      <c r="CL86" s="59">
        <f t="shared" si="416"/>
        <v>88677.086317819994</v>
      </c>
      <c r="CM86" s="57">
        <f t="shared" si="417"/>
        <v>26221.895700000001</v>
      </c>
      <c r="CN86" s="59">
        <f t="shared" si="418"/>
        <v>86684.342805060005</v>
      </c>
      <c r="CO86" s="60">
        <f t="shared" si="419"/>
        <v>25619.093499999999</v>
      </c>
      <c r="CP86" s="59">
        <f t="shared" si="420"/>
        <v>84691.599292300001</v>
      </c>
      <c r="CQ86" s="57">
        <f t="shared" si="421"/>
        <v>25016.291300000001</v>
      </c>
      <c r="CR86" s="59">
        <f t="shared" si="422"/>
        <v>82698.855779539997</v>
      </c>
      <c r="CS86" s="55">
        <f t="shared" si="423"/>
        <v>24413.489099999999</v>
      </c>
      <c r="CT86" s="59">
        <f t="shared" si="424"/>
        <v>80706.112266779994</v>
      </c>
      <c r="CU86" s="60">
        <f t="shared" si="425"/>
        <v>23810.686899999997</v>
      </c>
      <c r="CV86" s="59">
        <f t="shared" si="426"/>
        <v>78713.36875401999</v>
      </c>
      <c r="CW86" s="60">
        <f t="shared" si="427"/>
        <v>23207.884699999999</v>
      </c>
      <c r="CX86" s="59">
        <f t="shared" si="428"/>
        <v>76720.625241260001</v>
      </c>
      <c r="CY86" s="60">
        <f t="shared" si="429"/>
        <v>22605.082499999997</v>
      </c>
      <c r="CZ86" s="59">
        <f t="shared" si="430"/>
        <v>74727.881728499997</v>
      </c>
      <c r="DA86" s="55">
        <f t="shared" si="431"/>
        <v>22002.280299999995</v>
      </c>
      <c r="DB86" s="59">
        <f t="shared" si="432"/>
        <v>72735.138215739978</v>
      </c>
      <c r="DC86" s="60">
        <f t="shared" si="433"/>
        <v>21399.478099999997</v>
      </c>
      <c r="DD86" s="59">
        <f t="shared" si="434"/>
        <v>70742.394702979989</v>
      </c>
      <c r="DE86" s="60">
        <f t="shared" si="435"/>
        <v>20796.675899999995</v>
      </c>
      <c r="DF86" s="59">
        <f t="shared" si="436"/>
        <v>68749.651190219985</v>
      </c>
      <c r="DG86" s="60">
        <f t="shared" si="437"/>
        <v>20193.873699999996</v>
      </c>
      <c r="DH86" s="59">
        <f t="shared" si="438"/>
        <v>66756.907677459996</v>
      </c>
      <c r="DI86" s="60">
        <f t="shared" si="439"/>
        <v>19591.071499999995</v>
      </c>
      <c r="DJ86" s="59">
        <f t="shared" si="440"/>
        <v>64764.164164699985</v>
      </c>
      <c r="DK86" s="55">
        <f t="shared" si="441"/>
        <v>18988.269299999993</v>
      </c>
      <c r="DL86" s="59">
        <f t="shared" si="442"/>
        <v>62771.420651939974</v>
      </c>
      <c r="DM86" s="60">
        <f t="shared" si="443"/>
        <v>18385.467099999994</v>
      </c>
      <c r="DN86" s="59">
        <f t="shared" si="444"/>
        <v>60778.677139179985</v>
      </c>
      <c r="DO86" s="60">
        <f t="shared" si="445"/>
        <v>17782.664899999992</v>
      </c>
      <c r="DP86" s="59">
        <f t="shared" si="446"/>
        <v>58785.933626419974</v>
      </c>
      <c r="DQ86" s="55">
        <f t="shared" si="447"/>
        <v>17179.862699999991</v>
      </c>
      <c r="DR86" s="59">
        <f t="shared" si="448"/>
        <v>56793.19011365997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00"/>
        <v>0.91</v>
      </c>
      <c r="DZ86" s="55">
        <f t="shared" si="500"/>
        <v>0.89</v>
      </c>
      <c r="EA86" s="55">
        <f t="shared" si="500"/>
        <v>0.87</v>
      </c>
      <c r="EB86" s="55">
        <f t="shared" si="500"/>
        <v>0.85</v>
      </c>
      <c r="EC86" s="55">
        <f t="shared" si="500"/>
        <v>0.83</v>
      </c>
      <c r="ED86" s="55">
        <f t="shared" si="500"/>
        <v>0.80999999999999994</v>
      </c>
      <c r="EE86" s="55">
        <f t="shared" si="500"/>
        <v>0.78999999999999992</v>
      </c>
      <c r="EF86" s="55">
        <f t="shared" si="500"/>
        <v>0.76999999999999991</v>
      </c>
      <c r="EG86" s="55">
        <f t="shared" si="500"/>
        <v>0.74999999999999989</v>
      </c>
      <c r="EH86" s="55">
        <f t="shared" si="500"/>
        <v>0.72999999999999987</v>
      </c>
      <c r="EI86" s="55">
        <f t="shared" si="500"/>
        <v>0.70999999999999985</v>
      </c>
      <c r="EJ86" s="55">
        <f t="shared" si="500"/>
        <v>0.68999999999999984</v>
      </c>
      <c r="EK86" s="55">
        <f t="shared" si="500"/>
        <v>0.66999999999999982</v>
      </c>
      <c r="EL86" s="55">
        <f t="shared" si="500"/>
        <v>0.6499999999999998</v>
      </c>
      <c r="EM86" s="55">
        <f t="shared" si="500"/>
        <v>0.62999999999999978</v>
      </c>
      <c r="EN86" s="55">
        <f t="shared" si="500"/>
        <v>0.60999999999999976</v>
      </c>
      <c r="EO86" s="55">
        <f t="shared" si="500"/>
        <v>0.58999999999999975</v>
      </c>
      <c r="EP86" s="55">
        <f t="shared" si="500"/>
        <v>0.56999999999999973</v>
      </c>
      <c r="ER86" s="55">
        <f t="shared" si="141"/>
        <v>27427.500100000001</v>
      </c>
      <c r="ES86" s="55">
        <f t="shared" si="507"/>
        <v>27427.500100000001</v>
      </c>
      <c r="ET86" s="59">
        <f t="shared" si="450"/>
        <v>90669.829830580013</v>
      </c>
      <c r="EU86" s="55">
        <f t="shared" si="451"/>
        <v>26604.675096999999</v>
      </c>
      <c r="EV86" s="59">
        <f t="shared" si="452"/>
        <v>87949.734935662593</v>
      </c>
      <c r="EW86" s="55">
        <f t="shared" si="453"/>
        <v>26056.125094999999</v>
      </c>
      <c r="EX86" s="59">
        <f t="shared" si="454"/>
        <v>86136.338339050999</v>
      </c>
      <c r="EY86" s="55">
        <f t="shared" si="455"/>
        <v>25507.575093000003</v>
      </c>
      <c r="EZ86" s="59">
        <f t="shared" si="456"/>
        <v>84322.941742439405</v>
      </c>
      <c r="FA86" s="57">
        <f t="shared" si="457"/>
        <v>24959.025091000003</v>
      </c>
      <c r="FB86" s="59">
        <f t="shared" si="458"/>
        <v>82509.545145827811</v>
      </c>
      <c r="FC86" s="55">
        <f t="shared" si="459"/>
        <v>24410.475089</v>
      </c>
      <c r="FD86" s="59">
        <f t="shared" si="460"/>
        <v>80696.148549216203</v>
      </c>
      <c r="FE86" s="57">
        <f t="shared" si="461"/>
        <v>23861.925087</v>
      </c>
      <c r="FF86" s="59">
        <f t="shared" si="462"/>
        <v>78882.751952604594</v>
      </c>
      <c r="FG86" s="60">
        <f t="shared" si="463"/>
        <v>23313.375085</v>
      </c>
      <c r="FH86" s="59">
        <f t="shared" si="464"/>
        <v>77069.355355993001</v>
      </c>
      <c r="FI86" s="57">
        <f t="shared" si="465"/>
        <v>22764.825083</v>
      </c>
      <c r="FJ86" s="59">
        <f t="shared" si="466"/>
        <v>75255.958759381407</v>
      </c>
      <c r="FK86" s="55">
        <f t="shared" si="467"/>
        <v>22216.275081</v>
      </c>
      <c r="FL86" s="59">
        <f t="shared" si="468"/>
        <v>73442.562162769798</v>
      </c>
      <c r="FM86" s="60">
        <f t="shared" si="469"/>
        <v>21667.725079</v>
      </c>
      <c r="FN86" s="59">
        <f t="shared" si="470"/>
        <v>71629.165566158204</v>
      </c>
      <c r="FO86" s="60">
        <f t="shared" si="471"/>
        <v>21119.175077</v>
      </c>
      <c r="FP86" s="59">
        <f t="shared" si="472"/>
        <v>69815.768969546596</v>
      </c>
      <c r="FQ86" s="60">
        <f t="shared" si="473"/>
        <v>20570.625074999996</v>
      </c>
      <c r="FR86" s="59">
        <f t="shared" si="474"/>
        <v>68002.372372934988</v>
      </c>
      <c r="FS86" s="55">
        <f t="shared" si="475"/>
        <v>20022.075072999996</v>
      </c>
      <c r="FT86" s="59">
        <f t="shared" si="476"/>
        <v>66188.975776323394</v>
      </c>
      <c r="FU86" s="60">
        <f t="shared" si="477"/>
        <v>19473.525070999996</v>
      </c>
      <c r="FV86" s="59">
        <f t="shared" si="478"/>
        <v>64375.579179711793</v>
      </c>
      <c r="FW86" s="60">
        <f t="shared" si="479"/>
        <v>18924.975068999996</v>
      </c>
      <c r="FX86" s="59">
        <f t="shared" si="480"/>
        <v>62562.182583100192</v>
      </c>
      <c r="FY86" s="60">
        <f t="shared" si="481"/>
        <v>18376.425066999996</v>
      </c>
      <c r="FZ86" s="59">
        <f t="shared" si="482"/>
        <v>60748.78598648859</v>
      </c>
      <c r="GA86" s="60">
        <f t="shared" si="483"/>
        <v>17827.875064999997</v>
      </c>
      <c r="GB86" s="59">
        <f t="shared" si="484"/>
        <v>58935.389389876989</v>
      </c>
      <c r="GC86" s="55">
        <f t="shared" si="485"/>
        <v>17279.325062999993</v>
      </c>
      <c r="GD86" s="59">
        <f t="shared" si="486"/>
        <v>57121.992793265381</v>
      </c>
      <c r="GE86" s="60">
        <f t="shared" si="487"/>
        <v>16730.775060999993</v>
      </c>
      <c r="GF86" s="59">
        <f t="shared" si="488"/>
        <v>55308.59619665378</v>
      </c>
      <c r="GG86" s="60">
        <f t="shared" si="489"/>
        <v>16182.225058999993</v>
      </c>
      <c r="GH86" s="59">
        <f t="shared" si="490"/>
        <v>53495.199600042179</v>
      </c>
      <c r="GI86" s="55">
        <f t="shared" si="491"/>
        <v>15633.675056999993</v>
      </c>
      <c r="GJ86" s="59">
        <f t="shared" si="492"/>
        <v>51681.803003430578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01"/>
        <v>0.91</v>
      </c>
      <c r="GR86" s="55">
        <f t="shared" si="501"/>
        <v>0.89</v>
      </c>
      <c r="GS86" s="55">
        <f t="shared" si="501"/>
        <v>0.87</v>
      </c>
      <c r="GT86" s="55">
        <f t="shared" si="501"/>
        <v>0.85</v>
      </c>
      <c r="GU86" s="55">
        <f t="shared" si="501"/>
        <v>0.83</v>
      </c>
      <c r="GV86" s="55">
        <f t="shared" si="501"/>
        <v>0.80999999999999994</v>
      </c>
      <c r="GW86" s="55">
        <f t="shared" si="501"/>
        <v>0.78999999999999992</v>
      </c>
      <c r="GX86" s="55">
        <f t="shared" si="501"/>
        <v>0.76999999999999991</v>
      </c>
      <c r="GY86" s="55">
        <f t="shared" si="501"/>
        <v>0.74999999999999989</v>
      </c>
      <c r="GZ86" s="55">
        <f t="shared" si="501"/>
        <v>0.72999999999999987</v>
      </c>
      <c r="HA86" s="55">
        <f t="shared" si="501"/>
        <v>0.70999999999999985</v>
      </c>
      <c r="HB86" s="55">
        <f t="shared" si="501"/>
        <v>0.68999999999999984</v>
      </c>
      <c r="HC86" s="55">
        <f t="shared" si="501"/>
        <v>0.66999999999999982</v>
      </c>
      <c r="HD86" s="55">
        <f t="shared" si="501"/>
        <v>0.6499999999999998</v>
      </c>
      <c r="HE86" s="55">
        <f t="shared" si="501"/>
        <v>0.62999999999999978</v>
      </c>
      <c r="HF86" s="55">
        <f t="shared" si="501"/>
        <v>0.60999999999999976</v>
      </c>
      <c r="HG86" s="55">
        <f t="shared" si="501"/>
        <v>0.58999999999999975</v>
      </c>
      <c r="HH86" s="55">
        <f t="shared" si="501"/>
        <v>0.56999999999999973</v>
      </c>
    </row>
    <row r="87" spans="1:216" x14ac:dyDescent="0.3">
      <c r="A87" s="2">
        <v>25</v>
      </c>
      <c r="C87" s="38" t="s">
        <v>150</v>
      </c>
      <c r="D87" s="42">
        <f>TRUNC(100720,-1)</f>
        <v>100720</v>
      </c>
      <c r="E87" s="86">
        <f>TRUNC(+D87*3.3058,-1)</f>
        <v>332960</v>
      </c>
      <c r="H87" s="55">
        <f t="shared" si="502"/>
        <v>366256.00000000006</v>
      </c>
      <c r="I87" s="55">
        <f t="shared" si="503"/>
        <v>366256.00000000006</v>
      </c>
      <c r="J87" s="59">
        <f t="shared" si="504"/>
        <v>1210769.0848000003</v>
      </c>
      <c r="K87" s="55">
        <f t="shared" si="363"/>
        <v>355268.32000000007</v>
      </c>
      <c r="L87" s="59">
        <f t="shared" si="364"/>
        <v>1174446.0122560002</v>
      </c>
      <c r="M87" s="55">
        <f t="shared" si="365"/>
        <v>347943.2</v>
      </c>
      <c r="N87" s="59">
        <f t="shared" si="366"/>
        <v>1150230.63056</v>
      </c>
      <c r="O87" s="55">
        <f t="shared" si="367"/>
        <v>340618.08000000007</v>
      </c>
      <c r="P87" s="59">
        <f t="shared" si="368"/>
        <v>1126015.2488640002</v>
      </c>
      <c r="Q87" s="57">
        <f t="shared" si="369"/>
        <v>333292.96000000008</v>
      </c>
      <c r="R87" s="59">
        <f t="shared" si="370"/>
        <v>1101799.8671680002</v>
      </c>
      <c r="S87" s="55">
        <f t="shared" si="371"/>
        <v>325967.84000000008</v>
      </c>
      <c r="T87" s="59">
        <f t="shared" si="372"/>
        <v>1077584.4854720002</v>
      </c>
      <c r="U87" s="57">
        <f t="shared" si="373"/>
        <v>318642.72000000003</v>
      </c>
      <c r="V87" s="59">
        <f t="shared" si="374"/>
        <v>1053369.1037760002</v>
      </c>
      <c r="W87" s="60">
        <f t="shared" si="375"/>
        <v>311317.60000000003</v>
      </c>
      <c r="X87" s="59">
        <f t="shared" si="376"/>
        <v>1029153.7220800001</v>
      </c>
      <c r="Y87" s="57">
        <f t="shared" si="377"/>
        <v>303992.48000000004</v>
      </c>
      <c r="Z87" s="59">
        <f t="shared" si="378"/>
        <v>1004938.3403840001</v>
      </c>
      <c r="AA87" s="55">
        <f t="shared" si="379"/>
        <v>296667.36000000004</v>
      </c>
      <c r="AB87" s="59">
        <f t="shared" si="380"/>
        <v>980722.95868800022</v>
      </c>
      <c r="AC87" s="60">
        <f t="shared" si="381"/>
        <v>289342.24</v>
      </c>
      <c r="AD87" s="59">
        <f t="shared" si="382"/>
        <v>956507.57699199999</v>
      </c>
      <c r="AE87" s="60">
        <f t="shared" si="383"/>
        <v>282017.12</v>
      </c>
      <c r="AF87" s="59">
        <f t="shared" si="384"/>
        <v>932292.19529599999</v>
      </c>
      <c r="AG87" s="60">
        <f t="shared" si="385"/>
        <v>274692</v>
      </c>
      <c r="AH87" s="59">
        <f t="shared" si="386"/>
        <v>908076.81359999999</v>
      </c>
      <c r="AI87" s="55">
        <f t="shared" si="387"/>
        <v>267366.88</v>
      </c>
      <c r="AJ87" s="59">
        <f t="shared" si="388"/>
        <v>883861.431904</v>
      </c>
      <c r="AK87" s="60">
        <f t="shared" si="389"/>
        <v>260041.75999999998</v>
      </c>
      <c r="AL87" s="59">
        <f t="shared" si="390"/>
        <v>859646.050208</v>
      </c>
      <c r="AM87" s="60">
        <f t="shared" si="391"/>
        <v>252716.63999999998</v>
      </c>
      <c r="AN87" s="59">
        <f t="shared" si="392"/>
        <v>835430.668512</v>
      </c>
      <c r="AO87" s="60">
        <f t="shared" si="393"/>
        <v>245391.51999999996</v>
      </c>
      <c r="AP87" s="59">
        <f t="shared" si="394"/>
        <v>811215.28681599989</v>
      </c>
      <c r="AQ87" s="60">
        <f t="shared" si="395"/>
        <v>238066.39999999997</v>
      </c>
      <c r="AR87" s="59">
        <f t="shared" si="396"/>
        <v>786999.90511999989</v>
      </c>
      <c r="AS87" s="55">
        <f t="shared" si="397"/>
        <v>230741.27999999997</v>
      </c>
      <c r="AT87" s="59">
        <f t="shared" si="398"/>
        <v>762784.5234239999</v>
      </c>
      <c r="AU87" s="60">
        <f t="shared" si="399"/>
        <v>223416.15999999995</v>
      </c>
      <c r="AV87" s="59">
        <f t="shared" si="400"/>
        <v>738569.14172799978</v>
      </c>
      <c r="AW87" s="60">
        <f t="shared" si="401"/>
        <v>216091.03999999995</v>
      </c>
      <c r="AX87" s="59">
        <f t="shared" si="402"/>
        <v>714353.7600319999</v>
      </c>
      <c r="AY87" s="55">
        <f t="shared" si="403"/>
        <v>208765.91999999993</v>
      </c>
      <c r="AZ87" s="59">
        <f t="shared" si="404"/>
        <v>690138.37833599979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497"/>
        <v>0.91</v>
      </c>
      <c r="BH87" s="55">
        <f t="shared" si="497"/>
        <v>0.89</v>
      </c>
      <c r="BI87" s="55">
        <f t="shared" si="497"/>
        <v>0.87</v>
      </c>
      <c r="BJ87" s="55">
        <f t="shared" si="497"/>
        <v>0.85</v>
      </c>
      <c r="BK87" s="55">
        <f t="shared" si="497"/>
        <v>0.83</v>
      </c>
      <c r="BL87" s="55">
        <f t="shared" si="497"/>
        <v>0.80999999999999994</v>
      </c>
      <c r="BM87" s="55">
        <f t="shared" si="497"/>
        <v>0.78999999999999992</v>
      </c>
      <c r="BN87" s="55">
        <f t="shared" si="497"/>
        <v>0.76999999999999991</v>
      </c>
      <c r="BO87" s="55">
        <f t="shared" si="497"/>
        <v>0.74999999999999989</v>
      </c>
      <c r="BP87" s="55">
        <f t="shared" si="497"/>
        <v>0.72999999999999987</v>
      </c>
      <c r="BQ87" s="55">
        <f t="shared" si="497"/>
        <v>0.70999999999999985</v>
      </c>
      <c r="BR87" s="55">
        <f t="shared" si="497"/>
        <v>0.68999999999999984</v>
      </c>
      <c r="BS87" s="55">
        <f t="shared" si="497"/>
        <v>0.66999999999999982</v>
      </c>
      <c r="BT87" s="55">
        <f t="shared" si="497"/>
        <v>0.6499999999999998</v>
      </c>
      <c r="BU87" s="55">
        <f t="shared" si="497"/>
        <v>0.62999999999999978</v>
      </c>
      <c r="BV87" s="55">
        <f t="shared" si="497"/>
        <v>0.60999999999999976</v>
      </c>
      <c r="BW87" s="55">
        <f t="shared" si="497"/>
        <v>0.58999999999999975</v>
      </c>
      <c r="BX87" s="55">
        <f t="shared" si="497"/>
        <v>0.56999999999999973</v>
      </c>
      <c r="BZ87" s="55">
        <f t="shared" si="505"/>
        <v>333292.96000000008</v>
      </c>
      <c r="CA87" s="55">
        <f t="shared" si="506"/>
        <v>333292.96000000008</v>
      </c>
      <c r="CB87" s="59">
        <f t="shared" si="406"/>
        <v>1101799.8671680002</v>
      </c>
      <c r="CC87" s="55">
        <f t="shared" si="407"/>
        <v>323294.17120000004</v>
      </c>
      <c r="CD87" s="59">
        <f t="shared" si="408"/>
        <v>1068745.8711529602</v>
      </c>
      <c r="CE87" s="55">
        <f t="shared" si="409"/>
        <v>316628.31200000003</v>
      </c>
      <c r="CF87" s="59">
        <f t="shared" si="410"/>
        <v>1046709.8738096001</v>
      </c>
      <c r="CG87" s="55">
        <f t="shared" si="411"/>
        <v>309962.45280000009</v>
      </c>
      <c r="CH87" s="59">
        <f t="shared" si="412"/>
        <v>1024673.8764662403</v>
      </c>
      <c r="CI87" s="57">
        <f t="shared" si="413"/>
        <v>303296.59360000008</v>
      </c>
      <c r="CJ87" s="59">
        <f t="shared" si="414"/>
        <v>1002637.8791228803</v>
      </c>
      <c r="CK87" s="55">
        <f t="shared" si="415"/>
        <v>296630.73440000007</v>
      </c>
      <c r="CL87" s="59">
        <f t="shared" si="416"/>
        <v>980601.88177952031</v>
      </c>
      <c r="CM87" s="57">
        <f t="shared" si="417"/>
        <v>289964.87520000007</v>
      </c>
      <c r="CN87" s="59">
        <f t="shared" si="418"/>
        <v>958565.88443616021</v>
      </c>
      <c r="CO87" s="60">
        <f t="shared" si="419"/>
        <v>283299.01600000006</v>
      </c>
      <c r="CP87" s="59">
        <f t="shared" si="420"/>
        <v>936529.88709280023</v>
      </c>
      <c r="CQ87" s="57">
        <f t="shared" si="421"/>
        <v>276633.15680000006</v>
      </c>
      <c r="CR87" s="59">
        <f t="shared" si="422"/>
        <v>914493.88974944025</v>
      </c>
      <c r="CS87" s="55">
        <f t="shared" si="423"/>
        <v>269967.29760000005</v>
      </c>
      <c r="CT87" s="59">
        <f t="shared" si="424"/>
        <v>892457.89240608015</v>
      </c>
      <c r="CU87" s="60">
        <f t="shared" si="425"/>
        <v>263301.43840000004</v>
      </c>
      <c r="CV87" s="59">
        <f t="shared" si="426"/>
        <v>870421.89506272017</v>
      </c>
      <c r="CW87" s="60">
        <f t="shared" si="427"/>
        <v>256635.57920000004</v>
      </c>
      <c r="CX87" s="59">
        <f t="shared" si="428"/>
        <v>848385.89771936019</v>
      </c>
      <c r="CY87" s="60">
        <f t="shared" si="429"/>
        <v>249969.72000000003</v>
      </c>
      <c r="CZ87" s="59">
        <f t="shared" si="430"/>
        <v>826349.90037600009</v>
      </c>
      <c r="DA87" s="55">
        <f t="shared" si="431"/>
        <v>243303.86080000002</v>
      </c>
      <c r="DB87" s="59">
        <f t="shared" si="432"/>
        <v>804313.90303264011</v>
      </c>
      <c r="DC87" s="60">
        <f t="shared" si="433"/>
        <v>236638.00160000002</v>
      </c>
      <c r="DD87" s="59">
        <f t="shared" si="434"/>
        <v>782277.90568928013</v>
      </c>
      <c r="DE87" s="60">
        <f t="shared" si="435"/>
        <v>229972.14240000001</v>
      </c>
      <c r="DF87" s="59">
        <f t="shared" si="436"/>
        <v>760241.90834592003</v>
      </c>
      <c r="DG87" s="60">
        <f t="shared" si="437"/>
        <v>223306.28320000001</v>
      </c>
      <c r="DH87" s="59">
        <f t="shared" si="438"/>
        <v>738205.91100256005</v>
      </c>
      <c r="DI87" s="60">
        <f t="shared" si="439"/>
        <v>216640.424</v>
      </c>
      <c r="DJ87" s="59">
        <f t="shared" si="440"/>
        <v>716169.91365919996</v>
      </c>
      <c r="DK87" s="55">
        <f t="shared" si="441"/>
        <v>209974.56479999996</v>
      </c>
      <c r="DL87" s="59">
        <f t="shared" si="442"/>
        <v>694133.91631583986</v>
      </c>
      <c r="DM87" s="60">
        <f t="shared" si="443"/>
        <v>203308.70559999996</v>
      </c>
      <c r="DN87" s="59">
        <f t="shared" si="444"/>
        <v>672097.91897247988</v>
      </c>
      <c r="DO87" s="60">
        <f t="shared" si="445"/>
        <v>196642.84639999995</v>
      </c>
      <c r="DP87" s="59">
        <f t="shared" si="446"/>
        <v>650061.9216291199</v>
      </c>
      <c r="DQ87" s="55">
        <f t="shared" si="447"/>
        <v>189976.98719999995</v>
      </c>
      <c r="DR87" s="59">
        <f t="shared" si="448"/>
        <v>628025.9242857598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00"/>
        <v>0.91</v>
      </c>
      <c r="DZ87" s="55">
        <f t="shared" si="500"/>
        <v>0.89</v>
      </c>
      <c r="EA87" s="55">
        <f t="shared" si="500"/>
        <v>0.87</v>
      </c>
      <c r="EB87" s="55">
        <f t="shared" si="500"/>
        <v>0.85</v>
      </c>
      <c r="EC87" s="55">
        <f t="shared" si="500"/>
        <v>0.83</v>
      </c>
      <c r="ED87" s="55">
        <f t="shared" si="500"/>
        <v>0.80999999999999994</v>
      </c>
      <c r="EE87" s="55">
        <f t="shared" si="500"/>
        <v>0.78999999999999992</v>
      </c>
      <c r="EF87" s="55">
        <f t="shared" si="500"/>
        <v>0.76999999999999991</v>
      </c>
      <c r="EG87" s="55">
        <f t="shared" si="500"/>
        <v>0.74999999999999989</v>
      </c>
      <c r="EH87" s="55">
        <f t="shared" si="500"/>
        <v>0.72999999999999987</v>
      </c>
      <c r="EI87" s="55">
        <f t="shared" si="500"/>
        <v>0.70999999999999985</v>
      </c>
      <c r="EJ87" s="55">
        <f t="shared" si="500"/>
        <v>0.68999999999999984</v>
      </c>
      <c r="EK87" s="55">
        <f t="shared" si="500"/>
        <v>0.66999999999999982</v>
      </c>
      <c r="EL87" s="55">
        <f t="shared" si="500"/>
        <v>0.6499999999999998</v>
      </c>
      <c r="EM87" s="55">
        <f t="shared" si="500"/>
        <v>0.62999999999999978</v>
      </c>
      <c r="EN87" s="55">
        <f t="shared" si="500"/>
        <v>0.60999999999999976</v>
      </c>
      <c r="EO87" s="55">
        <f t="shared" si="500"/>
        <v>0.58999999999999975</v>
      </c>
      <c r="EP87" s="55">
        <f t="shared" si="500"/>
        <v>0.56999999999999973</v>
      </c>
      <c r="ER87" s="55">
        <f t="shared" si="141"/>
        <v>303296.59360000008</v>
      </c>
      <c r="ES87" s="55">
        <f t="shared" si="507"/>
        <v>303296.59360000008</v>
      </c>
      <c r="ET87" s="59">
        <f t="shared" si="450"/>
        <v>1002637.8791228803</v>
      </c>
      <c r="EU87" s="55">
        <f t="shared" si="451"/>
        <v>294197.69579200004</v>
      </c>
      <c r="EV87" s="59">
        <f t="shared" si="452"/>
        <v>972558.7427491938</v>
      </c>
      <c r="EW87" s="55">
        <f t="shared" si="453"/>
        <v>288131.76392000006</v>
      </c>
      <c r="EX87" s="59">
        <f t="shared" si="454"/>
        <v>952505.98516673618</v>
      </c>
      <c r="EY87" s="55">
        <f t="shared" si="455"/>
        <v>282065.83204800007</v>
      </c>
      <c r="EZ87" s="59">
        <f t="shared" si="456"/>
        <v>932453.22758427868</v>
      </c>
      <c r="FA87" s="57">
        <f t="shared" si="457"/>
        <v>275999.90017600008</v>
      </c>
      <c r="FB87" s="59">
        <f t="shared" si="458"/>
        <v>912400.47000182106</v>
      </c>
      <c r="FC87" s="55">
        <f t="shared" si="459"/>
        <v>269933.9683040001</v>
      </c>
      <c r="FD87" s="59">
        <f t="shared" si="460"/>
        <v>892347.71241936355</v>
      </c>
      <c r="FE87" s="57">
        <f t="shared" si="461"/>
        <v>263868.03643200005</v>
      </c>
      <c r="FF87" s="59">
        <f t="shared" si="462"/>
        <v>872294.95483690582</v>
      </c>
      <c r="FG87" s="60">
        <f t="shared" si="463"/>
        <v>257802.10456000007</v>
      </c>
      <c r="FH87" s="59">
        <f t="shared" si="464"/>
        <v>852242.1972544482</v>
      </c>
      <c r="FI87" s="57">
        <f t="shared" si="465"/>
        <v>251736.17268800005</v>
      </c>
      <c r="FJ87" s="59">
        <f t="shared" si="466"/>
        <v>832189.43967199058</v>
      </c>
      <c r="FK87" s="55">
        <f t="shared" si="467"/>
        <v>245670.24081600003</v>
      </c>
      <c r="FL87" s="59">
        <f t="shared" si="468"/>
        <v>812136.68208953296</v>
      </c>
      <c r="FM87" s="60">
        <f t="shared" si="469"/>
        <v>239604.30894400005</v>
      </c>
      <c r="FN87" s="59">
        <f t="shared" si="470"/>
        <v>792083.92450707534</v>
      </c>
      <c r="FO87" s="60">
        <f t="shared" si="471"/>
        <v>233538.37707200003</v>
      </c>
      <c r="FP87" s="59">
        <f t="shared" si="472"/>
        <v>772031.16692461772</v>
      </c>
      <c r="FQ87" s="60">
        <f t="shared" si="473"/>
        <v>227472.44520000002</v>
      </c>
      <c r="FR87" s="59">
        <f t="shared" si="474"/>
        <v>751978.4093421601</v>
      </c>
      <c r="FS87" s="55">
        <f t="shared" si="475"/>
        <v>221406.51332800003</v>
      </c>
      <c r="FT87" s="59">
        <f t="shared" si="476"/>
        <v>731925.65175970248</v>
      </c>
      <c r="FU87" s="60">
        <f t="shared" si="477"/>
        <v>215340.58145600001</v>
      </c>
      <c r="FV87" s="59">
        <f t="shared" si="478"/>
        <v>711872.89417724486</v>
      </c>
      <c r="FW87" s="60">
        <f t="shared" si="479"/>
        <v>209274.649584</v>
      </c>
      <c r="FX87" s="59">
        <f t="shared" si="480"/>
        <v>691820.13659478724</v>
      </c>
      <c r="FY87" s="60">
        <f t="shared" si="481"/>
        <v>203208.71771200001</v>
      </c>
      <c r="FZ87" s="59">
        <f t="shared" si="482"/>
        <v>671767.37901232962</v>
      </c>
      <c r="GA87" s="60">
        <f t="shared" si="483"/>
        <v>197142.78584</v>
      </c>
      <c r="GB87" s="59">
        <f t="shared" si="484"/>
        <v>651714.621429872</v>
      </c>
      <c r="GC87" s="55">
        <f t="shared" si="485"/>
        <v>191076.85396799998</v>
      </c>
      <c r="GD87" s="59">
        <f t="shared" si="486"/>
        <v>631661.86384741438</v>
      </c>
      <c r="GE87" s="60">
        <f t="shared" si="487"/>
        <v>185010.92209599997</v>
      </c>
      <c r="GF87" s="59">
        <f t="shared" si="488"/>
        <v>611609.10626495664</v>
      </c>
      <c r="GG87" s="60">
        <f t="shared" si="489"/>
        <v>178944.99022399998</v>
      </c>
      <c r="GH87" s="59">
        <f t="shared" si="490"/>
        <v>591556.34868249914</v>
      </c>
      <c r="GI87" s="55">
        <f t="shared" si="491"/>
        <v>172879.05835199996</v>
      </c>
      <c r="GJ87" s="59">
        <f t="shared" si="492"/>
        <v>571503.59110004152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01"/>
        <v>0.91</v>
      </c>
      <c r="GR87" s="55">
        <f t="shared" si="501"/>
        <v>0.89</v>
      </c>
      <c r="GS87" s="55">
        <f t="shared" si="501"/>
        <v>0.87</v>
      </c>
      <c r="GT87" s="55">
        <f t="shared" si="501"/>
        <v>0.85</v>
      </c>
      <c r="GU87" s="55">
        <f t="shared" si="501"/>
        <v>0.83</v>
      </c>
      <c r="GV87" s="55">
        <f t="shared" si="501"/>
        <v>0.80999999999999994</v>
      </c>
      <c r="GW87" s="55">
        <f t="shared" si="501"/>
        <v>0.78999999999999992</v>
      </c>
      <c r="GX87" s="55">
        <f t="shared" si="501"/>
        <v>0.76999999999999991</v>
      </c>
      <c r="GY87" s="55">
        <f t="shared" si="501"/>
        <v>0.74999999999999989</v>
      </c>
      <c r="GZ87" s="55">
        <f t="shared" si="501"/>
        <v>0.72999999999999987</v>
      </c>
      <c r="HA87" s="55">
        <f t="shared" si="501"/>
        <v>0.70999999999999985</v>
      </c>
      <c r="HB87" s="55">
        <f t="shared" si="501"/>
        <v>0.68999999999999984</v>
      </c>
      <c r="HC87" s="55">
        <f t="shared" si="501"/>
        <v>0.66999999999999982</v>
      </c>
      <c r="HD87" s="55">
        <f t="shared" si="501"/>
        <v>0.6499999999999998</v>
      </c>
      <c r="HE87" s="55">
        <f t="shared" si="501"/>
        <v>0.62999999999999978</v>
      </c>
      <c r="HF87" s="55">
        <f t="shared" si="501"/>
        <v>0.60999999999999976</v>
      </c>
      <c r="HG87" s="55">
        <f t="shared" si="501"/>
        <v>0.58999999999999975</v>
      </c>
      <c r="HH87" s="55">
        <f t="shared" si="501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TRUNC(1592+36440+19455,-1)</f>
        <v>57480</v>
      </c>
      <c r="E88" s="87">
        <f>TRUNC(+D88*3.3058,-1)</f>
        <v>190010</v>
      </c>
      <c r="F88" s="2" t="s">
        <v>310</v>
      </c>
      <c r="H88" s="55">
        <f t="shared" si="502"/>
        <v>209011.00000000003</v>
      </c>
      <c r="I88" s="55">
        <f t="shared" si="503"/>
        <v>209011.00000000003</v>
      </c>
      <c r="J88" s="59">
        <f t="shared" si="504"/>
        <v>690948.56380000012</v>
      </c>
      <c r="K88" s="55">
        <f t="shared" si="363"/>
        <v>202740.67</v>
      </c>
      <c r="L88" s="59">
        <f t="shared" si="364"/>
        <v>670220.10688600002</v>
      </c>
      <c r="M88" s="55">
        <f t="shared" si="365"/>
        <v>198560.45</v>
      </c>
      <c r="N88" s="59">
        <f t="shared" si="366"/>
        <v>656401.13561</v>
      </c>
      <c r="O88" s="55">
        <f t="shared" si="367"/>
        <v>194380.23000000004</v>
      </c>
      <c r="P88" s="59">
        <f t="shared" si="368"/>
        <v>642582.16433400009</v>
      </c>
      <c r="Q88" s="57">
        <f t="shared" si="369"/>
        <v>190200.01000000004</v>
      </c>
      <c r="R88" s="59">
        <f t="shared" si="370"/>
        <v>628763.19305800018</v>
      </c>
      <c r="S88" s="55">
        <f t="shared" si="371"/>
        <v>186019.79000000004</v>
      </c>
      <c r="T88" s="59">
        <f t="shared" si="372"/>
        <v>614944.22178200015</v>
      </c>
      <c r="U88" s="57">
        <f t="shared" si="373"/>
        <v>181839.57000000004</v>
      </c>
      <c r="V88" s="59">
        <f t="shared" si="374"/>
        <v>601125.25050600013</v>
      </c>
      <c r="W88" s="60">
        <f t="shared" si="375"/>
        <v>177659.35</v>
      </c>
      <c r="X88" s="59">
        <f t="shared" si="376"/>
        <v>587306.27922999999</v>
      </c>
      <c r="Y88" s="57">
        <f t="shared" si="377"/>
        <v>173479.13</v>
      </c>
      <c r="Z88" s="59">
        <f t="shared" si="378"/>
        <v>573487.30795400008</v>
      </c>
      <c r="AA88" s="55">
        <f t="shared" si="379"/>
        <v>169298.91</v>
      </c>
      <c r="AB88" s="59">
        <f t="shared" si="380"/>
        <v>559668.33667800005</v>
      </c>
      <c r="AC88" s="60">
        <f t="shared" si="381"/>
        <v>165118.69</v>
      </c>
      <c r="AD88" s="59">
        <f t="shared" si="382"/>
        <v>545849.36540200002</v>
      </c>
      <c r="AE88" s="60">
        <f t="shared" si="383"/>
        <v>160938.47</v>
      </c>
      <c r="AF88" s="59">
        <f t="shared" si="384"/>
        <v>532030.394126</v>
      </c>
      <c r="AG88" s="60">
        <f t="shared" si="385"/>
        <v>156758.25</v>
      </c>
      <c r="AH88" s="59">
        <f t="shared" si="386"/>
        <v>518211.42285000003</v>
      </c>
      <c r="AI88" s="55">
        <f t="shared" si="387"/>
        <v>152578.03</v>
      </c>
      <c r="AJ88" s="59">
        <f t="shared" si="388"/>
        <v>504392.45157400001</v>
      </c>
      <c r="AK88" s="60">
        <f t="shared" si="389"/>
        <v>148397.81</v>
      </c>
      <c r="AL88" s="59">
        <f t="shared" si="390"/>
        <v>490573.48029799998</v>
      </c>
      <c r="AM88" s="60">
        <f t="shared" si="391"/>
        <v>144217.59</v>
      </c>
      <c r="AN88" s="59">
        <f t="shared" si="392"/>
        <v>476754.50902200001</v>
      </c>
      <c r="AO88" s="60">
        <f t="shared" si="393"/>
        <v>140037.37</v>
      </c>
      <c r="AP88" s="59">
        <f t="shared" si="394"/>
        <v>462935.53774599999</v>
      </c>
      <c r="AQ88" s="60">
        <f t="shared" si="395"/>
        <v>135857.14999999997</v>
      </c>
      <c r="AR88" s="59">
        <f t="shared" si="396"/>
        <v>449116.5664699999</v>
      </c>
      <c r="AS88" s="55">
        <f t="shared" si="397"/>
        <v>131676.92999999996</v>
      </c>
      <c r="AT88" s="59">
        <f t="shared" si="398"/>
        <v>435297.59519399988</v>
      </c>
      <c r="AU88" s="60">
        <f t="shared" si="399"/>
        <v>127496.70999999996</v>
      </c>
      <c r="AV88" s="59">
        <f t="shared" si="400"/>
        <v>421478.62391799991</v>
      </c>
      <c r="AW88" s="60">
        <f t="shared" si="401"/>
        <v>123316.48999999996</v>
      </c>
      <c r="AX88" s="59">
        <f t="shared" si="402"/>
        <v>407659.65264199988</v>
      </c>
      <c r="AY88" s="55">
        <f t="shared" si="403"/>
        <v>119136.26999999996</v>
      </c>
      <c r="AZ88" s="59">
        <f t="shared" si="404"/>
        <v>393840.68136599986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497"/>
        <v>0.91</v>
      </c>
      <c r="BH88" s="55">
        <f t="shared" si="497"/>
        <v>0.89</v>
      </c>
      <c r="BI88" s="55">
        <f t="shared" si="497"/>
        <v>0.87</v>
      </c>
      <c r="BJ88" s="55">
        <f t="shared" si="497"/>
        <v>0.85</v>
      </c>
      <c r="BK88" s="55">
        <f t="shared" si="497"/>
        <v>0.83</v>
      </c>
      <c r="BL88" s="55">
        <f t="shared" si="497"/>
        <v>0.80999999999999994</v>
      </c>
      <c r="BM88" s="55">
        <f t="shared" si="497"/>
        <v>0.78999999999999992</v>
      </c>
      <c r="BN88" s="55">
        <f t="shared" si="497"/>
        <v>0.76999999999999991</v>
      </c>
      <c r="BO88" s="55">
        <f t="shared" si="497"/>
        <v>0.74999999999999989</v>
      </c>
      <c r="BP88" s="55">
        <f t="shared" si="497"/>
        <v>0.72999999999999987</v>
      </c>
      <c r="BQ88" s="55">
        <f t="shared" si="497"/>
        <v>0.70999999999999985</v>
      </c>
      <c r="BR88" s="55">
        <f t="shared" si="497"/>
        <v>0.68999999999999984</v>
      </c>
      <c r="BS88" s="55">
        <f t="shared" si="497"/>
        <v>0.66999999999999982</v>
      </c>
      <c r="BT88" s="55">
        <f t="shared" si="497"/>
        <v>0.6499999999999998</v>
      </c>
      <c r="BU88" s="55">
        <f t="shared" si="497"/>
        <v>0.62999999999999978</v>
      </c>
      <c r="BV88" s="55">
        <f t="shared" si="497"/>
        <v>0.60999999999999976</v>
      </c>
      <c r="BW88" s="55">
        <f t="shared" si="497"/>
        <v>0.58999999999999975</v>
      </c>
      <c r="BX88" s="55">
        <f t="shared" si="497"/>
        <v>0.56999999999999973</v>
      </c>
      <c r="BZ88" s="55">
        <f t="shared" si="505"/>
        <v>190200.01000000004</v>
      </c>
      <c r="CA88" s="55">
        <f t="shared" si="506"/>
        <v>190200.01000000004</v>
      </c>
      <c r="CB88" s="59">
        <f t="shared" si="406"/>
        <v>628763.19305800018</v>
      </c>
      <c r="CC88" s="55">
        <f t="shared" si="407"/>
        <v>184494.00970000002</v>
      </c>
      <c r="CD88" s="59">
        <f t="shared" si="408"/>
        <v>609900.29726626014</v>
      </c>
      <c r="CE88" s="55">
        <f t="shared" si="409"/>
        <v>180690.00950000001</v>
      </c>
      <c r="CF88" s="59">
        <f t="shared" si="410"/>
        <v>597325.03340510011</v>
      </c>
      <c r="CG88" s="55">
        <f t="shared" si="411"/>
        <v>176886.00930000003</v>
      </c>
      <c r="CH88" s="59">
        <f t="shared" si="412"/>
        <v>584749.76954394008</v>
      </c>
      <c r="CI88" s="57">
        <f t="shared" si="413"/>
        <v>173082.00910000005</v>
      </c>
      <c r="CJ88" s="59">
        <f t="shared" si="414"/>
        <v>572174.50568278017</v>
      </c>
      <c r="CK88" s="55">
        <f t="shared" si="415"/>
        <v>169278.00890000004</v>
      </c>
      <c r="CL88" s="59">
        <f t="shared" si="416"/>
        <v>559599.24182162015</v>
      </c>
      <c r="CM88" s="57">
        <f t="shared" si="417"/>
        <v>165474.00870000003</v>
      </c>
      <c r="CN88" s="59">
        <f t="shared" si="418"/>
        <v>547023.97796046012</v>
      </c>
      <c r="CO88" s="60">
        <f t="shared" si="419"/>
        <v>161670.00850000003</v>
      </c>
      <c r="CP88" s="59">
        <f t="shared" si="420"/>
        <v>534448.71409930009</v>
      </c>
      <c r="CQ88" s="57">
        <f t="shared" si="421"/>
        <v>157866.00830000002</v>
      </c>
      <c r="CR88" s="59">
        <f t="shared" si="422"/>
        <v>521873.45023814007</v>
      </c>
      <c r="CS88" s="55">
        <f t="shared" si="423"/>
        <v>154062.00810000001</v>
      </c>
      <c r="CT88" s="59">
        <f t="shared" si="424"/>
        <v>509298.18637698004</v>
      </c>
      <c r="CU88" s="60">
        <f t="shared" si="425"/>
        <v>150258.00790000003</v>
      </c>
      <c r="CV88" s="59">
        <f t="shared" si="426"/>
        <v>496722.92251582007</v>
      </c>
      <c r="CW88" s="60">
        <f t="shared" si="427"/>
        <v>146454.00770000002</v>
      </c>
      <c r="CX88" s="59">
        <f t="shared" si="428"/>
        <v>484147.65865466004</v>
      </c>
      <c r="CY88" s="60">
        <f t="shared" si="429"/>
        <v>142650.00750000001</v>
      </c>
      <c r="CZ88" s="59">
        <f t="shared" si="430"/>
        <v>471572.39479350002</v>
      </c>
      <c r="DA88" s="55">
        <f t="shared" si="431"/>
        <v>138846.0073</v>
      </c>
      <c r="DB88" s="59">
        <f t="shared" si="432"/>
        <v>458997.13093233999</v>
      </c>
      <c r="DC88" s="60">
        <f t="shared" si="433"/>
        <v>135042.00709999999</v>
      </c>
      <c r="DD88" s="59">
        <f t="shared" si="434"/>
        <v>446421.86707117996</v>
      </c>
      <c r="DE88" s="60">
        <f t="shared" si="435"/>
        <v>131238.00690000001</v>
      </c>
      <c r="DF88" s="59">
        <f t="shared" si="436"/>
        <v>433846.60321002005</v>
      </c>
      <c r="DG88" s="60">
        <f t="shared" si="437"/>
        <v>127434.0067</v>
      </c>
      <c r="DH88" s="59">
        <f t="shared" si="438"/>
        <v>421271.33934886003</v>
      </c>
      <c r="DI88" s="60">
        <f t="shared" si="439"/>
        <v>123630.00649999999</v>
      </c>
      <c r="DJ88" s="59">
        <f t="shared" si="440"/>
        <v>408696.0754877</v>
      </c>
      <c r="DK88" s="55">
        <f t="shared" si="441"/>
        <v>119826.00629999998</v>
      </c>
      <c r="DL88" s="59">
        <f t="shared" si="442"/>
        <v>396120.81162653991</v>
      </c>
      <c r="DM88" s="60">
        <f t="shared" si="443"/>
        <v>116022.00609999998</v>
      </c>
      <c r="DN88" s="59">
        <f t="shared" si="444"/>
        <v>383545.54776537995</v>
      </c>
      <c r="DO88" s="60">
        <f t="shared" si="445"/>
        <v>112218.00589999997</v>
      </c>
      <c r="DP88" s="59">
        <f t="shared" si="446"/>
        <v>370970.28390421992</v>
      </c>
      <c r="DQ88" s="55">
        <f t="shared" si="447"/>
        <v>108414.00569999997</v>
      </c>
      <c r="DR88" s="59">
        <f t="shared" si="448"/>
        <v>358395.02004305989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00"/>
        <v>0.91</v>
      </c>
      <c r="DZ88" s="55">
        <f t="shared" si="500"/>
        <v>0.89</v>
      </c>
      <c r="EA88" s="55">
        <f t="shared" si="500"/>
        <v>0.87</v>
      </c>
      <c r="EB88" s="55">
        <f t="shared" si="500"/>
        <v>0.85</v>
      </c>
      <c r="EC88" s="55">
        <f t="shared" si="500"/>
        <v>0.83</v>
      </c>
      <c r="ED88" s="55">
        <f t="shared" si="500"/>
        <v>0.80999999999999994</v>
      </c>
      <c r="EE88" s="55">
        <f t="shared" si="500"/>
        <v>0.78999999999999992</v>
      </c>
      <c r="EF88" s="55">
        <f t="shared" si="500"/>
        <v>0.76999999999999991</v>
      </c>
      <c r="EG88" s="55">
        <f t="shared" si="500"/>
        <v>0.74999999999999989</v>
      </c>
      <c r="EH88" s="55">
        <f t="shared" si="500"/>
        <v>0.72999999999999987</v>
      </c>
      <c r="EI88" s="55">
        <f t="shared" si="500"/>
        <v>0.70999999999999985</v>
      </c>
      <c r="EJ88" s="55">
        <f t="shared" si="500"/>
        <v>0.68999999999999984</v>
      </c>
      <c r="EK88" s="55">
        <f t="shared" si="500"/>
        <v>0.66999999999999982</v>
      </c>
      <c r="EL88" s="55">
        <f t="shared" si="500"/>
        <v>0.6499999999999998</v>
      </c>
      <c r="EM88" s="55">
        <f t="shared" si="500"/>
        <v>0.62999999999999978</v>
      </c>
      <c r="EN88" s="55">
        <f t="shared" si="500"/>
        <v>0.60999999999999976</v>
      </c>
      <c r="EO88" s="55">
        <f t="shared" si="500"/>
        <v>0.58999999999999975</v>
      </c>
      <c r="EP88" s="55">
        <f t="shared" si="500"/>
        <v>0.56999999999999973</v>
      </c>
      <c r="ER88" s="55">
        <f t="shared" si="141"/>
        <v>173082.00910000005</v>
      </c>
      <c r="ES88" s="55">
        <f t="shared" si="507"/>
        <v>173082.00910000005</v>
      </c>
      <c r="ET88" s="59">
        <f t="shared" si="450"/>
        <v>572174.50568278017</v>
      </c>
      <c r="EU88" s="55">
        <f t="shared" si="451"/>
        <v>167889.54882700005</v>
      </c>
      <c r="EV88" s="59">
        <f t="shared" si="452"/>
        <v>555009.27051229682</v>
      </c>
      <c r="EW88" s="55">
        <f t="shared" si="453"/>
        <v>164427.90864500005</v>
      </c>
      <c r="EX88" s="59">
        <f t="shared" si="454"/>
        <v>543565.78039864113</v>
      </c>
      <c r="EY88" s="55">
        <f t="shared" si="455"/>
        <v>160966.26846300007</v>
      </c>
      <c r="EZ88" s="59">
        <f t="shared" si="456"/>
        <v>532122.29028498568</v>
      </c>
      <c r="FA88" s="57">
        <f t="shared" si="457"/>
        <v>157504.62828100004</v>
      </c>
      <c r="FB88" s="59">
        <f t="shared" si="458"/>
        <v>520678.80017132993</v>
      </c>
      <c r="FC88" s="55">
        <f t="shared" si="459"/>
        <v>154042.98809900004</v>
      </c>
      <c r="FD88" s="59">
        <f t="shared" si="460"/>
        <v>509235.31005767436</v>
      </c>
      <c r="FE88" s="57">
        <f t="shared" si="461"/>
        <v>150581.34791700004</v>
      </c>
      <c r="FF88" s="59">
        <f t="shared" si="462"/>
        <v>497791.81994401873</v>
      </c>
      <c r="FG88" s="60">
        <f t="shared" si="463"/>
        <v>147119.70773500003</v>
      </c>
      <c r="FH88" s="59">
        <f t="shared" si="464"/>
        <v>486348.3298303631</v>
      </c>
      <c r="FI88" s="57">
        <f t="shared" si="465"/>
        <v>143658.06755300003</v>
      </c>
      <c r="FJ88" s="59">
        <f t="shared" si="466"/>
        <v>474904.83971670753</v>
      </c>
      <c r="FK88" s="55">
        <f t="shared" si="467"/>
        <v>140196.42737100003</v>
      </c>
      <c r="FL88" s="59">
        <f t="shared" si="468"/>
        <v>463461.3496030519</v>
      </c>
      <c r="FM88" s="60">
        <f t="shared" si="469"/>
        <v>136734.78718900002</v>
      </c>
      <c r="FN88" s="59">
        <f t="shared" si="470"/>
        <v>452017.85948939627</v>
      </c>
      <c r="FO88" s="60">
        <f t="shared" si="471"/>
        <v>133273.14700700002</v>
      </c>
      <c r="FP88" s="59">
        <f t="shared" si="472"/>
        <v>440574.3693757407</v>
      </c>
      <c r="FQ88" s="60">
        <f t="shared" si="473"/>
        <v>129811.50682500002</v>
      </c>
      <c r="FR88" s="59">
        <f t="shared" si="474"/>
        <v>429130.87926208507</v>
      </c>
      <c r="FS88" s="55">
        <f t="shared" si="475"/>
        <v>126349.86664300002</v>
      </c>
      <c r="FT88" s="59">
        <f t="shared" si="476"/>
        <v>417687.38914842944</v>
      </c>
      <c r="FU88" s="60">
        <f t="shared" si="477"/>
        <v>122888.22646100001</v>
      </c>
      <c r="FV88" s="59">
        <f t="shared" si="478"/>
        <v>406243.89903477387</v>
      </c>
      <c r="FW88" s="60">
        <f t="shared" si="479"/>
        <v>119426.58627900001</v>
      </c>
      <c r="FX88" s="59">
        <f t="shared" si="480"/>
        <v>394800.40892111824</v>
      </c>
      <c r="FY88" s="60">
        <f t="shared" si="481"/>
        <v>115964.94609700001</v>
      </c>
      <c r="FZ88" s="59">
        <f t="shared" si="482"/>
        <v>383356.91880746261</v>
      </c>
      <c r="GA88" s="60">
        <f t="shared" si="483"/>
        <v>112503.305915</v>
      </c>
      <c r="GB88" s="59">
        <f t="shared" si="484"/>
        <v>371913.42869380704</v>
      </c>
      <c r="GC88" s="55">
        <f t="shared" si="485"/>
        <v>109041.665733</v>
      </c>
      <c r="GD88" s="59">
        <f t="shared" si="486"/>
        <v>360469.93858015141</v>
      </c>
      <c r="GE88" s="60">
        <f t="shared" si="487"/>
        <v>105580.025551</v>
      </c>
      <c r="GF88" s="59">
        <f t="shared" si="488"/>
        <v>349026.44846649579</v>
      </c>
      <c r="GG88" s="60">
        <f t="shared" si="489"/>
        <v>102118.38536899998</v>
      </c>
      <c r="GH88" s="59">
        <f t="shared" si="490"/>
        <v>337582.95835284016</v>
      </c>
      <c r="GI88" s="55">
        <f t="shared" si="491"/>
        <v>98656.745186999979</v>
      </c>
      <c r="GJ88" s="59">
        <f t="shared" si="492"/>
        <v>326139.46823918453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01"/>
        <v>0.91</v>
      </c>
      <c r="GR88" s="55">
        <f t="shared" si="501"/>
        <v>0.89</v>
      </c>
      <c r="GS88" s="55">
        <f t="shared" si="501"/>
        <v>0.87</v>
      </c>
      <c r="GT88" s="55">
        <f t="shared" si="501"/>
        <v>0.85</v>
      </c>
      <c r="GU88" s="55">
        <f t="shared" si="501"/>
        <v>0.83</v>
      </c>
      <c r="GV88" s="55">
        <f t="shared" si="501"/>
        <v>0.80999999999999994</v>
      </c>
      <c r="GW88" s="55">
        <f t="shared" si="501"/>
        <v>0.78999999999999992</v>
      </c>
      <c r="GX88" s="55">
        <f t="shared" si="501"/>
        <v>0.76999999999999991</v>
      </c>
      <c r="GY88" s="55">
        <f t="shared" si="501"/>
        <v>0.74999999999999989</v>
      </c>
      <c r="GZ88" s="55">
        <f t="shared" si="501"/>
        <v>0.72999999999999987</v>
      </c>
      <c r="HA88" s="55">
        <f t="shared" si="501"/>
        <v>0.70999999999999985</v>
      </c>
      <c r="HB88" s="55">
        <f t="shared" si="501"/>
        <v>0.68999999999999984</v>
      </c>
      <c r="HC88" s="55">
        <f t="shared" si="501"/>
        <v>0.66999999999999982</v>
      </c>
      <c r="HD88" s="55">
        <f t="shared" si="501"/>
        <v>0.6499999999999998</v>
      </c>
      <c r="HE88" s="55">
        <f t="shared" si="501"/>
        <v>0.62999999999999978</v>
      </c>
      <c r="HF88" s="55">
        <f t="shared" si="501"/>
        <v>0.60999999999999976</v>
      </c>
      <c r="HG88" s="55">
        <f t="shared" si="501"/>
        <v>0.58999999999999975</v>
      </c>
      <c r="HH88" s="55">
        <f t="shared" si="501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214830</v>
      </c>
      <c r="E89" s="39">
        <f>SUM(E63:E88)</f>
        <v>710140</v>
      </c>
      <c r="H89" s="55">
        <f t="shared" si="502"/>
        <v>781154.00000000012</v>
      </c>
      <c r="I89" s="55">
        <f t="shared" si="503"/>
        <v>781154.00000000012</v>
      </c>
      <c r="J89" s="59">
        <f t="shared" si="504"/>
        <v>2582338.8932000003</v>
      </c>
      <c r="K89" s="55">
        <f t="shared" si="363"/>
        <v>757719.38000000012</v>
      </c>
      <c r="L89" s="59">
        <f t="shared" si="364"/>
        <v>2504868.7264040005</v>
      </c>
      <c r="M89" s="55">
        <f t="shared" si="365"/>
        <v>742096.3</v>
      </c>
      <c r="N89" s="59">
        <f t="shared" si="366"/>
        <v>2453221.9485400002</v>
      </c>
      <c r="O89" s="55">
        <f t="shared" si="367"/>
        <v>726473.22000000009</v>
      </c>
      <c r="P89" s="59">
        <f t="shared" si="368"/>
        <v>2401575.1706760004</v>
      </c>
      <c r="Q89" s="57">
        <f t="shared" si="369"/>
        <v>710850.14000000013</v>
      </c>
      <c r="R89" s="59">
        <f t="shared" si="370"/>
        <v>2349928.3928120006</v>
      </c>
      <c r="S89" s="55">
        <f t="shared" si="371"/>
        <v>695227.06</v>
      </c>
      <c r="T89" s="59">
        <f t="shared" si="372"/>
        <v>2298281.6149480003</v>
      </c>
      <c r="U89" s="57">
        <f t="shared" si="373"/>
        <v>679603.9800000001</v>
      </c>
      <c r="V89" s="59">
        <f t="shared" si="374"/>
        <v>2246634.8370840005</v>
      </c>
      <c r="W89" s="60">
        <f t="shared" si="375"/>
        <v>663980.90000000014</v>
      </c>
      <c r="X89" s="59">
        <f t="shared" si="376"/>
        <v>2194988.0592200006</v>
      </c>
      <c r="Y89" s="57">
        <f t="shared" si="377"/>
        <v>648357.82000000007</v>
      </c>
      <c r="Z89" s="59">
        <f t="shared" si="378"/>
        <v>2143341.2813560003</v>
      </c>
      <c r="AA89" s="55">
        <f t="shared" si="379"/>
        <v>632734.74000000011</v>
      </c>
      <c r="AB89" s="59">
        <f t="shared" si="380"/>
        <v>2091694.5034920005</v>
      </c>
      <c r="AC89" s="60">
        <f t="shared" si="381"/>
        <v>617111.66</v>
      </c>
      <c r="AD89" s="59">
        <f t="shared" si="382"/>
        <v>2040047.7256280002</v>
      </c>
      <c r="AE89" s="60">
        <f t="shared" si="383"/>
        <v>601488.58000000007</v>
      </c>
      <c r="AF89" s="59">
        <f t="shared" si="384"/>
        <v>1988400.9477640004</v>
      </c>
      <c r="AG89" s="60">
        <f t="shared" si="385"/>
        <v>585865.5</v>
      </c>
      <c r="AH89" s="59">
        <f t="shared" si="386"/>
        <v>1936754.1699000001</v>
      </c>
      <c r="AI89" s="55">
        <f t="shared" si="387"/>
        <v>570242.42000000004</v>
      </c>
      <c r="AJ89" s="59">
        <f t="shared" si="388"/>
        <v>1885107.3920360003</v>
      </c>
      <c r="AK89" s="60">
        <f t="shared" si="389"/>
        <v>554619.34</v>
      </c>
      <c r="AL89" s="59">
        <f t="shared" si="390"/>
        <v>1833460.614172</v>
      </c>
      <c r="AM89" s="60">
        <f t="shared" si="391"/>
        <v>538996.26</v>
      </c>
      <c r="AN89" s="59">
        <f t="shared" si="392"/>
        <v>1781813.8363080001</v>
      </c>
      <c r="AO89" s="60">
        <f t="shared" si="393"/>
        <v>523373.17999999993</v>
      </c>
      <c r="AP89" s="59">
        <f t="shared" si="394"/>
        <v>1730167.0584439998</v>
      </c>
      <c r="AQ89" s="60">
        <f t="shared" si="395"/>
        <v>507750.09999999992</v>
      </c>
      <c r="AR89" s="59">
        <f t="shared" si="396"/>
        <v>1678520.2805799998</v>
      </c>
      <c r="AS89" s="55">
        <f t="shared" si="397"/>
        <v>492127.0199999999</v>
      </c>
      <c r="AT89" s="59">
        <f t="shared" si="398"/>
        <v>1626873.5027159997</v>
      </c>
      <c r="AU89" s="60">
        <f t="shared" si="399"/>
        <v>476503.93999999989</v>
      </c>
      <c r="AV89" s="59">
        <f t="shared" si="400"/>
        <v>1575226.7248519997</v>
      </c>
      <c r="AW89" s="60">
        <f t="shared" si="401"/>
        <v>460880.85999999987</v>
      </c>
      <c r="AX89" s="59">
        <f t="shared" si="402"/>
        <v>1523579.9469879996</v>
      </c>
      <c r="AY89" s="55">
        <f t="shared" si="403"/>
        <v>445257.77999999985</v>
      </c>
      <c r="AZ89" s="59">
        <f t="shared" si="404"/>
        <v>1471933.1691239995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497"/>
        <v>0.91</v>
      </c>
      <c r="BH89" s="55">
        <f t="shared" si="497"/>
        <v>0.89</v>
      </c>
      <c r="BI89" s="55">
        <f t="shared" si="497"/>
        <v>0.87</v>
      </c>
      <c r="BJ89" s="55">
        <f t="shared" si="497"/>
        <v>0.85</v>
      </c>
      <c r="BK89" s="55">
        <f t="shared" si="497"/>
        <v>0.83</v>
      </c>
      <c r="BL89" s="55">
        <f t="shared" si="497"/>
        <v>0.80999999999999994</v>
      </c>
      <c r="BM89" s="55">
        <f t="shared" si="497"/>
        <v>0.78999999999999992</v>
      </c>
      <c r="BN89" s="55">
        <f t="shared" si="497"/>
        <v>0.76999999999999991</v>
      </c>
      <c r="BO89" s="55">
        <f t="shared" si="497"/>
        <v>0.74999999999999989</v>
      </c>
      <c r="BP89" s="55">
        <f t="shared" si="497"/>
        <v>0.72999999999999987</v>
      </c>
      <c r="BQ89" s="55">
        <f t="shared" si="497"/>
        <v>0.70999999999999985</v>
      </c>
      <c r="BR89" s="55">
        <f t="shared" si="497"/>
        <v>0.68999999999999984</v>
      </c>
      <c r="BS89" s="55">
        <f t="shared" si="497"/>
        <v>0.66999999999999982</v>
      </c>
      <c r="BT89" s="55">
        <f t="shared" si="497"/>
        <v>0.6499999999999998</v>
      </c>
      <c r="BU89" s="55">
        <f t="shared" si="497"/>
        <v>0.62999999999999978</v>
      </c>
      <c r="BV89" s="55">
        <f t="shared" si="497"/>
        <v>0.60999999999999976</v>
      </c>
      <c r="BW89" s="55">
        <f t="shared" si="497"/>
        <v>0.58999999999999975</v>
      </c>
      <c r="BX89" s="55">
        <f t="shared" si="497"/>
        <v>0.56999999999999973</v>
      </c>
      <c r="BZ89" s="55">
        <f t="shared" si="505"/>
        <v>710850.14000000013</v>
      </c>
      <c r="CA89" s="55">
        <f t="shared" si="506"/>
        <v>710850.14000000013</v>
      </c>
      <c r="CB89" s="59">
        <f t="shared" si="406"/>
        <v>2349928.3928120006</v>
      </c>
      <c r="CC89" s="55">
        <f t="shared" si="407"/>
        <v>689524.63580000016</v>
      </c>
      <c r="CD89" s="59">
        <f t="shared" si="408"/>
        <v>2279430.5410276405</v>
      </c>
      <c r="CE89" s="55">
        <f t="shared" si="409"/>
        <v>675307.63300000015</v>
      </c>
      <c r="CF89" s="59">
        <f t="shared" si="410"/>
        <v>2232431.9731714004</v>
      </c>
      <c r="CG89" s="55">
        <f t="shared" si="411"/>
        <v>661090.63020000013</v>
      </c>
      <c r="CH89" s="59">
        <f t="shared" si="412"/>
        <v>2185433.4053151603</v>
      </c>
      <c r="CI89" s="57">
        <f t="shared" si="413"/>
        <v>646873.62740000011</v>
      </c>
      <c r="CJ89" s="59">
        <f t="shared" si="414"/>
        <v>2138434.8374589202</v>
      </c>
      <c r="CK89" s="55">
        <f t="shared" si="415"/>
        <v>632656.6246000001</v>
      </c>
      <c r="CL89" s="59">
        <f t="shared" si="416"/>
        <v>2091436.2696026803</v>
      </c>
      <c r="CM89" s="57">
        <f t="shared" si="417"/>
        <v>618439.62180000008</v>
      </c>
      <c r="CN89" s="59">
        <f t="shared" si="418"/>
        <v>2044437.7017464403</v>
      </c>
      <c r="CO89" s="60">
        <f t="shared" si="419"/>
        <v>604222.61900000006</v>
      </c>
      <c r="CP89" s="59">
        <f t="shared" si="420"/>
        <v>1997439.1338902002</v>
      </c>
      <c r="CQ89" s="57">
        <f t="shared" si="421"/>
        <v>590005.61620000005</v>
      </c>
      <c r="CR89" s="59">
        <f t="shared" si="422"/>
        <v>1950440.5660339601</v>
      </c>
      <c r="CS89" s="55">
        <f t="shared" si="423"/>
        <v>575788.61340000003</v>
      </c>
      <c r="CT89" s="59">
        <f t="shared" si="424"/>
        <v>1903441.9981777202</v>
      </c>
      <c r="CU89" s="60">
        <f t="shared" si="425"/>
        <v>561571.61060000001</v>
      </c>
      <c r="CV89" s="59">
        <f t="shared" si="426"/>
        <v>1856443.4303214801</v>
      </c>
      <c r="CW89" s="60">
        <f t="shared" si="427"/>
        <v>547354.6078</v>
      </c>
      <c r="CX89" s="59">
        <f t="shared" si="428"/>
        <v>1809444.8624652401</v>
      </c>
      <c r="CY89" s="60">
        <f t="shared" si="429"/>
        <v>533137.60499999998</v>
      </c>
      <c r="CZ89" s="59">
        <f t="shared" si="430"/>
        <v>1762446.294609</v>
      </c>
      <c r="DA89" s="55">
        <f t="shared" si="431"/>
        <v>518920.60220000002</v>
      </c>
      <c r="DB89" s="59">
        <f t="shared" si="432"/>
        <v>1715447.7267527601</v>
      </c>
      <c r="DC89" s="60">
        <f t="shared" si="433"/>
        <v>504703.59940000001</v>
      </c>
      <c r="DD89" s="59">
        <f t="shared" si="434"/>
        <v>1668449.15889652</v>
      </c>
      <c r="DE89" s="60">
        <f t="shared" si="435"/>
        <v>490486.59659999999</v>
      </c>
      <c r="DF89" s="59">
        <f t="shared" si="436"/>
        <v>1621450.5910402799</v>
      </c>
      <c r="DG89" s="60">
        <f t="shared" si="437"/>
        <v>476269.59379999997</v>
      </c>
      <c r="DH89" s="59">
        <f t="shared" si="438"/>
        <v>1574452.0231840399</v>
      </c>
      <c r="DI89" s="60">
        <f t="shared" si="439"/>
        <v>462052.59099999996</v>
      </c>
      <c r="DJ89" s="59">
        <f t="shared" si="440"/>
        <v>1527453.4553277998</v>
      </c>
      <c r="DK89" s="55">
        <f t="shared" si="441"/>
        <v>447835.58819999994</v>
      </c>
      <c r="DL89" s="59">
        <f t="shared" si="442"/>
        <v>1480454.8874715599</v>
      </c>
      <c r="DM89" s="60">
        <f t="shared" si="443"/>
        <v>433618.58539999992</v>
      </c>
      <c r="DN89" s="59">
        <f t="shared" si="444"/>
        <v>1433456.3196153198</v>
      </c>
      <c r="DO89" s="60">
        <f t="shared" si="445"/>
        <v>419401.58259999991</v>
      </c>
      <c r="DP89" s="59">
        <f t="shared" si="446"/>
        <v>1386457.7517590798</v>
      </c>
      <c r="DQ89" s="55">
        <f t="shared" si="447"/>
        <v>405184.57979999989</v>
      </c>
      <c r="DR89" s="59">
        <f t="shared" si="448"/>
        <v>1339459.1839028397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00"/>
        <v>0.91</v>
      </c>
      <c r="DZ89" s="55">
        <f t="shared" si="500"/>
        <v>0.89</v>
      </c>
      <c r="EA89" s="55">
        <f t="shared" si="500"/>
        <v>0.87</v>
      </c>
      <c r="EB89" s="55">
        <f t="shared" si="500"/>
        <v>0.85</v>
      </c>
      <c r="EC89" s="55">
        <f t="shared" si="500"/>
        <v>0.83</v>
      </c>
      <c r="ED89" s="55">
        <f t="shared" si="500"/>
        <v>0.80999999999999994</v>
      </c>
      <c r="EE89" s="55">
        <f t="shared" si="500"/>
        <v>0.78999999999999992</v>
      </c>
      <c r="EF89" s="55">
        <f t="shared" si="500"/>
        <v>0.76999999999999991</v>
      </c>
      <c r="EG89" s="55">
        <f t="shared" si="500"/>
        <v>0.74999999999999989</v>
      </c>
      <c r="EH89" s="55">
        <f t="shared" si="500"/>
        <v>0.72999999999999987</v>
      </c>
      <c r="EI89" s="55">
        <f t="shared" si="500"/>
        <v>0.70999999999999985</v>
      </c>
      <c r="EJ89" s="55">
        <f t="shared" si="500"/>
        <v>0.68999999999999984</v>
      </c>
      <c r="EK89" s="55">
        <f t="shared" si="500"/>
        <v>0.66999999999999982</v>
      </c>
      <c r="EL89" s="55">
        <f t="shared" si="500"/>
        <v>0.6499999999999998</v>
      </c>
      <c r="EM89" s="55">
        <f t="shared" si="500"/>
        <v>0.62999999999999978</v>
      </c>
      <c r="EN89" s="55">
        <f t="shared" si="500"/>
        <v>0.60999999999999976</v>
      </c>
      <c r="EO89" s="55">
        <f t="shared" si="500"/>
        <v>0.58999999999999975</v>
      </c>
      <c r="EP89" s="55">
        <f t="shared" si="500"/>
        <v>0.56999999999999973</v>
      </c>
      <c r="ER89" s="55">
        <f t="shared" si="141"/>
        <v>646873.62740000011</v>
      </c>
      <c r="ES89" s="55">
        <f t="shared" si="507"/>
        <v>646873.62740000011</v>
      </c>
      <c r="ET89" s="59">
        <f t="shared" si="450"/>
        <v>2138434.8374589202</v>
      </c>
      <c r="EU89" s="55">
        <f t="shared" si="451"/>
        <v>627467.41857800004</v>
      </c>
      <c r="EV89" s="59">
        <f t="shared" si="452"/>
        <v>2074281.7923351526</v>
      </c>
      <c r="EW89" s="55">
        <f t="shared" si="453"/>
        <v>614529.94603000011</v>
      </c>
      <c r="EX89" s="59">
        <f t="shared" si="454"/>
        <v>2031513.0955859744</v>
      </c>
      <c r="EY89" s="55">
        <f t="shared" si="455"/>
        <v>601592.47348200018</v>
      </c>
      <c r="EZ89" s="59">
        <f t="shared" si="456"/>
        <v>1988744.3988367962</v>
      </c>
      <c r="FA89" s="57">
        <f t="shared" si="457"/>
        <v>588655.00093400013</v>
      </c>
      <c r="FB89" s="59">
        <f t="shared" si="458"/>
        <v>1945975.7020876177</v>
      </c>
      <c r="FC89" s="55">
        <f t="shared" si="459"/>
        <v>575717.52838600008</v>
      </c>
      <c r="FD89" s="59">
        <f t="shared" si="460"/>
        <v>1903207.005338439</v>
      </c>
      <c r="FE89" s="57">
        <f t="shared" si="461"/>
        <v>562780.05583800015</v>
      </c>
      <c r="FF89" s="59">
        <f t="shared" si="462"/>
        <v>1860438.308589261</v>
      </c>
      <c r="FG89" s="60">
        <f t="shared" si="463"/>
        <v>549842.5832900001</v>
      </c>
      <c r="FH89" s="59">
        <f t="shared" si="464"/>
        <v>1817669.6118400823</v>
      </c>
      <c r="FI89" s="57">
        <f t="shared" si="465"/>
        <v>536905.11074200005</v>
      </c>
      <c r="FJ89" s="59">
        <f t="shared" si="466"/>
        <v>1774900.9150909039</v>
      </c>
      <c r="FK89" s="55">
        <f t="shared" si="467"/>
        <v>523967.63819400006</v>
      </c>
      <c r="FL89" s="59">
        <f t="shared" si="468"/>
        <v>1732132.2183417254</v>
      </c>
      <c r="FM89" s="60">
        <f t="shared" si="469"/>
        <v>511030.16564600007</v>
      </c>
      <c r="FN89" s="59">
        <f t="shared" si="470"/>
        <v>1689363.521592547</v>
      </c>
      <c r="FO89" s="60">
        <f t="shared" si="471"/>
        <v>498092.69309800002</v>
      </c>
      <c r="FP89" s="59">
        <f t="shared" si="472"/>
        <v>1646594.8248433685</v>
      </c>
      <c r="FQ89" s="60">
        <f t="shared" si="473"/>
        <v>485155.22055000003</v>
      </c>
      <c r="FR89" s="59">
        <f t="shared" si="474"/>
        <v>1603826.12809419</v>
      </c>
      <c r="FS89" s="55">
        <f t="shared" si="475"/>
        <v>472217.74800199998</v>
      </c>
      <c r="FT89" s="59">
        <f t="shared" si="476"/>
        <v>1561057.4313450116</v>
      </c>
      <c r="FU89" s="60">
        <f t="shared" si="477"/>
        <v>459280.27545399999</v>
      </c>
      <c r="FV89" s="59">
        <f t="shared" si="478"/>
        <v>1518288.7345958331</v>
      </c>
      <c r="FW89" s="60">
        <f t="shared" si="479"/>
        <v>446342.802906</v>
      </c>
      <c r="FX89" s="59">
        <f t="shared" si="480"/>
        <v>1475520.0378466549</v>
      </c>
      <c r="FY89" s="60">
        <f t="shared" si="481"/>
        <v>433405.33035799995</v>
      </c>
      <c r="FZ89" s="59">
        <f t="shared" si="482"/>
        <v>1432751.3410974762</v>
      </c>
      <c r="GA89" s="60">
        <f t="shared" si="483"/>
        <v>420467.85780999996</v>
      </c>
      <c r="GB89" s="59">
        <f t="shared" si="484"/>
        <v>1389982.644348298</v>
      </c>
      <c r="GC89" s="55">
        <f t="shared" si="485"/>
        <v>407530.38526199991</v>
      </c>
      <c r="GD89" s="59">
        <f t="shared" si="486"/>
        <v>1347213.9475991193</v>
      </c>
      <c r="GE89" s="60">
        <f t="shared" si="487"/>
        <v>394592.91271399992</v>
      </c>
      <c r="GF89" s="59">
        <f t="shared" si="488"/>
        <v>1304445.250849941</v>
      </c>
      <c r="GG89" s="60">
        <f t="shared" si="489"/>
        <v>381655.44016599993</v>
      </c>
      <c r="GH89" s="59">
        <f t="shared" si="490"/>
        <v>1261676.5541007626</v>
      </c>
      <c r="GI89" s="55">
        <f t="shared" si="491"/>
        <v>368717.96761799988</v>
      </c>
      <c r="GJ89" s="59">
        <f t="shared" si="492"/>
        <v>1218907.8573515841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01"/>
        <v>0.91</v>
      </c>
      <c r="GR89" s="55">
        <f t="shared" si="501"/>
        <v>0.89</v>
      </c>
      <c r="GS89" s="55">
        <f t="shared" si="501"/>
        <v>0.87</v>
      </c>
      <c r="GT89" s="55">
        <f t="shared" si="501"/>
        <v>0.85</v>
      </c>
      <c r="GU89" s="55">
        <f t="shared" si="501"/>
        <v>0.83</v>
      </c>
      <c r="GV89" s="55">
        <f t="shared" si="501"/>
        <v>0.80999999999999994</v>
      </c>
      <c r="GW89" s="55">
        <f t="shared" si="501"/>
        <v>0.78999999999999992</v>
      </c>
      <c r="GX89" s="55">
        <f t="shared" si="501"/>
        <v>0.76999999999999991</v>
      </c>
      <c r="GY89" s="55">
        <f t="shared" si="501"/>
        <v>0.74999999999999989</v>
      </c>
      <c r="GZ89" s="55">
        <f t="shared" si="501"/>
        <v>0.72999999999999987</v>
      </c>
      <c r="HA89" s="55">
        <f t="shared" si="501"/>
        <v>0.70999999999999985</v>
      </c>
      <c r="HB89" s="55">
        <f t="shared" si="501"/>
        <v>0.68999999999999984</v>
      </c>
      <c r="HC89" s="55">
        <f t="shared" si="501"/>
        <v>0.66999999999999982</v>
      </c>
      <c r="HD89" s="55">
        <f t="shared" si="501"/>
        <v>0.6499999999999998</v>
      </c>
      <c r="HE89" s="55">
        <f t="shared" si="501"/>
        <v>0.62999999999999978</v>
      </c>
      <c r="HF89" s="55">
        <f t="shared" si="501"/>
        <v>0.60999999999999976</v>
      </c>
      <c r="HG89" s="55">
        <f t="shared" si="501"/>
        <v>0.58999999999999975</v>
      </c>
      <c r="HH89" s="55">
        <f t="shared" si="501"/>
        <v>0.56999999999999973</v>
      </c>
    </row>
    <row r="90" spans="1:216" s="64" customFormat="1" x14ac:dyDescent="0.3">
      <c r="C90" s="65"/>
      <c r="D90" s="65"/>
      <c r="E90" s="65"/>
      <c r="G90" s="61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2"/>
      <c r="U90" s="61"/>
      <c r="V90" s="63"/>
      <c r="W90" s="61"/>
      <c r="X90" s="62"/>
      <c r="Y90" s="61"/>
      <c r="Z90" s="61"/>
      <c r="AA90" s="61"/>
      <c r="AB90" s="63"/>
      <c r="AC90" s="61"/>
      <c r="AD90" s="63"/>
      <c r="AE90" s="61"/>
      <c r="AF90" s="63"/>
      <c r="AG90" s="61"/>
      <c r="AH90" s="61"/>
      <c r="AI90" s="61"/>
      <c r="AJ90" s="63"/>
      <c r="AK90" s="61"/>
      <c r="AL90" s="63"/>
      <c r="AM90" s="61"/>
      <c r="AN90" s="63"/>
      <c r="AO90" s="61"/>
      <c r="AP90" s="63"/>
      <c r="AQ90" s="61"/>
      <c r="AR90" s="61"/>
      <c r="AS90" s="61"/>
      <c r="AT90" s="63"/>
      <c r="AU90" s="61"/>
      <c r="AV90" s="63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>
        <f t="shared" ref="BY90:BY91" si="508">+G90*0.91</f>
        <v>0</v>
      </c>
      <c r="BZ90" s="61"/>
      <c r="CA90" s="61"/>
      <c r="CB90" s="61"/>
      <c r="CC90" s="61"/>
      <c r="CD90" s="61"/>
      <c r="CE90" s="61"/>
      <c r="CF90" s="61"/>
      <c r="CG90" s="61"/>
      <c r="CH90" s="62"/>
      <c r="CI90" s="61"/>
      <c r="CJ90" s="61"/>
      <c r="CK90" s="61"/>
      <c r="CL90" s="62"/>
      <c r="CM90" s="61"/>
      <c r="CN90" s="63"/>
      <c r="CO90" s="61"/>
      <c r="CP90" s="62"/>
      <c r="CQ90" s="61"/>
      <c r="CR90" s="61"/>
      <c r="CS90" s="61"/>
      <c r="CT90" s="63"/>
      <c r="CU90" s="61"/>
      <c r="CV90" s="63"/>
      <c r="CW90" s="61"/>
      <c r="CX90" s="63"/>
      <c r="CY90" s="61"/>
      <c r="CZ90" s="61"/>
      <c r="DA90" s="61"/>
      <c r="DB90" s="63"/>
      <c r="DC90" s="61"/>
      <c r="DD90" s="63"/>
      <c r="DE90" s="61"/>
      <c r="DF90" s="63"/>
      <c r="DG90" s="61"/>
      <c r="DH90" s="63"/>
      <c r="DI90" s="61"/>
      <c r="DJ90" s="61"/>
      <c r="DK90" s="61"/>
      <c r="DL90" s="63"/>
      <c r="DM90" s="61"/>
      <c r="DN90" s="63"/>
      <c r="DO90" s="61"/>
      <c r="DP90" s="61"/>
      <c r="DQ90" s="61"/>
      <c r="DR90" s="61"/>
      <c r="DS90" s="61"/>
      <c r="DT90" s="61">
        <v>1</v>
      </c>
      <c r="DU90" s="61">
        <v>0.97</v>
      </c>
      <c r="DV90" s="61">
        <v>0.95</v>
      </c>
      <c r="DW90" s="61">
        <v>0.93</v>
      </c>
      <c r="DX90" s="61">
        <f t="shared" ref="DX90:EO91" si="509">+DW90-0.02</f>
        <v>0.91</v>
      </c>
      <c r="DY90" s="61">
        <f t="shared" si="509"/>
        <v>0.89</v>
      </c>
      <c r="DZ90" s="61">
        <f t="shared" si="509"/>
        <v>0.87</v>
      </c>
      <c r="EA90" s="61">
        <f t="shared" si="509"/>
        <v>0.85</v>
      </c>
      <c r="EB90" s="61">
        <f t="shared" si="509"/>
        <v>0.83</v>
      </c>
      <c r="EC90" s="61">
        <f t="shared" si="509"/>
        <v>0.80999999999999994</v>
      </c>
      <c r="ED90" s="61">
        <f t="shared" si="509"/>
        <v>0.78999999999999992</v>
      </c>
      <c r="EE90" s="61">
        <f t="shared" si="509"/>
        <v>0.76999999999999991</v>
      </c>
      <c r="EF90" s="61">
        <f t="shared" si="509"/>
        <v>0.74999999999999989</v>
      </c>
      <c r="EG90" s="61">
        <f t="shared" si="509"/>
        <v>0.72999999999999987</v>
      </c>
      <c r="EH90" s="61">
        <f t="shared" si="509"/>
        <v>0.70999999999999985</v>
      </c>
      <c r="EI90" s="61">
        <f t="shared" si="509"/>
        <v>0.68999999999999984</v>
      </c>
      <c r="EJ90" s="61">
        <f t="shared" si="509"/>
        <v>0.66999999999999982</v>
      </c>
      <c r="EK90" s="61">
        <f t="shared" si="509"/>
        <v>0.6499999999999998</v>
      </c>
      <c r="EL90" s="61">
        <f t="shared" si="509"/>
        <v>0.62999999999999978</v>
      </c>
      <c r="EM90" s="61">
        <f t="shared" si="509"/>
        <v>0.60999999999999976</v>
      </c>
      <c r="EN90" s="61">
        <f t="shared" si="509"/>
        <v>0.58999999999999975</v>
      </c>
      <c r="EO90" s="61">
        <f t="shared" si="509"/>
        <v>0.56999999999999973</v>
      </c>
      <c r="EQ90" s="61">
        <f t="shared" ref="EQ90:EQ91" si="510">+BY90*0.91</f>
        <v>0</v>
      </c>
      <c r="ER90" s="61"/>
      <c r="ES90" s="61"/>
      <c r="ET90" s="61"/>
      <c r="EU90" s="61"/>
      <c r="EV90" s="61"/>
      <c r="EW90" s="61"/>
      <c r="EX90" s="61"/>
      <c r="EY90" s="61"/>
      <c r="EZ90" s="62"/>
      <c r="FA90" s="61"/>
      <c r="FB90" s="61"/>
      <c r="FC90" s="61"/>
      <c r="FD90" s="62"/>
      <c r="FE90" s="61"/>
      <c r="FF90" s="63"/>
      <c r="FG90" s="61"/>
      <c r="FH90" s="62"/>
      <c r="FI90" s="61"/>
      <c r="FJ90" s="61"/>
      <c r="FK90" s="61"/>
      <c r="FL90" s="63"/>
      <c r="FM90" s="61"/>
      <c r="FN90" s="63"/>
      <c r="FO90" s="61"/>
      <c r="FP90" s="63"/>
      <c r="FQ90" s="61"/>
      <c r="FR90" s="61"/>
      <c r="FS90" s="61"/>
      <c r="FT90" s="63"/>
      <c r="FU90" s="61"/>
      <c r="FV90" s="63"/>
      <c r="FW90" s="61"/>
      <c r="FX90" s="63"/>
      <c r="FY90" s="61"/>
      <c r="FZ90" s="63"/>
      <c r="GA90" s="61"/>
      <c r="GB90" s="61"/>
      <c r="GC90" s="61"/>
      <c r="GD90" s="63"/>
      <c r="GE90" s="61"/>
      <c r="GF90" s="63"/>
      <c r="GG90" s="61"/>
      <c r="GH90" s="61"/>
      <c r="GI90" s="61"/>
      <c r="GJ90" s="61"/>
      <c r="GK90" s="61"/>
      <c r="GL90" s="61">
        <v>1</v>
      </c>
      <c r="GM90" s="61">
        <v>0.97</v>
      </c>
      <c r="GN90" s="61">
        <v>0.95</v>
      </c>
      <c r="GO90" s="61">
        <v>0.93</v>
      </c>
      <c r="GP90" s="61">
        <f t="shared" ref="GP90:HG91" si="511">+GO90-0.02</f>
        <v>0.91</v>
      </c>
      <c r="GQ90" s="61">
        <f t="shared" si="511"/>
        <v>0.89</v>
      </c>
      <c r="GR90" s="61">
        <f t="shared" si="511"/>
        <v>0.87</v>
      </c>
      <c r="GS90" s="61">
        <f t="shared" si="511"/>
        <v>0.85</v>
      </c>
      <c r="GT90" s="61">
        <f t="shared" si="511"/>
        <v>0.83</v>
      </c>
      <c r="GU90" s="61">
        <f t="shared" si="511"/>
        <v>0.80999999999999994</v>
      </c>
      <c r="GV90" s="61">
        <f t="shared" si="511"/>
        <v>0.78999999999999992</v>
      </c>
      <c r="GW90" s="61">
        <f t="shared" si="511"/>
        <v>0.76999999999999991</v>
      </c>
      <c r="GX90" s="61">
        <f t="shared" si="511"/>
        <v>0.74999999999999989</v>
      </c>
      <c r="GY90" s="61">
        <f t="shared" si="511"/>
        <v>0.72999999999999987</v>
      </c>
      <c r="GZ90" s="61">
        <f t="shared" si="511"/>
        <v>0.70999999999999985</v>
      </c>
      <c r="HA90" s="61">
        <f t="shared" si="511"/>
        <v>0.68999999999999984</v>
      </c>
      <c r="HB90" s="61">
        <f t="shared" si="511"/>
        <v>0.66999999999999982</v>
      </c>
      <c r="HC90" s="61">
        <f t="shared" si="511"/>
        <v>0.6499999999999998</v>
      </c>
      <c r="HD90" s="61">
        <f t="shared" si="511"/>
        <v>0.62999999999999978</v>
      </c>
      <c r="HE90" s="61">
        <f t="shared" si="511"/>
        <v>0.60999999999999976</v>
      </c>
      <c r="HF90" s="61">
        <f t="shared" si="511"/>
        <v>0.58999999999999975</v>
      </c>
      <c r="HG90" s="61">
        <f t="shared" si="511"/>
        <v>0.56999999999999973</v>
      </c>
    </row>
    <row r="91" spans="1:216" s="64" customFormat="1" ht="17.25" thickBot="1" x14ac:dyDescent="0.35">
      <c r="B91" s="64" t="s">
        <v>298</v>
      </c>
      <c r="C91" s="64" t="s">
        <v>297</v>
      </c>
      <c r="D91" s="65" t="s">
        <v>271</v>
      </c>
      <c r="E91" s="65" t="s">
        <v>315</v>
      </c>
      <c r="G91" s="61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2"/>
      <c r="U91" s="61"/>
      <c r="V91" s="63"/>
      <c r="W91" s="61"/>
      <c r="X91" s="62"/>
      <c r="Y91" s="61"/>
      <c r="Z91" s="61"/>
      <c r="AA91" s="61"/>
      <c r="AB91" s="63"/>
      <c r="AC91" s="61"/>
      <c r="AD91" s="63"/>
      <c r="AE91" s="61"/>
      <c r="AF91" s="63"/>
      <c r="AG91" s="61"/>
      <c r="AH91" s="61"/>
      <c r="AI91" s="61"/>
      <c r="AJ91" s="63"/>
      <c r="AK91" s="61"/>
      <c r="AL91" s="63"/>
      <c r="AM91" s="61"/>
      <c r="AN91" s="63"/>
      <c r="AO91" s="61"/>
      <c r="AP91" s="63"/>
      <c r="AQ91" s="61"/>
      <c r="AR91" s="61"/>
      <c r="AS91" s="61"/>
      <c r="AT91" s="63"/>
      <c r="AU91" s="61"/>
      <c r="AV91" s="63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>
        <f t="shared" si="508"/>
        <v>0</v>
      </c>
      <c r="BZ91" s="61"/>
      <c r="CA91" s="61"/>
      <c r="CB91" s="61"/>
      <c r="CC91" s="61"/>
      <c r="CD91" s="61"/>
      <c r="CE91" s="61"/>
      <c r="CF91" s="61"/>
      <c r="CG91" s="61"/>
      <c r="CH91" s="62"/>
      <c r="CI91" s="61"/>
      <c r="CJ91" s="61"/>
      <c r="CK91" s="61"/>
      <c r="CL91" s="62"/>
      <c r="CM91" s="61"/>
      <c r="CN91" s="63"/>
      <c r="CO91" s="61"/>
      <c r="CP91" s="62"/>
      <c r="CQ91" s="61"/>
      <c r="CR91" s="61"/>
      <c r="CS91" s="61"/>
      <c r="CT91" s="63"/>
      <c r="CU91" s="61"/>
      <c r="CV91" s="63"/>
      <c r="CW91" s="61"/>
      <c r="CX91" s="63"/>
      <c r="CY91" s="61"/>
      <c r="CZ91" s="61"/>
      <c r="DA91" s="61"/>
      <c r="DB91" s="63"/>
      <c r="DC91" s="61"/>
      <c r="DD91" s="63"/>
      <c r="DE91" s="61"/>
      <c r="DF91" s="63"/>
      <c r="DG91" s="61"/>
      <c r="DH91" s="63"/>
      <c r="DI91" s="61"/>
      <c r="DJ91" s="61"/>
      <c r="DK91" s="61"/>
      <c r="DL91" s="63"/>
      <c r="DM91" s="61"/>
      <c r="DN91" s="63"/>
      <c r="DO91" s="61"/>
      <c r="DP91" s="61"/>
      <c r="DQ91" s="61"/>
      <c r="DR91" s="61"/>
      <c r="DS91" s="61"/>
      <c r="DT91" s="61">
        <v>1</v>
      </c>
      <c r="DU91" s="61">
        <v>0.97</v>
      </c>
      <c r="DV91" s="61">
        <v>0.95</v>
      </c>
      <c r="DW91" s="61">
        <v>0.93</v>
      </c>
      <c r="DX91" s="61">
        <f t="shared" si="509"/>
        <v>0.91</v>
      </c>
      <c r="DY91" s="61">
        <f t="shared" si="509"/>
        <v>0.89</v>
      </c>
      <c r="DZ91" s="61">
        <f t="shared" si="509"/>
        <v>0.87</v>
      </c>
      <c r="EA91" s="61">
        <f t="shared" si="509"/>
        <v>0.85</v>
      </c>
      <c r="EB91" s="61">
        <f t="shared" si="509"/>
        <v>0.83</v>
      </c>
      <c r="EC91" s="61">
        <f t="shared" si="509"/>
        <v>0.80999999999999994</v>
      </c>
      <c r="ED91" s="61">
        <f t="shared" si="509"/>
        <v>0.78999999999999992</v>
      </c>
      <c r="EE91" s="61">
        <f t="shared" si="509"/>
        <v>0.76999999999999991</v>
      </c>
      <c r="EF91" s="61">
        <f t="shared" si="509"/>
        <v>0.74999999999999989</v>
      </c>
      <c r="EG91" s="61">
        <f t="shared" si="509"/>
        <v>0.72999999999999987</v>
      </c>
      <c r="EH91" s="61">
        <f t="shared" si="509"/>
        <v>0.70999999999999985</v>
      </c>
      <c r="EI91" s="61">
        <f t="shared" si="509"/>
        <v>0.68999999999999984</v>
      </c>
      <c r="EJ91" s="61">
        <f t="shared" si="509"/>
        <v>0.66999999999999982</v>
      </c>
      <c r="EK91" s="61">
        <f t="shared" si="509"/>
        <v>0.6499999999999998</v>
      </c>
      <c r="EL91" s="61">
        <f t="shared" si="509"/>
        <v>0.62999999999999978</v>
      </c>
      <c r="EM91" s="61">
        <f t="shared" si="509"/>
        <v>0.60999999999999976</v>
      </c>
      <c r="EN91" s="61">
        <f t="shared" si="509"/>
        <v>0.58999999999999975</v>
      </c>
      <c r="EO91" s="61">
        <f t="shared" si="509"/>
        <v>0.56999999999999973</v>
      </c>
      <c r="EQ91" s="61">
        <f t="shared" si="510"/>
        <v>0</v>
      </c>
      <c r="ER91" s="61"/>
      <c r="ES91" s="61"/>
      <c r="ET91" s="61"/>
      <c r="EU91" s="61"/>
      <c r="EV91" s="61"/>
      <c r="EW91" s="61"/>
      <c r="EX91" s="61"/>
      <c r="EY91" s="61"/>
      <c r="EZ91" s="62"/>
      <c r="FA91" s="61"/>
      <c r="FB91" s="61"/>
      <c r="FC91" s="61"/>
      <c r="FD91" s="62"/>
      <c r="FE91" s="61"/>
      <c r="FF91" s="63"/>
      <c r="FG91" s="61"/>
      <c r="FH91" s="62"/>
      <c r="FI91" s="61"/>
      <c r="FJ91" s="61"/>
      <c r="FK91" s="61"/>
      <c r="FL91" s="63"/>
      <c r="FM91" s="61"/>
      <c r="FN91" s="63"/>
      <c r="FO91" s="61"/>
      <c r="FP91" s="63"/>
      <c r="FQ91" s="61"/>
      <c r="FR91" s="61"/>
      <c r="FS91" s="61"/>
      <c r="FT91" s="63"/>
      <c r="FU91" s="61"/>
      <c r="FV91" s="63"/>
      <c r="FW91" s="61"/>
      <c r="FX91" s="63"/>
      <c r="FY91" s="61"/>
      <c r="FZ91" s="63"/>
      <c r="GA91" s="61"/>
      <c r="GB91" s="61"/>
      <c r="GC91" s="61"/>
      <c r="GD91" s="63"/>
      <c r="GE91" s="61"/>
      <c r="GF91" s="63"/>
      <c r="GG91" s="61"/>
      <c r="GH91" s="61"/>
      <c r="GI91" s="61"/>
      <c r="GJ91" s="61"/>
      <c r="GK91" s="61"/>
      <c r="GL91" s="61">
        <v>1</v>
      </c>
      <c r="GM91" s="61">
        <v>0.97</v>
      </c>
      <c r="GN91" s="61">
        <v>0.95</v>
      </c>
      <c r="GO91" s="61">
        <v>0.93</v>
      </c>
      <c r="GP91" s="61">
        <f t="shared" si="511"/>
        <v>0.91</v>
      </c>
      <c r="GQ91" s="61">
        <f t="shared" si="511"/>
        <v>0.89</v>
      </c>
      <c r="GR91" s="61">
        <f t="shared" si="511"/>
        <v>0.87</v>
      </c>
      <c r="GS91" s="61">
        <f t="shared" si="511"/>
        <v>0.85</v>
      </c>
      <c r="GT91" s="61">
        <f t="shared" si="511"/>
        <v>0.83</v>
      </c>
      <c r="GU91" s="61">
        <f t="shared" si="511"/>
        <v>0.80999999999999994</v>
      </c>
      <c r="GV91" s="61">
        <f t="shared" si="511"/>
        <v>0.78999999999999992</v>
      </c>
      <c r="GW91" s="61">
        <f t="shared" si="511"/>
        <v>0.76999999999999991</v>
      </c>
      <c r="GX91" s="61">
        <f t="shared" si="511"/>
        <v>0.74999999999999989</v>
      </c>
      <c r="GY91" s="61">
        <f t="shared" si="511"/>
        <v>0.72999999999999987</v>
      </c>
      <c r="GZ91" s="61">
        <f t="shared" si="511"/>
        <v>0.70999999999999985</v>
      </c>
      <c r="HA91" s="61">
        <f t="shared" si="511"/>
        <v>0.68999999999999984</v>
      </c>
      <c r="HB91" s="61">
        <f t="shared" si="511"/>
        <v>0.66999999999999982</v>
      </c>
      <c r="HC91" s="61">
        <f t="shared" si="511"/>
        <v>0.6499999999999998</v>
      </c>
      <c r="HD91" s="61">
        <f t="shared" si="511"/>
        <v>0.62999999999999978</v>
      </c>
      <c r="HE91" s="61">
        <f t="shared" si="511"/>
        <v>0.60999999999999976</v>
      </c>
      <c r="HF91" s="61">
        <f t="shared" si="511"/>
        <v>0.58999999999999975</v>
      </c>
      <c r="HG91" s="61">
        <f t="shared" si="511"/>
        <v>0.56999999999999973</v>
      </c>
    </row>
    <row r="92" spans="1:216" x14ac:dyDescent="0.3">
      <c r="A92" s="2">
        <v>1</v>
      </c>
      <c r="C92" s="38" t="s">
        <v>39</v>
      </c>
      <c r="D92" s="40">
        <f>TRUNC(9342,-1)</f>
        <v>9340</v>
      </c>
      <c r="E92" s="85">
        <f>TRUNC(+D92*3.3058,-1)</f>
        <v>30870</v>
      </c>
      <c r="H92" s="55">
        <f t="shared" si="502"/>
        <v>33957</v>
      </c>
      <c r="I92" s="55">
        <f t="shared" si="503"/>
        <v>33957</v>
      </c>
      <c r="J92" s="59">
        <f t="shared" si="504"/>
        <v>112255.0506</v>
      </c>
      <c r="K92" s="55">
        <f t="shared" ref="K92:K113" si="512">+I92*BD92</f>
        <v>32938.29</v>
      </c>
      <c r="L92" s="59">
        <f t="shared" ref="L92:L113" si="513">+K92*3.3058</f>
        <v>108887.399082</v>
      </c>
      <c r="M92" s="55">
        <f t="shared" ref="M92:M113" si="514">+I92*BE92</f>
        <v>32259.149999999998</v>
      </c>
      <c r="N92" s="59">
        <f t="shared" ref="N92:N113" si="515">+M92*3.3058</f>
        <v>106642.29806999999</v>
      </c>
      <c r="O92" s="55">
        <f t="shared" ref="O92:O113" si="516">+I92*BF92</f>
        <v>31580.010000000002</v>
      </c>
      <c r="P92" s="59">
        <f t="shared" ref="P92:P113" si="517">+O92*3.3058</f>
        <v>104397.19705800001</v>
      </c>
      <c r="Q92" s="57">
        <f t="shared" ref="Q92:Q113" si="518">+I92*BG92</f>
        <v>30900.870000000003</v>
      </c>
      <c r="R92" s="59">
        <f t="shared" ref="R92:R113" si="519">+Q92*3.3058</f>
        <v>102152.09604600001</v>
      </c>
      <c r="S92" s="55">
        <f t="shared" ref="S92:S113" si="520">+I92*BH92</f>
        <v>30221.73</v>
      </c>
      <c r="T92" s="59">
        <f t="shared" ref="T92:T113" si="521">+S92*3.3058</f>
        <v>99906.995034000007</v>
      </c>
      <c r="U92" s="57">
        <f t="shared" ref="U92:U113" si="522">+I92*BI92</f>
        <v>29542.59</v>
      </c>
      <c r="V92" s="59">
        <f t="shared" ref="V92:V113" si="523">+U92*3.3058</f>
        <v>97661.894022000008</v>
      </c>
      <c r="W92" s="60">
        <f t="shared" ref="W92:W113" si="524">+I92*BJ92</f>
        <v>28863.45</v>
      </c>
      <c r="X92" s="59">
        <f t="shared" ref="X92:X113" si="525">+W92*3.3058</f>
        <v>95416.793010000009</v>
      </c>
      <c r="Y92" s="57">
        <f t="shared" ref="Y92:Y113" si="526">+I92*BK92</f>
        <v>28184.309999999998</v>
      </c>
      <c r="Z92" s="59">
        <f t="shared" ref="Z92:Z113" si="527">+Y92*3.3058</f>
        <v>93171.691997999995</v>
      </c>
      <c r="AA92" s="55">
        <f t="shared" ref="AA92:AA113" si="528">+I92*BL92</f>
        <v>27505.17</v>
      </c>
      <c r="AB92" s="59">
        <f t="shared" ref="AB92:AB113" si="529">+AA92*3.3058</f>
        <v>90926.590985999996</v>
      </c>
      <c r="AC92" s="60">
        <f t="shared" ref="AC92:AC113" si="530">+I92*BM92</f>
        <v>26826.03</v>
      </c>
      <c r="AD92" s="59">
        <f t="shared" ref="AD92:AD113" si="531">+AC92*3.3058</f>
        <v>88681.489973999996</v>
      </c>
      <c r="AE92" s="60">
        <f t="shared" ref="AE92:AE113" si="532">+I92*BN92</f>
        <v>26146.889999999996</v>
      </c>
      <c r="AF92" s="59">
        <f t="shared" ref="AF92:AF113" si="533">+AE92*3.3058</f>
        <v>86436.388961999983</v>
      </c>
      <c r="AG92" s="60">
        <f t="shared" ref="AG92:AG113" si="534">+I92*BO92</f>
        <v>25467.749999999996</v>
      </c>
      <c r="AH92" s="59">
        <f t="shared" ref="AH92:AH113" si="535">+AG92*3.3058</f>
        <v>84191.287949999984</v>
      </c>
      <c r="AI92" s="55">
        <f t="shared" ref="AI92:AI113" si="536">+I92*BP92</f>
        <v>24788.609999999997</v>
      </c>
      <c r="AJ92" s="59">
        <f t="shared" ref="AJ92:AJ113" si="537">+AI92*3.3058</f>
        <v>81946.186937999999</v>
      </c>
      <c r="AK92" s="60">
        <f t="shared" ref="AK92:AK113" si="538">+I92*BQ92</f>
        <v>24109.469999999994</v>
      </c>
      <c r="AL92" s="59">
        <f t="shared" ref="AL92:AL113" si="539">+AK92*3.3058</f>
        <v>79701.085925999985</v>
      </c>
      <c r="AM92" s="60">
        <f t="shared" ref="AM92:AM113" si="540">+I92*BR92</f>
        <v>23430.329999999994</v>
      </c>
      <c r="AN92" s="59">
        <f t="shared" ref="AN92:AN113" si="541">+AM92*3.3058</f>
        <v>77455.984913999986</v>
      </c>
      <c r="AO92" s="60">
        <f t="shared" ref="AO92:AO113" si="542">+I92*BS92</f>
        <v>22751.189999999995</v>
      </c>
      <c r="AP92" s="59">
        <f t="shared" ref="AP92:AP113" si="543">+AO92*3.3058</f>
        <v>75210.883901999987</v>
      </c>
      <c r="AQ92" s="60">
        <f t="shared" ref="AQ92:AQ113" si="544">+I92*BT92</f>
        <v>22072.049999999992</v>
      </c>
      <c r="AR92" s="59">
        <f t="shared" ref="AR92:AR113" si="545">+AQ92*3.3058</f>
        <v>72965.782889999973</v>
      </c>
      <c r="AS92" s="55">
        <f t="shared" ref="AS92:AS113" si="546">+I92*BU92</f>
        <v>21392.909999999993</v>
      </c>
      <c r="AT92" s="59">
        <f t="shared" ref="AT92:AT113" si="547">+AS92*3.3058</f>
        <v>70720.681877999974</v>
      </c>
      <c r="AU92" s="60">
        <f t="shared" ref="AU92:AU113" si="548">+I92*BV92</f>
        <v>20713.769999999993</v>
      </c>
      <c r="AV92" s="59">
        <f t="shared" ref="AV92:AV113" si="549">+AU92*3.3058</f>
        <v>68475.580865999975</v>
      </c>
      <c r="AW92" s="60">
        <f t="shared" ref="AW92:AW113" si="550">+I92*BW92</f>
        <v>20034.62999999999</v>
      </c>
      <c r="AX92" s="59">
        <f t="shared" ref="AX92:AX113" si="551">+AW92*3.3058</f>
        <v>66230.479853999976</v>
      </c>
      <c r="AY92" s="55">
        <f t="shared" ref="AY92:AY113" si="552">+I92*BX92</f>
        <v>19355.489999999991</v>
      </c>
      <c r="AZ92" s="59">
        <f t="shared" ref="AZ92:AZ113" si="553">+AY92*3.3058</f>
        <v>63985.378841999969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ref="BG92:BX106" si="554">+BF92-0.02</f>
        <v>0.91</v>
      </c>
      <c r="BH92" s="55">
        <f t="shared" si="554"/>
        <v>0.89</v>
      </c>
      <c r="BI92" s="55">
        <f t="shared" si="554"/>
        <v>0.87</v>
      </c>
      <c r="BJ92" s="55">
        <f t="shared" si="554"/>
        <v>0.85</v>
      </c>
      <c r="BK92" s="55">
        <f t="shared" si="554"/>
        <v>0.83</v>
      </c>
      <c r="BL92" s="55">
        <f t="shared" si="554"/>
        <v>0.80999999999999994</v>
      </c>
      <c r="BM92" s="55">
        <f t="shared" si="554"/>
        <v>0.78999999999999992</v>
      </c>
      <c r="BN92" s="55">
        <f t="shared" si="554"/>
        <v>0.76999999999999991</v>
      </c>
      <c r="BO92" s="55">
        <f t="shared" si="554"/>
        <v>0.74999999999999989</v>
      </c>
      <c r="BP92" s="55">
        <f t="shared" si="554"/>
        <v>0.72999999999999987</v>
      </c>
      <c r="BQ92" s="55">
        <f t="shared" si="554"/>
        <v>0.70999999999999985</v>
      </c>
      <c r="BR92" s="55">
        <f t="shared" si="554"/>
        <v>0.68999999999999984</v>
      </c>
      <c r="BS92" s="55">
        <f t="shared" si="554"/>
        <v>0.66999999999999982</v>
      </c>
      <c r="BT92" s="55">
        <f t="shared" si="554"/>
        <v>0.6499999999999998</v>
      </c>
      <c r="BU92" s="55">
        <f t="shared" si="554"/>
        <v>0.62999999999999978</v>
      </c>
      <c r="BV92" s="55">
        <f t="shared" si="554"/>
        <v>0.60999999999999976</v>
      </c>
      <c r="BW92" s="55">
        <f t="shared" si="554"/>
        <v>0.58999999999999975</v>
      </c>
      <c r="BX92" s="55">
        <f t="shared" si="554"/>
        <v>0.56999999999999973</v>
      </c>
      <c r="BZ92" s="55">
        <f t="shared" si="505"/>
        <v>30900.870000000003</v>
      </c>
      <c r="CA92" s="55">
        <f t="shared" si="506"/>
        <v>30900.870000000003</v>
      </c>
      <c r="CB92" s="59">
        <f t="shared" ref="CB92:CB113" si="555">+CA92*3.3058</f>
        <v>102152.09604600001</v>
      </c>
      <c r="CC92" s="55">
        <f t="shared" ref="CC92:CC113" si="556">+CA92*DV92</f>
        <v>29973.843900000003</v>
      </c>
      <c r="CD92" s="59">
        <f t="shared" ref="CD92:CD113" si="557">+CC92*3.3058</f>
        <v>99087.533164620007</v>
      </c>
      <c r="CE92" s="55">
        <f t="shared" ref="CE92:CE113" si="558">+CA92*DW92</f>
        <v>29355.826500000003</v>
      </c>
      <c r="CF92" s="59">
        <f t="shared" ref="CF92:CF113" si="559">+CE92*3.3058</f>
        <v>97044.491243700017</v>
      </c>
      <c r="CG92" s="55">
        <f t="shared" ref="CG92:CG113" si="560">+CA92*DX92</f>
        <v>28737.809100000002</v>
      </c>
      <c r="CH92" s="59">
        <f t="shared" ref="CH92:CH113" si="561">+CG92*3.3058</f>
        <v>95001.449322780012</v>
      </c>
      <c r="CI92" s="57">
        <f t="shared" ref="CI92:CI113" si="562">+CA92*DY92</f>
        <v>28119.791700000002</v>
      </c>
      <c r="CJ92" s="59">
        <f t="shared" ref="CJ92:CJ113" si="563">+CI92*3.3058</f>
        <v>92958.407401860008</v>
      </c>
      <c r="CK92" s="55">
        <f t="shared" ref="CK92:CK113" si="564">+CA92*DZ92</f>
        <v>27501.774300000001</v>
      </c>
      <c r="CL92" s="59">
        <f t="shared" ref="CL92:CL113" si="565">+CK92*3.3058</f>
        <v>90915.365480940003</v>
      </c>
      <c r="CM92" s="57">
        <f t="shared" ref="CM92:CM113" si="566">+CA92*EA92</f>
        <v>26883.756900000004</v>
      </c>
      <c r="CN92" s="59">
        <f t="shared" ref="CN92:CN113" si="567">+CM92*3.3058</f>
        <v>88872.323560020013</v>
      </c>
      <c r="CO92" s="60">
        <f t="shared" ref="CO92:CO113" si="568">+CA92*EB92</f>
        <v>26265.739500000003</v>
      </c>
      <c r="CP92" s="59">
        <f t="shared" ref="CP92:CP113" si="569">+CO92*3.3058</f>
        <v>86829.281639100009</v>
      </c>
      <c r="CQ92" s="57">
        <f t="shared" ref="CQ92:CQ113" si="570">+CA92*EC92</f>
        <v>25647.722100000003</v>
      </c>
      <c r="CR92" s="59">
        <f t="shared" ref="CR92:CR113" si="571">+CQ92*3.3058</f>
        <v>84786.239718180004</v>
      </c>
      <c r="CS92" s="55">
        <f t="shared" ref="CS92:CS113" si="572">+CA92*ED92</f>
        <v>25029.704700000002</v>
      </c>
      <c r="CT92" s="59">
        <f t="shared" ref="CT92:CT113" si="573">+CS92*3.3058</f>
        <v>82743.197797260014</v>
      </c>
      <c r="CU92" s="60">
        <f t="shared" ref="CU92:CU113" si="574">+CA92*EE92</f>
        <v>24411.687300000001</v>
      </c>
      <c r="CV92" s="59">
        <f t="shared" ref="CV92:CV113" si="575">+CU92*3.3058</f>
        <v>80700.15587634001</v>
      </c>
      <c r="CW92" s="60">
        <f t="shared" ref="CW92:CW113" si="576">+CA92*EF92</f>
        <v>23793.669900000001</v>
      </c>
      <c r="CX92" s="59">
        <f t="shared" ref="CX92:CX113" si="577">+CW92*3.3058</f>
        <v>78657.113955420005</v>
      </c>
      <c r="CY92" s="60">
        <f t="shared" ref="CY92:CY113" si="578">+CA92*EG92</f>
        <v>23175.6525</v>
      </c>
      <c r="CZ92" s="59">
        <f t="shared" ref="CZ92:CZ113" si="579">+CY92*3.3058</f>
        <v>76614.072034500001</v>
      </c>
      <c r="DA92" s="55">
        <f t="shared" ref="DA92:DA113" si="580">+CA92*EH92</f>
        <v>22557.6351</v>
      </c>
      <c r="DB92" s="59">
        <f t="shared" ref="DB92:DB113" si="581">+DA92*3.3058</f>
        <v>74571.030113579996</v>
      </c>
      <c r="DC92" s="60">
        <f t="shared" ref="DC92:DC113" si="582">+CA92*EI92</f>
        <v>21939.617699999999</v>
      </c>
      <c r="DD92" s="59">
        <f t="shared" ref="DD92:DD113" si="583">+DC92*3.3058</f>
        <v>72527.988192659992</v>
      </c>
      <c r="DE92" s="60">
        <f t="shared" ref="DE92:DE113" si="584">+CA92*EJ92</f>
        <v>21321.600299999998</v>
      </c>
      <c r="DF92" s="59">
        <f t="shared" ref="DF92:DF113" si="585">+DE92*3.3058</f>
        <v>70484.946271740002</v>
      </c>
      <c r="DG92" s="60">
        <f t="shared" ref="DG92:DG113" si="586">+CA92*EK92</f>
        <v>20703.582899999998</v>
      </c>
      <c r="DH92" s="59">
        <f t="shared" ref="DH92:DH113" si="587">+DG92*3.3058</f>
        <v>68441.904350819997</v>
      </c>
      <c r="DI92" s="60">
        <f t="shared" ref="DI92:DI113" si="588">+CA92*EL92</f>
        <v>20085.565499999997</v>
      </c>
      <c r="DJ92" s="59">
        <f t="shared" ref="DJ92:DJ113" si="589">+DI92*3.3058</f>
        <v>66398.862429899993</v>
      </c>
      <c r="DK92" s="55">
        <f t="shared" ref="DK92:DK113" si="590">+CA92*EM92</f>
        <v>19467.548099999996</v>
      </c>
      <c r="DL92" s="59">
        <f t="shared" ref="DL92:DL113" si="591">+DK92*3.3058</f>
        <v>64355.820508979989</v>
      </c>
      <c r="DM92" s="60">
        <f t="shared" ref="DM92:DM113" si="592">+CA92*EN92</f>
        <v>18849.530699999996</v>
      </c>
      <c r="DN92" s="59">
        <f t="shared" ref="DN92:DN113" si="593">+DM92*3.3058</f>
        <v>62312.778588059984</v>
      </c>
      <c r="DO92" s="60">
        <f t="shared" ref="DO92:DO113" si="594">+CA92*EO92</f>
        <v>18231.513299999995</v>
      </c>
      <c r="DP92" s="59">
        <f t="shared" ref="DP92:DP113" si="595">+DO92*3.3058</f>
        <v>60269.736667139987</v>
      </c>
      <c r="DQ92" s="55">
        <f t="shared" ref="DQ92:DQ113" si="596">+CA92*EP92</f>
        <v>17613.495899999994</v>
      </c>
      <c r="DR92" s="59">
        <f t="shared" ref="DR92:DR113" si="597">+DQ92*3.3058</f>
        <v>58226.694746219982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00"/>
        <v>0.91</v>
      </c>
      <c r="DZ92" s="55">
        <f t="shared" si="500"/>
        <v>0.89</v>
      </c>
      <c r="EA92" s="55">
        <f t="shared" si="500"/>
        <v>0.87</v>
      </c>
      <c r="EB92" s="55">
        <f t="shared" si="500"/>
        <v>0.85</v>
      </c>
      <c r="EC92" s="55">
        <f t="shared" si="500"/>
        <v>0.83</v>
      </c>
      <c r="ED92" s="55">
        <f t="shared" si="500"/>
        <v>0.80999999999999994</v>
      </c>
      <c r="EE92" s="55">
        <f t="shared" si="500"/>
        <v>0.78999999999999992</v>
      </c>
      <c r="EF92" s="55">
        <f t="shared" si="500"/>
        <v>0.76999999999999991</v>
      </c>
      <c r="EG92" s="55">
        <f t="shared" si="500"/>
        <v>0.74999999999999989</v>
      </c>
      <c r="EH92" s="55">
        <f t="shared" si="500"/>
        <v>0.72999999999999987</v>
      </c>
      <c r="EI92" s="55">
        <f t="shared" si="500"/>
        <v>0.70999999999999985</v>
      </c>
      <c r="EJ92" s="55">
        <f t="shared" si="500"/>
        <v>0.68999999999999984</v>
      </c>
      <c r="EK92" s="55">
        <f t="shared" si="500"/>
        <v>0.66999999999999982</v>
      </c>
      <c r="EL92" s="55">
        <f t="shared" si="500"/>
        <v>0.6499999999999998</v>
      </c>
      <c r="EM92" s="55">
        <f t="shared" si="500"/>
        <v>0.62999999999999978</v>
      </c>
      <c r="EN92" s="55">
        <f t="shared" si="500"/>
        <v>0.60999999999999976</v>
      </c>
      <c r="EO92" s="55">
        <f t="shared" si="500"/>
        <v>0.58999999999999975</v>
      </c>
      <c r="EP92" s="55">
        <f t="shared" si="500"/>
        <v>0.56999999999999973</v>
      </c>
      <c r="ER92" s="55">
        <f t="shared" si="141"/>
        <v>28119.791700000002</v>
      </c>
      <c r="ES92" s="55">
        <f t="shared" si="507"/>
        <v>28119.791700000002</v>
      </c>
      <c r="ET92" s="59">
        <f t="shared" ref="ET92:ET113" si="598">+ES92*3.3058</f>
        <v>92958.407401860008</v>
      </c>
      <c r="EU92" s="55">
        <f t="shared" ref="EU92:EU113" si="599">+ES92*GN92</f>
        <v>27276.197949000001</v>
      </c>
      <c r="EV92" s="59">
        <f t="shared" ref="EV92:EV113" si="600">+EU92*3.3058</f>
        <v>90169.655179804206</v>
      </c>
      <c r="EW92" s="55">
        <f t="shared" ref="EW92:EW113" si="601">+ES92*GO92</f>
        <v>26713.802114999999</v>
      </c>
      <c r="EX92" s="59">
        <f t="shared" ref="EX92:EX113" si="602">+EW92*3.3058</f>
        <v>88310.487031766999</v>
      </c>
      <c r="EY92" s="55">
        <f t="shared" ref="EY92:EY113" si="603">+ES92*GP92</f>
        <v>26151.406281000003</v>
      </c>
      <c r="EZ92" s="59">
        <f t="shared" ref="EZ92:EZ113" si="604">+EY92*3.3058</f>
        <v>86451.318883729808</v>
      </c>
      <c r="FA92" s="57">
        <f t="shared" ref="FA92:FA113" si="605">+ES92*GQ92</f>
        <v>25589.010447000001</v>
      </c>
      <c r="FB92" s="59">
        <f t="shared" ref="FB92:FB113" si="606">+FA92*3.3058</f>
        <v>84592.150735692601</v>
      </c>
      <c r="FC92" s="55">
        <f t="shared" ref="FC92:FC113" si="607">+ES92*GR92</f>
        <v>25026.614613000002</v>
      </c>
      <c r="FD92" s="59">
        <f t="shared" ref="FD92:FD113" si="608">+FC92*3.3058</f>
        <v>82732.98258765541</v>
      </c>
      <c r="FE92" s="57">
        <f t="shared" ref="FE92:FE113" si="609">+ES92*GS92</f>
        <v>24464.218779000003</v>
      </c>
      <c r="FF92" s="59">
        <f t="shared" ref="FF92:FF113" si="610">+FE92*3.3058</f>
        <v>80873.814439618203</v>
      </c>
      <c r="FG92" s="60">
        <f t="shared" ref="FG92:FG113" si="611">+ES92*GT92</f>
        <v>23901.822945</v>
      </c>
      <c r="FH92" s="59">
        <f t="shared" ref="FH92:FH113" si="612">+FG92*3.3058</f>
        <v>79014.646291580997</v>
      </c>
      <c r="FI92" s="57">
        <f t="shared" ref="FI92:FI113" si="613">+ES92*GU92</f>
        <v>23339.427111000001</v>
      </c>
      <c r="FJ92" s="59">
        <f t="shared" ref="FJ92:FJ113" si="614">+FI92*3.3058</f>
        <v>77155.478143543805</v>
      </c>
      <c r="FK92" s="55">
        <f t="shared" ref="FK92:FK113" si="615">+ES92*GV92</f>
        <v>22777.031276999998</v>
      </c>
      <c r="FL92" s="59">
        <f t="shared" ref="FL92:FL113" si="616">+FK92*3.3058</f>
        <v>75296.309995506599</v>
      </c>
      <c r="FM92" s="60">
        <f t="shared" ref="FM92:FM113" si="617">+ES92*GW92</f>
        <v>22214.635442999999</v>
      </c>
      <c r="FN92" s="59">
        <f t="shared" ref="FN92:FN113" si="618">+FM92*3.3058</f>
        <v>73437.141847469393</v>
      </c>
      <c r="FO92" s="60">
        <f t="shared" ref="FO92:FO113" si="619">+ES92*GX92</f>
        <v>21652.239609</v>
      </c>
      <c r="FP92" s="59">
        <f t="shared" ref="FP92:FP113" si="620">+FO92*3.3058</f>
        <v>71577.973699432201</v>
      </c>
      <c r="FQ92" s="60">
        <f t="shared" ref="FQ92:FQ113" si="621">+ES92*GY92</f>
        <v>21089.843774999998</v>
      </c>
      <c r="FR92" s="59">
        <f t="shared" ref="FR92:FR113" si="622">+FQ92*3.3058</f>
        <v>69718.805551394995</v>
      </c>
      <c r="FS92" s="55">
        <f t="shared" ref="FS92:FS113" si="623">+ES92*GZ92</f>
        <v>20527.447940999999</v>
      </c>
      <c r="FT92" s="59">
        <f t="shared" ref="FT92:FT113" si="624">+FS92*3.3058</f>
        <v>67859.637403357803</v>
      </c>
      <c r="FU92" s="60">
        <f t="shared" ref="FU92:FU113" si="625">+ES92*HA92</f>
        <v>19965.052106999996</v>
      </c>
      <c r="FV92" s="59">
        <f t="shared" ref="FV92:FV113" si="626">+FU92*3.3058</f>
        <v>66000.469255320582</v>
      </c>
      <c r="FW92" s="60">
        <f t="shared" ref="FW92:FW113" si="627">+ES92*HB92</f>
        <v>19402.656272999997</v>
      </c>
      <c r="FX92" s="59">
        <f t="shared" ref="FX92:FX113" si="628">+FW92*3.3058</f>
        <v>64141.301107283391</v>
      </c>
      <c r="FY92" s="60">
        <f t="shared" ref="FY92:FY113" si="629">+ES92*HC92</f>
        <v>18840.260438999994</v>
      </c>
      <c r="FZ92" s="59">
        <f t="shared" ref="FZ92:FZ113" si="630">+FY92*3.3058</f>
        <v>62282.132959246184</v>
      </c>
      <c r="GA92" s="60">
        <f t="shared" ref="GA92:GA113" si="631">+ES92*HD92</f>
        <v>18277.864604999995</v>
      </c>
      <c r="GB92" s="59">
        <f t="shared" ref="GB92:GB113" si="632">+GA92*3.3058</f>
        <v>60422.964811208985</v>
      </c>
      <c r="GC92" s="55">
        <f t="shared" ref="GC92:GC113" si="633">+ES92*HE92</f>
        <v>17715.468770999996</v>
      </c>
      <c r="GD92" s="59">
        <f t="shared" ref="GD92:GD113" si="634">+GC92*3.3058</f>
        <v>58563.796663171786</v>
      </c>
      <c r="GE92" s="60">
        <f t="shared" ref="GE92:GE113" si="635">+ES92*HF92</f>
        <v>17153.072936999994</v>
      </c>
      <c r="GF92" s="59">
        <f t="shared" ref="GF92:GF113" si="636">+GE92*3.3058</f>
        <v>56704.62851513458</v>
      </c>
      <c r="GG92" s="60">
        <f t="shared" ref="GG92:GG113" si="637">+ES92*HG92</f>
        <v>16590.677102999995</v>
      </c>
      <c r="GH92" s="59">
        <f t="shared" ref="GH92:GH113" si="638">+GG92*3.3058</f>
        <v>54845.460367097381</v>
      </c>
      <c r="GI92" s="55">
        <f t="shared" ref="GI92:GI113" si="639">+ES92*HH92</f>
        <v>16028.281268999994</v>
      </c>
      <c r="GJ92" s="59">
        <f t="shared" ref="GJ92:GJ113" si="640">+GI92*3.3058</f>
        <v>52986.292219060182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01"/>
        <v>0.91</v>
      </c>
      <c r="GR92" s="55">
        <f t="shared" si="501"/>
        <v>0.89</v>
      </c>
      <c r="GS92" s="55">
        <f t="shared" si="501"/>
        <v>0.87</v>
      </c>
      <c r="GT92" s="55">
        <f t="shared" si="501"/>
        <v>0.85</v>
      </c>
      <c r="GU92" s="55">
        <f t="shared" si="501"/>
        <v>0.83</v>
      </c>
      <c r="GV92" s="55">
        <f t="shared" si="501"/>
        <v>0.80999999999999994</v>
      </c>
      <c r="GW92" s="55">
        <f t="shared" si="501"/>
        <v>0.78999999999999992</v>
      </c>
      <c r="GX92" s="55">
        <f t="shared" si="501"/>
        <v>0.76999999999999991</v>
      </c>
      <c r="GY92" s="55">
        <f t="shared" si="501"/>
        <v>0.74999999999999989</v>
      </c>
      <c r="GZ92" s="55">
        <f t="shared" si="501"/>
        <v>0.72999999999999987</v>
      </c>
      <c r="HA92" s="55">
        <f t="shared" si="501"/>
        <v>0.70999999999999985</v>
      </c>
      <c r="HB92" s="55">
        <f t="shared" si="501"/>
        <v>0.68999999999999984</v>
      </c>
      <c r="HC92" s="55">
        <f t="shared" si="501"/>
        <v>0.66999999999999982</v>
      </c>
      <c r="HD92" s="55">
        <f t="shared" si="501"/>
        <v>0.6499999999999998</v>
      </c>
      <c r="HE92" s="55">
        <f t="shared" si="501"/>
        <v>0.62999999999999978</v>
      </c>
      <c r="HF92" s="55">
        <f t="shared" si="501"/>
        <v>0.60999999999999976</v>
      </c>
      <c r="HG92" s="55">
        <f t="shared" si="501"/>
        <v>0.58999999999999975</v>
      </c>
      <c r="HH92" s="55">
        <f t="shared" si="501"/>
        <v>0.56999999999999973</v>
      </c>
    </row>
    <row r="93" spans="1:216" x14ac:dyDescent="0.3">
      <c r="A93" s="2">
        <v>2</v>
      </c>
      <c r="C93" s="38" t="s">
        <v>40</v>
      </c>
      <c r="D93" s="42">
        <f>TRUNC(6647,-1)</f>
        <v>6640</v>
      </c>
      <c r="E93" s="86">
        <f>TRUNC(+D93*3.3058,-1)</f>
        <v>21950</v>
      </c>
      <c r="H93" s="55">
        <f t="shared" si="502"/>
        <v>24145.000000000004</v>
      </c>
      <c r="I93" s="55">
        <f t="shared" si="503"/>
        <v>24145.000000000004</v>
      </c>
      <c r="J93" s="59">
        <f t="shared" si="504"/>
        <v>79818.541000000012</v>
      </c>
      <c r="K93" s="55">
        <f t="shared" si="512"/>
        <v>23420.65</v>
      </c>
      <c r="L93" s="59">
        <f t="shared" si="513"/>
        <v>77423.98477000001</v>
      </c>
      <c r="M93" s="55">
        <f t="shared" si="514"/>
        <v>22937.750000000004</v>
      </c>
      <c r="N93" s="59">
        <f t="shared" si="515"/>
        <v>75827.613950000014</v>
      </c>
      <c r="O93" s="55">
        <f t="shared" si="516"/>
        <v>22454.850000000006</v>
      </c>
      <c r="P93" s="59">
        <f t="shared" si="517"/>
        <v>74231.243130000017</v>
      </c>
      <c r="Q93" s="57">
        <f t="shared" si="518"/>
        <v>21971.950000000004</v>
      </c>
      <c r="R93" s="59">
        <f t="shared" si="519"/>
        <v>72634.872310000021</v>
      </c>
      <c r="S93" s="55">
        <f t="shared" si="520"/>
        <v>21489.050000000003</v>
      </c>
      <c r="T93" s="59">
        <f t="shared" si="521"/>
        <v>71038.50149000001</v>
      </c>
      <c r="U93" s="57">
        <f t="shared" si="522"/>
        <v>21006.15</v>
      </c>
      <c r="V93" s="59">
        <f t="shared" si="523"/>
        <v>69442.130670000013</v>
      </c>
      <c r="W93" s="60">
        <f t="shared" si="524"/>
        <v>20523.250000000004</v>
      </c>
      <c r="X93" s="59">
        <f t="shared" si="525"/>
        <v>67845.759850000017</v>
      </c>
      <c r="Y93" s="57">
        <f t="shared" si="526"/>
        <v>20040.350000000002</v>
      </c>
      <c r="Z93" s="59">
        <f t="shared" si="527"/>
        <v>66249.389030000006</v>
      </c>
      <c r="AA93" s="55">
        <f t="shared" si="528"/>
        <v>19557.45</v>
      </c>
      <c r="AB93" s="59">
        <f t="shared" si="529"/>
        <v>64653.018210000002</v>
      </c>
      <c r="AC93" s="60">
        <f t="shared" si="530"/>
        <v>19074.55</v>
      </c>
      <c r="AD93" s="59">
        <f t="shared" si="531"/>
        <v>63056.647389999998</v>
      </c>
      <c r="AE93" s="60">
        <f t="shared" si="532"/>
        <v>18591.650000000001</v>
      </c>
      <c r="AF93" s="59">
        <f t="shared" si="533"/>
        <v>61460.276570000009</v>
      </c>
      <c r="AG93" s="60">
        <f t="shared" si="534"/>
        <v>18108.75</v>
      </c>
      <c r="AH93" s="59">
        <f t="shared" si="535"/>
        <v>59863.905749999998</v>
      </c>
      <c r="AI93" s="55">
        <f t="shared" si="536"/>
        <v>17625.849999999999</v>
      </c>
      <c r="AJ93" s="59">
        <f t="shared" si="537"/>
        <v>58267.534929999994</v>
      </c>
      <c r="AK93" s="60">
        <f t="shared" si="538"/>
        <v>17142.95</v>
      </c>
      <c r="AL93" s="59">
        <f t="shared" si="539"/>
        <v>56671.164110000005</v>
      </c>
      <c r="AM93" s="60">
        <f t="shared" si="540"/>
        <v>16660.05</v>
      </c>
      <c r="AN93" s="59">
        <f t="shared" si="541"/>
        <v>55074.793290000001</v>
      </c>
      <c r="AO93" s="60">
        <f t="shared" si="542"/>
        <v>16177.149999999998</v>
      </c>
      <c r="AP93" s="59">
        <f t="shared" si="543"/>
        <v>53478.42246999999</v>
      </c>
      <c r="AQ93" s="60">
        <f t="shared" si="544"/>
        <v>15694.249999999998</v>
      </c>
      <c r="AR93" s="59">
        <f t="shared" si="545"/>
        <v>51882.051649999994</v>
      </c>
      <c r="AS93" s="55">
        <f t="shared" si="546"/>
        <v>15211.349999999997</v>
      </c>
      <c r="AT93" s="59">
        <f t="shared" si="547"/>
        <v>50285.68082999999</v>
      </c>
      <c r="AU93" s="60">
        <f t="shared" si="548"/>
        <v>14728.449999999997</v>
      </c>
      <c r="AV93" s="59">
        <f t="shared" si="549"/>
        <v>48689.310009999994</v>
      </c>
      <c r="AW93" s="60">
        <f t="shared" si="550"/>
        <v>14245.549999999996</v>
      </c>
      <c r="AX93" s="59">
        <f t="shared" si="551"/>
        <v>47092.93918999999</v>
      </c>
      <c r="AY93" s="55">
        <f t="shared" si="552"/>
        <v>13762.649999999996</v>
      </c>
      <c r="AZ93" s="59">
        <f t="shared" si="553"/>
        <v>45496.568369999986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54"/>
        <v>0.91</v>
      </c>
      <c r="BH93" s="55">
        <f t="shared" si="554"/>
        <v>0.89</v>
      </c>
      <c r="BI93" s="55">
        <f t="shared" si="554"/>
        <v>0.87</v>
      </c>
      <c r="BJ93" s="55">
        <f t="shared" si="554"/>
        <v>0.85</v>
      </c>
      <c r="BK93" s="55">
        <f t="shared" si="554"/>
        <v>0.83</v>
      </c>
      <c r="BL93" s="55">
        <f t="shared" si="554"/>
        <v>0.80999999999999994</v>
      </c>
      <c r="BM93" s="55">
        <f t="shared" si="554"/>
        <v>0.78999999999999992</v>
      </c>
      <c r="BN93" s="55">
        <f t="shared" si="554"/>
        <v>0.76999999999999991</v>
      </c>
      <c r="BO93" s="55">
        <f t="shared" si="554"/>
        <v>0.74999999999999989</v>
      </c>
      <c r="BP93" s="55">
        <f t="shared" si="554"/>
        <v>0.72999999999999987</v>
      </c>
      <c r="BQ93" s="55">
        <f t="shared" si="554"/>
        <v>0.70999999999999985</v>
      </c>
      <c r="BR93" s="55">
        <f t="shared" si="554"/>
        <v>0.68999999999999984</v>
      </c>
      <c r="BS93" s="55">
        <f t="shared" si="554"/>
        <v>0.66999999999999982</v>
      </c>
      <c r="BT93" s="55">
        <f t="shared" si="554"/>
        <v>0.6499999999999998</v>
      </c>
      <c r="BU93" s="55">
        <f t="shared" si="554"/>
        <v>0.62999999999999978</v>
      </c>
      <c r="BV93" s="55">
        <f t="shared" si="554"/>
        <v>0.60999999999999976</v>
      </c>
      <c r="BW93" s="55">
        <f t="shared" si="554"/>
        <v>0.58999999999999975</v>
      </c>
      <c r="BX93" s="55">
        <f t="shared" si="554"/>
        <v>0.56999999999999973</v>
      </c>
      <c r="BZ93" s="55">
        <f t="shared" si="505"/>
        <v>21971.950000000004</v>
      </c>
      <c r="CA93" s="55">
        <f t="shared" si="506"/>
        <v>21971.950000000004</v>
      </c>
      <c r="CB93" s="59">
        <f t="shared" si="555"/>
        <v>72634.872310000021</v>
      </c>
      <c r="CC93" s="55">
        <f t="shared" si="556"/>
        <v>21312.791500000003</v>
      </c>
      <c r="CD93" s="59">
        <f t="shared" si="557"/>
        <v>70455.82614070001</v>
      </c>
      <c r="CE93" s="55">
        <f t="shared" si="558"/>
        <v>20873.352500000005</v>
      </c>
      <c r="CF93" s="59">
        <f t="shared" si="559"/>
        <v>69003.128694500017</v>
      </c>
      <c r="CG93" s="55">
        <f t="shared" si="560"/>
        <v>20433.913500000006</v>
      </c>
      <c r="CH93" s="59">
        <f t="shared" si="561"/>
        <v>67550.431248300025</v>
      </c>
      <c r="CI93" s="57">
        <f t="shared" si="562"/>
        <v>19994.474500000004</v>
      </c>
      <c r="CJ93" s="59">
        <f t="shared" si="563"/>
        <v>66097.733802100018</v>
      </c>
      <c r="CK93" s="55">
        <f t="shared" si="564"/>
        <v>19555.035500000005</v>
      </c>
      <c r="CL93" s="59">
        <f t="shared" si="565"/>
        <v>64645.036355900018</v>
      </c>
      <c r="CM93" s="57">
        <f t="shared" si="566"/>
        <v>19115.596500000003</v>
      </c>
      <c r="CN93" s="59">
        <f t="shared" si="567"/>
        <v>63192.338909700011</v>
      </c>
      <c r="CO93" s="60">
        <f t="shared" si="568"/>
        <v>18676.157500000005</v>
      </c>
      <c r="CP93" s="59">
        <f t="shared" si="569"/>
        <v>61739.641463500018</v>
      </c>
      <c r="CQ93" s="57">
        <f t="shared" si="570"/>
        <v>18236.718500000003</v>
      </c>
      <c r="CR93" s="59">
        <f t="shared" si="571"/>
        <v>60286.944017300011</v>
      </c>
      <c r="CS93" s="55">
        <f t="shared" si="572"/>
        <v>17797.279500000001</v>
      </c>
      <c r="CT93" s="59">
        <f t="shared" si="573"/>
        <v>58834.246571100004</v>
      </c>
      <c r="CU93" s="60">
        <f t="shared" si="574"/>
        <v>17357.840500000002</v>
      </c>
      <c r="CV93" s="59">
        <f t="shared" si="575"/>
        <v>57381.549124900012</v>
      </c>
      <c r="CW93" s="60">
        <f t="shared" si="576"/>
        <v>16918.4015</v>
      </c>
      <c r="CX93" s="59">
        <f t="shared" si="577"/>
        <v>55928.851678700004</v>
      </c>
      <c r="CY93" s="60">
        <f t="shared" si="578"/>
        <v>16478.962500000001</v>
      </c>
      <c r="CZ93" s="59">
        <f t="shared" si="579"/>
        <v>54476.154232500005</v>
      </c>
      <c r="DA93" s="55">
        <f t="shared" si="580"/>
        <v>16039.523500000001</v>
      </c>
      <c r="DB93" s="59">
        <f t="shared" si="581"/>
        <v>53023.456786300005</v>
      </c>
      <c r="DC93" s="60">
        <f t="shared" si="582"/>
        <v>15600.084499999999</v>
      </c>
      <c r="DD93" s="59">
        <f t="shared" si="583"/>
        <v>51570.759340099998</v>
      </c>
      <c r="DE93" s="60">
        <f t="shared" si="584"/>
        <v>15160.645499999999</v>
      </c>
      <c r="DF93" s="59">
        <f t="shared" si="585"/>
        <v>50118.061893899998</v>
      </c>
      <c r="DG93" s="60">
        <f t="shared" si="586"/>
        <v>14721.206499999998</v>
      </c>
      <c r="DH93" s="59">
        <f t="shared" si="587"/>
        <v>48665.364447699998</v>
      </c>
      <c r="DI93" s="60">
        <f t="shared" si="588"/>
        <v>14281.767499999998</v>
      </c>
      <c r="DJ93" s="59">
        <f t="shared" si="589"/>
        <v>47212.667001499998</v>
      </c>
      <c r="DK93" s="55">
        <f t="shared" si="590"/>
        <v>13842.328499999998</v>
      </c>
      <c r="DL93" s="59">
        <f t="shared" si="591"/>
        <v>45759.969555299991</v>
      </c>
      <c r="DM93" s="60">
        <f t="shared" si="592"/>
        <v>13402.889499999997</v>
      </c>
      <c r="DN93" s="59">
        <f t="shared" si="593"/>
        <v>44307.272109099991</v>
      </c>
      <c r="DO93" s="60">
        <f t="shared" si="594"/>
        <v>12963.450499999997</v>
      </c>
      <c r="DP93" s="59">
        <f t="shared" si="595"/>
        <v>42854.574662899991</v>
      </c>
      <c r="DQ93" s="55">
        <f t="shared" si="596"/>
        <v>12524.011499999997</v>
      </c>
      <c r="DR93" s="59">
        <f t="shared" si="597"/>
        <v>41401.877216699992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00"/>
        <v>0.91</v>
      </c>
      <c r="DZ93" s="55">
        <f t="shared" si="500"/>
        <v>0.89</v>
      </c>
      <c r="EA93" s="55">
        <f t="shared" si="500"/>
        <v>0.87</v>
      </c>
      <c r="EB93" s="55">
        <f t="shared" ref="EB93:EP93" si="641">+EA93-0.02</f>
        <v>0.85</v>
      </c>
      <c r="EC93" s="55">
        <f t="shared" si="641"/>
        <v>0.83</v>
      </c>
      <c r="ED93" s="55">
        <f t="shared" si="641"/>
        <v>0.80999999999999994</v>
      </c>
      <c r="EE93" s="55">
        <f t="shared" si="641"/>
        <v>0.78999999999999992</v>
      </c>
      <c r="EF93" s="55">
        <f t="shared" si="641"/>
        <v>0.76999999999999991</v>
      </c>
      <c r="EG93" s="55">
        <f t="shared" si="641"/>
        <v>0.74999999999999989</v>
      </c>
      <c r="EH93" s="55">
        <f t="shared" si="641"/>
        <v>0.72999999999999987</v>
      </c>
      <c r="EI93" s="55">
        <f t="shared" si="641"/>
        <v>0.70999999999999985</v>
      </c>
      <c r="EJ93" s="55">
        <f t="shared" si="641"/>
        <v>0.68999999999999984</v>
      </c>
      <c r="EK93" s="55">
        <f t="shared" si="641"/>
        <v>0.66999999999999982</v>
      </c>
      <c r="EL93" s="55">
        <f t="shared" si="641"/>
        <v>0.6499999999999998</v>
      </c>
      <c r="EM93" s="55">
        <f t="shared" si="641"/>
        <v>0.62999999999999978</v>
      </c>
      <c r="EN93" s="55">
        <f t="shared" si="641"/>
        <v>0.60999999999999976</v>
      </c>
      <c r="EO93" s="55">
        <f t="shared" si="641"/>
        <v>0.58999999999999975</v>
      </c>
      <c r="EP93" s="55">
        <f t="shared" si="641"/>
        <v>0.56999999999999973</v>
      </c>
      <c r="ER93" s="55">
        <f t="shared" si="141"/>
        <v>19994.474500000004</v>
      </c>
      <c r="ES93" s="55">
        <f t="shared" si="507"/>
        <v>19994.474500000004</v>
      </c>
      <c r="ET93" s="59">
        <f t="shared" si="598"/>
        <v>66097.733802100018</v>
      </c>
      <c r="EU93" s="55">
        <f t="shared" si="599"/>
        <v>19394.640265000002</v>
      </c>
      <c r="EV93" s="59">
        <f t="shared" si="600"/>
        <v>64114.80178803701</v>
      </c>
      <c r="EW93" s="55">
        <f t="shared" si="601"/>
        <v>18994.750775000004</v>
      </c>
      <c r="EX93" s="59">
        <f t="shared" si="602"/>
        <v>62792.847111995012</v>
      </c>
      <c r="EY93" s="55">
        <f t="shared" si="603"/>
        <v>18594.861285000006</v>
      </c>
      <c r="EZ93" s="59">
        <f t="shared" si="604"/>
        <v>61470.892435953021</v>
      </c>
      <c r="FA93" s="57">
        <f t="shared" si="605"/>
        <v>18194.971795000005</v>
      </c>
      <c r="FB93" s="59">
        <f t="shared" si="606"/>
        <v>60148.937759911016</v>
      </c>
      <c r="FC93" s="55">
        <f t="shared" si="607"/>
        <v>17795.082305000004</v>
      </c>
      <c r="FD93" s="59">
        <f t="shared" si="608"/>
        <v>58826.98308386901</v>
      </c>
      <c r="FE93" s="57">
        <f t="shared" si="609"/>
        <v>17395.192815000002</v>
      </c>
      <c r="FF93" s="59">
        <f t="shared" si="610"/>
        <v>57505.028407827005</v>
      </c>
      <c r="FG93" s="60">
        <f t="shared" si="611"/>
        <v>16995.303325000004</v>
      </c>
      <c r="FH93" s="59">
        <f t="shared" si="612"/>
        <v>56183.073731785014</v>
      </c>
      <c r="FI93" s="57">
        <f t="shared" si="613"/>
        <v>16595.413835000003</v>
      </c>
      <c r="FJ93" s="59">
        <f t="shared" si="614"/>
        <v>54861.119055743009</v>
      </c>
      <c r="FK93" s="55">
        <f t="shared" si="615"/>
        <v>16195.524345000002</v>
      </c>
      <c r="FL93" s="59">
        <f t="shared" si="616"/>
        <v>53539.164379701004</v>
      </c>
      <c r="FM93" s="60">
        <f t="shared" si="617"/>
        <v>15795.634855000002</v>
      </c>
      <c r="FN93" s="59">
        <f t="shared" si="618"/>
        <v>52217.209703659006</v>
      </c>
      <c r="FO93" s="60">
        <f t="shared" si="619"/>
        <v>15395.745365000001</v>
      </c>
      <c r="FP93" s="59">
        <f t="shared" si="620"/>
        <v>50895.255027617</v>
      </c>
      <c r="FQ93" s="60">
        <f t="shared" si="621"/>
        <v>14995.855875000001</v>
      </c>
      <c r="FR93" s="59">
        <f t="shared" si="622"/>
        <v>49573.300351575002</v>
      </c>
      <c r="FS93" s="55">
        <f t="shared" si="623"/>
        <v>14595.966385</v>
      </c>
      <c r="FT93" s="59">
        <f t="shared" si="624"/>
        <v>48251.345675532997</v>
      </c>
      <c r="FU93" s="60">
        <f t="shared" si="625"/>
        <v>14196.076895</v>
      </c>
      <c r="FV93" s="59">
        <f t="shared" si="626"/>
        <v>46929.390999490999</v>
      </c>
      <c r="FW93" s="60">
        <f t="shared" si="627"/>
        <v>13796.187404999999</v>
      </c>
      <c r="FX93" s="59">
        <f t="shared" si="628"/>
        <v>45607.436323448994</v>
      </c>
      <c r="FY93" s="60">
        <f t="shared" si="629"/>
        <v>13396.297914999999</v>
      </c>
      <c r="FZ93" s="59">
        <f t="shared" si="630"/>
        <v>44285.481647406996</v>
      </c>
      <c r="GA93" s="60">
        <f t="shared" si="631"/>
        <v>12996.408424999998</v>
      </c>
      <c r="GB93" s="59">
        <f t="shared" si="632"/>
        <v>42963.52697136499</v>
      </c>
      <c r="GC93" s="55">
        <f t="shared" si="633"/>
        <v>12596.518934999998</v>
      </c>
      <c r="GD93" s="59">
        <f t="shared" si="634"/>
        <v>41641.572295322992</v>
      </c>
      <c r="GE93" s="60">
        <f t="shared" si="635"/>
        <v>12196.629444999997</v>
      </c>
      <c r="GF93" s="59">
        <f t="shared" si="636"/>
        <v>40319.617619280987</v>
      </c>
      <c r="GG93" s="60">
        <f t="shared" si="637"/>
        <v>11796.739954999997</v>
      </c>
      <c r="GH93" s="59">
        <f t="shared" si="638"/>
        <v>38997.662943238989</v>
      </c>
      <c r="GI93" s="55">
        <f t="shared" si="639"/>
        <v>11396.850464999998</v>
      </c>
      <c r="GJ93" s="59">
        <f t="shared" si="640"/>
        <v>37675.708267196991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01"/>
        <v>0.91</v>
      </c>
      <c r="GR93" s="55">
        <f t="shared" si="501"/>
        <v>0.89</v>
      </c>
      <c r="GS93" s="55">
        <f t="shared" si="501"/>
        <v>0.87</v>
      </c>
      <c r="GT93" s="55">
        <f t="shared" ref="GT93:HH93" si="642">+GS93-0.02</f>
        <v>0.85</v>
      </c>
      <c r="GU93" s="55">
        <f t="shared" si="642"/>
        <v>0.83</v>
      </c>
      <c r="GV93" s="55">
        <f t="shared" si="642"/>
        <v>0.80999999999999994</v>
      </c>
      <c r="GW93" s="55">
        <f t="shared" si="642"/>
        <v>0.78999999999999992</v>
      </c>
      <c r="GX93" s="55">
        <f t="shared" si="642"/>
        <v>0.76999999999999991</v>
      </c>
      <c r="GY93" s="55">
        <f t="shared" si="642"/>
        <v>0.74999999999999989</v>
      </c>
      <c r="GZ93" s="55">
        <f t="shared" si="642"/>
        <v>0.72999999999999987</v>
      </c>
      <c r="HA93" s="55">
        <f t="shared" si="642"/>
        <v>0.70999999999999985</v>
      </c>
      <c r="HB93" s="55">
        <f t="shared" si="642"/>
        <v>0.68999999999999984</v>
      </c>
      <c r="HC93" s="55">
        <f t="shared" si="642"/>
        <v>0.66999999999999982</v>
      </c>
      <c r="HD93" s="55">
        <f t="shared" si="642"/>
        <v>0.6499999999999998</v>
      </c>
      <c r="HE93" s="55">
        <f t="shared" si="642"/>
        <v>0.62999999999999978</v>
      </c>
      <c r="HF93" s="55">
        <f t="shared" si="642"/>
        <v>0.60999999999999976</v>
      </c>
      <c r="HG93" s="55">
        <f t="shared" si="642"/>
        <v>0.58999999999999975</v>
      </c>
      <c r="HH93" s="55">
        <f t="shared" si="642"/>
        <v>0.56999999999999973</v>
      </c>
    </row>
    <row r="94" spans="1:216" x14ac:dyDescent="0.3">
      <c r="A94" s="2">
        <v>3</v>
      </c>
      <c r="C94" s="38" t="s">
        <v>41</v>
      </c>
      <c r="D94" s="42">
        <f>TRUNC(26765,-1)</f>
        <v>26760</v>
      </c>
      <c r="E94" s="86">
        <f>TRUNC(+D94*3.3058,-1)</f>
        <v>88460</v>
      </c>
      <c r="H94" s="55">
        <f t="shared" si="502"/>
        <v>97306.000000000015</v>
      </c>
      <c r="I94" s="55">
        <f t="shared" si="503"/>
        <v>97306.000000000015</v>
      </c>
      <c r="J94" s="59">
        <f t="shared" si="504"/>
        <v>321674.17480000004</v>
      </c>
      <c r="K94" s="55">
        <f t="shared" si="512"/>
        <v>94386.82</v>
      </c>
      <c r="L94" s="59">
        <f t="shared" si="513"/>
        <v>312023.94955600001</v>
      </c>
      <c r="M94" s="55">
        <f t="shared" si="514"/>
        <v>92440.700000000012</v>
      </c>
      <c r="N94" s="59">
        <f t="shared" si="515"/>
        <v>305590.46606000006</v>
      </c>
      <c r="O94" s="55">
        <f t="shared" si="516"/>
        <v>90494.580000000016</v>
      </c>
      <c r="P94" s="59">
        <f t="shared" si="517"/>
        <v>299156.98256400006</v>
      </c>
      <c r="Q94" s="57">
        <f t="shared" si="518"/>
        <v>88548.460000000021</v>
      </c>
      <c r="R94" s="59">
        <f t="shared" si="519"/>
        <v>292723.49906800006</v>
      </c>
      <c r="S94" s="55">
        <f t="shared" si="520"/>
        <v>86602.340000000011</v>
      </c>
      <c r="T94" s="59">
        <f t="shared" si="521"/>
        <v>286290.01557200006</v>
      </c>
      <c r="U94" s="57">
        <f t="shared" si="522"/>
        <v>84656.220000000016</v>
      </c>
      <c r="V94" s="59">
        <f t="shared" si="523"/>
        <v>279856.53207600006</v>
      </c>
      <c r="W94" s="60">
        <f t="shared" si="524"/>
        <v>82710.100000000006</v>
      </c>
      <c r="X94" s="59">
        <f t="shared" si="525"/>
        <v>273423.04858</v>
      </c>
      <c r="Y94" s="57">
        <f t="shared" si="526"/>
        <v>80763.98000000001</v>
      </c>
      <c r="Z94" s="59">
        <f t="shared" si="527"/>
        <v>266989.56508400006</v>
      </c>
      <c r="AA94" s="55">
        <f t="shared" si="528"/>
        <v>78817.86</v>
      </c>
      <c r="AB94" s="59">
        <f t="shared" si="529"/>
        <v>260556.081588</v>
      </c>
      <c r="AC94" s="60">
        <f t="shared" si="530"/>
        <v>76871.740000000005</v>
      </c>
      <c r="AD94" s="59">
        <f t="shared" si="531"/>
        <v>254122.59809200003</v>
      </c>
      <c r="AE94" s="60">
        <f t="shared" si="532"/>
        <v>74925.62</v>
      </c>
      <c r="AF94" s="59">
        <f t="shared" si="533"/>
        <v>247689.114596</v>
      </c>
      <c r="AG94" s="60">
        <f t="shared" si="534"/>
        <v>72979.5</v>
      </c>
      <c r="AH94" s="59">
        <f t="shared" si="535"/>
        <v>241255.6311</v>
      </c>
      <c r="AI94" s="55">
        <f t="shared" si="536"/>
        <v>71033.38</v>
      </c>
      <c r="AJ94" s="59">
        <f t="shared" si="537"/>
        <v>234822.14760400003</v>
      </c>
      <c r="AK94" s="60">
        <f t="shared" si="538"/>
        <v>69087.259999999995</v>
      </c>
      <c r="AL94" s="59">
        <f t="shared" si="539"/>
        <v>228388.664108</v>
      </c>
      <c r="AM94" s="60">
        <f t="shared" si="540"/>
        <v>67141.14</v>
      </c>
      <c r="AN94" s="59">
        <f t="shared" si="541"/>
        <v>221955.180612</v>
      </c>
      <c r="AO94" s="60">
        <f t="shared" si="542"/>
        <v>65195.01999999999</v>
      </c>
      <c r="AP94" s="59">
        <f t="shared" si="543"/>
        <v>215521.69711599997</v>
      </c>
      <c r="AQ94" s="60">
        <f t="shared" si="544"/>
        <v>63248.899999999987</v>
      </c>
      <c r="AR94" s="59">
        <f t="shared" si="545"/>
        <v>209088.21361999997</v>
      </c>
      <c r="AS94" s="55">
        <f t="shared" si="546"/>
        <v>61302.779999999992</v>
      </c>
      <c r="AT94" s="59">
        <f t="shared" si="547"/>
        <v>202654.73012399997</v>
      </c>
      <c r="AU94" s="60">
        <f t="shared" si="548"/>
        <v>59356.659999999989</v>
      </c>
      <c r="AV94" s="59">
        <f t="shared" si="549"/>
        <v>196221.24662799996</v>
      </c>
      <c r="AW94" s="60">
        <f t="shared" si="550"/>
        <v>57410.539999999986</v>
      </c>
      <c r="AX94" s="59">
        <f t="shared" si="551"/>
        <v>189787.76313199996</v>
      </c>
      <c r="AY94" s="55">
        <f t="shared" si="552"/>
        <v>55464.419999999984</v>
      </c>
      <c r="AZ94" s="59">
        <f t="shared" si="553"/>
        <v>183354.27963599996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54"/>
        <v>0.91</v>
      </c>
      <c r="BH94" s="55">
        <f t="shared" si="554"/>
        <v>0.89</v>
      </c>
      <c r="BI94" s="55">
        <f t="shared" si="554"/>
        <v>0.87</v>
      </c>
      <c r="BJ94" s="55">
        <f t="shared" si="554"/>
        <v>0.85</v>
      </c>
      <c r="BK94" s="55">
        <f t="shared" si="554"/>
        <v>0.83</v>
      </c>
      <c r="BL94" s="55">
        <f t="shared" si="554"/>
        <v>0.80999999999999994</v>
      </c>
      <c r="BM94" s="55">
        <f t="shared" si="554"/>
        <v>0.78999999999999992</v>
      </c>
      <c r="BN94" s="55">
        <f t="shared" si="554"/>
        <v>0.76999999999999991</v>
      </c>
      <c r="BO94" s="55">
        <f t="shared" si="554"/>
        <v>0.74999999999999989</v>
      </c>
      <c r="BP94" s="55">
        <f t="shared" si="554"/>
        <v>0.72999999999999987</v>
      </c>
      <c r="BQ94" s="55">
        <f t="shared" si="554"/>
        <v>0.70999999999999985</v>
      </c>
      <c r="BR94" s="55">
        <f t="shared" si="554"/>
        <v>0.68999999999999984</v>
      </c>
      <c r="BS94" s="55">
        <f t="shared" si="554"/>
        <v>0.66999999999999982</v>
      </c>
      <c r="BT94" s="55">
        <f t="shared" si="554"/>
        <v>0.6499999999999998</v>
      </c>
      <c r="BU94" s="55">
        <f t="shared" si="554"/>
        <v>0.62999999999999978</v>
      </c>
      <c r="BV94" s="55">
        <f t="shared" si="554"/>
        <v>0.60999999999999976</v>
      </c>
      <c r="BW94" s="55">
        <f t="shared" si="554"/>
        <v>0.58999999999999975</v>
      </c>
      <c r="BX94" s="55">
        <f t="shared" si="554"/>
        <v>0.56999999999999973</v>
      </c>
      <c r="BZ94" s="55">
        <f t="shared" si="505"/>
        <v>88548.460000000021</v>
      </c>
      <c r="CA94" s="55">
        <f t="shared" si="506"/>
        <v>88548.460000000021</v>
      </c>
      <c r="CB94" s="59">
        <f t="shared" si="555"/>
        <v>292723.49906800006</v>
      </c>
      <c r="CC94" s="55">
        <f t="shared" si="556"/>
        <v>85892.006200000018</v>
      </c>
      <c r="CD94" s="59">
        <f t="shared" si="557"/>
        <v>283941.79409596004</v>
      </c>
      <c r="CE94" s="55">
        <f t="shared" si="558"/>
        <v>84121.037000000011</v>
      </c>
      <c r="CF94" s="59">
        <f t="shared" si="559"/>
        <v>278087.32411460002</v>
      </c>
      <c r="CG94" s="55">
        <f t="shared" si="560"/>
        <v>82350.067800000019</v>
      </c>
      <c r="CH94" s="59">
        <f t="shared" si="561"/>
        <v>272232.85413324006</v>
      </c>
      <c r="CI94" s="57">
        <f t="shared" si="562"/>
        <v>80579.098600000027</v>
      </c>
      <c r="CJ94" s="59">
        <f t="shared" si="563"/>
        <v>266378.38415188011</v>
      </c>
      <c r="CK94" s="55">
        <f t="shared" si="564"/>
        <v>78808.12940000002</v>
      </c>
      <c r="CL94" s="59">
        <f t="shared" si="565"/>
        <v>260523.91417052006</v>
      </c>
      <c r="CM94" s="57">
        <f t="shared" si="566"/>
        <v>77037.160200000013</v>
      </c>
      <c r="CN94" s="59">
        <f t="shared" si="567"/>
        <v>254669.44418916004</v>
      </c>
      <c r="CO94" s="60">
        <f t="shared" si="568"/>
        <v>75266.191000000021</v>
      </c>
      <c r="CP94" s="59">
        <f t="shared" si="569"/>
        <v>248814.97420780009</v>
      </c>
      <c r="CQ94" s="57">
        <f t="shared" si="570"/>
        <v>73495.221800000014</v>
      </c>
      <c r="CR94" s="59">
        <f t="shared" si="571"/>
        <v>242960.50422644004</v>
      </c>
      <c r="CS94" s="55">
        <f t="shared" si="572"/>
        <v>71724.252600000007</v>
      </c>
      <c r="CT94" s="59">
        <f t="shared" si="573"/>
        <v>237106.03424508002</v>
      </c>
      <c r="CU94" s="60">
        <f t="shared" si="574"/>
        <v>69953.283400000015</v>
      </c>
      <c r="CV94" s="59">
        <f t="shared" si="575"/>
        <v>231251.56426372007</v>
      </c>
      <c r="CW94" s="60">
        <f t="shared" si="576"/>
        <v>68182.314200000008</v>
      </c>
      <c r="CX94" s="59">
        <f t="shared" si="577"/>
        <v>225397.09428236002</v>
      </c>
      <c r="CY94" s="60">
        <f t="shared" si="578"/>
        <v>66411.345000000001</v>
      </c>
      <c r="CZ94" s="59">
        <f t="shared" si="579"/>
        <v>219542.624301</v>
      </c>
      <c r="DA94" s="55">
        <f t="shared" si="580"/>
        <v>64640.375800000002</v>
      </c>
      <c r="DB94" s="59">
        <f t="shared" si="581"/>
        <v>213688.15431964002</v>
      </c>
      <c r="DC94" s="60">
        <f t="shared" si="582"/>
        <v>62869.406600000002</v>
      </c>
      <c r="DD94" s="59">
        <f t="shared" si="583"/>
        <v>207833.68433828</v>
      </c>
      <c r="DE94" s="60">
        <f t="shared" si="584"/>
        <v>61098.437400000003</v>
      </c>
      <c r="DF94" s="59">
        <f t="shared" si="585"/>
        <v>201979.21435692001</v>
      </c>
      <c r="DG94" s="60">
        <f t="shared" si="586"/>
        <v>59327.468199999996</v>
      </c>
      <c r="DH94" s="59">
        <f t="shared" si="587"/>
        <v>196124.74437556</v>
      </c>
      <c r="DI94" s="60">
        <f t="shared" si="588"/>
        <v>57556.498999999996</v>
      </c>
      <c r="DJ94" s="59">
        <f t="shared" si="589"/>
        <v>190270.27439419998</v>
      </c>
      <c r="DK94" s="55">
        <f t="shared" si="590"/>
        <v>55785.529799999997</v>
      </c>
      <c r="DL94" s="59">
        <f t="shared" si="591"/>
        <v>184415.80441283999</v>
      </c>
      <c r="DM94" s="60">
        <f t="shared" si="592"/>
        <v>54014.56059999999</v>
      </c>
      <c r="DN94" s="59">
        <f t="shared" si="593"/>
        <v>178561.33443147998</v>
      </c>
      <c r="DO94" s="60">
        <f t="shared" si="594"/>
        <v>52243.59139999999</v>
      </c>
      <c r="DP94" s="59">
        <f t="shared" si="595"/>
        <v>172706.86445011996</v>
      </c>
      <c r="DQ94" s="55">
        <f t="shared" si="596"/>
        <v>50472.622199999991</v>
      </c>
      <c r="DR94" s="59">
        <f t="shared" si="597"/>
        <v>166852.39446875997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ref="DY94:EP108" si="643">+DX94-0.02</f>
        <v>0.91</v>
      </c>
      <c r="DZ94" s="55">
        <f t="shared" si="643"/>
        <v>0.89</v>
      </c>
      <c r="EA94" s="55">
        <f t="shared" si="643"/>
        <v>0.87</v>
      </c>
      <c r="EB94" s="55">
        <f t="shared" si="643"/>
        <v>0.85</v>
      </c>
      <c r="EC94" s="55">
        <f t="shared" si="643"/>
        <v>0.83</v>
      </c>
      <c r="ED94" s="55">
        <f t="shared" si="643"/>
        <v>0.80999999999999994</v>
      </c>
      <c r="EE94" s="55">
        <f t="shared" si="643"/>
        <v>0.78999999999999992</v>
      </c>
      <c r="EF94" s="55">
        <f t="shared" si="643"/>
        <v>0.76999999999999991</v>
      </c>
      <c r="EG94" s="55">
        <f t="shared" si="643"/>
        <v>0.74999999999999989</v>
      </c>
      <c r="EH94" s="55">
        <f t="shared" si="643"/>
        <v>0.72999999999999987</v>
      </c>
      <c r="EI94" s="55">
        <f t="shared" si="643"/>
        <v>0.70999999999999985</v>
      </c>
      <c r="EJ94" s="55">
        <f t="shared" si="643"/>
        <v>0.68999999999999984</v>
      </c>
      <c r="EK94" s="55">
        <f t="shared" si="643"/>
        <v>0.66999999999999982</v>
      </c>
      <c r="EL94" s="55">
        <f t="shared" si="643"/>
        <v>0.6499999999999998</v>
      </c>
      <c r="EM94" s="55">
        <f t="shared" si="643"/>
        <v>0.62999999999999978</v>
      </c>
      <c r="EN94" s="55">
        <f t="shared" si="643"/>
        <v>0.60999999999999976</v>
      </c>
      <c r="EO94" s="55">
        <f t="shared" si="643"/>
        <v>0.58999999999999975</v>
      </c>
      <c r="EP94" s="55">
        <f t="shared" si="643"/>
        <v>0.56999999999999973</v>
      </c>
      <c r="ER94" s="55">
        <f t="shared" ref="ER94:ER155" si="644">+BZ94*0.91</f>
        <v>80579.098600000027</v>
      </c>
      <c r="ES94" s="55">
        <f t="shared" si="507"/>
        <v>80579.098600000027</v>
      </c>
      <c r="ET94" s="59">
        <f t="shared" si="598"/>
        <v>266378.38415188011</v>
      </c>
      <c r="EU94" s="55">
        <f t="shared" si="599"/>
        <v>78161.725642000019</v>
      </c>
      <c r="EV94" s="59">
        <f t="shared" si="600"/>
        <v>258387.03262732367</v>
      </c>
      <c r="EW94" s="55">
        <f t="shared" si="601"/>
        <v>76550.143670000019</v>
      </c>
      <c r="EX94" s="59">
        <f t="shared" si="602"/>
        <v>253059.46494428607</v>
      </c>
      <c r="EY94" s="55">
        <f t="shared" si="603"/>
        <v>74938.561698000034</v>
      </c>
      <c r="EZ94" s="59">
        <f t="shared" si="604"/>
        <v>247731.89726124852</v>
      </c>
      <c r="FA94" s="57">
        <f t="shared" si="605"/>
        <v>73326.97972600002</v>
      </c>
      <c r="FB94" s="59">
        <f t="shared" si="606"/>
        <v>242404.32957821086</v>
      </c>
      <c r="FC94" s="55">
        <f t="shared" si="607"/>
        <v>71715.39775400002</v>
      </c>
      <c r="FD94" s="59">
        <f t="shared" si="608"/>
        <v>237076.76189517326</v>
      </c>
      <c r="FE94" s="57">
        <f t="shared" si="609"/>
        <v>70103.81578200002</v>
      </c>
      <c r="FF94" s="59">
        <f t="shared" si="610"/>
        <v>231749.19421213568</v>
      </c>
      <c r="FG94" s="60">
        <f t="shared" si="611"/>
        <v>68492.23381000002</v>
      </c>
      <c r="FH94" s="59">
        <f t="shared" si="612"/>
        <v>226421.62652909808</v>
      </c>
      <c r="FI94" s="57">
        <f t="shared" si="613"/>
        <v>66880.65183800002</v>
      </c>
      <c r="FJ94" s="59">
        <f t="shared" si="614"/>
        <v>221094.05884606048</v>
      </c>
      <c r="FK94" s="55">
        <f t="shared" si="615"/>
        <v>65269.06986600002</v>
      </c>
      <c r="FL94" s="59">
        <f t="shared" si="616"/>
        <v>215766.49116302287</v>
      </c>
      <c r="FM94" s="60">
        <f t="shared" si="617"/>
        <v>63657.487894000013</v>
      </c>
      <c r="FN94" s="59">
        <f t="shared" si="618"/>
        <v>210438.92347998524</v>
      </c>
      <c r="FO94" s="60">
        <f t="shared" si="619"/>
        <v>62045.905922000013</v>
      </c>
      <c r="FP94" s="59">
        <f t="shared" si="620"/>
        <v>205111.35579694764</v>
      </c>
      <c r="FQ94" s="60">
        <f t="shared" si="621"/>
        <v>60434.323950000013</v>
      </c>
      <c r="FR94" s="59">
        <f t="shared" si="622"/>
        <v>199783.78811391004</v>
      </c>
      <c r="FS94" s="55">
        <f t="shared" si="623"/>
        <v>58822.741978000005</v>
      </c>
      <c r="FT94" s="59">
        <f t="shared" si="624"/>
        <v>194456.22043087243</v>
      </c>
      <c r="FU94" s="60">
        <f t="shared" si="625"/>
        <v>57211.160006000006</v>
      </c>
      <c r="FV94" s="59">
        <f t="shared" si="626"/>
        <v>189128.65274783483</v>
      </c>
      <c r="FW94" s="60">
        <f t="shared" si="627"/>
        <v>55599.578034000006</v>
      </c>
      <c r="FX94" s="59">
        <f t="shared" si="628"/>
        <v>183801.08506479723</v>
      </c>
      <c r="FY94" s="60">
        <f t="shared" si="629"/>
        <v>53987.996062000006</v>
      </c>
      <c r="FZ94" s="59">
        <f t="shared" si="630"/>
        <v>178473.51738175962</v>
      </c>
      <c r="GA94" s="60">
        <f t="shared" si="631"/>
        <v>52376.414089999998</v>
      </c>
      <c r="GB94" s="59">
        <f t="shared" si="632"/>
        <v>173145.94969872199</v>
      </c>
      <c r="GC94" s="55">
        <f t="shared" si="633"/>
        <v>50764.832117999998</v>
      </c>
      <c r="GD94" s="59">
        <f t="shared" si="634"/>
        <v>167818.38201568439</v>
      </c>
      <c r="GE94" s="60">
        <f t="shared" si="635"/>
        <v>49153.250145999998</v>
      </c>
      <c r="GF94" s="59">
        <f t="shared" si="636"/>
        <v>162490.81433264681</v>
      </c>
      <c r="GG94" s="60">
        <f t="shared" si="637"/>
        <v>47541.668173999999</v>
      </c>
      <c r="GH94" s="59">
        <f t="shared" si="638"/>
        <v>157163.24664960921</v>
      </c>
      <c r="GI94" s="55">
        <f t="shared" si="639"/>
        <v>45930.086201999991</v>
      </c>
      <c r="GJ94" s="59">
        <f t="shared" si="640"/>
        <v>151835.67896657158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ref="GQ94:HH108" si="645">+GP94-0.02</f>
        <v>0.91</v>
      </c>
      <c r="GR94" s="55">
        <f t="shared" si="645"/>
        <v>0.89</v>
      </c>
      <c r="GS94" s="55">
        <f t="shared" si="645"/>
        <v>0.87</v>
      </c>
      <c r="GT94" s="55">
        <f t="shared" si="645"/>
        <v>0.85</v>
      </c>
      <c r="GU94" s="55">
        <f t="shared" si="645"/>
        <v>0.83</v>
      </c>
      <c r="GV94" s="55">
        <f t="shared" si="645"/>
        <v>0.80999999999999994</v>
      </c>
      <c r="GW94" s="55">
        <f t="shared" si="645"/>
        <v>0.78999999999999992</v>
      </c>
      <c r="GX94" s="55">
        <f t="shared" si="645"/>
        <v>0.76999999999999991</v>
      </c>
      <c r="GY94" s="55">
        <f t="shared" si="645"/>
        <v>0.74999999999999989</v>
      </c>
      <c r="GZ94" s="55">
        <f t="shared" si="645"/>
        <v>0.72999999999999987</v>
      </c>
      <c r="HA94" s="55">
        <f t="shared" si="645"/>
        <v>0.70999999999999985</v>
      </c>
      <c r="HB94" s="55">
        <f t="shared" si="645"/>
        <v>0.68999999999999984</v>
      </c>
      <c r="HC94" s="55">
        <f t="shared" si="645"/>
        <v>0.66999999999999982</v>
      </c>
      <c r="HD94" s="55">
        <f t="shared" si="645"/>
        <v>0.6499999999999998</v>
      </c>
      <c r="HE94" s="55">
        <f t="shared" si="645"/>
        <v>0.62999999999999978</v>
      </c>
      <c r="HF94" s="55">
        <f t="shared" si="645"/>
        <v>0.60999999999999976</v>
      </c>
      <c r="HG94" s="55">
        <f t="shared" si="645"/>
        <v>0.58999999999999975</v>
      </c>
      <c r="HH94" s="55">
        <f t="shared" si="645"/>
        <v>0.56999999999999973</v>
      </c>
    </row>
    <row r="95" spans="1:216" x14ac:dyDescent="0.3">
      <c r="A95" s="2">
        <v>4</v>
      </c>
      <c r="C95" s="38" t="s">
        <v>42</v>
      </c>
      <c r="D95" s="42">
        <f>TRUNC(821,-1)</f>
        <v>820</v>
      </c>
      <c r="E95" s="86">
        <f>TRUNC(+D95*3.3058,-1)</f>
        <v>2710</v>
      </c>
      <c r="H95" s="55">
        <f t="shared" si="502"/>
        <v>2981.0000000000005</v>
      </c>
      <c r="I95" s="55">
        <f t="shared" si="503"/>
        <v>2981.0000000000005</v>
      </c>
      <c r="J95" s="59">
        <f t="shared" si="504"/>
        <v>9854.5898000000016</v>
      </c>
      <c r="K95" s="55">
        <f t="shared" si="512"/>
        <v>2891.57</v>
      </c>
      <c r="L95" s="59">
        <f t="shared" si="513"/>
        <v>9558.9521060000006</v>
      </c>
      <c r="M95" s="55">
        <f t="shared" si="514"/>
        <v>2831.9500000000003</v>
      </c>
      <c r="N95" s="59">
        <f t="shared" si="515"/>
        <v>9361.8603100000018</v>
      </c>
      <c r="O95" s="55">
        <f t="shared" si="516"/>
        <v>2772.3300000000004</v>
      </c>
      <c r="P95" s="59">
        <f t="shared" si="517"/>
        <v>9164.7685140000012</v>
      </c>
      <c r="Q95" s="57">
        <f t="shared" si="518"/>
        <v>2712.7100000000005</v>
      </c>
      <c r="R95" s="59">
        <f t="shared" si="519"/>
        <v>8967.6767180000024</v>
      </c>
      <c r="S95" s="55">
        <f t="shared" si="520"/>
        <v>2653.0900000000006</v>
      </c>
      <c r="T95" s="59">
        <f t="shared" si="521"/>
        <v>8770.5849220000018</v>
      </c>
      <c r="U95" s="57">
        <f t="shared" si="522"/>
        <v>2593.4700000000003</v>
      </c>
      <c r="V95" s="59">
        <f t="shared" si="523"/>
        <v>8573.4931260000012</v>
      </c>
      <c r="W95" s="60">
        <f t="shared" si="524"/>
        <v>2533.8500000000004</v>
      </c>
      <c r="X95" s="59">
        <f t="shared" si="525"/>
        <v>8376.4013300000006</v>
      </c>
      <c r="Y95" s="57">
        <f t="shared" si="526"/>
        <v>2474.2300000000005</v>
      </c>
      <c r="Z95" s="59">
        <f t="shared" si="527"/>
        <v>8179.3095340000018</v>
      </c>
      <c r="AA95" s="55">
        <f t="shared" si="528"/>
        <v>2414.61</v>
      </c>
      <c r="AB95" s="59">
        <f t="shared" si="529"/>
        <v>7982.2177380000003</v>
      </c>
      <c r="AC95" s="60">
        <f t="shared" si="530"/>
        <v>2354.9900000000002</v>
      </c>
      <c r="AD95" s="59">
        <f t="shared" si="531"/>
        <v>7785.1259420000006</v>
      </c>
      <c r="AE95" s="60">
        <f t="shared" si="532"/>
        <v>2295.37</v>
      </c>
      <c r="AF95" s="59">
        <f t="shared" si="533"/>
        <v>7588.034146</v>
      </c>
      <c r="AG95" s="60">
        <f t="shared" si="534"/>
        <v>2235.75</v>
      </c>
      <c r="AH95" s="59">
        <f t="shared" si="535"/>
        <v>7390.9423500000003</v>
      </c>
      <c r="AI95" s="55">
        <f t="shared" si="536"/>
        <v>2176.13</v>
      </c>
      <c r="AJ95" s="59">
        <f t="shared" si="537"/>
        <v>7193.8505540000006</v>
      </c>
      <c r="AK95" s="60">
        <f t="shared" si="538"/>
        <v>2116.5099999999998</v>
      </c>
      <c r="AL95" s="59">
        <f t="shared" si="539"/>
        <v>6996.758757999999</v>
      </c>
      <c r="AM95" s="60">
        <f t="shared" si="540"/>
        <v>2056.89</v>
      </c>
      <c r="AN95" s="59">
        <f t="shared" si="541"/>
        <v>6799.6669619999993</v>
      </c>
      <c r="AO95" s="60">
        <f t="shared" si="542"/>
        <v>1997.2699999999998</v>
      </c>
      <c r="AP95" s="59">
        <f t="shared" si="543"/>
        <v>6602.5751659999996</v>
      </c>
      <c r="AQ95" s="60">
        <f t="shared" si="544"/>
        <v>1937.6499999999996</v>
      </c>
      <c r="AR95" s="59">
        <f t="shared" si="545"/>
        <v>6405.483369999999</v>
      </c>
      <c r="AS95" s="55">
        <f t="shared" si="546"/>
        <v>1878.0299999999997</v>
      </c>
      <c r="AT95" s="59">
        <f t="shared" si="547"/>
        <v>6208.3915739999993</v>
      </c>
      <c r="AU95" s="60">
        <f t="shared" si="548"/>
        <v>1818.4099999999996</v>
      </c>
      <c r="AV95" s="59">
        <f t="shared" si="549"/>
        <v>6011.2997779999987</v>
      </c>
      <c r="AW95" s="60">
        <f t="shared" si="550"/>
        <v>1758.7899999999995</v>
      </c>
      <c r="AX95" s="59">
        <f t="shared" si="551"/>
        <v>5814.2079819999981</v>
      </c>
      <c r="AY95" s="55">
        <f t="shared" si="552"/>
        <v>1699.1699999999994</v>
      </c>
      <c r="AZ95" s="59">
        <f t="shared" si="553"/>
        <v>5617.1161859999984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54"/>
        <v>0.91</v>
      </c>
      <c r="BH95" s="55">
        <f t="shared" si="554"/>
        <v>0.89</v>
      </c>
      <c r="BI95" s="55">
        <f t="shared" si="554"/>
        <v>0.87</v>
      </c>
      <c r="BJ95" s="55">
        <f t="shared" si="554"/>
        <v>0.85</v>
      </c>
      <c r="BK95" s="55">
        <f t="shared" si="554"/>
        <v>0.83</v>
      </c>
      <c r="BL95" s="55">
        <f t="shared" si="554"/>
        <v>0.80999999999999994</v>
      </c>
      <c r="BM95" s="55">
        <f t="shared" si="554"/>
        <v>0.78999999999999992</v>
      </c>
      <c r="BN95" s="55">
        <f t="shared" si="554"/>
        <v>0.76999999999999991</v>
      </c>
      <c r="BO95" s="55">
        <f t="shared" si="554"/>
        <v>0.74999999999999989</v>
      </c>
      <c r="BP95" s="55">
        <f t="shared" si="554"/>
        <v>0.72999999999999987</v>
      </c>
      <c r="BQ95" s="55">
        <f t="shared" si="554"/>
        <v>0.70999999999999985</v>
      </c>
      <c r="BR95" s="55">
        <f t="shared" si="554"/>
        <v>0.68999999999999984</v>
      </c>
      <c r="BS95" s="55">
        <f t="shared" si="554"/>
        <v>0.66999999999999982</v>
      </c>
      <c r="BT95" s="55">
        <f t="shared" si="554"/>
        <v>0.6499999999999998</v>
      </c>
      <c r="BU95" s="55">
        <f t="shared" si="554"/>
        <v>0.62999999999999978</v>
      </c>
      <c r="BV95" s="55">
        <f t="shared" si="554"/>
        <v>0.60999999999999976</v>
      </c>
      <c r="BW95" s="55">
        <f t="shared" si="554"/>
        <v>0.58999999999999975</v>
      </c>
      <c r="BX95" s="55">
        <f t="shared" si="554"/>
        <v>0.56999999999999973</v>
      </c>
      <c r="BZ95" s="55">
        <f t="shared" si="505"/>
        <v>2712.7100000000005</v>
      </c>
      <c r="CA95" s="55">
        <f t="shared" si="506"/>
        <v>2712.7100000000005</v>
      </c>
      <c r="CB95" s="59">
        <f t="shared" si="555"/>
        <v>8967.6767180000024</v>
      </c>
      <c r="CC95" s="55">
        <f t="shared" si="556"/>
        <v>2631.3287000000005</v>
      </c>
      <c r="CD95" s="59">
        <f t="shared" si="557"/>
        <v>8698.646416460002</v>
      </c>
      <c r="CE95" s="55">
        <f t="shared" si="558"/>
        <v>2577.0745000000002</v>
      </c>
      <c r="CF95" s="59">
        <f t="shared" si="559"/>
        <v>8519.2928821000005</v>
      </c>
      <c r="CG95" s="55">
        <f t="shared" si="560"/>
        <v>2522.8203000000008</v>
      </c>
      <c r="CH95" s="59">
        <f t="shared" si="561"/>
        <v>8339.9393477400026</v>
      </c>
      <c r="CI95" s="57">
        <f t="shared" si="562"/>
        <v>2468.5661000000005</v>
      </c>
      <c r="CJ95" s="59">
        <f t="shared" si="563"/>
        <v>8160.585813380002</v>
      </c>
      <c r="CK95" s="55">
        <f t="shared" si="564"/>
        <v>2414.3119000000006</v>
      </c>
      <c r="CL95" s="59">
        <f t="shared" si="565"/>
        <v>7981.2322790200024</v>
      </c>
      <c r="CM95" s="57">
        <f t="shared" si="566"/>
        <v>2360.0577000000003</v>
      </c>
      <c r="CN95" s="59">
        <f t="shared" si="567"/>
        <v>7801.8787446600008</v>
      </c>
      <c r="CO95" s="60">
        <f t="shared" si="568"/>
        <v>2305.8035000000004</v>
      </c>
      <c r="CP95" s="59">
        <f t="shared" si="569"/>
        <v>7622.5252103000021</v>
      </c>
      <c r="CQ95" s="57">
        <f t="shared" si="570"/>
        <v>2251.5493000000001</v>
      </c>
      <c r="CR95" s="59">
        <f t="shared" si="571"/>
        <v>7443.1716759400006</v>
      </c>
      <c r="CS95" s="55">
        <f t="shared" si="572"/>
        <v>2197.2951000000003</v>
      </c>
      <c r="CT95" s="59">
        <f t="shared" si="573"/>
        <v>7263.8181415800009</v>
      </c>
      <c r="CU95" s="60">
        <f t="shared" si="574"/>
        <v>2143.0409</v>
      </c>
      <c r="CV95" s="59">
        <f t="shared" si="575"/>
        <v>7084.4646072200003</v>
      </c>
      <c r="CW95" s="60">
        <f t="shared" si="576"/>
        <v>2088.7867000000001</v>
      </c>
      <c r="CX95" s="59">
        <f t="shared" si="577"/>
        <v>6905.1110728600006</v>
      </c>
      <c r="CY95" s="60">
        <f t="shared" si="578"/>
        <v>2034.5325</v>
      </c>
      <c r="CZ95" s="59">
        <f t="shared" si="579"/>
        <v>6725.7575385</v>
      </c>
      <c r="DA95" s="55">
        <f t="shared" si="580"/>
        <v>1980.2782999999999</v>
      </c>
      <c r="DB95" s="59">
        <f t="shared" si="581"/>
        <v>6546.4040041400003</v>
      </c>
      <c r="DC95" s="60">
        <f t="shared" si="582"/>
        <v>1926.0240999999999</v>
      </c>
      <c r="DD95" s="59">
        <f t="shared" si="583"/>
        <v>6367.0504697799997</v>
      </c>
      <c r="DE95" s="60">
        <f t="shared" si="584"/>
        <v>1871.7698999999998</v>
      </c>
      <c r="DF95" s="59">
        <f t="shared" si="585"/>
        <v>6187.6969354199991</v>
      </c>
      <c r="DG95" s="60">
        <f t="shared" si="586"/>
        <v>1817.5156999999999</v>
      </c>
      <c r="DH95" s="59">
        <f t="shared" si="587"/>
        <v>6008.3434010599995</v>
      </c>
      <c r="DI95" s="60">
        <f t="shared" si="588"/>
        <v>1763.2614999999998</v>
      </c>
      <c r="DJ95" s="59">
        <f t="shared" si="589"/>
        <v>5828.9898666999998</v>
      </c>
      <c r="DK95" s="55">
        <f t="shared" si="590"/>
        <v>1709.0072999999998</v>
      </c>
      <c r="DL95" s="59">
        <f t="shared" si="591"/>
        <v>5649.6363323399992</v>
      </c>
      <c r="DM95" s="60">
        <f t="shared" si="592"/>
        <v>1654.7530999999997</v>
      </c>
      <c r="DN95" s="59">
        <f t="shared" si="593"/>
        <v>5470.2827979799995</v>
      </c>
      <c r="DO95" s="60">
        <f t="shared" si="594"/>
        <v>1600.4988999999996</v>
      </c>
      <c r="DP95" s="59">
        <f t="shared" si="595"/>
        <v>5290.9292636199989</v>
      </c>
      <c r="DQ95" s="55">
        <f t="shared" si="596"/>
        <v>1546.2446999999995</v>
      </c>
      <c r="DR95" s="59">
        <f t="shared" si="597"/>
        <v>5111.5757292599983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643"/>
        <v>0.91</v>
      </c>
      <c r="DZ95" s="55">
        <f t="shared" si="643"/>
        <v>0.89</v>
      </c>
      <c r="EA95" s="55">
        <f t="shared" si="643"/>
        <v>0.87</v>
      </c>
      <c r="EB95" s="55">
        <f t="shared" si="643"/>
        <v>0.85</v>
      </c>
      <c r="EC95" s="55">
        <f t="shared" si="643"/>
        <v>0.83</v>
      </c>
      <c r="ED95" s="55">
        <f t="shared" si="643"/>
        <v>0.80999999999999994</v>
      </c>
      <c r="EE95" s="55">
        <f t="shared" si="643"/>
        <v>0.78999999999999992</v>
      </c>
      <c r="EF95" s="55">
        <f t="shared" si="643"/>
        <v>0.76999999999999991</v>
      </c>
      <c r="EG95" s="55">
        <f t="shared" si="643"/>
        <v>0.74999999999999989</v>
      </c>
      <c r="EH95" s="55">
        <f t="shared" si="643"/>
        <v>0.72999999999999987</v>
      </c>
      <c r="EI95" s="55">
        <f t="shared" si="643"/>
        <v>0.70999999999999985</v>
      </c>
      <c r="EJ95" s="55">
        <f t="shared" si="643"/>
        <v>0.68999999999999984</v>
      </c>
      <c r="EK95" s="55">
        <f t="shared" si="643"/>
        <v>0.66999999999999982</v>
      </c>
      <c r="EL95" s="55">
        <f t="shared" si="643"/>
        <v>0.6499999999999998</v>
      </c>
      <c r="EM95" s="55">
        <f t="shared" si="643"/>
        <v>0.62999999999999978</v>
      </c>
      <c r="EN95" s="55">
        <f t="shared" si="643"/>
        <v>0.60999999999999976</v>
      </c>
      <c r="EO95" s="55">
        <f t="shared" si="643"/>
        <v>0.58999999999999975</v>
      </c>
      <c r="EP95" s="55">
        <f t="shared" si="643"/>
        <v>0.56999999999999973</v>
      </c>
      <c r="ER95" s="55">
        <f t="shared" si="644"/>
        <v>2468.5661000000005</v>
      </c>
      <c r="ES95" s="55">
        <f t="shared" si="507"/>
        <v>2468.5661000000005</v>
      </c>
      <c r="ET95" s="59">
        <f t="shared" si="598"/>
        <v>8160.585813380002</v>
      </c>
      <c r="EU95" s="55">
        <f t="shared" si="599"/>
        <v>2394.5091170000005</v>
      </c>
      <c r="EV95" s="59">
        <f t="shared" si="600"/>
        <v>7915.7682389786023</v>
      </c>
      <c r="EW95" s="55">
        <f t="shared" si="601"/>
        <v>2345.1377950000006</v>
      </c>
      <c r="EX95" s="59">
        <f t="shared" si="602"/>
        <v>7752.5565227110019</v>
      </c>
      <c r="EY95" s="55">
        <f t="shared" si="603"/>
        <v>2295.7664730000006</v>
      </c>
      <c r="EZ95" s="59">
        <f t="shared" si="604"/>
        <v>7589.3448064434024</v>
      </c>
      <c r="FA95" s="57">
        <f t="shared" si="605"/>
        <v>2246.3951510000006</v>
      </c>
      <c r="FB95" s="59">
        <f t="shared" si="606"/>
        <v>7426.133090175802</v>
      </c>
      <c r="FC95" s="55">
        <f t="shared" si="607"/>
        <v>2197.0238290000007</v>
      </c>
      <c r="FD95" s="59">
        <f t="shared" si="608"/>
        <v>7262.9213739082024</v>
      </c>
      <c r="FE95" s="57">
        <f t="shared" si="609"/>
        <v>2147.6525070000002</v>
      </c>
      <c r="FF95" s="59">
        <f t="shared" si="610"/>
        <v>7099.7096576406011</v>
      </c>
      <c r="FG95" s="60">
        <f t="shared" si="611"/>
        <v>2098.2811850000003</v>
      </c>
      <c r="FH95" s="59">
        <f t="shared" si="612"/>
        <v>6936.4979413730007</v>
      </c>
      <c r="FI95" s="57">
        <f t="shared" si="613"/>
        <v>2048.9098630000003</v>
      </c>
      <c r="FJ95" s="59">
        <f t="shared" si="614"/>
        <v>6773.2862251054012</v>
      </c>
      <c r="FK95" s="55">
        <f t="shared" si="615"/>
        <v>1999.5385410000001</v>
      </c>
      <c r="FL95" s="59">
        <f t="shared" si="616"/>
        <v>6610.0745088378007</v>
      </c>
      <c r="FM95" s="60">
        <f t="shared" si="617"/>
        <v>1950.1672190000002</v>
      </c>
      <c r="FN95" s="59">
        <f t="shared" si="618"/>
        <v>6446.8627925702003</v>
      </c>
      <c r="FO95" s="60">
        <f t="shared" si="619"/>
        <v>1900.7958970000002</v>
      </c>
      <c r="FP95" s="59">
        <f t="shared" si="620"/>
        <v>6283.6510763026008</v>
      </c>
      <c r="FQ95" s="60">
        <f t="shared" si="621"/>
        <v>1851.424575</v>
      </c>
      <c r="FR95" s="59">
        <f t="shared" si="622"/>
        <v>6120.4393600350004</v>
      </c>
      <c r="FS95" s="55">
        <f t="shared" si="623"/>
        <v>1802.053253</v>
      </c>
      <c r="FT95" s="59">
        <f t="shared" si="624"/>
        <v>5957.2276437674</v>
      </c>
      <c r="FU95" s="60">
        <f t="shared" si="625"/>
        <v>1752.6819310000001</v>
      </c>
      <c r="FV95" s="59">
        <f t="shared" si="626"/>
        <v>5794.0159274998005</v>
      </c>
      <c r="FW95" s="60">
        <f t="shared" si="627"/>
        <v>1703.3106089999999</v>
      </c>
      <c r="FX95" s="59">
        <f t="shared" si="628"/>
        <v>5630.8042112322</v>
      </c>
      <c r="FY95" s="60">
        <f t="shared" si="629"/>
        <v>1653.9392869999999</v>
      </c>
      <c r="FZ95" s="59">
        <f t="shared" si="630"/>
        <v>5467.5924949645996</v>
      </c>
      <c r="GA95" s="60">
        <f t="shared" si="631"/>
        <v>1604.5679649999997</v>
      </c>
      <c r="GB95" s="59">
        <f t="shared" si="632"/>
        <v>5304.3807786969992</v>
      </c>
      <c r="GC95" s="55">
        <f t="shared" si="633"/>
        <v>1555.1966429999998</v>
      </c>
      <c r="GD95" s="59">
        <f t="shared" si="634"/>
        <v>5141.1690624293997</v>
      </c>
      <c r="GE95" s="60">
        <f t="shared" si="635"/>
        <v>1505.8253209999998</v>
      </c>
      <c r="GF95" s="59">
        <f t="shared" si="636"/>
        <v>4977.9573461617993</v>
      </c>
      <c r="GG95" s="60">
        <f t="shared" si="637"/>
        <v>1456.4539989999996</v>
      </c>
      <c r="GH95" s="59">
        <f t="shared" si="638"/>
        <v>4814.7456298941988</v>
      </c>
      <c r="GI95" s="55">
        <f t="shared" si="639"/>
        <v>1407.0826769999996</v>
      </c>
      <c r="GJ95" s="59">
        <f t="shared" si="640"/>
        <v>4651.5339136265993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645"/>
        <v>0.91</v>
      </c>
      <c r="GR95" s="55">
        <f t="shared" si="645"/>
        <v>0.89</v>
      </c>
      <c r="GS95" s="55">
        <f t="shared" si="645"/>
        <v>0.87</v>
      </c>
      <c r="GT95" s="55">
        <f t="shared" si="645"/>
        <v>0.85</v>
      </c>
      <c r="GU95" s="55">
        <f t="shared" si="645"/>
        <v>0.83</v>
      </c>
      <c r="GV95" s="55">
        <f t="shared" si="645"/>
        <v>0.80999999999999994</v>
      </c>
      <c r="GW95" s="55">
        <f t="shared" si="645"/>
        <v>0.78999999999999992</v>
      </c>
      <c r="GX95" s="55">
        <f t="shared" si="645"/>
        <v>0.76999999999999991</v>
      </c>
      <c r="GY95" s="55">
        <f t="shared" si="645"/>
        <v>0.74999999999999989</v>
      </c>
      <c r="GZ95" s="55">
        <f t="shared" si="645"/>
        <v>0.72999999999999987</v>
      </c>
      <c r="HA95" s="55">
        <f t="shared" si="645"/>
        <v>0.70999999999999985</v>
      </c>
      <c r="HB95" s="55">
        <f t="shared" si="645"/>
        <v>0.68999999999999984</v>
      </c>
      <c r="HC95" s="55">
        <f t="shared" si="645"/>
        <v>0.66999999999999982</v>
      </c>
      <c r="HD95" s="55">
        <f t="shared" si="645"/>
        <v>0.6499999999999998</v>
      </c>
      <c r="HE95" s="55">
        <f t="shared" si="645"/>
        <v>0.62999999999999978</v>
      </c>
      <c r="HF95" s="55">
        <f t="shared" si="645"/>
        <v>0.60999999999999976</v>
      </c>
      <c r="HG95" s="55">
        <f t="shared" si="645"/>
        <v>0.58999999999999975</v>
      </c>
      <c r="HH95" s="55">
        <f t="shared" si="645"/>
        <v>0.56999999999999973</v>
      </c>
    </row>
    <row r="96" spans="1:216" x14ac:dyDescent="0.3">
      <c r="A96" s="2">
        <v>5</v>
      </c>
      <c r="C96" s="38" t="s">
        <v>43</v>
      </c>
      <c r="D96" s="42">
        <f>TRUNC(17349,-1)</f>
        <v>17340</v>
      </c>
      <c r="E96" s="86">
        <f>TRUNC(+D96*3.3058,-1)</f>
        <v>57320</v>
      </c>
      <c r="H96" s="55">
        <f t="shared" si="502"/>
        <v>63052.000000000007</v>
      </c>
      <c r="I96" s="55">
        <f t="shared" si="503"/>
        <v>63052.000000000007</v>
      </c>
      <c r="J96" s="59">
        <f t="shared" si="504"/>
        <v>208437.30160000004</v>
      </c>
      <c r="K96" s="55">
        <f t="shared" si="512"/>
        <v>61160.44</v>
      </c>
      <c r="L96" s="59">
        <f t="shared" si="513"/>
        <v>202184.18255200001</v>
      </c>
      <c r="M96" s="55">
        <f t="shared" si="514"/>
        <v>59899.4</v>
      </c>
      <c r="N96" s="59">
        <f t="shared" si="515"/>
        <v>198015.43652000002</v>
      </c>
      <c r="O96" s="55">
        <f t="shared" si="516"/>
        <v>58638.360000000008</v>
      </c>
      <c r="P96" s="59">
        <f t="shared" si="517"/>
        <v>193846.69048800002</v>
      </c>
      <c r="Q96" s="57">
        <f t="shared" si="518"/>
        <v>57377.320000000007</v>
      </c>
      <c r="R96" s="59">
        <f t="shared" si="519"/>
        <v>189677.94445600003</v>
      </c>
      <c r="S96" s="55">
        <f t="shared" si="520"/>
        <v>56116.280000000006</v>
      </c>
      <c r="T96" s="59">
        <f t="shared" si="521"/>
        <v>185509.19842400003</v>
      </c>
      <c r="U96" s="57">
        <f t="shared" si="522"/>
        <v>54855.240000000005</v>
      </c>
      <c r="V96" s="59">
        <f t="shared" si="523"/>
        <v>181340.45239200004</v>
      </c>
      <c r="W96" s="60">
        <f t="shared" si="524"/>
        <v>53594.200000000004</v>
      </c>
      <c r="X96" s="59">
        <f t="shared" si="525"/>
        <v>177171.70636000001</v>
      </c>
      <c r="Y96" s="57">
        <f t="shared" si="526"/>
        <v>52333.16</v>
      </c>
      <c r="Z96" s="59">
        <f t="shared" si="527"/>
        <v>173002.96032800002</v>
      </c>
      <c r="AA96" s="55">
        <f t="shared" si="528"/>
        <v>51072.12</v>
      </c>
      <c r="AB96" s="59">
        <f t="shared" si="529"/>
        <v>168834.21429600002</v>
      </c>
      <c r="AC96" s="60">
        <f t="shared" si="530"/>
        <v>49811.08</v>
      </c>
      <c r="AD96" s="59">
        <f t="shared" si="531"/>
        <v>164665.468264</v>
      </c>
      <c r="AE96" s="60">
        <f t="shared" si="532"/>
        <v>48550.04</v>
      </c>
      <c r="AF96" s="59">
        <f t="shared" si="533"/>
        <v>160496.722232</v>
      </c>
      <c r="AG96" s="60">
        <f t="shared" si="534"/>
        <v>47289</v>
      </c>
      <c r="AH96" s="59">
        <f t="shared" si="535"/>
        <v>156327.9762</v>
      </c>
      <c r="AI96" s="55">
        <f t="shared" si="536"/>
        <v>46027.96</v>
      </c>
      <c r="AJ96" s="59">
        <f t="shared" si="537"/>
        <v>152159.23016800001</v>
      </c>
      <c r="AK96" s="60">
        <f t="shared" si="538"/>
        <v>44766.92</v>
      </c>
      <c r="AL96" s="59">
        <f t="shared" si="539"/>
        <v>147990.48413599998</v>
      </c>
      <c r="AM96" s="60">
        <f t="shared" si="540"/>
        <v>43505.88</v>
      </c>
      <c r="AN96" s="59">
        <f t="shared" si="541"/>
        <v>143821.73810399999</v>
      </c>
      <c r="AO96" s="60">
        <f t="shared" si="542"/>
        <v>42244.84</v>
      </c>
      <c r="AP96" s="59">
        <f t="shared" si="543"/>
        <v>139652.99207199999</v>
      </c>
      <c r="AQ96" s="60">
        <f t="shared" si="544"/>
        <v>40983.799999999996</v>
      </c>
      <c r="AR96" s="59">
        <f t="shared" si="545"/>
        <v>135484.24604</v>
      </c>
      <c r="AS96" s="55">
        <f t="shared" si="546"/>
        <v>39722.759999999987</v>
      </c>
      <c r="AT96" s="59">
        <f t="shared" si="547"/>
        <v>131315.50000799997</v>
      </c>
      <c r="AU96" s="60">
        <f t="shared" si="548"/>
        <v>38461.719999999987</v>
      </c>
      <c r="AV96" s="59">
        <f t="shared" si="549"/>
        <v>127146.75397599996</v>
      </c>
      <c r="AW96" s="60">
        <f t="shared" si="550"/>
        <v>37200.679999999986</v>
      </c>
      <c r="AX96" s="59">
        <f t="shared" si="551"/>
        <v>122978.00794399995</v>
      </c>
      <c r="AY96" s="55">
        <f t="shared" si="552"/>
        <v>35939.639999999985</v>
      </c>
      <c r="AZ96" s="59">
        <f t="shared" si="553"/>
        <v>118809.26191199996</v>
      </c>
      <c r="BC96" s="55">
        <v>1</v>
      </c>
      <c r="BD96" s="55">
        <v>0.97</v>
      </c>
      <c r="BE96" s="55">
        <v>0.95</v>
      </c>
      <c r="BF96" s="55">
        <v>0.93</v>
      </c>
      <c r="BG96" s="55">
        <f t="shared" si="554"/>
        <v>0.91</v>
      </c>
      <c r="BH96" s="55">
        <f t="shared" si="554"/>
        <v>0.89</v>
      </c>
      <c r="BI96" s="55">
        <f t="shared" si="554"/>
        <v>0.87</v>
      </c>
      <c r="BJ96" s="55">
        <f t="shared" si="554"/>
        <v>0.85</v>
      </c>
      <c r="BK96" s="55">
        <f t="shared" si="554"/>
        <v>0.83</v>
      </c>
      <c r="BL96" s="55">
        <f t="shared" si="554"/>
        <v>0.80999999999999994</v>
      </c>
      <c r="BM96" s="55">
        <f t="shared" si="554"/>
        <v>0.78999999999999992</v>
      </c>
      <c r="BN96" s="55">
        <f t="shared" si="554"/>
        <v>0.76999999999999991</v>
      </c>
      <c r="BO96" s="55">
        <f t="shared" si="554"/>
        <v>0.74999999999999989</v>
      </c>
      <c r="BP96" s="55">
        <f t="shared" si="554"/>
        <v>0.72999999999999987</v>
      </c>
      <c r="BQ96" s="55">
        <f t="shared" si="554"/>
        <v>0.70999999999999985</v>
      </c>
      <c r="BR96" s="55">
        <f t="shared" si="554"/>
        <v>0.68999999999999984</v>
      </c>
      <c r="BS96" s="55">
        <f t="shared" si="554"/>
        <v>0.66999999999999982</v>
      </c>
      <c r="BT96" s="55">
        <f t="shared" si="554"/>
        <v>0.6499999999999998</v>
      </c>
      <c r="BU96" s="55">
        <f t="shared" si="554"/>
        <v>0.62999999999999978</v>
      </c>
      <c r="BV96" s="55">
        <f t="shared" si="554"/>
        <v>0.60999999999999976</v>
      </c>
      <c r="BW96" s="55">
        <f t="shared" si="554"/>
        <v>0.58999999999999975</v>
      </c>
      <c r="BX96" s="55">
        <f t="shared" si="554"/>
        <v>0.56999999999999973</v>
      </c>
      <c r="BZ96" s="55">
        <f t="shared" si="505"/>
        <v>57377.320000000007</v>
      </c>
      <c r="CA96" s="55">
        <f t="shared" si="506"/>
        <v>57377.320000000007</v>
      </c>
      <c r="CB96" s="59">
        <f t="shared" si="555"/>
        <v>189677.94445600003</v>
      </c>
      <c r="CC96" s="55">
        <f t="shared" si="556"/>
        <v>55656.000400000004</v>
      </c>
      <c r="CD96" s="59">
        <f t="shared" si="557"/>
        <v>183987.60612232002</v>
      </c>
      <c r="CE96" s="55">
        <f t="shared" si="558"/>
        <v>54508.454000000005</v>
      </c>
      <c r="CF96" s="59">
        <f t="shared" si="559"/>
        <v>180194.04723320002</v>
      </c>
      <c r="CG96" s="55">
        <f t="shared" si="560"/>
        <v>53360.907600000006</v>
      </c>
      <c r="CH96" s="59">
        <f t="shared" si="561"/>
        <v>176400.48834408002</v>
      </c>
      <c r="CI96" s="57">
        <f t="shared" si="562"/>
        <v>52213.361200000007</v>
      </c>
      <c r="CJ96" s="59">
        <f t="shared" si="563"/>
        <v>172606.92945496002</v>
      </c>
      <c r="CK96" s="55">
        <f t="shared" si="564"/>
        <v>51065.814800000007</v>
      </c>
      <c r="CL96" s="59">
        <f t="shared" si="565"/>
        <v>168813.37056584001</v>
      </c>
      <c r="CM96" s="57">
        <f t="shared" si="566"/>
        <v>49918.268400000008</v>
      </c>
      <c r="CN96" s="59">
        <f t="shared" si="567"/>
        <v>165019.81167672004</v>
      </c>
      <c r="CO96" s="60">
        <f t="shared" si="568"/>
        <v>48770.722000000002</v>
      </c>
      <c r="CP96" s="59">
        <f t="shared" si="569"/>
        <v>161226.25278760001</v>
      </c>
      <c r="CQ96" s="57">
        <f t="shared" si="570"/>
        <v>47623.175600000002</v>
      </c>
      <c r="CR96" s="59">
        <f t="shared" si="571"/>
        <v>157432.69389848001</v>
      </c>
      <c r="CS96" s="55">
        <f t="shared" si="572"/>
        <v>46475.629200000003</v>
      </c>
      <c r="CT96" s="59">
        <f t="shared" si="573"/>
        <v>153639.13500936</v>
      </c>
      <c r="CU96" s="60">
        <f t="shared" si="574"/>
        <v>45328.082800000004</v>
      </c>
      <c r="CV96" s="59">
        <f t="shared" si="575"/>
        <v>149845.57612024</v>
      </c>
      <c r="CW96" s="60">
        <f t="shared" si="576"/>
        <v>44180.536399999997</v>
      </c>
      <c r="CX96" s="59">
        <f t="shared" si="577"/>
        <v>146052.01723112</v>
      </c>
      <c r="CY96" s="60">
        <f t="shared" si="578"/>
        <v>43032.99</v>
      </c>
      <c r="CZ96" s="59">
        <f t="shared" si="579"/>
        <v>142258.458342</v>
      </c>
      <c r="DA96" s="55">
        <f t="shared" si="580"/>
        <v>41885.443599999999</v>
      </c>
      <c r="DB96" s="59">
        <f t="shared" si="581"/>
        <v>138464.89945288</v>
      </c>
      <c r="DC96" s="60">
        <f t="shared" si="582"/>
        <v>40737.897199999999</v>
      </c>
      <c r="DD96" s="59">
        <f t="shared" si="583"/>
        <v>134671.34056375999</v>
      </c>
      <c r="DE96" s="60">
        <f t="shared" si="584"/>
        <v>39590.350799999993</v>
      </c>
      <c r="DF96" s="59">
        <f t="shared" si="585"/>
        <v>130877.78167463998</v>
      </c>
      <c r="DG96" s="60">
        <f t="shared" si="586"/>
        <v>38442.804399999994</v>
      </c>
      <c r="DH96" s="59">
        <f t="shared" si="587"/>
        <v>127084.22278551997</v>
      </c>
      <c r="DI96" s="60">
        <f t="shared" si="588"/>
        <v>37295.257999999994</v>
      </c>
      <c r="DJ96" s="59">
        <f t="shared" si="589"/>
        <v>123290.66389639999</v>
      </c>
      <c r="DK96" s="55">
        <f t="shared" si="590"/>
        <v>36147.711599999995</v>
      </c>
      <c r="DL96" s="59">
        <f t="shared" si="591"/>
        <v>119497.10500727998</v>
      </c>
      <c r="DM96" s="60">
        <f t="shared" si="592"/>
        <v>35000.165199999989</v>
      </c>
      <c r="DN96" s="59">
        <f t="shared" si="593"/>
        <v>115703.54611815997</v>
      </c>
      <c r="DO96" s="60">
        <f t="shared" si="594"/>
        <v>33852.618799999989</v>
      </c>
      <c r="DP96" s="59">
        <f t="shared" si="595"/>
        <v>111909.98722903997</v>
      </c>
      <c r="DQ96" s="55">
        <f t="shared" si="596"/>
        <v>32705.07239999999</v>
      </c>
      <c r="DR96" s="59">
        <f t="shared" si="597"/>
        <v>108116.42833991996</v>
      </c>
      <c r="DU96" s="55">
        <v>1</v>
      </c>
      <c r="DV96" s="55">
        <v>0.97</v>
      </c>
      <c r="DW96" s="55">
        <v>0.95</v>
      </c>
      <c r="DX96" s="55">
        <v>0.93</v>
      </c>
      <c r="DY96" s="55">
        <f t="shared" si="643"/>
        <v>0.91</v>
      </c>
      <c r="DZ96" s="55">
        <f t="shared" si="643"/>
        <v>0.89</v>
      </c>
      <c r="EA96" s="55">
        <f t="shared" si="643"/>
        <v>0.87</v>
      </c>
      <c r="EB96" s="55">
        <f t="shared" si="643"/>
        <v>0.85</v>
      </c>
      <c r="EC96" s="55">
        <f t="shared" si="643"/>
        <v>0.83</v>
      </c>
      <c r="ED96" s="55">
        <f t="shared" si="643"/>
        <v>0.80999999999999994</v>
      </c>
      <c r="EE96" s="55">
        <f t="shared" si="643"/>
        <v>0.78999999999999992</v>
      </c>
      <c r="EF96" s="55">
        <f t="shared" si="643"/>
        <v>0.76999999999999991</v>
      </c>
      <c r="EG96" s="55">
        <f t="shared" si="643"/>
        <v>0.74999999999999989</v>
      </c>
      <c r="EH96" s="55">
        <f t="shared" si="643"/>
        <v>0.72999999999999987</v>
      </c>
      <c r="EI96" s="55">
        <f t="shared" si="643"/>
        <v>0.70999999999999985</v>
      </c>
      <c r="EJ96" s="55">
        <f t="shared" si="643"/>
        <v>0.68999999999999984</v>
      </c>
      <c r="EK96" s="55">
        <f t="shared" si="643"/>
        <v>0.66999999999999982</v>
      </c>
      <c r="EL96" s="55">
        <f t="shared" si="643"/>
        <v>0.6499999999999998</v>
      </c>
      <c r="EM96" s="55">
        <f t="shared" si="643"/>
        <v>0.62999999999999978</v>
      </c>
      <c r="EN96" s="55">
        <f t="shared" si="643"/>
        <v>0.60999999999999976</v>
      </c>
      <c r="EO96" s="55">
        <f t="shared" si="643"/>
        <v>0.58999999999999975</v>
      </c>
      <c r="EP96" s="55">
        <f t="shared" si="643"/>
        <v>0.56999999999999973</v>
      </c>
      <c r="ER96" s="55">
        <f t="shared" si="644"/>
        <v>52213.361200000007</v>
      </c>
      <c r="ES96" s="55">
        <f t="shared" si="507"/>
        <v>52213.361200000007</v>
      </c>
      <c r="ET96" s="59">
        <f t="shared" si="598"/>
        <v>172606.92945496002</v>
      </c>
      <c r="EU96" s="55">
        <f t="shared" si="599"/>
        <v>50646.960364000006</v>
      </c>
      <c r="EV96" s="59">
        <f t="shared" si="600"/>
        <v>167428.72157131121</v>
      </c>
      <c r="EW96" s="55">
        <f t="shared" si="601"/>
        <v>49602.693140000003</v>
      </c>
      <c r="EX96" s="59">
        <f t="shared" si="602"/>
        <v>163976.58298221201</v>
      </c>
      <c r="EY96" s="55">
        <f t="shared" si="603"/>
        <v>48558.425916000007</v>
      </c>
      <c r="EZ96" s="59">
        <f t="shared" si="604"/>
        <v>160524.44439311282</v>
      </c>
      <c r="FA96" s="57">
        <f t="shared" si="605"/>
        <v>47514.158692000005</v>
      </c>
      <c r="FB96" s="59">
        <f t="shared" si="606"/>
        <v>157072.30580401362</v>
      </c>
      <c r="FC96" s="55">
        <f t="shared" si="607"/>
        <v>46469.891468000009</v>
      </c>
      <c r="FD96" s="59">
        <f t="shared" si="608"/>
        <v>153620.16721491443</v>
      </c>
      <c r="FE96" s="57">
        <f t="shared" si="609"/>
        <v>45425.624244000006</v>
      </c>
      <c r="FF96" s="59">
        <f t="shared" si="610"/>
        <v>150168.02862581523</v>
      </c>
      <c r="FG96" s="60">
        <f t="shared" si="611"/>
        <v>44381.357020000003</v>
      </c>
      <c r="FH96" s="59">
        <f t="shared" si="612"/>
        <v>146715.89003671601</v>
      </c>
      <c r="FI96" s="57">
        <f t="shared" si="613"/>
        <v>43337.089796</v>
      </c>
      <c r="FJ96" s="59">
        <f t="shared" si="614"/>
        <v>143263.75144761681</v>
      </c>
      <c r="FK96" s="55">
        <f t="shared" si="615"/>
        <v>42292.822572000005</v>
      </c>
      <c r="FL96" s="59">
        <f t="shared" si="616"/>
        <v>139811.61285851762</v>
      </c>
      <c r="FM96" s="60">
        <f t="shared" si="617"/>
        <v>41248.555348000002</v>
      </c>
      <c r="FN96" s="59">
        <f t="shared" si="618"/>
        <v>136359.4742694184</v>
      </c>
      <c r="FO96" s="60">
        <f t="shared" si="619"/>
        <v>40204.288123999999</v>
      </c>
      <c r="FP96" s="59">
        <f t="shared" si="620"/>
        <v>132907.3356803192</v>
      </c>
      <c r="FQ96" s="60">
        <f t="shared" si="621"/>
        <v>39160.020899999996</v>
      </c>
      <c r="FR96" s="59">
        <f t="shared" si="622"/>
        <v>129455.19709121999</v>
      </c>
      <c r="FS96" s="55">
        <f t="shared" si="623"/>
        <v>38115.753676</v>
      </c>
      <c r="FT96" s="59">
        <f t="shared" si="624"/>
        <v>126003.05850212081</v>
      </c>
      <c r="FU96" s="60">
        <f t="shared" si="625"/>
        <v>37071.486451999997</v>
      </c>
      <c r="FV96" s="59">
        <f t="shared" si="626"/>
        <v>122550.9199130216</v>
      </c>
      <c r="FW96" s="60">
        <f t="shared" si="627"/>
        <v>36027.219227999994</v>
      </c>
      <c r="FX96" s="59">
        <f t="shared" si="628"/>
        <v>119098.78132392239</v>
      </c>
      <c r="FY96" s="60">
        <f t="shared" si="629"/>
        <v>34982.952003999992</v>
      </c>
      <c r="FZ96" s="59">
        <f t="shared" si="630"/>
        <v>115646.64273482318</v>
      </c>
      <c r="GA96" s="60">
        <f t="shared" si="631"/>
        <v>33938.684779999996</v>
      </c>
      <c r="GB96" s="59">
        <f t="shared" si="632"/>
        <v>112194.50414572399</v>
      </c>
      <c r="GC96" s="55">
        <f t="shared" si="633"/>
        <v>32894.417555999993</v>
      </c>
      <c r="GD96" s="59">
        <f t="shared" si="634"/>
        <v>108742.36555662478</v>
      </c>
      <c r="GE96" s="60">
        <f t="shared" si="635"/>
        <v>31850.15033199999</v>
      </c>
      <c r="GF96" s="59">
        <f t="shared" si="636"/>
        <v>105290.22696752557</v>
      </c>
      <c r="GG96" s="60">
        <f t="shared" si="637"/>
        <v>30805.883107999991</v>
      </c>
      <c r="GH96" s="59">
        <f t="shared" si="638"/>
        <v>101838.08837842637</v>
      </c>
      <c r="GI96" s="55">
        <f t="shared" si="639"/>
        <v>29761.615883999988</v>
      </c>
      <c r="GJ96" s="59">
        <f t="shared" si="640"/>
        <v>98385.949789327162</v>
      </c>
      <c r="GK96" s="55"/>
      <c r="GL96" s="55"/>
      <c r="GM96" s="55">
        <v>1</v>
      </c>
      <c r="GN96" s="55">
        <v>0.97</v>
      </c>
      <c r="GO96" s="55">
        <v>0.95</v>
      </c>
      <c r="GP96" s="55">
        <v>0.93</v>
      </c>
      <c r="GQ96" s="55">
        <f t="shared" si="645"/>
        <v>0.91</v>
      </c>
      <c r="GR96" s="55">
        <f t="shared" si="645"/>
        <v>0.89</v>
      </c>
      <c r="GS96" s="55">
        <f t="shared" si="645"/>
        <v>0.87</v>
      </c>
      <c r="GT96" s="55">
        <f t="shared" si="645"/>
        <v>0.85</v>
      </c>
      <c r="GU96" s="55">
        <f t="shared" si="645"/>
        <v>0.83</v>
      </c>
      <c r="GV96" s="55">
        <f t="shared" si="645"/>
        <v>0.80999999999999994</v>
      </c>
      <c r="GW96" s="55">
        <f t="shared" si="645"/>
        <v>0.78999999999999992</v>
      </c>
      <c r="GX96" s="55">
        <f t="shared" si="645"/>
        <v>0.76999999999999991</v>
      </c>
      <c r="GY96" s="55">
        <f t="shared" si="645"/>
        <v>0.74999999999999989</v>
      </c>
      <c r="GZ96" s="55">
        <f t="shared" si="645"/>
        <v>0.72999999999999987</v>
      </c>
      <c r="HA96" s="55">
        <f t="shared" si="645"/>
        <v>0.70999999999999985</v>
      </c>
      <c r="HB96" s="55">
        <f t="shared" si="645"/>
        <v>0.68999999999999984</v>
      </c>
      <c r="HC96" s="55">
        <f t="shared" si="645"/>
        <v>0.66999999999999982</v>
      </c>
      <c r="HD96" s="55">
        <f t="shared" si="645"/>
        <v>0.6499999999999998</v>
      </c>
      <c r="HE96" s="55">
        <f t="shared" si="645"/>
        <v>0.62999999999999978</v>
      </c>
      <c r="HF96" s="55">
        <f t="shared" si="645"/>
        <v>0.60999999999999976</v>
      </c>
      <c r="HG96" s="55">
        <f t="shared" si="645"/>
        <v>0.58999999999999975</v>
      </c>
      <c r="HH96" s="55">
        <f t="shared" si="645"/>
        <v>0.56999999999999973</v>
      </c>
    </row>
    <row r="97" spans="1:216" x14ac:dyDescent="0.3">
      <c r="A97" s="2">
        <v>6</v>
      </c>
      <c r="C97" s="38" t="s">
        <v>44</v>
      </c>
      <c r="D97" s="42">
        <f>TRUNC(10095,-1)</f>
        <v>10090</v>
      </c>
      <c r="E97" s="86">
        <f>TRUNC(+D97*3.3058,-1)</f>
        <v>33350</v>
      </c>
      <c r="H97" s="55">
        <f t="shared" si="502"/>
        <v>36685</v>
      </c>
      <c r="I97" s="55">
        <f t="shared" si="503"/>
        <v>36685</v>
      </c>
      <c r="J97" s="59">
        <f t="shared" si="504"/>
        <v>121273.273</v>
      </c>
      <c r="K97" s="55">
        <f t="shared" si="512"/>
        <v>35584.449999999997</v>
      </c>
      <c r="L97" s="59">
        <f t="shared" si="513"/>
        <v>117635.07480999999</v>
      </c>
      <c r="M97" s="55">
        <f t="shared" si="514"/>
        <v>34850.75</v>
      </c>
      <c r="N97" s="59">
        <f t="shared" si="515"/>
        <v>115209.60935</v>
      </c>
      <c r="O97" s="55">
        <f t="shared" si="516"/>
        <v>34117.050000000003</v>
      </c>
      <c r="P97" s="59">
        <f t="shared" si="517"/>
        <v>112784.14389000001</v>
      </c>
      <c r="Q97" s="57">
        <f t="shared" si="518"/>
        <v>33383.35</v>
      </c>
      <c r="R97" s="59">
        <f t="shared" si="519"/>
        <v>110358.67843</v>
      </c>
      <c r="S97" s="55">
        <f t="shared" si="520"/>
        <v>32649.65</v>
      </c>
      <c r="T97" s="59">
        <f t="shared" si="521"/>
        <v>107933.21297000001</v>
      </c>
      <c r="U97" s="57">
        <f t="shared" si="522"/>
        <v>31915.95</v>
      </c>
      <c r="V97" s="59">
        <f t="shared" si="523"/>
        <v>105507.74751</v>
      </c>
      <c r="W97" s="60">
        <f t="shared" si="524"/>
        <v>31182.25</v>
      </c>
      <c r="X97" s="59">
        <f t="shared" si="525"/>
        <v>103082.28205000001</v>
      </c>
      <c r="Y97" s="57">
        <f t="shared" si="526"/>
        <v>30448.55</v>
      </c>
      <c r="Z97" s="59">
        <f t="shared" si="527"/>
        <v>100656.81659</v>
      </c>
      <c r="AA97" s="55">
        <f t="shared" si="528"/>
        <v>29714.85</v>
      </c>
      <c r="AB97" s="59">
        <f t="shared" si="529"/>
        <v>98231.351129999995</v>
      </c>
      <c r="AC97" s="60">
        <f t="shared" si="530"/>
        <v>28981.149999999998</v>
      </c>
      <c r="AD97" s="59">
        <f t="shared" si="531"/>
        <v>95805.885669999989</v>
      </c>
      <c r="AE97" s="60">
        <f t="shared" si="532"/>
        <v>28247.449999999997</v>
      </c>
      <c r="AF97" s="59">
        <f t="shared" si="533"/>
        <v>93380.420209999997</v>
      </c>
      <c r="AG97" s="60">
        <f t="shared" si="534"/>
        <v>27513.749999999996</v>
      </c>
      <c r="AH97" s="59">
        <f t="shared" si="535"/>
        <v>90954.95474999999</v>
      </c>
      <c r="AI97" s="55">
        <f t="shared" si="536"/>
        <v>26780.049999999996</v>
      </c>
      <c r="AJ97" s="59">
        <f t="shared" si="537"/>
        <v>88529.489289999983</v>
      </c>
      <c r="AK97" s="60">
        <f t="shared" si="538"/>
        <v>26046.349999999995</v>
      </c>
      <c r="AL97" s="59">
        <f t="shared" si="539"/>
        <v>86104.023829999991</v>
      </c>
      <c r="AM97" s="60">
        <f t="shared" si="540"/>
        <v>25312.649999999994</v>
      </c>
      <c r="AN97" s="59">
        <f t="shared" si="541"/>
        <v>83678.558369999984</v>
      </c>
      <c r="AO97" s="60">
        <f t="shared" si="542"/>
        <v>24578.949999999993</v>
      </c>
      <c r="AP97" s="59">
        <f t="shared" si="543"/>
        <v>81253.092909999978</v>
      </c>
      <c r="AQ97" s="60">
        <f t="shared" si="544"/>
        <v>23845.249999999993</v>
      </c>
      <c r="AR97" s="59">
        <f t="shared" si="545"/>
        <v>78827.627449999971</v>
      </c>
      <c r="AS97" s="55">
        <f t="shared" si="546"/>
        <v>23111.549999999992</v>
      </c>
      <c r="AT97" s="59">
        <f t="shared" si="547"/>
        <v>76402.161989999979</v>
      </c>
      <c r="AU97" s="60">
        <f t="shared" si="548"/>
        <v>22377.849999999991</v>
      </c>
      <c r="AV97" s="59">
        <f t="shared" si="549"/>
        <v>73976.696529999972</v>
      </c>
      <c r="AW97" s="60">
        <f t="shared" si="550"/>
        <v>21644.149999999991</v>
      </c>
      <c r="AX97" s="59">
        <f t="shared" si="551"/>
        <v>71551.231069999965</v>
      </c>
      <c r="AY97" s="55">
        <f t="shared" si="552"/>
        <v>20910.44999999999</v>
      </c>
      <c r="AZ97" s="59">
        <f t="shared" si="553"/>
        <v>69125.765609999973</v>
      </c>
      <c r="BC97" s="55">
        <v>1</v>
      </c>
      <c r="BD97" s="55">
        <v>0.97</v>
      </c>
      <c r="BE97" s="55">
        <v>0.95</v>
      </c>
      <c r="BF97" s="55">
        <v>0.93</v>
      </c>
      <c r="BG97" s="55">
        <f t="shared" si="554"/>
        <v>0.91</v>
      </c>
      <c r="BH97" s="55">
        <f t="shared" si="554"/>
        <v>0.89</v>
      </c>
      <c r="BI97" s="55">
        <f t="shared" si="554"/>
        <v>0.87</v>
      </c>
      <c r="BJ97" s="55">
        <f t="shared" si="554"/>
        <v>0.85</v>
      </c>
      <c r="BK97" s="55">
        <f t="shared" si="554"/>
        <v>0.83</v>
      </c>
      <c r="BL97" s="55">
        <f t="shared" si="554"/>
        <v>0.80999999999999994</v>
      </c>
      <c r="BM97" s="55">
        <f t="shared" si="554"/>
        <v>0.78999999999999992</v>
      </c>
      <c r="BN97" s="55">
        <f t="shared" si="554"/>
        <v>0.76999999999999991</v>
      </c>
      <c r="BO97" s="55">
        <f t="shared" si="554"/>
        <v>0.74999999999999989</v>
      </c>
      <c r="BP97" s="55">
        <f t="shared" si="554"/>
        <v>0.72999999999999987</v>
      </c>
      <c r="BQ97" s="55">
        <f t="shared" si="554"/>
        <v>0.70999999999999985</v>
      </c>
      <c r="BR97" s="55">
        <f t="shared" si="554"/>
        <v>0.68999999999999984</v>
      </c>
      <c r="BS97" s="55">
        <f t="shared" si="554"/>
        <v>0.66999999999999982</v>
      </c>
      <c r="BT97" s="55">
        <f t="shared" si="554"/>
        <v>0.6499999999999998</v>
      </c>
      <c r="BU97" s="55">
        <f t="shared" si="554"/>
        <v>0.62999999999999978</v>
      </c>
      <c r="BV97" s="55">
        <f t="shared" si="554"/>
        <v>0.60999999999999976</v>
      </c>
      <c r="BW97" s="55">
        <f t="shared" si="554"/>
        <v>0.58999999999999975</v>
      </c>
      <c r="BX97" s="55">
        <f t="shared" si="554"/>
        <v>0.56999999999999973</v>
      </c>
      <c r="BZ97" s="55">
        <f t="shared" si="505"/>
        <v>33383.35</v>
      </c>
      <c r="CA97" s="55">
        <f t="shared" si="506"/>
        <v>33383.35</v>
      </c>
      <c r="CB97" s="59">
        <f t="shared" si="555"/>
        <v>110358.67843</v>
      </c>
      <c r="CC97" s="55">
        <f t="shared" si="556"/>
        <v>32381.849499999997</v>
      </c>
      <c r="CD97" s="59">
        <f t="shared" si="557"/>
        <v>107047.9180771</v>
      </c>
      <c r="CE97" s="55">
        <f t="shared" si="558"/>
        <v>31714.182499999995</v>
      </c>
      <c r="CF97" s="59">
        <f t="shared" si="559"/>
        <v>104840.74450849999</v>
      </c>
      <c r="CG97" s="55">
        <f t="shared" si="560"/>
        <v>31046.515500000001</v>
      </c>
      <c r="CH97" s="59">
        <f t="shared" si="561"/>
        <v>102633.5709399</v>
      </c>
      <c r="CI97" s="57">
        <f t="shared" si="562"/>
        <v>30378.8485</v>
      </c>
      <c r="CJ97" s="59">
        <f t="shared" si="563"/>
        <v>100426.3973713</v>
      </c>
      <c r="CK97" s="55">
        <f t="shared" si="564"/>
        <v>29711.181499999999</v>
      </c>
      <c r="CL97" s="59">
        <f t="shared" si="565"/>
        <v>98219.223802699998</v>
      </c>
      <c r="CM97" s="57">
        <f t="shared" si="566"/>
        <v>29043.514499999997</v>
      </c>
      <c r="CN97" s="59">
        <f t="shared" si="567"/>
        <v>96012.050234099996</v>
      </c>
      <c r="CO97" s="60">
        <f t="shared" si="568"/>
        <v>28375.847499999996</v>
      </c>
      <c r="CP97" s="59">
        <f t="shared" si="569"/>
        <v>93804.876665499993</v>
      </c>
      <c r="CQ97" s="57">
        <f t="shared" si="570"/>
        <v>27708.180499999999</v>
      </c>
      <c r="CR97" s="59">
        <f t="shared" si="571"/>
        <v>91597.703096900004</v>
      </c>
      <c r="CS97" s="55">
        <f t="shared" si="572"/>
        <v>27040.513499999997</v>
      </c>
      <c r="CT97" s="59">
        <f t="shared" si="573"/>
        <v>89390.529528299987</v>
      </c>
      <c r="CU97" s="60">
        <f t="shared" si="574"/>
        <v>26372.846499999996</v>
      </c>
      <c r="CV97" s="59">
        <f t="shared" si="575"/>
        <v>87183.355959699984</v>
      </c>
      <c r="CW97" s="60">
        <f t="shared" si="576"/>
        <v>25705.179499999995</v>
      </c>
      <c r="CX97" s="59">
        <f t="shared" si="577"/>
        <v>84976.182391099981</v>
      </c>
      <c r="CY97" s="60">
        <f t="shared" si="578"/>
        <v>25037.512499999993</v>
      </c>
      <c r="CZ97" s="59">
        <f t="shared" si="579"/>
        <v>82769.008822499978</v>
      </c>
      <c r="DA97" s="55">
        <f t="shared" si="580"/>
        <v>24369.845499999996</v>
      </c>
      <c r="DB97" s="59">
        <f t="shared" si="581"/>
        <v>80561.83525389999</v>
      </c>
      <c r="DC97" s="60">
        <f t="shared" si="582"/>
        <v>23702.178499999995</v>
      </c>
      <c r="DD97" s="59">
        <f t="shared" si="583"/>
        <v>78354.661685299987</v>
      </c>
      <c r="DE97" s="60">
        <f t="shared" si="584"/>
        <v>23034.511499999993</v>
      </c>
      <c r="DF97" s="59">
        <f t="shared" si="585"/>
        <v>76147.488116699984</v>
      </c>
      <c r="DG97" s="60">
        <f t="shared" si="586"/>
        <v>22366.844499999992</v>
      </c>
      <c r="DH97" s="59">
        <f t="shared" si="587"/>
        <v>73940.314548099981</v>
      </c>
      <c r="DI97" s="60">
        <f t="shared" si="588"/>
        <v>21699.177499999991</v>
      </c>
      <c r="DJ97" s="59">
        <f t="shared" si="589"/>
        <v>71733.140979499964</v>
      </c>
      <c r="DK97" s="55">
        <f t="shared" si="590"/>
        <v>21031.510499999993</v>
      </c>
      <c r="DL97" s="59">
        <f t="shared" si="591"/>
        <v>69525.967410899975</v>
      </c>
      <c r="DM97" s="60">
        <f t="shared" si="592"/>
        <v>20363.843499999992</v>
      </c>
      <c r="DN97" s="59">
        <f t="shared" si="593"/>
        <v>67318.793842299972</v>
      </c>
      <c r="DO97" s="60">
        <f t="shared" si="594"/>
        <v>19696.17649999999</v>
      </c>
      <c r="DP97" s="59">
        <f t="shared" si="595"/>
        <v>65111.620273699969</v>
      </c>
      <c r="DQ97" s="55">
        <f t="shared" si="596"/>
        <v>19028.509499999989</v>
      </c>
      <c r="DR97" s="59">
        <f t="shared" si="597"/>
        <v>62904.446705099966</v>
      </c>
      <c r="DU97" s="55">
        <v>1</v>
      </c>
      <c r="DV97" s="55">
        <v>0.97</v>
      </c>
      <c r="DW97" s="55">
        <v>0.95</v>
      </c>
      <c r="DX97" s="55">
        <v>0.93</v>
      </c>
      <c r="DY97" s="55">
        <f t="shared" si="643"/>
        <v>0.91</v>
      </c>
      <c r="DZ97" s="55">
        <f t="shared" si="643"/>
        <v>0.89</v>
      </c>
      <c r="EA97" s="55">
        <f t="shared" si="643"/>
        <v>0.87</v>
      </c>
      <c r="EB97" s="55">
        <f t="shared" si="643"/>
        <v>0.85</v>
      </c>
      <c r="EC97" s="55">
        <f t="shared" si="643"/>
        <v>0.83</v>
      </c>
      <c r="ED97" s="55">
        <f t="shared" si="643"/>
        <v>0.80999999999999994</v>
      </c>
      <c r="EE97" s="55">
        <f t="shared" si="643"/>
        <v>0.78999999999999992</v>
      </c>
      <c r="EF97" s="55">
        <f t="shared" si="643"/>
        <v>0.76999999999999991</v>
      </c>
      <c r="EG97" s="55">
        <f t="shared" si="643"/>
        <v>0.74999999999999989</v>
      </c>
      <c r="EH97" s="55">
        <f t="shared" si="643"/>
        <v>0.72999999999999987</v>
      </c>
      <c r="EI97" s="55">
        <f t="shared" si="643"/>
        <v>0.70999999999999985</v>
      </c>
      <c r="EJ97" s="55">
        <f t="shared" si="643"/>
        <v>0.68999999999999984</v>
      </c>
      <c r="EK97" s="55">
        <f t="shared" si="643"/>
        <v>0.66999999999999982</v>
      </c>
      <c r="EL97" s="55">
        <f t="shared" si="643"/>
        <v>0.6499999999999998</v>
      </c>
      <c r="EM97" s="55">
        <f t="shared" si="643"/>
        <v>0.62999999999999978</v>
      </c>
      <c r="EN97" s="55">
        <f t="shared" si="643"/>
        <v>0.60999999999999976</v>
      </c>
      <c r="EO97" s="55">
        <f t="shared" si="643"/>
        <v>0.58999999999999975</v>
      </c>
      <c r="EP97" s="55">
        <f t="shared" si="643"/>
        <v>0.56999999999999973</v>
      </c>
      <c r="ER97" s="55">
        <f t="shared" si="644"/>
        <v>30378.8485</v>
      </c>
      <c r="ES97" s="55">
        <f t="shared" si="507"/>
        <v>30378.8485</v>
      </c>
      <c r="ET97" s="59">
        <f t="shared" si="598"/>
        <v>100426.3973713</v>
      </c>
      <c r="EU97" s="55">
        <f t="shared" si="599"/>
        <v>29467.483045000001</v>
      </c>
      <c r="EV97" s="59">
        <f t="shared" si="600"/>
        <v>97413.605450161005</v>
      </c>
      <c r="EW97" s="55">
        <f t="shared" si="601"/>
        <v>28859.906074999999</v>
      </c>
      <c r="EX97" s="59">
        <f t="shared" si="602"/>
        <v>95405.077502735003</v>
      </c>
      <c r="EY97" s="55">
        <f t="shared" si="603"/>
        <v>28252.329105000001</v>
      </c>
      <c r="EZ97" s="59">
        <f t="shared" si="604"/>
        <v>93396.549555309</v>
      </c>
      <c r="FA97" s="57">
        <f t="shared" si="605"/>
        <v>27644.752135000002</v>
      </c>
      <c r="FB97" s="59">
        <f t="shared" si="606"/>
        <v>91388.021607883013</v>
      </c>
      <c r="FC97" s="55">
        <f t="shared" si="607"/>
        <v>27037.175165000001</v>
      </c>
      <c r="FD97" s="59">
        <f t="shared" si="608"/>
        <v>89379.49366045701</v>
      </c>
      <c r="FE97" s="57">
        <f t="shared" si="609"/>
        <v>26429.598194999999</v>
      </c>
      <c r="FF97" s="59">
        <f t="shared" si="610"/>
        <v>87370.965713030993</v>
      </c>
      <c r="FG97" s="60">
        <f t="shared" si="611"/>
        <v>25822.021225</v>
      </c>
      <c r="FH97" s="59">
        <f t="shared" si="612"/>
        <v>85362.437765605006</v>
      </c>
      <c r="FI97" s="57">
        <f t="shared" si="613"/>
        <v>25214.444254999999</v>
      </c>
      <c r="FJ97" s="59">
        <f t="shared" si="614"/>
        <v>83353.909818179003</v>
      </c>
      <c r="FK97" s="55">
        <f t="shared" si="615"/>
        <v>24606.867284999997</v>
      </c>
      <c r="FL97" s="59">
        <f t="shared" si="616"/>
        <v>81345.381870752986</v>
      </c>
      <c r="FM97" s="60">
        <f t="shared" si="617"/>
        <v>23999.290314999998</v>
      </c>
      <c r="FN97" s="59">
        <f t="shared" si="618"/>
        <v>79336.853923326998</v>
      </c>
      <c r="FO97" s="60">
        <f t="shared" si="619"/>
        <v>23391.713344999996</v>
      </c>
      <c r="FP97" s="59">
        <f t="shared" si="620"/>
        <v>77328.325975900996</v>
      </c>
      <c r="FQ97" s="60">
        <f t="shared" si="621"/>
        <v>22784.136374999998</v>
      </c>
      <c r="FR97" s="59">
        <f t="shared" si="622"/>
        <v>75319.798028474994</v>
      </c>
      <c r="FS97" s="55">
        <f t="shared" si="623"/>
        <v>22176.559404999996</v>
      </c>
      <c r="FT97" s="59">
        <f t="shared" si="624"/>
        <v>73311.270081048991</v>
      </c>
      <c r="FU97" s="60">
        <f t="shared" si="625"/>
        <v>21568.982434999994</v>
      </c>
      <c r="FV97" s="59">
        <f t="shared" si="626"/>
        <v>71302.742133622989</v>
      </c>
      <c r="FW97" s="60">
        <f t="shared" si="627"/>
        <v>20961.405464999996</v>
      </c>
      <c r="FX97" s="59">
        <f t="shared" si="628"/>
        <v>69294.214186196987</v>
      </c>
      <c r="FY97" s="60">
        <f t="shared" si="629"/>
        <v>20353.828494999994</v>
      </c>
      <c r="FZ97" s="59">
        <f t="shared" si="630"/>
        <v>67285.686238770984</v>
      </c>
      <c r="GA97" s="60">
        <f t="shared" si="631"/>
        <v>19746.251524999992</v>
      </c>
      <c r="GB97" s="59">
        <f t="shared" si="632"/>
        <v>65277.158291344975</v>
      </c>
      <c r="GC97" s="55">
        <f t="shared" si="633"/>
        <v>19138.674554999994</v>
      </c>
      <c r="GD97" s="59">
        <f t="shared" si="634"/>
        <v>63268.63034391898</v>
      </c>
      <c r="GE97" s="60">
        <f t="shared" si="635"/>
        <v>18531.097584999992</v>
      </c>
      <c r="GF97" s="59">
        <f t="shared" si="636"/>
        <v>61260.102396492977</v>
      </c>
      <c r="GG97" s="60">
        <f t="shared" si="637"/>
        <v>17923.520614999994</v>
      </c>
      <c r="GH97" s="59">
        <f t="shared" si="638"/>
        <v>59251.574449066982</v>
      </c>
      <c r="GI97" s="55">
        <f t="shared" si="639"/>
        <v>17315.943644999992</v>
      </c>
      <c r="GJ97" s="59">
        <f t="shared" si="640"/>
        <v>57243.046501640973</v>
      </c>
      <c r="GK97" s="55"/>
      <c r="GL97" s="55"/>
      <c r="GM97" s="55">
        <v>1</v>
      </c>
      <c r="GN97" s="55">
        <v>0.97</v>
      </c>
      <c r="GO97" s="55">
        <v>0.95</v>
      </c>
      <c r="GP97" s="55">
        <v>0.93</v>
      </c>
      <c r="GQ97" s="55">
        <f t="shared" si="645"/>
        <v>0.91</v>
      </c>
      <c r="GR97" s="55">
        <f t="shared" si="645"/>
        <v>0.89</v>
      </c>
      <c r="GS97" s="55">
        <f t="shared" si="645"/>
        <v>0.87</v>
      </c>
      <c r="GT97" s="55">
        <f t="shared" si="645"/>
        <v>0.85</v>
      </c>
      <c r="GU97" s="55">
        <f t="shared" si="645"/>
        <v>0.83</v>
      </c>
      <c r="GV97" s="55">
        <f t="shared" si="645"/>
        <v>0.80999999999999994</v>
      </c>
      <c r="GW97" s="55">
        <f t="shared" si="645"/>
        <v>0.78999999999999992</v>
      </c>
      <c r="GX97" s="55">
        <f t="shared" si="645"/>
        <v>0.76999999999999991</v>
      </c>
      <c r="GY97" s="55">
        <f t="shared" si="645"/>
        <v>0.74999999999999989</v>
      </c>
      <c r="GZ97" s="55">
        <f t="shared" si="645"/>
        <v>0.72999999999999987</v>
      </c>
      <c r="HA97" s="55">
        <f t="shared" si="645"/>
        <v>0.70999999999999985</v>
      </c>
      <c r="HB97" s="55">
        <f t="shared" si="645"/>
        <v>0.68999999999999984</v>
      </c>
      <c r="HC97" s="55">
        <f t="shared" si="645"/>
        <v>0.66999999999999982</v>
      </c>
      <c r="HD97" s="55">
        <f t="shared" si="645"/>
        <v>0.6499999999999998</v>
      </c>
      <c r="HE97" s="55">
        <f t="shared" si="645"/>
        <v>0.62999999999999978</v>
      </c>
      <c r="HF97" s="55">
        <f t="shared" si="645"/>
        <v>0.60999999999999976</v>
      </c>
      <c r="HG97" s="55">
        <f t="shared" si="645"/>
        <v>0.58999999999999975</v>
      </c>
      <c r="HH97" s="55">
        <f t="shared" si="645"/>
        <v>0.56999999999999973</v>
      </c>
    </row>
    <row r="98" spans="1:216" x14ac:dyDescent="0.3">
      <c r="A98" s="2">
        <v>7</v>
      </c>
      <c r="C98" s="38" t="s">
        <v>45</v>
      </c>
      <c r="D98" s="42">
        <f>TRUNC(4815,-1)</f>
        <v>4810</v>
      </c>
      <c r="E98" s="86">
        <f>TRUNC(+D98*3.3058,-1)</f>
        <v>15900</v>
      </c>
      <c r="H98" s="55">
        <f t="shared" si="502"/>
        <v>17490</v>
      </c>
      <c r="I98" s="55">
        <f t="shared" si="503"/>
        <v>17490</v>
      </c>
      <c r="J98" s="59">
        <f t="shared" si="504"/>
        <v>57818.442000000003</v>
      </c>
      <c r="K98" s="55">
        <f t="shared" si="512"/>
        <v>16965.3</v>
      </c>
      <c r="L98" s="59">
        <f t="shared" si="513"/>
        <v>56083.888740000002</v>
      </c>
      <c r="M98" s="55">
        <f t="shared" si="514"/>
        <v>16615.5</v>
      </c>
      <c r="N98" s="59">
        <f t="shared" si="515"/>
        <v>54927.519899999999</v>
      </c>
      <c r="O98" s="55">
        <f t="shared" si="516"/>
        <v>16265.7</v>
      </c>
      <c r="P98" s="59">
        <f t="shared" si="517"/>
        <v>53771.151060000004</v>
      </c>
      <c r="Q98" s="57">
        <f t="shared" si="518"/>
        <v>15915.9</v>
      </c>
      <c r="R98" s="59">
        <f t="shared" si="519"/>
        <v>52614.782220000001</v>
      </c>
      <c r="S98" s="55">
        <f t="shared" si="520"/>
        <v>15566.1</v>
      </c>
      <c r="T98" s="59">
        <f t="shared" si="521"/>
        <v>51458.413380000005</v>
      </c>
      <c r="U98" s="57">
        <f t="shared" si="522"/>
        <v>15216.3</v>
      </c>
      <c r="V98" s="59">
        <f t="shared" si="523"/>
        <v>50302.044539999995</v>
      </c>
      <c r="W98" s="60">
        <f t="shared" si="524"/>
        <v>14866.5</v>
      </c>
      <c r="X98" s="59">
        <f t="shared" si="525"/>
        <v>49145.6757</v>
      </c>
      <c r="Y98" s="57">
        <f t="shared" si="526"/>
        <v>14516.699999999999</v>
      </c>
      <c r="Z98" s="59">
        <f t="shared" si="527"/>
        <v>47989.306859999997</v>
      </c>
      <c r="AA98" s="55">
        <f t="shared" si="528"/>
        <v>14166.9</v>
      </c>
      <c r="AB98" s="59">
        <f t="shared" si="529"/>
        <v>46832.938020000001</v>
      </c>
      <c r="AC98" s="60">
        <f t="shared" si="530"/>
        <v>13817.099999999999</v>
      </c>
      <c r="AD98" s="59">
        <f t="shared" si="531"/>
        <v>45676.569179999999</v>
      </c>
      <c r="AE98" s="60">
        <f t="shared" si="532"/>
        <v>13467.3</v>
      </c>
      <c r="AF98" s="59">
        <f t="shared" si="533"/>
        <v>44520.200339999996</v>
      </c>
      <c r="AG98" s="60">
        <f t="shared" si="534"/>
        <v>13117.499999999998</v>
      </c>
      <c r="AH98" s="59">
        <f t="shared" si="535"/>
        <v>43363.831499999993</v>
      </c>
      <c r="AI98" s="55">
        <f t="shared" si="536"/>
        <v>12767.699999999997</v>
      </c>
      <c r="AJ98" s="59">
        <f t="shared" si="537"/>
        <v>42207.46265999999</v>
      </c>
      <c r="AK98" s="60">
        <f t="shared" si="538"/>
        <v>12417.899999999998</v>
      </c>
      <c r="AL98" s="59">
        <f t="shared" si="539"/>
        <v>41051.093819999995</v>
      </c>
      <c r="AM98" s="60">
        <f t="shared" si="540"/>
        <v>12068.099999999997</v>
      </c>
      <c r="AN98" s="59">
        <f t="shared" si="541"/>
        <v>39894.724979999992</v>
      </c>
      <c r="AO98" s="60">
        <f t="shared" si="542"/>
        <v>11718.299999999997</v>
      </c>
      <c r="AP98" s="59">
        <f t="shared" si="543"/>
        <v>38738.356139999989</v>
      </c>
      <c r="AQ98" s="60">
        <f t="shared" si="544"/>
        <v>11368.499999999996</v>
      </c>
      <c r="AR98" s="59">
        <f t="shared" si="545"/>
        <v>37581.987299999986</v>
      </c>
      <c r="AS98" s="55">
        <f t="shared" si="546"/>
        <v>11018.699999999997</v>
      </c>
      <c r="AT98" s="59">
        <f t="shared" si="547"/>
        <v>36425.618459999991</v>
      </c>
      <c r="AU98" s="60">
        <f t="shared" si="548"/>
        <v>10668.899999999996</v>
      </c>
      <c r="AV98" s="59">
        <f t="shared" si="549"/>
        <v>35269.249619999988</v>
      </c>
      <c r="AW98" s="60">
        <f t="shared" si="550"/>
        <v>10319.099999999995</v>
      </c>
      <c r="AX98" s="59">
        <f t="shared" si="551"/>
        <v>34112.880779999985</v>
      </c>
      <c r="AY98" s="55">
        <f t="shared" si="552"/>
        <v>9969.2999999999956</v>
      </c>
      <c r="AZ98" s="59">
        <f t="shared" si="553"/>
        <v>32956.511939999989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si="554"/>
        <v>0.91</v>
      </c>
      <c r="BH98" s="55">
        <f t="shared" si="554"/>
        <v>0.89</v>
      </c>
      <c r="BI98" s="55">
        <f t="shared" si="554"/>
        <v>0.87</v>
      </c>
      <c r="BJ98" s="55">
        <f t="shared" si="554"/>
        <v>0.85</v>
      </c>
      <c r="BK98" s="55">
        <f t="shared" si="554"/>
        <v>0.83</v>
      </c>
      <c r="BL98" s="55">
        <f t="shared" si="554"/>
        <v>0.80999999999999994</v>
      </c>
      <c r="BM98" s="55">
        <f t="shared" si="554"/>
        <v>0.78999999999999992</v>
      </c>
      <c r="BN98" s="55">
        <f t="shared" si="554"/>
        <v>0.76999999999999991</v>
      </c>
      <c r="BO98" s="55">
        <f t="shared" si="554"/>
        <v>0.74999999999999989</v>
      </c>
      <c r="BP98" s="55">
        <f t="shared" si="554"/>
        <v>0.72999999999999987</v>
      </c>
      <c r="BQ98" s="55">
        <f t="shared" si="554"/>
        <v>0.70999999999999985</v>
      </c>
      <c r="BR98" s="55">
        <f t="shared" si="554"/>
        <v>0.68999999999999984</v>
      </c>
      <c r="BS98" s="55">
        <f t="shared" si="554"/>
        <v>0.66999999999999982</v>
      </c>
      <c r="BT98" s="55">
        <f t="shared" si="554"/>
        <v>0.6499999999999998</v>
      </c>
      <c r="BU98" s="55">
        <f t="shared" si="554"/>
        <v>0.62999999999999978</v>
      </c>
      <c r="BV98" s="55">
        <f t="shared" si="554"/>
        <v>0.60999999999999976</v>
      </c>
      <c r="BW98" s="55">
        <f t="shared" si="554"/>
        <v>0.58999999999999975</v>
      </c>
      <c r="BX98" s="55">
        <f t="shared" si="554"/>
        <v>0.56999999999999973</v>
      </c>
      <c r="BZ98" s="55">
        <f t="shared" si="505"/>
        <v>15915.9</v>
      </c>
      <c r="CA98" s="55">
        <f t="shared" si="506"/>
        <v>15915.9</v>
      </c>
      <c r="CB98" s="59">
        <f t="shared" si="555"/>
        <v>52614.782220000001</v>
      </c>
      <c r="CC98" s="55">
        <f t="shared" si="556"/>
        <v>15438.422999999999</v>
      </c>
      <c r="CD98" s="59">
        <f t="shared" si="557"/>
        <v>51036.338753399999</v>
      </c>
      <c r="CE98" s="55">
        <f t="shared" si="558"/>
        <v>15120.105</v>
      </c>
      <c r="CF98" s="59">
        <f t="shared" si="559"/>
        <v>49984.043108999998</v>
      </c>
      <c r="CG98" s="55">
        <f t="shared" si="560"/>
        <v>14801.787</v>
      </c>
      <c r="CH98" s="59">
        <f t="shared" si="561"/>
        <v>48931.747464600005</v>
      </c>
      <c r="CI98" s="57">
        <f t="shared" si="562"/>
        <v>14483.469000000001</v>
      </c>
      <c r="CJ98" s="59">
        <f t="shared" si="563"/>
        <v>47879.451820200004</v>
      </c>
      <c r="CK98" s="55">
        <f t="shared" si="564"/>
        <v>14165.151</v>
      </c>
      <c r="CL98" s="59">
        <f t="shared" si="565"/>
        <v>46827.156175800003</v>
      </c>
      <c r="CM98" s="57">
        <f t="shared" si="566"/>
        <v>13846.832999999999</v>
      </c>
      <c r="CN98" s="59">
        <f t="shared" si="567"/>
        <v>45774.860531399994</v>
      </c>
      <c r="CO98" s="60">
        <f t="shared" si="568"/>
        <v>13528.514999999999</v>
      </c>
      <c r="CP98" s="59">
        <f t="shared" si="569"/>
        <v>44722.564887</v>
      </c>
      <c r="CQ98" s="57">
        <f t="shared" si="570"/>
        <v>13210.196999999998</v>
      </c>
      <c r="CR98" s="59">
        <f t="shared" si="571"/>
        <v>43670.269242599992</v>
      </c>
      <c r="CS98" s="55">
        <f t="shared" si="572"/>
        <v>12891.878999999999</v>
      </c>
      <c r="CT98" s="59">
        <f t="shared" si="573"/>
        <v>42617.973598199998</v>
      </c>
      <c r="CU98" s="60">
        <f t="shared" si="574"/>
        <v>12573.560999999998</v>
      </c>
      <c r="CV98" s="59">
        <f t="shared" si="575"/>
        <v>41565.677953799997</v>
      </c>
      <c r="CW98" s="60">
        <f t="shared" si="576"/>
        <v>12255.242999999999</v>
      </c>
      <c r="CX98" s="59">
        <f t="shared" si="577"/>
        <v>40513.382309399996</v>
      </c>
      <c r="CY98" s="60">
        <f t="shared" si="578"/>
        <v>11936.924999999997</v>
      </c>
      <c r="CZ98" s="59">
        <f t="shared" si="579"/>
        <v>39461.086664999995</v>
      </c>
      <c r="DA98" s="55">
        <f t="shared" si="580"/>
        <v>11618.606999999998</v>
      </c>
      <c r="DB98" s="59">
        <f t="shared" si="581"/>
        <v>38408.791020599994</v>
      </c>
      <c r="DC98" s="60">
        <f t="shared" si="582"/>
        <v>11300.288999999997</v>
      </c>
      <c r="DD98" s="59">
        <f t="shared" si="583"/>
        <v>37356.495376199993</v>
      </c>
      <c r="DE98" s="60">
        <f t="shared" si="584"/>
        <v>10981.970999999998</v>
      </c>
      <c r="DF98" s="59">
        <f t="shared" si="585"/>
        <v>36304.199731799992</v>
      </c>
      <c r="DG98" s="60">
        <f t="shared" si="586"/>
        <v>10663.652999999997</v>
      </c>
      <c r="DH98" s="59">
        <f t="shared" si="587"/>
        <v>35251.904087399991</v>
      </c>
      <c r="DI98" s="60">
        <f t="shared" si="588"/>
        <v>10345.334999999997</v>
      </c>
      <c r="DJ98" s="59">
        <f t="shared" si="589"/>
        <v>34199.60844299999</v>
      </c>
      <c r="DK98" s="55">
        <f t="shared" si="590"/>
        <v>10027.016999999996</v>
      </c>
      <c r="DL98" s="59">
        <f t="shared" si="591"/>
        <v>33147.312798599989</v>
      </c>
      <c r="DM98" s="60">
        <f t="shared" si="592"/>
        <v>9708.6989999999969</v>
      </c>
      <c r="DN98" s="59">
        <f t="shared" si="593"/>
        <v>32095.017154199992</v>
      </c>
      <c r="DO98" s="60">
        <f t="shared" si="594"/>
        <v>9390.3809999999958</v>
      </c>
      <c r="DP98" s="59">
        <f t="shared" si="595"/>
        <v>31042.721509799987</v>
      </c>
      <c r="DQ98" s="55">
        <f t="shared" si="596"/>
        <v>9072.0629999999946</v>
      </c>
      <c r="DR98" s="59">
        <f t="shared" si="597"/>
        <v>29990.425865399982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643"/>
        <v>0.91</v>
      </c>
      <c r="DZ98" s="55">
        <f t="shared" si="643"/>
        <v>0.89</v>
      </c>
      <c r="EA98" s="55">
        <f t="shared" si="643"/>
        <v>0.87</v>
      </c>
      <c r="EB98" s="55">
        <f t="shared" si="643"/>
        <v>0.85</v>
      </c>
      <c r="EC98" s="55">
        <f t="shared" si="643"/>
        <v>0.83</v>
      </c>
      <c r="ED98" s="55">
        <f t="shared" si="643"/>
        <v>0.80999999999999994</v>
      </c>
      <c r="EE98" s="55">
        <f t="shared" si="643"/>
        <v>0.78999999999999992</v>
      </c>
      <c r="EF98" s="55">
        <f t="shared" si="643"/>
        <v>0.76999999999999991</v>
      </c>
      <c r="EG98" s="55">
        <f t="shared" si="643"/>
        <v>0.74999999999999989</v>
      </c>
      <c r="EH98" s="55">
        <f t="shared" si="643"/>
        <v>0.72999999999999987</v>
      </c>
      <c r="EI98" s="55">
        <f t="shared" si="643"/>
        <v>0.70999999999999985</v>
      </c>
      <c r="EJ98" s="55">
        <f t="shared" si="643"/>
        <v>0.68999999999999984</v>
      </c>
      <c r="EK98" s="55">
        <f t="shared" si="643"/>
        <v>0.66999999999999982</v>
      </c>
      <c r="EL98" s="55">
        <f t="shared" si="643"/>
        <v>0.6499999999999998</v>
      </c>
      <c r="EM98" s="55">
        <f t="shared" si="643"/>
        <v>0.62999999999999978</v>
      </c>
      <c r="EN98" s="55">
        <f t="shared" si="643"/>
        <v>0.60999999999999976</v>
      </c>
      <c r="EO98" s="55">
        <f t="shared" si="643"/>
        <v>0.58999999999999975</v>
      </c>
      <c r="EP98" s="55">
        <f t="shared" si="643"/>
        <v>0.56999999999999973</v>
      </c>
      <c r="ER98" s="55">
        <f t="shared" si="644"/>
        <v>14483.469000000001</v>
      </c>
      <c r="ES98" s="55">
        <f t="shared" si="507"/>
        <v>14483.469000000001</v>
      </c>
      <c r="ET98" s="59">
        <f t="shared" si="598"/>
        <v>47879.451820200004</v>
      </c>
      <c r="EU98" s="55">
        <f t="shared" si="599"/>
        <v>14048.96493</v>
      </c>
      <c r="EV98" s="59">
        <f t="shared" si="600"/>
        <v>46443.068265594004</v>
      </c>
      <c r="EW98" s="55">
        <f t="shared" si="601"/>
        <v>13759.295550000001</v>
      </c>
      <c r="EX98" s="59">
        <f t="shared" si="602"/>
        <v>45485.479229190001</v>
      </c>
      <c r="EY98" s="55">
        <f t="shared" si="603"/>
        <v>13469.626170000001</v>
      </c>
      <c r="EZ98" s="59">
        <f t="shared" si="604"/>
        <v>44527.890192786006</v>
      </c>
      <c r="FA98" s="57">
        <f t="shared" si="605"/>
        <v>13179.956790000002</v>
      </c>
      <c r="FB98" s="59">
        <f t="shared" si="606"/>
        <v>43570.301156382011</v>
      </c>
      <c r="FC98" s="55">
        <f t="shared" si="607"/>
        <v>12890.287410000001</v>
      </c>
      <c r="FD98" s="59">
        <f t="shared" si="608"/>
        <v>42612.712119978001</v>
      </c>
      <c r="FE98" s="57">
        <f t="shared" si="609"/>
        <v>12600.618030000001</v>
      </c>
      <c r="FF98" s="59">
        <f t="shared" si="610"/>
        <v>41655.123083574006</v>
      </c>
      <c r="FG98" s="60">
        <f t="shared" si="611"/>
        <v>12310.94865</v>
      </c>
      <c r="FH98" s="59">
        <f t="shared" si="612"/>
        <v>40697.534047170004</v>
      </c>
      <c r="FI98" s="57">
        <f t="shared" si="613"/>
        <v>12021.279270000001</v>
      </c>
      <c r="FJ98" s="59">
        <f t="shared" si="614"/>
        <v>39739.945010766001</v>
      </c>
      <c r="FK98" s="55">
        <f t="shared" si="615"/>
        <v>11731.60989</v>
      </c>
      <c r="FL98" s="59">
        <f t="shared" si="616"/>
        <v>38782.355974361999</v>
      </c>
      <c r="FM98" s="60">
        <f t="shared" si="617"/>
        <v>11441.94051</v>
      </c>
      <c r="FN98" s="59">
        <f t="shared" si="618"/>
        <v>37824.766937958004</v>
      </c>
      <c r="FO98" s="60">
        <f t="shared" si="619"/>
        <v>11152.271129999999</v>
      </c>
      <c r="FP98" s="59">
        <f t="shared" si="620"/>
        <v>36867.177901554001</v>
      </c>
      <c r="FQ98" s="60">
        <f t="shared" si="621"/>
        <v>10862.60175</v>
      </c>
      <c r="FR98" s="59">
        <f t="shared" si="622"/>
        <v>35909.588865149999</v>
      </c>
      <c r="FS98" s="55">
        <f t="shared" si="623"/>
        <v>10572.932369999999</v>
      </c>
      <c r="FT98" s="59">
        <f t="shared" si="624"/>
        <v>34951.999828745997</v>
      </c>
      <c r="FU98" s="60">
        <f t="shared" si="625"/>
        <v>10283.262989999999</v>
      </c>
      <c r="FV98" s="59">
        <f t="shared" si="626"/>
        <v>33994.410792342002</v>
      </c>
      <c r="FW98" s="60">
        <f t="shared" si="627"/>
        <v>9993.5936099999981</v>
      </c>
      <c r="FX98" s="59">
        <f t="shared" si="628"/>
        <v>33036.821755937992</v>
      </c>
      <c r="FY98" s="60">
        <f t="shared" si="629"/>
        <v>9703.9242299999987</v>
      </c>
      <c r="FZ98" s="59">
        <f t="shared" si="630"/>
        <v>32079.232719533997</v>
      </c>
      <c r="GA98" s="60">
        <f t="shared" si="631"/>
        <v>9414.2548499999975</v>
      </c>
      <c r="GB98" s="59">
        <f t="shared" si="632"/>
        <v>31121.643683129994</v>
      </c>
      <c r="GC98" s="55">
        <f t="shared" si="633"/>
        <v>9124.5854699999982</v>
      </c>
      <c r="GD98" s="59">
        <f t="shared" si="634"/>
        <v>30164.054646725996</v>
      </c>
      <c r="GE98" s="60">
        <f t="shared" si="635"/>
        <v>8834.916089999997</v>
      </c>
      <c r="GF98" s="59">
        <f t="shared" si="636"/>
        <v>29206.46561032199</v>
      </c>
      <c r="GG98" s="60">
        <f t="shared" si="637"/>
        <v>8545.2467099999976</v>
      </c>
      <c r="GH98" s="59">
        <f t="shared" si="638"/>
        <v>28248.876573917994</v>
      </c>
      <c r="GI98" s="55">
        <f t="shared" si="639"/>
        <v>8255.5773299999964</v>
      </c>
      <c r="GJ98" s="59">
        <f t="shared" si="640"/>
        <v>27291.287537513988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645"/>
        <v>0.91</v>
      </c>
      <c r="GR98" s="55">
        <f t="shared" si="645"/>
        <v>0.89</v>
      </c>
      <c r="GS98" s="55">
        <f t="shared" si="645"/>
        <v>0.87</v>
      </c>
      <c r="GT98" s="55">
        <f t="shared" si="645"/>
        <v>0.85</v>
      </c>
      <c r="GU98" s="55">
        <f t="shared" si="645"/>
        <v>0.83</v>
      </c>
      <c r="GV98" s="55">
        <f t="shared" si="645"/>
        <v>0.80999999999999994</v>
      </c>
      <c r="GW98" s="55">
        <f t="shared" si="645"/>
        <v>0.78999999999999992</v>
      </c>
      <c r="GX98" s="55">
        <f t="shared" si="645"/>
        <v>0.76999999999999991</v>
      </c>
      <c r="GY98" s="55">
        <f t="shared" si="645"/>
        <v>0.74999999999999989</v>
      </c>
      <c r="GZ98" s="55">
        <f t="shared" si="645"/>
        <v>0.72999999999999987</v>
      </c>
      <c r="HA98" s="55">
        <f t="shared" si="645"/>
        <v>0.70999999999999985</v>
      </c>
      <c r="HB98" s="55">
        <f t="shared" si="645"/>
        <v>0.68999999999999984</v>
      </c>
      <c r="HC98" s="55">
        <f t="shared" si="645"/>
        <v>0.66999999999999982</v>
      </c>
      <c r="HD98" s="55">
        <f t="shared" si="645"/>
        <v>0.6499999999999998</v>
      </c>
      <c r="HE98" s="55">
        <f t="shared" si="645"/>
        <v>0.62999999999999978</v>
      </c>
      <c r="HF98" s="55">
        <f t="shared" si="645"/>
        <v>0.60999999999999976</v>
      </c>
      <c r="HG98" s="55">
        <f t="shared" si="645"/>
        <v>0.58999999999999975</v>
      </c>
      <c r="HH98" s="55">
        <f t="shared" si="645"/>
        <v>0.56999999999999973</v>
      </c>
    </row>
    <row r="99" spans="1:216" x14ac:dyDescent="0.3">
      <c r="A99" s="2">
        <v>8</v>
      </c>
      <c r="C99" s="38" t="s">
        <v>46</v>
      </c>
      <c r="D99" s="42">
        <f>TRUNC(8282,-1)</f>
        <v>8280</v>
      </c>
      <c r="E99" s="86">
        <f>TRUNC(+D99*3.3058,-1)</f>
        <v>27370</v>
      </c>
      <c r="H99" s="55">
        <f t="shared" si="502"/>
        <v>30107.000000000004</v>
      </c>
      <c r="I99" s="55">
        <f t="shared" si="503"/>
        <v>30107.000000000004</v>
      </c>
      <c r="J99" s="59">
        <f t="shared" si="504"/>
        <v>99527.720600000015</v>
      </c>
      <c r="K99" s="55">
        <f t="shared" si="512"/>
        <v>29203.790000000005</v>
      </c>
      <c r="L99" s="59">
        <f t="shared" si="513"/>
        <v>96541.888982000019</v>
      </c>
      <c r="M99" s="55">
        <f t="shared" si="514"/>
        <v>28601.65</v>
      </c>
      <c r="N99" s="59">
        <f t="shared" si="515"/>
        <v>94551.334570000006</v>
      </c>
      <c r="O99" s="55">
        <f t="shared" si="516"/>
        <v>27999.510000000006</v>
      </c>
      <c r="P99" s="59">
        <f t="shared" si="517"/>
        <v>92560.780158000023</v>
      </c>
      <c r="Q99" s="57">
        <f t="shared" si="518"/>
        <v>27397.370000000003</v>
      </c>
      <c r="R99" s="59">
        <f t="shared" si="519"/>
        <v>90570.225746000011</v>
      </c>
      <c r="S99" s="55">
        <f t="shared" si="520"/>
        <v>26795.230000000003</v>
      </c>
      <c r="T99" s="59">
        <f t="shared" si="521"/>
        <v>88579.671334000013</v>
      </c>
      <c r="U99" s="57">
        <f t="shared" si="522"/>
        <v>26193.090000000004</v>
      </c>
      <c r="V99" s="59">
        <f t="shared" si="523"/>
        <v>86589.116922000016</v>
      </c>
      <c r="W99" s="60">
        <f t="shared" si="524"/>
        <v>25590.95</v>
      </c>
      <c r="X99" s="59">
        <f t="shared" si="525"/>
        <v>84598.562510000003</v>
      </c>
      <c r="Y99" s="57">
        <f t="shared" si="526"/>
        <v>24988.81</v>
      </c>
      <c r="Z99" s="59">
        <f t="shared" si="527"/>
        <v>82608.008098000006</v>
      </c>
      <c r="AA99" s="55">
        <f t="shared" si="528"/>
        <v>24386.670000000002</v>
      </c>
      <c r="AB99" s="59">
        <f t="shared" si="529"/>
        <v>80617.453686000008</v>
      </c>
      <c r="AC99" s="60">
        <f t="shared" si="530"/>
        <v>23784.53</v>
      </c>
      <c r="AD99" s="59">
        <f t="shared" si="531"/>
        <v>78626.899273999996</v>
      </c>
      <c r="AE99" s="60">
        <f t="shared" si="532"/>
        <v>23182.39</v>
      </c>
      <c r="AF99" s="59">
        <f t="shared" si="533"/>
        <v>76636.344861999998</v>
      </c>
      <c r="AG99" s="60">
        <f t="shared" si="534"/>
        <v>22580.25</v>
      </c>
      <c r="AH99" s="59">
        <f t="shared" si="535"/>
        <v>74645.79045</v>
      </c>
      <c r="AI99" s="55">
        <f t="shared" si="536"/>
        <v>21978.11</v>
      </c>
      <c r="AJ99" s="59">
        <f t="shared" si="537"/>
        <v>72655.236038000003</v>
      </c>
      <c r="AK99" s="60">
        <f t="shared" si="538"/>
        <v>21375.969999999998</v>
      </c>
      <c r="AL99" s="59">
        <f t="shared" si="539"/>
        <v>70664.681625999991</v>
      </c>
      <c r="AM99" s="60">
        <f t="shared" si="540"/>
        <v>20773.829999999998</v>
      </c>
      <c r="AN99" s="59">
        <f t="shared" si="541"/>
        <v>68674.127213999993</v>
      </c>
      <c r="AO99" s="60">
        <f t="shared" si="542"/>
        <v>20171.689999999999</v>
      </c>
      <c r="AP99" s="59">
        <f t="shared" si="543"/>
        <v>66683.572801999995</v>
      </c>
      <c r="AQ99" s="60">
        <f t="shared" si="544"/>
        <v>19569.549999999996</v>
      </c>
      <c r="AR99" s="59">
        <f t="shared" si="545"/>
        <v>64693.01838999999</v>
      </c>
      <c r="AS99" s="55">
        <f t="shared" si="546"/>
        <v>18967.409999999996</v>
      </c>
      <c r="AT99" s="59">
        <f t="shared" si="547"/>
        <v>62702.463977999985</v>
      </c>
      <c r="AU99" s="60">
        <f t="shared" si="548"/>
        <v>18365.269999999997</v>
      </c>
      <c r="AV99" s="59">
        <f t="shared" si="549"/>
        <v>60711.909565999988</v>
      </c>
      <c r="AW99" s="60">
        <f t="shared" si="550"/>
        <v>17763.129999999994</v>
      </c>
      <c r="AX99" s="59">
        <f t="shared" si="551"/>
        <v>58721.355153999983</v>
      </c>
      <c r="AY99" s="55">
        <f t="shared" si="552"/>
        <v>17160.989999999994</v>
      </c>
      <c r="AZ99" s="59">
        <f t="shared" si="553"/>
        <v>56730.800741999985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54"/>
        <v>0.91</v>
      </c>
      <c r="BH99" s="55">
        <f t="shared" si="554"/>
        <v>0.89</v>
      </c>
      <c r="BI99" s="55">
        <f t="shared" si="554"/>
        <v>0.87</v>
      </c>
      <c r="BJ99" s="55">
        <f t="shared" si="554"/>
        <v>0.85</v>
      </c>
      <c r="BK99" s="55">
        <f t="shared" si="554"/>
        <v>0.83</v>
      </c>
      <c r="BL99" s="55">
        <f t="shared" si="554"/>
        <v>0.80999999999999994</v>
      </c>
      <c r="BM99" s="55">
        <f t="shared" si="554"/>
        <v>0.78999999999999992</v>
      </c>
      <c r="BN99" s="55">
        <f t="shared" si="554"/>
        <v>0.76999999999999991</v>
      </c>
      <c r="BO99" s="55">
        <f t="shared" si="554"/>
        <v>0.74999999999999989</v>
      </c>
      <c r="BP99" s="55">
        <f t="shared" si="554"/>
        <v>0.72999999999999987</v>
      </c>
      <c r="BQ99" s="55">
        <f t="shared" si="554"/>
        <v>0.70999999999999985</v>
      </c>
      <c r="BR99" s="55">
        <f t="shared" si="554"/>
        <v>0.68999999999999984</v>
      </c>
      <c r="BS99" s="55">
        <f t="shared" si="554"/>
        <v>0.66999999999999982</v>
      </c>
      <c r="BT99" s="55">
        <f t="shared" si="554"/>
        <v>0.6499999999999998</v>
      </c>
      <c r="BU99" s="55">
        <f t="shared" si="554"/>
        <v>0.62999999999999978</v>
      </c>
      <c r="BV99" s="55">
        <f t="shared" si="554"/>
        <v>0.60999999999999976</v>
      </c>
      <c r="BW99" s="55">
        <f t="shared" si="554"/>
        <v>0.58999999999999975</v>
      </c>
      <c r="BX99" s="55">
        <f t="shared" si="554"/>
        <v>0.56999999999999973</v>
      </c>
      <c r="BZ99" s="55">
        <f t="shared" si="505"/>
        <v>27397.370000000003</v>
      </c>
      <c r="CA99" s="55">
        <f t="shared" si="506"/>
        <v>27397.370000000003</v>
      </c>
      <c r="CB99" s="59">
        <f t="shared" si="555"/>
        <v>90570.225746000011</v>
      </c>
      <c r="CC99" s="55">
        <f t="shared" si="556"/>
        <v>26575.448900000003</v>
      </c>
      <c r="CD99" s="59">
        <f t="shared" si="557"/>
        <v>87853.118973620018</v>
      </c>
      <c r="CE99" s="55">
        <f t="shared" si="558"/>
        <v>26027.501500000002</v>
      </c>
      <c r="CF99" s="59">
        <f t="shared" si="559"/>
        <v>86041.714458700008</v>
      </c>
      <c r="CG99" s="55">
        <f t="shared" si="560"/>
        <v>25479.554100000005</v>
      </c>
      <c r="CH99" s="59">
        <f t="shared" si="561"/>
        <v>84230.309943780012</v>
      </c>
      <c r="CI99" s="57">
        <f t="shared" si="562"/>
        <v>24931.606700000004</v>
      </c>
      <c r="CJ99" s="59">
        <f t="shared" si="563"/>
        <v>82418.905428860016</v>
      </c>
      <c r="CK99" s="55">
        <f t="shared" si="564"/>
        <v>24383.659300000003</v>
      </c>
      <c r="CL99" s="59">
        <f t="shared" si="565"/>
        <v>80607.500913940006</v>
      </c>
      <c r="CM99" s="57">
        <f t="shared" si="566"/>
        <v>23835.711900000002</v>
      </c>
      <c r="CN99" s="59">
        <f t="shared" si="567"/>
        <v>78796.096399020011</v>
      </c>
      <c r="CO99" s="60">
        <f t="shared" si="568"/>
        <v>23287.764500000001</v>
      </c>
      <c r="CP99" s="59">
        <f t="shared" si="569"/>
        <v>76984.691884100001</v>
      </c>
      <c r="CQ99" s="57">
        <f t="shared" si="570"/>
        <v>22739.8171</v>
      </c>
      <c r="CR99" s="59">
        <f t="shared" si="571"/>
        <v>75173.287369180005</v>
      </c>
      <c r="CS99" s="55">
        <f t="shared" si="572"/>
        <v>22191.869699999999</v>
      </c>
      <c r="CT99" s="59">
        <f t="shared" si="573"/>
        <v>73361.882854259995</v>
      </c>
      <c r="CU99" s="60">
        <f t="shared" si="574"/>
        <v>21643.922299999998</v>
      </c>
      <c r="CV99" s="59">
        <f t="shared" si="575"/>
        <v>71550.478339339999</v>
      </c>
      <c r="CW99" s="60">
        <f t="shared" si="576"/>
        <v>21095.974900000001</v>
      </c>
      <c r="CX99" s="59">
        <f t="shared" si="577"/>
        <v>69739.073824420004</v>
      </c>
      <c r="CY99" s="60">
        <f t="shared" si="578"/>
        <v>20548.0275</v>
      </c>
      <c r="CZ99" s="59">
        <f t="shared" si="579"/>
        <v>67927.669309500008</v>
      </c>
      <c r="DA99" s="55">
        <f t="shared" si="580"/>
        <v>20000.080099999999</v>
      </c>
      <c r="DB99" s="59">
        <f t="shared" si="581"/>
        <v>66116.264794579998</v>
      </c>
      <c r="DC99" s="60">
        <f t="shared" si="582"/>
        <v>19452.132699999998</v>
      </c>
      <c r="DD99" s="59">
        <f t="shared" si="583"/>
        <v>64304.860279659995</v>
      </c>
      <c r="DE99" s="60">
        <f t="shared" si="584"/>
        <v>18904.185299999997</v>
      </c>
      <c r="DF99" s="59">
        <f t="shared" si="585"/>
        <v>62493.455764739992</v>
      </c>
      <c r="DG99" s="60">
        <f t="shared" si="586"/>
        <v>18356.237899999996</v>
      </c>
      <c r="DH99" s="59">
        <f t="shared" si="587"/>
        <v>60682.05124981999</v>
      </c>
      <c r="DI99" s="60">
        <f t="shared" si="588"/>
        <v>17808.290499999996</v>
      </c>
      <c r="DJ99" s="59">
        <f t="shared" si="589"/>
        <v>58870.646734899987</v>
      </c>
      <c r="DK99" s="55">
        <f t="shared" si="590"/>
        <v>17260.343099999995</v>
      </c>
      <c r="DL99" s="59">
        <f t="shared" si="591"/>
        <v>57059.242219979984</v>
      </c>
      <c r="DM99" s="60">
        <f t="shared" si="592"/>
        <v>16712.395699999994</v>
      </c>
      <c r="DN99" s="59">
        <f t="shared" si="593"/>
        <v>55247.837705059981</v>
      </c>
      <c r="DO99" s="60">
        <f t="shared" si="594"/>
        <v>16164.448299999995</v>
      </c>
      <c r="DP99" s="59">
        <f t="shared" si="595"/>
        <v>53436.433190139986</v>
      </c>
      <c r="DQ99" s="55">
        <f t="shared" si="596"/>
        <v>15616.500899999994</v>
      </c>
      <c r="DR99" s="59">
        <f t="shared" si="597"/>
        <v>51625.028675219983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643"/>
        <v>0.91</v>
      </c>
      <c r="DZ99" s="55">
        <f t="shared" si="643"/>
        <v>0.89</v>
      </c>
      <c r="EA99" s="55">
        <f t="shared" si="643"/>
        <v>0.87</v>
      </c>
      <c r="EB99" s="55">
        <f t="shared" si="643"/>
        <v>0.85</v>
      </c>
      <c r="EC99" s="55">
        <f t="shared" si="643"/>
        <v>0.83</v>
      </c>
      <c r="ED99" s="55">
        <f t="shared" si="643"/>
        <v>0.80999999999999994</v>
      </c>
      <c r="EE99" s="55">
        <f t="shared" si="643"/>
        <v>0.78999999999999992</v>
      </c>
      <c r="EF99" s="55">
        <f t="shared" si="643"/>
        <v>0.76999999999999991</v>
      </c>
      <c r="EG99" s="55">
        <f t="shared" si="643"/>
        <v>0.74999999999999989</v>
      </c>
      <c r="EH99" s="55">
        <f t="shared" si="643"/>
        <v>0.72999999999999987</v>
      </c>
      <c r="EI99" s="55">
        <f t="shared" si="643"/>
        <v>0.70999999999999985</v>
      </c>
      <c r="EJ99" s="55">
        <f t="shared" si="643"/>
        <v>0.68999999999999984</v>
      </c>
      <c r="EK99" s="55">
        <f t="shared" si="643"/>
        <v>0.66999999999999982</v>
      </c>
      <c r="EL99" s="55">
        <f t="shared" si="643"/>
        <v>0.6499999999999998</v>
      </c>
      <c r="EM99" s="55">
        <f t="shared" si="643"/>
        <v>0.62999999999999978</v>
      </c>
      <c r="EN99" s="55">
        <f t="shared" si="643"/>
        <v>0.60999999999999976</v>
      </c>
      <c r="EO99" s="55">
        <f t="shared" si="643"/>
        <v>0.58999999999999975</v>
      </c>
      <c r="EP99" s="55">
        <f t="shared" si="643"/>
        <v>0.56999999999999973</v>
      </c>
      <c r="ER99" s="55">
        <f t="shared" si="644"/>
        <v>24931.606700000004</v>
      </c>
      <c r="ES99" s="55">
        <f t="shared" si="507"/>
        <v>24931.606700000004</v>
      </c>
      <c r="ET99" s="59">
        <f t="shared" si="598"/>
        <v>82418.905428860016</v>
      </c>
      <c r="EU99" s="55">
        <f t="shared" si="599"/>
        <v>24183.658499000005</v>
      </c>
      <c r="EV99" s="59">
        <f t="shared" si="600"/>
        <v>79946.338265994214</v>
      </c>
      <c r="EW99" s="55">
        <f t="shared" si="601"/>
        <v>23685.026365000002</v>
      </c>
      <c r="EX99" s="59">
        <f t="shared" si="602"/>
        <v>78297.960157417008</v>
      </c>
      <c r="EY99" s="55">
        <f t="shared" si="603"/>
        <v>23186.394231000006</v>
      </c>
      <c r="EZ99" s="59">
        <f t="shared" si="604"/>
        <v>76649.582048839817</v>
      </c>
      <c r="FA99" s="57">
        <f t="shared" si="605"/>
        <v>22687.762097000003</v>
      </c>
      <c r="FB99" s="59">
        <f t="shared" si="606"/>
        <v>75001.203940262611</v>
      </c>
      <c r="FC99" s="55">
        <f t="shared" si="607"/>
        <v>22189.129963000003</v>
      </c>
      <c r="FD99" s="59">
        <f t="shared" si="608"/>
        <v>73352.825831685404</v>
      </c>
      <c r="FE99" s="57">
        <f t="shared" si="609"/>
        <v>21690.497829000004</v>
      </c>
      <c r="FF99" s="59">
        <f t="shared" si="610"/>
        <v>71704.447723108213</v>
      </c>
      <c r="FG99" s="60">
        <f t="shared" si="611"/>
        <v>21191.865695000004</v>
      </c>
      <c r="FH99" s="59">
        <f t="shared" si="612"/>
        <v>70056.069614531021</v>
      </c>
      <c r="FI99" s="57">
        <f t="shared" si="613"/>
        <v>20693.233561000001</v>
      </c>
      <c r="FJ99" s="59">
        <f t="shared" si="614"/>
        <v>68407.691505953801</v>
      </c>
      <c r="FK99" s="55">
        <f t="shared" si="615"/>
        <v>20194.601427000001</v>
      </c>
      <c r="FL99" s="59">
        <f t="shared" si="616"/>
        <v>66759.313397376609</v>
      </c>
      <c r="FM99" s="60">
        <f t="shared" si="617"/>
        <v>19695.969293000002</v>
      </c>
      <c r="FN99" s="59">
        <f t="shared" si="618"/>
        <v>65110.93528879941</v>
      </c>
      <c r="FO99" s="60">
        <f t="shared" si="619"/>
        <v>19197.337159000002</v>
      </c>
      <c r="FP99" s="59">
        <f t="shared" si="620"/>
        <v>63462.557180222211</v>
      </c>
      <c r="FQ99" s="60">
        <f t="shared" si="621"/>
        <v>18698.705024999999</v>
      </c>
      <c r="FR99" s="59">
        <f t="shared" si="622"/>
        <v>61814.179071644998</v>
      </c>
      <c r="FS99" s="55">
        <f t="shared" si="623"/>
        <v>18200.072891</v>
      </c>
      <c r="FT99" s="59">
        <f t="shared" si="624"/>
        <v>60165.800963067799</v>
      </c>
      <c r="FU99" s="60">
        <f t="shared" si="625"/>
        <v>17701.440757</v>
      </c>
      <c r="FV99" s="59">
        <f t="shared" si="626"/>
        <v>58517.4228544906</v>
      </c>
      <c r="FW99" s="60">
        <f t="shared" si="627"/>
        <v>17202.808622999997</v>
      </c>
      <c r="FX99" s="59">
        <f t="shared" si="628"/>
        <v>56869.044745913394</v>
      </c>
      <c r="FY99" s="60">
        <f t="shared" si="629"/>
        <v>16704.176488999998</v>
      </c>
      <c r="FZ99" s="59">
        <f t="shared" si="630"/>
        <v>55220.666637336195</v>
      </c>
      <c r="GA99" s="60">
        <f t="shared" si="631"/>
        <v>16205.544354999998</v>
      </c>
      <c r="GB99" s="59">
        <f t="shared" si="632"/>
        <v>53572.288528758996</v>
      </c>
      <c r="GC99" s="55">
        <f t="shared" si="633"/>
        <v>15706.912220999997</v>
      </c>
      <c r="GD99" s="59">
        <f t="shared" si="634"/>
        <v>51923.91042018179</v>
      </c>
      <c r="GE99" s="60">
        <f t="shared" si="635"/>
        <v>15208.280086999997</v>
      </c>
      <c r="GF99" s="59">
        <f t="shared" si="636"/>
        <v>50275.532311604591</v>
      </c>
      <c r="GG99" s="60">
        <f t="shared" si="637"/>
        <v>14709.647952999996</v>
      </c>
      <c r="GH99" s="59">
        <f t="shared" si="638"/>
        <v>48627.154203027385</v>
      </c>
      <c r="GI99" s="55">
        <f t="shared" si="639"/>
        <v>14211.015818999995</v>
      </c>
      <c r="GJ99" s="59">
        <f t="shared" si="640"/>
        <v>46978.776094450186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645"/>
        <v>0.91</v>
      </c>
      <c r="GR99" s="55">
        <f t="shared" si="645"/>
        <v>0.89</v>
      </c>
      <c r="GS99" s="55">
        <f t="shared" si="645"/>
        <v>0.87</v>
      </c>
      <c r="GT99" s="55">
        <f t="shared" si="645"/>
        <v>0.85</v>
      </c>
      <c r="GU99" s="55">
        <f t="shared" si="645"/>
        <v>0.83</v>
      </c>
      <c r="GV99" s="55">
        <f t="shared" si="645"/>
        <v>0.80999999999999994</v>
      </c>
      <c r="GW99" s="55">
        <f t="shared" si="645"/>
        <v>0.78999999999999992</v>
      </c>
      <c r="GX99" s="55">
        <f t="shared" si="645"/>
        <v>0.76999999999999991</v>
      </c>
      <c r="GY99" s="55">
        <f t="shared" si="645"/>
        <v>0.74999999999999989</v>
      </c>
      <c r="GZ99" s="55">
        <f t="shared" si="645"/>
        <v>0.72999999999999987</v>
      </c>
      <c r="HA99" s="55">
        <f t="shared" si="645"/>
        <v>0.70999999999999985</v>
      </c>
      <c r="HB99" s="55">
        <f t="shared" si="645"/>
        <v>0.68999999999999984</v>
      </c>
      <c r="HC99" s="55">
        <f t="shared" si="645"/>
        <v>0.66999999999999982</v>
      </c>
      <c r="HD99" s="55">
        <f t="shared" si="645"/>
        <v>0.6499999999999998</v>
      </c>
      <c r="HE99" s="55">
        <f t="shared" si="645"/>
        <v>0.62999999999999978</v>
      </c>
      <c r="HF99" s="55">
        <f t="shared" si="645"/>
        <v>0.60999999999999976</v>
      </c>
      <c r="HG99" s="55">
        <f t="shared" si="645"/>
        <v>0.58999999999999975</v>
      </c>
      <c r="HH99" s="55">
        <f t="shared" si="645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86">
        <f>TRUNC(+D100*3.3058,-1)</f>
        <v>0</v>
      </c>
      <c r="H100" s="55">
        <f t="shared" si="502"/>
        <v>0</v>
      </c>
      <c r="I100" s="55">
        <f t="shared" si="503"/>
        <v>0</v>
      </c>
      <c r="J100" s="59">
        <f t="shared" si="504"/>
        <v>0</v>
      </c>
      <c r="K100" s="55">
        <f t="shared" si="512"/>
        <v>0</v>
      </c>
      <c r="L100" s="59">
        <f t="shared" si="513"/>
        <v>0</v>
      </c>
      <c r="M100" s="55">
        <f t="shared" si="514"/>
        <v>0</v>
      </c>
      <c r="N100" s="59">
        <f t="shared" si="515"/>
        <v>0</v>
      </c>
      <c r="O100" s="55">
        <f t="shared" si="516"/>
        <v>0</v>
      </c>
      <c r="P100" s="59">
        <f t="shared" si="517"/>
        <v>0</v>
      </c>
      <c r="Q100" s="57">
        <f t="shared" si="518"/>
        <v>0</v>
      </c>
      <c r="R100" s="59">
        <f t="shared" si="519"/>
        <v>0</v>
      </c>
      <c r="S100" s="55">
        <f t="shared" si="520"/>
        <v>0</v>
      </c>
      <c r="T100" s="59">
        <f t="shared" si="521"/>
        <v>0</v>
      </c>
      <c r="U100" s="57">
        <f t="shared" si="522"/>
        <v>0</v>
      </c>
      <c r="V100" s="59">
        <f t="shared" si="523"/>
        <v>0</v>
      </c>
      <c r="W100" s="60">
        <f t="shared" si="524"/>
        <v>0</v>
      </c>
      <c r="X100" s="59">
        <f t="shared" si="525"/>
        <v>0</v>
      </c>
      <c r="Y100" s="57">
        <f t="shared" si="526"/>
        <v>0</v>
      </c>
      <c r="Z100" s="59">
        <f t="shared" si="527"/>
        <v>0</v>
      </c>
      <c r="AA100" s="55">
        <f t="shared" si="528"/>
        <v>0</v>
      </c>
      <c r="AB100" s="59">
        <f t="shared" si="529"/>
        <v>0</v>
      </c>
      <c r="AC100" s="60">
        <f t="shared" si="530"/>
        <v>0</v>
      </c>
      <c r="AD100" s="59">
        <f t="shared" si="531"/>
        <v>0</v>
      </c>
      <c r="AE100" s="60">
        <f t="shared" si="532"/>
        <v>0</v>
      </c>
      <c r="AF100" s="59">
        <f t="shared" si="533"/>
        <v>0</v>
      </c>
      <c r="AG100" s="60">
        <f t="shared" si="534"/>
        <v>0</v>
      </c>
      <c r="AH100" s="59">
        <f t="shared" si="535"/>
        <v>0</v>
      </c>
      <c r="AI100" s="55">
        <f t="shared" si="536"/>
        <v>0</v>
      </c>
      <c r="AJ100" s="59">
        <f t="shared" si="537"/>
        <v>0</v>
      </c>
      <c r="AK100" s="60">
        <f t="shared" si="538"/>
        <v>0</v>
      </c>
      <c r="AL100" s="59">
        <f t="shared" si="539"/>
        <v>0</v>
      </c>
      <c r="AM100" s="60">
        <f t="shared" si="540"/>
        <v>0</v>
      </c>
      <c r="AN100" s="59">
        <f t="shared" si="541"/>
        <v>0</v>
      </c>
      <c r="AO100" s="60">
        <f t="shared" si="542"/>
        <v>0</v>
      </c>
      <c r="AP100" s="59">
        <f t="shared" si="543"/>
        <v>0</v>
      </c>
      <c r="AQ100" s="60">
        <f t="shared" si="544"/>
        <v>0</v>
      </c>
      <c r="AR100" s="59">
        <f t="shared" si="545"/>
        <v>0</v>
      </c>
      <c r="AS100" s="55">
        <f t="shared" si="546"/>
        <v>0</v>
      </c>
      <c r="AT100" s="59">
        <f t="shared" si="547"/>
        <v>0</v>
      </c>
      <c r="AU100" s="60">
        <f t="shared" si="548"/>
        <v>0</v>
      </c>
      <c r="AV100" s="59">
        <f t="shared" si="549"/>
        <v>0</v>
      </c>
      <c r="AW100" s="60">
        <f t="shared" si="550"/>
        <v>0</v>
      </c>
      <c r="AX100" s="59">
        <f t="shared" si="551"/>
        <v>0</v>
      </c>
      <c r="AY100" s="55">
        <f t="shared" si="552"/>
        <v>0</v>
      </c>
      <c r="AZ100" s="59">
        <f t="shared" si="553"/>
        <v>0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54"/>
        <v>0.91</v>
      </c>
      <c r="BH100" s="55">
        <f t="shared" si="554"/>
        <v>0.89</v>
      </c>
      <c r="BI100" s="55">
        <f t="shared" si="554"/>
        <v>0.87</v>
      </c>
      <c r="BJ100" s="55">
        <f t="shared" si="554"/>
        <v>0.85</v>
      </c>
      <c r="BK100" s="55">
        <f t="shared" si="554"/>
        <v>0.83</v>
      </c>
      <c r="BL100" s="55">
        <f t="shared" si="554"/>
        <v>0.80999999999999994</v>
      </c>
      <c r="BM100" s="55">
        <f t="shared" si="554"/>
        <v>0.78999999999999992</v>
      </c>
      <c r="BN100" s="55">
        <f t="shared" si="554"/>
        <v>0.76999999999999991</v>
      </c>
      <c r="BO100" s="55">
        <f t="shared" si="554"/>
        <v>0.74999999999999989</v>
      </c>
      <c r="BP100" s="55">
        <f t="shared" si="554"/>
        <v>0.72999999999999987</v>
      </c>
      <c r="BQ100" s="55">
        <f t="shared" si="554"/>
        <v>0.70999999999999985</v>
      </c>
      <c r="BR100" s="55">
        <f t="shared" si="554"/>
        <v>0.68999999999999984</v>
      </c>
      <c r="BS100" s="55">
        <f t="shared" si="554"/>
        <v>0.66999999999999982</v>
      </c>
      <c r="BT100" s="55">
        <f t="shared" si="554"/>
        <v>0.6499999999999998</v>
      </c>
      <c r="BU100" s="55">
        <f t="shared" si="554"/>
        <v>0.62999999999999978</v>
      </c>
      <c r="BV100" s="55">
        <f t="shared" si="554"/>
        <v>0.60999999999999976</v>
      </c>
      <c r="BW100" s="55">
        <f t="shared" si="554"/>
        <v>0.58999999999999975</v>
      </c>
      <c r="BX100" s="55">
        <f t="shared" si="554"/>
        <v>0.56999999999999973</v>
      </c>
      <c r="BZ100" s="55">
        <f t="shared" si="505"/>
        <v>0</v>
      </c>
      <c r="CA100" s="55">
        <f t="shared" si="506"/>
        <v>0</v>
      </c>
      <c r="CB100" s="59">
        <f t="shared" si="555"/>
        <v>0</v>
      </c>
      <c r="CC100" s="55">
        <f t="shared" si="556"/>
        <v>0</v>
      </c>
      <c r="CD100" s="59">
        <f t="shared" si="557"/>
        <v>0</v>
      </c>
      <c r="CE100" s="55">
        <f t="shared" si="558"/>
        <v>0</v>
      </c>
      <c r="CF100" s="59">
        <f t="shared" si="559"/>
        <v>0</v>
      </c>
      <c r="CG100" s="55">
        <f t="shared" si="560"/>
        <v>0</v>
      </c>
      <c r="CH100" s="59">
        <f t="shared" si="561"/>
        <v>0</v>
      </c>
      <c r="CI100" s="57">
        <f t="shared" si="562"/>
        <v>0</v>
      </c>
      <c r="CJ100" s="59">
        <f t="shared" si="563"/>
        <v>0</v>
      </c>
      <c r="CK100" s="55">
        <f t="shared" si="564"/>
        <v>0</v>
      </c>
      <c r="CL100" s="59">
        <f t="shared" si="565"/>
        <v>0</v>
      </c>
      <c r="CM100" s="57">
        <f t="shared" si="566"/>
        <v>0</v>
      </c>
      <c r="CN100" s="59">
        <f t="shared" si="567"/>
        <v>0</v>
      </c>
      <c r="CO100" s="60">
        <f t="shared" si="568"/>
        <v>0</v>
      </c>
      <c r="CP100" s="59">
        <f t="shared" si="569"/>
        <v>0</v>
      </c>
      <c r="CQ100" s="57">
        <f t="shared" si="570"/>
        <v>0</v>
      </c>
      <c r="CR100" s="59">
        <f t="shared" si="571"/>
        <v>0</v>
      </c>
      <c r="CS100" s="55">
        <f t="shared" si="572"/>
        <v>0</v>
      </c>
      <c r="CT100" s="59">
        <f t="shared" si="573"/>
        <v>0</v>
      </c>
      <c r="CU100" s="60">
        <f t="shared" si="574"/>
        <v>0</v>
      </c>
      <c r="CV100" s="59">
        <f t="shared" si="575"/>
        <v>0</v>
      </c>
      <c r="CW100" s="60">
        <f t="shared" si="576"/>
        <v>0</v>
      </c>
      <c r="CX100" s="59">
        <f t="shared" si="577"/>
        <v>0</v>
      </c>
      <c r="CY100" s="60">
        <f t="shared" si="578"/>
        <v>0</v>
      </c>
      <c r="CZ100" s="59">
        <f t="shared" si="579"/>
        <v>0</v>
      </c>
      <c r="DA100" s="55">
        <f t="shared" si="580"/>
        <v>0</v>
      </c>
      <c r="DB100" s="59">
        <f t="shared" si="581"/>
        <v>0</v>
      </c>
      <c r="DC100" s="60">
        <f t="shared" si="582"/>
        <v>0</v>
      </c>
      <c r="DD100" s="59">
        <f t="shared" si="583"/>
        <v>0</v>
      </c>
      <c r="DE100" s="60">
        <f t="shared" si="584"/>
        <v>0</v>
      </c>
      <c r="DF100" s="59">
        <f t="shared" si="585"/>
        <v>0</v>
      </c>
      <c r="DG100" s="60">
        <f t="shared" si="586"/>
        <v>0</v>
      </c>
      <c r="DH100" s="59">
        <f t="shared" si="587"/>
        <v>0</v>
      </c>
      <c r="DI100" s="60">
        <f t="shared" si="588"/>
        <v>0</v>
      </c>
      <c r="DJ100" s="59">
        <f t="shared" si="589"/>
        <v>0</v>
      </c>
      <c r="DK100" s="55">
        <f t="shared" si="590"/>
        <v>0</v>
      </c>
      <c r="DL100" s="59">
        <f t="shared" si="591"/>
        <v>0</v>
      </c>
      <c r="DM100" s="60">
        <f t="shared" si="592"/>
        <v>0</v>
      </c>
      <c r="DN100" s="59">
        <f t="shared" si="593"/>
        <v>0</v>
      </c>
      <c r="DO100" s="60">
        <f t="shared" si="594"/>
        <v>0</v>
      </c>
      <c r="DP100" s="59">
        <f t="shared" si="595"/>
        <v>0</v>
      </c>
      <c r="DQ100" s="55">
        <f t="shared" si="596"/>
        <v>0</v>
      </c>
      <c r="DR100" s="59">
        <f t="shared" si="597"/>
        <v>0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si="643"/>
        <v>0.91</v>
      </c>
      <c r="DZ100" s="55">
        <f t="shared" si="643"/>
        <v>0.89</v>
      </c>
      <c r="EA100" s="55">
        <f t="shared" si="643"/>
        <v>0.87</v>
      </c>
      <c r="EB100" s="55">
        <f t="shared" si="643"/>
        <v>0.85</v>
      </c>
      <c r="EC100" s="55">
        <f t="shared" si="643"/>
        <v>0.83</v>
      </c>
      <c r="ED100" s="55">
        <f t="shared" si="643"/>
        <v>0.80999999999999994</v>
      </c>
      <c r="EE100" s="55">
        <f t="shared" si="643"/>
        <v>0.78999999999999992</v>
      </c>
      <c r="EF100" s="55">
        <f t="shared" si="643"/>
        <v>0.76999999999999991</v>
      </c>
      <c r="EG100" s="55">
        <f t="shared" si="643"/>
        <v>0.74999999999999989</v>
      </c>
      <c r="EH100" s="55">
        <f t="shared" si="643"/>
        <v>0.72999999999999987</v>
      </c>
      <c r="EI100" s="55">
        <f t="shared" si="643"/>
        <v>0.70999999999999985</v>
      </c>
      <c r="EJ100" s="55">
        <f t="shared" si="643"/>
        <v>0.68999999999999984</v>
      </c>
      <c r="EK100" s="55">
        <f t="shared" si="643"/>
        <v>0.66999999999999982</v>
      </c>
      <c r="EL100" s="55">
        <f t="shared" si="643"/>
        <v>0.6499999999999998</v>
      </c>
      <c r="EM100" s="55">
        <f t="shared" si="643"/>
        <v>0.62999999999999978</v>
      </c>
      <c r="EN100" s="55">
        <f t="shared" si="643"/>
        <v>0.60999999999999976</v>
      </c>
      <c r="EO100" s="55">
        <f t="shared" si="643"/>
        <v>0.58999999999999975</v>
      </c>
      <c r="EP100" s="55">
        <f t="shared" si="643"/>
        <v>0.56999999999999973</v>
      </c>
      <c r="ER100" s="55">
        <f t="shared" si="644"/>
        <v>0</v>
      </c>
      <c r="ES100" s="55">
        <f t="shared" si="507"/>
        <v>0</v>
      </c>
      <c r="ET100" s="59">
        <f t="shared" si="598"/>
        <v>0</v>
      </c>
      <c r="EU100" s="55">
        <f t="shared" si="599"/>
        <v>0</v>
      </c>
      <c r="EV100" s="59">
        <f t="shared" si="600"/>
        <v>0</v>
      </c>
      <c r="EW100" s="55">
        <f t="shared" si="601"/>
        <v>0</v>
      </c>
      <c r="EX100" s="59">
        <f t="shared" si="602"/>
        <v>0</v>
      </c>
      <c r="EY100" s="55">
        <f t="shared" si="603"/>
        <v>0</v>
      </c>
      <c r="EZ100" s="59">
        <f t="shared" si="604"/>
        <v>0</v>
      </c>
      <c r="FA100" s="57">
        <f t="shared" si="605"/>
        <v>0</v>
      </c>
      <c r="FB100" s="59">
        <f t="shared" si="606"/>
        <v>0</v>
      </c>
      <c r="FC100" s="55">
        <f t="shared" si="607"/>
        <v>0</v>
      </c>
      <c r="FD100" s="59">
        <f t="shared" si="608"/>
        <v>0</v>
      </c>
      <c r="FE100" s="57">
        <f t="shared" si="609"/>
        <v>0</v>
      </c>
      <c r="FF100" s="59">
        <f t="shared" si="610"/>
        <v>0</v>
      </c>
      <c r="FG100" s="60">
        <f t="shared" si="611"/>
        <v>0</v>
      </c>
      <c r="FH100" s="59">
        <f t="shared" si="612"/>
        <v>0</v>
      </c>
      <c r="FI100" s="57">
        <f t="shared" si="613"/>
        <v>0</v>
      </c>
      <c r="FJ100" s="59">
        <f t="shared" si="614"/>
        <v>0</v>
      </c>
      <c r="FK100" s="55">
        <f t="shared" si="615"/>
        <v>0</v>
      </c>
      <c r="FL100" s="59">
        <f t="shared" si="616"/>
        <v>0</v>
      </c>
      <c r="FM100" s="60">
        <f t="shared" si="617"/>
        <v>0</v>
      </c>
      <c r="FN100" s="59">
        <f t="shared" si="618"/>
        <v>0</v>
      </c>
      <c r="FO100" s="60">
        <f t="shared" si="619"/>
        <v>0</v>
      </c>
      <c r="FP100" s="59">
        <f t="shared" si="620"/>
        <v>0</v>
      </c>
      <c r="FQ100" s="60">
        <f t="shared" si="621"/>
        <v>0</v>
      </c>
      <c r="FR100" s="59">
        <f t="shared" si="622"/>
        <v>0</v>
      </c>
      <c r="FS100" s="55">
        <f t="shared" si="623"/>
        <v>0</v>
      </c>
      <c r="FT100" s="59">
        <f t="shared" si="624"/>
        <v>0</v>
      </c>
      <c r="FU100" s="60">
        <f t="shared" si="625"/>
        <v>0</v>
      </c>
      <c r="FV100" s="59">
        <f t="shared" si="626"/>
        <v>0</v>
      </c>
      <c r="FW100" s="60">
        <f t="shared" si="627"/>
        <v>0</v>
      </c>
      <c r="FX100" s="59">
        <f t="shared" si="628"/>
        <v>0</v>
      </c>
      <c r="FY100" s="60">
        <f t="shared" si="629"/>
        <v>0</v>
      </c>
      <c r="FZ100" s="59">
        <f t="shared" si="630"/>
        <v>0</v>
      </c>
      <c r="GA100" s="60">
        <f t="shared" si="631"/>
        <v>0</v>
      </c>
      <c r="GB100" s="59">
        <f t="shared" si="632"/>
        <v>0</v>
      </c>
      <c r="GC100" s="55">
        <f t="shared" si="633"/>
        <v>0</v>
      </c>
      <c r="GD100" s="59">
        <f t="shared" si="634"/>
        <v>0</v>
      </c>
      <c r="GE100" s="60">
        <f t="shared" si="635"/>
        <v>0</v>
      </c>
      <c r="GF100" s="59">
        <f t="shared" si="636"/>
        <v>0</v>
      </c>
      <c r="GG100" s="60">
        <f t="shared" si="637"/>
        <v>0</v>
      </c>
      <c r="GH100" s="59">
        <f t="shared" si="638"/>
        <v>0</v>
      </c>
      <c r="GI100" s="55">
        <f t="shared" si="639"/>
        <v>0</v>
      </c>
      <c r="GJ100" s="59">
        <f t="shared" si="640"/>
        <v>0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si="645"/>
        <v>0.91</v>
      </c>
      <c r="GR100" s="55">
        <f t="shared" si="645"/>
        <v>0.89</v>
      </c>
      <c r="GS100" s="55">
        <f t="shared" si="645"/>
        <v>0.87</v>
      </c>
      <c r="GT100" s="55">
        <f t="shared" si="645"/>
        <v>0.85</v>
      </c>
      <c r="GU100" s="55">
        <f t="shared" si="645"/>
        <v>0.83</v>
      </c>
      <c r="GV100" s="55">
        <f t="shared" si="645"/>
        <v>0.80999999999999994</v>
      </c>
      <c r="GW100" s="55">
        <f t="shared" si="645"/>
        <v>0.78999999999999992</v>
      </c>
      <c r="GX100" s="55">
        <f t="shared" si="645"/>
        <v>0.76999999999999991</v>
      </c>
      <c r="GY100" s="55">
        <f t="shared" si="645"/>
        <v>0.74999999999999989</v>
      </c>
      <c r="GZ100" s="55">
        <f t="shared" si="645"/>
        <v>0.72999999999999987</v>
      </c>
      <c r="HA100" s="55">
        <f t="shared" si="645"/>
        <v>0.70999999999999985</v>
      </c>
      <c r="HB100" s="55">
        <f t="shared" si="645"/>
        <v>0.68999999999999984</v>
      </c>
      <c r="HC100" s="55">
        <f t="shared" si="645"/>
        <v>0.66999999999999982</v>
      </c>
      <c r="HD100" s="55">
        <f t="shared" si="645"/>
        <v>0.6499999999999998</v>
      </c>
      <c r="HE100" s="55">
        <f t="shared" si="645"/>
        <v>0.62999999999999978</v>
      </c>
      <c r="HF100" s="55">
        <f t="shared" si="645"/>
        <v>0.60999999999999976</v>
      </c>
      <c r="HG100" s="55">
        <f t="shared" si="645"/>
        <v>0.58999999999999975</v>
      </c>
      <c r="HH100" s="55">
        <f t="shared" si="645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86">
        <f>TRUNC(+D101*3.3058,-1)</f>
        <v>0</v>
      </c>
      <c r="H101" s="55">
        <f t="shared" si="502"/>
        <v>0</v>
      </c>
      <c r="I101" s="55">
        <f t="shared" si="503"/>
        <v>0</v>
      </c>
      <c r="J101" s="59">
        <f t="shared" si="504"/>
        <v>0</v>
      </c>
      <c r="K101" s="55">
        <f t="shared" si="512"/>
        <v>0</v>
      </c>
      <c r="L101" s="59">
        <f t="shared" si="513"/>
        <v>0</v>
      </c>
      <c r="M101" s="55">
        <f t="shared" si="514"/>
        <v>0</v>
      </c>
      <c r="N101" s="59">
        <f t="shared" si="515"/>
        <v>0</v>
      </c>
      <c r="O101" s="55">
        <f t="shared" si="516"/>
        <v>0</v>
      </c>
      <c r="P101" s="59">
        <f t="shared" si="517"/>
        <v>0</v>
      </c>
      <c r="Q101" s="57">
        <f t="shared" si="518"/>
        <v>0</v>
      </c>
      <c r="R101" s="59">
        <f t="shared" si="519"/>
        <v>0</v>
      </c>
      <c r="S101" s="55">
        <f t="shared" si="520"/>
        <v>0</v>
      </c>
      <c r="T101" s="59">
        <f t="shared" si="521"/>
        <v>0</v>
      </c>
      <c r="U101" s="57">
        <f t="shared" si="522"/>
        <v>0</v>
      </c>
      <c r="V101" s="59">
        <f t="shared" si="523"/>
        <v>0</v>
      </c>
      <c r="W101" s="60">
        <f t="shared" si="524"/>
        <v>0</v>
      </c>
      <c r="X101" s="59">
        <f t="shared" si="525"/>
        <v>0</v>
      </c>
      <c r="Y101" s="57">
        <f t="shared" si="526"/>
        <v>0</v>
      </c>
      <c r="Z101" s="59">
        <f t="shared" si="527"/>
        <v>0</v>
      </c>
      <c r="AA101" s="55">
        <f t="shared" si="528"/>
        <v>0</v>
      </c>
      <c r="AB101" s="59">
        <f t="shared" si="529"/>
        <v>0</v>
      </c>
      <c r="AC101" s="60">
        <f t="shared" si="530"/>
        <v>0</v>
      </c>
      <c r="AD101" s="59">
        <f t="shared" si="531"/>
        <v>0</v>
      </c>
      <c r="AE101" s="60">
        <f t="shared" si="532"/>
        <v>0</v>
      </c>
      <c r="AF101" s="59">
        <f t="shared" si="533"/>
        <v>0</v>
      </c>
      <c r="AG101" s="60">
        <f t="shared" si="534"/>
        <v>0</v>
      </c>
      <c r="AH101" s="59">
        <f t="shared" si="535"/>
        <v>0</v>
      </c>
      <c r="AI101" s="55">
        <f t="shared" si="536"/>
        <v>0</v>
      </c>
      <c r="AJ101" s="59">
        <f t="shared" si="537"/>
        <v>0</v>
      </c>
      <c r="AK101" s="60">
        <f t="shared" si="538"/>
        <v>0</v>
      </c>
      <c r="AL101" s="59">
        <f t="shared" si="539"/>
        <v>0</v>
      </c>
      <c r="AM101" s="60">
        <f t="shared" si="540"/>
        <v>0</v>
      </c>
      <c r="AN101" s="59">
        <f t="shared" si="541"/>
        <v>0</v>
      </c>
      <c r="AO101" s="60">
        <f t="shared" si="542"/>
        <v>0</v>
      </c>
      <c r="AP101" s="59">
        <f t="shared" si="543"/>
        <v>0</v>
      </c>
      <c r="AQ101" s="60">
        <f t="shared" si="544"/>
        <v>0</v>
      </c>
      <c r="AR101" s="59">
        <f t="shared" si="545"/>
        <v>0</v>
      </c>
      <c r="AS101" s="55">
        <f t="shared" si="546"/>
        <v>0</v>
      </c>
      <c r="AT101" s="59">
        <f t="shared" si="547"/>
        <v>0</v>
      </c>
      <c r="AU101" s="60">
        <f t="shared" si="548"/>
        <v>0</v>
      </c>
      <c r="AV101" s="59">
        <f t="shared" si="549"/>
        <v>0</v>
      </c>
      <c r="AW101" s="60">
        <f t="shared" si="550"/>
        <v>0</v>
      </c>
      <c r="AX101" s="59">
        <f t="shared" si="551"/>
        <v>0</v>
      </c>
      <c r="AY101" s="55">
        <f t="shared" si="552"/>
        <v>0</v>
      </c>
      <c r="AZ101" s="59">
        <f t="shared" si="553"/>
        <v>0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54"/>
        <v>0.91</v>
      </c>
      <c r="BH101" s="55">
        <f t="shared" si="554"/>
        <v>0.89</v>
      </c>
      <c r="BI101" s="55">
        <f t="shared" si="554"/>
        <v>0.87</v>
      </c>
      <c r="BJ101" s="55">
        <f t="shared" si="554"/>
        <v>0.85</v>
      </c>
      <c r="BK101" s="55">
        <f t="shared" si="554"/>
        <v>0.83</v>
      </c>
      <c r="BL101" s="55">
        <f t="shared" si="554"/>
        <v>0.80999999999999994</v>
      </c>
      <c r="BM101" s="55">
        <f t="shared" si="554"/>
        <v>0.78999999999999992</v>
      </c>
      <c r="BN101" s="55">
        <f t="shared" si="554"/>
        <v>0.76999999999999991</v>
      </c>
      <c r="BO101" s="55">
        <f t="shared" si="554"/>
        <v>0.74999999999999989</v>
      </c>
      <c r="BP101" s="55">
        <f t="shared" si="554"/>
        <v>0.72999999999999987</v>
      </c>
      <c r="BQ101" s="55">
        <f t="shared" si="554"/>
        <v>0.70999999999999985</v>
      </c>
      <c r="BR101" s="55">
        <f t="shared" si="554"/>
        <v>0.68999999999999984</v>
      </c>
      <c r="BS101" s="55">
        <f t="shared" si="554"/>
        <v>0.66999999999999982</v>
      </c>
      <c r="BT101" s="55">
        <f t="shared" si="554"/>
        <v>0.6499999999999998</v>
      </c>
      <c r="BU101" s="55">
        <f t="shared" si="554"/>
        <v>0.62999999999999978</v>
      </c>
      <c r="BV101" s="55">
        <f t="shared" si="554"/>
        <v>0.60999999999999976</v>
      </c>
      <c r="BW101" s="55">
        <f t="shared" si="554"/>
        <v>0.58999999999999975</v>
      </c>
      <c r="BX101" s="55">
        <f t="shared" si="554"/>
        <v>0.56999999999999973</v>
      </c>
      <c r="BZ101" s="55">
        <f t="shared" si="505"/>
        <v>0</v>
      </c>
      <c r="CA101" s="55">
        <f t="shared" si="506"/>
        <v>0</v>
      </c>
      <c r="CB101" s="59">
        <f t="shared" si="555"/>
        <v>0</v>
      </c>
      <c r="CC101" s="55">
        <f t="shared" si="556"/>
        <v>0</v>
      </c>
      <c r="CD101" s="59">
        <f t="shared" si="557"/>
        <v>0</v>
      </c>
      <c r="CE101" s="55">
        <f t="shared" si="558"/>
        <v>0</v>
      </c>
      <c r="CF101" s="59">
        <f t="shared" si="559"/>
        <v>0</v>
      </c>
      <c r="CG101" s="55">
        <f t="shared" si="560"/>
        <v>0</v>
      </c>
      <c r="CH101" s="59">
        <f t="shared" si="561"/>
        <v>0</v>
      </c>
      <c r="CI101" s="57">
        <f t="shared" si="562"/>
        <v>0</v>
      </c>
      <c r="CJ101" s="59">
        <f t="shared" si="563"/>
        <v>0</v>
      </c>
      <c r="CK101" s="55">
        <f t="shared" si="564"/>
        <v>0</v>
      </c>
      <c r="CL101" s="59">
        <f t="shared" si="565"/>
        <v>0</v>
      </c>
      <c r="CM101" s="57">
        <f t="shared" si="566"/>
        <v>0</v>
      </c>
      <c r="CN101" s="59">
        <f t="shared" si="567"/>
        <v>0</v>
      </c>
      <c r="CO101" s="60">
        <f t="shared" si="568"/>
        <v>0</v>
      </c>
      <c r="CP101" s="59">
        <f t="shared" si="569"/>
        <v>0</v>
      </c>
      <c r="CQ101" s="57">
        <f t="shared" si="570"/>
        <v>0</v>
      </c>
      <c r="CR101" s="59">
        <f t="shared" si="571"/>
        <v>0</v>
      </c>
      <c r="CS101" s="55">
        <f t="shared" si="572"/>
        <v>0</v>
      </c>
      <c r="CT101" s="59">
        <f t="shared" si="573"/>
        <v>0</v>
      </c>
      <c r="CU101" s="60">
        <f t="shared" si="574"/>
        <v>0</v>
      </c>
      <c r="CV101" s="59">
        <f t="shared" si="575"/>
        <v>0</v>
      </c>
      <c r="CW101" s="60">
        <f t="shared" si="576"/>
        <v>0</v>
      </c>
      <c r="CX101" s="59">
        <f t="shared" si="577"/>
        <v>0</v>
      </c>
      <c r="CY101" s="60">
        <f t="shared" si="578"/>
        <v>0</v>
      </c>
      <c r="CZ101" s="59">
        <f t="shared" si="579"/>
        <v>0</v>
      </c>
      <c r="DA101" s="55">
        <f t="shared" si="580"/>
        <v>0</v>
      </c>
      <c r="DB101" s="59">
        <f t="shared" si="581"/>
        <v>0</v>
      </c>
      <c r="DC101" s="60">
        <f t="shared" si="582"/>
        <v>0</v>
      </c>
      <c r="DD101" s="59">
        <f t="shared" si="583"/>
        <v>0</v>
      </c>
      <c r="DE101" s="60">
        <f t="shared" si="584"/>
        <v>0</v>
      </c>
      <c r="DF101" s="59">
        <f t="shared" si="585"/>
        <v>0</v>
      </c>
      <c r="DG101" s="60">
        <f t="shared" si="586"/>
        <v>0</v>
      </c>
      <c r="DH101" s="59">
        <f t="shared" si="587"/>
        <v>0</v>
      </c>
      <c r="DI101" s="60">
        <f t="shared" si="588"/>
        <v>0</v>
      </c>
      <c r="DJ101" s="59">
        <f t="shared" si="589"/>
        <v>0</v>
      </c>
      <c r="DK101" s="55">
        <f t="shared" si="590"/>
        <v>0</v>
      </c>
      <c r="DL101" s="59">
        <f t="shared" si="591"/>
        <v>0</v>
      </c>
      <c r="DM101" s="60">
        <f t="shared" si="592"/>
        <v>0</v>
      </c>
      <c r="DN101" s="59">
        <f t="shared" si="593"/>
        <v>0</v>
      </c>
      <c r="DO101" s="60">
        <f t="shared" si="594"/>
        <v>0</v>
      </c>
      <c r="DP101" s="59">
        <f t="shared" si="595"/>
        <v>0</v>
      </c>
      <c r="DQ101" s="55">
        <f t="shared" si="596"/>
        <v>0</v>
      </c>
      <c r="DR101" s="59">
        <f t="shared" si="597"/>
        <v>0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43"/>
        <v>0.91</v>
      </c>
      <c r="DZ101" s="55">
        <f t="shared" si="643"/>
        <v>0.89</v>
      </c>
      <c r="EA101" s="55">
        <f t="shared" si="643"/>
        <v>0.87</v>
      </c>
      <c r="EB101" s="55">
        <f t="shared" si="643"/>
        <v>0.85</v>
      </c>
      <c r="EC101" s="55">
        <f t="shared" si="643"/>
        <v>0.83</v>
      </c>
      <c r="ED101" s="55">
        <f t="shared" si="643"/>
        <v>0.80999999999999994</v>
      </c>
      <c r="EE101" s="55">
        <f t="shared" si="643"/>
        <v>0.78999999999999992</v>
      </c>
      <c r="EF101" s="55">
        <f t="shared" si="643"/>
        <v>0.76999999999999991</v>
      </c>
      <c r="EG101" s="55">
        <f t="shared" si="643"/>
        <v>0.74999999999999989</v>
      </c>
      <c r="EH101" s="55">
        <f t="shared" si="643"/>
        <v>0.72999999999999987</v>
      </c>
      <c r="EI101" s="55">
        <f t="shared" si="643"/>
        <v>0.70999999999999985</v>
      </c>
      <c r="EJ101" s="55">
        <f t="shared" si="643"/>
        <v>0.68999999999999984</v>
      </c>
      <c r="EK101" s="55">
        <f t="shared" si="643"/>
        <v>0.66999999999999982</v>
      </c>
      <c r="EL101" s="55">
        <f t="shared" si="643"/>
        <v>0.6499999999999998</v>
      </c>
      <c r="EM101" s="55">
        <f t="shared" si="643"/>
        <v>0.62999999999999978</v>
      </c>
      <c r="EN101" s="55">
        <f t="shared" si="643"/>
        <v>0.60999999999999976</v>
      </c>
      <c r="EO101" s="55">
        <f t="shared" si="643"/>
        <v>0.58999999999999975</v>
      </c>
      <c r="EP101" s="55">
        <f t="shared" si="643"/>
        <v>0.56999999999999973</v>
      </c>
      <c r="ER101" s="55">
        <f t="shared" si="644"/>
        <v>0</v>
      </c>
      <c r="ES101" s="55">
        <f t="shared" si="507"/>
        <v>0</v>
      </c>
      <c r="ET101" s="59">
        <f t="shared" si="598"/>
        <v>0</v>
      </c>
      <c r="EU101" s="55">
        <f t="shared" si="599"/>
        <v>0</v>
      </c>
      <c r="EV101" s="59">
        <f t="shared" si="600"/>
        <v>0</v>
      </c>
      <c r="EW101" s="55">
        <f t="shared" si="601"/>
        <v>0</v>
      </c>
      <c r="EX101" s="59">
        <f t="shared" si="602"/>
        <v>0</v>
      </c>
      <c r="EY101" s="55">
        <f t="shared" si="603"/>
        <v>0</v>
      </c>
      <c r="EZ101" s="59">
        <f t="shared" si="604"/>
        <v>0</v>
      </c>
      <c r="FA101" s="57">
        <f t="shared" si="605"/>
        <v>0</v>
      </c>
      <c r="FB101" s="59">
        <f t="shared" si="606"/>
        <v>0</v>
      </c>
      <c r="FC101" s="55">
        <f t="shared" si="607"/>
        <v>0</v>
      </c>
      <c r="FD101" s="59">
        <f t="shared" si="608"/>
        <v>0</v>
      </c>
      <c r="FE101" s="57">
        <f t="shared" si="609"/>
        <v>0</v>
      </c>
      <c r="FF101" s="59">
        <f t="shared" si="610"/>
        <v>0</v>
      </c>
      <c r="FG101" s="60">
        <f t="shared" si="611"/>
        <v>0</v>
      </c>
      <c r="FH101" s="59">
        <f t="shared" si="612"/>
        <v>0</v>
      </c>
      <c r="FI101" s="57">
        <f t="shared" si="613"/>
        <v>0</v>
      </c>
      <c r="FJ101" s="59">
        <f t="shared" si="614"/>
        <v>0</v>
      </c>
      <c r="FK101" s="55">
        <f t="shared" si="615"/>
        <v>0</v>
      </c>
      <c r="FL101" s="59">
        <f t="shared" si="616"/>
        <v>0</v>
      </c>
      <c r="FM101" s="60">
        <f t="shared" si="617"/>
        <v>0</v>
      </c>
      <c r="FN101" s="59">
        <f t="shared" si="618"/>
        <v>0</v>
      </c>
      <c r="FO101" s="60">
        <f t="shared" si="619"/>
        <v>0</v>
      </c>
      <c r="FP101" s="59">
        <f t="shared" si="620"/>
        <v>0</v>
      </c>
      <c r="FQ101" s="60">
        <f t="shared" si="621"/>
        <v>0</v>
      </c>
      <c r="FR101" s="59">
        <f t="shared" si="622"/>
        <v>0</v>
      </c>
      <c r="FS101" s="55">
        <f t="shared" si="623"/>
        <v>0</v>
      </c>
      <c r="FT101" s="59">
        <f t="shared" si="624"/>
        <v>0</v>
      </c>
      <c r="FU101" s="60">
        <f t="shared" si="625"/>
        <v>0</v>
      </c>
      <c r="FV101" s="59">
        <f t="shared" si="626"/>
        <v>0</v>
      </c>
      <c r="FW101" s="60">
        <f t="shared" si="627"/>
        <v>0</v>
      </c>
      <c r="FX101" s="59">
        <f t="shared" si="628"/>
        <v>0</v>
      </c>
      <c r="FY101" s="60">
        <f t="shared" si="629"/>
        <v>0</v>
      </c>
      <c r="FZ101" s="59">
        <f t="shared" si="630"/>
        <v>0</v>
      </c>
      <c r="GA101" s="60">
        <f t="shared" si="631"/>
        <v>0</v>
      </c>
      <c r="GB101" s="59">
        <f t="shared" si="632"/>
        <v>0</v>
      </c>
      <c r="GC101" s="55">
        <f t="shared" si="633"/>
        <v>0</v>
      </c>
      <c r="GD101" s="59">
        <f t="shared" si="634"/>
        <v>0</v>
      </c>
      <c r="GE101" s="60">
        <f t="shared" si="635"/>
        <v>0</v>
      </c>
      <c r="GF101" s="59">
        <f t="shared" si="636"/>
        <v>0</v>
      </c>
      <c r="GG101" s="60">
        <f t="shared" si="637"/>
        <v>0</v>
      </c>
      <c r="GH101" s="59">
        <f t="shared" si="638"/>
        <v>0</v>
      </c>
      <c r="GI101" s="55">
        <f t="shared" si="639"/>
        <v>0</v>
      </c>
      <c r="GJ101" s="59">
        <f t="shared" si="640"/>
        <v>0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45"/>
        <v>0.91</v>
      </c>
      <c r="GR101" s="55">
        <f t="shared" si="645"/>
        <v>0.89</v>
      </c>
      <c r="GS101" s="55">
        <f t="shared" si="645"/>
        <v>0.87</v>
      </c>
      <c r="GT101" s="55">
        <f t="shared" si="645"/>
        <v>0.85</v>
      </c>
      <c r="GU101" s="55">
        <f t="shared" si="645"/>
        <v>0.83</v>
      </c>
      <c r="GV101" s="55">
        <f t="shared" si="645"/>
        <v>0.80999999999999994</v>
      </c>
      <c r="GW101" s="55">
        <f t="shared" si="645"/>
        <v>0.78999999999999992</v>
      </c>
      <c r="GX101" s="55">
        <f t="shared" si="645"/>
        <v>0.76999999999999991</v>
      </c>
      <c r="GY101" s="55">
        <f t="shared" si="645"/>
        <v>0.74999999999999989</v>
      </c>
      <c r="GZ101" s="55">
        <f t="shared" si="645"/>
        <v>0.72999999999999987</v>
      </c>
      <c r="HA101" s="55">
        <f t="shared" si="645"/>
        <v>0.70999999999999985</v>
      </c>
      <c r="HB101" s="55">
        <f t="shared" si="645"/>
        <v>0.68999999999999984</v>
      </c>
      <c r="HC101" s="55">
        <f t="shared" si="645"/>
        <v>0.66999999999999982</v>
      </c>
      <c r="HD101" s="55">
        <f t="shared" si="645"/>
        <v>0.6499999999999998</v>
      </c>
      <c r="HE101" s="55">
        <f t="shared" si="645"/>
        <v>0.62999999999999978</v>
      </c>
      <c r="HF101" s="55">
        <f t="shared" si="645"/>
        <v>0.60999999999999976</v>
      </c>
      <c r="HG101" s="55">
        <f t="shared" si="645"/>
        <v>0.58999999999999975</v>
      </c>
      <c r="HH101" s="55">
        <f t="shared" si="645"/>
        <v>0.56999999999999973</v>
      </c>
    </row>
    <row r="102" spans="1:216" x14ac:dyDescent="0.3">
      <c r="A102" s="2">
        <v>11</v>
      </c>
      <c r="C102" s="38" t="s">
        <v>121</v>
      </c>
      <c r="D102" s="42">
        <v>0</v>
      </c>
      <c r="E102" s="86">
        <f>TRUNC(+D102*3.3058,-1)</f>
        <v>0</v>
      </c>
      <c r="H102" s="55">
        <f t="shared" si="502"/>
        <v>0</v>
      </c>
      <c r="I102" s="55">
        <f t="shared" si="503"/>
        <v>0</v>
      </c>
      <c r="J102" s="59">
        <f t="shared" si="504"/>
        <v>0</v>
      </c>
      <c r="K102" s="55">
        <f t="shared" si="512"/>
        <v>0</v>
      </c>
      <c r="L102" s="59">
        <f t="shared" si="513"/>
        <v>0</v>
      </c>
      <c r="M102" s="55">
        <f t="shared" si="514"/>
        <v>0</v>
      </c>
      <c r="N102" s="59">
        <f t="shared" si="515"/>
        <v>0</v>
      </c>
      <c r="O102" s="55">
        <f t="shared" si="516"/>
        <v>0</v>
      </c>
      <c r="P102" s="59">
        <f t="shared" si="517"/>
        <v>0</v>
      </c>
      <c r="Q102" s="57">
        <f t="shared" si="518"/>
        <v>0</v>
      </c>
      <c r="R102" s="59">
        <f t="shared" si="519"/>
        <v>0</v>
      </c>
      <c r="S102" s="55">
        <f t="shared" si="520"/>
        <v>0</v>
      </c>
      <c r="T102" s="59">
        <f t="shared" si="521"/>
        <v>0</v>
      </c>
      <c r="U102" s="57">
        <f t="shared" si="522"/>
        <v>0</v>
      </c>
      <c r="V102" s="59">
        <f t="shared" si="523"/>
        <v>0</v>
      </c>
      <c r="W102" s="60">
        <f t="shared" si="524"/>
        <v>0</v>
      </c>
      <c r="X102" s="59">
        <f t="shared" si="525"/>
        <v>0</v>
      </c>
      <c r="Y102" s="57">
        <f t="shared" si="526"/>
        <v>0</v>
      </c>
      <c r="Z102" s="59">
        <f t="shared" si="527"/>
        <v>0</v>
      </c>
      <c r="AA102" s="55">
        <f t="shared" si="528"/>
        <v>0</v>
      </c>
      <c r="AB102" s="59">
        <f t="shared" si="529"/>
        <v>0</v>
      </c>
      <c r="AC102" s="60">
        <f t="shared" si="530"/>
        <v>0</v>
      </c>
      <c r="AD102" s="59">
        <f t="shared" si="531"/>
        <v>0</v>
      </c>
      <c r="AE102" s="60">
        <f t="shared" si="532"/>
        <v>0</v>
      </c>
      <c r="AF102" s="59">
        <f t="shared" si="533"/>
        <v>0</v>
      </c>
      <c r="AG102" s="60">
        <f t="shared" si="534"/>
        <v>0</v>
      </c>
      <c r="AH102" s="59">
        <f t="shared" si="535"/>
        <v>0</v>
      </c>
      <c r="AI102" s="55">
        <f t="shared" si="536"/>
        <v>0</v>
      </c>
      <c r="AJ102" s="59">
        <f t="shared" si="537"/>
        <v>0</v>
      </c>
      <c r="AK102" s="60">
        <f t="shared" si="538"/>
        <v>0</v>
      </c>
      <c r="AL102" s="59">
        <f t="shared" si="539"/>
        <v>0</v>
      </c>
      <c r="AM102" s="60">
        <f t="shared" si="540"/>
        <v>0</v>
      </c>
      <c r="AN102" s="59">
        <f t="shared" si="541"/>
        <v>0</v>
      </c>
      <c r="AO102" s="60">
        <f t="shared" si="542"/>
        <v>0</v>
      </c>
      <c r="AP102" s="59">
        <f t="shared" si="543"/>
        <v>0</v>
      </c>
      <c r="AQ102" s="60">
        <f t="shared" si="544"/>
        <v>0</v>
      </c>
      <c r="AR102" s="59">
        <f t="shared" si="545"/>
        <v>0</v>
      </c>
      <c r="AS102" s="55">
        <f t="shared" si="546"/>
        <v>0</v>
      </c>
      <c r="AT102" s="59">
        <f t="shared" si="547"/>
        <v>0</v>
      </c>
      <c r="AU102" s="60">
        <f t="shared" si="548"/>
        <v>0</v>
      </c>
      <c r="AV102" s="59">
        <f t="shared" si="549"/>
        <v>0</v>
      </c>
      <c r="AW102" s="60">
        <f t="shared" si="550"/>
        <v>0</v>
      </c>
      <c r="AX102" s="59">
        <f t="shared" si="551"/>
        <v>0</v>
      </c>
      <c r="AY102" s="55">
        <f t="shared" si="552"/>
        <v>0</v>
      </c>
      <c r="AZ102" s="59">
        <f t="shared" si="553"/>
        <v>0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54"/>
        <v>0.91</v>
      </c>
      <c r="BH102" s="55">
        <f t="shared" si="554"/>
        <v>0.89</v>
      </c>
      <c r="BI102" s="55">
        <f t="shared" si="554"/>
        <v>0.87</v>
      </c>
      <c r="BJ102" s="55">
        <f t="shared" si="554"/>
        <v>0.85</v>
      </c>
      <c r="BK102" s="55">
        <f t="shared" si="554"/>
        <v>0.83</v>
      </c>
      <c r="BL102" s="55">
        <f t="shared" si="554"/>
        <v>0.80999999999999994</v>
      </c>
      <c r="BM102" s="55">
        <f t="shared" si="554"/>
        <v>0.78999999999999992</v>
      </c>
      <c r="BN102" s="55">
        <f t="shared" si="554"/>
        <v>0.76999999999999991</v>
      </c>
      <c r="BO102" s="55">
        <f t="shared" si="554"/>
        <v>0.74999999999999989</v>
      </c>
      <c r="BP102" s="55">
        <f t="shared" si="554"/>
        <v>0.72999999999999987</v>
      </c>
      <c r="BQ102" s="55">
        <f t="shared" si="554"/>
        <v>0.70999999999999985</v>
      </c>
      <c r="BR102" s="55">
        <f t="shared" si="554"/>
        <v>0.68999999999999984</v>
      </c>
      <c r="BS102" s="55">
        <f t="shared" si="554"/>
        <v>0.66999999999999982</v>
      </c>
      <c r="BT102" s="55">
        <f t="shared" si="554"/>
        <v>0.6499999999999998</v>
      </c>
      <c r="BU102" s="55">
        <f t="shared" si="554"/>
        <v>0.62999999999999978</v>
      </c>
      <c r="BV102" s="55">
        <f t="shared" si="554"/>
        <v>0.60999999999999976</v>
      </c>
      <c r="BW102" s="55">
        <f t="shared" si="554"/>
        <v>0.58999999999999975</v>
      </c>
      <c r="BX102" s="55">
        <f t="shared" si="554"/>
        <v>0.56999999999999973</v>
      </c>
      <c r="BZ102" s="55">
        <f t="shared" si="505"/>
        <v>0</v>
      </c>
      <c r="CA102" s="55">
        <f t="shared" si="506"/>
        <v>0</v>
      </c>
      <c r="CB102" s="59">
        <f t="shared" si="555"/>
        <v>0</v>
      </c>
      <c r="CC102" s="55">
        <f t="shared" si="556"/>
        <v>0</v>
      </c>
      <c r="CD102" s="59">
        <f t="shared" si="557"/>
        <v>0</v>
      </c>
      <c r="CE102" s="55">
        <f t="shared" si="558"/>
        <v>0</v>
      </c>
      <c r="CF102" s="59">
        <f t="shared" si="559"/>
        <v>0</v>
      </c>
      <c r="CG102" s="55">
        <f t="shared" si="560"/>
        <v>0</v>
      </c>
      <c r="CH102" s="59">
        <f t="shared" si="561"/>
        <v>0</v>
      </c>
      <c r="CI102" s="57">
        <f t="shared" si="562"/>
        <v>0</v>
      </c>
      <c r="CJ102" s="59">
        <f t="shared" si="563"/>
        <v>0</v>
      </c>
      <c r="CK102" s="55">
        <f t="shared" si="564"/>
        <v>0</v>
      </c>
      <c r="CL102" s="59">
        <f t="shared" si="565"/>
        <v>0</v>
      </c>
      <c r="CM102" s="57">
        <f t="shared" si="566"/>
        <v>0</v>
      </c>
      <c r="CN102" s="59">
        <f t="shared" si="567"/>
        <v>0</v>
      </c>
      <c r="CO102" s="60">
        <f t="shared" si="568"/>
        <v>0</v>
      </c>
      <c r="CP102" s="59">
        <f t="shared" si="569"/>
        <v>0</v>
      </c>
      <c r="CQ102" s="57">
        <f t="shared" si="570"/>
        <v>0</v>
      </c>
      <c r="CR102" s="59">
        <f t="shared" si="571"/>
        <v>0</v>
      </c>
      <c r="CS102" s="55">
        <f t="shared" si="572"/>
        <v>0</v>
      </c>
      <c r="CT102" s="59">
        <f t="shared" si="573"/>
        <v>0</v>
      </c>
      <c r="CU102" s="60">
        <f t="shared" si="574"/>
        <v>0</v>
      </c>
      <c r="CV102" s="59">
        <f t="shared" si="575"/>
        <v>0</v>
      </c>
      <c r="CW102" s="60">
        <f t="shared" si="576"/>
        <v>0</v>
      </c>
      <c r="CX102" s="59">
        <f t="shared" si="577"/>
        <v>0</v>
      </c>
      <c r="CY102" s="60">
        <f t="shared" si="578"/>
        <v>0</v>
      </c>
      <c r="CZ102" s="59">
        <f t="shared" si="579"/>
        <v>0</v>
      </c>
      <c r="DA102" s="55">
        <f t="shared" si="580"/>
        <v>0</v>
      </c>
      <c r="DB102" s="59">
        <f t="shared" si="581"/>
        <v>0</v>
      </c>
      <c r="DC102" s="60">
        <f t="shared" si="582"/>
        <v>0</v>
      </c>
      <c r="DD102" s="59">
        <f t="shared" si="583"/>
        <v>0</v>
      </c>
      <c r="DE102" s="60">
        <f t="shared" si="584"/>
        <v>0</v>
      </c>
      <c r="DF102" s="59">
        <f t="shared" si="585"/>
        <v>0</v>
      </c>
      <c r="DG102" s="60">
        <f t="shared" si="586"/>
        <v>0</v>
      </c>
      <c r="DH102" s="59">
        <f t="shared" si="587"/>
        <v>0</v>
      </c>
      <c r="DI102" s="60">
        <f t="shared" si="588"/>
        <v>0</v>
      </c>
      <c r="DJ102" s="59">
        <f t="shared" si="589"/>
        <v>0</v>
      </c>
      <c r="DK102" s="55">
        <f t="shared" si="590"/>
        <v>0</v>
      </c>
      <c r="DL102" s="59">
        <f t="shared" si="591"/>
        <v>0</v>
      </c>
      <c r="DM102" s="60">
        <f t="shared" si="592"/>
        <v>0</v>
      </c>
      <c r="DN102" s="59">
        <f t="shared" si="593"/>
        <v>0</v>
      </c>
      <c r="DO102" s="60">
        <f t="shared" si="594"/>
        <v>0</v>
      </c>
      <c r="DP102" s="59">
        <f t="shared" si="595"/>
        <v>0</v>
      </c>
      <c r="DQ102" s="55">
        <f t="shared" si="596"/>
        <v>0</v>
      </c>
      <c r="DR102" s="59">
        <f t="shared" si="597"/>
        <v>0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43"/>
        <v>0.91</v>
      </c>
      <c r="DZ102" s="55">
        <f t="shared" si="643"/>
        <v>0.89</v>
      </c>
      <c r="EA102" s="55">
        <f t="shared" si="643"/>
        <v>0.87</v>
      </c>
      <c r="EB102" s="55">
        <f t="shared" si="643"/>
        <v>0.85</v>
      </c>
      <c r="EC102" s="55">
        <f t="shared" si="643"/>
        <v>0.83</v>
      </c>
      <c r="ED102" s="55">
        <f t="shared" si="643"/>
        <v>0.80999999999999994</v>
      </c>
      <c r="EE102" s="55">
        <f t="shared" si="643"/>
        <v>0.78999999999999992</v>
      </c>
      <c r="EF102" s="55">
        <f t="shared" si="643"/>
        <v>0.76999999999999991</v>
      </c>
      <c r="EG102" s="55">
        <f t="shared" si="643"/>
        <v>0.74999999999999989</v>
      </c>
      <c r="EH102" s="55">
        <f t="shared" si="643"/>
        <v>0.72999999999999987</v>
      </c>
      <c r="EI102" s="55">
        <f t="shared" si="643"/>
        <v>0.70999999999999985</v>
      </c>
      <c r="EJ102" s="55">
        <f t="shared" si="643"/>
        <v>0.68999999999999984</v>
      </c>
      <c r="EK102" s="55">
        <f t="shared" si="643"/>
        <v>0.66999999999999982</v>
      </c>
      <c r="EL102" s="55">
        <f t="shared" si="643"/>
        <v>0.6499999999999998</v>
      </c>
      <c r="EM102" s="55">
        <f t="shared" si="643"/>
        <v>0.62999999999999978</v>
      </c>
      <c r="EN102" s="55">
        <f t="shared" si="643"/>
        <v>0.60999999999999976</v>
      </c>
      <c r="EO102" s="55">
        <f t="shared" si="643"/>
        <v>0.58999999999999975</v>
      </c>
      <c r="EP102" s="55">
        <f t="shared" si="643"/>
        <v>0.56999999999999973</v>
      </c>
      <c r="ER102" s="55">
        <f t="shared" si="644"/>
        <v>0</v>
      </c>
      <c r="ES102" s="55">
        <f t="shared" si="507"/>
        <v>0</v>
      </c>
      <c r="ET102" s="59">
        <f t="shared" si="598"/>
        <v>0</v>
      </c>
      <c r="EU102" s="55">
        <f t="shared" si="599"/>
        <v>0</v>
      </c>
      <c r="EV102" s="59">
        <f t="shared" si="600"/>
        <v>0</v>
      </c>
      <c r="EW102" s="55">
        <f t="shared" si="601"/>
        <v>0</v>
      </c>
      <c r="EX102" s="59">
        <f t="shared" si="602"/>
        <v>0</v>
      </c>
      <c r="EY102" s="55">
        <f t="shared" si="603"/>
        <v>0</v>
      </c>
      <c r="EZ102" s="59">
        <f t="shared" si="604"/>
        <v>0</v>
      </c>
      <c r="FA102" s="57">
        <f t="shared" si="605"/>
        <v>0</v>
      </c>
      <c r="FB102" s="59">
        <f t="shared" si="606"/>
        <v>0</v>
      </c>
      <c r="FC102" s="55">
        <f t="shared" si="607"/>
        <v>0</v>
      </c>
      <c r="FD102" s="59">
        <f t="shared" si="608"/>
        <v>0</v>
      </c>
      <c r="FE102" s="57">
        <f t="shared" si="609"/>
        <v>0</v>
      </c>
      <c r="FF102" s="59">
        <f t="shared" si="610"/>
        <v>0</v>
      </c>
      <c r="FG102" s="60">
        <f t="shared" si="611"/>
        <v>0</v>
      </c>
      <c r="FH102" s="59">
        <f t="shared" si="612"/>
        <v>0</v>
      </c>
      <c r="FI102" s="57">
        <f t="shared" si="613"/>
        <v>0</v>
      </c>
      <c r="FJ102" s="59">
        <f t="shared" si="614"/>
        <v>0</v>
      </c>
      <c r="FK102" s="55">
        <f t="shared" si="615"/>
        <v>0</v>
      </c>
      <c r="FL102" s="59">
        <f t="shared" si="616"/>
        <v>0</v>
      </c>
      <c r="FM102" s="60">
        <f t="shared" si="617"/>
        <v>0</v>
      </c>
      <c r="FN102" s="59">
        <f t="shared" si="618"/>
        <v>0</v>
      </c>
      <c r="FO102" s="60">
        <f t="shared" si="619"/>
        <v>0</v>
      </c>
      <c r="FP102" s="59">
        <f t="shared" si="620"/>
        <v>0</v>
      </c>
      <c r="FQ102" s="60">
        <f t="shared" si="621"/>
        <v>0</v>
      </c>
      <c r="FR102" s="59">
        <f t="shared" si="622"/>
        <v>0</v>
      </c>
      <c r="FS102" s="55">
        <f t="shared" si="623"/>
        <v>0</v>
      </c>
      <c r="FT102" s="59">
        <f t="shared" si="624"/>
        <v>0</v>
      </c>
      <c r="FU102" s="60">
        <f t="shared" si="625"/>
        <v>0</v>
      </c>
      <c r="FV102" s="59">
        <f t="shared" si="626"/>
        <v>0</v>
      </c>
      <c r="FW102" s="60">
        <f t="shared" si="627"/>
        <v>0</v>
      </c>
      <c r="FX102" s="59">
        <f t="shared" si="628"/>
        <v>0</v>
      </c>
      <c r="FY102" s="60">
        <f t="shared" si="629"/>
        <v>0</v>
      </c>
      <c r="FZ102" s="59">
        <f t="shared" si="630"/>
        <v>0</v>
      </c>
      <c r="GA102" s="60">
        <f t="shared" si="631"/>
        <v>0</v>
      </c>
      <c r="GB102" s="59">
        <f t="shared" si="632"/>
        <v>0</v>
      </c>
      <c r="GC102" s="55">
        <f t="shared" si="633"/>
        <v>0</v>
      </c>
      <c r="GD102" s="59">
        <f t="shared" si="634"/>
        <v>0</v>
      </c>
      <c r="GE102" s="60">
        <f t="shared" si="635"/>
        <v>0</v>
      </c>
      <c r="GF102" s="59">
        <f t="shared" si="636"/>
        <v>0</v>
      </c>
      <c r="GG102" s="60">
        <f t="shared" si="637"/>
        <v>0</v>
      </c>
      <c r="GH102" s="59">
        <f t="shared" si="638"/>
        <v>0</v>
      </c>
      <c r="GI102" s="55">
        <f t="shared" si="639"/>
        <v>0</v>
      </c>
      <c r="GJ102" s="59">
        <f t="shared" si="640"/>
        <v>0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45"/>
        <v>0.91</v>
      </c>
      <c r="GR102" s="55">
        <f t="shared" si="645"/>
        <v>0.89</v>
      </c>
      <c r="GS102" s="55">
        <f t="shared" si="645"/>
        <v>0.87</v>
      </c>
      <c r="GT102" s="55">
        <f t="shared" si="645"/>
        <v>0.85</v>
      </c>
      <c r="GU102" s="55">
        <f t="shared" si="645"/>
        <v>0.83</v>
      </c>
      <c r="GV102" s="55">
        <f t="shared" si="645"/>
        <v>0.80999999999999994</v>
      </c>
      <c r="GW102" s="55">
        <f t="shared" si="645"/>
        <v>0.78999999999999992</v>
      </c>
      <c r="GX102" s="55">
        <f t="shared" si="645"/>
        <v>0.76999999999999991</v>
      </c>
      <c r="GY102" s="55">
        <f t="shared" si="645"/>
        <v>0.74999999999999989</v>
      </c>
      <c r="GZ102" s="55">
        <f t="shared" si="645"/>
        <v>0.72999999999999987</v>
      </c>
      <c r="HA102" s="55">
        <f t="shared" si="645"/>
        <v>0.70999999999999985</v>
      </c>
      <c r="HB102" s="55">
        <f t="shared" si="645"/>
        <v>0.68999999999999984</v>
      </c>
      <c r="HC102" s="55">
        <f t="shared" si="645"/>
        <v>0.66999999999999982</v>
      </c>
      <c r="HD102" s="55">
        <f t="shared" si="645"/>
        <v>0.6499999999999998</v>
      </c>
      <c r="HE102" s="55">
        <f t="shared" si="645"/>
        <v>0.62999999999999978</v>
      </c>
      <c r="HF102" s="55">
        <f t="shared" si="645"/>
        <v>0.60999999999999976</v>
      </c>
      <c r="HG102" s="55">
        <f t="shared" si="645"/>
        <v>0.58999999999999975</v>
      </c>
      <c r="HH102" s="55">
        <f t="shared" si="645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86">
        <f>TRUNC(+D103*3.3058,-1)</f>
        <v>0</v>
      </c>
      <c r="H103" s="55">
        <f t="shared" si="502"/>
        <v>0</v>
      </c>
      <c r="I103" s="55">
        <f t="shared" si="503"/>
        <v>0</v>
      </c>
      <c r="J103" s="59">
        <f t="shared" si="504"/>
        <v>0</v>
      </c>
      <c r="K103" s="55">
        <f t="shared" si="512"/>
        <v>0</v>
      </c>
      <c r="L103" s="59">
        <f t="shared" si="513"/>
        <v>0</v>
      </c>
      <c r="M103" s="55">
        <f t="shared" si="514"/>
        <v>0</v>
      </c>
      <c r="N103" s="59">
        <f t="shared" si="515"/>
        <v>0</v>
      </c>
      <c r="O103" s="55">
        <f t="shared" si="516"/>
        <v>0</v>
      </c>
      <c r="P103" s="59">
        <f t="shared" si="517"/>
        <v>0</v>
      </c>
      <c r="Q103" s="57">
        <f t="shared" si="518"/>
        <v>0</v>
      </c>
      <c r="R103" s="59">
        <f t="shared" si="519"/>
        <v>0</v>
      </c>
      <c r="S103" s="55">
        <f t="shared" si="520"/>
        <v>0</v>
      </c>
      <c r="T103" s="59">
        <f t="shared" si="521"/>
        <v>0</v>
      </c>
      <c r="U103" s="57">
        <f t="shared" si="522"/>
        <v>0</v>
      </c>
      <c r="V103" s="59">
        <f t="shared" si="523"/>
        <v>0</v>
      </c>
      <c r="W103" s="60">
        <f t="shared" si="524"/>
        <v>0</v>
      </c>
      <c r="X103" s="59">
        <f t="shared" si="525"/>
        <v>0</v>
      </c>
      <c r="Y103" s="57">
        <f t="shared" si="526"/>
        <v>0</v>
      </c>
      <c r="Z103" s="59">
        <f t="shared" si="527"/>
        <v>0</v>
      </c>
      <c r="AA103" s="55">
        <f t="shared" si="528"/>
        <v>0</v>
      </c>
      <c r="AB103" s="59">
        <f t="shared" si="529"/>
        <v>0</v>
      </c>
      <c r="AC103" s="60">
        <f t="shared" si="530"/>
        <v>0</v>
      </c>
      <c r="AD103" s="59">
        <f t="shared" si="531"/>
        <v>0</v>
      </c>
      <c r="AE103" s="60">
        <f t="shared" si="532"/>
        <v>0</v>
      </c>
      <c r="AF103" s="59">
        <f t="shared" si="533"/>
        <v>0</v>
      </c>
      <c r="AG103" s="60">
        <f t="shared" si="534"/>
        <v>0</v>
      </c>
      <c r="AH103" s="59">
        <f t="shared" si="535"/>
        <v>0</v>
      </c>
      <c r="AI103" s="55">
        <f t="shared" si="536"/>
        <v>0</v>
      </c>
      <c r="AJ103" s="59">
        <f t="shared" si="537"/>
        <v>0</v>
      </c>
      <c r="AK103" s="60">
        <f t="shared" si="538"/>
        <v>0</v>
      </c>
      <c r="AL103" s="59">
        <f t="shared" si="539"/>
        <v>0</v>
      </c>
      <c r="AM103" s="60">
        <f t="shared" si="540"/>
        <v>0</v>
      </c>
      <c r="AN103" s="59">
        <f t="shared" si="541"/>
        <v>0</v>
      </c>
      <c r="AO103" s="60">
        <f t="shared" si="542"/>
        <v>0</v>
      </c>
      <c r="AP103" s="59">
        <f t="shared" si="543"/>
        <v>0</v>
      </c>
      <c r="AQ103" s="60">
        <f t="shared" si="544"/>
        <v>0</v>
      </c>
      <c r="AR103" s="59">
        <f t="shared" si="545"/>
        <v>0</v>
      </c>
      <c r="AS103" s="55">
        <f t="shared" si="546"/>
        <v>0</v>
      </c>
      <c r="AT103" s="59">
        <f t="shared" si="547"/>
        <v>0</v>
      </c>
      <c r="AU103" s="60">
        <f t="shared" si="548"/>
        <v>0</v>
      </c>
      <c r="AV103" s="59">
        <f t="shared" si="549"/>
        <v>0</v>
      </c>
      <c r="AW103" s="60">
        <f t="shared" si="550"/>
        <v>0</v>
      </c>
      <c r="AX103" s="59">
        <f t="shared" si="551"/>
        <v>0</v>
      </c>
      <c r="AY103" s="55">
        <f t="shared" si="552"/>
        <v>0</v>
      </c>
      <c r="AZ103" s="59">
        <f t="shared" si="553"/>
        <v>0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54"/>
        <v>0.91</v>
      </c>
      <c r="BH103" s="55">
        <f t="shared" si="554"/>
        <v>0.89</v>
      </c>
      <c r="BI103" s="55">
        <f t="shared" si="554"/>
        <v>0.87</v>
      </c>
      <c r="BJ103" s="55">
        <f t="shared" si="554"/>
        <v>0.85</v>
      </c>
      <c r="BK103" s="55">
        <f t="shared" si="554"/>
        <v>0.83</v>
      </c>
      <c r="BL103" s="55">
        <f t="shared" si="554"/>
        <v>0.80999999999999994</v>
      </c>
      <c r="BM103" s="55">
        <f t="shared" si="554"/>
        <v>0.78999999999999992</v>
      </c>
      <c r="BN103" s="55">
        <f t="shared" si="554"/>
        <v>0.76999999999999991</v>
      </c>
      <c r="BO103" s="55">
        <f t="shared" si="554"/>
        <v>0.74999999999999989</v>
      </c>
      <c r="BP103" s="55">
        <f t="shared" si="554"/>
        <v>0.72999999999999987</v>
      </c>
      <c r="BQ103" s="55">
        <f t="shared" si="554"/>
        <v>0.70999999999999985</v>
      </c>
      <c r="BR103" s="55">
        <f t="shared" si="554"/>
        <v>0.68999999999999984</v>
      </c>
      <c r="BS103" s="55">
        <f t="shared" si="554"/>
        <v>0.66999999999999982</v>
      </c>
      <c r="BT103" s="55">
        <f t="shared" si="554"/>
        <v>0.6499999999999998</v>
      </c>
      <c r="BU103" s="55">
        <f t="shared" si="554"/>
        <v>0.62999999999999978</v>
      </c>
      <c r="BV103" s="55">
        <f t="shared" si="554"/>
        <v>0.60999999999999976</v>
      </c>
      <c r="BW103" s="55">
        <f t="shared" si="554"/>
        <v>0.58999999999999975</v>
      </c>
      <c r="BX103" s="55">
        <f t="shared" si="554"/>
        <v>0.56999999999999973</v>
      </c>
      <c r="BZ103" s="55">
        <f t="shared" si="505"/>
        <v>0</v>
      </c>
      <c r="CA103" s="55">
        <f t="shared" si="506"/>
        <v>0</v>
      </c>
      <c r="CB103" s="59">
        <f t="shared" si="555"/>
        <v>0</v>
      </c>
      <c r="CC103" s="55">
        <f t="shared" si="556"/>
        <v>0</v>
      </c>
      <c r="CD103" s="59">
        <f t="shared" si="557"/>
        <v>0</v>
      </c>
      <c r="CE103" s="55">
        <f t="shared" si="558"/>
        <v>0</v>
      </c>
      <c r="CF103" s="59">
        <f t="shared" si="559"/>
        <v>0</v>
      </c>
      <c r="CG103" s="55">
        <f t="shared" si="560"/>
        <v>0</v>
      </c>
      <c r="CH103" s="59">
        <f t="shared" si="561"/>
        <v>0</v>
      </c>
      <c r="CI103" s="57">
        <f t="shared" si="562"/>
        <v>0</v>
      </c>
      <c r="CJ103" s="59">
        <f t="shared" si="563"/>
        <v>0</v>
      </c>
      <c r="CK103" s="55">
        <f t="shared" si="564"/>
        <v>0</v>
      </c>
      <c r="CL103" s="59">
        <f t="shared" si="565"/>
        <v>0</v>
      </c>
      <c r="CM103" s="57">
        <f t="shared" si="566"/>
        <v>0</v>
      </c>
      <c r="CN103" s="59">
        <f t="shared" si="567"/>
        <v>0</v>
      </c>
      <c r="CO103" s="60">
        <f t="shared" si="568"/>
        <v>0</v>
      </c>
      <c r="CP103" s="59">
        <f t="shared" si="569"/>
        <v>0</v>
      </c>
      <c r="CQ103" s="57">
        <f t="shared" si="570"/>
        <v>0</v>
      </c>
      <c r="CR103" s="59">
        <f t="shared" si="571"/>
        <v>0</v>
      </c>
      <c r="CS103" s="55">
        <f t="shared" si="572"/>
        <v>0</v>
      </c>
      <c r="CT103" s="59">
        <f t="shared" si="573"/>
        <v>0</v>
      </c>
      <c r="CU103" s="60">
        <f t="shared" si="574"/>
        <v>0</v>
      </c>
      <c r="CV103" s="59">
        <f t="shared" si="575"/>
        <v>0</v>
      </c>
      <c r="CW103" s="60">
        <f t="shared" si="576"/>
        <v>0</v>
      </c>
      <c r="CX103" s="59">
        <f t="shared" si="577"/>
        <v>0</v>
      </c>
      <c r="CY103" s="60">
        <f t="shared" si="578"/>
        <v>0</v>
      </c>
      <c r="CZ103" s="59">
        <f t="shared" si="579"/>
        <v>0</v>
      </c>
      <c r="DA103" s="55">
        <f t="shared" si="580"/>
        <v>0</v>
      </c>
      <c r="DB103" s="59">
        <f t="shared" si="581"/>
        <v>0</v>
      </c>
      <c r="DC103" s="60">
        <f t="shared" si="582"/>
        <v>0</v>
      </c>
      <c r="DD103" s="59">
        <f t="shared" si="583"/>
        <v>0</v>
      </c>
      <c r="DE103" s="60">
        <f t="shared" si="584"/>
        <v>0</v>
      </c>
      <c r="DF103" s="59">
        <f t="shared" si="585"/>
        <v>0</v>
      </c>
      <c r="DG103" s="60">
        <f t="shared" si="586"/>
        <v>0</v>
      </c>
      <c r="DH103" s="59">
        <f t="shared" si="587"/>
        <v>0</v>
      </c>
      <c r="DI103" s="60">
        <f t="shared" si="588"/>
        <v>0</v>
      </c>
      <c r="DJ103" s="59">
        <f t="shared" si="589"/>
        <v>0</v>
      </c>
      <c r="DK103" s="55">
        <f t="shared" si="590"/>
        <v>0</v>
      </c>
      <c r="DL103" s="59">
        <f t="shared" si="591"/>
        <v>0</v>
      </c>
      <c r="DM103" s="60">
        <f t="shared" si="592"/>
        <v>0</v>
      </c>
      <c r="DN103" s="59">
        <f t="shared" si="593"/>
        <v>0</v>
      </c>
      <c r="DO103" s="60">
        <f t="shared" si="594"/>
        <v>0</v>
      </c>
      <c r="DP103" s="59">
        <f t="shared" si="595"/>
        <v>0</v>
      </c>
      <c r="DQ103" s="55">
        <f t="shared" si="596"/>
        <v>0</v>
      </c>
      <c r="DR103" s="59">
        <f t="shared" si="597"/>
        <v>0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43"/>
        <v>0.91</v>
      </c>
      <c r="DZ103" s="55">
        <f t="shared" si="643"/>
        <v>0.89</v>
      </c>
      <c r="EA103" s="55">
        <f t="shared" si="643"/>
        <v>0.87</v>
      </c>
      <c r="EB103" s="55">
        <f t="shared" si="643"/>
        <v>0.85</v>
      </c>
      <c r="EC103" s="55">
        <f t="shared" si="643"/>
        <v>0.83</v>
      </c>
      <c r="ED103" s="55">
        <f t="shared" si="643"/>
        <v>0.80999999999999994</v>
      </c>
      <c r="EE103" s="55">
        <f t="shared" si="643"/>
        <v>0.78999999999999992</v>
      </c>
      <c r="EF103" s="55">
        <f t="shared" si="643"/>
        <v>0.76999999999999991</v>
      </c>
      <c r="EG103" s="55">
        <f t="shared" si="643"/>
        <v>0.74999999999999989</v>
      </c>
      <c r="EH103" s="55">
        <f t="shared" si="643"/>
        <v>0.72999999999999987</v>
      </c>
      <c r="EI103" s="55">
        <f t="shared" si="643"/>
        <v>0.70999999999999985</v>
      </c>
      <c r="EJ103" s="55">
        <f t="shared" si="643"/>
        <v>0.68999999999999984</v>
      </c>
      <c r="EK103" s="55">
        <f t="shared" si="643"/>
        <v>0.66999999999999982</v>
      </c>
      <c r="EL103" s="55">
        <f t="shared" si="643"/>
        <v>0.6499999999999998</v>
      </c>
      <c r="EM103" s="55">
        <f t="shared" si="643"/>
        <v>0.62999999999999978</v>
      </c>
      <c r="EN103" s="55">
        <f t="shared" si="643"/>
        <v>0.60999999999999976</v>
      </c>
      <c r="EO103" s="55">
        <f t="shared" si="643"/>
        <v>0.58999999999999975</v>
      </c>
      <c r="EP103" s="55">
        <f t="shared" si="643"/>
        <v>0.56999999999999973</v>
      </c>
      <c r="ER103" s="55">
        <f t="shared" si="644"/>
        <v>0</v>
      </c>
      <c r="ES103" s="55">
        <f t="shared" si="507"/>
        <v>0</v>
      </c>
      <c r="ET103" s="59">
        <f t="shared" si="598"/>
        <v>0</v>
      </c>
      <c r="EU103" s="55">
        <f t="shared" si="599"/>
        <v>0</v>
      </c>
      <c r="EV103" s="59">
        <f t="shared" si="600"/>
        <v>0</v>
      </c>
      <c r="EW103" s="55">
        <f t="shared" si="601"/>
        <v>0</v>
      </c>
      <c r="EX103" s="59">
        <f t="shared" si="602"/>
        <v>0</v>
      </c>
      <c r="EY103" s="55">
        <f t="shared" si="603"/>
        <v>0</v>
      </c>
      <c r="EZ103" s="59">
        <f t="shared" si="604"/>
        <v>0</v>
      </c>
      <c r="FA103" s="57">
        <f t="shared" si="605"/>
        <v>0</v>
      </c>
      <c r="FB103" s="59">
        <f t="shared" si="606"/>
        <v>0</v>
      </c>
      <c r="FC103" s="55">
        <f t="shared" si="607"/>
        <v>0</v>
      </c>
      <c r="FD103" s="59">
        <f t="shared" si="608"/>
        <v>0</v>
      </c>
      <c r="FE103" s="57">
        <f t="shared" si="609"/>
        <v>0</v>
      </c>
      <c r="FF103" s="59">
        <f t="shared" si="610"/>
        <v>0</v>
      </c>
      <c r="FG103" s="60">
        <f t="shared" si="611"/>
        <v>0</v>
      </c>
      <c r="FH103" s="59">
        <f t="shared" si="612"/>
        <v>0</v>
      </c>
      <c r="FI103" s="57">
        <f t="shared" si="613"/>
        <v>0</v>
      </c>
      <c r="FJ103" s="59">
        <f t="shared" si="614"/>
        <v>0</v>
      </c>
      <c r="FK103" s="55">
        <f t="shared" si="615"/>
        <v>0</v>
      </c>
      <c r="FL103" s="59">
        <f t="shared" si="616"/>
        <v>0</v>
      </c>
      <c r="FM103" s="60">
        <f t="shared" si="617"/>
        <v>0</v>
      </c>
      <c r="FN103" s="59">
        <f t="shared" si="618"/>
        <v>0</v>
      </c>
      <c r="FO103" s="60">
        <f t="shared" si="619"/>
        <v>0</v>
      </c>
      <c r="FP103" s="59">
        <f t="shared" si="620"/>
        <v>0</v>
      </c>
      <c r="FQ103" s="60">
        <f t="shared" si="621"/>
        <v>0</v>
      </c>
      <c r="FR103" s="59">
        <f t="shared" si="622"/>
        <v>0</v>
      </c>
      <c r="FS103" s="55">
        <f t="shared" si="623"/>
        <v>0</v>
      </c>
      <c r="FT103" s="59">
        <f t="shared" si="624"/>
        <v>0</v>
      </c>
      <c r="FU103" s="60">
        <f t="shared" si="625"/>
        <v>0</v>
      </c>
      <c r="FV103" s="59">
        <f t="shared" si="626"/>
        <v>0</v>
      </c>
      <c r="FW103" s="60">
        <f t="shared" si="627"/>
        <v>0</v>
      </c>
      <c r="FX103" s="59">
        <f t="shared" si="628"/>
        <v>0</v>
      </c>
      <c r="FY103" s="60">
        <f t="shared" si="629"/>
        <v>0</v>
      </c>
      <c r="FZ103" s="59">
        <f t="shared" si="630"/>
        <v>0</v>
      </c>
      <c r="GA103" s="60">
        <f t="shared" si="631"/>
        <v>0</v>
      </c>
      <c r="GB103" s="59">
        <f t="shared" si="632"/>
        <v>0</v>
      </c>
      <c r="GC103" s="55">
        <f t="shared" si="633"/>
        <v>0</v>
      </c>
      <c r="GD103" s="59">
        <f t="shared" si="634"/>
        <v>0</v>
      </c>
      <c r="GE103" s="60">
        <f t="shared" si="635"/>
        <v>0</v>
      </c>
      <c r="GF103" s="59">
        <f t="shared" si="636"/>
        <v>0</v>
      </c>
      <c r="GG103" s="60">
        <f t="shared" si="637"/>
        <v>0</v>
      </c>
      <c r="GH103" s="59">
        <f t="shared" si="638"/>
        <v>0</v>
      </c>
      <c r="GI103" s="55">
        <f t="shared" si="639"/>
        <v>0</v>
      </c>
      <c r="GJ103" s="59">
        <f t="shared" si="640"/>
        <v>0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45"/>
        <v>0.91</v>
      </c>
      <c r="GR103" s="55">
        <f t="shared" si="645"/>
        <v>0.89</v>
      </c>
      <c r="GS103" s="55">
        <f t="shared" si="645"/>
        <v>0.87</v>
      </c>
      <c r="GT103" s="55">
        <f t="shared" si="645"/>
        <v>0.85</v>
      </c>
      <c r="GU103" s="55">
        <f t="shared" si="645"/>
        <v>0.83</v>
      </c>
      <c r="GV103" s="55">
        <f t="shared" si="645"/>
        <v>0.80999999999999994</v>
      </c>
      <c r="GW103" s="55">
        <f t="shared" si="645"/>
        <v>0.78999999999999992</v>
      </c>
      <c r="GX103" s="55">
        <f t="shared" si="645"/>
        <v>0.76999999999999991</v>
      </c>
      <c r="GY103" s="55">
        <f t="shared" si="645"/>
        <v>0.74999999999999989</v>
      </c>
      <c r="GZ103" s="55">
        <f t="shared" si="645"/>
        <v>0.72999999999999987</v>
      </c>
      <c r="HA103" s="55">
        <f t="shared" si="645"/>
        <v>0.70999999999999985</v>
      </c>
      <c r="HB103" s="55">
        <f t="shared" si="645"/>
        <v>0.68999999999999984</v>
      </c>
      <c r="HC103" s="55">
        <f t="shared" si="645"/>
        <v>0.66999999999999982</v>
      </c>
      <c r="HD103" s="55">
        <f t="shared" si="645"/>
        <v>0.6499999999999998</v>
      </c>
      <c r="HE103" s="55">
        <f t="shared" si="645"/>
        <v>0.62999999999999978</v>
      </c>
      <c r="HF103" s="55">
        <f t="shared" si="645"/>
        <v>0.60999999999999976</v>
      </c>
      <c r="HG103" s="55">
        <f t="shared" si="645"/>
        <v>0.58999999999999975</v>
      </c>
      <c r="HH103" s="55">
        <f t="shared" si="645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86">
        <f>TRUNC(+D104*3.3058,-1)</f>
        <v>0</v>
      </c>
      <c r="H104" s="55">
        <f t="shared" si="502"/>
        <v>0</v>
      </c>
      <c r="I104" s="55">
        <f t="shared" si="503"/>
        <v>0</v>
      </c>
      <c r="J104" s="59">
        <f t="shared" si="504"/>
        <v>0</v>
      </c>
      <c r="K104" s="55">
        <f t="shared" si="512"/>
        <v>0</v>
      </c>
      <c r="L104" s="59">
        <f t="shared" si="513"/>
        <v>0</v>
      </c>
      <c r="M104" s="55">
        <f t="shared" si="514"/>
        <v>0</v>
      </c>
      <c r="N104" s="59">
        <f t="shared" si="515"/>
        <v>0</v>
      </c>
      <c r="O104" s="55">
        <f t="shared" si="516"/>
        <v>0</v>
      </c>
      <c r="P104" s="59">
        <f t="shared" si="517"/>
        <v>0</v>
      </c>
      <c r="Q104" s="57">
        <f t="shared" si="518"/>
        <v>0</v>
      </c>
      <c r="R104" s="59">
        <f t="shared" si="519"/>
        <v>0</v>
      </c>
      <c r="S104" s="55">
        <f t="shared" si="520"/>
        <v>0</v>
      </c>
      <c r="T104" s="59">
        <f t="shared" si="521"/>
        <v>0</v>
      </c>
      <c r="U104" s="57">
        <f t="shared" si="522"/>
        <v>0</v>
      </c>
      <c r="V104" s="59">
        <f t="shared" si="523"/>
        <v>0</v>
      </c>
      <c r="W104" s="60">
        <f t="shared" si="524"/>
        <v>0</v>
      </c>
      <c r="X104" s="59">
        <f t="shared" si="525"/>
        <v>0</v>
      </c>
      <c r="Y104" s="57">
        <f t="shared" si="526"/>
        <v>0</v>
      </c>
      <c r="Z104" s="59">
        <f t="shared" si="527"/>
        <v>0</v>
      </c>
      <c r="AA104" s="55">
        <f t="shared" si="528"/>
        <v>0</v>
      </c>
      <c r="AB104" s="59">
        <f t="shared" si="529"/>
        <v>0</v>
      </c>
      <c r="AC104" s="60">
        <f t="shared" si="530"/>
        <v>0</v>
      </c>
      <c r="AD104" s="59">
        <f t="shared" si="531"/>
        <v>0</v>
      </c>
      <c r="AE104" s="60">
        <f t="shared" si="532"/>
        <v>0</v>
      </c>
      <c r="AF104" s="59">
        <f t="shared" si="533"/>
        <v>0</v>
      </c>
      <c r="AG104" s="60">
        <f t="shared" si="534"/>
        <v>0</v>
      </c>
      <c r="AH104" s="59">
        <f t="shared" si="535"/>
        <v>0</v>
      </c>
      <c r="AI104" s="55">
        <f t="shared" si="536"/>
        <v>0</v>
      </c>
      <c r="AJ104" s="59">
        <f t="shared" si="537"/>
        <v>0</v>
      </c>
      <c r="AK104" s="60">
        <f t="shared" si="538"/>
        <v>0</v>
      </c>
      <c r="AL104" s="59">
        <f t="shared" si="539"/>
        <v>0</v>
      </c>
      <c r="AM104" s="60">
        <f t="shared" si="540"/>
        <v>0</v>
      </c>
      <c r="AN104" s="59">
        <f t="shared" si="541"/>
        <v>0</v>
      </c>
      <c r="AO104" s="60">
        <f t="shared" si="542"/>
        <v>0</v>
      </c>
      <c r="AP104" s="59">
        <f t="shared" si="543"/>
        <v>0</v>
      </c>
      <c r="AQ104" s="60">
        <f t="shared" si="544"/>
        <v>0</v>
      </c>
      <c r="AR104" s="59">
        <f t="shared" si="545"/>
        <v>0</v>
      </c>
      <c r="AS104" s="55">
        <f t="shared" si="546"/>
        <v>0</v>
      </c>
      <c r="AT104" s="59">
        <f t="shared" si="547"/>
        <v>0</v>
      </c>
      <c r="AU104" s="60">
        <f t="shared" si="548"/>
        <v>0</v>
      </c>
      <c r="AV104" s="59">
        <f t="shared" si="549"/>
        <v>0</v>
      </c>
      <c r="AW104" s="60">
        <f t="shared" si="550"/>
        <v>0</v>
      </c>
      <c r="AX104" s="59">
        <f t="shared" si="551"/>
        <v>0</v>
      </c>
      <c r="AY104" s="55">
        <f t="shared" si="552"/>
        <v>0</v>
      </c>
      <c r="AZ104" s="59">
        <f t="shared" si="553"/>
        <v>0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54"/>
        <v>0.91</v>
      </c>
      <c r="BH104" s="55">
        <f t="shared" si="554"/>
        <v>0.89</v>
      </c>
      <c r="BI104" s="55">
        <f t="shared" si="554"/>
        <v>0.87</v>
      </c>
      <c r="BJ104" s="55">
        <f t="shared" si="554"/>
        <v>0.85</v>
      </c>
      <c r="BK104" s="55">
        <f t="shared" si="554"/>
        <v>0.83</v>
      </c>
      <c r="BL104" s="55">
        <f t="shared" si="554"/>
        <v>0.80999999999999994</v>
      </c>
      <c r="BM104" s="55">
        <f t="shared" si="554"/>
        <v>0.78999999999999992</v>
      </c>
      <c r="BN104" s="55">
        <f t="shared" si="554"/>
        <v>0.76999999999999991</v>
      </c>
      <c r="BO104" s="55">
        <f t="shared" si="554"/>
        <v>0.74999999999999989</v>
      </c>
      <c r="BP104" s="55">
        <f t="shared" si="554"/>
        <v>0.72999999999999987</v>
      </c>
      <c r="BQ104" s="55">
        <f t="shared" si="554"/>
        <v>0.70999999999999985</v>
      </c>
      <c r="BR104" s="55">
        <f t="shared" si="554"/>
        <v>0.68999999999999984</v>
      </c>
      <c r="BS104" s="55">
        <f t="shared" si="554"/>
        <v>0.66999999999999982</v>
      </c>
      <c r="BT104" s="55">
        <f t="shared" si="554"/>
        <v>0.6499999999999998</v>
      </c>
      <c r="BU104" s="55">
        <f t="shared" si="554"/>
        <v>0.62999999999999978</v>
      </c>
      <c r="BV104" s="55">
        <f t="shared" si="554"/>
        <v>0.60999999999999976</v>
      </c>
      <c r="BW104" s="55">
        <f t="shared" si="554"/>
        <v>0.58999999999999975</v>
      </c>
      <c r="BX104" s="55">
        <f t="shared" si="554"/>
        <v>0.56999999999999973</v>
      </c>
      <c r="BZ104" s="55">
        <f t="shared" si="505"/>
        <v>0</v>
      </c>
      <c r="CA104" s="55">
        <f t="shared" si="506"/>
        <v>0</v>
      </c>
      <c r="CB104" s="59">
        <f t="shared" si="555"/>
        <v>0</v>
      </c>
      <c r="CC104" s="55">
        <f t="shared" si="556"/>
        <v>0</v>
      </c>
      <c r="CD104" s="59">
        <f t="shared" si="557"/>
        <v>0</v>
      </c>
      <c r="CE104" s="55">
        <f t="shared" si="558"/>
        <v>0</v>
      </c>
      <c r="CF104" s="59">
        <f t="shared" si="559"/>
        <v>0</v>
      </c>
      <c r="CG104" s="55">
        <f t="shared" si="560"/>
        <v>0</v>
      </c>
      <c r="CH104" s="59">
        <f t="shared" si="561"/>
        <v>0</v>
      </c>
      <c r="CI104" s="57">
        <f t="shared" si="562"/>
        <v>0</v>
      </c>
      <c r="CJ104" s="59">
        <f t="shared" si="563"/>
        <v>0</v>
      </c>
      <c r="CK104" s="55">
        <f t="shared" si="564"/>
        <v>0</v>
      </c>
      <c r="CL104" s="59">
        <f t="shared" si="565"/>
        <v>0</v>
      </c>
      <c r="CM104" s="57">
        <f t="shared" si="566"/>
        <v>0</v>
      </c>
      <c r="CN104" s="59">
        <f t="shared" si="567"/>
        <v>0</v>
      </c>
      <c r="CO104" s="60">
        <f t="shared" si="568"/>
        <v>0</v>
      </c>
      <c r="CP104" s="59">
        <f t="shared" si="569"/>
        <v>0</v>
      </c>
      <c r="CQ104" s="57">
        <f t="shared" si="570"/>
        <v>0</v>
      </c>
      <c r="CR104" s="59">
        <f t="shared" si="571"/>
        <v>0</v>
      </c>
      <c r="CS104" s="55">
        <f t="shared" si="572"/>
        <v>0</v>
      </c>
      <c r="CT104" s="59">
        <f t="shared" si="573"/>
        <v>0</v>
      </c>
      <c r="CU104" s="60">
        <f t="shared" si="574"/>
        <v>0</v>
      </c>
      <c r="CV104" s="59">
        <f t="shared" si="575"/>
        <v>0</v>
      </c>
      <c r="CW104" s="60">
        <f t="shared" si="576"/>
        <v>0</v>
      </c>
      <c r="CX104" s="59">
        <f t="shared" si="577"/>
        <v>0</v>
      </c>
      <c r="CY104" s="60">
        <f t="shared" si="578"/>
        <v>0</v>
      </c>
      <c r="CZ104" s="59">
        <f t="shared" si="579"/>
        <v>0</v>
      </c>
      <c r="DA104" s="55">
        <f t="shared" si="580"/>
        <v>0</v>
      </c>
      <c r="DB104" s="59">
        <f t="shared" si="581"/>
        <v>0</v>
      </c>
      <c r="DC104" s="60">
        <f t="shared" si="582"/>
        <v>0</v>
      </c>
      <c r="DD104" s="59">
        <f t="shared" si="583"/>
        <v>0</v>
      </c>
      <c r="DE104" s="60">
        <f t="shared" si="584"/>
        <v>0</v>
      </c>
      <c r="DF104" s="59">
        <f t="shared" si="585"/>
        <v>0</v>
      </c>
      <c r="DG104" s="60">
        <f t="shared" si="586"/>
        <v>0</v>
      </c>
      <c r="DH104" s="59">
        <f t="shared" si="587"/>
        <v>0</v>
      </c>
      <c r="DI104" s="60">
        <f t="shared" si="588"/>
        <v>0</v>
      </c>
      <c r="DJ104" s="59">
        <f t="shared" si="589"/>
        <v>0</v>
      </c>
      <c r="DK104" s="55">
        <f t="shared" si="590"/>
        <v>0</v>
      </c>
      <c r="DL104" s="59">
        <f t="shared" si="591"/>
        <v>0</v>
      </c>
      <c r="DM104" s="60">
        <f t="shared" si="592"/>
        <v>0</v>
      </c>
      <c r="DN104" s="59">
        <f t="shared" si="593"/>
        <v>0</v>
      </c>
      <c r="DO104" s="60">
        <f t="shared" si="594"/>
        <v>0</v>
      </c>
      <c r="DP104" s="59">
        <f t="shared" si="595"/>
        <v>0</v>
      </c>
      <c r="DQ104" s="55">
        <f t="shared" si="596"/>
        <v>0</v>
      </c>
      <c r="DR104" s="59">
        <f t="shared" si="597"/>
        <v>0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43"/>
        <v>0.91</v>
      </c>
      <c r="DZ104" s="55">
        <f t="shared" si="643"/>
        <v>0.89</v>
      </c>
      <c r="EA104" s="55">
        <f t="shared" si="643"/>
        <v>0.87</v>
      </c>
      <c r="EB104" s="55">
        <f t="shared" si="643"/>
        <v>0.85</v>
      </c>
      <c r="EC104" s="55">
        <f t="shared" si="643"/>
        <v>0.83</v>
      </c>
      <c r="ED104" s="55">
        <f t="shared" si="643"/>
        <v>0.80999999999999994</v>
      </c>
      <c r="EE104" s="55">
        <f t="shared" si="643"/>
        <v>0.78999999999999992</v>
      </c>
      <c r="EF104" s="55">
        <f t="shared" si="643"/>
        <v>0.76999999999999991</v>
      </c>
      <c r="EG104" s="55">
        <f t="shared" si="643"/>
        <v>0.74999999999999989</v>
      </c>
      <c r="EH104" s="55">
        <f t="shared" si="643"/>
        <v>0.72999999999999987</v>
      </c>
      <c r="EI104" s="55">
        <f t="shared" si="643"/>
        <v>0.70999999999999985</v>
      </c>
      <c r="EJ104" s="55">
        <f t="shared" si="643"/>
        <v>0.68999999999999984</v>
      </c>
      <c r="EK104" s="55">
        <f t="shared" si="643"/>
        <v>0.66999999999999982</v>
      </c>
      <c r="EL104" s="55">
        <f t="shared" si="643"/>
        <v>0.6499999999999998</v>
      </c>
      <c r="EM104" s="55">
        <f t="shared" si="643"/>
        <v>0.62999999999999978</v>
      </c>
      <c r="EN104" s="55">
        <f t="shared" si="643"/>
        <v>0.60999999999999976</v>
      </c>
      <c r="EO104" s="55">
        <f t="shared" si="643"/>
        <v>0.58999999999999975</v>
      </c>
      <c r="EP104" s="55">
        <f t="shared" si="643"/>
        <v>0.56999999999999973</v>
      </c>
      <c r="ER104" s="55">
        <f t="shared" si="644"/>
        <v>0</v>
      </c>
      <c r="ES104" s="55">
        <f t="shared" si="507"/>
        <v>0</v>
      </c>
      <c r="ET104" s="59">
        <f t="shared" si="598"/>
        <v>0</v>
      </c>
      <c r="EU104" s="55">
        <f t="shared" si="599"/>
        <v>0</v>
      </c>
      <c r="EV104" s="59">
        <f t="shared" si="600"/>
        <v>0</v>
      </c>
      <c r="EW104" s="55">
        <f t="shared" si="601"/>
        <v>0</v>
      </c>
      <c r="EX104" s="59">
        <f t="shared" si="602"/>
        <v>0</v>
      </c>
      <c r="EY104" s="55">
        <f t="shared" si="603"/>
        <v>0</v>
      </c>
      <c r="EZ104" s="59">
        <f t="shared" si="604"/>
        <v>0</v>
      </c>
      <c r="FA104" s="57">
        <f t="shared" si="605"/>
        <v>0</v>
      </c>
      <c r="FB104" s="59">
        <f t="shared" si="606"/>
        <v>0</v>
      </c>
      <c r="FC104" s="55">
        <f t="shared" si="607"/>
        <v>0</v>
      </c>
      <c r="FD104" s="59">
        <f t="shared" si="608"/>
        <v>0</v>
      </c>
      <c r="FE104" s="57">
        <f t="shared" si="609"/>
        <v>0</v>
      </c>
      <c r="FF104" s="59">
        <f t="shared" si="610"/>
        <v>0</v>
      </c>
      <c r="FG104" s="60">
        <f t="shared" si="611"/>
        <v>0</v>
      </c>
      <c r="FH104" s="59">
        <f t="shared" si="612"/>
        <v>0</v>
      </c>
      <c r="FI104" s="57">
        <f t="shared" si="613"/>
        <v>0</v>
      </c>
      <c r="FJ104" s="59">
        <f t="shared" si="614"/>
        <v>0</v>
      </c>
      <c r="FK104" s="55">
        <f t="shared" si="615"/>
        <v>0</v>
      </c>
      <c r="FL104" s="59">
        <f t="shared" si="616"/>
        <v>0</v>
      </c>
      <c r="FM104" s="60">
        <f t="shared" si="617"/>
        <v>0</v>
      </c>
      <c r="FN104" s="59">
        <f t="shared" si="618"/>
        <v>0</v>
      </c>
      <c r="FO104" s="60">
        <f t="shared" si="619"/>
        <v>0</v>
      </c>
      <c r="FP104" s="59">
        <f t="shared" si="620"/>
        <v>0</v>
      </c>
      <c r="FQ104" s="60">
        <f t="shared" si="621"/>
        <v>0</v>
      </c>
      <c r="FR104" s="59">
        <f t="shared" si="622"/>
        <v>0</v>
      </c>
      <c r="FS104" s="55">
        <f t="shared" si="623"/>
        <v>0</v>
      </c>
      <c r="FT104" s="59">
        <f t="shared" si="624"/>
        <v>0</v>
      </c>
      <c r="FU104" s="60">
        <f t="shared" si="625"/>
        <v>0</v>
      </c>
      <c r="FV104" s="59">
        <f t="shared" si="626"/>
        <v>0</v>
      </c>
      <c r="FW104" s="60">
        <f t="shared" si="627"/>
        <v>0</v>
      </c>
      <c r="FX104" s="59">
        <f t="shared" si="628"/>
        <v>0</v>
      </c>
      <c r="FY104" s="60">
        <f t="shared" si="629"/>
        <v>0</v>
      </c>
      <c r="FZ104" s="59">
        <f t="shared" si="630"/>
        <v>0</v>
      </c>
      <c r="GA104" s="60">
        <f t="shared" si="631"/>
        <v>0</v>
      </c>
      <c r="GB104" s="59">
        <f t="shared" si="632"/>
        <v>0</v>
      </c>
      <c r="GC104" s="55">
        <f t="shared" si="633"/>
        <v>0</v>
      </c>
      <c r="GD104" s="59">
        <f t="shared" si="634"/>
        <v>0</v>
      </c>
      <c r="GE104" s="60">
        <f t="shared" si="635"/>
        <v>0</v>
      </c>
      <c r="GF104" s="59">
        <f t="shared" si="636"/>
        <v>0</v>
      </c>
      <c r="GG104" s="60">
        <f t="shared" si="637"/>
        <v>0</v>
      </c>
      <c r="GH104" s="59">
        <f t="shared" si="638"/>
        <v>0</v>
      </c>
      <c r="GI104" s="55">
        <f t="shared" si="639"/>
        <v>0</v>
      </c>
      <c r="GJ104" s="59">
        <f t="shared" si="640"/>
        <v>0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45"/>
        <v>0.91</v>
      </c>
      <c r="GR104" s="55">
        <f t="shared" si="645"/>
        <v>0.89</v>
      </c>
      <c r="GS104" s="55">
        <f t="shared" si="645"/>
        <v>0.87</v>
      </c>
      <c r="GT104" s="55">
        <f t="shared" si="645"/>
        <v>0.85</v>
      </c>
      <c r="GU104" s="55">
        <f t="shared" si="645"/>
        <v>0.83</v>
      </c>
      <c r="GV104" s="55">
        <f t="shared" si="645"/>
        <v>0.80999999999999994</v>
      </c>
      <c r="GW104" s="55">
        <f t="shared" si="645"/>
        <v>0.78999999999999992</v>
      </c>
      <c r="GX104" s="55">
        <f t="shared" si="645"/>
        <v>0.76999999999999991</v>
      </c>
      <c r="GY104" s="55">
        <f t="shared" si="645"/>
        <v>0.74999999999999989</v>
      </c>
      <c r="GZ104" s="55">
        <f t="shared" si="645"/>
        <v>0.72999999999999987</v>
      </c>
      <c r="HA104" s="55">
        <f t="shared" si="645"/>
        <v>0.70999999999999985</v>
      </c>
      <c r="HB104" s="55">
        <f t="shared" si="645"/>
        <v>0.68999999999999984</v>
      </c>
      <c r="HC104" s="55">
        <f t="shared" si="645"/>
        <v>0.66999999999999982</v>
      </c>
      <c r="HD104" s="55">
        <f t="shared" si="645"/>
        <v>0.6499999999999998</v>
      </c>
      <c r="HE104" s="55">
        <f t="shared" si="645"/>
        <v>0.62999999999999978</v>
      </c>
      <c r="HF104" s="55">
        <f t="shared" si="645"/>
        <v>0.60999999999999976</v>
      </c>
      <c r="HG104" s="55">
        <f t="shared" si="645"/>
        <v>0.58999999999999975</v>
      </c>
      <c r="HH104" s="55">
        <f t="shared" si="645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86">
        <f>TRUNC(+D105*3.3058,-1)</f>
        <v>0</v>
      </c>
      <c r="H105" s="55">
        <f t="shared" si="502"/>
        <v>0</v>
      </c>
      <c r="I105" s="55">
        <f t="shared" si="503"/>
        <v>0</v>
      </c>
      <c r="J105" s="59">
        <f t="shared" si="504"/>
        <v>0</v>
      </c>
      <c r="K105" s="55">
        <f t="shared" si="512"/>
        <v>0</v>
      </c>
      <c r="L105" s="59">
        <f t="shared" si="513"/>
        <v>0</v>
      </c>
      <c r="M105" s="55">
        <f t="shared" si="514"/>
        <v>0</v>
      </c>
      <c r="N105" s="59">
        <f t="shared" si="515"/>
        <v>0</v>
      </c>
      <c r="O105" s="55">
        <f t="shared" si="516"/>
        <v>0</v>
      </c>
      <c r="P105" s="59">
        <f t="shared" si="517"/>
        <v>0</v>
      </c>
      <c r="Q105" s="57">
        <f t="shared" si="518"/>
        <v>0</v>
      </c>
      <c r="R105" s="59">
        <f t="shared" si="519"/>
        <v>0</v>
      </c>
      <c r="S105" s="55">
        <f t="shared" si="520"/>
        <v>0</v>
      </c>
      <c r="T105" s="59">
        <f t="shared" si="521"/>
        <v>0</v>
      </c>
      <c r="U105" s="57">
        <f t="shared" si="522"/>
        <v>0</v>
      </c>
      <c r="V105" s="59">
        <f t="shared" si="523"/>
        <v>0</v>
      </c>
      <c r="W105" s="60">
        <f t="shared" si="524"/>
        <v>0</v>
      </c>
      <c r="X105" s="59">
        <f t="shared" si="525"/>
        <v>0</v>
      </c>
      <c r="Y105" s="57">
        <f t="shared" si="526"/>
        <v>0</v>
      </c>
      <c r="Z105" s="59">
        <f t="shared" si="527"/>
        <v>0</v>
      </c>
      <c r="AA105" s="55">
        <f t="shared" si="528"/>
        <v>0</v>
      </c>
      <c r="AB105" s="59">
        <f t="shared" si="529"/>
        <v>0</v>
      </c>
      <c r="AC105" s="60">
        <f t="shared" si="530"/>
        <v>0</v>
      </c>
      <c r="AD105" s="59">
        <f t="shared" si="531"/>
        <v>0</v>
      </c>
      <c r="AE105" s="60">
        <f t="shared" si="532"/>
        <v>0</v>
      </c>
      <c r="AF105" s="59">
        <f t="shared" si="533"/>
        <v>0</v>
      </c>
      <c r="AG105" s="60">
        <f t="shared" si="534"/>
        <v>0</v>
      </c>
      <c r="AH105" s="59">
        <f t="shared" si="535"/>
        <v>0</v>
      </c>
      <c r="AI105" s="55">
        <f t="shared" si="536"/>
        <v>0</v>
      </c>
      <c r="AJ105" s="59">
        <f t="shared" si="537"/>
        <v>0</v>
      </c>
      <c r="AK105" s="60">
        <f t="shared" si="538"/>
        <v>0</v>
      </c>
      <c r="AL105" s="59">
        <f t="shared" si="539"/>
        <v>0</v>
      </c>
      <c r="AM105" s="60">
        <f t="shared" si="540"/>
        <v>0</v>
      </c>
      <c r="AN105" s="59">
        <f t="shared" si="541"/>
        <v>0</v>
      </c>
      <c r="AO105" s="60">
        <f t="shared" si="542"/>
        <v>0</v>
      </c>
      <c r="AP105" s="59">
        <f t="shared" si="543"/>
        <v>0</v>
      </c>
      <c r="AQ105" s="60">
        <f t="shared" si="544"/>
        <v>0</v>
      </c>
      <c r="AR105" s="59">
        <f t="shared" si="545"/>
        <v>0</v>
      </c>
      <c r="AS105" s="55">
        <f t="shared" si="546"/>
        <v>0</v>
      </c>
      <c r="AT105" s="59">
        <f t="shared" si="547"/>
        <v>0</v>
      </c>
      <c r="AU105" s="60">
        <f t="shared" si="548"/>
        <v>0</v>
      </c>
      <c r="AV105" s="59">
        <f t="shared" si="549"/>
        <v>0</v>
      </c>
      <c r="AW105" s="60">
        <f t="shared" si="550"/>
        <v>0</v>
      </c>
      <c r="AX105" s="59">
        <f t="shared" si="551"/>
        <v>0</v>
      </c>
      <c r="AY105" s="55">
        <f t="shared" si="552"/>
        <v>0</v>
      </c>
      <c r="AZ105" s="59">
        <f t="shared" si="553"/>
        <v>0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54"/>
        <v>0.91</v>
      </c>
      <c r="BH105" s="55">
        <f t="shared" si="554"/>
        <v>0.89</v>
      </c>
      <c r="BI105" s="55">
        <f t="shared" si="554"/>
        <v>0.87</v>
      </c>
      <c r="BJ105" s="55">
        <f t="shared" si="554"/>
        <v>0.85</v>
      </c>
      <c r="BK105" s="55">
        <f t="shared" si="554"/>
        <v>0.83</v>
      </c>
      <c r="BL105" s="55">
        <f t="shared" si="554"/>
        <v>0.80999999999999994</v>
      </c>
      <c r="BM105" s="55">
        <f t="shared" si="554"/>
        <v>0.78999999999999992</v>
      </c>
      <c r="BN105" s="55">
        <f t="shared" si="554"/>
        <v>0.76999999999999991</v>
      </c>
      <c r="BO105" s="55">
        <f t="shared" si="554"/>
        <v>0.74999999999999989</v>
      </c>
      <c r="BP105" s="55">
        <f t="shared" si="554"/>
        <v>0.72999999999999987</v>
      </c>
      <c r="BQ105" s="55">
        <f t="shared" si="554"/>
        <v>0.70999999999999985</v>
      </c>
      <c r="BR105" s="55">
        <f t="shared" si="554"/>
        <v>0.68999999999999984</v>
      </c>
      <c r="BS105" s="55">
        <f t="shared" si="554"/>
        <v>0.66999999999999982</v>
      </c>
      <c r="BT105" s="55">
        <f t="shared" si="554"/>
        <v>0.6499999999999998</v>
      </c>
      <c r="BU105" s="55">
        <f t="shared" si="554"/>
        <v>0.62999999999999978</v>
      </c>
      <c r="BV105" s="55">
        <f t="shared" si="554"/>
        <v>0.60999999999999976</v>
      </c>
      <c r="BW105" s="55">
        <f t="shared" si="554"/>
        <v>0.58999999999999975</v>
      </c>
      <c r="BX105" s="55">
        <f t="shared" si="554"/>
        <v>0.56999999999999973</v>
      </c>
      <c r="BZ105" s="55">
        <f t="shared" si="505"/>
        <v>0</v>
      </c>
      <c r="CA105" s="55">
        <f t="shared" si="506"/>
        <v>0</v>
      </c>
      <c r="CB105" s="59">
        <f t="shared" si="555"/>
        <v>0</v>
      </c>
      <c r="CC105" s="55">
        <f t="shared" si="556"/>
        <v>0</v>
      </c>
      <c r="CD105" s="59">
        <f t="shared" si="557"/>
        <v>0</v>
      </c>
      <c r="CE105" s="55">
        <f t="shared" si="558"/>
        <v>0</v>
      </c>
      <c r="CF105" s="59">
        <f t="shared" si="559"/>
        <v>0</v>
      </c>
      <c r="CG105" s="55">
        <f t="shared" si="560"/>
        <v>0</v>
      </c>
      <c r="CH105" s="59">
        <f t="shared" si="561"/>
        <v>0</v>
      </c>
      <c r="CI105" s="57">
        <f t="shared" si="562"/>
        <v>0</v>
      </c>
      <c r="CJ105" s="59">
        <f t="shared" si="563"/>
        <v>0</v>
      </c>
      <c r="CK105" s="55">
        <f t="shared" si="564"/>
        <v>0</v>
      </c>
      <c r="CL105" s="59">
        <f t="shared" si="565"/>
        <v>0</v>
      </c>
      <c r="CM105" s="57">
        <f t="shared" si="566"/>
        <v>0</v>
      </c>
      <c r="CN105" s="59">
        <f t="shared" si="567"/>
        <v>0</v>
      </c>
      <c r="CO105" s="60">
        <f t="shared" si="568"/>
        <v>0</v>
      </c>
      <c r="CP105" s="59">
        <f t="shared" si="569"/>
        <v>0</v>
      </c>
      <c r="CQ105" s="57">
        <f t="shared" si="570"/>
        <v>0</v>
      </c>
      <c r="CR105" s="59">
        <f t="shared" si="571"/>
        <v>0</v>
      </c>
      <c r="CS105" s="55">
        <f t="shared" si="572"/>
        <v>0</v>
      </c>
      <c r="CT105" s="59">
        <f t="shared" si="573"/>
        <v>0</v>
      </c>
      <c r="CU105" s="60">
        <f t="shared" si="574"/>
        <v>0</v>
      </c>
      <c r="CV105" s="59">
        <f t="shared" si="575"/>
        <v>0</v>
      </c>
      <c r="CW105" s="60">
        <f t="shared" si="576"/>
        <v>0</v>
      </c>
      <c r="CX105" s="59">
        <f t="shared" si="577"/>
        <v>0</v>
      </c>
      <c r="CY105" s="60">
        <f t="shared" si="578"/>
        <v>0</v>
      </c>
      <c r="CZ105" s="59">
        <f t="shared" si="579"/>
        <v>0</v>
      </c>
      <c r="DA105" s="55">
        <f t="shared" si="580"/>
        <v>0</v>
      </c>
      <c r="DB105" s="59">
        <f t="shared" si="581"/>
        <v>0</v>
      </c>
      <c r="DC105" s="60">
        <f t="shared" si="582"/>
        <v>0</v>
      </c>
      <c r="DD105" s="59">
        <f t="shared" si="583"/>
        <v>0</v>
      </c>
      <c r="DE105" s="60">
        <f t="shared" si="584"/>
        <v>0</v>
      </c>
      <c r="DF105" s="59">
        <f t="shared" si="585"/>
        <v>0</v>
      </c>
      <c r="DG105" s="60">
        <f t="shared" si="586"/>
        <v>0</v>
      </c>
      <c r="DH105" s="59">
        <f t="shared" si="587"/>
        <v>0</v>
      </c>
      <c r="DI105" s="60">
        <f t="shared" si="588"/>
        <v>0</v>
      </c>
      <c r="DJ105" s="59">
        <f t="shared" si="589"/>
        <v>0</v>
      </c>
      <c r="DK105" s="55">
        <f t="shared" si="590"/>
        <v>0</v>
      </c>
      <c r="DL105" s="59">
        <f t="shared" si="591"/>
        <v>0</v>
      </c>
      <c r="DM105" s="60">
        <f t="shared" si="592"/>
        <v>0</v>
      </c>
      <c r="DN105" s="59">
        <f t="shared" si="593"/>
        <v>0</v>
      </c>
      <c r="DO105" s="60">
        <f t="shared" si="594"/>
        <v>0</v>
      </c>
      <c r="DP105" s="59">
        <f t="shared" si="595"/>
        <v>0</v>
      </c>
      <c r="DQ105" s="55">
        <f t="shared" si="596"/>
        <v>0</v>
      </c>
      <c r="DR105" s="59">
        <f t="shared" si="597"/>
        <v>0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43"/>
        <v>0.91</v>
      </c>
      <c r="DZ105" s="55">
        <f t="shared" si="643"/>
        <v>0.89</v>
      </c>
      <c r="EA105" s="55">
        <f t="shared" si="643"/>
        <v>0.87</v>
      </c>
      <c r="EB105" s="55">
        <f t="shared" si="643"/>
        <v>0.85</v>
      </c>
      <c r="EC105" s="55">
        <f t="shared" si="643"/>
        <v>0.83</v>
      </c>
      <c r="ED105" s="55">
        <f t="shared" si="643"/>
        <v>0.80999999999999994</v>
      </c>
      <c r="EE105" s="55">
        <f t="shared" si="643"/>
        <v>0.78999999999999992</v>
      </c>
      <c r="EF105" s="55">
        <f t="shared" si="643"/>
        <v>0.76999999999999991</v>
      </c>
      <c r="EG105" s="55">
        <f t="shared" si="643"/>
        <v>0.74999999999999989</v>
      </c>
      <c r="EH105" s="55">
        <f t="shared" si="643"/>
        <v>0.72999999999999987</v>
      </c>
      <c r="EI105" s="55">
        <f t="shared" si="643"/>
        <v>0.70999999999999985</v>
      </c>
      <c r="EJ105" s="55">
        <f t="shared" si="643"/>
        <v>0.68999999999999984</v>
      </c>
      <c r="EK105" s="55">
        <f t="shared" si="643"/>
        <v>0.66999999999999982</v>
      </c>
      <c r="EL105" s="55">
        <f t="shared" si="643"/>
        <v>0.6499999999999998</v>
      </c>
      <c r="EM105" s="55">
        <f t="shared" si="643"/>
        <v>0.62999999999999978</v>
      </c>
      <c r="EN105" s="55">
        <f t="shared" si="643"/>
        <v>0.60999999999999976</v>
      </c>
      <c r="EO105" s="55">
        <f t="shared" si="643"/>
        <v>0.58999999999999975</v>
      </c>
      <c r="EP105" s="55">
        <f t="shared" si="643"/>
        <v>0.56999999999999973</v>
      </c>
      <c r="ER105" s="55">
        <f t="shared" si="644"/>
        <v>0</v>
      </c>
      <c r="ES105" s="55">
        <f t="shared" si="507"/>
        <v>0</v>
      </c>
      <c r="ET105" s="59">
        <f t="shared" si="598"/>
        <v>0</v>
      </c>
      <c r="EU105" s="55">
        <f t="shared" si="599"/>
        <v>0</v>
      </c>
      <c r="EV105" s="59">
        <f t="shared" si="600"/>
        <v>0</v>
      </c>
      <c r="EW105" s="55">
        <f t="shared" si="601"/>
        <v>0</v>
      </c>
      <c r="EX105" s="59">
        <f t="shared" si="602"/>
        <v>0</v>
      </c>
      <c r="EY105" s="55">
        <f t="shared" si="603"/>
        <v>0</v>
      </c>
      <c r="EZ105" s="59">
        <f t="shared" si="604"/>
        <v>0</v>
      </c>
      <c r="FA105" s="57">
        <f t="shared" si="605"/>
        <v>0</v>
      </c>
      <c r="FB105" s="59">
        <f t="shared" si="606"/>
        <v>0</v>
      </c>
      <c r="FC105" s="55">
        <f t="shared" si="607"/>
        <v>0</v>
      </c>
      <c r="FD105" s="59">
        <f t="shared" si="608"/>
        <v>0</v>
      </c>
      <c r="FE105" s="57">
        <f t="shared" si="609"/>
        <v>0</v>
      </c>
      <c r="FF105" s="59">
        <f t="shared" si="610"/>
        <v>0</v>
      </c>
      <c r="FG105" s="60">
        <f t="shared" si="611"/>
        <v>0</v>
      </c>
      <c r="FH105" s="59">
        <f t="shared" si="612"/>
        <v>0</v>
      </c>
      <c r="FI105" s="57">
        <f t="shared" si="613"/>
        <v>0</v>
      </c>
      <c r="FJ105" s="59">
        <f t="shared" si="614"/>
        <v>0</v>
      </c>
      <c r="FK105" s="55">
        <f t="shared" si="615"/>
        <v>0</v>
      </c>
      <c r="FL105" s="59">
        <f t="shared" si="616"/>
        <v>0</v>
      </c>
      <c r="FM105" s="60">
        <f t="shared" si="617"/>
        <v>0</v>
      </c>
      <c r="FN105" s="59">
        <f t="shared" si="618"/>
        <v>0</v>
      </c>
      <c r="FO105" s="60">
        <f t="shared" si="619"/>
        <v>0</v>
      </c>
      <c r="FP105" s="59">
        <f t="shared" si="620"/>
        <v>0</v>
      </c>
      <c r="FQ105" s="60">
        <f t="shared" si="621"/>
        <v>0</v>
      </c>
      <c r="FR105" s="59">
        <f t="shared" si="622"/>
        <v>0</v>
      </c>
      <c r="FS105" s="55">
        <f t="shared" si="623"/>
        <v>0</v>
      </c>
      <c r="FT105" s="59">
        <f t="shared" si="624"/>
        <v>0</v>
      </c>
      <c r="FU105" s="60">
        <f t="shared" si="625"/>
        <v>0</v>
      </c>
      <c r="FV105" s="59">
        <f t="shared" si="626"/>
        <v>0</v>
      </c>
      <c r="FW105" s="60">
        <f t="shared" si="627"/>
        <v>0</v>
      </c>
      <c r="FX105" s="59">
        <f t="shared" si="628"/>
        <v>0</v>
      </c>
      <c r="FY105" s="60">
        <f t="shared" si="629"/>
        <v>0</v>
      </c>
      <c r="FZ105" s="59">
        <f t="shared" si="630"/>
        <v>0</v>
      </c>
      <c r="GA105" s="60">
        <f t="shared" si="631"/>
        <v>0</v>
      </c>
      <c r="GB105" s="59">
        <f t="shared" si="632"/>
        <v>0</v>
      </c>
      <c r="GC105" s="55">
        <f t="shared" si="633"/>
        <v>0</v>
      </c>
      <c r="GD105" s="59">
        <f t="shared" si="634"/>
        <v>0</v>
      </c>
      <c r="GE105" s="60">
        <f t="shared" si="635"/>
        <v>0</v>
      </c>
      <c r="GF105" s="59">
        <f t="shared" si="636"/>
        <v>0</v>
      </c>
      <c r="GG105" s="60">
        <f t="shared" si="637"/>
        <v>0</v>
      </c>
      <c r="GH105" s="59">
        <f t="shared" si="638"/>
        <v>0</v>
      </c>
      <c r="GI105" s="55">
        <f t="shared" si="639"/>
        <v>0</v>
      </c>
      <c r="GJ105" s="59">
        <f t="shared" si="640"/>
        <v>0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45"/>
        <v>0.91</v>
      </c>
      <c r="GR105" s="55">
        <f t="shared" si="645"/>
        <v>0.89</v>
      </c>
      <c r="GS105" s="55">
        <f t="shared" si="645"/>
        <v>0.87</v>
      </c>
      <c r="GT105" s="55">
        <f t="shared" si="645"/>
        <v>0.85</v>
      </c>
      <c r="GU105" s="55">
        <f t="shared" si="645"/>
        <v>0.83</v>
      </c>
      <c r="GV105" s="55">
        <f t="shared" si="645"/>
        <v>0.80999999999999994</v>
      </c>
      <c r="GW105" s="55">
        <f t="shared" si="645"/>
        <v>0.78999999999999992</v>
      </c>
      <c r="GX105" s="55">
        <f t="shared" si="645"/>
        <v>0.76999999999999991</v>
      </c>
      <c r="GY105" s="55">
        <f t="shared" si="645"/>
        <v>0.74999999999999989</v>
      </c>
      <c r="GZ105" s="55">
        <f t="shared" si="645"/>
        <v>0.72999999999999987</v>
      </c>
      <c r="HA105" s="55">
        <f t="shared" si="645"/>
        <v>0.70999999999999985</v>
      </c>
      <c r="HB105" s="55">
        <f t="shared" si="645"/>
        <v>0.68999999999999984</v>
      </c>
      <c r="HC105" s="55">
        <f t="shared" si="645"/>
        <v>0.66999999999999982</v>
      </c>
      <c r="HD105" s="55">
        <f t="shared" si="645"/>
        <v>0.6499999999999998</v>
      </c>
      <c r="HE105" s="55">
        <f t="shared" si="645"/>
        <v>0.62999999999999978</v>
      </c>
      <c r="HF105" s="55">
        <f t="shared" si="645"/>
        <v>0.60999999999999976</v>
      </c>
      <c r="HG105" s="55">
        <f t="shared" si="645"/>
        <v>0.58999999999999975</v>
      </c>
      <c r="HH105" s="55">
        <f t="shared" si="645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86">
        <f>TRUNC(+D106*3.3058,-1)</f>
        <v>0</v>
      </c>
      <c r="H106" s="55">
        <f t="shared" si="502"/>
        <v>0</v>
      </c>
      <c r="I106" s="55">
        <f t="shared" si="503"/>
        <v>0</v>
      </c>
      <c r="J106" s="59">
        <f t="shared" si="504"/>
        <v>0</v>
      </c>
      <c r="K106" s="55">
        <f t="shared" si="512"/>
        <v>0</v>
      </c>
      <c r="L106" s="59">
        <f t="shared" si="513"/>
        <v>0</v>
      </c>
      <c r="M106" s="55">
        <f t="shared" si="514"/>
        <v>0</v>
      </c>
      <c r="N106" s="59">
        <f t="shared" si="515"/>
        <v>0</v>
      </c>
      <c r="O106" s="55">
        <f t="shared" si="516"/>
        <v>0</v>
      </c>
      <c r="P106" s="59">
        <f t="shared" si="517"/>
        <v>0</v>
      </c>
      <c r="Q106" s="57">
        <f t="shared" si="518"/>
        <v>0</v>
      </c>
      <c r="R106" s="59">
        <f t="shared" si="519"/>
        <v>0</v>
      </c>
      <c r="S106" s="55">
        <f t="shared" si="520"/>
        <v>0</v>
      </c>
      <c r="T106" s="59">
        <f t="shared" si="521"/>
        <v>0</v>
      </c>
      <c r="U106" s="57">
        <f t="shared" si="522"/>
        <v>0</v>
      </c>
      <c r="V106" s="59">
        <f t="shared" si="523"/>
        <v>0</v>
      </c>
      <c r="W106" s="60">
        <f t="shared" si="524"/>
        <v>0</v>
      </c>
      <c r="X106" s="59">
        <f t="shared" si="525"/>
        <v>0</v>
      </c>
      <c r="Y106" s="57">
        <f t="shared" si="526"/>
        <v>0</v>
      </c>
      <c r="Z106" s="59">
        <f t="shared" si="527"/>
        <v>0</v>
      </c>
      <c r="AA106" s="55">
        <f t="shared" si="528"/>
        <v>0</v>
      </c>
      <c r="AB106" s="59">
        <f t="shared" si="529"/>
        <v>0</v>
      </c>
      <c r="AC106" s="60">
        <f t="shared" si="530"/>
        <v>0</v>
      </c>
      <c r="AD106" s="59">
        <f t="shared" si="531"/>
        <v>0</v>
      </c>
      <c r="AE106" s="60">
        <f t="shared" si="532"/>
        <v>0</v>
      </c>
      <c r="AF106" s="59">
        <f t="shared" si="533"/>
        <v>0</v>
      </c>
      <c r="AG106" s="60">
        <f t="shared" si="534"/>
        <v>0</v>
      </c>
      <c r="AH106" s="59">
        <f t="shared" si="535"/>
        <v>0</v>
      </c>
      <c r="AI106" s="55">
        <f t="shared" si="536"/>
        <v>0</v>
      </c>
      <c r="AJ106" s="59">
        <f t="shared" si="537"/>
        <v>0</v>
      </c>
      <c r="AK106" s="60">
        <f t="shared" si="538"/>
        <v>0</v>
      </c>
      <c r="AL106" s="59">
        <f t="shared" si="539"/>
        <v>0</v>
      </c>
      <c r="AM106" s="60">
        <f t="shared" si="540"/>
        <v>0</v>
      </c>
      <c r="AN106" s="59">
        <f t="shared" si="541"/>
        <v>0</v>
      </c>
      <c r="AO106" s="60">
        <f t="shared" si="542"/>
        <v>0</v>
      </c>
      <c r="AP106" s="59">
        <f t="shared" si="543"/>
        <v>0</v>
      </c>
      <c r="AQ106" s="60">
        <f t="shared" si="544"/>
        <v>0</v>
      </c>
      <c r="AR106" s="59">
        <f t="shared" si="545"/>
        <v>0</v>
      </c>
      <c r="AS106" s="55">
        <f t="shared" si="546"/>
        <v>0</v>
      </c>
      <c r="AT106" s="59">
        <f t="shared" si="547"/>
        <v>0</v>
      </c>
      <c r="AU106" s="60">
        <f t="shared" si="548"/>
        <v>0</v>
      </c>
      <c r="AV106" s="59">
        <f t="shared" si="549"/>
        <v>0</v>
      </c>
      <c r="AW106" s="60">
        <f t="shared" si="550"/>
        <v>0</v>
      </c>
      <c r="AX106" s="59">
        <f t="shared" si="551"/>
        <v>0</v>
      </c>
      <c r="AY106" s="55">
        <f t="shared" si="552"/>
        <v>0</v>
      </c>
      <c r="AZ106" s="59">
        <f t="shared" si="553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54"/>
        <v>0.91</v>
      </c>
      <c r="BH106" s="55">
        <f t="shared" si="554"/>
        <v>0.89</v>
      </c>
      <c r="BI106" s="55">
        <f t="shared" si="554"/>
        <v>0.87</v>
      </c>
      <c r="BJ106" s="55">
        <f t="shared" ref="BJ106:BX106" si="646">+BI106-0.02</f>
        <v>0.85</v>
      </c>
      <c r="BK106" s="55">
        <f t="shared" si="646"/>
        <v>0.83</v>
      </c>
      <c r="BL106" s="55">
        <f t="shared" si="646"/>
        <v>0.80999999999999994</v>
      </c>
      <c r="BM106" s="55">
        <f t="shared" si="646"/>
        <v>0.78999999999999992</v>
      </c>
      <c r="BN106" s="55">
        <f t="shared" si="646"/>
        <v>0.76999999999999991</v>
      </c>
      <c r="BO106" s="55">
        <f t="shared" si="646"/>
        <v>0.74999999999999989</v>
      </c>
      <c r="BP106" s="55">
        <f t="shared" si="646"/>
        <v>0.72999999999999987</v>
      </c>
      <c r="BQ106" s="55">
        <f t="shared" si="646"/>
        <v>0.70999999999999985</v>
      </c>
      <c r="BR106" s="55">
        <f t="shared" si="646"/>
        <v>0.68999999999999984</v>
      </c>
      <c r="BS106" s="55">
        <f t="shared" si="646"/>
        <v>0.66999999999999982</v>
      </c>
      <c r="BT106" s="55">
        <f t="shared" si="646"/>
        <v>0.6499999999999998</v>
      </c>
      <c r="BU106" s="55">
        <f t="shared" si="646"/>
        <v>0.62999999999999978</v>
      </c>
      <c r="BV106" s="55">
        <f t="shared" si="646"/>
        <v>0.60999999999999976</v>
      </c>
      <c r="BW106" s="55">
        <f t="shared" si="646"/>
        <v>0.58999999999999975</v>
      </c>
      <c r="BX106" s="55">
        <f t="shared" si="646"/>
        <v>0.56999999999999973</v>
      </c>
      <c r="BZ106" s="55">
        <f t="shared" si="505"/>
        <v>0</v>
      </c>
      <c r="CA106" s="55">
        <f t="shared" si="506"/>
        <v>0</v>
      </c>
      <c r="CB106" s="59">
        <f t="shared" si="555"/>
        <v>0</v>
      </c>
      <c r="CC106" s="55">
        <f t="shared" si="556"/>
        <v>0</v>
      </c>
      <c r="CD106" s="59">
        <f t="shared" si="557"/>
        <v>0</v>
      </c>
      <c r="CE106" s="55">
        <f t="shared" si="558"/>
        <v>0</v>
      </c>
      <c r="CF106" s="59">
        <f t="shared" si="559"/>
        <v>0</v>
      </c>
      <c r="CG106" s="55">
        <f t="shared" si="560"/>
        <v>0</v>
      </c>
      <c r="CH106" s="59">
        <f t="shared" si="561"/>
        <v>0</v>
      </c>
      <c r="CI106" s="57">
        <f t="shared" si="562"/>
        <v>0</v>
      </c>
      <c r="CJ106" s="59">
        <f t="shared" si="563"/>
        <v>0</v>
      </c>
      <c r="CK106" s="55">
        <f t="shared" si="564"/>
        <v>0</v>
      </c>
      <c r="CL106" s="59">
        <f t="shared" si="565"/>
        <v>0</v>
      </c>
      <c r="CM106" s="57">
        <f t="shared" si="566"/>
        <v>0</v>
      </c>
      <c r="CN106" s="59">
        <f t="shared" si="567"/>
        <v>0</v>
      </c>
      <c r="CO106" s="60">
        <f t="shared" si="568"/>
        <v>0</v>
      </c>
      <c r="CP106" s="59">
        <f t="shared" si="569"/>
        <v>0</v>
      </c>
      <c r="CQ106" s="57">
        <f t="shared" si="570"/>
        <v>0</v>
      </c>
      <c r="CR106" s="59">
        <f t="shared" si="571"/>
        <v>0</v>
      </c>
      <c r="CS106" s="55">
        <f t="shared" si="572"/>
        <v>0</v>
      </c>
      <c r="CT106" s="59">
        <f t="shared" si="573"/>
        <v>0</v>
      </c>
      <c r="CU106" s="60">
        <f t="shared" si="574"/>
        <v>0</v>
      </c>
      <c r="CV106" s="59">
        <f t="shared" si="575"/>
        <v>0</v>
      </c>
      <c r="CW106" s="60">
        <f t="shared" si="576"/>
        <v>0</v>
      </c>
      <c r="CX106" s="59">
        <f t="shared" si="577"/>
        <v>0</v>
      </c>
      <c r="CY106" s="60">
        <f t="shared" si="578"/>
        <v>0</v>
      </c>
      <c r="CZ106" s="59">
        <f t="shared" si="579"/>
        <v>0</v>
      </c>
      <c r="DA106" s="55">
        <f t="shared" si="580"/>
        <v>0</v>
      </c>
      <c r="DB106" s="59">
        <f t="shared" si="581"/>
        <v>0</v>
      </c>
      <c r="DC106" s="60">
        <f t="shared" si="582"/>
        <v>0</v>
      </c>
      <c r="DD106" s="59">
        <f t="shared" si="583"/>
        <v>0</v>
      </c>
      <c r="DE106" s="60">
        <f t="shared" si="584"/>
        <v>0</v>
      </c>
      <c r="DF106" s="59">
        <f t="shared" si="585"/>
        <v>0</v>
      </c>
      <c r="DG106" s="60">
        <f t="shared" si="586"/>
        <v>0</v>
      </c>
      <c r="DH106" s="59">
        <f t="shared" si="587"/>
        <v>0</v>
      </c>
      <c r="DI106" s="60">
        <f t="shared" si="588"/>
        <v>0</v>
      </c>
      <c r="DJ106" s="59">
        <f t="shared" si="589"/>
        <v>0</v>
      </c>
      <c r="DK106" s="55">
        <f t="shared" si="590"/>
        <v>0</v>
      </c>
      <c r="DL106" s="59">
        <f t="shared" si="591"/>
        <v>0</v>
      </c>
      <c r="DM106" s="60">
        <f t="shared" si="592"/>
        <v>0</v>
      </c>
      <c r="DN106" s="59">
        <f t="shared" si="593"/>
        <v>0</v>
      </c>
      <c r="DO106" s="60">
        <f t="shared" si="594"/>
        <v>0</v>
      </c>
      <c r="DP106" s="59">
        <f t="shared" si="595"/>
        <v>0</v>
      </c>
      <c r="DQ106" s="55">
        <f t="shared" si="596"/>
        <v>0</v>
      </c>
      <c r="DR106" s="59">
        <f t="shared" si="597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43"/>
        <v>0.91</v>
      </c>
      <c r="DZ106" s="55">
        <f t="shared" si="643"/>
        <v>0.89</v>
      </c>
      <c r="EA106" s="55">
        <f t="shared" si="643"/>
        <v>0.87</v>
      </c>
      <c r="EB106" s="55">
        <f t="shared" si="643"/>
        <v>0.85</v>
      </c>
      <c r="EC106" s="55">
        <f t="shared" si="643"/>
        <v>0.83</v>
      </c>
      <c r="ED106" s="55">
        <f t="shared" si="643"/>
        <v>0.80999999999999994</v>
      </c>
      <c r="EE106" s="55">
        <f t="shared" si="643"/>
        <v>0.78999999999999992</v>
      </c>
      <c r="EF106" s="55">
        <f t="shared" si="643"/>
        <v>0.76999999999999991</v>
      </c>
      <c r="EG106" s="55">
        <f t="shared" si="643"/>
        <v>0.74999999999999989</v>
      </c>
      <c r="EH106" s="55">
        <f t="shared" si="643"/>
        <v>0.72999999999999987</v>
      </c>
      <c r="EI106" s="55">
        <f t="shared" si="643"/>
        <v>0.70999999999999985</v>
      </c>
      <c r="EJ106" s="55">
        <f t="shared" si="643"/>
        <v>0.68999999999999984</v>
      </c>
      <c r="EK106" s="55">
        <f t="shared" si="643"/>
        <v>0.66999999999999982</v>
      </c>
      <c r="EL106" s="55">
        <f t="shared" si="643"/>
        <v>0.6499999999999998</v>
      </c>
      <c r="EM106" s="55">
        <f t="shared" si="643"/>
        <v>0.62999999999999978</v>
      </c>
      <c r="EN106" s="55">
        <f t="shared" si="643"/>
        <v>0.60999999999999976</v>
      </c>
      <c r="EO106" s="55">
        <f t="shared" si="643"/>
        <v>0.58999999999999975</v>
      </c>
      <c r="EP106" s="55">
        <f t="shared" si="643"/>
        <v>0.56999999999999973</v>
      </c>
      <c r="ER106" s="55">
        <f t="shared" si="644"/>
        <v>0</v>
      </c>
      <c r="ES106" s="55">
        <f t="shared" si="507"/>
        <v>0</v>
      </c>
      <c r="ET106" s="59">
        <f t="shared" si="598"/>
        <v>0</v>
      </c>
      <c r="EU106" s="55">
        <f t="shared" si="599"/>
        <v>0</v>
      </c>
      <c r="EV106" s="59">
        <f t="shared" si="600"/>
        <v>0</v>
      </c>
      <c r="EW106" s="55">
        <f t="shared" si="601"/>
        <v>0</v>
      </c>
      <c r="EX106" s="59">
        <f t="shared" si="602"/>
        <v>0</v>
      </c>
      <c r="EY106" s="55">
        <f t="shared" si="603"/>
        <v>0</v>
      </c>
      <c r="EZ106" s="59">
        <f t="shared" si="604"/>
        <v>0</v>
      </c>
      <c r="FA106" s="57">
        <f t="shared" si="605"/>
        <v>0</v>
      </c>
      <c r="FB106" s="59">
        <f t="shared" si="606"/>
        <v>0</v>
      </c>
      <c r="FC106" s="55">
        <f t="shared" si="607"/>
        <v>0</v>
      </c>
      <c r="FD106" s="59">
        <f t="shared" si="608"/>
        <v>0</v>
      </c>
      <c r="FE106" s="57">
        <f t="shared" si="609"/>
        <v>0</v>
      </c>
      <c r="FF106" s="59">
        <f t="shared" si="610"/>
        <v>0</v>
      </c>
      <c r="FG106" s="60">
        <f t="shared" si="611"/>
        <v>0</v>
      </c>
      <c r="FH106" s="59">
        <f t="shared" si="612"/>
        <v>0</v>
      </c>
      <c r="FI106" s="57">
        <f t="shared" si="613"/>
        <v>0</v>
      </c>
      <c r="FJ106" s="59">
        <f t="shared" si="614"/>
        <v>0</v>
      </c>
      <c r="FK106" s="55">
        <f t="shared" si="615"/>
        <v>0</v>
      </c>
      <c r="FL106" s="59">
        <f t="shared" si="616"/>
        <v>0</v>
      </c>
      <c r="FM106" s="60">
        <f t="shared" si="617"/>
        <v>0</v>
      </c>
      <c r="FN106" s="59">
        <f t="shared" si="618"/>
        <v>0</v>
      </c>
      <c r="FO106" s="60">
        <f t="shared" si="619"/>
        <v>0</v>
      </c>
      <c r="FP106" s="59">
        <f t="shared" si="620"/>
        <v>0</v>
      </c>
      <c r="FQ106" s="60">
        <f t="shared" si="621"/>
        <v>0</v>
      </c>
      <c r="FR106" s="59">
        <f t="shared" si="622"/>
        <v>0</v>
      </c>
      <c r="FS106" s="55">
        <f t="shared" si="623"/>
        <v>0</v>
      </c>
      <c r="FT106" s="59">
        <f t="shared" si="624"/>
        <v>0</v>
      </c>
      <c r="FU106" s="60">
        <f t="shared" si="625"/>
        <v>0</v>
      </c>
      <c r="FV106" s="59">
        <f t="shared" si="626"/>
        <v>0</v>
      </c>
      <c r="FW106" s="60">
        <f t="shared" si="627"/>
        <v>0</v>
      </c>
      <c r="FX106" s="59">
        <f t="shared" si="628"/>
        <v>0</v>
      </c>
      <c r="FY106" s="60">
        <f t="shared" si="629"/>
        <v>0</v>
      </c>
      <c r="FZ106" s="59">
        <f t="shared" si="630"/>
        <v>0</v>
      </c>
      <c r="GA106" s="60">
        <f t="shared" si="631"/>
        <v>0</v>
      </c>
      <c r="GB106" s="59">
        <f t="shared" si="632"/>
        <v>0</v>
      </c>
      <c r="GC106" s="55">
        <f t="shared" si="633"/>
        <v>0</v>
      </c>
      <c r="GD106" s="59">
        <f t="shared" si="634"/>
        <v>0</v>
      </c>
      <c r="GE106" s="60">
        <f t="shared" si="635"/>
        <v>0</v>
      </c>
      <c r="GF106" s="59">
        <f t="shared" si="636"/>
        <v>0</v>
      </c>
      <c r="GG106" s="60">
        <f t="shared" si="637"/>
        <v>0</v>
      </c>
      <c r="GH106" s="59">
        <f t="shared" si="638"/>
        <v>0</v>
      </c>
      <c r="GI106" s="55">
        <f t="shared" si="639"/>
        <v>0</v>
      </c>
      <c r="GJ106" s="59">
        <f t="shared" si="640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45"/>
        <v>0.91</v>
      </c>
      <c r="GR106" s="55">
        <f t="shared" si="645"/>
        <v>0.89</v>
      </c>
      <c r="GS106" s="55">
        <f t="shared" si="645"/>
        <v>0.87</v>
      </c>
      <c r="GT106" s="55">
        <f t="shared" si="645"/>
        <v>0.85</v>
      </c>
      <c r="GU106" s="55">
        <f t="shared" si="645"/>
        <v>0.83</v>
      </c>
      <c r="GV106" s="55">
        <f t="shared" si="645"/>
        <v>0.80999999999999994</v>
      </c>
      <c r="GW106" s="55">
        <f t="shared" si="645"/>
        <v>0.78999999999999992</v>
      </c>
      <c r="GX106" s="55">
        <f t="shared" si="645"/>
        <v>0.76999999999999991</v>
      </c>
      <c r="GY106" s="55">
        <f t="shared" si="645"/>
        <v>0.74999999999999989</v>
      </c>
      <c r="GZ106" s="55">
        <f t="shared" si="645"/>
        <v>0.72999999999999987</v>
      </c>
      <c r="HA106" s="55">
        <f t="shared" si="645"/>
        <v>0.70999999999999985</v>
      </c>
      <c r="HB106" s="55">
        <f t="shared" si="645"/>
        <v>0.68999999999999984</v>
      </c>
      <c r="HC106" s="55">
        <f t="shared" si="645"/>
        <v>0.66999999999999982</v>
      </c>
      <c r="HD106" s="55">
        <f t="shared" si="645"/>
        <v>0.6499999999999998</v>
      </c>
      <c r="HE106" s="55">
        <f t="shared" si="645"/>
        <v>0.62999999999999978</v>
      </c>
      <c r="HF106" s="55">
        <f t="shared" si="645"/>
        <v>0.60999999999999976</v>
      </c>
      <c r="HG106" s="55">
        <f t="shared" si="645"/>
        <v>0.58999999999999975</v>
      </c>
      <c r="HH106" s="55">
        <f t="shared" si="645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86">
        <f>TRUNC(+D107*3.3058,-1)</f>
        <v>0</v>
      </c>
      <c r="H107" s="55">
        <f t="shared" si="502"/>
        <v>0</v>
      </c>
      <c r="I107" s="55">
        <f t="shared" si="503"/>
        <v>0</v>
      </c>
      <c r="J107" s="59">
        <f t="shared" si="504"/>
        <v>0</v>
      </c>
      <c r="K107" s="55">
        <f t="shared" si="512"/>
        <v>0</v>
      </c>
      <c r="L107" s="59">
        <f t="shared" si="513"/>
        <v>0</v>
      </c>
      <c r="M107" s="55">
        <f t="shared" si="514"/>
        <v>0</v>
      </c>
      <c r="N107" s="59">
        <f t="shared" si="515"/>
        <v>0</v>
      </c>
      <c r="O107" s="55">
        <f t="shared" si="516"/>
        <v>0</v>
      </c>
      <c r="P107" s="59">
        <f t="shared" si="517"/>
        <v>0</v>
      </c>
      <c r="Q107" s="57">
        <f t="shared" si="518"/>
        <v>0</v>
      </c>
      <c r="R107" s="59">
        <f t="shared" si="519"/>
        <v>0</v>
      </c>
      <c r="S107" s="55">
        <f t="shared" si="520"/>
        <v>0</v>
      </c>
      <c r="T107" s="59">
        <f t="shared" si="521"/>
        <v>0</v>
      </c>
      <c r="U107" s="57">
        <f t="shared" si="522"/>
        <v>0</v>
      </c>
      <c r="V107" s="59">
        <f t="shared" si="523"/>
        <v>0</v>
      </c>
      <c r="W107" s="60">
        <f t="shared" si="524"/>
        <v>0</v>
      </c>
      <c r="X107" s="59">
        <f t="shared" si="525"/>
        <v>0</v>
      </c>
      <c r="Y107" s="57">
        <f t="shared" si="526"/>
        <v>0</v>
      </c>
      <c r="Z107" s="59">
        <f t="shared" si="527"/>
        <v>0</v>
      </c>
      <c r="AA107" s="55">
        <f t="shared" si="528"/>
        <v>0</v>
      </c>
      <c r="AB107" s="59">
        <f t="shared" si="529"/>
        <v>0</v>
      </c>
      <c r="AC107" s="60">
        <f t="shared" si="530"/>
        <v>0</v>
      </c>
      <c r="AD107" s="59">
        <f t="shared" si="531"/>
        <v>0</v>
      </c>
      <c r="AE107" s="60">
        <f t="shared" si="532"/>
        <v>0</v>
      </c>
      <c r="AF107" s="59">
        <f t="shared" si="533"/>
        <v>0</v>
      </c>
      <c r="AG107" s="60">
        <f t="shared" si="534"/>
        <v>0</v>
      </c>
      <c r="AH107" s="59">
        <f t="shared" si="535"/>
        <v>0</v>
      </c>
      <c r="AI107" s="55">
        <f t="shared" si="536"/>
        <v>0</v>
      </c>
      <c r="AJ107" s="59">
        <f t="shared" si="537"/>
        <v>0</v>
      </c>
      <c r="AK107" s="60">
        <f t="shared" si="538"/>
        <v>0</v>
      </c>
      <c r="AL107" s="59">
        <f t="shared" si="539"/>
        <v>0</v>
      </c>
      <c r="AM107" s="60">
        <f t="shared" si="540"/>
        <v>0</v>
      </c>
      <c r="AN107" s="59">
        <f t="shared" si="541"/>
        <v>0</v>
      </c>
      <c r="AO107" s="60">
        <f t="shared" si="542"/>
        <v>0</v>
      </c>
      <c r="AP107" s="59">
        <f t="shared" si="543"/>
        <v>0</v>
      </c>
      <c r="AQ107" s="60">
        <f t="shared" si="544"/>
        <v>0</v>
      </c>
      <c r="AR107" s="59">
        <f t="shared" si="545"/>
        <v>0</v>
      </c>
      <c r="AS107" s="55">
        <f t="shared" si="546"/>
        <v>0</v>
      </c>
      <c r="AT107" s="59">
        <f t="shared" si="547"/>
        <v>0</v>
      </c>
      <c r="AU107" s="60">
        <f t="shared" si="548"/>
        <v>0</v>
      </c>
      <c r="AV107" s="59">
        <f t="shared" si="549"/>
        <v>0</v>
      </c>
      <c r="AW107" s="60">
        <f t="shared" si="550"/>
        <v>0</v>
      </c>
      <c r="AX107" s="59">
        <f t="shared" si="551"/>
        <v>0</v>
      </c>
      <c r="AY107" s="55">
        <f t="shared" si="552"/>
        <v>0</v>
      </c>
      <c r="AZ107" s="59">
        <f t="shared" si="553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ref="BG107:BX113" si="647">+BF107-0.02</f>
        <v>0.91</v>
      </c>
      <c r="BH107" s="55">
        <f t="shared" si="647"/>
        <v>0.89</v>
      </c>
      <c r="BI107" s="55">
        <f t="shared" si="647"/>
        <v>0.87</v>
      </c>
      <c r="BJ107" s="55">
        <f t="shared" si="647"/>
        <v>0.85</v>
      </c>
      <c r="BK107" s="55">
        <f t="shared" si="647"/>
        <v>0.83</v>
      </c>
      <c r="BL107" s="55">
        <f t="shared" si="647"/>
        <v>0.80999999999999994</v>
      </c>
      <c r="BM107" s="55">
        <f t="shared" si="647"/>
        <v>0.78999999999999992</v>
      </c>
      <c r="BN107" s="55">
        <f t="shared" si="647"/>
        <v>0.76999999999999991</v>
      </c>
      <c r="BO107" s="55">
        <f t="shared" si="647"/>
        <v>0.74999999999999989</v>
      </c>
      <c r="BP107" s="55">
        <f t="shared" si="647"/>
        <v>0.72999999999999987</v>
      </c>
      <c r="BQ107" s="55">
        <f t="shared" si="647"/>
        <v>0.70999999999999985</v>
      </c>
      <c r="BR107" s="55">
        <f t="shared" si="647"/>
        <v>0.68999999999999984</v>
      </c>
      <c r="BS107" s="55">
        <f t="shared" si="647"/>
        <v>0.66999999999999982</v>
      </c>
      <c r="BT107" s="55">
        <f t="shared" si="647"/>
        <v>0.6499999999999998</v>
      </c>
      <c r="BU107" s="55">
        <f t="shared" si="647"/>
        <v>0.62999999999999978</v>
      </c>
      <c r="BV107" s="55">
        <f t="shared" si="647"/>
        <v>0.60999999999999976</v>
      </c>
      <c r="BW107" s="55">
        <f t="shared" si="647"/>
        <v>0.58999999999999975</v>
      </c>
      <c r="BX107" s="55">
        <f t="shared" si="647"/>
        <v>0.56999999999999973</v>
      </c>
      <c r="BZ107" s="55">
        <f t="shared" si="505"/>
        <v>0</v>
      </c>
      <c r="CA107" s="55">
        <f t="shared" si="506"/>
        <v>0</v>
      </c>
      <c r="CB107" s="59">
        <f t="shared" si="555"/>
        <v>0</v>
      </c>
      <c r="CC107" s="55">
        <f t="shared" si="556"/>
        <v>0</v>
      </c>
      <c r="CD107" s="59">
        <f t="shared" si="557"/>
        <v>0</v>
      </c>
      <c r="CE107" s="55">
        <f t="shared" si="558"/>
        <v>0</v>
      </c>
      <c r="CF107" s="59">
        <f t="shared" si="559"/>
        <v>0</v>
      </c>
      <c r="CG107" s="55">
        <f t="shared" si="560"/>
        <v>0</v>
      </c>
      <c r="CH107" s="59">
        <f t="shared" si="561"/>
        <v>0</v>
      </c>
      <c r="CI107" s="57">
        <f t="shared" si="562"/>
        <v>0</v>
      </c>
      <c r="CJ107" s="59">
        <f t="shared" si="563"/>
        <v>0</v>
      </c>
      <c r="CK107" s="55">
        <f t="shared" si="564"/>
        <v>0</v>
      </c>
      <c r="CL107" s="59">
        <f t="shared" si="565"/>
        <v>0</v>
      </c>
      <c r="CM107" s="57">
        <f t="shared" si="566"/>
        <v>0</v>
      </c>
      <c r="CN107" s="59">
        <f t="shared" si="567"/>
        <v>0</v>
      </c>
      <c r="CO107" s="60">
        <f t="shared" si="568"/>
        <v>0</v>
      </c>
      <c r="CP107" s="59">
        <f t="shared" si="569"/>
        <v>0</v>
      </c>
      <c r="CQ107" s="57">
        <f t="shared" si="570"/>
        <v>0</v>
      </c>
      <c r="CR107" s="59">
        <f t="shared" si="571"/>
        <v>0</v>
      </c>
      <c r="CS107" s="55">
        <f t="shared" si="572"/>
        <v>0</v>
      </c>
      <c r="CT107" s="59">
        <f t="shared" si="573"/>
        <v>0</v>
      </c>
      <c r="CU107" s="60">
        <f t="shared" si="574"/>
        <v>0</v>
      </c>
      <c r="CV107" s="59">
        <f t="shared" si="575"/>
        <v>0</v>
      </c>
      <c r="CW107" s="60">
        <f t="shared" si="576"/>
        <v>0</v>
      </c>
      <c r="CX107" s="59">
        <f t="shared" si="577"/>
        <v>0</v>
      </c>
      <c r="CY107" s="60">
        <f t="shared" si="578"/>
        <v>0</v>
      </c>
      <c r="CZ107" s="59">
        <f t="shared" si="579"/>
        <v>0</v>
      </c>
      <c r="DA107" s="55">
        <f t="shared" si="580"/>
        <v>0</v>
      </c>
      <c r="DB107" s="59">
        <f t="shared" si="581"/>
        <v>0</v>
      </c>
      <c r="DC107" s="60">
        <f t="shared" si="582"/>
        <v>0</v>
      </c>
      <c r="DD107" s="59">
        <f t="shared" si="583"/>
        <v>0</v>
      </c>
      <c r="DE107" s="60">
        <f t="shared" si="584"/>
        <v>0</v>
      </c>
      <c r="DF107" s="59">
        <f t="shared" si="585"/>
        <v>0</v>
      </c>
      <c r="DG107" s="60">
        <f t="shared" si="586"/>
        <v>0</v>
      </c>
      <c r="DH107" s="59">
        <f t="shared" si="587"/>
        <v>0</v>
      </c>
      <c r="DI107" s="60">
        <f t="shared" si="588"/>
        <v>0</v>
      </c>
      <c r="DJ107" s="59">
        <f t="shared" si="589"/>
        <v>0</v>
      </c>
      <c r="DK107" s="55">
        <f t="shared" si="590"/>
        <v>0</v>
      </c>
      <c r="DL107" s="59">
        <f t="shared" si="591"/>
        <v>0</v>
      </c>
      <c r="DM107" s="60">
        <f t="shared" si="592"/>
        <v>0</v>
      </c>
      <c r="DN107" s="59">
        <f t="shared" si="593"/>
        <v>0</v>
      </c>
      <c r="DO107" s="60">
        <f t="shared" si="594"/>
        <v>0</v>
      </c>
      <c r="DP107" s="59">
        <f t="shared" si="595"/>
        <v>0</v>
      </c>
      <c r="DQ107" s="55">
        <f t="shared" si="596"/>
        <v>0</v>
      </c>
      <c r="DR107" s="59">
        <f t="shared" si="597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43"/>
        <v>0.91</v>
      </c>
      <c r="DZ107" s="55">
        <f t="shared" si="643"/>
        <v>0.89</v>
      </c>
      <c r="EA107" s="55">
        <f t="shared" si="643"/>
        <v>0.87</v>
      </c>
      <c r="EB107" s="55">
        <f t="shared" si="643"/>
        <v>0.85</v>
      </c>
      <c r="EC107" s="55">
        <f t="shared" si="643"/>
        <v>0.83</v>
      </c>
      <c r="ED107" s="55">
        <f t="shared" si="643"/>
        <v>0.80999999999999994</v>
      </c>
      <c r="EE107" s="55">
        <f t="shared" si="643"/>
        <v>0.78999999999999992</v>
      </c>
      <c r="EF107" s="55">
        <f t="shared" si="643"/>
        <v>0.76999999999999991</v>
      </c>
      <c r="EG107" s="55">
        <f t="shared" si="643"/>
        <v>0.74999999999999989</v>
      </c>
      <c r="EH107" s="55">
        <f t="shared" si="643"/>
        <v>0.72999999999999987</v>
      </c>
      <c r="EI107" s="55">
        <f t="shared" si="643"/>
        <v>0.70999999999999985</v>
      </c>
      <c r="EJ107" s="55">
        <f t="shared" si="643"/>
        <v>0.68999999999999984</v>
      </c>
      <c r="EK107" s="55">
        <f t="shared" si="643"/>
        <v>0.66999999999999982</v>
      </c>
      <c r="EL107" s="55">
        <f t="shared" si="643"/>
        <v>0.6499999999999998</v>
      </c>
      <c r="EM107" s="55">
        <f t="shared" si="643"/>
        <v>0.62999999999999978</v>
      </c>
      <c r="EN107" s="55">
        <f t="shared" si="643"/>
        <v>0.60999999999999976</v>
      </c>
      <c r="EO107" s="55">
        <f t="shared" si="643"/>
        <v>0.58999999999999975</v>
      </c>
      <c r="EP107" s="55">
        <f t="shared" si="643"/>
        <v>0.56999999999999973</v>
      </c>
      <c r="ER107" s="55">
        <f t="shared" si="644"/>
        <v>0</v>
      </c>
      <c r="ES107" s="55">
        <f t="shared" si="507"/>
        <v>0</v>
      </c>
      <c r="ET107" s="59">
        <f t="shared" si="598"/>
        <v>0</v>
      </c>
      <c r="EU107" s="55">
        <f t="shared" si="599"/>
        <v>0</v>
      </c>
      <c r="EV107" s="59">
        <f t="shared" si="600"/>
        <v>0</v>
      </c>
      <c r="EW107" s="55">
        <f t="shared" si="601"/>
        <v>0</v>
      </c>
      <c r="EX107" s="59">
        <f t="shared" si="602"/>
        <v>0</v>
      </c>
      <c r="EY107" s="55">
        <f t="shared" si="603"/>
        <v>0</v>
      </c>
      <c r="EZ107" s="59">
        <f t="shared" si="604"/>
        <v>0</v>
      </c>
      <c r="FA107" s="57">
        <f t="shared" si="605"/>
        <v>0</v>
      </c>
      <c r="FB107" s="59">
        <f t="shared" si="606"/>
        <v>0</v>
      </c>
      <c r="FC107" s="55">
        <f t="shared" si="607"/>
        <v>0</v>
      </c>
      <c r="FD107" s="59">
        <f t="shared" si="608"/>
        <v>0</v>
      </c>
      <c r="FE107" s="57">
        <f t="shared" si="609"/>
        <v>0</v>
      </c>
      <c r="FF107" s="59">
        <f t="shared" si="610"/>
        <v>0</v>
      </c>
      <c r="FG107" s="60">
        <f t="shared" si="611"/>
        <v>0</v>
      </c>
      <c r="FH107" s="59">
        <f t="shared" si="612"/>
        <v>0</v>
      </c>
      <c r="FI107" s="57">
        <f t="shared" si="613"/>
        <v>0</v>
      </c>
      <c r="FJ107" s="59">
        <f t="shared" si="614"/>
        <v>0</v>
      </c>
      <c r="FK107" s="55">
        <f t="shared" si="615"/>
        <v>0</v>
      </c>
      <c r="FL107" s="59">
        <f t="shared" si="616"/>
        <v>0</v>
      </c>
      <c r="FM107" s="60">
        <f t="shared" si="617"/>
        <v>0</v>
      </c>
      <c r="FN107" s="59">
        <f t="shared" si="618"/>
        <v>0</v>
      </c>
      <c r="FO107" s="60">
        <f t="shared" si="619"/>
        <v>0</v>
      </c>
      <c r="FP107" s="59">
        <f t="shared" si="620"/>
        <v>0</v>
      </c>
      <c r="FQ107" s="60">
        <f t="shared" si="621"/>
        <v>0</v>
      </c>
      <c r="FR107" s="59">
        <f t="shared" si="622"/>
        <v>0</v>
      </c>
      <c r="FS107" s="55">
        <f t="shared" si="623"/>
        <v>0</v>
      </c>
      <c r="FT107" s="59">
        <f t="shared" si="624"/>
        <v>0</v>
      </c>
      <c r="FU107" s="60">
        <f t="shared" si="625"/>
        <v>0</v>
      </c>
      <c r="FV107" s="59">
        <f t="shared" si="626"/>
        <v>0</v>
      </c>
      <c r="FW107" s="60">
        <f t="shared" si="627"/>
        <v>0</v>
      </c>
      <c r="FX107" s="59">
        <f t="shared" si="628"/>
        <v>0</v>
      </c>
      <c r="FY107" s="60">
        <f t="shared" si="629"/>
        <v>0</v>
      </c>
      <c r="FZ107" s="59">
        <f t="shared" si="630"/>
        <v>0</v>
      </c>
      <c r="GA107" s="60">
        <f t="shared" si="631"/>
        <v>0</v>
      </c>
      <c r="GB107" s="59">
        <f t="shared" si="632"/>
        <v>0</v>
      </c>
      <c r="GC107" s="55">
        <f t="shared" si="633"/>
        <v>0</v>
      </c>
      <c r="GD107" s="59">
        <f t="shared" si="634"/>
        <v>0</v>
      </c>
      <c r="GE107" s="60">
        <f t="shared" si="635"/>
        <v>0</v>
      </c>
      <c r="GF107" s="59">
        <f t="shared" si="636"/>
        <v>0</v>
      </c>
      <c r="GG107" s="60">
        <f t="shared" si="637"/>
        <v>0</v>
      </c>
      <c r="GH107" s="59">
        <f t="shared" si="638"/>
        <v>0</v>
      </c>
      <c r="GI107" s="55">
        <f t="shared" si="639"/>
        <v>0</v>
      </c>
      <c r="GJ107" s="59">
        <f t="shared" si="640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45"/>
        <v>0.91</v>
      </c>
      <c r="GR107" s="55">
        <f t="shared" si="645"/>
        <v>0.89</v>
      </c>
      <c r="GS107" s="55">
        <f t="shared" si="645"/>
        <v>0.87</v>
      </c>
      <c r="GT107" s="55">
        <f t="shared" si="645"/>
        <v>0.85</v>
      </c>
      <c r="GU107" s="55">
        <f t="shared" si="645"/>
        <v>0.83</v>
      </c>
      <c r="GV107" s="55">
        <f t="shared" si="645"/>
        <v>0.80999999999999994</v>
      </c>
      <c r="GW107" s="55">
        <f t="shared" si="645"/>
        <v>0.78999999999999992</v>
      </c>
      <c r="GX107" s="55">
        <f t="shared" si="645"/>
        <v>0.76999999999999991</v>
      </c>
      <c r="GY107" s="55">
        <f t="shared" si="645"/>
        <v>0.74999999999999989</v>
      </c>
      <c r="GZ107" s="55">
        <f t="shared" si="645"/>
        <v>0.72999999999999987</v>
      </c>
      <c r="HA107" s="55">
        <f t="shared" si="645"/>
        <v>0.70999999999999985</v>
      </c>
      <c r="HB107" s="55">
        <f t="shared" si="645"/>
        <v>0.68999999999999984</v>
      </c>
      <c r="HC107" s="55">
        <f t="shared" si="645"/>
        <v>0.66999999999999982</v>
      </c>
      <c r="HD107" s="55">
        <f t="shared" si="645"/>
        <v>0.6499999999999998</v>
      </c>
      <c r="HE107" s="55">
        <f t="shared" si="645"/>
        <v>0.62999999999999978</v>
      </c>
      <c r="HF107" s="55">
        <f t="shared" si="645"/>
        <v>0.60999999999999976</v>
      </c>
      <c r="HG107" s="55">
        <f t="shared" si="645"/>
        <v>0.58999999999999975</v>
      </c>
      <c r="HH107" s="55">
        <f t="shared" si="645"/>
        <v>0.56999999999999973</v>
      </c>
    </row>
    <row r="108" spans="1:216" x14ac:dyDescent="0.3">
      <c r="A108" s="2">
        <v>17</v>
      </c>
      <c r="C108" s="38" t="s">
        <v>131</v>
      </c>
      <c r="D108" s="42">
        <f>TRUNC(4068,-1)</f>
        <v>4060</v>
      </c>
      <c r="E108" s="86">
        <f>TRUNC(+D108*3.3058,-1)</f>
        <v>13420</v>
      </c>
      <c r="F108" s="2" t="s">
        <v>311</v>
      </c>
      <c r="H108" s="55">
        <f t="shared" si="502"/>
        <v>14762.000000000002</v>
      </c>
      <c r="I108" s="55">
        <f t="shared" si="503"/>
        <v>14762.000000000002</v>
      </c>
      <c r="J108" s="59">
        <f t="shared" si="504"/>
        <v>48800.219600000004</v>
      </c>
      <c r="K108" s="55">
        <f t="shared" si="512"/>
        <v>14319.140000000001</v>
      </c>
      <c r="L108" s="59">
        <f t="shared" si="513"/>
        <v>47336.213012000007</v>
      </c>
      <c r="M108" s="55">
        <f t="shared" si="514"/>
        <v>14023.900000000001</v>
      </c>
      <c r="N108" s="59">
        <f t="shared" si="515"/>
        <v>46360.208620000005</v>
      </c>
      <c r="O108" s="55">
        <f t="shared" si="516"/>
        <v>13728.660000000002</v>
      </c>
      <c r="P108" s="59">
        <f t="shared" si="517"/>
        <v>45384.20422800001</v>
      </c>
      <c r="Q108" s="57">
        <f t="shared" si="518"/>
        <v>13433.420000000002</v>
      </c>
      <c r="R108" s="59">
        <f t="shared" si="519"/>
        <v>44408.199836000007</v>
      </c>
      <c r="S108" s="55">
        <f t="shared" si="520"/>
        <v>13138.180000000002</v>
      </c>
      <c r="T108" s="59">
        <f t="shared" si="521"/>
        <v>43432.195444000004</v>
      </c>
      <c r="U108" s="57">
        <f t="shared" si="522"/>
        <v>12842.940000000002</v>
      </c>
      <c r="V108" s="59">
        <f t="shared" si="523"/>
        <v>42456.191052000009</v>
      </c>
      <c r="W108" s="60">
        <f t="shared" si="524"/>
        <v>12547.7</v>
      </c>
      <c r="X108" s="59">
        <f t="shared" si="525"/>
        <v>41480.186660000007</v>
      </c>
      <c r="Y108" s="57">
        <f t="shared" si="526"/>
        <v>12252.460000000001</v>
      </c>
      <c r="Z108" s="59">
        <f t="shared" si="527"/>
        <v>40504.182268000004</v>
      </c>
      <c r="AA108" s="55">
        <f t="shared" si="528"/>
        <v>11957.220000000001</v>
      </c>
      <c r="AB108" s="59">
        <f t="shared" si="529"/>
        <v>39528.177876000002</v>
      </c>
      <c r="AC108" s="60">
        <f t="shared" si="530"/>
        <v>11661.98</v>
      </c>
      <c r="AD108" s="59">
        <f t="shared" si="531"/>
        <v>38552.173483999999</v>
      </c>
      <c r="AE108" s="60">
        <f t="shared" si="532"/>
        <v>11366.74</v>
      </c>
      <c r="AF108" s="59">
        <f t="shared" si="533"/>
        <v>37576.169092000004</v>
      </c>
      <c r="AG108" s="60">
        <f t="shared" si="534"/>
        <v>11071.5</v>
      </c>
      <c r="AH108" s="59">
        <f t="shared" si="535"/>
        <v>36600.164700000001</v>
      </c>
      <c r="AI108" s="55">
        <f t="shared" si="536"/>
        <v>10776.26</v>
      </c>
      <c r="AJ108" s="59">
        <f t="shared" si="537"/>
        <v>35624.160307999999</v>
      </c>
      <c r="AK108" s="60">
        <f t="shared" si="538"/>
        <v>10481.019999999999</v>
      </c>
      <c r="AL108" s="59">
        <f t="shared" si="539"/>
        <v>34648.155915999996</v>
      </c>
      <c r="AM108" s="60">
        <f t="shared" si="540"/>
        <v>10185.779999999999</v>
      </c>
      <c r="AN108" s="59">
        <f t="shared" si="541"/>
        <v>33672.151523999994</v>
      </c>
      <c r="AO108" s="60">
        <f t="shared" si="542"/>
        <v>9890.5399999999991</v>
      </c>
      <c r="AP108" s="59">
        <f t="shared" si="543"/>
        <v>32696.147131999998</v>
      </c>
      <c r="AQ108" s="60">
        <f t="shared" si="544"/>
        <v>9595.2999999999975</v>
      </c>
      <c r="AR108" s="59">
        <f t="shared" si="545"/>
        <v>31720.142739999992</v>
      </c>
      <c r="AS108" s="55">
        <f t="shared" si="546"/>
        <v>9300.0599999999977</v>
      </c>
      <c r="AT108" s="59">
        <f t="shared" si="547"/>
        <v>30744.138347999993</v>
      </c>
      <c r="AU108" s="60">
        <f t="shared" si="548"/>
        <v>9004.8199999999979</v>
      </c>
      <c r="AV108" s="59">
        <f t="shared" si="549"/>
        <v>29768.133955999994</v>
      </c>
      <c r="AW108" s="60">
        <f t="shared" si="550"/>
        <v>8709.5799999999981</v>
      </c>
      <c r="AX108" s="59">
        <f t="shared" si="551"/>
        <v>28792.129563999995</v>
      </c>
      <c r="AY108" s="55">
        <f t="shared" si="552"/>
        <v>8414.3399999999965</v>
      </c>
      <c r="AZ108" s="59">
        <f t="shared" si="553"/>
        <v>27816.125171999989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647"/>
        <v>0.91</v>
      </c>
      <c r="BH108" s="55">
        <f t="shared" si="647"/>
        <v>0.89</v>
      </c>
      <c r="BI108" s="55">
        <f t="shared" si="647"/>
        <v>0.87</v>
      </c>
      <c r="BJ108" s="55">
        <f t="shared" si="647"/>
        <v>0.85</v>
      </c>
      <c r="BK108" s="55">
        <f t="shared" si="647"/>
        <v>0.83</v>
      </c>
      <c r="BL108" s="55">
        <f t="shared" si="647"/>
        <v>0.80999999999999994</v>
      </c>
      <c r="BM108" s="55">
        <f t="shared" si="647"/>
        <v>0.78999999999999992</v>
      </c>
      <c r="BN108" s="55">
        <f t="shared" si="647"/>
        <v>0.76999999999999991</v>
      </c>
      <c r="BO108" s="55">
        <f t="shared" si="647"/>
        <v>0.74999999999999989</v>
      </c>
      <c r="BP108" s="55">
        <f t="shared" si="647"/>
        <v>0.72999999999999987</v>
      </c>
      <c r="BQ108" s="55">
        <f t="shared" si="647"/>
        <v>0.70999999999999985</v>
      </c>
      <c r="BR108" s="55">
        <f t="shared" si="647"/>
        <v>0.68999999999999984</v>
      </c>
      <c r="BS108" s="55">
        <f t="shared" si="647"/>
        <v>0.66999999999999982</v>
      </c>
      <c r="BT108" s="55">
        <f t="shared" si="647"/>
        <v>0.6499999999999998</v>
      </c>
      <c r="BU108" s="55">
        <f t="shared" si="647"/>
        <v>0.62999999999999978</v>
      </c>
      <c r="BV108" s="55">
        <f t="shared" si="647"/>
        <v>0.60999999999999976</v>
      </c>
      <c r="BW108" s="55">
        <f t="shared" si="647"/>
        <v>0.58999999999999975</v>
      </c>
      <c r="BX108" s="55">
        <f t="shared" si="647"/>
        <v>0.56999999999999973</v>
      </c>
      <c r="BZ108" s="55">
        <f t="shared" si="505"/>
        <v>13433.420000000002</v>
      </c>
      <c r="CA108" s="55">
        <f t="shared" si="506"/>
        <v>13433.420000000002</v>
      </c>
      <c r="CB108" s="59">
        <f t="shared" si="555"/>
        <v>44408.199836000007</v>
      </c>
      <c r="CC108" s="55">
        <f t="shared" si="556"/>
        <v>13030.417400000002</v>
      </c>
      <c r="CD108" s="59">
        <f t="shared" si="557"/>
        <v>43075.95384092001</v>
      </c>
      <c r="CE108" s="55">
        <f t="shared" si="558"/>
        <v>12761.749000000002</v>
      </c>
      <c r="CF108" s="59">
        <f t="shared" si="559"/>
        <v>42187.789844200008</v>
      </c>
      <c r="CG108" s="55">
        <f t="shared" si="560"/>
        <v>12493.080600000003</v>
      </c>
      <c r="CH108" s="59">
        <f t="shared" si="561"/>
        <v>41299.625847480012</v>
      </c>
      <c r="CI108" s="57">
        <f t="shared" si="562"/>
        <v>12224.412200000002</v>
      </c>
      <c r="CJ108" s="59">
        <f t="shared" si="563"/>
        <v>40411.46185076001</v>
      </c>
      <c r="CK108" s="55">
        <f t="shared" si="564"/>
        <v>11955.743800000002</v>
      </c>
      <c r="CL108" s="59">
        <f t="shared" si="565"/>
        <v>39523.297854040007</v>
      </c>
      <c r="CM108" s="57">
        <f t="shared" si="566"/>
        <v>11687.075400000002</v>
      </c>
      <c r="CN108" s="59">
        <f t="shared" si="567"/>
        <v>38635.133857320005</v>
      </c>
      <c r="CO108" s="60">
        <f t="shared" si="568"/>
        <v>11418.407000000001</v>
      </c>
      <c r="CP108" s="59">
        <f t="shared" si="569"/>
        <v>37746.969860600002</v>
      </c>
      <c r="CQ108" s="57">
        <f t="shared" si="570"/>
        <v>11149.738600000001</v>
      </c>
      <c r="CR108" s="59">
        <f t="shared" si="571"/>
        <v>36858.805863879999</v>
      </c>
      <c r="CS108" s="55">
        <f t="shared" si="572"/>
        <v>10881.0702</v>
      </c>
      <c r="CT108" s="59">
        <f t="shared" si="573"/>
        <v>35970.641867160004</v>
      </c>
      <c r="CU108" s="60">
        <f t="shared" si="574"/>
        <v>10612.4018</v>
      </c>
      <c r="CV108" s="59">
        <f t="shared" si="575"/>
        <v>35082.477870440001</v>
      </c>
      <c r="CW108" s="60">
        <f t="shared" si="576"/>
        <v>10343.733400000001</v>
      </c>
      <c r="CX108" s="59">
        <f t="shared" si="577"/>
        <v>34194.313873720006</v>
      </c>
      <c r="CY108" s="60">
        <f t="shared" si="578"/>
        <v>10075.065000000001</v>
      </c>
      <c r="CZ108" s="59">
        <f t="shared" si="579"/>
        <v>33306.149877000003</v>
      </c>
      <c r="DA108" s="55">
        <f t="shared" si="580"/>
        <v>9806.3966</v>
      </c>
      <c r="DB108" s="59">
        <f t="shared" si="581"/>
        <v>32417.985880280001</v>
      </c>
      <c r="DC108" s="60">
        <f t="shared" si="582"/>
        <v>9537.7281999999996</v>
      </c>
      <c r="DD108" s="59">
        <f t="shared" si="583"/>
        <v>31529.821883559998</v>
      </c>
      <c r="DE108" s="60">
        <f t="shared" si="584"/>
        <v>9269.0597999999991</v>
      </c>
      <c r="DF108" s="59">
        <f t="shared" si="585"/>
        <v>30641.657886839999</v>
      </c>
      <c r="DG108" s="60">
        <f t="shared" si="586"/>
        <v>9000.3913999999986</v>
      </c>
      <c r="DH108" s="59">
        <f t="shared" si="587"/>
        <v>29753.493890119997</v>
      </c>
      <c r="DI108" s="60">
        <f t="shared" si="588"/>
        <v>8731.7229999999981</v>
      </c>
      <c r="DJ108" s="59">
        <f t="shared" si="589"/>
        <v>28865.329893399994</v>
      </c>
      <c r="DK108" s="55">
        <f t="shared" si="590"/>
        <v>8463.0545999999977</v>
      </c>
      <c r="DL108" s="59">
        <f t="shared" si="591"/>
        <v>27977.165896679991</v>
      </c>
      <c r="DM108" s="60">
        <f t="shared" si="592"/>
        <v>8194.3861999999972</v>
      </c>
      <c r="DN108" s="59">
        <f t="shared" si="593"/>
        <v>27089.001899959992</v>
      </c>
      <c r="DO108" s="60">
        <f t="shared" si="594"/>
        <v>7925.7177999999976</v>
      </c>
      <c r="DP108" s="59">
        <f t="shared" si="595"/>
        <v>26200.837903239993</v>
      </c>
      <c r="DQ108" s="55">
        <f t="shared" si="596"/>
        <v>7657.0493999999971</v>
      </c>
      <c r="DR108" s="59">
        <f t="shared" si="597"/>
        <v>25312.673906519991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43"/>
        <v>0.91</v>
      </c>
      <c r="DZ108" s="55">
        <f t="shared" si="643"/>
        <v>0.89</v>
      </c>
      <c r="EA108" s="55">
        <f t="shared" si="643"/>
        <v>0.87</v>
      </c>
      <c r="EB108" s="55">
        <f t="shared" ref="EB108:EP108" si="648">+EA108-0.02</f>
        <v>0.85</v>
      </c>
      <c r="EC108" s="55">
        <f t="shared" si="648"/>
        <v>0.83</v>
      </c>
      <c r="ED108" s="55">
        <f t="shared" si="648"/>
        <v>0.80999999999999994</v>
      </c>
      <c r="EE108" s="55">
        <f t="shared" si="648"/>
        <v>0.78999999999999992</v>
      </c>
      <c r="EF108" s="55">
        <f t="shared" si="648"/>
        <v>0.76999999999999991</v>
      </c>
      <c r="EG108" s="55">
        <f t="shared" si="648"/>
        <v>0.74999999999999989</v>
      </c>
      <c r="EH108" s="55">
        <f t="shared" si="648"/>
        <v>0.72999999999999987</v>
      </c>
      <c r="EI108" s="55">
        <f t="shared" si="648"/>
        <v>0.70999999999999985</v>
      </c>
      <c r="EJ108" s="55">
        <f t="shared" si="648"/>
        <v>0.68999999999999984</v>
      </c>
      <c r="EK108" s="55">
        <f t="shared" si="648"/>
        <v>0.66999999999999982</v>
      </c>
      <c r="EL108" s="55">
        <f t="shared" si="648"/>
        <v>0.6499999999999998</v>
      </c>
      <c r="EM108" s="55">
        <f t="shared" si="648"/>
        <v>0.62999999999999978</v>
      </c>
      <c r="EN108" s="55">
        <f t="shared" si="648"/>
        <v>0.60999999999999976</v>
      </c>
      <c r="EO108" s="55">
        <f t="shared" si="648"/>
        <v>0.58999999999999975</v>
      </c>
      <c r="EP108" s="55">
        <f t="shared" si="648"/>
        <v>0.56999999999999973</v>
      </c>
      <c r="ER108" s="55">
        <f t="shared" si="644"/>
        <v>12224.412200000002</v>
      </c>
      <c r="ES108" s="55">
        <f t="shared" si="507"/>
        <v>12224.412200000002</v>
      </c>
      <c r="ET108" s="59">
        <f t="shared" si="598"/>
        <v>40411.46185076001</v>
      </c>
      <c r="EU108" s="55">
        <f t="shared" si="599"/>
        <v>11857.679834000002</v>
      </c>
      <c r="EV108" s="59">
        <f t="shared" si="600"/>
        <v>39199.117995237211</v>
      </c>
      <c r="EW108" s="55">
        <f t="shared" si="601"/>
        <v>11613.191590000002</v>
      </c>
      <c r="EX108" s="59">
        <f t="shared" si="602"/>
        <v>38390.888758222005</v>
      </c>
      <c r="EY108" s="55">
        <f t="shared" si="603"/>
        <v>11368.703346000002</v>
      </c>
      <c r="EZ108" s="59">
        <f t="shared" si="604"/>
        <v>37582.659521206806</v>
      </c>
      <c r="FA108" s="57">
        <f t="shared" si="605"/>
        <v>11124.215102000002</v>
      </c>
      <c r="FB108" s="59">
        <f t="shared" si="606"/>
        <v>36774.430284191607</v>
      </c>
      <c r="FC108" s="55">
        <f t="shared" si="607"/>
        <v>10879.726858000002</v>
      </c>
      <c r="FD108" s="59">
        <f t="shared" si="608"/>
        <v>35966.201047176408</v>
      </c>
      <c r="FE108" s="57">
        <f t="shared" si="609"/>
        <v>10635.238614000002</v>
      </c>
      <c r="FF108" s="59">
        <f t="shared" si="610"/>
        <v>35157.971810161209</v>
      </c>
      <c r="FG108" s="60">
        <f t="shared" si="611"/>
        <v>10390.750370000002</v>
      </c>
      <c r="FH108" s="59">
        <f t="shared" si="612"/>
        <v>34349.742573146003</v>
      </c>
      <c r="FI108" s="57">
        <f t="shared" si="613"/>
        <v>10146.262126000001</v>
      </c>
      <c r="FJ108" s="59">
        <f t="shared" si="614"/>
        <v>33541.513336130804</v>
      </c>
      <c r="FK108" s="55">
        <f t="shared" si="615"/>
        <v>9901.7738820000013</v>
      </c>
      <c r="FL108" s="59">
        <f t="shared" si="616"/>
        <v>32733.284099115604</v>
      </c>
      <c r="FM108" s="60">
        <f t="shared" si="617"/>
        <v>9657.2856380000012</v>
      </c>
      <c r="FN108" s="59">
        <f t="shared" si="618"/>
        <v>31925.054862100405</v>
      </c>
      <c r="FO108" s="60">
        <f t="shared" si="619"/>
        <v>9412.7973940000011</v>
      </c>
      <c r="FP108" s="59">
        <f t="shared" si="620"/>
        <v>31116.825625085203</v>
      </c>
      <c r="FQ108" s="60">
        <f t="shared" si="621"/>
        <v>9168.309150000001</v>
      </c>
      <c r="FR108" s="59">
        <f t="shared" si="622"/>
        <v>30308.596388070004</v>
      </c>
      <c r="FS108" s="55">
        <f t="shared" si="623"/>
        <v>8923.8209060000008</v>
      </c>
      <c r="FT108" s="59">
        <f t="shared" si="624"/>
        <v>29500.367151054805</v>
      </c>
      <c r="FU108" s="60">
        <f t="shared" si="625"/>
        <v>8679.3326620000007</v>
      </c>
      <c r="FV108" s="59">
        <f t="shared" si="626"/>
        <v>28692.137914039602</v>
      </c>
      <c r="FW108" s="60">
        <f t="shared" si="627"/>
        <v>8434.8444180000006</v>
      </c>
      <c r="FX108" s="59">
        <f t="shared" si="628"/>
        <v>27883.908677024403</v>
      </c>
      <c r="FY108" s="60">
        <f t="shared" si="629"/>
        <v>8190.3561739999996</v>
      </c>
      <c r="FZ108" s="59">
        <f t="shared" si="630"/>
        <v>27075.6794400092</v>
      </c>
      <c r="GA108" s="60">
        <f t="shared" si="631"/>
        <v>7945.8679299999994</v>
      </c>
      <c r="GB108" s="59">
        <f t="shared" si="632"/>
        <v>26267.450202993998</v>
      </c>
      <c r="GC108" s="55">
        <f t="shared" si="633"/>
        <v>7701.3796859999993</v>
      </c>
      <c r="GD108" s="59">
        <f t="shared" si="634"/>
        <v>25459.220965978799</v>
      </c>
      <c r="GE108" s="60">
        <f t="shared" si="635"/>
        <v>7456.8914419999983</v>
      </c>
      <c r="GF108" s="59">
        <f t="shared" si="636"/>
        <v>24650.991728963596</v>
      </c>
      <c r="GG108" s="60">
        <f t="shared" si="637"/>
        <v>7212.4031979999982</v>
      </c>
      <c r="GH108" s="59">
        <f t="shared" si="638"/>
        <v>23842.762491948393</v>
      </c>
      <c r="GI108" s="55">
        <f t="shared" si="639"/>
        <v>6967.914953999998</v>
      </c>
      <c r="GJ108" s="59">
        <f t="shared" si="640"/>
        <v>23034.533254933194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45"/>
        <v>0.91</v>
      </c>
      <c r="GR108" s="55">
        <f t="shared" si="645"/>
        <v>0.89</v>
      </c>
      <c r="GS108" s="55">
        <f t="shared" si="645"/>
        <v>0.87</v>
      </c>
      <c r="GT108" s="55">
        <f t="shared" ref="GT108:HH108" si="649">+GS108-0.02</f>
        <v>0.85</v>
      </c>
      <c r="GU108" s="55">
        <f t="shared" si="649"/>
        <v>0.83</v>
      </c>
      <c r="GV108" s="55">
        <f t="shared" si="649"/>
        <v>0.80999999999999994</v>
      </c>
      <c r="GW108" s="55">
        <f t="shared" si="649"/>
        <v>0.78999999999999992</v>
      </c>
      <c r="GX108" s="55">
        <f t="shared" si="649"/>
        <v>0.76999999999999991</v>
      </c>
      <c r="GY108" s="55">
        <f t="shared" si="649"/>
        <v>0.74999999999999989</v>
      </c>
      <c r="GZ108" s="55">
        <f t="shared" si="649"/>
        <v>0.72999999999999987</v>
      </c>
      <c r="HA108" s="55">
        <f t="shared" si="649"/>
        <v>0.70999999999999985</v>
      </c>
      <c r="HB108" s="55">
        <f t="shared" si="649"/>
        <v>0.68999999999999984</v>
      </c>
      <c r="HC108" s="55">
        <f t="shared" si="649"/>
        <v>0.66999999999999982</v>
      </c>
      <c r="HD108" s="55">
        <f t="shared" si="649"/>
        <v>0.6499999999999998</v>
      </c>
      <c r="HE108" s="55">
        <f t="shared" si="649"/>
        <v>0.62999999999999978</v>
      </c>
      <c r="HF108" s="55">
        <f t="shared" si="649"/>
        <v>0.60999999999999976</v>
      </c>
      <c r="HG108" s="55">
        <f t="shared" si="649"/>
        <v>0.58999999999999975</v>
      </c>
      <c r="HH108" s="55">
        <f t="shared" si="649"/>
        <v>0.56999999999999973</v>
      </c>
    </row>
    <row r="109" spans="1:216" x14ac:dyDescent="0.3">
      <c r="A109" s="2">
        <v>18</v>
      </c>
      <c r="C109" s="38" t="s">
        <v>117</v>
      </c>
      <c r="D109" s="42">
        <v>0</v>
      </c>
      <c r="E109" s="86">
        <f>TRUNC(+D109*3.3058,-1)</f>
        <v>0</v>
      </c>
      <c r="H109" s="55">
        <f t="shared" si="502"/>
        <v>0</v>
      </c>
      <c r="I109" s="55">
        <f t="shared" si="503"/>
        <v>0</v>
      </c>
      <c r="J109" s="59">
        <f t="shared" si="504"/>
        <v>0</v>
      </c>
      <c r="K109" s="55">
        <f t="shared" si="512"/>
        <v>0</v>
      </c>
      <c r="L109" s="59">
        <f t="shared" si="513"/>
        <v>0</v>
      </c>
      <c r="M109" s="55">
        <f t="shared" si="514"/>
        <v>0</v>
      </c>
      <c r="N109" s="59">
        <f t="shared" si="515"/>
        <v>0</v>
      </c>
      <c r="O109" s="55">
        <f t="shared" si="516"/>
        <v>0</v>
      </c>
      <c r="P109" s="59">
        <f t="shared" si="517"/>
        <v>0</v>
      </c>
      <c r="Q109" s="57">
        <f t="shared" si="518"/>
        <v>0</v>
      </c>
      <c r="R109" s="59">
        <f t="shared" si="519"/>
        <v>0</v>
      </c>
      <c r="S109" s="55">
        <f t="shared" si="520"/>
        <v>0</v>
      </c>
      <c r="T109" s="59">
        <f t="shared" si="521"/>
        <v>0</v>
      </c>
      <c r="U109" s="57">
        <f t="shared" si="522"/>
        <v>0</v>
      </c>
      <c r="V109" s="59">
        <f t="shared" si="523"/>
        <v>0</v>
      </c>
      <c r="W109" s="60">
        <f t="shared" si="524"/>
        <v>0</v>
      </c>
      <c r="X109" s="59">
        <f t="shared" si="525"/>
        <v>0</v>
      </c>
      <c r="Y109" s="57">
        <f t="shared" si="526"/>
        <v>0</v>
      </c>
      <c r="Z109" s="59">
        <f t="shared" si="527"/>
        <v>0</v>
      </c>
      <c r="AA109" s="55">
        <f t="shared" si="528"/>
        <v>0</v>
      </c>
      <c r="AB109" s="59">
        <f t="shared" si="529"/>
        <v>0</v>
      </c>
      <c r="AC109" s="60">
        <f t="shared" si="530"/>
        <v>0</v>
      </c>
      <c r="AD109" s="59">
        <f t="shared" si="531"/>
        <v>0</v>
      </c>
      <c r="AE109" s="60">
        <f t="shared" si="532"/>
        <v>0</v>
      </c>
      <c r="AF109" s="59">
        <f t="shared" si="533"/>
        <v>0</v>
      </c>
      <c r="AG109" s="60">
        <f t="shared" si="534"/>
        <v>0</v>
      </c>
      <c r="AH109" s="59">
        <f t="shared" si="535"/>
        <v>0</v>
      </c>
      <c r="AI109" s="55">
        <f t="shared" si="536"/>
        <v>0</v>
      </c>
      <c r="AJ109" s="59">
        <f t="shared" si="537"/>
        <v>0</v>
      </c>
      <c r="AK109" s="60">
        <f t="shared" si="538"/>
        <v>0</v>
      </c>
      <c r="AL109" s="59">
        <f t="shared" si="539"/>
        <v>0</v>
      </c>
      <c r="AM109" s="60">
        <f t="shared" si="540"/>
        <v>0</v>
      </c>
      <c r="AN109" s="59">
        <f t="shared" si="541"/>
        <v>0</v>
      </c>
      <c r="AO109" s="60">
        <f t="shared" si="542"/>
        <v>0</v>
      </c>
      <c r="AP109" s="59">
        <f t="shared" si="543"/>
        <v>0</v>
      </c>
      <c r="AQ109" s="60">
        <f t="shared" si="544"/>
        <v>0</v>
      </c>
      <c r="AR109" s="59">
        <f t="shared" si="545"/>
        <v>0</v>
      </c>
      <c r="AS109" s="55">
        <f t="shared" si="546"/>
        <v>0</v>
      </c>
      <c r="AT109" s="59">
        <f t="shared" si="547"/>
        <v>0</v>
      </c>
      <c r="AU109" s="60">
        <f t="shared" si="548"/>
        <v>0</v>
      </c>
      <c r="AV109" s="59">
        <f t="shared" si="549"/>
        <v>0</v>
      </c>
      <c r="AW109" s="60">
        <f t="shared" si="550"/>
        <v>0</v>
      </c>
      <c r="AX109" s="59">
        <f t="shared" si="551"/>
        <v>0</v>
      </c>
      <c r="AY109" s="55">
        <f t="shared" si="552"/>
        <v>0</v>
      </c>
      <c r="AZ109" s="59">
        <f t="shared" si="553"/>
        <v>0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647"/>
        <v>0.91</v>
      </c>
      <c r="BH109" s="55">
        <f t="shared" si="647"/>
        <v>0.89</v>
      </c>
      <c r="BI109" s="55">
        <f t="shared" si="647"/>
        <v>0.87</v>
      </c>
      <c r="BJ109" s="55">
        <f t="shared" si="647"/>
        <v>0.85</v>
      </c>
      <c r="BK109" s="55">
        <f t="shared" si="647"/>
        <v>0.83</v>
      </c>
      <c r="BL109" s="55">
        <f t="shared" si="647"/>
        <v>0.80999999999999994</v>
      </c>
      <c r="BM109" s="55">
        <f t="shared" si="647"/>
        <v>0.78999999999999992</v>
      </c>
      <c r="BN109" s="55">
        <f t="shared" si="647"/>
        <v>0.76999999999999991</v>
      </c>
      <c r="BO109" s="55">
        <f t="shared" si="647"/>
        <v>0.74999999999999989</v>
      </c>
      <c r="BP109" s="55">
        <f t="shared" si="647"/>
        <v>0.72999999999999987</v>
      </c>
      <c r="BQ109" s="55">
        <f t="shared" si="647"/>
        <v>0.70999999999999985</v>
      </c>
      <c r="BR109" s="55">
        <f t="shared" si="647"/>
        <v>0.68999999999999984</v>
      </c>
      <c r="BS109" s="55">
        <f t="shared" si="647"/>
        <v>0.66999999999999982</v>
      </c>
      <c r="BT109" s="55">
        <f t="shared" si="647"/>
        <v>0.6499999999999998</v>
      </c>
      <c r="BU109" s="55">
        <f t="shared" si="647"/>
        <v>0.62999999999999978</v>
      </c>
      <c r="BV109" s="55">
        <f t="shared" si="647"/>
        <v>0.60999999999999976</v>
      </c>
      <c r="BW109" s="55">
        <f t="shared" si="647"/>
        <v>0.58999999999999975</v>
      </c>
      <c r="BX109" s="55">
        <f t="shared" si="647"/>
        <v>0.56999999999999973</v>
      </c>
      <c r="BZ109" s="55">
        <f t="shared" si="505"/>
        <v>0</v>
      </c>
      <c r="CA109" s="55">
        <f t="shared" si="506"/>
        <v>0</v>
      </c>
      <c r="CB109" s="59">
        <f t="shared" si="555"/>
        <v>0</v>
      </c>
      <c r="CC109" s="55">
        <f t="shared" si="556"/>
        <v>0</v>
      </c>
      <c r="CD109" s="59">
        <f t="shared" si="557"/>
        <v>0</v>
      </c>
      <c r="CE109" s="55">
        <f t="shared" si="558"/>
        <v>0</v>
      </c>
      <c r="CF109" s="59">
        <f t="shared" si="559"/>
        <v>0</v>
      </c>
      <c r="CG109" s="55">
        <f t="shared" si="560"/>
        <v>0</v>
      </c>
      <c r="CH109" s="59">
        <f t="shared" si="561"/>
        <v>0</v>
      </c>
      <c r="CI109" s="57">
        <f t="shared" si="562"/>
        <v>0</v>
      </c>
      <c r="CJ109" s="59">
        <f t="shared" si="563"/>
        <v>0</v>
      </c>
      <c r="CK109" s="55">
        <f t="shared" si="564"/>
        <v>0</v>
      </c>
      <c r="CL109" s="59">
        <f t="shared" si="565"/>
        <v>0</v>
      </c>
      <c r="CM109" s="57">
        <f t="shared" si="566"/>
        <v>0</v>
      </c>
      <c r="CN109" s="59">
        <f t="shared" si="567"/>
        <v>0</v>
      </c>
      <c r="CO109" s="60">
        <f t="shared" si="568"/>
        <v>0</v>
      </c>
      <c r="CP109" s="59">
        <f t="shared" si="569"/>
        <v>0</v>
      </c>
      <c r="CQ109" s="57">
        <f t="shared" si="570"/>
        <v>0</v>
      </c>
      <c r="CR109" s="59">
        <f t="shared" si="571"/>
        <v>0</v>
      </c>
      <c r="CS109" s="55">
        <f t="shared" si="572"/>
        <v>0</v>
      </c>
      <c r="CT109" s="59">
        <f t="shared" si="573"/>
        <v>0</v>
      </c>
      <c r="CU109" s="60">
        <f t="shared" si="574"/>
        <v>0</v>
      </c>
      <c r="CV109" s="59">
        <f t="shared" si="575"/>
        <v>0</v>
      </c>
      <c r="CW109" s="60">
        <f t="shared" si="576"/>
        <v>0</v>
      </c>
      <c r="CX109" s="59">
        <f t="shared" si="577"/>
        <v>0</v>
      </c>
      <c r="CY109" s="60">
        <f t="shared" si="578"/>
        <v>0</v>
      </c>
      <c r="CZ109" s="59">
        <f t="shared" si="579"/>
        <v>0</v>
      </c>
      <c r="DA109" s="55">
        <f t="shared" si="580"/>
        <v>0</v>
      </c>
      <c r="DB109" s="59">
        <f t="shared" si="581"/>
        <v>0</v>
      </c>
      <c r="DC109" s="60">
        <f t="shared" si="582"/>
        <v>0</v>
      </c>
      <c r="DD109" s="59">
        <f t="shared" si="583"/>
        <v>0</v>
      </c>
      <c r="DE109" s="60">
        <f t="shared" si="584"/>
        <v>0</v>
      </c>
      <c r="DF109" s="59">
        <f t="shared" si="585"/>
        <v>0</v>
      </c>
      <c r="DG109" s="60">
        <f t="shared" si="586"/>
        <v>0</v>
      </c>
      <c r="DH109" s="59">
        <f t="shared" si="587"/>
        <v>0</v>
      </c>
      <c r="DI109" s="60">
        <f t="shared" si="588"/>
        <v>0</v>
      </c>
      <c r="DJ109" s="59">
        <f t="shared" si="589"/>
        <v>0</v>
      </c>
      <c r="DK109" s="55">
        <f t="shared" si="590"/>
        <v>0</v>
      </c>
      <c r="DL109" s="59">
        <f t="shared" si="591"/>
        <v>0</v>
      </c>
      <c r="DM109" s="60">
        <f t="shared" si="592"/>
        <v>0</v>
      </c>
      <c r="DN109" s="59">
        <f t="shared" si="593"/>
        <v>0</v>
      </c>
      <c r="DO109" s="60">
        <f t="shared" si="594"/>
        <v>0</v>
      </c>
      <c r="DP109" s="59">
        <f t="shared" si="595"/>
        <v>0</v>
      </c>
      <c r="DQ109" s="55">
        <f t="shared" si="596"/>
        <v>0</v>
      </c>
      <c r="DR109" s="59">
        <f t="shared" si="597"/>
        <v>0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ref="DY109:EP123" si="650">+DX109-0.02</f>
        <v>0.91</v>
      </c>
      <c r="DZ109" s="55">
        <f t="shared" si="650"/>
        <v>0.89</v>
      </c>
      <c r="EA109" s="55">
        <f t="shared" si="650"/>
        <v>0.87</v>
      </c>
      <c r="EB109" s="55">
        <f t="shared" si="650"/>
        <v>0.85</v>
      </c>
      <c r="EC109" s="55">
        <f t="shared" si="650"/>
        <v>0.83</v>
      </c>
      <c r="ED109" s="55">
        <f t="shared" si="650"/>
        <v>0.80999999999999994</v>
      </c>
      <c r="EE109" s="55">
        <f t="shared" si="650"/>
        <v>0.78999999999999992</v>
      </c>
      <c r="EF109" s="55">
        <f t="shared" si="650"/>
        <v>0.76999999999999991</v>
      </c>
      <c r="EG109" s="55">
        <f t="shared" si="650"/>
        <v>0.74999999999999989</v>
      </c>
      <c r="EH109" s="55">
        <f t="shared" si="650"/>
        <v>0.72999999999999987</v>
      </c>
      <c r="EI109" s="55">
        <f t="shared" si="650"/>
        <v>0.70999999999999985</v>
      </c>
      <c r="EJ109" s="55">
        <f t="shared" si="650"/>
        <v>0.68999999999999984</v>
      </c>
      <c r="EK109" s="55">
        <f t="shared" si="650"/>
        <v>0.66999999999999982</v>
      </c>
      <c r="EL109" s="55">
        <f t="shared" si="650"/>
        <v>0.6499999999999998</v>
      </c>
      <c r="EM109" s="55">
        <f t="shared" si="650"/>
        <v>0.62999999999999978</v>
      </c>
      <c r="EN109" s="55">
        <f t="shared" si="650"/>
        <v>0.60999999999999976</v>
      </c>
      <c r="EO109" s="55">
        <f t="shared" si="650"/>
        <v>0.58999999999999975</v>
      </c>
      <c r="EP109" s="55">
        <f t="shared" si="650"/>
        <v>0.56999999999999973</v>
      </c>
      <c r="ER109" s="55">
        <f t="shared" si="644"/>
        <v>0</v>
      </c>
      <c r="ES109" s="55">
        <f t="shared" si="507"/>
        <v>0</v>
      </c>
      <c r="ET109" s="59">
        <f t="shared" si="598"/>
        <v>0</v>
      </c>
      <c r="EU109" s="55">
        <f t="shared" si="599"/>
        <v>0</v>
      </c>
      <c r="EV109" s="59">
        <f t="shared" si="600"/>
        <v>0</v>
      </c>
      <c r="EW109" s="55">
        <f t="shared" si="601"/>
        <v>0</v>
      </c>
      <c r="EX109" s="59">
        <f t="shared" si="602"/>
        <v>0</v>
      </c>
      <c r="EY109" s="55">
        <f t="shared" si="603"/>
        <v>0</v>
      </c>
      <c r="EZ109" s="59">
        <f t="shared" si="604"/>
        <v>0</v>
      </c>
      <c r="FA109" s="57">
        <f t="shared" si="605"/>
        <v>0</v>
      </c>
      <c r="FB109" s="59">
        <f t="shared" si="606"/>
        <v>0</v>
      </c>
      <c r="FC109" s="55">
        <f t="shared" si="607"/>
        <v>0</v>
      </c>
      <c r="FD109" s="59">
        <f t="shared" si="608"/>
        <v>0</v>
      </c>
      <c r="FE109" s="57">
        <f t="shared" si="609"/>
        <v>0</v>
      </c>
      <c r="FF109" s="59">
        <f t="shared" si="610"/>
        <v>0</v>
      </c>
      <c r="FG109" s="60">
        <f t="shared" si="611"/>
        <v>0</v>
      </c>
      <c r="FH109" s="59">
        <f t="shared" si="612"/>
        <v>0</v>
      </c>
      <c r="FI109" s="57">
        <f t="shared" si="613"/>
        <v>0</v>
      </c>
      <c r="FJ109" s="59">
        <f t="shared" si="614"/>
        <v>0</v>
      </c>
      <c r="FK109" s="55">
        <f t="shared" si="615"/>
        <v>0</v>
      </c>
      <c r="FL109" s="59">
        <f t="shared" si="616"/>
        <v>0</v>
      </c>
      <c r="FM109" s="60">
        <f t="shared" si="617"/>
        <v>0</v>
      </c>
      <c r="FN109" s="59">
        <f t="shared" si="618"/>
        <v>0</v>
      </c>
      <c r="FO109" s="60">
        <f t="shared" si="619"/>
        <v>0</v>
      </c>
      <c r="FP109" s="59">
        <f t="shared" si="620"/>
        <v>0</v>
      </c>
      <c r="FQ109" s="60">
        <f t="shared" si="621"/>
        <v>0</v>
      </c>
      <c r="FR109" s="59">
        <f t="shared" si="622"/>
        <v>0</v>
      </c>
      <c r="FS109" s="55">
        <f t="shared" si="623"/>
        <v>0</v>
      </c>
      <c r="FT109" s="59">
        <f t="shared" si="624"/>
        <v>0</v>
      </c>
      <c r="FU109" s="60">
        <f t="shared" si="625"/>
        <v>0</v>
      </c>
      <c r="FV109" s="59">
        <f t="shared" si="626"/>
        <v>0</v>
      </c>
      <c r="FW109" s="60">
        <f t="shared" si="627"/>
        <v>0</v>
      </c>
      <c r="FX109" s="59">
        <f t="shared" si="628"/>
        <v>0</v>
      </c>
      <c r="FY109" s="60">
        <f t="shared" si="629"/>
        <v>0</v>
      </c>
      <c r="FZ109" s="59">
        <f t="shared" si="630"/>
        <v>0</v>
      </c>
      <c r="GA109" s="60">
        <f t="shared" si="631"/>
        <v>0</v>
      </c>
      <c r="GB109" s="59">
        <f t="shared" si="632"/>
        <v>0</v>
      </c>
      <c r="GC109" s="55">
        <f t="shared" si="633"/>
        <v>0</v>
      </c>
      <c r="GD109" s="59">
        <f t="shared" si="634"/>
        <v>0</v>
      </c>
      <c r="GE109" s="60">
        <f t="shared" si="635"/>
        <v>0</v>
      </c>
      <c r="GF109" s="59">
        <f t="shared" si="636"/>
        <v>0</v>
      </c>
      <c r="GG109" s="60">
        <f t="shared" si="637"/>
        <v>0</v>
      </c>
      <c r="GH109" s="59">
        <f t="shared" si="638"/>
        <v>0</v>
      </c>
      <c r="GI109" s="55">
        <f t="shared" si="639"/>
        <v>0</v>
      </c>
      <c r="GJ109" s="59">
        <f t="shared" si="640"/>
        <v>0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ref="GQ109:HH123" si="651">+GP109-0.02</f>
        <v>0.91</v>
      </c>
      <c r="GR109" s="55">
        <f t="shared" si="651"/>
        <v>0.89</v>
      </c>
      <c r="GS109" s="55">
        <f t="shared" si="651"/>
        <v>0.87</v>
      </c>
      <c r="GT109" s="55">
        <f t="shared" si="651"/>
        <v>0.85</v>
      </c>
      <c r="GU109" s="55">
        <f t="shared" si="651"/>
        <v>0.83</v>
      </c>
      <c r="GV109" s="55">
        <f t="shared" si="651"/>
        <v>0.80999999999999994</v>
      </c>
      <c r="GW109" s="55">
        <f t="shared" si="651"/>
        <v>0.78999999999999992</v>
      </c>
      <c r="GX109" s="55">
        <f t="shared" si="651"/>
        <v>0.76999999999999991</v>
      </c>
      <c r="GY109" s="55">
        <f t="shared" si="651"/>
        <v>0.74999999999999989</v>
      </c>
      <c r="GZ109" s="55">
        <f t="shared" si="651"/>
        <v>0.72999999999999987</v>
      </c>
      <c r="HA109" s="55">
        <f t="shared" si="651"/>
        <v>0.70999999999999985</v>
      </c>
      <c r="HB109" s="55">
        <f t="shared" si="651"/>
        <v>0.68999999999999984</v>
      </c>
      <c r="HC109" s="55">
        <f t="shared" si="651"/>
        <v>0.66999999999999982</v>
      </c>
      <c r="HD109" s="55">
        <f t="shared" si="651"/>
        <v>0.6499999999999998</v>
      </c>
      <c r="HE109" s="55">
        <f t="shared" si="651"/>
        <v>0.62999999999999978</v>
      </c>
      <c r="HF109" s="55">
        <f t="shared" si="651"/>
        <v>0.60999999999999976</v>
      </c>
      <c r="HG109" s="55">
        <f t="shared" si="651"/>
        <v>0.58999999999999975</v>
      </c>
      <c r="HH109" s="55">
        <f t="shared" si="651"/>
        <v>0.56999999999999973</v>
      </c>
    </row>
    <row r="110" spans="1:216" x14ac:dyDescent="0.3">
      <c r="A110" s="2">
        <v>19</v>
      </c>
      <c r="C110" s="38" t="s">
        <v>116</v>
      </c>
      <c r="D110" s="42">
        <f>TRUNC(4149,-1)</f>
        <v>4140</v>
      </c>
      <c r="E110" s="86">
        <f>TRUNC(+D110*3.3058,-1)</f>
        <v>13680</v>
      </c>
      <c r="H110" s="55">
        <f t="shared" si="502"/>
        <v>15048.000000000002</v>
      </c>
      <c r="I110" s="55">
        <f t="shared" si="503"/>
        <v>15048.000000000002</v>
      </c>
      <c r="J110" s="59">
        <f t="shared" si="504"/>
        <v>49745.678400000004</v>
      </c>
      <c r="K110" s="55">
        <f t="shared" si="512"/>
        <v>14596.560000000001</v>
      </c>
      <c r="L110" s="59">
        <f t="shared" si="513"/>
        <v>48253.308048000006</v>
      </c>
      <c r="M110" s="55">
        <f t="shared" si="514"/>
        <v>14295.6</v>
      </c>
      <c r="N110" s="59">
        <f t="shared" si="515"/>
        <v>47258.394480000003</v>
      </c>
      <c r="O110" s="55">
        <f t="shared" si="516"/>
        <v>13994.640000000003</v>
      </c>
      <c r="P110" s="59">
        <f t="shared" si="517"/>
        <v>46263.480912000014</v>
      </c>
      <c r="Q110" s="57">
        <f t="shared" si="518"/>
        <v>13693.680000000002</v>
      </c>
      <c r="R110" s="59">
        <f t="shared" si="519"/>
        <v>45268.56734400001</v>
      </c>
      <c r="S110" s="55">
        <f t="shared" si="520"/>
        <v>13392.720000000001</v>
      </c>
      <c r="T110" s="59">
        <f t="shared" si="521"/>
        <v>44273.653776000006</v>
      </c>
      <c r="U110" s="57">
        <f t="shared" si="522"/>
        <v>13091.760000000002</v>
      </c>
      <c r="V110" s="59">
        <f t="shared" si="523"/>
        <v>43278.74020800001</v>
      </c>
      <c r="W110" s="60">
        <f t="shared" si="524"/>
        <v>12790.800000000001</v>
      </c>
      <c r="X110" s="59">
        <f t="shared" si="525"/>
        <v>42283.826640000007</v>
      </c>
      <c r="Y110" s="57">
        <f t="shared" si="526"/>
        <v>12489.84</v>
      </c>
      <c r="Z110" s="59">
        <f t="shared" si="527"/>
        <v>41288.913072000003</v>
      </c>
      <c r="AA110" s="55">
        <f t="shared" si="528"/>
        <v>12188.880000000001</v>
      </c>
      <c r="AB110" s="59">
        <f t="shared" si="529"/>
        <v>40293.999504000007</v>
      </c>
      <c r="AC110" s="60">
        <f t="shared" si="530"/>
        <v>11887.92</v>
      </c>
      <c r="AD110" s="59">
        <f t="shared" si="531"/>
        <v>39299.085936000003</v>
      </c>
      <c r="AE110" s="60">
        <f t="shared" si="532"/>
        <v>11586.96</v>
      </c>
      <c r="AF110" s="59">
        <f t="shared" si="533"/>
        <v>38304.172368</v>
      </c>
      <c r="AG110" s="60">
        <f t="shared" si="534"/>
        <v>11286</v>
      </c>
      <c r="AH110" s="59">
        <f t="shared" si="535"/>
        <v>37309.258800000003</v>
      </c>
      <c r="AI110" s="55">
        <f t="shared" si="536"/>
        <v>10985.039999999999</v>
      </c>
      <c r="AJ110" s="59">
        <f t="shared" si="537"/>
        <v>36314.345232</v>
      </c>
      <c r="AK110" s="60">
        <f t="shared" si="538"/>
        <v>10684.08</v>
      </c>
      <c r="AL110" s="59">
        <f t="shared" si="539"/>
        <v>35319.431664000003</v>
      </c>
      <c r="AM110" s="60">
        <f t="shared" si="540"/>
        <v>10383.119999999999</v>
      </c>
      <c r="AN110" s="59">
        <f t="shared" si="541"/>
        <v>34324.518096</v>
      </c>
      <c r="AO110" s="60">
        <f t="shared" si="542"/>
        <v>10082.159999999998</v>
      </c>
      <c r="AP110" s="59">
        <f t="shared" si="543"/>
        <v>33329.604527999996</v>
      </c>
      <c r="AQ110" s="60">
        <f t="shared" si="544"/>
        <v>9781.1999999999989</v>
      </c>
      <c r="AR110" s="59">
        <f t="shared" si="545"/>
        <v>32334.690959999996</v>
      </c>
      <c r="AS110" s="55">
        <f t="shared" si="546"/>
        <v>9480.239999999998</v>
      </c>
      <c r="AT110" s="59">
        <f t="shared" si="547"/>
        <v>31339.777391999993</v>
      </c>
      <c r="AU110" s="60">
        <f t="shared" si="548"/>
        <v>9179.279999999997</v>
      </c>
      <c r="AV110" s="59">
        <f t="shared" si="549"/>
        <v>30344.863823999989</v>
      </c>
      <c r="AW110" s="60">
        <f t="shared" si="550"/>
        <v>8878.3199999999979</v>
      </c>
      <c r="AX110" s="59">
        <f t="shared" si="551"/>
        <v>29349.950255999993</v>
      </c>
      <c r="AY110" s="55">
        <f t="shared" si="552"/>
        <v>8577.3599999999969</v>
      </c>
      <c r="AZ110" s="59">
        <f t="shared" si="553"/>
        <v>28355.036687999989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647"/>
        <v>0.91</v>
      </c>
      <c r="BH110" s="55">
        <f t="shared" si="647"/>
        <v>0.89</v>
      </c>
      <c r="BI110" s="55">
        <f t="shared" si="647"/>
        <v>0.87</v>
      </c>
      <c r="BJ110" s="55">
        <f t="shared" si="647"/>
        <v>0.85</v>
      </c>
      <c r="BK110" s="55">
        <f t="shared" si="647"/>
        <v>0.83</v>
      </c>
      <c r="BL110" s="55">
        <f t="shared" si="647"/>
        <v>0.80999999999999994</v>
      </c>
      <c r="BM110" s="55">
        <f t="shared" si="647"/>
        <v>0.78999999999999992</v>
      </c>
      <c r="BN110" s="55">
        <f t="shared" si="647"/>
        <v>0.76999999999999991</v>
      </c>
      <c r="BO110" s="55">
        <f t="shared" si="647"/>
        <v>0.74999999999999989</v>
      </c>
      <c r="BP110" s="55">
        <f t="shared" si="647"/>
        <v>0.72999999999999987</v>
      </c>
      <c r="BQ110" s="55">
        <f t="shared" si="647"/>
        <v>0.70999999999999985</v>
      </c>
      <c r="BR110" s="55">
        <f t="shared" si="647"/>
        <v>0.68999999999999984</v>
      </c>
      <c r="BS110" s="55">
        <f t="shared" si="647"/>
        <v>0.66999999999999982</v>
      </c>
      <c r="BT110" s="55">
        <f t="shared" si="647"/>
        <v>0.6499999999999998</v>
      </c>
      <c r="BU110" s="55">
        <f t="shared" si="647"/>
        <v>0.62999999999999978</v>
      </c>
      <c r="BV110" s="55">
        <f t="shared" si="647"/>
        <v>0.60999999999999976</v>
      </c>
      <c r="BW110" s="55">
        <f t="shared" si="647"/>
        <v>0.58999999999999975</v>
      </c>
      <c r="BX110" s="55">
        <f t="shared" si="647"/>
        <v>0.56999999999999973</v>
      </c>
      <c r="BZ110" s="55">
        <f t="shared" si="505"/>
        <v>13693.680000000002</v>
      </c>
      <c r="CA110" s="55">
        <f t="shared" si="506"/>
        <v>13693.680000000002</v>
      </c>
      <c r="CB110" s="59">
        <f t="shared" si="555"/>
        <v>45268.56734400001</v>
      </c>
      <c r="CC110" s="55">
        <f t="shared" si="556"/>
        <v>13282.869600000002</v>
      </c>
      <c r="CD110" s="59">
        <f t="shared" si="557"/>
        <v>43910.510323680006</v>
      </c>
      <c r="CE110" s="55">
        <f t="shared" si="558"/>
        <v>13008.996000000001</v>
      </c>
      <c r="CF110" s="59">
        <f t="shared" si="559"/>
        <v>43005.138976800001</v>
      </c>
      <c r="CG110" s="55">
        <f t="shared" si="560"/>
        <v>12735.122400000002</v>
      </c>
      <c r="CH110" s="59">
        <f t="shared" si="561"/>
        <v>42099.76762992001</v>
      </c>
      <c r="CI110" s="57">
        <f t="shared" si="562"/>
        <v>12461.248800000003</v>
      </c>
      <c r="CJ110" s="59">
        <f t="shared" si="563"/>
        <v>41194.396283040012</v>
      </c>
      <c r="CK110" s="55">
        <f t="shared" si="564"/>
        <v>12187.375200000002</v>
      </c>
      <c r="CL110" s="59">
        <f t="shared" si="565"/>
        <v>40289.024936160007</v>
      </c>
      <c r="CM110" s="57">
        <f t="shared" si="566"/>
        <v>11913.501600000001</v>
      </c>
      <c r="CN110" s="59">
        <f t="shared" si="567"/>
        <v>39383.653589280002</v>
      </c>
      <c r="CO110" s="60">
        <f t="shared" si="568"/>
        <v>11639.628000000001</v>
      </c>
      <c r="CP110" s="59">
        <f t="shared" si="569"/>
        <v>38478.282242400004</v>
      </c>
      <c r="CQ110" s="57">
        <f t="shared" si="570"/>
        <v>11365.754400000002</v>
      </c>
      <c r="CR110" s="59">
        <f t="shared" si="571"/>
        <v>37572.910895520006</v>
      </c>
      <c r="CS110" s="55">
        <f t="shared" si="572"/>
        <v>11091.880800000001</v>
      </c>
      <c r="CT110" s="59">
        <f t="shared" si="573"/>
        <v>36667.539548640001</v>
      </c>
      <c r="CU110" s="60">
        <f t="shared" si="574"/>
        <v>10818.0072</v>
      </c>
      <c r="CV110" s="59">
        <f t="shared" si="575"/>
        <v>35762.168201760003</v>
      </c>
      <c r="CW110" s="60">
        <f t="shared" si="576"/>
        <v>10544.133600000001</v>
      </c>
      <c r="CX110" s="59">
        <f t="shared" si="577"/>
        <v>34856.796854880005</v>
      </c>
      <c r="CY110" s="60">
        <f t="shared" si="578"/>
        <v>10270.26</v>
      </c>
      <c r="CZ110" s="59">
        <f t="shared" si="579"/>
        <v>33951.425508</v>
      </c>
      <c r="DA110" s="55">
        <f t="shared" si="580"/>
        <v>9996.3863999999994</v>
      </c>
      <c r="DB110" s="59">
        <f t="shared" si="581"/>
        <v>33046.054161120002</v>
      </c>
      <c r="DC110" s="60">
        <f t="shared" si="582"/>
        <v>9722.5127999999986</v>
      </c>
      <c r="DD110" s="59">
        <f t="shared" si="583"/>
        <v>32140.682814239997</v>
      </c>
      <c r="DE110" s="60">
        <f t="shared" si="584"/>
        <v>9448.6391999999996</v>
      </c>
      <c r="DF110" s="59">
        <f t="shared" si="585"/>
        <v>31235.311467359999</v>
      </c>
      <c r="DG110" s="60">
        <f t="shared" si="586"/>
        <v>9174.7655999999988</v>
      </c>
      <c r="DH110" s="59">
        <f t="shared" si="587"/>
        <v>30329.940120479998</v>
      </c>
      <c r="DI110" s="60">
        <f t="shared" si="588"/>
        <v>8900.891999999998</v>
      </c>
      <c r="DJ110" s="59">
        <f t="shared" si="589"/>
        <v>29424.568773599993</v>
      </c>
      <c r="DK110" s="55">
        <f t="shared" si="590"/>
        <v>8627.018399999999</v>
      </c>
      <c r="DL110" s="59">
        <f t="shared" si="591"/>
        <v>28519.197426719998</v>
      </c>
      <c r="DM110" s="60">
        <f t="shared" si="592"/>
        <v>8353.1447999999982</v>
      </c>
      <c r="DN110" s="59">
        <f t="shared" si="593"/>
        <v>27613.826079839993</v>
      </c>
      <c r="DO110" s="60">
        <f t="shared" si="594"/>
        <v>8079.2711999999974</v>
      </c>
      <c r="DP110" s="59">
        <f t="shared" si="595"/>
        <v>26708.454732959992</v>
      </c>
      <c r="DQ110" s="55">
        <f t="shared" si="596"/>
        <v>7805.3975999999975</v>
      </c>
      <c r="DR110" s="59">
        <f t="shared" si="597"/>
        <v>25803.083386079994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50"/>
        <v>0.91</v>
      </c>
      <c r="DZ110" s="55">
        <f t="shared" si="650"/>
        <v>0.89</v>
      </c>
      <c r="EA110" s="55">
        <f t="shared" si="650"/>
        <v>0.87</v>
      </c>
      <c r="EB110" s="55">
        <f t="shared" si="650"/>
        <v>0.85</v>
      </c>
      <c r="EC110" s="55">
        <f t="shared" si="650"/>
        <v>0.83</v>
      </c>
      <c r="ED110" s="55">
        <f t="shared" si="650"/>
        <v>0.80999999999999994</v>
      </c>
      <c r="EE110" s="55">
        <f t="shared" si="650"/>
        <v>0.78999999999999992</v>
      </c>
      <c r="EF110" s="55">
        <f t="shared" si="650"/>
        <v>0.76999999999999991</v>
      </c>
      <c r="EG110" s="55">
        <f t="shared" si="650"/>
        <v>0.74999999999999989</v>
      </c>
      <c r="EH110" s="55">
        <f t="shared" si="650"/>
        <v>0.72999999999999987</v>
      </c>
      <c r="EI110" s="55">
        <f t="shared" si="650"/>
        <v>0.70999999999999985</v>
      </c>
      <c r="EJ110" s="55">
        <f t="shared" si="650"/>
        <v>0.68999999999999984</v>
      </c>
      <c r="EK110" s="55">
        <f t="shared" si="650"/>
        <v>0.66999999999999982</v>
      </c>
      <c r="EL110" s="55">
        <f t="shared" si="650"/>
        <v>0.6499999999999998</v>
      </c>
      <c r="EM110" s="55">
        <f t="shared" si="650"/>
        <v>0.62999999999999978</v>
      </c>
      <c r="EN110" s="55">
        <f t="shared" si="650"/>
        <v>0.60999999999999976</v>
      </c>
      <c r="EO110" s="55">
        <f t="shared" si="650"/>
        <v>0.58999999999999975</v>
      </c>
      <c r="EP110" s="55">
        <f t="shared" si="650"/>
        <v>0.56999999999999973</v>
      </c>
      <c r="ER110" s="55">
        <f t="shared" si="644"/>
        <v>12461.248800000003</v>
      </c>
      <c r="ES110" s="55">
        <f t="shared" si="507"/>
        <v>12461.248800000003</v>
      </c>
      <c r="ET110" s="59">
        <f t="shared" si="598"/>
        <v>41194.396283040012</v>
      </c>
      <c r="EU110" s="55">
        <f t="shared" si="599"/>
        <v>12087.411336000003</v>
      </c>
      <c r="EV110" s="59">
        <f t="shared" si="600"/>
        <v>39958.564394548812</v>
      </c>
      <c r="EW110" s="55">
        <f t="shared" si="601"/>
        <v>11838.186360000002</v>
      </c>
      <c r="EX110" s="59">
        <f t="shared" si="602"/>
        <v>39134.676468888007</v>
      </c>
      <c r="EY110" s="55">
        <f t="shared" si="603"/>
        <v>11588.961384000004</v>
      </c>
      <c r="EZ110" s="59">
        <f t="shared" si="604"/>
        <v>38310.788543227216</v>
      </c>
      <c r="FA110" s="57">
        <f t="shared" si="605"/>
        <v>11339.736408000002</v>
      </c>
      <c r="FB110" s="59">
        <f t="shared" si="606"/>
        <v>37486.900617566411</v>
      </c>
      <c r="FC110" s="55">
        <f t="shared" si="607"/>
        <v>11090.511432000003</v>
      </c>
      <c r="FD110" s="59">
        <f t="shared" si="608"/>
        <v>36663.012691905613</v>
      </c>
      <c r="FE110" s="57">
        <f t="shared" si="609"/>
        <v>10841.286456000003</v>
      </c>
      <c r="FF110" s="59">
        <f t="shared" si="610"/>
        <v>35839.124766244815</v>
      </c>
      <c r="FG110" s="60">
        <f t="shared" si="611"/>
        <v>10592.061480000002</v>
      </c>
      <c r="FH110" s="59">
        <f t="shared" si="612"/>
        <v>35015.23684058401</v>
      </c>
      <c r="FI110" s="57">
        <f t="shared" si="613"/>
        <v>10342.836504000003</v>
      </c>
      <c r="FJ110" s="59">
        <f t="shared" si="614"/>
        <v>34191.348914923212</v>
      </c>
      <c r="FK110" s="55">
        <f t="shared" si="615"/>
        <v>10093.611528000001</v>
      </c>
      <c r="FL110" s="59">
        <f t="shared" si="616"/>
        <v>33367.460989262407</v>
      </c>
      <c r="FM110" s="60">
        <f t="shared" si="617"/>
        <v>9844.3865520000018</v>
      </c>
      <c r="FN110" s="59">
        <f t="shared" si="618"/>
        <v>32543.573063601605</v>
      </c>
      <c r="FO110" s="60">
        <f t="shared" si="619"/>
        <v>9595.1615760000004</v>
      </c>
      <c r="FP110" s="59">
        <f t="shared" si="620"/>
        <v>31719.685137940804</v>
      </c>
      <c r="FQ110" s="60">
        <f t="shared" si="621"/>
        <v>9345.9366000000009</v>
      </c>
      <c r="FR110" s="59">
        <f t="shared" si="622"/>
        <v>30895.797212280002</v>
      </c>
      <c r="FS110" s="55">
        <f t="shared" si="623"/>
        <v>9096.7116240000014</v>
      </c>
      <c r="FT110" s="59">
        <f t="shared" si="624"/>
        <v>30071.909286619204</v>
      </c>
      <c r="FU110" s="60">
        <f t="shared" si="625"/>
        <v>8847.4866480000001</v>
      </c>
      <c r="FV110" s="59">
        <f t="shared" si="626"/>
        <v>29248.021360958403</v>
      </c>
      <c r="FW110" s="60">
        <f t="shared" si="627"/>
        <v>8598.2616720000005</v>
      </c>
      <c r="FX110" s="59">
        <f t="shared" si="628"/>
        <v>28424.133435297601</v>
      </c>
      <c r="FY110" s="60">
        <f t="shared" si="629"/>
        <v>8349.0366959999992</v>
      </c>
      <c r="FZ110" s="59">
        <f t="shared" si="630"/>
        <v>27600.245509636799</v>
      </c>
      <c r="GA110" s="60">
        <f t="shared" si="631"/>
        <v>8099.8117199999997</v>
      </c>
      <c r="GB110" s="59">
        <f t="shared" si="632"/>
        <v>26776.357583975998</v>
      </c>
      <c r="GC110" s="55">
        <f t="shared" si="633"/>
        <v>7850.5867439999993</v>
      </c>
      <c r="GD110" s="59">
        <f t="shared" si="634"/>
        <v>25952.4696583152</v>
      </c>
      <c r="GE110" s="60">
        <f t="shared" si="635"/>
        <v>7601.3617679999988</v>
      </c>
      <c r="GF110" s="59">
        <f t="shared" si="636"/>
        <v>25128.581732654398</v>
      </c>
      <c r="GG110" s="60">
        <f t="shared" si="637"/>
        <v>7352.1367919999984</v>
      </c>
      <c r="GH110" s="59">
        <f t="shared" si="638"/>
        <v>24304.693806993597</v>
      </c>
      <c r="GI110" s="55">
        <f t="shared" si="639"/>
        <v>7102.911815999998</v>
      </c>
      <c r="GJ110" s="59">
        <f t="shared" si="640"/>
        <v>23480.805881332795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51"/>
        <v>0.91</v>
      </c>
      <c r="GR110" s="55">
        <f t="shared" si="651"/>
        <v>0.89</v>
      </c>
      <c r="GS110" s="55">
        <f t="shared" si="651"/>
        <v>0.87</v>
      </c>
      <c r="GT110" s="55">
        <f t="shared" si="651"/>
        <v>0.85</v>
      </c>
      <c r="GU110" s="55">
        <f t="shared" si="651"/>
        <v>0.83</v>
      </c>
      <c r="GV110" s="55">
        <f t="shared" si="651"/>
        <v>0.80999999999999994</v>
      </c>
      <c r="GW110" s="55">
        <f t="shared" si="651"/>
        <v>0.78999999999999992</v>
      </c>
      <c r="GX110" s="55">
        <f t="shared" si="651"/>
        <v>0.76999999999999991</v>
      </c>
      <c r="GY110" s="55">
        <f t="shared" si="651"/>
        <v>0.74999999999999989</v>
      </c>
      <c r="GZ110" s="55">
        <f t="shared" si="651"/>
        <v>0.72999999999999987</v>
      </c>
      <c r="HA110" s="55">
        <f t="shared" si="651"/>
        <v>0.70999999999999985</v>
      </c>
      <c r="HB110" s="55">
        <f t="shared" si="651"/>
        <v>0.68999999999999984</v>
      </c>
      <c r="HC110" s="55">
        <f t="shared" si="651"/>
        <v>0.66999999999999982</v>
      </c>
      <c r="HD110" s="55">
        <f t="shared" si="651"/>
        <v>0.6499999999999998</v>
      </c>
      <c r="HE110" s="55">
        <f t="shared" si="651"/>
        <v>0.62999999999999978</v>
      </c>
      <c r="HF110" s="55">
        <f t="shared" si="651"/>
        <v>0.60999999999999976</v>
      </c>
      <c r="HG110" s="55">
        <f t="shared" si="651"/>
        <v>0.58999999999999975</v>
      </c>
      <c r="HH110" s="55">
        <f t="shared" si="651"/>
        <v>0.56999999999999973</v>
      </c>
    </row>
    <row r="111" spans="1:216" x14ac:dyDescent="0.3">
      <c r="A111" s="2">
        <v>20</v>
      </c>
      <c r="C111" s="38" t="s">
        <v>150</v>
      </c>
      <c r="D111" s="42">
        <f>TRUNC(87994,-1)</f>
        <v>87990</v>
      </c>
      <c r="E111" s="86">
        <f>TRUNC(+D111*3.3058,-1)</f>
        <v>290870</v>
      </c>
      <c r="H111" s="55">
        <f t="shared" si="502"/>
        <v>319957</v>
      </c>
      <c r="I111" s="55">
        <f t="shared" si="503"/>
        <v>319957</v>
      </c>
      <c r="J111" s="59">
        <f t="shared" si="504"/>
        <v>1057713.8506</v>
      </c>
      <c r="K111" s="55">
        <f t="shared" si="512"/>
        <v>310358.28999999998</v>
      </c>
      <c r="L111" s="59">
        <f t="shared" si="513"/>
        <v>1025982.435082</v>
      </c>
      <c r="M111" s="55">
        <f t="shared" si="514"/>
        <v>303959.14999999997</v>
      </c>
      <c r="N111" s="59">
        <f t="shared" si="515"/>
        <v>1004828.1580699999</v>
      </c>
      <c r="O111" s="55">
        <f t="shared" si="516"/>
        <v>297560.01</v>
      </c>
      <c r="P111" s="59">
        <f t="shared" si="517"/>
        <v>983673.88105800003</v>
      </c>
      <c r="Q111" s="57">
        <f t="shared" si="518"/>
        <v>291160.87</v>
      </c>
      <c r="R111" s="59">
        <f t="shared" si="519"/>
        <v>962519.60404600005</v>
      </c>
      <c r="S111" s="55">
        <f t="shared" si="520"/>
        <v>284761.73</v>
      </c>
      <c r="T111" s="59">
        <f t="shared" si="521"/>
        <v>941365.32703399996</v>
      </c>
      <c r="U111" s="57">
        <f t="shared" si="522"/>
        <v>278362.59000000003</v>
      </c>
      <c r="V111" s="59">
        <f t="shared" si="523"/>
        <v>920211.0500220001</v>
      </c>
      <c r="W111" s="60">
        <f t="shared" si="524"/>
        <v>271963.45</v>
      </c>
      <c r="X111" s="59">
        <f t="shared" si="525"/>
        <v>899056.77301</v>
      </c>
      <c r="Y111" s="57">
        <f t="shared" si="526"/>
        <v>265564.31</v>
      </c>
      <c r="Z111" s="59">
        <f t="shared" si="527"/>
        <v>877902.49599800003</v>
      </c>
      <c r="AA111" s="55">
        <f t="shared" si="528"/>
        <v>259165.16999999998</v>
      </c>
      <c r="AB111" s="59">
        <f t="shared" si="529"/>
        <v>856748.21898599993</v>
      </c>
      <c r="AC111" s="60">
        <f t="shared" si="530"/>
        <v>252766.02999999997</v>
      </c>
      <c r="AD111" s="59">
        <f t="shared" si="531"/>
        <v>835593.94197399996</v>
      </c>
      <c r="AE111" s="60">
        <f t="shared" si="532"/>
        <v>246366.88999999996</v>
      </c>
      <c r="AF111" s="59">
        <f t="shared" si="533"/>
        <v>814439.66496199986</v>
      </c>
      <c r="AG111" s="60">
        <f t="shared" si="534"/>
        <v>239967.74999999997</v>
      </c>
      <c r="AH111" s="59">
        <f t="shared" si="535"/>
        <v>793285.38794999989</v>
      </c>
      <c r="AI111" s="55">
        <f t="shared" si="536"/>
        <v>233568.60999999996</v>
      </c>
      <c r="AJ111" s="59">
        <f t="shared" si="537"/>
        <v>772131.11093799991</v>
      </c>
      <c r="AK111" s="60">
        <f t="shared" si="538"/>
        <v>227169.46999999994</v>
      </c>
      <c r="AL111" s="59">
        <f t="shared" si="539"/>
        <v>750976.83392599982</v>
      </c>
      <c r="AM111" s="60">
        <f t="shared" si="540"/>
        <v>220770.32999999996</v>
      </c>
      <c r="AN111" s="59">
        <f t="shared" si="541"/>
        <v>729822.55691399984</v>
      </c>
      <c r="AO111" s="60">
        <f t="shared" si="542"/>
        <v>214371.18999999994</v>
      </c>
      <c r="AP111" s="59">
        <f t="shared" si="543"/>
        <v>708668.27990199986</v>
      </c>
      <c r="AQ111" s="60">
        <f t="shared" si="544"/>
        <v>207972.04999999993</v>
      </c>
      <c r="AR111" s="59">
        <f t="shared" si="545"/>
        <v>687514.00288999977</v>
      </c>
      <c r="AS111" s="55">
        <f t="shared" si="546"/>
        <v>201572.90999999992</v>
      </c>
      <c r="AT111" s="59">
        <f t="shared" si="547"/>
        <v>666359.72587799979</v>
      </c>
      <c r="AU111" s="60">
        <f t="shared" si="548"/>
        <v>195173.76999999993</v>
      </c>
      <c r="AV111" s="59">
        <f t="shared" si="549"/>
        <v>645205.44886599982</v>
      </c>
      <c r="AW111" s="60">
        <f t="shared" si="550"/>
        <v>188774.62999999992</v>
      </c>
      <c r="AX111" s="59">
        <f t="shared" si="551"/>
        <v>624051.17185399972</v>
      </c>
      <c r="AY111" s="55">
        <f t="shared" si="552"/>
        <v>182375.4899999999</v>
      </c>
      <c r="AZ111" s="59">
        <f t="shared" si="553"/>
        <v>602896.89484199975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647"/>
        <v>0.91</v>
      </c>
      <c r="BH111" s="55">
        <f t="shared" si="647"/>
        <v>0.89</v>
      </c>
      <c r="BI111" s="55">
        <f t="shared" si="647"/>
        <v>0.87</v>
      </c>
      <c r="BJ111" s="55">
        <f t="shared" si="647"/>
        <v>0.85</v>
      </c>
      <c r="BK111" s="55">
        <f t="shared" si="647"/>
        <v>0.83</v>
      </c>
      <c r="BL111" s="55">
        <f t="shared" si="647"/>
        <v>0.80999999999999994</v>
      </c>
      <c r="BM111" s="55">
        <f t="shared" si="647"/>
        <v>0.78999999999999992</v>
      </c>
      <c r="BN111" s="55">
        <f t="shared" si="647"/>
        <v>0.76999999999999991</v>
      </c>
      <c r="BO111" s="55">
        <f t="shared" si="647"/>
        <v>0.74999999999999989</v>
      </c>
      <c r="BP111" s="55">
        <f t="shared" si="647"/>
        <v>0.72999999999999987</v>
      </c>
      <c r="BQ111" s="55">
        <f t="shared" si="647"/>
        <v>0.70999999999999985</v>
      </c>
      <c r="BR111" s="55">
        <f t="shared" si="647"/>
        <v>0.68999999999999984</v>
      </c>
      <c r="BS111" s="55">
        <f t="shared" si="647"/>
        <v>0.66999999999999982</v>
      </c>
      <c r="BT111" s="55">
        <f t="shared" si="647"/>
        <v>0.6499999999999998</v>
      </c>
      <c r="BU111" s="55">
        <f t="shared" si="647"/>
        <v>0.62999999999999978</v>
      </c>
      <c r="BV111" s="55">
        <f t="shared" si="647"/>
        <v>0.60999999999999976</v>
      </c>
      <c r="BW111" s="55">
        <f t="shared" si="647"/>
        <v>0.58999999999999975</v>
      </c>
      <c r="BX111" s="55">
        <f t="shared" si="647"/>
        <v>0.56999999999999973</v>
      </c>
      <c r="BZ111" s="55">
        <f t="shared" si="505"/>
        <v>291160.87</v>
      </c>
      <c r="CA111" s="55">
        <f t="shared" si="506"/>
        <v>291160.87</v>
      </c>
      <c r="CB111" s="59">
        <f t="shared" si="555"/>
        <v>962519.60404600005</v>
      </c>
      <c r="CC111" s="55">
        <f t="shared" si="556"/>
        <v>282426.04389999999</v>
      </c>
      <c r="CD111" s="59">
        <f t="shared" si="557"/>
        <v>933644.01592461998</v>
      </c>
      <c r="CE111" s="55">
        <f t="shared" si="558"/>
        <v>276602.82649999997</v>
      </c>
      <c r="CF111" s="59">
        <f t="shared" si="559"/>
        <v>914393.62384369993</v>
      </c>
      <c r="CG111" s="55">
        <f t="shared" si="560"/>
        <v>270779.6091</v>
      </c>
      <c r="CH111" s="59">
        <f t="shared" si="561"/>
        <v>895143.23176277999</v>
      </c>
      <c r="CI111" s="57">
        <f t="shared" si="562"/>
        <v>264956.39169999998</v>
      </c>
      <c r="CJ111" s="59">
        <f t="shared" si="563"/>
        <v>875892.83968185994</v>
      </c>
      <c r="CK111" s="55">
        <f t="shared" si="564"/>
        <v>259133.17430000001</v>
      </c>
      <c r="CL111" s="59">
        <f t="shared" si="565"/>
        <v>856642.44760094001</v>
      </c>
      <c r="CM111" s="57">
        <f t="shared" si="566"/>
        <v>253309.95689999999</v>
      </c>
      <c r="CN111" s="59">
        <f t="shared" si="567"/>
        <v>837392.05552001996</v>
      </c>
      <c r="CO111" s="60">
        <f t="shared" si="568"/>
        <v>247486.7395</v>
      </c>
      <c r="CP111" s="59">
        <f t="shared" si="569"/>
        <v>818141.66343910003</v>
      </c>
      <c r="CQ111" s="57">
        <f t="shared" si="570"/>
        <v>241663.52209999997</v>
      </c>
      <c r="CR111" s="59">
        <f t="shared" si="571"/>
        <v>798891.27135817998</v>
      </c>
      <c r="CS111" s="55">
        <f t="shared" si="572"/>
        <v>235840.30469999998</v>
      </c>
      <c r="CT111" s="59">
        <f t="shared" si="573"/>
        <v>779640.87927725993</v>
      </c>
      <c r="CU111" s="60">
        <f t="shared" si="574"/>
        <v>230017.08729999998</v>
      </c>
      <c r="CV111" s="59">
        <f t="shared" si="575"/>
        <v>760390.48719633999</v>
      </c>
      <c r="CW111" s="60">
        <f t="shared" si="576"/>
        <v>224193.86989999996</v>
      </c>
      <c r="CX111" s="59">
        <f t="shared" si="577"/>
        <v>741140.09511541994</v>
      </c>
      <c r="CY111" s="60">
        <f t="shared" si="578"/>
        <v>218370.65249999997</v>
      </c>
      <c r="CZ111" s="59">
        <f t="shared" si="579"/>
        <v>721889.70303449989</v>
      </c>
      <c r="DA111" s="55">
        <f t="shared" si="580"/>
        <v>212547.43509999997</v>
      </c>
      <c r="DB111" s="59">
        <f t="shared" si="581"/>
        <v>702639.31095357996</v>
      </c>
      <c r="DC111" s="60">
        <f t="shared" si="582"/>
        <v>206724.21769999995</v>
      </c>
      <c r="DD111" s="59">
        <f t="shared" si="583"/>
        <v>683388.91887265979</v>
      </c>
      <c r="DE111" s="60">
        <f t="shared" si="584"/>
        <v>200901.00029999996</v>
      </c>
      <c r="DF111" s="59">
        <f t="shared" si="585"/>
        <v>664138.52679173986</v>
      </c>
      <c r="DG111" s="60">
        <f t="shared" si="586"/>
        <v>195077.78289999993</v>
      </c>
      <c r="DH111" s="59">
        <f t="shared" si="587"/>
        <v>644888.13471081981</v>
      </c>
      <c r="DI111" s="60">
        <f t="shared" si="588"/>
        <v>189254.56549999994</v>
      </c>
      <c r="DJ111" s="59">
        <f t="shared" si="589"/>
        <v>625637.74262989976</v>
      </c>
      <c r="DK111" s="55">
        <f t="shared" si="590"/>
        <v>183431.34809999994</v>
      </c>
      <c r="DL111" s="59">
        <f t="shared" si="591"/>
        <v>606387.35054897983</v>
      </c>
      <c r="DM111" s="60">
        <f t="shared" si="592"/>
        <v>177608.13069999992</v>
      </c>
      <c r="DN111" s="59">
        <f t="shared" si="593"/>
        <v>587136.95846805978</v>
      </c>
      <c r="DO111" s="60">
        <f t="shared" si="594"/>
        <v>171784.91329999993</v>
      </c>
      <c r="DP111" s="59">
        <f t="shared" si="595"/>
        <v>567886.56638713973</v>
      </c>
      <c r="DQ111" s="55">
        <f t="shared" si="596"/>
        <v>165961.6958999999</v>
      </c>
      <c r="DR111" s="59">
        <f t="shared" si="597"/>
        <v>548636.17430621968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50"/>
        <v>0.91</v>
      </c>
      <c r="DZ111" s="55">
        <f t="shared" si="650"/>
        <v>0.89</v>
      </c>
      <c r="EA111" s="55">
        <f t="shared" si="650"/>
        <v>0.87</v>
      </c>
      <c r="EB111" s="55">
        <f t="shared" si="650"/>
        <v>0.85</v>
      </c>
      <c r="EC111" s="55">
        <f t="shared" si="650"/>
        <v>0.83</v>
      </c>
      <c r="ED111" s="55">
        <f t="shared" si="650"/>
        <v>0.80999999999999994</v>
      </c>
      <c r="EE111" s="55">
        <f t="shared" si="650"/>
        <v>0.78999999999999992</v>
      </c>
      <c r="EF111" s="55">
        <f t="shared" si="650"/>
        <v>0.76999999999999991</v>
      </c>
      <c r="EG111" s="55">
        <f t="shared" si="650"/>
        <v>0.74999999999999989</v>
      </c>
      <c r="EH111" s="55">
        <f t="shared" si="650"/>
        <v>0.72999999999999987</v>
      </c>
      <c r="EI111" s="55">
        <f t="shared" si="650"/>
        <v>0.70999999999999985</v>
      </c>
      <c r="EJ111" s="55">
        <f t="shared" si="650"/>
        <v>0.68999999999999984</v>
      </c>
      <c r="EK111" s="55">
        <f t="shared" si="650"/>
        <v>0.66999999999999982</v>
      </c>
      <c r="EL111" s="55">
        <f t="shared" si="650"/>
        <v>0.6499999999999998</v>
      </c>
      <c r="EM111" s="55">
        <f t="shared" si="650"/>
        <v>0.62999999999999978</v>
      </c>
      <c r="EN111" s="55">
        <f t="shared" si="650"/>
        <v>0.60999999999999976</v>
      </c>
      <c r="EO111" s="55">
        <f t="shared" si="650"/>
        <v>0.58999999999999975</v>
      </c>
      <c r="EP111" s="55">
        <f t="shared" si="650"/>
        <v>0.56999999999999973</v>
      </c>
      <c r="ER111" s="55">
        <f t="shared" si="644"/>
        <v>264956.39169999998</v>
      </c>
      <c r="ES111" s="55">
        <f t="shared" si="507"/>
        <v>264956.39169999998</v>
      </c>
      <c r="ET111" s="59">
        <f t="shared" si="598"/>
        <v>875892.83968185994</v>
      </c>
      <c r="EU111" s="55">
        <f t="shared" si="599"/>
        <v>257007.69994899997</v>
      </c>
      <c r="EV111" s="59">
        <f t="shared" si="600"/>
        <v>849616.05449140409</v>
      </c>
      <c r="EW111" s="55">
        <f t="shared" si="601"/>
        <v>251708.57211499996</v>
      </c>
      <c r="EX111" s="59">
        <f t="shared" si="602"/>
        <v>832098.19769776694</v>
      </c>
      <c r="EY111" s="55">
        <f t="shared" si="603"/>
        <v>246409.444281</v>
      </c>
      <c r="EZ111" s="59">
        <f t="shared" si="604"/>
        <v>814580.34090412979</v>
      </c>
      <c r="FA111" s="57">
        <f t="shared" si="605"/>
        <v>241110.31644699999</v>
      </c>
      <c r="FB111" s="59">
        <f t="shared" si="606"/>
        <v>797062.48411049263</v>
      </c>
      <c r="FC111" s="55">
        <f t="shared" si="607"/>
        <v>235811.18861299998</v>
      </c>
      <c r="FD111" s="59">
        <f t="shared" si="608"/>
        <v>779544.62731685536</v>
      </c>
      <c r="FE111" s="57">
        <f t="shared" si="609"/>
        <v>230512.06077899999</v>
      </c>
      <c r="FF111" s="59">
        <f t="shared" si="610"/>
        <v>762026.77052321821</v>
      </c>
      <c r="FG111" s="60">
        <f t="shared" si="611"/>
        <v>225212.93294499998</v>
      </c>
      <c r="FH111" s="59">
        <f t="shared" si="612"/>
        <v>744508.91372958093</v>
      </c>
      <c r="FI111" s="57">
        <f t="shared" si="613"/>
        <v>219913.80511099997</v>
      </c>
      <c r="FJ111" s="59">
        <f t="shared" si="614"/>
        <v>726991.05693594366</v>
      </c>
      <c r="FK111" s="55">
        <f t="shared" si="615"/>
        <v>214614.67727699998</v>
      </c>
      <c r="FL111" s="59">
        <f t="shared" si="616"/>
        <v>709473.20014230651</v>
      </c>
      <c r="FM111" s="60">
        <f t="shared" si="617"/>
        <v>209315.54944299997</v>
      </c>
      <c r="FN111" s="59">
        <f t="shared" si="618"/>
        <v>691955.34334866935</v>
      </c>
      <c r="FO111" s="60">
        <f t="shared" si="619"/>
        <v>204016.42160899995</v>
      </c>
      <c r="FP111" s="59">
        <f t="shared" si="620"/>
        <v>674437.48655503208</v>
      </c>
      <c r="FQ111" s="60">
        <f t="shared" si="621"/>
        <v>198717.29377499994</v>
      </c>
      <c r="FR111" s="59">
        <f t="shared" si="622"/>
        <v>656919.62976139481</v>
      </c>
      <c r="FS111" s="55">
        <f t="shared" si="623"/>
        <v>193418.16594099996</v>
      </c>
      <c r="FT111" s="59">
        <f t="shared" si="624"/>
        <v>639401.77296775766</v>
      </c>
      <c r="FU111" s="60">
        <f t="shared" si="625"/>
        <v>188119.03810699994</v>
      </c>
      <c r="FV111" s="59">
        <f t="shared" si="626"/>
        <v>621883.91617412039</v>
      </c>
      <c r="FW111" s="60">
        <f t="shared" si="627"/>
        <v>182819.91027299993</v>
      </c>
      <c r="FX111" s="59">
        <f t="shared" si="628"/>
        <v>604366.05938048323</v>
      </c>
      <c r="FY111" s="60">
        <f t="shared" si="629"/>
        <v>177520.78243899994</v>
      </c>
      <c r="FZ111" s="59">
        <f t="shared" si="630"/>
        <v>586848.20258684608</v>
      </c>
      <c r="GA111" s="60">
        <f t="shared" si="631"/>
        <v>172221.65460499993</v>
      </c>
      <c r="GB111" s="59">
        <f t="shared" si="632"/>
        <v>569330.34579320881</v>
      </c>
      <c r="GC111" s="55">
        <f t="shared" si="633"/>
        <v>166922.52677099992</v>
      </c>
      <c r="GD111" s="59">
        <f t="shared" si="634"/>
        <v>551812.48899957153</v>
      </c>
      <c r="GE111" s="60">
        <f t="shared" si="635"/>
        <v>161623.39893699993</v>
      </c>
      <c r="GF111" s="59">
        <f t="shared" si="636"/>
        <v>534294.63220593438</v>
      </c>
      <c r="GG111" s="60">
        <f t="shared" si="637"/>
        <v>156324.27110299992</v>
      </c>
      <c r="GH111" s="59">
        <f t="shared" si="638"/>
        <v>516776.77541229717</v>
      </c>
      <c r="GI111" s="55">
        <f t="shared" si="639"/>
        <v>151025.14326899991</v>
      </c>
      <c r="GJ111" s="59">
        <f t="shared" si="640"/>
        <v>499258.9186186599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51"/>
        <v>0.91</v>
      </c>
      <c r="GR111" s="55">
        <f t="shared" si="651"/>
        <v>0.89</v>
      </c>
      <c r="GS111" s="55">
        <f t="shared" si="651"/>
        <v>0.87</v>
      </c>
      <c r="GT111" s="55">
        <f t="shared" si="651"/>
        <v>0.85</v>
      </c>
      <c r="GU111" s="55">
        <f t="shared" si="651"/>
        <v>0.83</v>
      </c>
      <c r="GV111" s="55">
        <f t="shared" si="651"/>
        <v>0.80999999999999994</v>
      </c>
      <c r="GW111" s="55">
        <f t="shared" si="651"/>
        <v>0.78999999999999992</v>
      </c>
      <c r="GX111" s="55">
        <f t="shared" si="651"/>
        <v>0.76999999999999991</v>
      </c>
      <c r="GY111" s="55">
        <f t="shared" si="651"/>
        <v>0.74999999999999989</v>
      </c>
      <c r="GZ111" s="55">
        <f t="shared" si="651"/>
        <v>0.72999999999999987</v>
      </c>
      <c r="HA111" s="55">
        <f t="shared" si="651"/>
        <v>0.70999999999999985</v>
      </c>
      <c r="HB111" s="55">
        <f t="shared" si="651"/>
        <v>0.68999999999999984</v>
      </c>
      <c r="HC111" s="55">
        <f t="shared" si="651"/>
        <v>0.66999999999999982</v>
      </c>
      <c r="HD111" s="55">
        <f t="shared" si="651"/>
        <v>0.6499999999999998</v>
      </c>
      <c r="HE111" s="55">
        <f t="shared" si="651"/>
        <v>0.62999999999999978</v>
      </c>
      <c r="HF111" s="55">
        <f t="shared" si="651"/>
        <v>0.60999999999999976</v>
      </c>
      <c r="HG111" s="55">
        <f t="shared" si="651"/>
        <v>0.58999999999999975</v>
      </c>
      <c r="HH111" s="55">
        <f t="shared" si="651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f>TRUNC(16327,-1)</f>
        <v>16320</v>
      </c>
      <c r="E112" s="87">
        <f>TRUNC(+D112*3.3058,-1)</f>
        <v>53950</v>
      </c>
      <c r="H112" s="55">
        <f t="shared" si="502"/>
        <v>59345.000000000007</v>
      </c>
      <c r="I112" s="55">
        <f t="shared" si="503"/>
        <v>59345.000000000007</v>
      </c>
      <c r="J112" s="59">
        <f t="shared" si="504"/>
        <v>196182.70100000003</v>
      </c>
      <c r="K112" s="55">
        <f t="shared" si="512"/>
        <v>57564.650000000009</v>
      </c>
      <c r="L112" s="59">
        <f t="shared" si="513"/>
        <v>190297.21997000003</v>
      </c>
      <c r="M112" s="55">
        <f t="shared" si="514"/>
        <v>56377.750000000007</v>
      </c>
      <c r="N112" s="59">
        <f t="shared" si="515"/>
        <v>186373.56595000002</v>
      </c>
      <c r="O112" s="55">
        <f t="shared" si="516"/>
        <v>55190.850000000013</v>
      </c>
      <c r="P112" s="59">
        <f t="shared" si="517"/>
        <v>182449.91193000006</v>
      </c>
      <c r="Q112" s="57">
        <f t="shared" si="518"/>
        <v>54003.950000000012</v>
      </c>
      <c r="R112" s="59">
        <f t="shared" si="519"/>
        <v>178526.25791000004</v>
      </c>
      <c r="S112" s="55">
        <f t="shared" si="520"/>
        <v>52817.05000000001</v>
      </c>
      <c r="T112" s="59">
        <f t="shared" si="521"/>
        <v>174602.60389000003</v>
      </c>
      <c r="U112" s="57">
        <f t="shared" si="522"/>
        <v>51630.150000000009</v>
      </c>
      <c r="V112" s="59">
        <f t="shared" si="523"/>
        <v>170678.94987000004</v>
      </c>
      <c r="W112" s="60">
        <f t="shared" si="524"/>
        <v>50443.250000000007</v>
      </c>
      <c r="X112" s="59">
        <f t="shared" si="525"/>
        <v>166755.29585000002</v>
      </c>
      <c r="Y112" s="57">
        <f t="shared" si="526"/>
        <v>49256.350000000006</v>
      </c>
      <c r="Z112" s="59">
        <f t="shared" si="527"/>
        <v>162831.64183000004</v>
      </c>
      <c r="AA112" s="55">
        <f t="shared" si="528"/>
        <v>48069.450000000004</v>
      </c>
      <c r="AB112" s="59">
        <f t="shared" si="529"/>
        <v>158907.98781000002</v>
      </c>
      <c r="AC112" s="60">
        <f t="shared" si="530"/>
        <v>46882.55</v>
      </c>
      <c r="AD112" s="59">
        <f t="shared" si="531"/>
        <v>154984.33379</v>
      </c>
      <c r="AE112" s="60">
        <f t="shared" si="532"/>
        <v>45695.65</v>
      </c>
      <c r="AF112" s="59">
        <f t="shared" si="533"/>
        <v>151060.67977000002</v>
      </c>
      <c r="AG112" s="60">
        <f t="shared" si="534"/>
        <v>44508.75</v>
      </c>
      <c r="AH112" s="59">
        <f t="shared" si="535"/>
        <v>147137.02575</v>
      </c>
      <c r="AI112" s="55">
        <f t="shared" si="536"/>
        <v>43321.85</v>
      </c>
      <c r="AJ112" s="59">
        <f t="shared" si="537"/>
        <v>143213.37172999998</v>
      </c>
      <c r="AK112" s="60">
        <f t="shared" si="538"/>
        <v>42134.95</v>
      </c>
      <c r="AL112" s="59">
        <f t="shared" si="539"/>
        <v>139289.71771</v>
      </c>
      <c r="AM112" s="60">
        <f t="shared" si="540"/>
        <v>40948.049999999996</v>
      </c>
      <c r="AN112" s="59">
        <f t="shared" si="541"/>
        <v>135366.06368999998</v>
      </c>
      <c r="AO112" s="60">
        <f t="shared" si="542"/>
        <v>39761.149999999994</v>
      </c>
      <c r="AP112" s="59">
        <f t="shared" si="543"/>
        <v>131442.40966999999</v>
      </c>
      <c r="AQ112" s="60">
        <f t="shared" si="544"/>
        <v>38574.249999999993</v>
      </c>
      <c r="AR112" s="59">
        <f t="shared" si="545"/>
        <v>127518.75564999998</v>
      </c>
      <c r="AS112" s="55">
        <f t="shared" si="546"/>
        <v>37387.349999999991</v>
      </c>
      <c r="AT112" s="59">
        <f t="shared" si="547"/>
        <v>123595.10162999998</v>
      </c>
      <c r="AU112" s="60">
        <f t="shared" si="548"/>
        <v>36200.44999999999</v>
      </c>
      <c r="AV112" s="59">
        <f t="shared" si="549"/>
        <v>119671.44760999997</v>
      </c>
      <c r="AW112" s="60">
        <f t="shared" si="550"/>
        <v>35013.549999999988</v>
      </c>
      <c r="AX112" s="59">
        <f t="shared" si="551"/>
        <v>115747.79358999996</v>
      </c>
      <c r="AY112" s="55">
        <f t="shared" si="552"/>
        <v>33826.649999999987</v>
      </c>
      <c r="AZ112" s="59">
        <f t="shared" si="553"/>
        <v>111824.13956999996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647"/>
        <v>0.91</v>
      </c>
      <c r="BH112" s="55">
        <f t="shared" si="647"/>
        <v>0.89</v>
      </c>
      <c r="BI112" s="55">
        <f t="shared" si="647"/>
        <v>0.87</v>
      </c>
      <c r="BJ112" s="55">
        <f t="shared" si="647"/>
        <v>0.85</v>
      </c>
      <c r="BK112" s="55">
        <f t="shared" si="647"/>
        <v>0.83</v>
      </c>
      <c r="BL112" s="55">
        <f t="shared" si="647"/>
        <v>0.80999999999999994</v>
      </c>
      <c r="BM112" s="55">
        <f t="shared" si="647"/>
        <v>0.78999999999999992</v>
      </c>
      <c r="BN112" s="55">
        <f t="shared" si="647"/>
        <v>0.76999999999999991</v>
      </c>
      <c r="BO112" s="55">
        <f t="shared" si="647"/>
        <v>0.74999999999999989</v>
      </c>
      <c r="BP112" s="55">
        <f t="shared" si="647"/>
        <v>0.72999999999999987</v>
      </c>
      <c r="BQ112" s="55">
        <f t="shared" si="647"/>
        <v>0.70999999999999985</v>
      </c>
      <c r="BR112" s="55">
        <f t="shared" si="647"/>
        <v>0.68999999999999984</v>
      </c>
      <c r="BS112" s="55">
        <f t="shared" si="647"/>
        <v>0.66999999999999982</v>
      </c>
      <c r="BT112" s="55">
        <f t="shared" si="647"/>
        <v>0.6499999999999998</v>
      </c>
      <c r="BU112" s="55">
        <f t="shared" si="647"/>
        <v>0.62999999999999978</v>
      </c>
      <c r="BV112" s="55">
        <f t="shared" si="647"/>
        <v>0.60999999999999976</v>
      </c>
      <c r="BW112" s="55">
        <f t="shared" si="647"/>
        <v>0.58999999999999975</v>
      </c>
      <c r="BX112" s="55">
        <f t="shared" si="647"/>
        <v>0.56999999999999973</v>
      </c>
      <c r="BZ112" s="55">
        <f t="shared" si="505"/>
        <v>54003.950000000012</v>
      </c>
      <c r="CA112" s="55">
        <f t="shared" si="506"/>
        <v>54003.950000000012</v>
      </c>
      <c r="CB112" s="59">
        <f t="shared" si="555"/>
        <v>178526.25791000004</v>
      </c>
      <c r="CC112" s="55">
        <f t="shared" si="556"/>
        <v>52383.831500000008</v>
      </c>
      <c r="CD112" s="59">
        <f t="shared" si="557"/>
        <v>173170.47017270004</v>
      </c>
      <c r="CE112" s="55">
        <f t="shared" si="558"/>
        <v>51303.75250000001</v>
      </c>
      <c r="CF112" s="59">
        <f t="shared" si="559"/>
        <v>169599.94501450003</v>
      </c>
      <c r="CG112" s="55">
        <f t="shared" si="560"/>
        <v>50223.673500000012</v>
      </c>
      <c r="CH112" s="59">
        <f t="shared" si="561"/>
        <v>166029.41985630005</v>
      </c>
      <c r="CI112" s="57">
        <f t="shared" si="562"/>
        <v>49143.594500000014</v>
      </c>
      <c r="CJ112" s="59">
        <f t="shared" si="563"/>
        <v>162458.89469810005</v>
      </c>
      <c r="CK112" s="55">
        <f t="shared" si="564"/>
        <v>48063.515500000009</v>
      </c>
      <c r="CL112" s="59">
        <f t="shared" si="565"/>
        <v>158888.36953990004</v>
      </c>
      <c r="CM112" s="57">
        <f t="shared" si="566"/>
        <v>46983.436500000011</v>
      </c>
      <c r="CN112" s="59">
        <f t="shared" si="567"/>
        <v>155317.84438170004</v>
      </c>
      <c r="CO112" s="60">
        <f t="shared" si="568"/>
        <v>45903.357500000006</v>
      </c>
      <c r="CP112" s="59">
        <f t="shared" si="569"/>
        <v>151747.31922350003</v>
      </c>
      <c r="CQ112" s="57">
        <f t="shared" si="570"/>
        <v>44823.278500000008</v>
      </c>
      <c r="CR112" s="59">
        <f t="shared" si="571"/>
        <v>148176.79406530003</v>
      </c>
      <c r="CS112" s="55">
        <f t="shared" si="572"/>
        <v>43743.19950000001</v>
      </c>
      <c r="CT112" s="59">
        <f t="shared" si="573"/>
        <v>144606.26890710005</v>
      </c>
      <c r="CU112" s="60">
        <f t="shared" si="574"/>
        <v>42663.120500000005</v>
      </c>
      <c r="CV112" s="59">
        <f t="shared" si="575"/>
        <v>141035.74374890001</v>
      </c>
      <c r="CW112" s="60">
        <f t="shared" si="576"/>
        <v>41583.041500000007</v>
      </c>
      <c r="CX112" s="59">
        <f t="shared" si="577"/>
        <v>137465.21859070004</v>
      </c>
      <c r="CY112" s="60">
        <f t="shared" si="578"/>
        <v>40502.962500000001</v>
      </c>
      <c r="CZ112" s="59">
        <f t="shared" si="579"/>
        <v>133894.6934325</v>
      </c>
      <c r="DA112" s="55">
        <f t="shared" si="580"/>
        <v>39422.883500000004</v>
      </c>
      <c r="DB112" s="59">
        <f t="shared" si="581"/>
        <v>130324.16827430001</v>
      </c>
      <c r="DC112" s="60">
        <f t="shared" si="582"/>
        <v>38342.804499999998</v>
      </c>
      <c r="DD112" s="59">
        <f t="shared" si="583"/>
        <v>126753.64311609999</v>
      </c>
      <c r="DE112" s="60">
        <f t="shared" si="584"/>
        <v>37262.7255</v>
      </c>
      <c r="DF112" s="59">
        <f t="shared" si="585"/>
        <v>123183.1179579</v>
      </c>
      <c r="DG112" s="60">
        <f t="shared" si="586"/>
        <v>36182.646499999995</v>
      </c>
      <c r="DH112" s="59">
        <f t="shared" si="587"/>
        <v>119612.59279969998</v>
      </c>
      <c r="DI112" s="60">
        <f t="shared" si="588"/>
        <v>35102.567499999997</v>
      </c>
      <c r="DJ112" s="59">
        <f t="shared" si="589"/>
        <v>116042.06764149999</v>
      </c>
      <c r="DK112" s="55">
        <f t="shared" si="590"/>
        <v>34022.488499999992</v>
      </c>
      <c r="DL112" s="59">
        <f t="shared" si="591"/>
        <v>112471.54248329997</v>
      </c>
      <c r="DM112" s="60">
        <f t="shared" si="592"/>
        <v>32942.409499999994</v>
      </c>
      <c r="DN112" s="59">
        <f t="shared" si="593"/>
        <v>108901.01732509998</v>
      </c>
      <c r="DO112" s="60">
        <f t="shared" si="594"/>
        <v>31862.330499999993</v>
      </c>
      <c r="DP112" s="59">
        <f t="shared" si="595"/>
        <v>105330.49216689997</v>
      </c>
      <c r="DQ112" s="55">
        <f t="shared" si="596"/>
        <v>30782.251499999991</v>
      </c>
      <c r="DR112" s="59">
        <f t="shared" si="597"/>
        <v>101759.96700869997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50"/>
        <v>0.91</v>
      </c>
      <c r="DZ112" s="55">
        <f t="shared" si="650"/>
        <v>0.89</v>
      </c>
      <c r="EA112" s="55">
        <f t="shared" si="650"/>
        <v>0.87</v>
      </c>
      <c r="EB112" s="55">
        <f t="shared" si="650"/>
        <v>0.85</v>
      </c>
      <c r="EC112" s="55">
        <f t="shared" si="650"/>
        <v>0.83</v>
      </c>
      <c r="ED112" s="55">
        <f t="shared" si="650"/>
        <v>0.80999999999999994</v>
      </c>
      <c r="EE112" s="55">
        <f t="shared" si="650"/>
        <v>0.78999999999999992</v>
      </c>
      <c r="EF112" s="55">
        <f t="shared" si="650"/>
        <v>0.76999999999999991</v>
      </c>
      <c r="EG112" s="55">
        <f t="shared" si="650"/>
        <v>0.74999999999999989</v>
      </c>
      <c r="EH112" s="55">
        <f t="shared" si="650"/>
        <v>0.72999999999999987</v>
      </c>
      <c r="EI112" s="55">
        <f t="shared" si="650"/>
        <v>0.70999999999999985</v>
      </c>
      <c r="EJ112" s="55">
        <f t="shared" si="650"/>
        <v>0.68999999999999984</v>
      </c>
      <c r="EK112" s="55">
        <f t="shared" si="650"/>
        <v>0.66999999999999982</v>
      </c>
      <c r="EL112" s="55">
        <f t="shared" si="650"/>
        <v>0.6499999999999998</v>
      </c>
      <c r="EM112" s="55">
        <f t="shared" si="650"/>
        <v>0.62999999999999978</v>
      </c>
      <c r="EN112" s="55">
        <f t="shared" si="650"/>
        <v>0.60999999999999976</v>
      </c>
      <c r="EO112" s="55">
        <f t="shared" si="650"/>
        <v>0.58999999999999975</v>
      </c>
      <c r="EP112" s="55">
        <f t="shared" si="650"/>
        <v>0.56999999999999973</v>
      </c>
      <c r="ER112" s="55">
        <f t="shared" si="644"/>
        <v>49143.594500000014</v>
      </c>
      <c r="ES112" s="55">
        <f t="shared" si="507"/>
        <v>49143.594500000014</v>
      </c>
      <c r="ET112" s="59">
        <f t="shared" si="598"/>
        <v>162458.89469810005</v>
      </c>
      <c r="EU112" s="55">
        <f t="shared" si="599"/>
        <v>47669.286665000014</v>
      </c>
      <c r="EV112" s="59">
        <f t="shared" si="600"/>
        <v>157585.12785715706</v>
      </c>
      <c r="EW112" s="55">
        <f t="shared" si="601"/>
        <v>46686.414775000012</v>
      </c>
      <c r="EX112" s="59">
        <f t="shared" si="602"/>
        <v>154335.94996319505</v>
      </c>
      <c r="EY112" s="55">
        <f t="shared" si="603"/>
        <v>45703.542885000017</v>
      </c>
      <c r="EZ112" s="59">
        <f t="shared" si="604"/>
        <v>151086.77206923306</v>
      </c>
      <c r="FA112" s="57">
        <f t="shared" si="605"/>
        <v>44720.670995000015</v>
      </c>
      <c r="FB112" s="59">
        <f t="shared" si="606"/>
        <v>147837.59417527105</v>
      </c>
      <c r="FC112" s="55">
        <f t="shared" si="607"/>
        <v>43737.799105000013</v>
      </c>
      <c r="FD112" s="59">
        <f t="shared" si="608"/>
        <v>144588.41628130904</v>
      </c>
      <c r="FE112" s="57">
        <f t="shared" si="609"/>
        <v>42754.927215000011</v>
      </c>
      <c r="FF112" s="59">
        <f t="shared" si="610"/>
        <v>141339.23838734702</v>
      </c>
      <c r="FG112" s="60">
        <f t="shared" si="611"/>
        <v>41772.055325000008</v>
      </c>
      <c r="FH112" s="59">
        <f t="shared" si="612"/>
        <v>138090.06049338504</v>
      </c>
      <c r="FI112" s="57">
        <f t="shared" si="613"/>
        <v>40789.183435000006</v>
      </c>
      <c r="FJ112" s="59">
        <f t="shared" si="614"/>
        <v>134840.88259942303</v>
      </c>
      <c r="FK112" s="55">
        <f t="shared" si="615"/>
        <v>39806.311545000011</v>
      </c>
      <c r="FL112" s="59">
        <f t="shared" si="616"/>
        <v>131591.70470546104</v>
      </c>
      <c r="FM112" s="60">
        <f t="shared" si="617"/>
        <v>38823.439655000009</v>
      </c>
      <c r="FN112" s="59">
        <f t="shared" si="618"/>
        <v>128342.52681149903</v>
      </c>
      <c r="FO112" s="60">
        <f t="shared" si="619"/>
        <v>37840.567765000007</v>
      </c>
      <c r="FP112" s="59">
        <f t="shared" si="620"/>
        <v>125093.34891753702</v>
      </c>
      <c r="FQ112" s="60">
        <f t="shared" si="621"/>
        <v>36857.695875000005</v>
      </c>
      <c r="FR112" s="59">
        <f t="shared" si="622"/>
        <v>121844.17102357502</v>
      </c>
      <c r="FS112" s="55">
        <f t="shared" si="623"/>
        <v>35874.823985000003</v>
      </c>
      <c r="FT112" s="59">
        <f t="shared" si="624"/>
        <v>118594.99312961301</v>
      </c>
      <c r="FU112" s="60">
        <f t="shared" si="625"/>
        <v>34891.952095000001</v>
      </c>
      <c r="FV112" s="59">
        <f t="shared" si="626"/>
        <v>115345.81523565101</v>
      </c>
      <c r="FW112" s="60">
        <f t="shared" si="627"/>
        <v>33909.080204999998</v>
      </c>
      <c r="FX112" s="59">
        <f t="shared" si="628"/>
        <v>112096.637341689</v>
      </c>
      <c r="FY112" s="60">
        <f t="shared" si="629"/>
        <v>32926.208315000003</v>
      </c>
      <c r="FZ112" s="59">
        <f t="shared" si="630"/>
        <v>108847.45944772701</v>
      </c>
      <c r="GA112" s="60">
        <f t="shared" si="631"/>
        <v>31943.336424999998</v>
      </c>
      <c r="GB112" s="59">
        <f t="shared" si="632"/>
        <v>105598.28155376499</v>
      </c>
      <c r="GC112" s="55">
        <f t="shared" si="633"/>
        <v>30960.464534999999</v>
      </c>
      <c r="GD112" s="59">
        <f t="shared" si="634"/>
        <v>102349.103659803</v>
      </c>
      <c r="GE112" s="60">
        <f t="shared" si="635"/>
        <v>29977.592644999997</v>
      </c>
      <c r="GF112" s="59">
        <f t="shared" si="636"/>
        <v>99099.925765840992</v>
      </c>
      <c r="GG112" s="60">
        <f t="shared" si="637"/>
        <v>28994.720754999995</v>
      </c>
      <c r="GH112" s="59">
        <f t="shared" si="638"/>
        <v>95850.747871878979</v>
      </c>
      <c r="GI112" s="55">
        <f t="shared" si="639"/>
        <v>28011.848864999996</v>
      </c>
      <c r="GJ112" s="59">
        <f t="shared" si="640"/>
        <v>92601.569977916995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51"/>
        <v>0.91</v>
      </c>
      <c r="GR112" s="55">
        <f t="shared" si="651"/>
        <v>0.89</v>
      </c>
      <c r="GS112" s="55">
        <f t="shared" si="651"/>
        <v>0.87</v>
      </c>
      <c r="GT112" s="55">
        <f t="shared" si="651"/>
        <v>0.85</v>
      </c>
      <c r="GU112" s="55">
        <f t="shared" si="651"/>
        <v>0.83</v>
      </c>
      <c r="GV112" s="55">
        <f t="shared" si="651"/>
        <v>0.80999999999999994</v>
      </c>
      <c r="GW112" s="55">
        <f t="shared" si="651"/>
        <v>0.78999999999999992</v>
      </c>
      <c r="GX112" s="55">
        <f t="shared" si="651"/>
        <v>0.76999999999999991</v>
      </c>
      <c r="GY112" s="55">
        <f t="shared" si="651"/>
        <v>0.74999999999999989</v>
      </c>
      <c r="GZ112" s="55">
        <f t="shared" si="651"/>
        <v>0.72999999999999987</v>
      </c>
      <c r="HA112" s="55">
        <f t="shared" si="651"/>
        <v>0.70999999999999985</v>
      </c>
      <c r="HB112" s="55">
        <f t="shared" si="651"/>
        <v>0.68999999999999984</v>
      </c>
      <c r="HC112" s="55">
        <f t="shared" si="651"/>
        <v>0.66999999999999982</v>
      </c>
      <c r="HD112" s="55">
        <f t="shared" si="651"/>
        <v>0.6499999999999998</v>
      </c>
      <c r="HE112" s="55">
        <f t="shared" si="651"/>
        <v>0.62999999999999978</v>
      </c>
      <c r="HF112" s="55">
        <f t="shared" si="651"/>
        <v>0.60999999999999976</v>
      </c>
      <c r="HG112" s="55">
        <f t="shared" si="651"/>
        <v>0.58999999999999975</v>
      </c>
      <c r="HH112" s="55">
        <f t="shared" si="651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196590</v>
      </c>
      <c r="E113" s="39">
        <f>SUM(E92:E112)</f>
        <v>649850</v>
      </c>
      <c r="H113" s="55">
        <f t="shared" si="502"/>
        <v>714835</v>
      </c>
      <c r="I113" s="55">
        <f t="shared" si="503"/>
        <v>714835</v>
      </c>
      <c r="J113" s="59">
        <f t="shared" si="504"/>
        <v>2363101.5430000001</v>
      </c>
      <c r="K113" s="55">
        <f t="shared" si="512"/>
        <v>693389.95</v>
      </c>
      <c r="L113" s="59">
        <f t="shared" si="513"/>
        <v>2292208.4967100001</v>
      </c>
      <c r="M113" s="55">
        <f t="shared" si="514"/>
        <v>679093.25</v>
      </c>
      <c r="N113" s="59">
        <f t="shared" si="515"/>
        <v>2244946.4658500003</v>
      </c>
      <c r="O113" s="55">
        <f t="shared" si="516"/>
        <v>664796.55000000005</v>
      </c>
      <c r="P113" s="59">
        <f t="shared" si="517"/>
        <v>2197684.43499</v>
      </c>
      <c r="Q113" s="57">
        <f t="shared" si="518"/>
        <v>650499.85</v>
      </c>
      <c r="R113" s="59">
        <f t="shared" si="519"/>
        <v>2150422.4041300002</v>
      </c>
      <c r="S113" s="55">
        <f t="shared" si="520"/>
        <v>636203.15</v>
      </c>
      <c r="T113" s="59">
        <f t="shared" si="521"/>
        <v>2103160.3732700003</v>
      </c>
      <c r="U113" s="57">
        <f t="shared" si="522"/>
        <v>621906.44999999995</v>
      </c>
      <c r="V113" s="59">
        <f t="shared" si="523"/>
        <v>2055898.3424099998</v>
      </c>
      <c r="W113" s="60">
        <f t="shared" si="524"/>
        <v>607609.75</v>
      </c>
      <c r="X113" s="59">
        <f t="shared" si="525"/>
        <v>2008636.31155</v>
      </c>
      <c r="Y113" s="57">
        <f t="shared" si="526"/>
        <v>593313.04999999993</v>
      </c>
      <c r="Z113" s="59">
        <f t="shared" si="527"/>
        <v>1961374.2806899999</v>
      </c>
      <c r="AA113" s="55">
        <f t="shared" si="528"/>
        <v>579016.35</v>
      </c>
      <c r="AB113" s="59">
        <f t="shared" si="529"/>
        <v>1914112.2498299999</v>
      </c>
      <c r="AC113" s="60">
        <f t="shared" si="530"/>
        <v>564719.64999999991</v>
      </c>
      <c r="AD113" s="59">
        <f t="shared" si="531"/>
        <v>1866850.2189699998</v>
      </c>
      <c r="AE113" s="60">
        <f t="shared" si="532"/>
        <v>550422.94999999995</v>
      </c>
      <c r="AF113" s="59">
        <f t="shared" si="533"/>
        <v>1819588.18811</v>
      </c>
      <c r="AG113" s="60">
        <f t="shared" si="534"/>
        <v>536126.24999999988</v>
      </c>
      <c r="AH113" s="59">
        <f t="shared" si="535"/>
        <v>1772326.1572499997</v>
      </c>
      <c r="AI113" s="55">
        <f t="shared" si="536"/>
        <v>521829.54999999993</v>
      </c>
      <c r="AJ113" s="59">
        <f t="shared" si="537"/>
        <v>1725064.1263899999</v>
      </c>
      <c r="AK113" s="60">
        <f t="shared" si="538"/>
        <v>507532.84999999992</v>
      </c>
      <c r="AL113" s="59">
        <f t="shared" si="539"/>
        <v>1677802.0955299998</v>
      </c>
      <c r="AM113" s="60">
        <f t="shared" si="540"/>
        <v>493236.14999999991</v>
      </c>
      <c r="AN113" s="59">
        <f t="shared" si="541"/>
        <v>1630540.0646699998</v>
      </c>
      <c r="AO113" s="60">
        <f t="shared" si="542"/>
        <v>478939.4499999999</v>
      </c>
      <c r="AP113" s="59">
        <f t="shared" si="543"/>
        <v>1583278.0338099997</v>
      </c>
      <c r="AQ113" s="60">
        <f t="shared" si="544"/>
        <v>464642.74999999988</v>
      </c>
      <c r="AR113" s="59">
        <f t="shared" si="545"/>
        <v>1536016.0029499996</v>
      </c>
      <c r="AS113" s="55">
        <f t="shared" si="546"/>
        <v>450346.04999999987</v>
      </c>
      <c r="AT113" s="59">
        <f t="shared" si="547"/>
        <v>1488753.9720899996</v>
      </c>
      <c r="AU113" s="60">
        <f t="shared" si="548"/>
        <v>436049.34999999986</v>
      </c>
      <c r="AV113" s="59">
        <f t="shared" si="549"/>
        <v>1441491.9412299995</v>
      </c>
      <c r="AW113" s="60">
        <f t="shared" si="550"/>
        <v>421752.64999999979</v>
      </c>
      <c r="AX113" s="59">
        <f t="shared" si="551"/>
        <v>1394229.9103699992</v>
      </c>
      <c r="AY113" s="55">
        <f t="shared" si="552"/>
        <v>407455.94999999978</v>
      </c>
      <c r="AZ113" s="59">
        <f t="shared" si="553"/>
        <v>1346967.8795099992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si="647"/>
        <v>0.91</v>
      </c>
      <c r="BH113" s="55">
        <f t="shared" si="647"/>
        <v>0.89</v>
      </c>
      <c r="BI113" s="55">
        <f t="shared" si="647"/>
        <v>0.87</v>
      </c>
      <c r="BJ113" s="55">
        <f t="shared" si="647"/>
        <v>0.85</v>
      </c>
      <c r="BK113" s="55">
        <f t="shared" si="647"/>
        <v>0.83</v>
      </c>
      <c r="BL113" s="55">
        <f t="shared" si="647"/>
        <v>0.80999999999999994</v>
      </c>
      <c r="BM113" s="55">
        <f t="shared" si="647"/>
        <v>0.78999999999999992</v>
      </c>
      <c r="BN113" s="55">
        <f t="shared" si="647"/>
        <v>0.76999999999999991</v>
      </c>
      <c r="BO113" s="55">
        <f t="shared" si="647"/>
        <v>0.74999999999999989</v>
      </c>
      <c r="BP113" s="55">
        <f t="shared" si="647"/>
        <v>0.72999999999999987</v>
      </c>
      <c r="BQ113" s="55">
        <f t="shared" si="647"/>
        <v>0.70999999999999985</v>
      </c>
      <c r="BR113" s="55">
        <f t="shared" si="647"/>
        <v>0.68999999999999984</v>
      </c>
      <c r="BS113" s="55">
        <f t="shared" si="647"/>
        <v>0.66999999999999982</v>
      </c>
      <c r="BT113" s="55">
        <f t="shared" si="647"/>
        <v>0.6499999999999998</v>
      </c>
      <c r="BU113" s="55">
        <f t="shared" si="647"/>
        <v>0.62999999999999978</v>
      </c>
      <c r="BV113" s="55">
        <f t="shared" si="647"/>
        <v>0.60999999999999976</v>
      </c>
      <c r="BW113" s="55">
        <f t="shared" si="647"/>
        <v>0.58999999999999975</v>
      </c>
      <c r="BX113" s="55">
        <f t="shared" si="647"/>
        <v>0.56999999999999973</v>
      </c>
      <c r="BZ113" s="55">
        <f t="shared" si="505"/>
        <v>650499.85</v>
      </c>
      <c r="CA113" s="55">
        <f t="shared" si="506"/>
        <v>650499.85</v>
      </c>
      <c r="CB113" s="59">
        <f t="shared" si="555"/>
        <v>2150422.4041300002</v>
      </c>
      <c r="CC113" s="55">
        <f t="shared" si="556"/>
        <v>630984.85450000002</v>
      </c>
      <c r="CD113" s="59">
        <f t="shared" si="557"/>
        <v>2085909.7320061</v>
      </c>
      <c r="CE113" s="55">
        <f t="shared" si="558"/>
        <v>617974.85749999993</v>
      </c>
      <c r="CF113" s="59">
        <f t="shared" si="559"/>
        <v>2042901.2839234998</v>
      </c>
      <c r="CG113" s="55">
        <f t="shared" si="560"/>
        <v>604964.86050000007</v>
      </c>
      <c r="CH113" s="59">
        <f t="shared" si="561"/>
        <v>1999892.8358409002</v>
      </c>
      <c r="CI113" s="57">
        <f t="shared" si="562"/>
        <v>591954.86349999998</v>
      </c>
      <c r="CJ113" s="59">
        <f t="shared" si="563"/>
        <v>1956884.3877582999</v>
      </c>
      <c r="CK113" s="55">
        <f t="shared" si="564"/>
        <v>578944.8665</v>
      </c>
      <c r="CL113" s="59">
        <f t="shared" si="565"/>
        <v>1913875.9396757002</v>
      </c>
      <c r="CM113" s="57">
        <f t="shared" si="566"/>
        <v>565934.86950000003</v>
      </c>
      <c r="CN113" s="59">
        <f t="shared" si="567"/>
        <v>1870867.4915931001</v>
      </c>
      <c r="CO113" s="60">
        <f t="shared" si="568"/>
        <v>552924.87249999994</v>
      </c>
      <c r="CP113" s="59">
        <f t="shared" si="569"/>
        <v>1827859.0435104999</v>
      </c>
      <c r="CQ113" s="57">
        <f t="shared" si="570"/>
        <v>539914.87549999997</v>
      </c>
      <c r="CR113" s="59">
        <f t="shared" si="571"/>
        <v>1784850.5954278999</v>
      </c>
      <c r="CS113" s="55">
        <f t="shared" si="572"/>
        <v>526904.87849999999</v>
      </c>
      <c r="CT113" s="59">
        <f t="shared" si="573"/>
        <v>1741842.1473453001</v>
      </c>
      <c r="CU113" s="60">
        <f t="shared" si="574"/>
        <v>513894.88149999996</v>
      </c>
      <c r="CV113" s="59">
        <f t="shared" si="575"/>
        <v>1698833.6992626998</v>
      </c>
      <c r="CW113" s="60">
        <f t="shared" si="576"/>
        <v>500884.88449999993</v>
      </c>
      <c r="CX113" s="59">
        <f t="shared" si="577"/>
        <v>1655825.2511800998</v>
      </c>
      <c r="CY113" s="60">
        <f t="shared" si="578"/>
        <v>487874.8874999999</v>
      </c>
      <c r="CZ113" s="59">
        <f t="shared" si="579"/>
        <v>1612816.8030974998</v>
      </c>
      <c r="DA113" s="55">
        <f t="shared" si="580"/>
        <v>474864.89049999992</v>
      </c>
      <c r="DB113" s="59">
        <f t="shared" si="581"/>
        <v>1569808.3550148997</v>
      </c>
      <c r="DC113" s="60">
        <f t="shared" si="582"/>
        <v>461854.89349999989</v>
      </c>
      <c r="DD113" s="59">
        <f t="shared" si="583"/>
        <v>1526799.9069322997</v>
      </c>
      <c r="DE113" s="60">
        <f t="shared" si="584"/>
        <v>448844.89649999986</v>
      </c>
      <c r="DF113" s="59">
        <f t="shared" si="585"/>
        <v>1483791.4588496995</v>
      </c>
      <c r="DG113" s="60">
        <f t="shared" si="586"/>
        <v>435834.89949999988</v>
      </c>
      <c r="DH113" s="59">
        <f t="shared" si="587"/>
        <v>1440783.0107670997</v>
      </c>
      <c r="DI113" s="60">
        <f t="shared" si="588"/>
        <v>422824.90249999985</v>
      </c>
      <c r="DJ113" s="59">
        <f t="shared" si="589"/>
        <v>1397774.5626844994</v>
      </c>
      <c r="DK113" s="55">
        <f t="shared" si="590"/>
        <v>409814.90549999982</v>
      </c>
      <c r="DL113" s="59">
        <f t="shared" si="591"/>
        <v>1354766.1146018994</v>
      </c>
      <c r="DM113" s="60">
        <f t="shared" si="592"/>
        <v>396804.90849999984</v>
      </c>
      <c r="DN113" s="59">
        <f t="shared" si="593"/>
        <v>1311757.6665192996</v>
      </c>
      <c r="DO113" s="60">
        <f t="shared" si="594"/>
        <v>383794.91149999981</v>
      </c>
      <c r="DP113" s="59">
        <f t="shared" si="595"/>
        <v>1268749.2184366994</v>
      </c>
      <c r="DQ113" s="55">
        <f t="shared" si="596"/>
        <v>370784.91449999984</v>
      </c>
      <c r="DR113" s="59">
        <f t="shared" si="597"/>
        <v>1225740.7703540996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50"/>
        <v>0.91</v>
      </c>
      <c r="DZ113" s="55">
        <f t="shared" si="650"/>
        <v>0.89</v>
      </c>
      <c r="EA113" s="55">
        <f t="shared" si="650"/>
        <v>0.87</v>
      </c>
      <c r="EB113" s="55">
        <f t="shared" si="650"/>
        <v>0.85</v>
      </c>
      <c r="EC113" s="55">
        <f t="shared" si="650"/>
        <v>0.83</v>
      </c>
      <c r="ED113" s="55">
        <f t="shared" si="650"/>
        <v>0.80999999999999994</v>
      </c>
      <c r="EE113" s="55">
        <f t="shared" si="650"/>
        <v>0.78999999999999992</v>
      </c>
      <c r="EF113" s="55">
        <f t="shared" si="650"/>
        <v>0.76999999999999991</v>
      </c>
      <c r="EG113" s="55">
        <f t="shared" si="650"/>
        <v>0.74999999999999989</v>
      </c>
      <c r="EH113" s="55">
        <f t="shared" si="650"/>
        <v>0.72999999999999987</v>
      </c>
      <c r="EI113" s="55">
        <f t="shared" si="650"/>
        <v>0.70999999999999985</v>
      </c>
      <c r="EJ113" s="55">
        <f t="shared" si="650"/>
        <v>0.68999999999999984</v>
      </c>
      <c r="EK113" s="55">
        <f t="shared" si="650"/>
        <v>0.66999999999999982</v>
      </c>
      <c r="EL113" s="55">
        <f t="shared" si="650"/>
        <v>0.6499999999999998</v>
      </c>
      <c r="EM113" s="55">
        <f t="shared" si="650"/>
        <v>0.62999999999999978</v>
      </c>
      <c r="EN113" s="55">
        <f t="shared" si="650"/>
        <v>0.60999999999999976</v>
      </c>
      <c r="EO113" s="55">
        <f t="shared" si="650"/>
        <v>0.58999999999999975</v>
      </c>
      <c r="EP113" s="55">
        <f t="shared" si="650"/>
        <v>0.56999999999999973</v>
      </c>
      <c r="ER113" s="55">
        <f t="shared" si="644"/>
        <v>591954.86349999998</v>
      </c>
      <c r="ES113" s="55">
        <f t="shared" si="507"/>
        <v>591954.86349999998</v>
      </c>
      <c r="ET113" s="59">
        <f t="shared" si="598"/>
        <v>1956884.3877582999</v>
      </c>
      <c r="EU113" s="55">
        <f t="shared" si="599"/>
        <v>574196.21759499994</v>
      </c>
      <c r="EV113" s="59">
        <f t="shared" si="600"/>
        <v>1898177.8561255508</v>
      </c>
      <c r="EW113" s="55">
        <f t="shared" si="601"/>
        <v>562357.12032499991</v>
      </c>
      <c r="EX113" s="59">
        <f t="shared" si="602"/>
        <v>1859040.1683703847</v>
      </c>
      <c r="EY113" s="55">
        <f t="shared" si="603"/>
        <v>550518.023055</v>
      </c>
      <c r="EZ113" s="59">
        <f t="shared" si="604"/>
        <v>1819902.4806152191</v>
      </c>
      <c r="FA113" s="57">
        <f t="shared" si="605"/>
        <v>538678.92578499997</v>
      </c>
      <c r="FB113" s="59">
        <f t="shared" si="606"/>
        <v>1780764.792860053</v>
      </c>
      <c r="FC113" s="55">
        <f t="shared" si="607"/>
        <v>526839.82851499994</v>
      </c>
      <c r="FD113" s="59">
        <f t="shared" si="608"/>
        <v>1741627.1051048869</v>
      </c>
      <c r="FE113" s="57">
        <f t="shared" si="609"/>
        <v>515000.73124499997</v>
      </c>
      <c r="FF113" s="59">
        <f t="shared" si="610"/>
        <v>1702489.4173497208</v>
      </c>
      <c r="FG113" s="60">
        <f t="shared" si="611"/>
        <v>503161.63397499995</v>
      </c>
      <c r="FH113" s="59">
        <f t="shared" si="612"/>
        <v>1663351.7295945548</v>
      </c>
      <c r="FI113" s="57">
        <f t="shared" si="613"/>
        <v>491322.53670499998</v>
      </c>
      <c r="FJ113" s="59">
        <f t="shared" si="614"/>
        <v>1624214.0418393889</v>
      </c>
      <c r="FK113" s="55">
        <f t="shared" si="615"/>
        <v>479483.43943499995</v>
      </c>
      <c r="FL113" s="59">
        <f t="shared" si="616"/>
        <v>1585076.3540842228</v>
      </c>
      <c r="FM113" s="60">
        <f t="shared" si="617"/>
        <v>467644.34216499992</v>
      </c>
      <c r="FN113" s="59">
        <f t="shared" si="618"/>
        <v>1545938.6663290567</v>
      </c>
      <c r="FO113" s="60">
        <f t="shared" si="619"/>
        <v>455805.24489499995</v>
      </c>
      <c r="FP113" s="59">
        <f t="shared" si="620"/>
        <v>1506800.9785738909</v>
      </c>
      <c r="FQ113" s="60">
        <f t="shared" si="621"/>
        <v>443966.14762499993</v>
      </c>
      <c r="FR113" s="59">
        <f t="shared" si="622"/>
        <v>1467663.2908187248</v>
      </c>
      <c r="FS113" s="55">
        <f t="shared" si="623"/>
        <v>432127.0503549999</v>
      </c>
      <c r="FT113" s="59">
        <f t="shared" si="624"/>
        <v>1428525.6030635587</v>
      </c>
      <c r="FU113" s="60">
        <f t="shared" si="625"/>
        <v>420287.95308499987</v>
      </c>
      <c r="FV113" s="59">
        <f t="shared" si="626"/>
        <v>1389387.9153083926</v>
      </c>
      <c r="FW113" s="60">
        <f t="shared" si="627"/>
        <v>408448.8558149999</v>
      </c>
      <c r="FX113" s="59">
        <f t="shared" si="628"/>
        <v>1350250.2275532268</v>
      </c>
      <c r="FY113" s="60">
        <f t="shared" si="629"/>
        <v>396609.75854499987</v>
      </c>
      <c r="FZ113" s="59">
        <f t="shared" si="630"/>
        <v>1311112.5397980607</v>
      </c>
      <c r="GA113" s="60">
        <f t="shared" si="631"/>
        <v>384770.66127499985</v>
      </c>
      <c r="GB113" s="59">
        <f t="shared" si="632"/>
        <v>1271974.8520428946</v>
      </c>
      <c r="GC113" s="55">
        <f t="shared" si="633"/>
        <v>372931.56400499988</v>
      </c>
      <c r="GD113" s="59">
        <f t="shared" si="634"/>
        <v>1232837.1642877287</v>
      </c>
      <c r="GE113" s="60">
        <f t="shared" si="635"/>
        <v>361092.46673499985</v>
      </c>
      <c r="GF113" s="59">
        <f t="shared" si="636"/>
        <v>1193699.4765325626</v>
      </c>
      <c r="GG113" s="60">
        <f t="shared" si="637"/>
        <v>349253.36946499982</v>
      </c>
      <c r="GH113" s="59">
        <f t="shared" si="638"/>
        <v>1154561.7887773965</v>
      </c>
      <c r="GI113" s="55">
        <f t="shared" si="639"/>
        <v>337414.27219499985</v>
      </c>
      <c r="GJ113" s="59">
        <f t="shared" si="640"/>
        <v>1115424.1010222305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51"/>
        <v>0.91</v>
      </c>
      <c r="GR113" s="55">
        <f t="shared" si="651"/>
        <v>0.89</v>
      </c>
      <c r="GS113" s="55">
        <f t="shared" si="651"/>
        <v>0.87</v>
      </c>
      <c r="GT113" s="55">
        <f t="shared" si="651"/>
        <v>0.85</v>
      </c>
      <c r="GU113" s="55">
        <f t="shared" si="651"/>
        <v>0.83</v>
      </c>
      <c r="GV113" s="55">
        <f t="shared" si="651"/>
        <v>0.80999999999999994</v>
      </c>
      <c r="GW113" s="55">
        <f t="shared" si="651"/>
        <v>0.78999999999999992</v>
      </c>
      <c r="GX113" s="55">
        <f t="shared" si="651"/>
        <v>0.76999999999999991</v>
      </c>
      <c r="GY113" s="55">
        <f t="shared" si="651"/>
        <v>0.74999999999999989</v>
      </c>
      <c r="GZ113" s="55">
        <f t="shared" si="651"/>
        <v>0.72999999999999987</v>
      </c>
      <c r="HA113" s="55">
        <f t="shared" si="651"/>
        <v>0.70999999999999985</v>
      </c>
      <c r="HB113" s="55">
        <f t="shared" si="651"/>
        <v>0.68999999999999984</v>
      </c>
      <c r="HC113" s="55">
        <f t="shared" si="651"/>
        <v>0.66999999999999982</v>
      </c>
      <c r="HD113" s="55">
        <f t="shared" si="651"/>
        <v>0.6499999999999998</v>
      </c>
      <c r="HE113" s="55">
        <f t="shared" si="651"/>
        <v>0.62999999999999978</v>
      </c>
      <c r="HF113" s="55">
        <f t="shared" si="651"/>
        <v>0.60999999999999976</v>
      </c>
      <c r="HG113" s="55">
        <f t="shared" si="651"/>
        <v>0.58999999999999975</v>
      </c>
      <c r="HH113" s="55">
        <f t="shared" si="651"/>
        <v>0.56999999999999973</v>
      </c>
    </row>
    <row r="114" spans="1:216" s="64" customFormat="1" x14ac:dyDescent="0.3">
      <c r="C114" s="65"/>
      <c r="D114" s="65"/>
      <c r="E114" s="65"/>
      <c r="G114" s="61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2"/>
      <c r="U114" s="61"/>
      <c r="V114" s="63"/>
      <c r="W114" s="61"/>
      <c r="X114" s="62"/>
      <c r="Y114" s="61"/>
      <c r="Z114" s="61"/>
      <c r="AA114" s="61"/>
      <c r="AB114" s="63"/>
      <c r="AC114" s="61"/>
      <c r="AD114" s="63"/>
      <c r="AE114" s="61"/>
      <c r="AF114" s="63"/>
      <c r="AG114" s="61"/>
      <c r="AH114" s="61"/>
      <c r="AI114" s="61"/>
      <c r="AJ114" s="63"/>
      <c r="AK114" s="61"/>
      <c r="AL114" s="63"/>
      <c r="AM114" s="61"/>
      <c r="AN114" s="63"/>
      <c r="AO114" s="61"/>
      <c r="AP114" s="63"/>
      <c r="AQ114" s="61"/>
      <c r="AR114" s="61"/>
      <c r="AS114" s="61"/>
      <c r="AT114" s="63"/>
      <c r="AU114" s="61"/>
      <c r="AV114" s="63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>
        <f t="shared" ref="BY114:BY115" si="652">+G114*0.91</f>
        <v>0</v>
      </c>
      <c r="BZ114" s="61"/>
      <c r="CA114" s="61"/>
      <c r="CB114" s="61"/>
      <c r="CC114" s="61"/>
      <c r="CD114" s="61"/>
      <c r="CE114" s="61"/>
      <c r="CF114" s="61"/>
      <c r="CG114" s="61"/>
      <c r="CH114" s="62"/>
      <c r="CI114" s="61"/>
      <c r="CJ114" s="61"/>
      <c r="CK114" s="61"/>
      <c r="CL114" s="62"/>
      <c r="CM114" s="61"/>
      <c r="CN114" s="63"/>
      <c r="CO114" s="61"/>
      <c r="CP114" s="62"/>
      <c r="CQ114" s="61"/>
      <c r="CR114" s="61"/>
      <c r="CS114" s="61"/>
      <c r="CT114" s="63"/>
      <c r="CU114" s="61"/>
      <c r="CV114" s="63"/>
      <c r="CW114" s="61"/>
      <c r="CX114" s="63"/>
      <c r="CY114" s="61"/>
      <c r="CZ114" s="61"/>
      <c r="DA114" s="61"/>
      <c r="DB114" s="63"/>
      <c r="DC114" s="61"/>
      <c r="DD114" s="63"/>
      <c r="DE114" s="61"/>
      <c r="DF114" s="63"/>
      <c r="DG114" s="61"/>
      <c r="DH114" s="63"/>
      <c r="DI114" s="61"/>
      <c r="DJ114" s="61"/>
      <c r="DK114" s="61"/>
      <c r="DL114" s="63"/>
      <c r="DM114" s="61"/>
      <c r="DN114" s="63"/>
      <c r="DO114" s="61"/>
      <c r="DP114" s="61"/>
      <c r="DQ114" s="61"/>
      <c r="DR114" s="61"/>
      <c r="DS114" s="61"/>
      <c r="DT114" s="61">
        <v>1</v>
      </c>
      <c r="DU114" s="61">
        <v>0.97</v>
      </c>
      <c r="DV114" s="61">
        <v>0.95</v>
      </c>
      <c r="DW114" s="61">
        <v>0.93</v>
      </c>
      <c r="DX114" s="61">
        <f t="shared" ref="DX114:EO115" si="653">+DW114-0.02</f>
        <v>0.91</v>
      </c>
      <c r="DY114" s="61">
        <f t="shared" si="653"/>
        <v>0.89</v>
      </c>
      <c r="DZ114" s="61">
        <f t="shared" si="653"/>
        <v>0.87</v>
      </c>
      <c r="EA114" s="61">
        <f t="shared" si="653"/>
        <v>0.85</v>
      </c>
      <c r="EB114" s="61">
        <f t="shared" si="653"/>
        <v>0.83</v>
      </c>
      <c r="EC114" s="61">
        <f t="shared" si="653"/>
        <v>0.80999999999999994</v>
      </c>
      <c r="ED114" s="61">
        <f t="shared" si="653"/>
        <v>0.78999999999999992</v>
      </c>
      <c r="EE114" s="61">
        <f t="shared" si="653"/>
        <v>0.76999999999999991</v>
      </c>
      <c r="EF114" s="61">
        <f t="shared" si="653"/>
        <v>0.74999999999999989</v>
      </c>
      <c r="EG114" s="61">
        <f t="shared" si="653"/>
        <v>0.72999999999999987</v>
      </c>
      <c r="EH114" s="61">
        <f t="shared" si="653"/>
        <v>0.70999999999999985</v>
      </c>
      <c r="EI114" s="61">
        <f t="shared" si="653"/>
        <v>0.68999999999999984</v>
      </c>
      <c r="EJ114" s="61">
        <f t="shared" si="653"/>
        <v>0.66999999999999982</v>
      </c>
      <c r="EK114" s="61">
        <f t="shared" si="653"/>
        <v>0.6499999999999998</v>
      </c>
      <c r="EL114" s="61">
        <f t="shared" si="653"/>
        <v>0.62999999999999978</v>
      </c>
      <c r="EM114" s="61">
        <f t="shared" si="653"/>
        <v>0.60999999999999976</v>
      </c>
      <c r="EN114" s="61">
        <f t="shared" si="653"/>
        <v>0.58999999999999975</v>
      </c>
      <c r="EO114" s="61">
        <f t="shared" si="653"/>
        <v>0.56999999999999973</v>
      </c>
      <c r="EQ114" s="61">
        <f t="shared" ref="EQ114:EQ115" si="654">+BY114*0.91</f>
        <v>0</v>
      </c>
      <c r="ER114" s="61"/>
      <c r="ES114" s="61"/>
      <c r="ET114" s="61"/>
      <c r="EU114" s="61"/>
      <c r="EV114" s="61"/>
      <c r="EW114" s="61"/>
      <c r="EX114" s="61"/>
      <c r="EY114" s="61"/>
      <c r="EZ114" s="62"/>
      <c r="FA114" s="61"/>
      <c r="FB114" s="61"/>
      <c r="FC114" s="61"/>
      <c r="FD114" s="62"/>
      <c r="FE114" s="61"/>
      <c r="FF114" s="63"/>
      <c r="FG114" s="61"/>
      <c r="FH114" s="62"/>
      <c r="FI114" s="61"/>
      <c r="FJ114" s="61"/>
      <c r="FK114" s="61"/>
      <c r="FL114" s="63"/>
      <c r="FM114" s="61"/>
      <c r="FN114" s="63"/>
      <c r="FO114" s="61"/>
      <c r="FP114" s="63"/>
      <c r="FQ114" s="61"/>
      <c r="FR114" s="61"/>
      <c r="FS114" s="61"/>
      <c r="FT114" s="63"/>
      <c r="FU114" s="61"/>
      <c r="FV114" s="63"/>
      <c r="FW114" s="61"/>
      <c r="FX114" s="63"/>
      <c r="FY114" s="61"/>
      <c r="FZ114" s="63"/>
      <c r="GA114" s="61"/>
      <c r="GB114" s="61"/>
      <c r="GC114" s="61"/>
      <c r="GD114" s="63"/>
      <c r="GE114" s="61"/>
      <c r="GF114" s="63"/>
      <c r="GG114" s="61"/>
      <c r="GH114" s="61"/>
      <c r="GI114" s="61"/>
      <c r="GJ114" s="61"/>
      <c r="GK114" s="61"/>
      <c r="GL114" s="61">
        <v>1</v>
      </c>
      <c r="GM114" s="61">
        <v>0.97</v>
      </c>
      <c r="GN114" s="61">
        <v>0.95</v>
      </c>
      <c r="GO114" s="61">
        <v>0.93</v>
      </c>
      <c r="GP114" s="61">
        <f t="shared" ref="GP114:HG115" si="655">+GO114-0.02</f>
        <v>0.91</v>
      </c>
      <c r="GQ114" s="61">
        <f t="shared" si="655"/>
        <v>0.89</v>
      </c>
      <c r="GR114" s="61">
        <f t="shared" si="655"/>
        <v>0.87</v>
      </c>
      <c r="GS114" s="61">
        <f t="shared" si="655"/>
        <v>0.85</v>
      </c>
      <c r="GT114" s="61">
        <f t="shared" si="655"/>
        <v>0.83</v>
      </c>
      <c r="GU114" s="61">
        <f t="shared" si="655"/>
        <v>0.80999999999999994</v>
      </c>
      <c r="GV114" s="61">
        <f t="shared" si="655"/>
        <v>0.78999999999999992</v>
      </c>
      <c r="GW114" s="61">
        <f t="shared" si="655"/>
        <v>0.76999999999999991</v>
      </c>
      <c r="GX114" s="61">
        <f t="shared" si="655"/>
        <v>0.74999999999999989</v>
      </c>
      <c r="GY114" s="61">
        <f t="shared" si="655"/>
        <v>0.72999999999999987</v>
      </c>
      <c r="GZ114" s="61">
        <f t="shared" si="655"/>
        <v>0.70999999999999985</v>
      </c>
      <c r="HA114" s="61">
        <f t="shared" si="655"/>
        <v>0.68999999999999984</v>
      </c>
      <c r="HB114" s="61">
        <f t="shared" si="655"/>
        <v>0.66999999999999982</v>
      </c>
      <c r="HC114" s="61">
        <f t="shared" si="655"/>
        <v>0.6499999999999998</v>
      </c>
      <c r="HD114" s="61">
        <f t="shared" si="655"/>
        <v>0.62999999999999978</v>
      </c>
      <c r="HE114" s="61">
        <f t="shared" si="655"/>
        <v>0.60999999999999976</v>
      </c>
      <c r="HF114" s="61">
        <f t="shared" si="655"/>
        <v>0.58999999999999975</v>
      </c>
      <c r="HG114" s="61">
        <f t="shared" si="655"/>
        <v>0.56999999999999973</v>
      </c>
    </row>
    <row r="115" spans="1:216" s="64" customFormat="1" ht="17.25" thickBot="1" x14ac:dyDescent="0.35">
      <c r="B115" s="64" t="s">
        <v>299</v>
      </c>
      <c r="C115" s="64" t="s">
        <v>297</v>
      </c>
      <c r="D115" s="65" t="s">
        <v>271</v>
      </c>
      <c r="E115" s="65" t="s">
        <v>315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2"/>
      <c r="U115" s="61"/>
      <c r="V115" s="63"/>
      <c r="W115" s="61"/>
      <c r="X115" s="62"/>
      <c r="Y115" s="61"/>
      <c r="Z115" s="61"/>
      <c r="AA115" s="61"/>
      <c r="AB115" s="63"/>
      <c r="AC115" s="61"/>
      <c r="AD115" s="63"/>
      <c r="AE115" s="61"/>
      <c r="AF115" s="63"/>
      <c r="AG115" s="61"/>
      <c r="AH115" s="61"/>
      <c r="AI115" s="61"/>
      <c r="AJ115" s="63"/>
      <c r="AK115" s="61"/>
      <c r="AL115" s="63"/>
      <c r="AM115" s="61"/>
      <c r="AN115" s="63"/>
      <c r="AO115" s="61"/>
      <c r="AP115" s="63"/>
      <c r="AQ115" s="61"/>
      <c r="AR115" s="61"/>
      <c r="AS115" s="61"/>
      <c r="AT115" s="63"/>
      <c r="AU115" s="61"/>
      <c r="AV115" s="63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>
        <f t="shared" si="652"/>
        <v>0</v>
      </c>
      <c r="BZ115" s="61"/>
      <c r="CA115" s="61"/>
      <c r="CB115" s="61"/>
      <c r="CC115" s="61"/>
      <c r="CD115" s="61"/>
      <c r="CE115" s="61"/>
      <c r="CF115" s="61"/>
      <c r="CG115" s="61"/>
      <c r="CH115" s="62"/>
      <c r="CI115" s="61"/>
      <c r="CJ115" s="61"/>
      <c r="CK115" s="61"/>
      <c r="CL115" s="62"/>
      <c r="CM115" s="61"/>
      <c r="CN115" s="63"/>
      <c r="CO115" s="61"/>
      <c r="CP115" s="62"/>
      <c r="CQ115" s="61"/>
      <c r="CR115" s="61"/>
      <c r="CS115" s="61"/>
      <c r="CT115" s="63"/>
      <c r="CU115" s="61"/>
      <c r="CV115" s="63"/>
      <c r="CW115" s="61"/>
      <c r="CX115" s="63"/>
      <c r="CY115" s="61"/>
      <c r="CZ115" s="61"/>
      <c r="DA115" s="61"/>
      <c r="DB115" s="63"/>
      <c r="DC115" s="61"/>
      <c r="DD115" s="63"/>
      <c r="DE115" s="61"/>
      <c r="DF115" s="63"/>
      <c r="DG115" s="61"/>
      <c r="DH115" s="63"/>
      <c r="DI115" s="61"/>
      <c r="DJ115" s="61"/>
      <c r="DK115" s="61"/>
      <c r="DL115" s="63"/>
      <c r="DM115" s="61"/>
      <c r="DN115" s="63"/>
      <c r="DO115" s="61"/>
      <c r="DP115" s="61"/>
      <c r="DQ115" s="61"/>
      <c r="DR115" s="61"/>
      <c r="DS115" s="61"/>
      <c r="DT115" s="61">
        <v>1</v>
      </c>
      <c r="DU115" s="61">
        <v>0.97</v>
      </c>
      <c r="DV115" s="61">
        <v>0.95</v>
      </c>
      <c r="DW115" s="61">
        <v>0.93</v>
      </c>
      <c r="DX115" s="61">
        <f t="shared" si="653"/>
        <v>0.91</v>
      </c>
      <c r="DY115" s="61">
        <f t="shared" si="653"/>
        <v>0.89</v>
      </c>
      <c r="DZ115" s="61">
        <f t="shared" si="653"/>
        <v>0.87</v>
      </c>
      <c r="EA115" s="61">
        <f t="shared" si="653"/>
        <v>0.85</v>
      </c>
      <c r="EB115" s="61">
        <f t="shared" si="653"/>
        <v>0.83</v>
      </c>
      <c r="EC115" s="61">
        <f t="shared" si="653"/>
        <v>0.80999999999999994</v>
      </c>
      <c r="ED115" s="61">
        <f t="shared" si="653"/>
        <v>0.78999999999999992</v>
      </c>
      <c r="EE115" s="61">
        <f t="shared" si="653"/>
        <v>0.76999999999999991</v>
      </c>
      <c r="EF115" s="61">
        <f t="shared" si="653"/>
        <v>0.74999999999999989</v>
      </c>
      <c r="EG115" s="61">
        <f t="shared" si="653"/>
        <v>0.72999999999999987</v>
      </c>
      <c r="EH115" s="61">
        <f t="shared" si="653"/>
        <v>0.70999999999999985</v>
      </c>
      <c r="EI115" s="61">
        <f t="shared" si="653"/>
        <v>0.68999999999999984</v>
      </c>
      <c r="EJ115" s="61">
        <f t="shared" si="653"/>
        <v>0.66999999999999982</v>
      </c>
      <c r="EK115" s="61">
        <f t="shared" si="653"/>
        <v>0.6499999999999998</v>
      </c>
      <c r="EL115" s="61">
        <f t="shared" si="653"/>
        <v>0.62999999999999978</v>
      </c>
      <c r="EM115" s="61">
        <f t="shared" si="653"/>
        <v>0.60999999999999976</v>
      </c>
      <c r="EN115" s="61">
        <f t="shared" si="653"/>
        <v>0.58999999999999975</v>
      </c>
      <c r="EO115" s="61">
        <f t="shared" si="653"/>
        <v>0.56999999999999973</v>
      </c>
      <c r="EQ115" s="61">
        <f t="shared" si="654"/>
        <v>0</v>
      </c>
      <c r="ER115" s="61"/>
      <c r="ES115" s="61"/>
      <c r="ET115" s="61"/>
      <c r="EU115" s="61"/>
      <c r="EV115" s="61"/>
      <c r="EW115" s="61"/>
      <c r="EX115" s="61"/>
      <c r="EY115" s="61"/>
      <c r="EZ115" s="62"/>
      <c r="FA115" s="61"/>
      <c r="FB115" s="61"/>
      <c r="FC115" s="61"/>
      <c r="FD115" s="62"/>
      <c r="FE115" s="61"/>
      <c r="FF115" s="63"/>
      <c r="FG115" s="61"/>
      <c r="FH115" s="62"/>
      <c r="FI115" s="61"/>
      <c r="FJ115" s="61"/>
      <c r="FK115" s="61"/>
      <c r="FL115" s="63"/>
      <c r="FM115" s="61"/>
      <c r="FN115" s="63"/>
      <c r="FO115" s="61"/>
      <c r="FP115" s="63"/>
      <c r="FQ115" s="61"/>
      <c r="FR115" s="61"/>
      <c r="FS115" s="61"/>
      <c r="FT115" s="63"/>
      <c r="FU115" s="61"/>
      <c r="FV115" s="63"/>
      <c r="FW115" s="61"/>
      <c r="FX115" s="63"/>
      <c r="FY115" s="61"/>
      <c r="FZ115" s="63"/>
      <c r="GA115" s="61"/>
      <c r="GB115" s="61"/>
      <c r="GC115" s="61"/>
      <c r="GD115" s="63"/>
      <c r="GE115" s="61"/>
      <c r="GF115" s="63"/>
      <c r="GG115" s="61"/>
      <c r="GH115" s="61"/>
      <c r="GI115" s="61"/>
      <c r="GJ115" s="61"/>
      <c r="GK115" s="61"/>
      <c r="GL115" s="61">
        <v>1</v>
      </c>
      <c r="GM115" s="61">
        <v>0.97</v>
      </c>
      <c r="GN115" s="61">
        <v>0.95</v>
      </c>
      <c r="GO115" s="61">
        <v>0.93</v>
      </c>
      <c r="GP115" s="61">
        <f t="shared" si="655"/>
        <v>0.91</v>
      </c>
      <c r="GQ115" s="61">
        <f t="shared" si="655"/>
        <v>0.89</v>
      </c>
      <c r="GR115" s="61">
        <f t="shared" si="655"/>
        <v>0.87</v>
      </c>
      <c r="GS115" s="61">
        <f t="shared" si="655"/>
        <v>0.85</v>
      </c>
      <c r="GT115" s="61">
        <f t="shared" si="655"/>
        <v>0.83</v>
      </c>
      <c r="GU115" s="61">
        <f t="shared" si="655"/>
        <v>0.80999999999999994</v>
      </c>
      <c r="GV115" s="61">
        <f t="shared" si="655"/>
        <v>0.78999999999999992</v>
      </c>
      <c r="GW115" s="61">
        <f t="shared" si="655"/>
        <v>0.76999999999999991</v>
      </c>
      <c r="GX115" s="61">
        <f t="shared" si="655"/>
        <v>0.74999999999999989</v>
      </c>
      <c r="GY115" s="61">
        <f t="shared" si="655"/>
        <v>0.72999999999999987</v>
      </c>
      <c r="GZ115" s="61">
        <f t="shared" si="655"/>
        <v>0.70999999999999985</v>
      </c>
      <c r="HA115" s="61">
        <f t="shared" si="655"/>
        <v>0.68999999999999984</v>
      </c>
      <c r="HB115" s="61">
        <f t="shared" si="655"/>
        <v>0.66999999999999982</v>
      </c>
      <c r="HC115" s="61">
        <f t="shared" si="655"/>
        <v>0.6499999999999998</v>
      </c>
      <c r="HD115" s="61">
        <f t="shared" si="655"/>
        <v>0.62999999999999978</v>
      </c>
      <c r="HE115" s="61">
        <f t="shared" si="655"/>
        <v>0.60999999999999976</v>
      </c>
      <c r="HF115" s="61">
        <f t="shared" si="655"/>
        <v>0.58999999999999975</v>
      </c>
      <c r="HG115" s="61">
        <f t="shared" si="655"/>
        <v>0.56999999999999973</v>
      </c>
    </row>
    <row r="116" spans="1:216" x14ac:dyDescent="0.3">
      <c r="A116" s="2">
        <v>1</v>
      </c>
      <c r="C116" s="38" t="s">
        <v>55</v>
      </c>
      <c r="D116" s="40">
        <f>TRUNC(4332,-1)</f>
        <v>4330</v>
      </c>
      <c r="E116" s="85">
        <f>TRUNC(+D116*3.3058,-1)</f>
        <v>14310</v>
      </c>
      <c r="H116" s="55">
        <f t="shared" si="502"/>
        <v>15741.000000000002</v>
      </c>
      <c r="I116" s="55">
        <f t="shared" si="503"/>
        <v>15741.000000000002</v>
      </c>
      <c r="J116" s="59">
        <f t="shared" si="504"/>
        <v>52036.59780000001</v>
      </c>
      <c r="K116" s="55">
        <f t="shared" ref="K116:K127" si="656">+I116*BD116</f>
        <v>15268.77</v>
      </c>
      <c r="L116" s="59">
        <f t="shared" ref="L116:L127" si="657">+K116*3.3058</f>
        <v>50475.499866000006</v>
      </c>
      <c r="M116" s="55">
        <f t="shared" ref="M116:M127" si="658">+I116*BE116</f>
        <v>14953.95</v>
      </c>
      <c r="N116" s="59">
        <f t="shared" ref="N116:N127" si="659">+M116*3.3058</f>
        <v>49434.767910000002</v>
      </c>
      <c r="O116" s="55">
        <f t="shared" ref="O116:O127" si="660">+I116*BF116</f>
        <v>14639.130000000003</v>
      </c>
      <c r="P116" s="59">
        <f t="shared" ref="P116:P127" si="661">+O116*3.3058</f>
        <v>48394.035954000014</v>
      </c>
      <c r="Q116" s="57">
        <f t="shared" ref="Q116:Q127" si="662">+I116*BG116</f>
        <v>14324.310000000001</v>
      </c>
      <c r="R116" s="59">
        <f t="shared" ref="R116:R127" si="663">+Q116*3.3058</f>
        <v>47353.303998000003</v>
      </c>
      <c r="S116" s="55">
        <f t="shared" ref="S116:S127" si="664">+I116*BH116</f>
        <v>14009.490000000002</v>
      </c>
      <c r="T116" s="59">
        <f t="shared" ref="T116:T127" si="665">+S116*3.3058</f>
        <v>46312.572042000007</v>
      </c>
      <c r="U116" s="57">
        <f t="shared" ref="U116:U127" si="666">+I116*BI116</f>
        <v>13694.670000000002</v>
      </c>
      <c r="V116" s="59">
        <f t="shared" ref="V116:V127" si="667">+U116*3.3058</f>
        <v>45271.840086000004</v>
      </c>
      <c r="W116" s="60">
        <f t="shared" ref="W116:W127" si="668">+I116*BJ116</f>
        <v>13379.85</v>
      </c>
      <c r="X116" s="59">
        <f t="shared" ref="X116:X127" si="669">+W116*3.3058</f>
        <v>44231.108130000001</v>
      </c>
      <c r="Y116" s="57">
        <f t="shared" ref="Y116:Y127" si="670">+I116*BK116</f>
        <v>13065.03</v>
      </c>
      <c r="Z116" s="59">
        <f t="shared" ref="Z116:Z127" si="671">+Y116*3.3058</f>
        <v>43190.376174000005</v>
      </c>
      <c r="AA116" s="55">
        <f t="shared" ref="AA116:AA127" si="672">+I116*BL116</f>
        <v>12750.210000000001</v>
      </c>
      <c r="AB116" s="59">
        <f t="shared" ref="AB116:AB127" si="673">+AA116*3.3058</f>
        <v>42149.644218000001</v>
      </c>
      <c r="AC116" s="60">
        <f t="shared" ref="AC116:AC127" si="674">+I116*BM116</f>
        <v>12435.39</v>
      </c>
      <c r="AD116" s="59">
        <f t="shared" ref="AD116:AD127" si="675">+AC116*3.3058</f>
        <v>41108.912261999998</v>
      </c>
      <c r="AE116" s="60">
        <f t="shared" ref="AE116:AE127" si="676">+I116*BN116</f>
        <v>12120.57</v>
      </c>
      <c r="AF116" s="59">
        <f t="shared" ref="AF116:AF127" si="677">+AE116*3.3058</f>
        <v>40068.180306000002</v>
      </c>
      <c r="AG116" s="60">
        <f t="shared" ref="AG116:AG127" si="678">+I116*BO116</f>
        <v>11805.75</v>
      </c>
      <c r="AH116" s="59">
        <f t="shared" ref="AH116:AH127" si="679">+AG116*3.3058</f>
        <v>39027.448349999999</v>
      </c>
      <c r="AI116" s="55">
        <f t="shared" ref="AI116:AI127" si="680">+I116*BP116</f>
        <v>11490.929999999998</v>
      </c>
      <c r="AJ116" s="59">
        <f t="shared" ref="AJ116:AJ127" si="681">+AI116*3.3058</f>
        <v>37986.716393999995</v>
      </c>
      <c r="AK116" s="60">
        <f t="shared" ref="AK116:AK127" si="682">+I116*BQ116</f>
        <v>11176.109999999999</v>
      </c>
      <c r="AL116" s="59">
        <f t="shared" ref="AL116:AL127" si="683">+AK116*3.3058</f>
        <v>36945.984437999999</v>
      </c>
      <c r="AM116" s="60">
        <f t="shared" ref="AM116:AM127" si="684">+I116*BR116</f>
        <v>10861.289999999999</v>
      </c>
      <c r="AN116" s="59">
        <f t="shared" ref="AN116:AN127" si="685">+AM116*3.3058</f>
        <v>35905.252481999996</v>
      </c>
      <c r="AO116" s="60">
        <f t="shared" ref="AO116:AO127" si="686">+I116*BS116</f>
        <v>10546.469999999998</v>
      </c>
      <c r="AP116" s="59">
        <f t="shared" ref="AP116:AP127" si="687">+AO116*3.3058</f>
        <v>34864.520525999993</v>
      </c>
      <c r="AQ116" s="60">
        <f t="shared" ref="AQ116:AQ127" si="688">+I116*BT116</f>
        <v>10231.649999999998</v>
      </c>
      <c r="AR116" s="59">
        <f t="shared" ref="AR116:AR127" si="689">+AQ116*3.3058</f>
        <v>33823.788569999997</v>
      </c>
      <c r="AS116" s="55">
        <f t="shared" ref="AS116:AS127" si="690">+I116*BU116</f>
        <v>9916.8299999999981</v>
      </c>
      <c r="AT116" s="59">
        <f t="shared" ref="AT116:AT127" si="691">+AS116*3.3058</f>
        <v>32783.056613999994</v>
      </c>
      <c r="AU116" s="60">
        <f t="shared" ref="AU116:AU127" si="692">+I116*BV116</f>
        <v>9602.0099999999966</v>
      </c>
      <c r="AV116" s="59">
        <f t="shared" ref="AV116:AV127" si="693">+AU116*3.3058</f>
        <v>31742.32465799999</v>
      </c>
      <c r="AW116" s="60">
        <f t="shared" ref="AW116:AW127" si="694">+I116*BW116</f>
        <v>9287.1899999999969</v>
      </c>
      <c r="AX116" s="59">
        <f t="shared" ref="AX116:AX127" si="695">+AW116*3.3058</f>
        <v>30701.592701999991</v>
      </c>
      <c r="AY116" s="55">
        <f t="shared" ref="AY116:AY127" si="696">+I116*BX116</f>
        <v>8972.3699999999972</v>
      </c>
      <c r="AZ116" s="59">
        <f t="shared" ref="AZ116:AZ127" si="697">+AY116*3.3058</f>
        <v>29660.860745999991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ref="BG116:BX127" si="698">+BF116-0.02</f>
        <v>0.91</v>
      </c>
      <c r="BH116" s="55">
        <f t="shared" si="698"/>
        <v>0.89</v>
      </c>
      <c r="BI116" s="55">
        <f t="shared" si="698"/>
        <v>0.87</v>
      </c>
      <c r="BJ116" s="55">
        <f t="shared" si="698"/>
        <v>0.85</v>
      </c>
      <c r="BK116" s="55">
        <f t="shared" si="698"/>
        <v>0.83</v>
      </c>
      <c r="BL116" s="55">
        <f t="shared" si="698"/>
        <v>0.80999999999999994</v>
      </c>
      <c r="BM116" s="55">
        <f t="shared" si="698"/>
        <v>0.78999999999999992</v>
      </c>
      <c r="BN116" s="55">
        <f t="shared" si="698"/>
        <v>0.76999999999999991</v>
      </c>
      <c r="BO116" s="55">
        <f t="shared" si="698"/>
        <v>0.74999999999999989</v>
      </c>
      <c r="BP116" s="55">
        <f t="shared" si="698"/>
        <v>0.72999999999999987</v>
      </c>
      <c r="BQ116" s="55">
        <f t="shared" si="698"/>
        <v>0.70999999999999985</v>
      </c>
      <c r="BR116" s="55">
        <f t="shared" si="698"/>
        <v>0.68999999999999984</v>
      </c>
      <c r="BS116" s="55">
        <f t="shared" si="698"/>
        <v>0.66999999999999982</v>
      </c>
      <c r="BT116" s="55">
        <f t="shared" si="698"/>
        <v>0.6499999999999998</v>
      </c>
      <c r="BU116" s="55">
        <f t="shared" si="698"/>
        <v>0.62999999999999978</v>
      </c>
      <c r="BV116" s="55">
        <f t="shared" si="698"/>
        <v>0.60999999999999976</v>
      </c>
      <c r="BW116" s="55">
        <f t="shared" si="698"/>
        <v>0.58999999999999975</v>
      </c>
      <c r="BX116" s="55">
        <f t="shared" si="698"/>
        <v>0.56999999999999973</v>
      </c>
      <c r="BZ116" s="55">
        <f t="shared" si="505"/>
        <v>14324.310000000001</v>
      </c>
      <c r="CA116" s="55">
        <f t="shared" si="506"/>
        <v>14324.310000000001</v>
      </c>
      <c r="CB116" s="59">
        <f t="shared" ref="CB116:CB127" si="699">+CA116*3.3058</f>
        <v>47353.303998000003</v>
      </c>
      <c r="CC116" s="55">
        <f t="shared" ref="CC116:CC127" si="700">+CA116*DV116</f>
        <v>13894.5807</v>
      </c>
      <c r="CD116" s="59">
        <f t="shared" ref="CD116:CD127" si="701">+CC116*3.3058</f>
        <v>45932.704878060002</v>
      </c>
      <c r="CE116" s="55">
        <f t="shared" ref="CE116:CE127" si="702">+CA116*DW116</f>
        <v>13608.094500000001</v>
      </c>
      <c r="CF116" s="59">
        <f t="shared" ref="CF116:CF127" si="703">+CE116*3.3058</f>
        <v>44985.638798100008</v>
      </c>
      <c r="CG116" s="55">
        <f t="shared" ref="CG116:CG127" si="704">+CA116*DX116</f>
        <v>13321.608300000002</v>
      </c>
      <c r="CH116" s="59">
        <f t="shared" ref="CH116:CH127" si="705">+CG116*3.3058</f>
        <v>44038.572718140007</v>
      </c>
      <c r="CI116" s="57">
        <f t="shared" ref="CI116:CI127" si="706">+CA116*DY116</f>
        <v>13035.122100000002</v>
      </c>
      <c r="CJ116" s="59">
        <f t="shared" ref="CJ116:CJ127" si="707">+CI116*3.3058</f>
        <v>43091.506638180006</v>
      </c>
      <c r="CK116" s="55">
        <f t="shared" ref="CK116:CK127" si="708">+CA116*DZ116</f>
        <v>12748.635900000001</v>
      </c>
      <c r="CL116" s="59">
        <f t="shared" ref="CL116:CL127" si="709">+CK116*3.3058</f>
        <v>42144.440558220005</v>
      </c>
      <c r="CM116" s="57">
        <f t="shared" ref="CM116:CM127" si="710">+CA116*EA116</f>
        <v>12462.149700000002</v>
      </c>
      <c r="CN116" s="59">
        <f t="shared" ref="CN116:CN127" si="711">+CM116*3.3058</f>
        <v>41197.374478260004</v>
      </c>
      <c r="CO116" s="60">
        <f t="shared" ref="CO116:CO127" si="712">+CA116*EB116</f>
        <v>12175.663500000001</v>
      </c>
      <c r="CP116" s="59">
        <f t="shared" ref="CP116:CP127" si="713">+CO116*3.3058</f>
        <v>40250.308398300003</v>
      </c>
      <c r="CQ116" s="57">
        <f t="shared" ref="CQ116:CQ127" si="714">+CA116*EC116</f>
        <v>11889.177300000001</v>
      </c>
      <c r="CR116" s="59">
        <f t="shared" ref="CR116:CR127" si="715">+CQ116*3.3058</f>
        <v>39303.242318340002</v>
      </c>
      <c r="CS116" s="55">
        <f t="shared" ref="CS116:CS127" si="716">+CA116*ED116</f>
        <v>11602.6911</v>
      </c>
      <c r="CT116" s="59">
        <f t="shared" ref="CT116:CT127" si="717">+CS116*3.3058</f>
        <v>38356.176238380001</v>
      </c>
      <c r="CU116" s="60">
        <f t="shared" ref="CU116:CU127" si="718">+CA116*EE116</f>
        <v>11316.204900000001</v>
      </c>
      <c r="CV116" s="59">
        <f t="shared" ref="CV116:CV127" si="719">+CU116*3.3058</f>
        <v>37409.110158420001</v>
      </c>
      <c r="CW116" s="60">
        <f t="shared" ref="CW116:CW127" si="720">+CA116*EF116</f>
        <v>11029.718699999999</v>
      </c>
      <c r="CX116" s="59">
        <f t="shared" ref="CX116:CX127" si="721">+CW116*3.3058</f>
        <v>36462.04407846</v>
      </c>
      <c r="CY116" s="60">
        <f t="shared" ref="CY116:CY127" si="722">+CA116*EG116</f>
        <v>10743.2325</v>
      </c>
      <c r="CZ116" s="59">
        <f t="shared" ref="CZ116:CZ127" si="723">+CY116*3.3058</f>
        <v>35514.977998499999</v>
      </c>
      <c r="DA116" s="55">
        <f t="shared" ref="DA116:DA127" si="724">+CA116*EH116</f>
        <v>10456.746299999999</v>
      </c>
      <c r="DB116" s="59">
        <f t="shared" ref="DB116:DB127" si="725">+DA116*3.3058</f>
        <v>34567.911918539998</v>
      </c>
      <c r="DC116" s="60">
        <f t="shared" ref="DC116:DC127" si="726">+CA116*EI116</f>
        <v>10170.2601</v>
      </c>
      <c r="DD116" s="59">
        <f t="shared" ref="DD116:DD127" si="727">+DC116*3.3058</f>
        <v>33620.845838579997</v>
      </c>
      <c r="DE116" s="60">
        <f t="shared" ref="DE116:DE127" si="728">+CA116*EJ116</f>
        <v>9883.7738999999983</v>
      </c>
      <c r="DF116" s="59">
        <f t="shared" ref="DF116:DF127" si="729">+DE116*3.3058</f>
        <v>32673.779758619996</v>
      </c>
      <c r="DG116" s="60">
        <f t="shared" ref="DG116:DG127" si="730">+CA116*EK116</f>
        <v>9597.2876999999989</v>
      </c>
      <c r="DH116" s="59">
        <f t="shared" ref="DH116:DH127" si="731">+DG116*3.3058</f>
        <v>31726.713678659999</v>
      </c>
      <c r="DI116" s="60">
        <f t="shared" ref="DI116:DI127" si="732">+CA116*EL116</f>
        <v>9310.8014999999978</v>
      </c>
      <c r="DJ116" s="59">
        <f t="shared" ref="DJ116:DJ127" si="733">+DI116*3.3058</f>
        <v>30779.647598699994</v>
      </c>
      <c r="DK116" s="55">
        <f t="shared" ref="DK116:DK127" si="734">+CA116*EM116</f>
        <v>9024.3152999999984</v>
      </c>
      <c r="DL116" s="59">
        <f t="shared" ref="DL116:DL127" si="735">+DK116*3.3058</f>
        <v>29832.581518739997</v>
      </c>
      <c r="DM116" s="60">
        <f t="shared" ref="DM116:DM127" si="736">+CA116*EN116</f>
        <v>8737.8290999999972</v>
      </c>
      <c r="DN116" s="59">
        <f t="shared" ref="DN116:DN127" si="737">+DM116*3.3058</f>
        <v>28885.515438779992</v>
      </c>
      <c r="DO116" s="60">
        <f t="shared" ref="DO116:DO127" si="738">+CA116*EO116</f>
        <v>8451.3428999999978</v>
      </c>
      <c r="DP116" s="59">
        <f t="shared" ref="DP116:DP127" si="739">+DO116*3.3058</f>
        <v>27938.449358819995</v>
      </c>
      <c r="DQ116" s="55">
        <f t="shared" ref="DQ116:DQ127" si="740">+CA116*EP116</f>
        <v>8164.8566999999966</v>
      </c>
      <c r="DR116" s="59">
        <f t="shared" ref="DR116:DR127" si="741">+DQ116*3.3058</f>
        <v>26991.38327885999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50"/>
        <v>0.91</v>
      </c>
      <c r="DZ116" s="55">
        <f t="shared" si="650"/>
        <v>0.89</v>
      </c>
      <c r="EA116" s="55">
        <f t="shared" si="650"/>
        <v>0.87</v>
      </c>
      <c r="EB116" s="55">
        <f t="shared" si="650"/>
        <v>0.85</v>
      </c>
      <c r="EC116" s="55">
        <f t="shared" si="650"/>
        <v>0.83</v>
      </c>
      <c r="ED116" s="55">
        <f t="shared" si="650"/>
        <v>0.80999999999999994</v>
      </c>
      <c r="EE116" s="55">
        <f t="shared" si="650"/>
        <v>0.78999999999999992</v>
      </c>
      <c r="EF116" s="55">
        <f t="shared" si="650"/>
        <v>0.76999999999999991</v>
      </c>
      <c r="EG116" s="55">
        <f t="shared" si="650"/>
        <v>0.74999999999999989</v>
      </c>
      <c r="EH116" s="55">
        <f t="shared" si="650"/>
        <v>0.72999999999999987</v>
      </c>
      <c r="EI116" s="55">
        <f t="shared" si="650"/>
        <v>0.70999999999999985</v>
      </c>
      <c r="EJ116" s="55">
        <f t="shared" si="650"/>
        <v>0.68999999999999984</v>
      </c>
      <c r="EK116" s="55">
        <f t="shared" si="650"/>
        <v>0.66999999999999982</v>
      </c>
      <c r="EL116" s="55">
        <f t="shared" si="650"/>
        <v>0.6499999999999998</v>
      </c>
      <c r="EM116" s="55">
        <f t="shared" si="650"/>
        <v>0.62999999999999978</v>
      </c>
      <c r="EN116" s="55">
        <f t="shared" si="650"/>
        <v>0.60999999999999976</v>
      </c>
      <c r="EO116" s="55">
        <f t="shared" si="650"/>
        <v>0.58999999999999975</v>
      </c>
      <c r="EP116" s="55">
        <f t="shared" si="650"/>
        <v>0.56999999999999973</v>
      </c>
      <c r="ER116" s="55">
        <f t="shared" si="644"/>
        <v>13035.122100000002</v>
      </c>
      <c r="ES116" s="55">
        <f t="shared" si="507"/>
        <v>13035.122100000002</v>
      </c>
      <c r="ET116" s="59">
        <f t="shared" ref="ET116:ET127" si="742">+ES116*3.3058</f>
        <v>43091.506638180006</v>
      </c>
      <c r="EU116" s="55">
        <f t="shared" ref="EU116:EU127" si="743">+ES116*GN116</f>
        <v>12644.068437000002</v>
      </c>
      <c r="EV116" s="59">
        <f t="shared" ref="EV116:EV127" si="744">+EU116*3.3058</f>
        <v>41798.761439034606</v>
      </c>
      <c r="EW116" s="55">
        <f t="shared" ref="EW116:EW127" si="745">+ES116*GO116</f>
        <v>12383.365995000002</v>
      </c>
      <c r="EX116" s="59">
        <f t="shared" ref="EX116:EX127" si="746">+EW116*3.3058</f>
        <v>40936.931306271006</v>
      </c>
      <c r="EY116" s="55">
        <f t="shared" ref="EY116:EY127" si="747">+ES116*GP116</f>
        <v>12122.663553000002</v>
      </c>
      <c r="EZ116" s="59">
        <f t="shared" ref="EZ116:EZ127" si="748">+EY116*3.3058</f>
        <v>40075.101173507406</v>
      </c>
      <c r="FA116" s="57">
        <f t="shared" ref="FA116:FA127" si="749">+ES116*GQ116</f>
        <v>11861.961111000002</v>
      </c>
      <c r="FB116" s="59">
        <f t="shared" ref="FB116:FB127" si="750">+FA116*3.3058</f>
        <v>39213.271040743806</v>
      </c>
      <c r="FC116" s="55">
        <f t="shared" ref="FC116:FC127" si="751">+ES116*GR116</f>
        <v>11601.258669000003</v>
      </c>
      <c r="FD116" s="59">
        <f t="shared" ref="FD116:FD127" si="752">+FC116*3.3058</f>
        <v>38351.440907980206</v>
      </c>
      <c r="FE116" s="57">
        <f t="shared" ref="FE116:FE127" si="753">+ES116*GS116</f>
        <v>11340.556227000003</v>
      </c>
      <c r="FF116" s="59">
        <f t="shared" ref="FF116:FF127" si="754">+FE116*3.3058</f>
        <v>37489.610775216614</v>
      </c>
      <c r="FG116" s="60">
        <f t="shared" ref="FG116:FG127" si="755">+ES116*GT116</f>
        <v>11079.853785000001</v>
      </c>
      <c r="FH116" s="59">
        <f t="shared" ref="FH116:FH127" si="756">+FG116*3.3058</f>
        <v>36627.780642453006</v>
      </c>
      <c r="FI116" s="57">
        <f t="shared" ref="FI116:FI127" si="757">+ES116*GU116</f>
        <v>10819.151343000001</v>
      </c>
      <c r="FJ116" s="59">
        <f t="shared" ref="FJ116:FJ127" si="758">+FI116*3.3058</f>
        <v>35765.950509689406</v>
      </c>
      <c r="FK116" s="55">
        <f t="shared" ref="FK116:FK127" si="759">+ES116*GV116</f>
        <v>10558.448901000002</v>
      </c>
      <c r="FL116" s="59">
        <f t="shared" ref="FL116:FL127" si="760">+FK116*3.3058</f>
        <v>34904.120376925806</v>
      </c>
      <c r="FM116" s="60">
        <f t="shared" ref="FM116:FM127" si="761">+ES116*GW116</f>
        <v>10297.746459</v>
      </c>
      <c r="FN116" s="59">
        <f t="shared" ref="FN116:FN127" si="762">+FM116*3.3058</f>
        <v>34042.290244162199</v>
      </c>
      <c r="FO116" s="60">
        <f t="shared" ref="FO116:FO127" si="763">+ES116*GX116</f>
        <v>10037.044017</v>
      </c>
      <c r="FP116" s="59">
        <f t="shared" ref="FP116:FP127" si="764">+FO116*3.3058</f>
        <v>33180.460111398599</v>
      </c>
      <c r="FQ116" s="60">
        <f t="shared" ref="FQ116:FQ127" si="765">+ES116*GY116</f>
        <v>9776.3415750000004</v>
      </c>
      <c r="FR116" s="59">
        <f t="shared" ref="FR116:FR127" si="766">+FQ116*3.3058</f>
        <v>32318.629978635003</v>
      </c>
      <c r="FS116" s="55">
        <f t="shared" ref="FS116:FS127" si="767">+ES116*GZ116</f>
        <v>9515.6391330000006</v>
      </c>
      <c r="FT116" s="59">
        <f t="shared" ref="FT116:FT127" si="768">+FS116*3.3058</f>
        <v>31456.799845871403</v>
      </c>
      <c r="FU116" s="60">
        <f t="shared" ref="FU116:FU127" si="769">+ES116*HA116</f>
        <v>9254.936690999999</v>
      </c>
      <c r="FV116" s="59">
        <f t="shared" ref="FV116:FV127" si="770">+FU116*3.3058</f>
        <v>30594.969713107796</v>
      </c>
      <c r="FW116" s="60">
        <f t="shared" ref="FW116:FW127" si="771">+ES116*HB116</f>
        <v>8994.2342489999992</v>
      </c>
      <c r="FX116" s="59">
        <f t="shared" ref="FX116:FX127" si="772">+FW116*3.3058</f>
        <v>29733.139580344199</v>
      </c>
      <c r="FY116" s="60">
        <f t="shared" ref="FY116:FY127" si="773">+ES116*HC116</f>
        <v>8733.5318069999994</v>
      </c>
      <c r="FZ116" s="59">
        <f t="shared" ref="FZ116:FZ127" si="774">+FY116*3.3058</f>
        <v>28871.309447580599</v>
      </c>
      <c r="GA116" s="60">
        <f t="shared" ref="GA116:GA127" si="775">+ES116*HD116</f>
        <v>8472.8293649999996</v>
      </c>
      <c r="GB116" s="59">
        <f t="shared" ref="GB116:GB127" si="776">+GA116*3.3058</f>
        <v>28009.479314816999</v>
      </c>
      <c r="GC116" s="55">
        <f t="shared" ref="GC116:GC127" si="777">+ES116*HE116</f>
        <v>8212.126922999998</v>
      </c>
      <c r="GD116" s="59">
        <f t="shared" ref="GD116:GD127" si="778">+GC116*3.3058</f>
        <v>27147.649182053396</v>
      </c>
      <c r="GE116" s="60">
        <f t="shared" ref="GE116:GE127" si="779">+ES116*HF116</f>
        <v>7951.4244809999982</v>
      </c>
      <c r="GF116" s="59">
        <f t="shared" ref="GF116:GF127" si="780">+GE116*3.3058</f>
        <v>26285.819049289796</v>
      </c>
      <c r="GG116" s="60">
        <f t="shared" ref="GG116:GG127" si="781">+ES116*HG116</f>
        <v>7690.7220389999984</v>
      </c>
      <c r="GH116" s="59">
        <f t="shared" ref="GH116:GH127" si="782">+GG116*3.3058</f>
        <v>25423.988916526196</v>
      </c>
      <c r="GI116" s="55">
        <f t="shared" ref="GI116:GI127" si="783">+ES116*HH116</f>
        <v>7430.0195969999977</v>
      </c>
      <c r="GJ116" s="59">
        <f t="shared" ref="GJ116:GJ127" si="784">+GI116*3.3058</f>
        <v>24562.158783762592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51"/>
        <v>0.91</v>
      </c>
      <c r="GR116" s="55">
        <f t="shared" si="651"/>
        <v>0.89</v>
      </c>
      <c r="GS116" s="55">
        <f t="shared" si="651"/>
        <v>0.87</v>
      </c>
      <c r="GT116" s="55">
        <f t="shared" si="651"/>
        <v>0.85</v>
      </c>
      <c r="GU116" s="55">
        <f t="shared" si="651"/>
        <v>0.83</v>
      </c>
      <c r="GV116" s="55">
        <f t="shared" si="651"/>
        <v>0.80999999999999994</v>
      </c>
      <c r="GW116" s="55">
        <f t="shared" si="651"/>
        <v>0.78999999999999992</v>
      </c>
      <c r="GX116" s="55">
        <f t="shared" si="651"/>
        <v>0.76999999999999991</v>
      </c>
      <c r="GY116" s="55">
        <f t="shared" si="651"/>
        <v>0.74999999999999989</v>
      </c>
      <c r="GZ116" s="55">
        <f t="shared" si="651"/>
        <v>0.72999999999999987</v>
      </c>
      <c r="HA116" s="55">
        <f t="shared" si="651"/>
        <v>0.70999999999999985</v>
      </c>
      <c r="HB116" s="55">
        <f t="shared" si="651"/>
        <v>0.68999999999999984</v>
      </c>
      <c r="HC116" s="55">
        <f t="shared" si="651"/>
        <v>0.66999999999999982</v>
      </c>
      <c r="HD116" s="55">
        <f t="shared" si="651"/>
        <v>0.6499999999999998</v>
      </c>
      <c r="HE116" s="55">
        <f t="shared" si="651"/>
        <v>0.62999999999999978</v>
      </c>
      <c r="HF116" s="55">
        <f t="shared" si="651"/>
        <v>0.60999999999999976</v>
      </c>
      <c r="HG116" s="55">
        <f t="shared" si="651"/>
        <v>0.58999999999999975</v>
      </c>
      <c r="HH116" s="55">
        <f t="shared" si="651"/>
        <v>0.56999999999999973</v>
      </c>
    </row>
    <row r="117" spans="1:216" x14ac:dyDescent="0.3">
      <c r="A117" s="2">
        <v>2</v>
      </c>
      <c r="C117" s="38" t="s">
        <v>125</v>
      </c>
      <c r="D117" s="42">
        <v>0</v>
      </c>
      <c r="E117" s="86">
        <f>TRUNC(+D117*3.3058,-1)</f>
        <v>0</v>
      </c>
      <c r="H117" s="55">
        <f t="shared" si="502"/>
        <v>0</v>
      </c>
      <c r="I117" s="55">
        <f t="shared" si="503"/>
        <v>0</v>
      </c>
      <c r="J117" s="59">
        <f t="shared" si="504"/>
        <v>0</v>
      </c>
      <c r="K117" s="55">
        <f t="shared" si="656"/>
        <v>0</v>
      </c>
      <c r="L117" s="59">
        <f t="shared" si="657"/>
        <v>0</v>
      </c>
      <c r="M117" s="55">
        <f t="shared" si="658"/>
        <v>0</v>
      </c>
      <c r="N117" s="59">
        <f t="shared" si="659"/>
        <v>0</v>
      </c>
      <c r="O117" s="55">
        <f t="shared" si="660"/>
        <v>0</v>
      </c>
      <c r="P117" s="59">
        <f t="shared" si="661"/>
        <v>0</v>
      </c>
      <c r="Q117" s="57">
        <f t="shared" si="662"/>
        <v>0</v>
      </c>
      <c r="R117" s="59">
        <f t="shared" si="663"/>
        <v>0</v>
      </c>
      <c r="S117" s="55">
        <f t="shared" si="664"/>
        <v>0</v>
      </c>
      <c r="T117" s="59">
        <f t="shared" si="665"/>
        <v>0</v>
      </c>
      <c r="U117" s="57">
        <f t="shared" si="666"/>
        <v>0</v>
      </c>
      <c r="V117" s="59">
        <f t="shared" si="667"/>
        <v>0</v>
      </c>
      <c r="W117" s="60">
        <f t="shared" si="668"/>
        <v>0</v>
      </c>
      <c r="X117" s="59">
        <f t="shared" si="669"/>
        <v>0</v>
      </c>
      <c r="Y117" s="57">
        <f t="shared" si="670"/>
        <v>0</v>
      </c>
      <c r="Z117" s="59">
        <f t="shared" si="671"/>
        <v>0</v>
      </c>
      <c r="AA117" s="55">
        <f t="shared" si="672"/>
        <v>0</v>
      </c>
      <c r="AB117" s="59">
        <f t="shared" si="673"/>
        <v>0</v>
      </c>
      <c r="AC117" s="60">
        <f t="shared" si="674"/>
        <v>0</v>
      </c>
      <c r="AD117" s="59">
        <f t="shared" si="675"/>
        <v>0</v>
      </c>
      <c r="AE117" s="60">
        <f t="shared" si="676"/>
        <v>0</v>
      </c>
      <c r="AF117" s="59">
        <f t="shared" si="677"/>
        <v>0</v>
      </c>
      <c r="AG117" s="60">
        <f t="shared" si="678"/>
        <v>0</v>
      </c>
      <c r="AH117" s="59">
        <f t="shared" si="679"/>
        <v>0</v>
      </c>
      <c r="AI117" s="55">
        <f t="shared" si="680"/>
        <v>0</v>
      </c>
      <c r="AJ117" s="59">
        <f t="shared" si="681"/>
        <v>0</v>
      </c>
      <c r="AK117" s="60">
        <f t="shared" si="682"/>
        <v>0</v>
      </c>
      <c r="AL117" s="59">
        <f t="shared" si="683"/>
        <v>0</v>
      </c>
      <c r="AM117" s="60">
        <f t="shared" si="684"/>
        <v>0</v>
      </c>
      <c r="AN117" s="59">
        <f t="shared" si="685"/>
        <v>0</v>
      </c>
      <c r="AO117" s="60">
        <f t="shared" si="686"/>
        <v>0</v>
      </c>
      <c r="AP117" s="59">
        <f t="shared" si="687"/>
        <v>0</v>
      </c>
      <c r="AQ117" s="60">
        <f t="shared" si="688"/>
        <v>0</v>
      </c>
      <c r="AR117" s="59">
        <f t="shared" si="689"/>
        <v>0</v>
      </c>
      <c r="AS117" s="55">
        <f t="shared" si="690"/>
        <v>0</v>
      </c>
      <c r="AT117" s="59">
        <f t="shared" si="691"/>
        <v>0</v>
      </c>
      <c r="AU117" s="60">
        <f t="shared" si="692"/>
        <v>0</v>
      </c>
      <c r="AV117" s="59">
        <f t="shared" si="693"/>
        <v>0</v>
      </c>
      <c r="AW117" s="60">
        <f t="shared" si="694"/>
        <v>0</v>
      </c>
      <c r="AX117" s="59">
        <f t="shared" si="695"/>
        <v>0</v>
      </c>
      <c r="AY117" s="55">
        <f t="shared" si="696"/>
        <v>0</v>
      </c>
      <c r="AZ117" s="59">
        <f t="shared" si="697"/>
        <v>0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698"/>
        <v>0.91</v>
      </c>
      <c r="BH117" s="55">
        <f t="shared" si="698"/>
        <v>0.89</v>
      </c>
      <c r="BI117" s="55">
        <f t="shared" si="698"/>
        <v>0.87</v>
      </c>
      <c r="BJ117" s="55">
        <f t="shared" si="698"/>
        <v>0.85</v>
      </c>
      <c r="BK117" s="55">
        <f t="shared" si="698"/>
        <v>0.83</v>
      </c>
      <c r="BL117" s="55">
        <f t="shared" si="698"/>
        <v>0.80999999999999994</v>
      </c>
      <c r="BM117" s="55">
        <f t="shared" si="698"/>
        <v>0.78999999999999992</v>
      </c>
      <c r="BN117" s="55">
        <f t="shared" si="698"/>
        <v>0.76999999999999991</v>
      </c>
      <c r="BO117" s="55">
        <f t="shared" si="698"/>
        <v>0.74999999999999989</v>
      </c>
      <c r="BP117" s="55">
        <f t="shared" si="698"/>
        <v>0.72999999999999987</v>
      </c>
      <c r="BQ117" s="55">
        <f t="shared" si="698"/>
        <v>0.70999999999999985</v>
      </c>
      <c r="BR117" s="55">
        <f t="shared" si="698"/>
        <v>0.68999999999999984</v>
      </c>
      <c r="BS117" s="55">
        <f t="shared" si="698"/>
        <v>0.66999999999999982</v>
      </c>
      <c r="BT117" s="55">
        <f t="shared" si="698"/>
        <v>0.6499999999999998</v>
      </c>
      <c r="BU117" s="55">
        <f t="shared" si="698"/>
        <v>0.62999999999999978</v>
      </c>
      <c r="BV117" s="55">
        <f t="shared" si="698"/>
        <v>0.60999999999999976</v>
      </c>
      <c r="BW117" s="55">
        <f t="shared" si="698"/>
        <v>0.58999999999999975</v>
      </c>
      <c r="BX117" s="55">
        <f t="shared" si="698"/>
        <v>0.56999999999999973</v>
      </c>
      <c r="BZ117" s="55">
        <f t="shared" si="505"/>
        <v>0</v>
      </c>
      <c r="CA117" s="55">
        <f t="shared" si="506"/>
        <v>0</v>
      </c>
      <c r="CB117" s="59">
        <f t="shared" si="699"/>
        <v>0</v>
      </c>
      <c r="CC117" s="55">
        <f t="shared" si="700"/>
        <v>0</v>
      </c>
      <c r="CD117" s="59">
        <f t="shared" si="701"/>
        <v>0</v>
      </c>
      <c r="CE117" s="55">
        <f t="shared" si="702"/>
        <v>0</v>
      </c>
      <c r="CF117" s="59">
        <f t="shared" si="703"/>
        <v>0</v>
      </c>
      <c r="CG117" s="55">
        <f t="shared" si="704"/>
        <v>0</v>
      </c>
      <c r="CH117" s="59">
        <f t="shared" si="705"/>
        <v>0</v>
      </c>
      <c r="CI117" s="57">
        <f t="shared" si="706"/>
        <v>0</v>
      </c>
      <c r="CJ117" s="59">
        <f t="shared" si="707"/>
        <v>0</v>
      </c>
      <c r="CK117" s="55">
        <f t="shared" si="708"/>
        <v>0</v>
      </c>
      <c r="CL117" s="59">
        <f t="shared" si="709"/>
        <v>0</v>
      </c>
      <c r="CM117" s="57">
        <f t="shared" si="710"/>
        <v>0</v>
      </c>
      <c r="CN117" s="59">
        <f t="shared" si="711"/>
        <v>0</v>
      </c>
      <c r="CO117" s="60">
        <f t="shared" si="712"/>
        <v>0</v>
      </c>
      <c r="CP117" s="59">
        <f t="shared" si="713"/>
        <v>0</v>
      </c>
      <c r="CQ117" s="57">
        <f t="shared" si="714"/>
        <v>0</v>
      </c>
      <c r="CR117" s="59">
        <f t="shared" si="715"/>
        <v>0</v>
      </c>
      <c r="CS117" s="55">
        <f t="shared" si="716"/>
        <v>0</v>
      </c>
      <c r="CT117" s="59">
        <f t="shared" si="717"/>
        <v>0</v>
      </c>
      <c r="CU117" s="60">
        <f t="shared" si="718"/>
        <v>0</v>
      </c>
      <c r="CV117" s="59">
        <f t="shared" si="719"/>
        <v>0</v>
      </c>
      <c r="CW117" s="60">
        <f t="shared" si="720"/>
        <v>0</v>
      </c>
      <c r="CX117" s="59">
        <f t="shared" si="721"/>
        <v>0</v>
      </c>
      <c r="CY117" s="60">
        <f t="shared" si="722"/>
        <v>0</v>
      </c>
      <c r="CZ117" s="59">
        <f t="shared" si="723"/>
        <v>0</v>
      </c>
      <c r="DA117" s="55">
        <f t="shared" si="724"/>
        <v>0</v>
      </c>
      <c r="DB117" s="59">
        <f t="shared" si="725"/>
        <v>0</v>
      </c>
      <c r="DC117" s="60">
        <f t="shared" si="726"/>
        <v>0</v>
      </c>
      <c r="DD117" s="59">
        <f t="shared" si="727"/>
        <v>0</v>
      </c>
      <c r="DE117" s="60">
        <f t="shared" si="728"/>
        <v>0</v>
      </c>
      <c r="DF117" s="59">
        <f t="shared" si="729"/>
        <v>0</v>
      </c>
      <c r="DG117" s="60">
        <f t="shared" si="730"/>
        <v>0</v>
      </c>
      <c r="DH117" s="59">
        <f t="shared" si="731"/>
        <v>0</v>
      </c>
      <c r="DI117" s="60">
        <f t="shared" si="732"/>
        <v>0</v>
      </c>
      <c r="DJ117" s="59">
        <f t="shared" si="733"/>
        <v>0</v>
      </c>
      <c r="DK117" s="55">
        <f t="shared" si="734"/>
        <v>0</v>
      </c>
      <c r="DL117" s="59">
        <f t="shared" si="735"/>
        <v>0</v>
      </c>
      <c r="DM117" s="60">
        <f t="shared" si="736"/>
        <v>0</v>
      </c>
      <c r="DN117" s="59">
        <f t="shared" si="737"/>
        <v>0</v>
      </c>
      <c r="DO117" s="60">
        <f t="shared" si="738"/>
        <v>0</v>
      </c>
      <c r="DP117" s="59">
        <f t="shared" si="739"/>
        <v>0</v>
      </c>
      <c r="DQ117" s="55">
        <f t="shared" si="740"/>
        <v>0</v>
      </c>
      <c r="DR117" s="59">
        <f t="shared" si="741"/>
        <v>0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50"/>
        <v>0.91</v>
      </c>
      <c r="DZ117" s="55">
        <f t="shared" si="650"/>
        <v>0.89</v>
      </c>
      <c r="EA117" s="55">
        <f t="shared" si="650"/>
        <v>0.87</v>
      </c>
      <c r="EB117" s="55">
        <f t="shared" si="650"/>
        <v>0.85</v>
      </c>
      <c r="EC117" s="55">
        <f t="shared" si="650"/>
        <v>0.83</v>
      </c>
      <c r="ED117" s="55">
        <f t="shared" si="650"/>
        <v>0.80999999999999994</v>
      </c>
      <c r="EE117" s="55">
        <f t="shared" si="650"/>
        <v>0.78999999999999992</v>
      </c>
      <c r="EF117" s="55">
        <f t="shared" si="650"/>
        <v>0.76999999999999991</v>
      </c>
      <c r="EG117" s="55">
        <f t="shared" si="650"/>
        <v>0.74999999999999989</v>
      </c>
      <c r="EH117" s="55">
        <f t="shared" si="650"/>
        <v>0.72999999999999987</v>
      </c>
      <c r="EI117" s="55">
        <f t="shared" si="650"/>
        <v>0.70999999999999985</v>
      </c>
      <c r="EJ117" s="55">
        <f t="shared" si="650"/>
        <v>0.68999999999999984</v>
      </c>
      <c r="EK117" s="55">
        <f t="shared" si="650"/>
        <v>0.66999999999999982</v>
      </c>
      <c r="EL117" s="55">
        <f t="shared" si="650"/>
        <v>0.6499999999999998</v>
      </c>
      <c r="EM117" s="55">
        <f t="shared" si="650"/>
        <v>0.62999999999999978</v>
      </c>
      <c r="EN117" s="55">
        <f t="shared" si="650"/>
        <v>0.60999999999999976</v>
      </c>
      <c r="EO117" s="55">
        <f t="shared" si="650"/>
        <v>0.58999999999999975</v>
      </c>
      <c r="EP117" s="55">
        <f t="shared" si="650"/>
        <v>0.56999999999999973</v>
      </c>
      <c r="ER117" s="55">
        <f t="shared" si="644"/>
        <v>0</v>
      </c>
      <c r="ES117" s="55">
        <f t="shared" si="507"/>
        <v>0</v>
      </c>
      <c r="ET117" s="59">
        <f t="shared" si="742"/>
        <v>0</v>
      </c>
      <c r="EU117" s="55">
        <f t="shared" si="743"/>
        <v>0</v>
      </c>
      <c r="EV117" s="59">
        <f t="shared" si="744"/>
        <v>0</v>
      </c>
      <c r="EW117" s="55">
        <f t="shared" si="745"/>
        <v>0</v>
      </c>
      <c r="EX117" s="59">
        <f t="shared" si="746"/>
        <v>0</v>
      </c>
      <c r="EY117" s="55">
        <f t="shared" si="747"/>
        <v>0</v>
      </c>
      <c r="EZ117" s="59">
        <f t="shared" si="748"/>
        <v>0</v>
      </c>
      <c r="FA117" s="57">
        <f t="shared" si="749"/>
        <v>0</v>
      </c>
      <c r="FB117" s="59">
        <f t="shared" si="750"/>
        <v>0</v>
      </c>
      <c r="FC117" s="55">
        <f t="shared" si="751"/>
        <v>0</v>
      </c>
      <c r="FD117" s="59">
        <f t="shared" si="752"/>
        <v>0</v>
      </c>
      <c r="FE117" s="57">
        <f t="shared" si="753"/>
        <v>0</v>
      </c>
      <c r="FF117" s="59">
        <f t="shared" si="754"/>
        <v>0</v>
      </c>
      <c r="FG117" s="60">
        <f t="shared" si="755"/>
        <v>0</v>
      </c>
      <c r="FH117" s="59">
        <f t="shared" si="756"/>
        <v>0</v>
      </c>
      <c r="FI117" s="57">
        <f t="shared" si="757"/>
        <v>0</v>
      </c>
      <c r="FJ117" s="59">
        <f t="shared" si="758"/>
        <v>0</v>
      </c>
      <c r="FK117" s="55">
        <f t="shared" si="759"/>
        <v>0</v>
      </c>
      <c r="FL117" s="59">
        <f t="shared" si="760"/>
        <v>0</v>
      </c>
      <c r="FM117" s="60">
        <f t="shared" si="761"/>
        <v>0</v>
      </c>
      <c r="FN117" s="59">
        <f t="shared" si="762"/>
        <v>0</v>
      </c>
      <c r="FO117" s="60">
        <f t="shared" si="763"/>
        <v>0</v>
      </c>
      <c r="FP117" s="59">
        <f t="shared" si="764"/>
        <v>0</v>
      </c>
      <c r="FQ117" s="60">
        <f t="shared" si="765"/>
        <v>0</v>
      </c>
      <c r="FR117" s="59">
        <f t="shared" si="766"/>
        <v>0</v>
      </c>
      <c r="FS117" s="55">
        <f t="shared" si="767"/>
        <v>0</v>
      </c>
      <c r="FT117" s="59">
        <f t="shared" si="768"/>
        <v>0</v>
      </c>
      <c r="FU117" s="60">
        <f t="shared" si="769"/>
        <v>0</v>
      </c>
      <c r="FV117" s="59">
        <f t="shared" si="770"/>
        <v>0</v>
      </c>
      <c r="FW117" s="60">
        <f t="shared" si="771"/>
        <v>0</v>
      </c>
      <c r="FX117" s="59">
        <f t="shared" si="772"/>
        <v>0</v>
      </c>
      <c r="FY117" s="60">
        <f t="shared" si="773"/>
        <v>0</v>
      </c>
      <c r="FZ117" s="59">
        <f t="shared" si="774"/>
        <v>0</v>
      </c>
      <c r="GA117" s="60">
        <f t="shared" si="775"/>
        <v>0</v>
      </c>
      <c r="GB117" s="59">
        <f t="shared" si="776"/>
        <v>0</v>
      </c>
      <c r="GC117" s="55">
        <f t="shared" si="777"/>
        <v>0</v>
      </c>
      <c r="GD117" s="59">
        <f t="shared" si="778"/>
        <v>0</v>
      </c>
      <c r="GE117" s="60">
        <f t="shared" si="779"/>
        <v>0</v>
      </c>
      <c r="GF117" s="59">
        <f t="shared" si="780"/>
        <v>0</v>
      </c>
      <c r="GG117" s="60">
        <f t="shared" si="781"/>
        <v>0</v>
      </c>
      <c r="GH117" s="59">
        <f t="shared" si="782"/>
        <v>0</v>
      </c>
      <c r="GI117" s="55">
        <f t="shared" si="783"/>
        <v>0</v>
      </c>
      <c r="GJ117" s="59">
        <f t="shared" si="784"/>
        <v>0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51"/>
        <v>0.91</v>
      </c>
      <c r="GR117" s="55">
        <f t="shared" si="651"/>
        <v>0.89</v>
      </c>
      <c r="GS117" s="55">
        <f t="shared" si="651"/>
        <v>0.87</v>
      </c>
      <c r="GT117" s="55">
        <f t="shared" si="651"/>
        <v>0.85</v>
      </c>
      <c r="GU117" s="55">
        <f t="shared" si="651"/>
        <v>0.83</v>
      </c>
      <c r="GV117" s="55">
        <f t="shared" si="651"/>
        <v>0.80999999999999994</v>
      </c>
      <c r="GW117" s="55">
        <f t="shared" si="651"/>
        <v>0.78999999999999992</v>
      </c>
      <c r="GX117" s="55">
        <f t="shared" si="651"/>
        <v>0.76999999999999991</v>
      </c>
      <c r="GY117" s="55">
        <f t="shared" si="651"/>
        <v>0.74999999999999989</v>
      </c>
      <c r="GZ117" s="55">
        <f t="shared" si="651"/>
        <v>0.72999999999999987</v>
      </c>
      <c r="HA117" s="55">
        <f t="shared" si="651"/>
        <v>0.70999999999999985</v>
      </c>
      <c r="HB117" s="55">
        <f t="shared" si="651"/>
        <v>0.68999999999999984</v>
      </c>
      <c r="HC117" s="55">
        <f t="shared" si="651"/>
        <v>0.66999999999999982</v>
      </c>
      <c r="HD117" s="55">
        <f t="shared" si="651"/>
        <v>0.6499999999999998</v>
      </c>
      <c r="HE117" s="55">
        <f t="shared" si="651"/>
        <v>0.62999999999999978</v>
      </c>
      <c r="HF117" s="55">
        <f t="shared" si="651"/>
        <v>0.60999999999999976</v>
      </c>
      <c r="HG117" s="55">
        <f t="shared" si="651"/>
        <v>0.58999999999999975</v>
      </c>
      <c r="HH117" s="55">
        <f t="shared" si="651"/>
        <v>0.56999999999999973</v>
      </c>
    </row>
    <row r="118" spans="1:216" x14ac:dyDescent="0.3">
      <c r="A118" s="2">
        <v>3</v>
      </c>
      <c r="C118" s="38" t="s">
        <v>153</v>
      </c>
      <c r="D118" s="42">
        <f>TRUNC(1363,-1)</f>
        <v>1360</v>
      </c>
      <c r="E118" s="86">
        <f>TRUNC(+D118*3.3058,-1)</f>
        <v>4490</v>
      </c>
      <c r="H118" s="55">
        <f t="shared" si="502"/>
        <v>4939</v>
      </c>
      <c r="I118" s="55">
        <f t="shared" si="503"/>
        <v>4939</v>
      </c>
      <c r="J118" s="59">
        <f t="shared" si="504"/>
        <v>16327.3462</v>
      </c>
      <c r="K118" s="55">
        <f t="shared" si="656"/>
        <v>4790.83</v>
      </c>
      <c r="L118" s="59">
        <f t="shared" si="657"/>
        <v>15837.525814000001</v>
      </c>
      <c r="M118" s="55">
        <f t="shared" si="658"/>
        <v>4692.05</v>
      </c>
      <c r="N118" s="59">
        <f t="shared" si="659"/>
        <v>15510.97889</v>
      </c>
      <c r="O118" s="55">
        <f t="shared" si="660"/>
        <v>4593.2700000000004</v>
      </c>
      <c r="P118" s="59">
        <f t="shared" si="661"/>
        <v>15184.431966000002</v>
      </c>
      <c r="Q118" s="57">
        <f t="shared" si="662"/>
        <v>4494.49</v>
      </c>
      <c r="R118" s="59">
        <f t="shared" si="663"/>
        <v>14857.885042</v>
      </c>
      <c r="S118" s="55">
        <f t="shared" si="664"/>
        <v>4395.71</v>
      </c>
      <c r="T118" s="59">
        <f t="shared" si="665"/>
        <v>14531.338118</v>
      </c>
      <c r="U118" s="57">
        <f t="shared" si="666"/>
        <v>4296.93</v>
      </c>
      <c r="V118" s="59">
        <f t="shared" si="667"/>
        <v>14204.791194000001</v>
      </c>
      <c r="W118" s="60">
        <f t="shared" si="668"/>
        <v>4198.1499999999996</v>
      </c>
      <c r="X118" s="59">
        <f t="shared" si="669"/>
        <v>13878.244269999999</v>
      </c>
      <c r="Y118" s="57">
        <f t="shared" si="670"/>
        <v>4099.37</v>
      </c>
      <c r="Z118" s="59">
        <f t="shared" si="671"/>
        <v>13551.697346000001</v>
      </c>
      <c r="AA118" s="55">
        <f t="shared" si="672"/>
        <v>4000.5899999999997</v>
      </c>
      <c r="AB118" s="59">
        <f t="shared" si="673"/>
        <v>13225.150421999999</v>
      </c>
      <c r="AC118" s="60">
        <f t="shared" si="674"/>
        <v>3901.8099999999995</v>
      </c>
      <c r="AD118" s="59">
        <f t="shared" si="675"/>
        <v>12898.603497999999</v>
      </c>
      <c r="AE118" s="60">
        <f t="shared" si="676"/>
        <v>3803.0299999999997</v>
      </c>
      <c r="AF118" s="59">
        <f t="shared" si="677"/>
        <v>12572.056574</v>
      </c>
      <c r="AG118" s="60">
        <f t="shared" si="678"/>
        <v>3704.2499999999995</v>
      </c>
      <c r="AH118" s="59">
        <f t="shared" si="679"/>
        <v>12245.509649999998</v>
      </c>
      <c r="AI118" s="55">
        <f t="shared" si="680"/>
        <v>3605.4699999999993</v>
      </c>
      <c r="AJ118" s="59">
        <f t="shared" si="681"/>
        <v>11918.962725999998</v>
      </c>
      <c r="AK118" s="60">
        <f t="shared" si="682"/>
        <v>3506.6899999999991</v>
      </c>
      <c r="AL118" s="59">
        <f t="shared" si="683"/>
        <v>11592.415801999998</v>
      </c>
      <c r="AM118" s="60">
        <f t="shared" si="684"/>
        <v>3407.9099999999994</v>
      </c>
      <c r="AN118" s="59">
        <f t="shared" si="685"/>
        <v>11265.868877999997</v>
      </c>
      <c r="AO118" s="60">
        <f t="shared" si="686"/>
        <v>3309.1299999999992</v>
      </c>
      <c r="AP118" s="59">
        <f t="shared" si="687"/>
        <v>10939.321953999997</v>
      </c>
      <c r="AQ118" s="60">
        <f t="shared" si="688"/>
        <v>3210.349999999999</v>
      </c>
      <c r="AR118" s="59">
        <f t="shared" si="689"/>
        <v>10612.775029999997</v>
      </c>
      <c r="AS118" s="55">
        <f t="shared" si="690"/>
        <v>3111.5699999999988</v>
      </c>
      <c r="AT118" s="59">
        <f t="shared" si="691"/>
        <v>10286.228105999997</v>
      </c>
      <c r="AU118" s="60">
        <f t="shared" si="692"/>
        <v>3012.7899999999991</v>
      </c>
      <c r="AV118" s="59">
        <f t="shared" si="693"/>
        <v>9959.6811819999966</v>
      </c>
      <c r="AW118" s="60">
        <f t="shared" si="694"/>
        <v>2914.0099999999989</v>
      </c>
      <c r="AX118" s="59">
        <f t="shared" si="695"/>
        <v>9633.1342579999964</v>
      </c>
      <c r="AY118" s="55">
        <f t="shared" si="696"/>
        <v>2815.2299999999987</v>
      </c>
      <c r="AZ118" s="59">
        <f t="shared" si="697"/>
        <v>9306.5873339999962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698"/>
        <v>0.91</v>
      </c>
      <c r="BH118" s="55">
        <f t="shared" si="698"/>
        <v>0.89</v>
      </c>
      <c r="BI118" s="55">
        <f t="shared" si="698"/>
        <v>0.87</v>
      </c>
      <c r="BJ118" s="55">
        <f t="shared" si="698"/>
        <v>0.85</v>
      </c>
      <c r="BK118" s="55">
        <f t="shared" si="698"/>
        <v>0.83</v>
      </c>
      <c r="BL118" s="55">
        <f t="shared" si="698"/>
        <v>0.80999999999999994</v>
      </c>
      <c r="BM118" s="55">
        <f t="shared" si="698"/>
        <v>0.78999999999999992</v>
      </c>
      <c r="BN118" s="55">
        <f t="shared" si="698"/>
        <v>0.76999999999999991</v>
      </c>
      <c r="BO118" s="55">
        <f t="shared" si="698"/>
        <v>0.74999999999999989</v>
      </c>
      <c r="BP118" s="55">
        <f t="shared" si="698"/>
        <v>0.72999999999999987</v>
      </c>
      <c r="BQ118" s="55">
        <f t="shared" si="698"/>
        <v>0.70999999999999985</v>
      </c>
      <c r="BR118" s="55">
        <f t="shared" si="698"/>
        <v>0.68999999999999984</v>
      </c>
      <c r="BS118" s="55">
        <f t="shared" si="698"/>
        <v>0.66999999999999982</v>
      </c>
      <c r="BT118" s="55">
        <f t="shared" si="698"/>
        <v>0.6499999999999998</v>
      </c>
      <c r="BU118" s="55">
        <f t="shared" si="698"/>
        <v>0.62999999999999978</v>
      </c>
      <c r="BV118" s="55">
        <f t="shared" si="698"/>
        <v>0.60999999999999976</v>
      </c>
      <c r="BW118" s="55">
        <f t="shared" si="698"/>
        <v>0.58999999999999975</v>
      </c>
      <c r="BX118" s="55">
        <f t="shared" si="698"/>
        <v>0.56999999999999973</v>
      </c>
      <c r="BZ118" s="55">
        <f t="shared" si="505"/>
        <v>4494.49</v>
      </c>
      <c r="CA118" s="55">
        <f t="shared" si="506"/>
        <v>4494.49</v>
      </c>
      <c r="CB118" s="59">
        <f t="shared" si="699"/>
        <v>14857.885042</v>
      </c>
      <c r="CC118" s="55">
        <f t="shared" si="700"/>
        <v>4359.6552999999994</v>
      </c>
      <c r="CD118" s="59">
        <f t="shared" si="701"/>
        <v>14412.148490739999</v>
      </c>
      <c r="CE118" s="55">
        <f t="shared" si="702"/>
        <v>4269.7654999999995</v>
      </c>
      <c r="CF118" s="59">
        <f t="shared" si="703"/>
        <v>14114.990789899999</v>
      </c>
      <c r="CG118" s="55">
        <f t="shared" si="704"/>
        <v>4179.8756999999996</v>
      </c>
      <c r="CH118" s="59">
        <f t="shared" si="705"/>
        <v>13817.833089059999</v>
      </c>
      <c r="CI118" s="57">
        <f t="shared" si="706"/>
        <v>4089.9859000000001</v>
      </c>
      <c r="CJ118" s="59">
        <f t="shared" si="707"/>
        <v>13520.675388220001</v>
      </c>
      <c r="CK118" s="55">
        <f t="shared" si="708"/>
        <v>4000.0960999999998</v>
      </c>
      <c r="CL118" s="59">
        <f t="shared" si="709"/>
        <v>13223.517687379999</v>
      </c>
      <c r="CM118" s="57">
        <f t="shared" si="710"/>
        <v>3910.2062999999998</v>
      </c>
      <c r="CN118" s="59">
        <f t="shared" si="711"/>
        <v>12926.359986539999</v>
      </c>
      <c r="CO118" s="60">
        <f t="shared" si="712"/>
        <v>3820.3164999999999</v>
      </c>
      <c r="CP118" s="59">
        <f t="shared" si="713"/>
        <v>12629.202285699999</v>
      </c>
      <c r="CQ118" s="57">
        <f t="shared" si="714"/>
        <v>3730.4266999999995</v>
      </c>
      <c r="CR118" s="59">
        <f t="shared" si="715"/>
        <v>12332.044584859999</v>
      </c>
      <c r="CS118" s="55">
        <f t="shared" si="716"/>
        <v>3640.5368999999996</v>
      </c>
      <c r="CT118" s="59">
        <f t="shared" si="717"/>
        <v>12034.886884019999</v>
      </c>
      <c r="CU118" s="60">
        <f t="shared" si="718"/>
        <v>3550.6470999999997</v>
      </c>
      <c r="CV118" s="59">
        <f t="shared" si="719"/>
        <v>11737.729183179999</v>
      </c>
      <c r="CW118" s="60">
        <f t="shared" si="720"/>
        <v>3460.7572999999993</v>
      </c>
      <c r="CX118" s="59">
        <f t="shared" si="721"/>
        <v>11440.571482339998</v>
      </c>
      <c r="CY118" s="60">
        <f t="shared" si="722"/>
        <v>3370.8674999999994</v>
      </c>
      <c r="CZ118" s="59">
        <f t="shared" si="723"/>
        <v>11143.413781499998</v>
      </c>
      <c r="DA118" s="55">
        <f t="shared" si="724"/>
        <v>3280.9776999999995</v>
      </c>
      <c r="DB118" s="59">
        <f t="shared" si="725"/>
        <v>10846.256080659998</v>
      </c>
      <c r="DC118" s="60">
        <f t="shared" si="726"/>
        <v>3191.0878999999991</v>
      </c>
      <c r="DD118" s="59">
        <f t="shared" si="727"/>
        <v>10549.098379819998</v>
      </c>
      <c r="DE118" s="60">
        <f t="shared" si="728"/>
        <v>3101.1980999999992</v>
      </c>
      <c r="DF118" s="59">
        <f t="shared" si="729"/>
        <v>10251.940678979998</v>
      </c>
      <c r="DG118" s="60">
        <f t="shared" si="730"/>
        <v>3011.3082999999992</v>
      </c>
      <c r="DH118" s="59">
        <f t="shared" si="731"/>
        <v>9954.7829781399978</v>
      </c>
      <c r="DI118" s="60">
        <f t="shared" si="732"/>
        <v>2921.4184999999989</v>
      </c>
      <c r="DJ118" s="59">
        <f t="shared" si="733"/>
        <v>9657.625277299996</v>
      </c>
      <c r="DK118" s="55">
        <f t="shared" si="734"/>
        <v>2831.5286999999989</v>
      </c>
      <c r="DL118" s="59">
        <f t="shared" si="735"/>
        <v>9360.4675764599961</v>
      </c>
      <c r="DM118" s="60">
        <f t="shared" si="736"/>
        <v>2741.638899999999</v>
      </c>
      <c r="DN118" s="59">
        <f t="shared" si="737"/>
        <v>9063.3098756199961</v>
      </c>
      <c r="DO118" s="60">
        <f t="shared" si="738"/>
        <v>2651.7490999999986</v>
      </c>
      <c r="DP118" s="59">
        <f t="shared" si="739"/>
        <v>8766.1521747799961</v>
      </c>
      <c r="DQ118" s="55">
        <f t="shared" si="740"/>
        <v>2561.8592999999987</v>
      </c>
      <c r="DR118" s="59">
        <f t="shared" si="741"/>
        <v>8468.9944739399962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50"/>
        <v>0.91</v>
      </c>
      <c r="DZ118" s="55">
        <f t="shared" si="650"/>
        <v>0.89</v>
      </c>
      <c r="EA118" s="55">
        <f t="shared" si="650"/>
        <v>0.87</v>
      </c>
      <c r="EB118" s="55">
        <f t="shared" si="650"/>
        <v>0.85</v>
      </c>
      <c r="EC118" s="55">
        <f t="shared" si="650"/>
        <v>0.83</v>
      </c>
      <c r="ED118" s="55">
        <f t="shared" si="650"/>
        <v>0.80999999999999994</v>
      </c>
      <c r="EE118" s="55">
        <f t="shared" si="650"/>
        <v>0.78999999999999992</v>
      </c>
      <c r="EF118" s="55">
        <f t="shared" si="650"/>
        <v>0.76999999999999991</v>
      </c>
      <c r="EG118" s="55">
        <f t="shared" si="650"/>
        <v>0.74999999999999989</v>
      </c>
      <c r="EH118" s="55">
        <f t="shared" si="650"/>
        <v>0.72999999999999987</v>
      </c>
      <c r="EI118" s="55">
        <f t="shared" si="650"/>
        <v>0.70999999999999985</v>
      </c>
      <c r="EJ118" s="55">
        <f t="shared" si="650"/>
        <v>0.68999999999999984</v>
      </c>
      <c r="EK118" s="55">
        <f t="shared" si="650"/>
        <v>0.66999999999999982</v>
      </c>
      <c r="EL118" s="55">
        <f t="shared" si="650"/>
        <v>0.6499999999999998</v>
      </c>
      <c r="EM118" s="55">
        <f t="shared" si="650"/>
        <v>0.62999999999999978</v>
      </c>
      <c r="EN118" s="55">
        <f t="shared" si="650"/>
        <v>0.60999999999999976</v>
      </c>
      <c r="EO118" s="55">
        <f t="shared" si="650"/>
        <v>0.58999999999999975</v>
      </c>
      <c r="EP118" s="55">
        <f t="shared" si="650"/>
        <v>0.56999999999999973</v>
      </c>
      <c r="ER118" s="55">
        <f t="shared" si="644"/>
        <v>4089.9859000000001</v>
      </c>
      <c r="ES118" s="55">
        <f t="shared" si="507"/>
        <v>4089.9859000000001</v>
      </c>
      <c r="ET118" s="59">
        <f t="shared" si="742"/>
        <v>13520.675388220001</v>
      </c>
      <c r="EU118" s="55">
        <f t="shared" si="743"/>
        <v>3967.2863229999998</v>
      </c>
      <c r="EV118" s="59">
        <f t="shared" si="744"/>
        <v>13115.055126573399</v>
      </c>
      <c r="EW118" s="55">
        <f t="shared" si="745"/>
        <v>3885.4866050000001</v>
      </c>
      <c r="EX118" s="59">
        <f t="shared" si="746"/>
        <v>12844.641618809001</v>
      </c>
      <c r="EY118" s="55">
        <f t="shared" si="747"/>
        <v>3803.6868870000003</v>
      </c>
      <c r="EZ118" s="59">
        <f t="shared" si="748"/>
        <v>12574.228111044602</v>
      </c>
      <c r="FA118" s="57">
        <f t="shared" si="749"/>
        <v>3721.8871690000001</v>
      </c>
      <c r="FB118" s="59">
        <f t="shared" si="750"/>
        <v>12303.8146032802</v>
      </c>
      <c r="FC118" s="55">
        <f t="shared" si="751"/>
        <v>3640.0874510000003</v>
      </c>
      <c r="FD118" s="59">
        <f t="shared" si="752"/>
        <v>12033.401095515801</v>
      </c>
      <c r="FE118" s="57">
        <f t="shared" si="753"/>
        <v>3558.2877330000001</v>
      </c>
      <c r="FF118" s="59">
        <f t="shared" si="754"/>
        <v>11762.9875877514</v>
      </c>
      <c r="FG118" s="60">
        <f t="shared" si="755"/>
        <v>3476.4880149999999</v>
      </c>
      <c r="FH118" s="59">
        <f t="shared" si="756"/>
        <v>11492.574079987</v>
      </c>
      <c r="FI118" s="57">
        <f t="shared" si="757"/>
        <v>3394.6882970000001</v>
      </c>
      <c r="FJ118" s="59">
        <f t="shared" si="758"/>
        <v>11222.160572222601</v>
      </c>
      <c r="FK118" s="55">
        <f t="shared" si="759"/>
        <v>3312.8885789999999</v>
      </c>
      <c r="FL118" s="59">
        <f t="shared" si="760"/>
        <v>10951.747064458201</v>
      </c>
      <c r="FM118" s="60">
        <f t="shared" si="761"/>
        <v>3231.0888609999997</v>
      </c>
      <c r="FN118" s="59">
        <f t="shared" si="762"/>
        <v>10681.333556693799</v>
      </c>
      <c r="FO118" s="60">
        <f t="shared" si="763"/>
        <v>3149.2891429999995</v>
      </c>
      <c r="FP118" s="59">
        <f t="shared" si="764"/>
        <v>10410.920048929398</v>
      </c>
      <c r="FQ118" s="60">
        <f t="shared" si="765"/>
        <v>3067.4894249999998</v>
      </c>
      <c r="FR118" s="59">
        <f t="shared" si="766"/>
        <v>10140.506541164999</v>
      </c>
      <c r="FS118" s="55">
        <f t="shared" si="767"/>
        <v>2985.6897069999995</v>
      </c>
      <c r="FT118" s="59">
        <f t="shared" si="768"/>
        <v>9870.0930334005989</v>
      </c>
      <c r="FU118" s="60">
        <f t="shared" si="769"/>
        <v>2903.8899889999993</v>
      </c>
      <c r="FV118" s="59">
        <f t="shared" si="770"/>
        <v>9599.6795256361984</v>
      </c>
      <c r="FW118" s="60">
        <f t="shared" si="771"/>
        <v>2822.0902709999996</v>
      </c>
      <c r="FX118" s="59">
        <f t="shared" si="772"/>
        <v>9329.2660178717997</v>
      </c>
      <c r="FY118" s="60">
        <f t="shared" si="773"/>
        <v>2740.2905529999994</v>
      </c>
      <c r="FZ118" s="59">
        <f t="shared" si="774"/>
        <v>9058.8525101073974</v>
      </c>
      <c r="GA118" s="60">
        <f t="shared" si="775"/>
        <v>2658.4908349999992</v>
      </c>
      <c r="GB118" s="59">
        <f t="shared" si="776"/>
        <v>8788.4390023429969</v>
      </c>
      <c r="GC118" s="55">
        <f t="shared" si="777"/>
        <v>2576.6911169999994</v>
      </c>
      <c r="GD118" s="59">
        <f t="shared" si="778"/>
        <v>8518.0254945785982</v>
      </c>
      <c r="GE118" s="60">
        <f t="shared" si="779"/>
        <v>2494.8913989999992</v>
      </c>
      <c r="GF118" s="59">
        <f t="shared" si="780"/>
        <v>8247.6119868141977</v>
      </c>
      <c r="GG118" s="60">
        <f t="shared" si="781"/>
        <v>2413.091680999999</v>
      </c>
      <c r="GH118" s="59">
        <f t="shared" si="782"/>
        <v>7977.1984790497963</v>
      </c>
      <c r="GI118" s="55">
        <f t="shared" si="783"/>
        <v>2331.2919629999988</v>
      </c>
      <c r="GJ118" s="59">
        <f t="shared" si="784"/>
        <v>7706.7849712853958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51"/>
        <v>0.91</v>
      </c>
      <c r="GR118" s="55">
        <f t="shared" si="651"/>
        <v>0.89</v>
      </c>
      <c r="GS118" s="55">
        <f t="shared" si="651"/>
        <v>0.87</v>
      </c>
      <c r="GT118" s="55">
        <f t="shared" si="651"/>
        <v>0.85</v>
      </c>
      <c r="GU118" s="55">
        <f t="shared" si="651"/>
        <v>0.83</v>
      </c>
      <c r="GV118" s="55">
        <f t="shared" si="651"/>
        <v>0.80999999999999994</v>
      </c>
      <c r="GW118" s="55">
        <f t="shared" si="651"/>
        <v>0.78999999999999992</v>
      </c>
      <c r="GX118" s="55">
        <f t="shared" si="651"/>
        <v>0.76999999999999991</v>
      </c>
      <c r="GY118" s="55">
        <f t="shared" si="651"/>
        <v>0.74999999999999989</v>
      </c>
      <c r="GZ118" s="55">
        <f t="shared" si="651"/>
        <v>0.72999999999999987</v>
      </c>
      <c r="HA118" s="55">
        <f t="shared" si="651"/>
        <v>0.70999999999999985</v>
      </c>
      <c r="HB118" s="55">
        <f t="shared" si="651"/>
        <v>0.68999999999999984</v>
      </c>
      <c r="HC118" s="55">
        <f t="shared" si="651"/>
        <v>0.66999999999999982</v>
      </c>
      <c r="HD118" s="55">
        <f t="shared" si="651"/>
        <v>0.6499999999999998</v>
      </c>
      <c r="HE118" s="55">
        <f t="shared" si="651"/>
        <v>0.62999999999999978</v>
      </c>
      <c r="HF118" s="55">
        <f t="shared" si="651"/>
        <v>0.60999999999999976</v>
      </c>
      <c r="HG118" s="55">
        <f t="shared" si="651"/>
        <v>0.58999999999999975</v>
      </c>
      <c r="HH118" s="55">
        <f t="shared" si="651"/>
        <v>0.56999999999999973</v>
      </c>
    </row>
    <row r="119" spans="1:216" x14ac:dyDescent="0.3">
      <c r="A119" s="2">
        <v>4</v>
      </c>
      <c r="C119" s="38" t="s">
        <v>139</v>
      </c>
      <c r="D119" s="42">
        <f>TRUNC(13742,-1)</f>
        <v>13740</v>
      </c>
      <c r="E119" s="86">
        <f>TRUNC(+D119*3.3058,-1)</f>
        <v>45420</v>
      </c>
      <c r="H119" s="55">
        <f t="shared" si="502"/>
        <v>49962.000000000007</v>
      </c>
      <c r="I119" s="55">
        <f t="shared" si="503"/>
        <v>49962.000000000007</v>
      </c>
      <c r="J119" s="59">
        <f t="shared" si="504"/>
        <v>165164.37960000001</v>
      </c>
      <c r="K119" s="55">
        <f t="shared" si="656"/>
        <v>48463.140000000007</v>
      </c>
      <c r="L119" s="59">
        <f t="shared" si="657"/>
        <v>160209.44821200002</v>
      </c>
      <c r="M119" s="55">
        <f t="shared" si="658"/>
        <v>47463.9</v>
      </c>
      <c r="N119" s="59">
        <f t="shared" si="659"/>
        <v>156906.16062000001</v>
      </c>
      <c r="O119" s="55">
        <f t="shared" si="660"/>
        <v>46464.660000000011</v>
      </c>
      <c r="P119" s="59">
        <f t="shared" si="661"/>
        <v>153602.87302800003</v>
      </c>
      <c r="Q119" s="57">
        <f t="shared" si="662"/>
        <v>45465.420000000006</v>
      </c>
      <c r="R119" s="59">
        <f t="shared" si="663"/>
        <v>150299.58543600002</v>
      </c>
      <c r="S119" s="55">
        <f t="shared" si="664"/>
        <v>44466.180000000008</v>
      </c>
      <c r="T119" s="59">
        <f t="shared" si="665"/>
        <v>146996.29784400002</v>
      </c>
      <c r="U119" s="57">
        <f t="shared" si="666"/>
        <v>43466.94000000001</v>
      </c>
      <c r="V119" s="59">
        <f t="shared" si="667"/>
        <v>143693.01025200004</v>
      </c>
      <c r="W119" s="60">
        <f t="shared" si="668"/>
        <v>42467.700000000004</v>
      </c>
      <c r="X119" s="59">
        <f t="shared" si="669"/>
        <v>140389.72266000003</v>
      </c>
      <c r="Y119" s="57">
        <f t="shared" si="670"/>
        <v>41468.460000000006</v>
      </c>
      <c r="Z119" s="59">
        <f t="shared" si="671"/>
        <v>137086.43506800002</v>
      </c>
      <c r="AA119" s="55">
        <f t="shared" si="672"/>
        <v>40469.22</v>
      </c>
      <c r="AB119" s="59">
        <f t="shared" si="673"/>
        <v>133783.14747600001</v>
      </c>
      <c r="AC119" s="60">
        <f t="shared" si="674"/>
        <v>39469.980000000003</v>
      </c>
      <c r="AD119" s="59">
        <f t="shared" si="675"/>
        <v>130479.85988400002</v>
      </c>
      <c r="AE119" s="60">
        <f t="shared" si="676"/>
        <v>38470.74</v>
      </c>
      <c r="AF119" s="59">
        <f t="shared" si="677"/>
        <v>127176.572292</v>
      </c>
      <c r="AG119" s="60">
        <f t="shared" si="678"/>
        <v>37471.5</v>
      </c>
      <c r="AH119" s="59">
        <f t="shared" si="679"/>
        <v>123873.2847</v>
      </c>
      <c r="AI119" s="55">
        <f t="shared" si="680"/>
        <v>36472.26</v>
      </c>
      <c r="AJ119" s="59">
        <f t="shared" si="681"/>
        <v>120569.99710800001</v>
      </c>
      <c r="AK119" s="60">
        <f t="shared" si="682"/>
        <v>35473.019999999997</v>
      </c>
      <c r="AL119" s="59">
        <f t="shared" si="683"/>
        <v>117266.70951599999</v>
      </c>
      <c r="AM119" s="60">
        <f t="shared" si="684"/>
        <v>34473.78</v>
      </c>
      <c r="AN119" s="59">
        <f t="shared" si="685"/>
        <v>113963.42192399999</v>
      </c>
      <c r="AO119" s="60">
        <f t="shared" si="686"/>
        <v>33474.539999999994</v>
      </c>
      <c r="AP119" s="59">
        <f t="shared" si="687"/>
        <v>110660.13433199999</v>
      </c>
      <c r="AQ119" s="60">
        <f t="shared" si="688"/>
        <v>32475.299999999996</v>
      </c>
      <c r="AR119" s="59">
        <f t="shared" si="689"/>
        <v>107356.84673999999</v>
      </c>
      <c r="AS119" s="55">
        <f t="shared" si="690"/>
        <v>31476.059999999994</v>
      </c>
      <c r="AT119" s="59">
        <f t="shared" si="691"/>
        <v>104053.55914799999</v>
      </c>
      <c r="AU119" s="60">
        <f t="shared" si="692"/>
        <v>30476.819999999992</v>
      </c>
      <c r="AV119" s="59">
        <f t="shared" si="693"/>
        <v>100750.27155599998</v>
      </c>
      <c r="AW119" s="60">
        <f t="shared" si="694"/>
        <v>29477.579999999991</v>
      </c>
      <c r="AX119" s="59">
        <f t="shared" si="695"/>
        <v>97446.98396399997</v>
      </c>
      <c r="AY119" s="55">
        <f t="shared" si="696"/>
        <v>28478.339999999989</v>
      </c>
      <c r="AZ119" s="59">
        <f t="shared" si="697"/>
        <v>94143.696371999962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698"/>
        <v>0.91</v>
      </c>
      <c r="BH119" s="55">
        <f t="shared" si="698"/>
        <v>0.89</v>
      </c>
      <c r="BI119" s="55">
        <f t="shared" si="698"/>
        <v>0.87</v>
      </c>
      <c r="BJ119" s="55">
        <f t="shared" si="698"/>
        <v>0.85</v>
      </c>
      <c r="BK119" s="55">
        <f t="shared" si="698"/>
        <v>0.83</v>
      </c>
      <c r="BL119" s="55">
        <f t="shared" si="698"/>
        <v>0.80999999999999994</v>
      </c>
      <c r="BM119" s="55">
        <f t="shared" si="698"/>
        <v>0.78999999999999992</v>
      </c>
      <c r="BN119" s="55">
        <f t="shared" si="698"/>
        <v>0.76999999999999991</v>
      </c>
      <c r="BO119" s="55">
        <f t="shared" si="698"/>
        <v>0.74999999999999989</v>
      </c>
      <c r="BP119" s="55">
        <f t="shared" si="698"/>
        <v>0.72999999999999987</v>
      </c>
      <c r="BQ119" s="55">
        <f t="shared" si="698"/>
        <v>0.70999999999999985</v>
      </c>
      <c r="BR119" s="55">
        <f t="shared" si="698"/>
        <v>0.68999999999999984</v>
      </c>
      <c r="BS119" s="55">
        <f t="shared" si="698"/>
        <v>0.66999999999999982</v>
      </c>
      <c r="BT119" s="55">
        <f t="shared" si="698"/>
        <v>0.6499999999999998</v>
      </c>
      <c r="BU119" s="55">
        <f t="shared" si="698"/>
        <v>0.62999999999999978</v>
      </c>
      <c r="BV119" s="55">
        <f t="shared" si="698"/>
        <v>0.60999999999999976</v>
      </c>
      <c r="BW119" s="55">
        <f t="shared" si="698"/>
        <v>0.58999999999999975</v>
      </c>
      <c r="BX119" s="55">
        <f t="shared" si="698"/>
        <v>0.56999999999999973</v>
      </c>
      <c r="BZ119" s="55">
        <f t="shared" si="505"/>
        <v>45465.420000000006</v>
      </c>
      <c r="CA119" s="55">
        <f t="shared" si="506"/>
        <v>45465.420000000006</v>
      </c>
      <c r="CB119" s="59">
        <f t="shared" si="699"/>
        <v>150299.58543600002</v>
      </c>
      <c r="CC119" s="55">
        <f t="shared" si="700"/>
        <v>44101.457400000007</v>
      </c>
      <c r="CD119" s="59">
        <f t="shared" si="701"/>
        <v>145790.59787292001</v>
      </c>
      <c r="CE119" s="55">
        <f t="shared" si="702"/>
        <v>43192.149000000005</v>
      </c>
      <c r="CF119" s="59">
        <f t="shared" si="703"/>
        <v>142784.60616420003</v>
      </c>
      <c r="CG119" s="55">
        <f t="shared" si="704"/>
        <v>42282.84060000001</v>
      </c>
      <c r="CH119" s="59">
        <f t="shared" si="705"/>
        <v>139778.61445548004</v>
      </c>
      <c r="CI119" s="57">
        <f t="shared" si="706"/>
        <v>41373.532200000009</v>
      </c>
      <c r="CJ119" s="59">
        <f t="shared" si="707"/>
        <v>136772.62274676003</v>
      </c>
      <c r="CK119" s="55">
        <f t="shared" si="708"/>
        <v>40464.223800000007</v>
      </c>
      <c r="CL119" s="59">
        <f t="shared" si="709"/>
        <v>133766.63103804004</v>
      </c>
      <c r="CM119" s="57">
        <f t="shared" si="710"/>
        <v>39554.915400000005</v>
      </c>
      <c r="CN119" s="59">
        <f t="shared" si="711"/>
        <v>130760.63932932002</v>
      </c>
      <c r="CO119" s="60">
        <f t="shared" si="712"/>
        <v>38645.607000000004</v>
      </c>
      <c r="CP119" s="59">
        <f t="shared" si="713"/>
        <v>127754.64762060001</v>
      </c>
      <c r="CQ119" s="57">
        <f t="shared" si="714"/>
        <v>37736.298600000002</v>
      </c>
      <c r="CR119" s="59">
        <f t="shared" si="715"/>
        <v>124748.65591188001</v>
      </c>
      <c r="CS119" s="55">
        <f t="shared" si="716"/>
        <v>36826.9902</v>
      </c>
      <c r="CT119" s="59">
        <f t="shared" si="717"/>
        <v>121742.66420316001</v>
      </c>
      <c r="CU119" s="60">
        <f t="shared" si="718"/>
        <v>35917.681799999998</v>
      </c>
      <c r="CV119" s="59">
        <f t="shared" si="719"/>
        <v>118736.67249443999</v>
      </c>
      <c r="CW119" s="60">
        <f t="shared" si="720"/>
        <v>35008.373399999997</v>
      </c>
      <c r="CX119" s="59">
        <f t="shared" si="721"/>
        <v>115730.68078571999</v>
      </c>
      <c r="CY119" s="60">
        <f t="shared" si="722"/>
        <v>34099.065000000002</v>
      </c>
      <c r="CZ119" s="59">
        <f t="shared" si="723"/>
        <v>112724.68907700002</v>
      </c>
      <c r="DA119" s="55">
        <f t="shared" si="724"/>
        <v>33189.756600000001</v>
      </c>
      <c r="DB119" s="59">
        <f t="shared" si="725"/>
        <v>109718.69736828</v>
      </c>
      <c r="DC119" s="60">
        <f t="shared" si="726"/>
        <v>32280.448199999999</v>
      </c>
      <c r="DD119" s="59">
        <f t="shared" si="727"/>
        <v>106712.70565956</v>
      </c>
      <c r="DE119" s="60">
        <f t="shared" si="728"/>
        <v>31371.139799999997</v>
      </c>
      <c r="DF119" s="59">
        <f t="shared" si="729"/>
        <v>103706.71395084</v>
      </c>
      <c r="DG119" s="60">
        <f t="shared" si="730"/>
        <v>30461.831399999995</v>
      </c>
      <c r="DH119" s="59">
        <f t="shared" si="731"/>
        <v>100700.72224211998</v>
      </c>
      <c r="DI119" s="60">
        <f t="shared" si="732"/>
        <v>29552.522999999994</v>
      </c>
      <c r="DJ119" s="59">
        <f t="shared" si="733"/>
        <v>97694.730533399983</v>
      </c>
      <c r="DK119" s="55">
        <f t="shared" si="734"/>
        <v>28643.214599999992</v>
      </c>
      <c r="DL119" s="59">
        <f t="shared" si="735"/>
        <v>94688.738824679982</v>
      </c>
      <c r="DM119" s="60">
        <f t="shared" si="736"/>
        <v>27733.906199999994</v>
      </c>
      <c r="DN119" s="59">
        <f t="shared" si="737"/>
        <v>91682.747115959981</v>
      </c>
      <c r="DO119" s="60">
        <f t="shared" si="738"/>
        <v>26824.597799999992</v>
      </c>
      <c r="DP119" s="59">
        <f t="shared" si="739"/>
        <v>88676.75540723998</v>
      </c>
      <c r="DQ119" s="55">
        <f t="shared" si="740"/>
        <v>25915.289399999991</v>
      </c>
      <c r="DR119" s="59">
        <f t="shared" si="741"/>
        <v>85670.763698519964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50"/>
        <v>0.91</v>
      </c>
      <c r="DZ119" s="55">
        <f t="shared" si="650"/>
        <v>0.89</v>
      </c>
      <c r="EA119" s="55">
        <f t="shared" si="650"/>
        <v>0.87</v>
      </c>
      <c r="EB119" s="55">
        <f t="shared" si="650"/>
        <v>0.85</v>
      </c>
      <c r="EC119" s="55">
        <f t="shared" si="650"/>
        <v>0.83</v>
      </c>
      <c r="ED119" s="55">
        <f t="shared" si="650"/>
        <v>0.80999999999999994</v>
      </c>
      <c r="EE119" s="55">
        <f t="shared" si="650"/>
        <v>0.78999999999999992</v>
      </c>
      <c r="EF119" s="55">
        <f t="shared" si="650"/>
        <v>0.76999999999999991</v>
      </c>
      <c r="EG119" s="55">
        <f t="shared" si="650"/>
        <v>0.74999999999999989</v>
      </c>
      <c r="EH119" s="55">
        <f t="shared" si="650"/>
        <v>0.72999999999999987</v>
      </c>
      <c r="EI119" s="55">
        <f t="shared" si="650"/>
        <v>0.70999999999999985</v>
      </c>
      <c r="EJ119" s="55">
        <f t="shared" si="650"/>
        <v>0.68999999999999984</v>
      </c>
      <c r="EK119" s="55">
        <f t="shared" si="650"/>
        <v>0.66999999999999982</v>
      </c>
      <c r="EL119" s="55">
        <f t="shared" si="650"/>
        <v>0.6499999999999998</v>
      </c>
      <c r="EM119" s="55">
        <f t="shared" si="650"/>
        <v>0.62999999999999978</v>
      </c>
      <c r="EN119" s="55">
        <f t="shared" si="650"/>
        <v>0.60999999999999976</v>
      </c>
      <c r="EO119" s="55">
        <f t="shared" si="650"/>
        <v>0.58999999999999975</v>
      </c>
      <c r="EP119" s="55">
        <f t="shared" si="650"/>
        <v>0.56999999999999973</v>
      </c>
      <c r="ER119" s="55">
        <f t="shared" si="644"/>
        <v>41373.532200000009</v>
      </c>
      <c r="ES119" s="55">
        <f t="shared" si="507"/>
        <v>41373.532200000009</v>
      </c>
      <c r="ET119" s="59">
        <f t="shared" si="742"/>
        <v>136772.62274676003</v>
      </c>
      <c r="EU119" s="55">
        <f t="shared" si="743"/>
        <v>40132.326234000007</v>
      </c>
      <c r="EV119" s="59">
        <f t="shared" si="744"/>
        <v>132669.44406435723</v>
      </c>
      <c r="EW119" s="55">
        <f t="shared" si="745"/>
        <v>39304.855590000006</v>
      </c>
      <c r="EX119" s="59">
        <f t="shared" si="746"/>
        <v>129933.99160942202</v>
      </c>
      <c r="EY119" s="55">
        <f t="shared" si="747"/>
        <v>38477.384946000013</v>
      </c>
      <c r="EZ119" s="59">
        <f t="shared" si="748"/>
        <v>127198.53915448685</v>
      </c>
      <c r="FA119" s="57">
        <f t="shared" si="749"/>
        <v>37649.914302000012</v>
      </c>
      <c r="FB119" s="59">
        <f t="shared" si="750"/>
        <v>124463.08669955164</v>
      </c>
      <c r="FC119" s="55">
        <f t="shared" si="751"/>
        <v>36822.443658000011</v>
      </c>
      <c r="FD119" s="59">
        <f t="shared" si="752"/>
        <v>121727.63424461643</v>
      </c>
      <c r="FE119" s="57">
        <f t="shared" si="753"/>
        <v>35994.97301400001</v>
      </c>
      <c r="FF119" s="59">
        <f t="shared" si="754"/>
        <v>118992.18178968124</v>
      </c>
      <c r="FG119" s="60">
        <f t="shared" si="755"/>
        <v>35167.502370000009</v>
      </c>
      <c r="FH119" s="59">
        <f t="shared" si="756"/>
        <v>116256.72933474604</v>
      </c>
      <c r="FI119" s="57">
        <f t="shared" si="757"/>
        <v>34340.031726000008</v>
      </c>
      <c r="FJ119" s="59">
        <f t="shared" si="758"/>
        <v>113521.27687981083</v>
      </c>
      <c r="FK119" s="55">
        <f t="shared" si="759"/>
        <v>33512.561082000007</v>
      </c>
      <c r="FL119" s="59">
        <f t="shared" si="760"/>
        <v>110785.82442487562</v>
      </c>
      <c r="FM119" s="60">
        <f t="shared" si="761"/>
        <v>32685.090438000003</v>
      </c>
      <c r="FN119" s="59">
        <f t="shared" si="762"/>
        <v>108050.37196994042</v>
      </c>
      <c r="FO119" s="60">
        <f t="shared" si="763"/>
        <v>31857.619794000002</v>
      </c>
      <c r="FP119" s="59">
        <f t="shared" si="764"/>
        <v>105314.91951500521</v>
      </c>
      <c r="FQ119" s="60">
        <f t="shared" si="765"/>
        <v>31030.149150000001</v>
      </c>
      <c r="FR119" s="59">
        <f t="shared" si="766"/>
        <v>102579.46706007</v>
      </c>
      <c r="FS119" s="55">
        <f t="shared" si="767"/>
        <v>30202.678506</v>
      </c>
      <c r="FT119" s="59">
        <f t="shared" si="768"/>
        <v>99844.014605134798</v>
      </c>
      <c r="FU119" s="60">
        <f t="shared" si="769"/>
        <v>29375.207861999999</v>
      </c>
      <c r="FV119" s="59">
        <f t="shared" si="770"/>
        <v>97108.562150199607</v>
      </c>
      <c r="FW119" s="60">
        <f t="shared" si="771"/>
        <v>28547.737217999998</v>
      </c>
      <c r="FX119" s="59">
        <f t="shared" si="772"/>
        <v>94373.1096952644</v>
      </c>
      <c r="FY119" s="60">
        <f t="shared" si="773"/>
        <v>27720.266573999997</v>
      </c>
      <c r="FZ119" s="59">
        <f t="shared" si="774"/>
        <v>91637.657240329194</v>
      </c>
      <c r="GA119" s="60">
        <f t="shared" si="775"/>
        <v>26892.795929999997</v>
      </c>
      <c r="GB119" s="59">
        <f t="shared" si="776"/>
        <v>88902.204785393988</v>
      </c>
      <c r="GC119" s="55">
        <f t="shared" si="777"/>
        <v>26065.325285999996</v>
      </c>
      <c r="GD119" s="59">
        <f t="shared" si="778"/>
        <v>86166.752330458781</v>
      </c>
      <c r="GE119" s="60">
        <f t="shared" si="779"/>
        <v>25237.854641999995</v>
      </c>
      <c r="GF119" s="59">
        <f t="shared" si="780"/>
        <v>83431.299875523589</v>
      </c>
      <c r="GG119" s="60">
        <f t="shared" si="781"/>
        <v>24410.383997999994</v>
      </c>
      <c r="GH119" s="59">
        <f t="shared" si="782"/>
        <v>80695.847420588383</v>
      </c>
      <c r="GI119" s="55">
        <f t="shared" si="783"/>
        <v>23582.913353999993</v>
      </c>
      <c r="GJ119" s="59">
        <f t="shared" si="784"/>
        <v>77960.394965653177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51"/>
        <v>0.91</v>
      </c>
      <c r="GR119" s="55">
        <f t="shared" si="651"/>
        <v>0.89</v>
      </c>
      <c r="GS119" s="55">
        <f t="shared" si="651"/>
        <v>0.87</v>
      </c>
      <c r="GT119" s="55">
        <f t="shared" si="651"/>
        <v>0.85</v>
      </c>
      <c r="GU119" s="55">
        <f t="shared" si="651"/>
        <v>0.83</v>
      </c>
      <c r="GV119" s="55">
        <f t="shared" si="651"/>
        <v>0.80999999999999994</v>
      </c>
      <c r="GW119" s="55">
        <f t="shared" si="651"/>
        <v>0.78999999999999992</v>
      </c>
      <c r="GX119" s="55">
        <f t="shared" si="651"/>
        <v>0.76999999999999991</v>
      </c>
      <c r="GY119" s="55">
        <f t="shared" si="651"/>
        <v>0.74999999999999989</v>
      </c>
      <c r="GZ119" s="55">
        <f t="shared" si="651"/>
        <v>0.72999999999999987</v>
      </c>
      <c r="HA119" s="55">
        <f t="shared" si="651"/>
        <v>0.70999999999999985</v>
      </c>
      <c r="HB119" s="55">
        <f t="shared" si="651"/>
        <v>0.68999999999999984</v>
      </c>
      <c r="HC119" s="55">
        <f t="shared" si="651"/>
        <v>0.66999999999999982</v>
      </c>
      <c r="HD119" s="55">
        <f t="shared" si="651"/>
        <v>0.6499999999999998</v>
      </c>
      <c r="HE119" s="55">
        <f t="shared" si="651"/>
        <v>0.62999999999999978</v>
      </c>
      <c r="HF119" s="55">
        <f t="shared" si="651"/>
        <v>0.60999999999999976</v>
      </c>
      <c r="HG119" s="55">
        <f t="shared" si="651"/>
        <v>0.58999999999999975</v>
      </c>
      <c r="HH119" s="55">
        <f t="shared" si="651"/>
        <v>0.56999999999999973</v>
      </c>
    </row>
    <row r="120" spans="1:216" x14ac:dyDescent="0.3">
      <c r="A120" s="2">
        <v>5</v>
      </c>
      <c r="C120" s="38" t="s">
        <v>53</v>
      </c>
      <c r="D120" s="42">
        <f>TRUNC(1510,-1)</f>
        <v>1510</v>
      </c>
      <c r="E120" s="86">
        <f>TRUNC(+D120*3.3058,-1)</f>
        <v>4990</v>
      </c>
      <c r="H120" s="55">
        <f t="shared" si="502"/>
        <v>5489</v>
      </c>
      <c r="I120" s="55">
        <f t="shared" si="503"/>
        <v>5489</v>
      </c>
      <c r="J120" s="59">
        <f t="shared" si="504"/>
        <v>18145.536199999999</v>
      </c>
      <c r="K120" s="55">
        <f t="shared" si="656"/>
        <v>5324.33</v>
      </c>
      <c r="L120" s="59">
        <f t="shared" si="657"/>
        <v>17601.170114</v>
      </c>
      <c r="M120" s="55">
        <f t="shared" si="658"/>
        <v>5214.55</v>
      </c>
      <c r="N120" s="59">
        <f t="shared" si="659"/>
        <v>17238.259389999999</v>
      </c>
      <c r="O120" s="55">
        <f t="shared" si="660"/>
        <v>5104.7700000000004</v>
      </c>
      <c r="P120" s="59">
        <f t="shared" si="661"/>
        <v>16875.348666000002</v>
      </c>
      <c r="Q120" s="57">
        <f t="shared" si="662"/>
        <v>4994.99</v>
      </c>
      <c r="R120" s="59">
        <f t="shared" si="663"/>
        <v>16512.437942</v>
      </c>
      <c r="S120" s="55">
        <f t="shared" si="664"/>
        <v>4885.21</v>
      </c>
      <c r="T120" s="59">
        <f t="shared" si="665"/>
        <v>16149.527218000001</v>
      </c>
      <c r="U120" s="57">
        <f t="shared" si="666"/>
        <v>4775.43</v>
      </c>
      <c r="V120" s="59">
        <f t="shared" si="667"/>
        <v>15786.616494000002</v>
      </c>
      <c r="W120" s="60">
        <f t="shared" si="668"/>
        <v>4665.6499999999996</v>
      </c>
      <c r="X120" s="59">
        <f t="shared" si="669"/>
        <v>15423.705769999999</v>
      </c>
      <c r="Y120" s="57">
        <f t="shared" si="670"/>
        <v>4555.87</v>
      </c>
      <c r="Z120" s="59">
        <f t="shared" si="671"/>
        <v>15060.795045999999</v>
      </c>
      <c r="AA120" s="55">
        <f t="shared" si="672"/>
        <v>4446.0899999999992</v>
      </c>
      <c r="AB120" s="59">
        <f t="shared" si="673"/>
        <v>14697.884321999998</v>
      </c>
      <c r="AC120" s="60">
        <f t="shared" si="674"/>
        <v>4336.3099999999995</v>
      </c>
      <c r="AD120" s="59">
        <f t="shared" si="675"/>
        <v>14334.973597999999</v>
      </c>
      <c r="AE120" s="60">
        <f t="shared" si="676"/>
        <v>4226.53</v>
      </c>
      <c r="AF120" s="59">
        <f t="shared" si="677"/>
        <v>13972.062873999999</v>
      </c>
      <c r="AG120" s="60">
        <f t="shared" si="678"/>
        <v>4116.7499999999991</v>
      </c>
      <c r="AH120" s="59">
        <f t="shared" si="679"/>
        <v>13609.152149999998</v>
      </c>
      <c r="AI120" s="55">
        <f t="shared" si="680"/>
        <v>4006.9699999999993</v>
      </c>
      <c r="AJ120" s="59">
        <f t="shared" si="681"/>
        <v>13246.241425999999</v>
      </c>
      <c r="AK120" s="60">
        <f t="shared" si="682"/>
        <v>3897.1899999999991</v>
      </c>
      <c r="AL120" s="59">
        <f t="shared" si="683"/>
        <v>12883.330701999997</v>
      </c>
      <c r="AM120" s="60">
        <f t="shared" si="684"/>
        <v>3787.4099999999989</v>
      </c>
      <c r="AN120" s="59">
        <f t="shared" si="685"/>
        <v>12520.419977999996</v>
      </c>
      <c r="AO120" s="60">
        <f t="shared" si="686"/>
        <v>3677.6299999999992</v>
      </c>
      <c r="AP120" s="59">
        <f t="shared" si="687"/>
        <v>12157.509253999997</v>
      </c>
      <c r="AQ120" s="60">
        <f t="shared" si="688"/>
        <v>3567.849999999999</v>
      </c>
      <c r="AR120" s="59">
        <f t="shared" si="689"/>
        <v>11794.598529999997</v>
      </c>
      <c r="AS120" s="55">
        <f t="shared" si="690"/>
        <v>3458.0699999999988</v>
      </c>
      <c r="AT120" s="59">
        <f t="shared" si="691"/>
        <v>11431.687805999996</v>
      </c>
      <c r="AU120" s="60">
        <f t="shared" si="692"/>
        <v>3348.2899999999986</v>
      </c>
      <c r="AV120" s="59">
        <f t="shared" si="693"/>
        <v>11068.777081999995</v>
      </c>
      <c r="AW120" s="60">
        <f t="shared" si="694"/>
        <v>3238.5099999999984</v>
      </c>
      <c r="AX120" s="59">
        <f t="shared" si="695"/>
        <v>10705.866357999996</v>
      </c>
      <c r="AY120" s="55">
        <f t="shared" si="696"/>
        <v>3128.7299999999987</v>
      </c>
      <c r="AZ120" s="59">
        <f t="shared" si="697"/>
        <v>10342.955633999996</v>
      </c>
      <c r="BC120" s="55">
        <v>1</v>
      </c>
      <c r="BD120" s="55">
        <v>0.97</v>
      </c>
      <c r="BE120" s="55">
        <v>0.95</v>
      </c>
      <c r="BF120" s="55">
        <v>0.93</v>
      </c>
      <c r="BG120" s="55">
        <f t="shared" si="698"/>
        <v>0.91</v>
      </c>
      <c r="BH120" s="55">
        <f t="shared" si="698"/>
        <v>0.89</v>
      </c>
      <c r="BI120" s="55">
        <f t="shared" si="698"/>
        <v>0.87</v>
      </c>
      <c r="BJ120" s="55">
        <f t="shared" si="698"/>
        <v>0.85</v>
      </c>
      <c r="BK120" s="55">
        <f t="shared" si="698"/>
        <v>0.83</v>
      </c>
      <c r="BL120" s="55">
        <f t="shared" si="698"/>
        <v>0.80999999999999994</v>
      </c>
      <c r="BM120" s="55">
        <f t="shared" si="698"/>
        <v>0.78999999999999992</v>
      </c>
      <c r="BN120" s="55">
        <f t="shared" si="698"/>
        <v>0.76999999999999991</v>
      </c>
      <c r="BO120" s="55">
        <f t="shared" si="698"/>
        <v>0.74999999999999989</v>
      </c>
      <c r="BP120" s="55">
        <f t="shared" si="698"/>
        <v>0.72999999999999987</v>
      </c>
      <c r="BQ120" s="55">
        <f t="shared" si="698"/>
        <v>0.70999999999999985</v>
      </c>
      <c r="BR120" s="55">
        <f t="shared" si="698"/>
        <v>0.68999999999999984</v>
      </c>
      <c r="BS120" s="55">
        <f t="shared" si="698"/>
        <v>0.66999999999999982</v>
      </c>
      <c r="BT120" s="55">
        <f t="shared" si="698"/>
        <v>0.6499999999999998</v>
      </c>
      <c r="BU120" s="55">
        <f t="shared" si="698"/>
        <v>0.62999999999999978</v>
      </c>
      <c r="BV120" s="55">
        <f t="shared" si="698"/>
        <v>0.60999999999999976</v>
      </c>
      <c r="BW120" s="55">
        <f t="shared" si="698"/>
        <v>0.58999999999999975</v>
      </c>
      <c r="BX120" s="55">
        <f t="shared" si="698"/>
        <v>0.56999999999999973</v>
      </c>
      <c r="BZ120" s="55">
        <f t="shared" si="505"/>
        <v>4994.99</v>
      </c>
      <c r="CA120" s="55">
        <f t="shared" si="506"/>
        <v>4994.99</v>
      </c>
      <c r="CB120" s="59">
        <f t="shared" si="699"/>
        <v>16512.437942</v>
      </c>
      <c r="CC120" s="55">
        <f t="shared" si="700"/>
        <v>4845.1403</v>
      </c>
      <c r="CD120" s="59">
        <f t="shared" si="701"/>
        <v>16017.064803740001</v>
      </c>
      <c r="CE120" s="55">
        <f t="shared" si="702"/>
        <v>4745.2404999999999</v>
      </c>
      <c r="CF120" s="59">
        <f t="shared" si="703"/>
        <v>15686.816044900001</v>
      </c>
      <c r="CG120" s="55">
        <f t="shared" si="704"/>
        <v>4645.3406999999997</v>
      </c>
      <c r="CH120" s="59">
        <f t="shared" si="705"/>
        <v>15356.567286059999</v>
      </c>
      <c r="CI120" s="57">
        <f t="shared" si="706"/>
        <v>4545.4408999999996</v>
      </c>
      <c r="CJ120" s="59">
        <f t="shared" si="707"/>
        <v>15026.318527219999</v>
      </c>
      <c r="CK120" s="55">
        <f t="shared" si="708"/>
        <v>4445.5410999999995</v>
      </c>
      <c r="CL120" s="59">
        <f t="shared" si="709"/>
        <v>14696.069768379999</v>
      </c>
      <c r="CM120" s="57">
        <f t="shared" si="710"/>
        <v>4345.6413000000002</v>
      </c>
      <c r="CN120" s="59">
        <f t="shared" si="711"/>
        <v>14365.821009540001</v>
      </c>
      <c r="CO120" s="60">
        <f t="shared" si="712"/>
        <v>4245.7415000000001</v>
      </c>
      <c r="CP120" s="59">
        <f t="shared" si="713"/>
        <v>14035.572250700001</v>
      </c>
      <c r="CQ120" s="57">
        <f t="shared" si="714"/>
        <v>4145.8416999999999</v>
      </c>
      <c r="CR120" s="59">
        <f t="shared" si="715"/>
        <v>13705.323491860001</v>
      </c>
      <c r="CS120" s="55">
        <f t="shared" si="716"/>
        <v>4045.9418999999994</v>
      </c>
      <c r="CT120" s="59">
        <f t="shared" si="717"/>
        <v>13375.074733019997</v>
      </c>
      <c r="CU120" s="60">
        <f t="shared" si="718"/>
        <v>3946.0420999999997</v>
      </c>
      <c r="CV120" s="59">
        <f t="shared" si="719"/>
        <v>13044.825974179999</v>
      </c>
      <c r="CW120" s="60">
        <f t="shared" si="720"/>
        <v>3846.1422999999995</v>
      </c>
      <c r="CX120" s="59">
        <f t="shared" si="721"/>
        <v>12714.577215339999</v>
      </c>
      <c r="CY120" s="60">
        <f t="shared" si="722"/>
        <v>3746.2424999999994</v>
      </c>
      <c r="CZ120" s="59">
        <f t="shared" si="723"/>
        <v>12384.328456499998</v>
      </c>
      <c r="DA120" s="55">
        <f t="shared" si="724"/>
        <v>3646.3426999999992</v>
      </c>
      <c r="DB120" s="59">
        <f t="shared" si="725"/>
        <v>12054.079697659998</v>
      </c>
      <c r="DC120" s="60">
        <f t="shared" si="726"/>
        <v>3546.4428999999991</v>
      </c>
      <c r="DD120" s="59">
        <f t="shared" si="727"/>
        <v>11723.830938819998</v>
      </c>
      <c r="DE120" s="60">
        <f t="shared" si="728"/>
        <v>3446.543099999999</v>
      </c>
      <c r="DF120" s="59">
        <f t="shared" si="729"/>
        <v>11393.582179979996</v>
      </c>
      <c r="DG120" s="60">
        <f t="shared" si="730"/>
        <v>3346.6432999999988</v>
      </c>
      <c r="DH120" s="59">
        <f t="shared" si="731"/>
        <v>11063.333421139996</v>
      </c>
      <c r="DI120" s="60">
        <f t="shared" si="732"/>
        <v>3246.7434999999987</v>
      </c>
      <c r="DJ120" s="59">
        <f t="shared" si="733"/>
        <v>10733.084662299996</v>
      </c>
      <c r="DK120" s="55">
        <f t="shared" si="734"/>
        <v>3146.843699999999</v>
      </c>
      <c r="DL120" s="59">
        <f t="shared" si="735"/>
        <v>10402.835903459996</v>
      </c>
      <c r="DM120" s="60">
        <f t="shared" si="736"/>
        <v>3046.9438999999988</v>
      </c>
      <c r="DN120" s="59">
        <f t="shared" si="737"/>
        <v>10072.587144619996</v>
      </c>
      <c r="DO120" s="60">
        <f t="shared" si="738"/>
        <v>2947.0440999999987</v>
      </c>
      <c r="DP120" s="59">
        <f t="shared" si="739"/>
        <v>9742.3383857799963</v>
      </c>
      <c r="DQ120" s="55">
        <f t="shared" si="740"/>
        <v>2847.1442999999986</v>
      </c>
      <c r="DR120" s="59">
        <f t="shared" si="741"/>
        <v>9412.0896269399946</v>
      </c>
      <c r="DU120" s="55">
        <v>1</v>
      </c>
      <c r="DV120" s="55">
        <v>0.97</v>
      </c>
      <c r="DW120" s="55">
        <v>0.95</v>
      </c>
      <c r="DX120" s="55">
        <v>0.93</v>
      </c>
      <c r="DY120" s="55">
        <f t="shared" si="650"/>
        <v>0.91</v>
      </c>
      <c r="DZ120" s="55">
        <f t="shared" si="650"/>
        <v>0.89</v>
      </c>
      <c r="EA120" s="55">
        <f t="shared" si="650"/>
        <v>0.87</v>
      </c>
      <c r="EB120" s="55">
        <f t="shared" si="650"/>
        <v>0.85</v>
      </c>
      <c r="EC120" s="55">
        <f t="shared" si="650"/>
        <v>0.83</v>
      </c>
      <c r="ED120" s="55">
        <f t="shared" si="650"/>
        <v>0.80999999999999994</v>
      </c>
      <c r="EE120" s="55">
        <f t="shared" si="650"/>
        <v>0.78999999999999992</v>
      </c>
      <c r="EF120" s="55">
        <f t="shared" si="650"/>
        <v>0.76999999999999991</v>
      </c>
      <c r="EG120" s="55">
        <f t="shared" si="650"/>
        <v>0.74999999999999989</v>
      </c>
      <c r="EH120" s="55">
        <f t="shared" si="650"/>
        <v>0.72999999999999987</v>
      </c>
      <c r="EI120" s="55">
        <f t="shared" si="650"/>
        <v>0.70999999999999985</v>
      </c>
      <c r="EJ120" s="55">
        <f t="shared" si="650"/>
        <v>0.68999999999999984</v>
      </c>
      <c r="EK120" s="55">
        <f t="shared" si="650"/>
        <v>0.66999999999999982</v>
      </c>
      <c r="EL120" s="55">
        <f t="shared" si="650"/>
        <v>0.6499999999999998</v>
      </c>
      <c r="EM120" s="55">
        <f t="shared" si="650"/>
        <v>0.62999999999999978</v>
      </c>
      <c r="EN120" s="55">
        <f t="shared" si="650"/>
        <v>0.60999999999999976</v>
      </c>
      <c r="EO120" s="55">
        <f t="shared" si="650"/>
        <v>0.58999999999999975</v>
      </c>
      <c r="EP120" s="55">
        <f t="shared" si="650"/>
        <v>0.56999999999999973</v>
      </c>
      <c r="ER120" s="55">
        <f t="shared" si="644"/>
        <v>4545.4408999999996</v>
      </c>
      <c r="ES120" s="55">
        <f t="shared" si="507"/>
        <v>4545.4408999999996</v>
      </c>
      <c r="ET120" s="59">
        <f t="shared" si="742"/>
        <v>15026.318527219999</v>
      </c>
      <c r="EU120" s="55">
        <f t="shared" si="743"/>
        <v>4409.0776729999998</v>
      </c>
      <c r="EV120" s="59">
        <f t="shared" si="744"/>
        <v>14575.528971403399</v>
      </c>
      <c r="EW120" s="55">
        <f t="shared" si="745"/>
        <v>4318.168854999999</v>
      </c>
      <c r="EX120" s="59">
        <f t="shared" si="746"/>
        <v>14275.002600858998</v>
      </c>
      <c r="EY120" s="55">
        <f t="shared" si="747"/>
        <v>4227.260037</v>
      </c>
      <c r="EZ120" s="59">
        <f t="shared" si="748"/>
        <v>13974.4762303146</v>
      </c>
      <c r="FA120" s="57">
        <f t="shared" si="749"/>
        <v>4136.3512190000001</v>
      </c>
      <c r="FB120" s="59">
        <f t="shared" si="750"/>
        <v>13673.9498597702</v>
      </c>
      <c r="FC120" s="55">
        <f t="shared" si="751"/>
        <v>4045.4424009999998</v>
      </c>
      <c r="FD120" s="59">
        <f t="shared" si="752"/>
        <v>13373.423489225799</v>
      </c>
      <c r="FE120" s="57">
        <f t="shared" si="753"/>
        <v>3954.5335829999995</v>
      </c>
      <c r="FF120" s="59">
        <f t="shared" si="754"/>
        <v>13072.897118681398</v>
      </c>
      <c r="FG120" s="60">
        <f t="shared" si="755"/>
        <v>3863.6247649999996</v>
      </c>
      <c r="FH120" s="59">
        <f t="shared" si="756"/>
        <v>12772.370748136998</v>
      </c>
      <c r="FI120" s="57">
        <f t="shared" si="757"/>
        <v>3772.7159469999997</v>
      </c>
      <c r="FJ120" s="59">
        <f t="shared" si="758"/>
        <v>12471.844377592599</v>
      </c>
      <c r="FK120" s="55">
        <f t="shared" si="759"/>
        <v>3681.8071289999993</v>
      </c>
      <c r="FL120" s="59">
        <f t="shared" si="760"/>
        <v>12171.318007048198</v>
      </c>
      <c r="FM120" s="60">
        <f t="shared" si="761"/>
        <v>3590.8983109999995</v>
      </c>
      <c r="FN120" s="59">
        <f t="shared" si="762"/>
        <v>11870.791636503798</v>
      </c>
      <c r="FO120" s="60">
        <f t="shared" si="763"/>
        <v>3499.9894929999991</v>
      </c>
      <c r="FP120" s="59">
        <f t="shared" si="764"/>
        <v>11570.265265959397</v>
      </c>
      <c r="FQ120" s="60">
        <f t="shared" si="765"/>
        <v>3409.0806749999992</v>
      </c>
      <c r="FR120" s="59">
        <f t="shared" si="766"/>
        <v>11269.738895414997</v>
      </c>
      <c r="FS120" s="55">
        <f t="shared" si="767"/>
        <v>3318.1718569999989</v>
      </c>
      <c r="FT120" s="59">
        <f t="shared" si="768"/>
        <v>10969.212524870596</v>
      </c>
      <c r="FU120" s="60">
        <f t="shared" si="769"/>
        <v>3227.263038999999</v>
      </c>
      <c r="FV120" s="59">
        <f t="shared" si="770"/>
        <v>10668.686154326197</v>
      </c>
      <c r="FW120" s="60">
        <f t="shared" si="771"/>
        <v>3136.3542209999991</v>
      </c>
      <c r="FX120" s="59">
        <f t="shared" si="772"/>
        <v>10368.159783781797</v>
      </c>
      <c r="FY120" s="60">
        <f t="shared" si="773"/>
        <v>3045.4454029999988</v>
      </c>
      <c r="FZ120" s="59">
        <f t="shared" si="774"/>
        <v>10067.633413237396</v>
      </c>
      <c r="GA120" s="60">
        <f t="shared" si="775"/>
        <v>2954.5365849999989</v>
      </c>
      <c r="GB120" s="59">
        <f t="shared" si="776"/>
        <v>9767.1070426929964</v>
      </c>
      <c r="GC120" s="55">
        <f t="shared" si="777"/>
        <v>2863.6277669999986</v>
      </c>
      <c r="GD120" s="59">
        <f t="shared" si="778"/>
        <v>9466.5806721485951</v>
      </c>
      <c r="GE120" s="60">
        <f t="shared" si="779"/>
        <v>2772.7189489999987</v>
      </c>
      <c r="GF120" s="59">
        <f t="shared" si="780"/>
        <v>9166.0543016041956</v>
      </c>
      <c r="GG120" s="60">
        <f t="shared" si="781"/>
        <v>2681.8101309999988</v>
      </c>
      <c r="GH120" s="59">
        <f t="shared" si="782"/>
        <v>8865.5279310597962</v>
      </c>
      <c r="GI120" s="55">
        <f t="shared" si="783"/>
        <v>2590.9013129999985</v>
      </c>
      <c r="GJ120" s="59">
        <f t="shared" si="784"/>
        <v>8565.0015605153949</v>
      </c>
      <c r="GK120" s="55"/>
      <c r="GL120" s="55"/>
      <c r="GM120" s="55">
        <v>1</v>
      </c>
      <c r="GN120" s="55">
        <v>0.97</v>
      </c>
      <c r="GO120" s="55">
        <v>0.95</v>
      </c>
      <c r="GP120" s="55">
        <v>0.93</v>
      </c>
      <c r="GQ120" s="55">
        <f t="shared" si="651"/>
        <v>0.91</v>
      </c>
      <c r="GR120" s="55">
        <f t="shared" si="651"/>
        <v>0.89</v>
      </c>
      <c r="GS120" s="55">
        <f t="shared" si="651"/>
        <v>0.87</v>
      </c>
      <c r="GT120" s="55">
        <f t="shared" si="651"/>
        <v>0.85</v>
      </c>
      <c r="GU120" s="55">
        <f t="shared" si="651"/>
        <v>0.83</v>
      </c>
      <c r="GV120" s="55">
        <f t="shared" si="651"/>
        <v>0.80999999999999994</v>
      </c>
      <c r="GW120" s="55">
        <f t="shared" si="651"/>
        <v>0.78999999999999992</v>
      </c>
      <c r="GX120" s="55">
        <f t="shared" si="651"/>
        <v>0.76999999999999991</v>
      </c>
      <c r="GY120" s="55">
        <f t="shared" si="651"/>
        <v>0.74999999999999989</v>
      </c>
      <c r="GZ120" s="55">
        <f t="shared" si="651"/>
        <v>0.72999999999999987</v>
      </c>
      <c r="HA120" s="55">
        <f t="shared" si="651"/>
        <v>0.70999999999999985</v>
      </c>
      <c r="HB120" s="55">
        <f t="shared" si="651"/>
        <v>0.68999999999999984</v>
      </c>
      <c r="HC120" s="55">
        <f t="shared" si="651"/>
        <v>0.66999999999999982</v>
      </c>
      <c r="HD120" s="55">
        <f t="shared" si="651"/>
        <v>0.6499999999999998</v>
      </c>
      <c r="HE120" s="55">
        <f t="shared" si="651"/>
        <v>0.62999999999999978</v>
      </c>
      <c r="HF120" s="55">
        <f t="shared" si="651"/>
        <v>0.60999999999999976</v>
      </c>
      <c r="HG120" s="55">
        <f t="shared" si="651"/>
        <v>0.58999999999999975</v>
      </c>
      <c r="HH120" s="55">
        <f t="shared" si="651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86">
        <f>TRUNC(+D121*3.3058,-1)</f>
        <v>0</v>
      </c>
      <c r="H121" s="55">
        <f t="shared" si="502"/>
        <v>0</v>
      </c>
      <c r="I121" s="55">
        <f t="shared" si="503"/>
        <v>0</v>
      </c>
      <c r="J121" s="59">
        <f t="shared" si="504"/>
        <v>0</v>
      </c>
      <c r="K121" s="55">
        <f t="shared" si="656"/>
        <v>0</v>
      </c>
      <c r="L121" s="59">
        <f t="shared" si="657"/>
        <v>0</v>
      </c>
      <c r="M121" s="55">
        <f t="shared" si="658"/>
        <v>0</v>
      </c>
      <c r="N121" s="59">
        <f t="shared" si="659"/>
        <v>0</v>
      </c>
      <c r="O121" s="55">
        <f t="shared" si="660"/>
        <v>0</v>
      </c>
      <c r="P121" s="59">
        <f t="shared" si="661"/>
        <v>0</v>
      </c>
      <c r="Q121" s="57">
        <f t="shared" si="662"/>
        <v>0</v>
      </c>
      <c r="R121" s="59">
        <f t="shared" si="663"/>
        <v>0</v>
      </c>
      <c r="S121" s="55">
        <f t="shared" si="664"/>
        <v>0</v>
      </c>
      <c r="T121" s="59">
        <f t="shared" si="665"/>
        <v>0</v>
      </c>
      <c r="U121" s="57">
        <f t="shared" si="666"/>
        <v>0</v>
      </c>
      <c r="V121" s="59">
        <f t="shared" si="667"/>
        <v>0</v>
      </c>
      <c r="W121" s="60">
        <f t="shared" si="668"/>
        <v>0</v>
      </c>
      <c r="X121" s="59">
        <f t="shared" si="669"/>
        <v>0</v>
      </c>
      <c r="Y121" s="57">
        <f t="shared" si="670"/>
        <v>0</v>
      </c>
      <c r="Z121" s="59">
        <f t="shared" si="671"/>
        <v>0</v>
      </c>
      <c r="AA121" s="55">
        <f t="shared" si="672"/>
        <v>0</v>
      </c>
      <c r="AB121" s="59">
        <f t="shared" si="673"/>
        <v>0</v>
      </c>
      <c r="AC121" s="60">
        <f t="shared" si="674"/>
        <v>0</v>
      </c>
      <c r="AD121" s="59">
        <f t="shared" si="675"/>
        <v>0</v>
      </c>
      <c r="AE121" s="60">
        <f t="shared" si="676"/>
        <v>0</v>
      </c>
      <c r="AF121" s="59">
        <f t="shared" si="677"/>
        <v>0</v>
      </c>
      <c r="AG121" s="60">
        <f t="shared" si="678"/>
        <v>0</v>
      </c>
      <c r="AH121" s="59">
        <f t="shared" si="679"/>
        <v>0</v>
      </c>
      <c r="AI121" s="55">
        <f t="shared" si="680"/>
        <v>0</v>
      </c>
      <c r="AJ121" s="59">
        <f t="shared" si="681"/>
        <v>0</v>
      </c>
      <c r="AK121" s="60">
        <f t="shared" si="682"/>
        <v>0</v>
      </c>
      <c r="AL121" s="59">
        <f t="shared" si="683"/>
        <v>0</v>
      </c>
      <c r="AM121" s="60">
        <f t="shared" si="684"/>
        <v>0</v>
      </c>
      <c r="AN121" s="59">
        <f t="shared" si="685"/>
        <v>0</v>
      </c>
      <c r="AO121" s="60">
        <f t="shared" si="686"/>
        <v>0</v>
      </c>
      <c r="AP121" s="59">
        <f t="shared" si="687"/>
        <v>0</v>
      </c>
      <c r="AQ121" s="60">
        <f t="shared" si="688"/>
        <v>0</v>
      </c>
      <c r="AR121" s="59">
        <f t="shared" si="689"/>
        <v>0</v>
      </c>
      <c r="AS121" s="55">
        <f t="shared" si="690"/>
        <v>0</v>
      </c>
      <c r="AT121" s="59">
        <f t="shared" si="691"/>
        <v>0</v>
      </c>
      <c r="AU121" s="60">
        <f t="shared" si="692"/>
        <v>0</v>
      </c>
      <c r="AV121" s="59">
        <f t="shared" si="693"/>
        <v>0</v>
      </c>
      <c r="AW121" s="60">
        <f t="shared" si="694"/>
        <v>0</v>
      </c>
      <c r="AX121" s="59">
        <f t="shared" si="695"/>
        <v>0</v>
      </c>
      <c r="AY121" s="55">
        <f t="shared" si="696"/>
        <v>0</v>
      </c>
      <c r="AZ121" s="59">
        <f t="shared" si="697"/>
        <v>0</v>
      </c>
      <c r="BC121" s="55">
        <v>1</v>
      </c>
      <c r="BD121" s="55">
        <v>0.97</v>
      </c>
      <c r="BE121" s="55">
        <v>0.95</v>
      </c>
      <c r="BF121" s="55">
        <v>0.93</v>
      </c>
      <c r="BG121" s="55">
        <f t="shared" si="698"/>
        <v>0.91</v>
      </c>
      <c r="BH121" s="55">
        <f t="shared" si="698"/>
        <v>0.89</v>
      </c>
      <c r="BI121" s="55">
        <f t="shared" si="698"/>
        <v>0.87</v>
      </c>
      <c r="BJ121" s="55">
        <f t="shared" si="698"/>
        <v>0.85</v>
      </c>
      <c r="BK121" s="55">
        <f t="shared" si="698"/>
        <v>0.83</v>
      </c>
      <c r="BL121" s="55">
        <f t="shared" si="698"/>
        <v>0.80999999999999994</v>
      </c>
      <c r="BM121" s="55">
        <f t="shared" si="698"/>
        <v>0.78999999999999992</v>
      </c>
      <c r="BN121" s="55">
        <f t="shared" si="698"/>
        <v>0.76999999999999991</v>
      </c>
      <c r="BO121" s="55">
        <f t="shared" si="698"/>
        <v>0.74999999999999989</v>
      </c>
      <c r="BP121" s="55">
        <f t="shared" si="698"/>
        <v>0.72999999999999987</v>
      </c>
      <c r="BQ121" s="55">
        <f t="shared" si="698"/>
        <v>0.70999999999999985</v>
      </c>
      <c r="BR121" s="55">
        <f t="shared" si="698"/>
        <v>0.68999999999999984</v>
      </c>
      <c r="BS121" s="55">
        <f t="shared" si="698"/>
        <v>0.66999999999999982</v>
      </c>
      <c r="BT121" s="55">
        <f t="shared" si="698"/>
        <v>0.6499999999999998</v>
      </c>
      <c r="BU121" s="55">
        <f t="shared" si="698"/>
        <v>0.62999999999999978</v>
      </c>
      <c r="BV121" s="55">
        <f t="shared" si="698"/>
        <v>0.60999999999999976</v>
      </c>
      <c r="BW121" s="55">
        <f t="shared" si="698"/>
        <v>0.58999999999999975</v>
      </c>
      <c r="BX121" s="55">
        <f t="shared" si="698"/>
        <v>0.56999999999999973</v>
      </c>
      <c r="BZ121" s="55">
        <f t="shared" si="505"/>
        <v>0</v>
      </c>
      <c r="CA121" s="55">
        <f t="shared" si="506"/>
        <v>0</v>
      </c>
      <c r="CB121" s="59">
        <f t="shared" si="699"/>
        <v>0</v>
      </c>
      <c r="CC121" s="55">
        <f t="shared" si="700"/>
        <v>0</v>
      </c>
      <c r="CD121" s="59">
        <f t="shared" si="701"/>
        <v>0</v>
      </c>
      <c r="CE121" s="55">
        <f t="shared" si="702"/>
        <v>0</v>
      </c>
      <c r="CF121" s="59">
        <f t="shared" si="703"/>
        <v>0</v>
      </c>
      <c r="CG121" s="55">
        <f t="shared" si="704"/>
        <v>0</v>
      </c>
      <c r="CH121" s="59">
        <f t="shared" si="705"/>
        <v>0</v>
      </c>
      <c r="CI121" s="57">
        <f t="shared" si="706"/>
        <v>0</v>
      </c>
      <c r="CJ121" s="59">
        <f t="shared" si="707"/>
        <v>0</v>
      </c>
      <c r="CK121" s="55">
        <f t="shared" si="708"/>
        <v>0</v>
      </c>
      <c r="CL121" s="59">
        <f t="shared" si="709"/>
        <v>0</v>
      </c>
      <c r="CM121" s="57">
        <f t="shared" si="710"/>
        <v>0</v>
      </c>
      <c r="CN121" s="59">
        <f t="shared" si="711"/>
        <v>0</v>
      </c>
      <c r="CO121" s="60">
        <f t="shared" si="712"/>
        <v>0</v>
      </c>
      <c r="CP121" s="59">
        <f t="shared" si="713"/>
        <v>0</v>
      </c>
      <c r="CQ121" s="57">
        <f t="shared" si="714"/>
        <v>0</v>
      </c>
      <c r="CR121" s="59">
        <f t="shared" si="715"/>
        <v>0</v>
      </c>
      <c r="CS121" s="55">
        <f t="shared" si="716"/>
        <v>0</v>
      </c>
      <c r="CT121" s="59">
        <f t="shared" si="717"/>
        <v>0</v>
      </c>
      <c r="CU121" s="60">
        <f t="shared" si="718"/>
        <v>0</v>
      </c>
      <c r="CV121" s="59">
        <f t="shared" si="719"/>
        <v>0</v>
      </c>
      <c r="CW121" s="60">
        <f t="shared" si="720"/>
        <v>0</v>
      </c>
      <c r="CX121" s="59">
        <f t="shared" si="721"/>
        <v>0</v>
      </c>
      <c r="CY121" s="60">
        <f t="shared" si="722"/>
        <v>0</v>
      </c>
      <c r="CZ121" s="59">
        <f t="shared" si="723"/>
        <v>0</v>
      </c>
      <c r="DA121" s="55">
        <f t="shared" si="724"/>
        <v>0</v>
      </c>
      <c r="DB121" s="59">
        <f t="shared" si="725"/>
        <v>0</v>
      </c>
      <c r="DC121" s="60">
        <f t="shared" si="726"/>
        <v>0</v>
      </c>
      <c r="DD121" s="59">
        <f t="shared" si="727"/>
        <v>0</v>
      </c>
      <c r="DE121" s="60">
        <f t="shared" si="728"/>
        <v>0</v>
      </c>
      <c r="DF121" s="59">
        <f t="shared" si="729"/>
        <v>0</v>
      </c>
      <c r="DG121" s="60">
        <f t="shared" si="730"/>
        <v>0</v>
      </c>
      <c r="DH121" s="59">
        <f t="shared" si="731"/>
        <v>0</v>
      </c>
      <c r="DI121" s="60">
        <f t="shared" si="732"/>
        <v>0</v>
      </c>
      <c r="DJ121" s="59">
        <f t="shared" si="733"/>
        <v>0</v>
      </c>
      <c r="DK121" s="55">
        <f t="shared" si="734"/>
        <v>0</v>
      </c>
      <c r="DL121" s="59">
        <f t="shared" si="735"/>
        <v>0</v>
      </c>
      <c r="DM121" s="60">
        <f t="shared" si="736"/>
        <v>0</v>
      </c>
      <c r="DN121" s="59">
        <f t="shared" si="737"/>
        <v>0</v>
      </c>
      <c r="DO121" s="60">
        <f t="shared" si="738"/>
        <v>0</v>
      </c>
      <c r="DP121" s="59">
        <f t="shared" si="739"/>
        <v>0</v>
      </c>
      <c r="DQ121" s="55">
        <f t="shared" si="740"/>
        <v>0</v>
      </c>
      <c r="DR121" s="59">
        <f t="shared" si="741"/>
        <v>0</v>
      </c>
      <c r="DU121" s="55">
        <v>1</v>
      </c>
      <c r="DV121" s="55">
        <v>0.97</v>
      </c>
      <c r="DW121" s="55">
        <v>0.95</v>
      </c>
      <c r="DX121" s="55">
        <v>0.93</v>
      </c>
      <c r="DY121" s="55">
        <f t="shared" si="650"/>
        <v>0.91</v>
      </c>
      <c r="DZ121" s="55">
        <f t="shared" si="650"/>
        <v>0.89</v>
      </c>
      <c r="EA121" s="55">
        <f t="shared" si="650"/>
        <v>0.87</v>
      </c>
      <c r="EB121" s="55">
        <f t="shared" si="650"/>
        <v>0.85</v>
      </c>
      <c r="EC121" s="55">
        <f t="shared" si="650"/>
        <v>0.83</v>
      </c>
      <c r="ED121" s="55">
        <f t="shared" si="650"/>
        <v>0.80999999999999994</v>
      </c>
      <c r="EE121" s="55">
        <f t="shared" si="650"/>
        <v>0.78999999999999992</v>
      </c>
      <c r="EF121" s="55">
        <f t="shared" si="650"/>
        <v>0.76999999999999991</v>
      </c>
      <c r="EG121" s="55">
        <f t="shared" si="650"/>
        <v>0.74999999999999989</v>
      </c>
      <c r="EH121" s="55">
        <f t="shared" si="650"/>
        <v>0.72999999999999987</v>
      </c>
      <c r="EI121" s="55">
        <f t="shared" si="650"/>
        <v>0.70999999999999985</v>
      </c>
      <c r="EJ121" s="55">
        <f t="shared" si="650"/>
        <v>0.68999999999999984</v>
      </c>
      <c r="EK121" s="55">
        <f t="shared" si="650"/>
        <v>0.66999999999999982</v>
      </c>
      <c r="EL121" s="55">
        <f t="shared" si="650"/>
        <v>0.6499999999999998</v>
      </c>
      <c r="EM121" s="55">
        <f t="shared" si="650"/>
        <v>0.62999999999999978</v>
      </c>
      <c r="EN121" s="55">
        <f t="shared" si="650"/>
        <v>0.60999999999999976</v>
      </c>
      <c r="EO121" s="55">
        <f t="shared" si="650"/>
        <v>0.58999999999999975</v>
      </c>
      <c r="EP121" s="55">
        <f t="shared" si="650"/>
        <v>0.56999999999999973</v>
      </c>
      <c r="ER121" s="55">
        <f t="shared" si="644"/>
        <v>0</v>
      </c>
      <c r="ES121" s="55">
        <f t="shared" si="507"/>
        <v>0</v>
      </c>
      <c r="ET121" s="59">
        <f t="shared" si="742"/>
        <v>0</v>
      </c>
      <c r="EU121" s="55">
        <f t="shared" si="743"/>
        <v>0</v>
      </c>
      <c r="EV121" s="59">
        <f t="shared" si="744"/>
        <v>0</v>
      </c>
      <c r="EW121" s="55">
        <f t="shared" si="745"/>
        <v>0</v>
      </c>
      <c r="EX121" s="59">
        <f t="shared" si="746"/>
        <v>0</v>
      </c>
      <c r="EY121" s="55">
        <f t="shared" si="747"/>
        <v>0</v>
      </c>
      <c r="EZ121" s="59">
        <f t="shared" si="748"/>
        <v>0</v>
      </c>
      <c r="FA121" s="57">
        <f t="shared" si="749"/>
        <v>0</v>
      </c>
      <c r="FB121" s="59">
        <f t="shared" si="750"/>
        <v>0</v>
      </c>
      <c r="FC121" s="55">
        <f t="shared" si="751"/>
        <v>0</v>
      </c>
      <c r="FD121" s="59">
        <f t="shared" si="752"/>
        <v>0</v>
      </c>
      <c r="FE121" s="57">
        <f t="shared" si="753"/>
        <v>0</v>
      </c>
      <c r="FF121" s="59">
        <f t="shared" si="754"/>
        <v>0</v>
      </c>
      <c r="FG121" s="60">
        <f t="shared" si="755"/>
        <v>0</v>
      </c>
      <c r="FH121" s="59">
        <f t="shared" si="756"/>
        <v>0</v>
      </c>
      <c r="FI121" s="57">
        <f t="shared" si="757"/>
        <v>0</v>
      </c>
      <c r="FJ121" s="59">
        <f t="shared" si="758"/>
        <v>0</v>
      </c>
      <c r="FK121" s="55">
        <f t="shared" si="759"/>
        <v>0</v>
      </c>
      <c r="FL121" s="59">
        <f t="shared" si="760"/>
        <v>0</v>
      </c>
      <c r="FM121" s="60">
        <f t="shared" si="761"/>
        <v>0</v>
      </c>
      <c r="FN121" s="59">
        <f t="shared" si="762"/>
        <v>0</v>
      </c>
      <c r="FO121" s="60">
        <f t="shared" si="763"/>
        <v>0</v>
      </c>
      <c r="FP121" s="59">
        <f t="shared" si="764"/>
        <v>0</v>
      </c>
      <c r="FQ121" s="60">
        <f t="shared" si="765"/>
        <v>0</v>
      </c>
      <c r="FR121" s="59">
        <f t="shared" si="766"/>
        <v>0</v>
      </c>
      <c r="FS121" s="55">
        <f t="shared" si="767"/>
        <v>0</v>
      </c>
      <c r="FT121" s="59">
        <f t="shared" si="768"/>
        <v>0</v>
      </c>
      <c r="FU121" s="60">
        <f t="shared" si="769"/>
        <v>0</v>
      </c>
      <c r="FV121" s="59">
        <f t="shared" si="770"/>
        <v>0</v>
      </c>
      <c r="FW121" s="60">
        <f t="shared" si="771"/>
        <v>0</v>
      </c>
      <c r="FX121" s="59">
        <f t="shared" si="772"/>
        <v>0</v>
      </c>
      <c r="FY121" s="60">
        <f t="shared" si="773"/>
        <v>0</v>
      </c>
      <c r="FZ121" s="59">
        <f t="shared" si="774"/>
        <v>0</v>
      </c>
      <c r="GA121" s="60">
        <f t="shared" si="775"/>
        <v>0</v>
      </c>
      <c r="GB121" s="59">
        <f t="shared" si="776"/>
        <v>0</v>
      </c>
      <c r="GC121" s="55">
        <f t="shared" si="777"/>
        <v>0</v>
      </c>
      <c r="GD121" s="59">
        <f t="shared" si="778"/>
        <v>0</v>
      </c>
      <c r="GE121" s="60">
        <f t="shared" si="779"/>
        <v>0</v>
      </c>
      <c r="GF121" s="59">
        <f t="shared" si="780"/>
        <v>0</v>
      </c>
      <c r="GG121" s="60">
        <f t="shared" si="781"/>
        <v>0</v>
      </c>
      <c r="GH121" s="59">
        <f t="shared" si="782"/>
        <v>0</v>
      </c>
      <c r="GI121" s="55">
        <f t="shared" si="783"/>
        <v>0</v>
      </c>
      <c r="GJ121" s="59">
        <f t="shared" si="784"/>
        <v>0</v>
      </c>
      <c r="GK121" s="55"/>
      <c r="GL121" s="55"/>
      <c r="GM121" s="55">
        <v>1</v>
      </c>
      <c r="GN121" s="55">
        <v>0.97</v>
      </c>
      <c r="GO121" s="55">
        <v>0.95</v>
      </c>
      <c r="GP121" s="55">
        <v>0.93</v>
      </c>
      <c r="GQ121" s="55">
        <f t="shared" si="651"/>
        <v>0.91</v>
      </c>
      <c r="GR121" s="55">
        <f t="shared" si="651"/>
        <v>0.89</v>
      </c>
      <c r="GS121" s="55">
        <f t="shared" si="651"/>
        <v>0.87</v>
      </c>
      <c r="GT121" s="55">
        <f t="shared" si="651"/>
        <v>0.85</v>
      </c>
      <c r="GU121" s="55">
        <f t="shared" si="651"/>
        <v>0.83</v>
      </c>
      <c r="GV121" s="55">
        <f t="shared" si="651"/>
        <v>0.80999999999999994</v>
      </c>
      <c r="GW121" s="55">
        <f t="shared" si="651"/>
        <v>0.78999999999999992</v>
      </c>
      <c r="GX121" s="55">
        <f t="shared" si="651"/>
        <v>0.76999999999999991</v>
      </c>
      <c r="GY121" s="55">
        <f t="shared" si="651"/>
        <v>0.74999999999999989</v>
      </c>
      <c r="GZ121" s="55">
        <f t="shared" si="651"/>
        <v>0.72999999999999987</v>
      </c>
      <c r="HA121" s="55">
        <f t="shared" si="651"/>
        <v>0.70999999999999985</v>
      </c>
      <c r="HB121" s="55">
        <f t="shared" si="651"/>
        <v>0.68999999999999984</v>
      </c>
      <c r="HC121" s="55">
        <f t="shared" si="651"/>
        <v>0.66999999999999982</v>
      </c>
      <c r="HD121" s="55">
        <f t="shared" si="651"/>
        <v>0.6499999999999998</v>
      </c>
      <c r="HE121" s="55">
        <f t="shared" si="651"/>
        <v>0.62999999999999978</v>
      </c>
      <c r="HF121" s="55">
        <f t="shared" si="651"/>
        <v>0.60999999999999976</v>
      </c>
      <c r="HG121" s="55">
        <f t="shared" si="651"/>
        <v>0.58999999999999975</v>
      </c>
      <c r="HH121" s="55">
        <f t="shared" si="651"/>
        <v>0.56999999999999973</v>
      </c>
    </row>
    <row r="122" spans="1:216" x14ac:dyDescent="0.3">
      <c r="A122" s="2">
        <v>7</v>
      </c>
      <c r="C122" s="38" t="s">
        <v>46</v>
      </c>
      <c r="D122" s="42">
        <f>TRUNC(8845,-1)</f>
        <v>8840</v>
      </c>
      <c r="E122" s="86">
        <f>TRUNC(+D122*3.3058,-1)</f>
        <v>29220</v>
      </c>
      <c r="H122" s="55">
        <f t="shared" si="502"/>
        <v>32142.000000000004</v>
      </c>
      <c r="I122" s="55">
        <f t="shared" si="503"/>
        <v>32142.000000000004</v>
      </c>
      <c r="J122" s="59">
        <f t="shared" si="504"/>
        <v>106255.02360000001</v>
      </c>
      <c r="K122" s="55">
        <f t="shared" si="656"/>
        <v>31177.74</v>
      </c>
      <c r="L122" s="59">
        <f t="shared" si="657"/>
        <v>103067.37289200001</v>
      </c>
      <c r="M122" s="55">
        <f t="shared" si="658"/>
        <v>30534.9</v>
      </c>
      <c r="N122" s="59">
        <f t="shared" si="659"/>
        <v>100942.27242000001</v>
      </c>
      <c r="O122" s="55">
        <f t="shared" si="660"/>
        <v>29892.060000000005</v>
      </c>
      <c r="P122" s="59">
        <f t="shared" si="661"/>
        <v>98817.171948000017</v>
      </c>
      <c r="Q122" s="57">
        <f t="shared" si="662"/>
        <v>29249.220000000005</v>
      </c>
      <c r="R122" s="59">
        <f t="shared" si="663"/>
        <v>96692.071476000012</v>
      </c>
      <c r="S122" s="55">
        <f t="shared" si="664"/>
        <v>28606.380000000005</v>
      </c>
      <c r="T122" s="59">
        <f t="shared" si="665"/>
        <v>94566.971004000021</v>
      </c>
      <c r="U122" s="57">
        <f t="shared" si="666"/>
        <v>27963.540000000005</v>
      </c>
      <c r="V122" s="59">
        <f t="shared" si="667"/>
        <v>92441.870532000015</v>
      </c>
      <c r="W122" s="60">
        <f t="shared" si="668"/>
        <v>27320.7</v>
      </c>
      <c r="X122" s="59">
        <f t="shared" si="669"/>
        <v>90316.77006000001</v>
      </c>
      <c r="Y122" s="57">
        <f t="shared" si="670"/>
        <v>26677.86</v>
      </c>
      <c r="Z122" s="59">
        <f t="shared" si="671"/>
        <v>88191.669588000004</v>
      </c>
      <c r="AA122" s="55">
        <f t="shared" si="672"/>
        <v>26035.02</v>
      </c>
      <c r="AB122" s="59">
        <f t="shared" si="673"/>
        <v>86066.569115999999</v>
      </c>
      <c r="AC122" s="60">
        <f t="shared" si="674"/>
        <v>25392.18</v>
      </c>
      <c r="AD122" s="59">
        <f t="shared" si="675"/>
        <v>83941.468644000008</v>
      </c>
      <c r="AE122" s="60">
        <f t="shared" si="676"/>
        <v>24749.34</v>
      </c>
      <c r="AF122" s="59">
        <f t="shared" si="677"/>
        <v>81816.368172000002</v>
      </c>
      <c r="AG122" s="60">
        <f t="shared" si="678"/>
        <v>24106.5</v>
      </c>
      <c r="AH122" s="59">
        <f t="shared" si="679"/>
        <v>79691.267699999997</v>
      </c>
      <c r="AI122" s="55">
        <f t="shared" si="680"/>
        <v>23463.66</v>
      </c>
      <c r="AJ122" s="59">
        <f t="shared" si="681"/>
        <v>77566.167228000006</v>
      </c>
      <c r="AK122" s="60">
        <f t="shared" si="682"/>
        <v>22820.819999999996</v>
      </c>
      <c r="AL122" s="59">
        <f t="shared" si="683"/>
        <v>75441.066755999986</v>
      </c>
      <c r="AM122" s="60">
        <f t="shared" si="684"/>
        <v>22177.979999999996</v>
      </c>
      <c r="AN122" s="59">
        <f t="shared" si="685"/>
        <v>73315.966283999995</v>
      </c>
      <c r="AO122" s="60">
        <f t="shared" si="686"/>
        <v>21535.139999999996</v>
      </c>
      <c r="AP122" s="59">
        <f t="shared" si="687"/>
        <v>71190.865811999989</v>
      </c>
      <c r="AQ122" s="60">
        <f t="shared" si="688"/>
        <v>20892.299999999996</v>
      </c>
      <c r="AR122" s="59">
        <f t="shared" si="689"/>
        <v>69065.765339999984</v>
      </c>
      <c r="AS122" s="55">
        <f t="shared" si="690"/>
        <v>20249.459999999995</v>
      </c>
      <c r="AT122" s="59">
        <f t="shared" si="691"/>
        <v>66940.664867999993</v>
      </c>
      <c r="AU122" s="60">
        <f t="shared" si="692"/>
        <v>19606.619999999995</v>
      </c>
      <c r="AV122" s="59">
        <f t="shared" si="693"/>
        <v>64815.564395999987</v>
      </c>
      <c r="AW122" s="60">
        <f t="shared" si="694"/>
        <v>18963.779999999995</v>
      </c>
      <c r="AX122" s="59">
        <f t="shared" si="695"/>
        <v>62690.463923999989</v>
      </c>
      <c r="AY122" s="55">
        <f t="shared" si="696"/>
        <v>18320.939999999995</v>
      </c>
      <c r="AZ122" s="59">
        <f t="shared" si="697"/>
        <v>60565.363451999983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si="698"/>
        <v>0.91</v>
      </c>
      <c r="BH122" s="55">
        <f t="shared" si="698"/>
        <v>0.89</v>
      </c>
      <c r="BI122" s="55">
        <f t="shared" si="698"/>
        <v>0.87</v>
      </c>
      <c r="BJ122" s="55">
        <f t="shared" si="698"/>
        <v>0.85</v>
      </c>
      <c r="BK122" s="55">
        <f t="shared" si="698"/>
        <v>0.83</v>
      </c>
      <c r="BL122" s="55">
        <f t="shared" si="698"/>
        <v>0.80999999999999994</v>
      </c>
      <c r="BM122" s="55">
        <f t="shared" si="698"/>
        <v>0.78999999999999992</v>
      </c>
      <c r="BN122" s="55">
        <f t="shared" si="698"/>
        <v>0.76999999999999991</v>
      </c>
      <c r="BO122" s="55">
        <f t="shared" si="698"/>
        <v>0.74999999999999989</v>
      </c>
      <c r="BP122" s="55">
        <f t="shared" si="698"/>
        <v>0.72999999999999987</v>
      </c>
      <c r="BQ122" s="55">
        <f t="shared" si="698"/>
        <v>0.70999999999999985</v>
      </c>
      <c r="BR122" s="55">
        <f t="shared" si="698"/>
        <v>0.68999999999999984</v>
      </c>
      <c r="BS122" s="55">
        <f t="shared" si="698"/>
        <v>0.66999999999999982</v>
      </c>
      <c r="BT122" s="55">
        <f t="shared" si="698"/>
        <v>0.6499999999999998</v>
      </c>
      <c r="BU122" s="55">
        <f t="shared" si="698"/>
        <v>0.62999999999999978</v>
      </c>
      <c r="BV122" s="55">
        <f t="shared" si="698"/>
        <v>0.60999999999999976</v>
      </c>
      <c r="BW122" s="55">
        <f t="shared" si="698"/>
        <v>0.58999999999999975</v>
      </c>
      <c r="BX122" s="55">
        <f t="shared" si="698"/>
        <v>0.56999999999999973</v>
      </c>
      <c r="BZ122" s="55">
        <f t="shared" si="505"/>
        <v>29249.220000000005</v>
      </c>
      <c r="CA122" s="55">
        <f t="shared" si="506"/>
        <v>29249.220000000005</v>
      </c>
      <c r="CB122" s="59">
        <f t="shared" si="699"/>
        <v>96692.071476000012</v>
      </c>
      <c r="CC122" s="55">
        <f t="shared" si="700"/>
        <v>28371.743400000003</v>
      </c>
      <c r="CD122" s="59">
        <f t="shared" si="701"/>
        <v>93791.309331720011</v>
      </c>
      <c r="CE122" s="55">
        <f t="shared" si="702"/>
        <v>27786.759000000002</v>
      </c>
      <c r="CF122" s="59">
        <f t="shared" si="703"/>
        <v>91857.467902200005</v>
      </c>
      <c r="CG122" s="55">
        <f t="shared" si="704"/>
        <v>27201.774600000004</v>
      </c>
      <c r="CH122" s="59">
        <f t="shared" si="705"/>
        <v>89923.626472680015</v>
      </c>
      <c r="CI122" s="57">
        <f t="shared" si="706"/>
        <v>26616.790200000007</v>
      </c>
      <c r="CJ122" s="59">
        <f t="shared" si="707"/>
        <v>87989.785043160024</v>
      </c>
      <c r="CK122" s="55">
        <f t="shared" si="708"/>
        <v>26031.805800000006</v>
      </c>
      <c r="CL122" s="59">
        <f t="shared" si="709"/>
        <v>86055.943613640018</v>
      </c>
      <c r="CM122" s="57">
        <f t="shared" si="710"/>
        <v>25446.821400000004</v>
      </c>
      <c r="CN122" s="59">
        <f t="shared" si="711"/>
        <v>84122.102184120013</v>
      </c>
      <c r="CO122" s="60">
        <f t="shared" si="712"/>
        <v>24861.837000000003</v>
      </c>
      <c r="CP122" s="59">
        <f t="shared" si="713"/>
        <v>82188.260754600007</v>
      </c>
      <c r="CQ122" s="57">
        <f t="shared" si="714"/>
        <v>24276.852600000002</v>
      </c>
      <c r="CR122" s="59">
        <f t="shared" si="715"/>
        <v>80254.419325080002</v>
      </c>
      <c r="CS122" s="55">
        <f t="shared" si="716"/>
        <v>23691.868200000001</v>
      </c>
      <c r="CT122" s="59">
        <f t="shared" si="717"/>
        <v>78320.577895560011</v>
      </c>
      <c r="CU122" s="60">
        <f t="shared" si="718"/>
        <v>23106.883800000003</v>
      </c>
      <c r="CV122" s="59">
        <f t="shared" si="719"/>
        <v>76386.736466040005</v>
      </c>
      <c r="CW122" s="60">
        <f t="shared" si="720"/>
        <v>22521.899400000002</v>
      </c>
      <c r="CX122" s="59">
        <f t="shared" si="721"/>
        <v>74452.895036520014</v>
      </c>
      <c r="CY122" s="60">
        <f t="shared" si="722"/>
        <v>21936.915000000001</v>
      </c>
      <c r="CZ122" s="59">
        <f t="shared" si="723"/>
        <v>72519.053607000009</v>
      </c>
      <c r="DA122" s="55">
        <f t="shared" si="724"/>
        <v>21351.9306</v>
      </c>
      <c r="DB122" s="59">
        <f t="shared" si="725"/>
        <v>70585.212177480003</v>
      </c>
      <c r="DC122" s="60">
        <f t="shared" si="726"/>
        <v>20766.946199999998</v>
      </c>
      <c r="DD122" s="59">
        <f t="shared" si="727"/>
        <v>68651.370747959998</v>
      </c>
      <c r="DE122" s="60">
        <f t="shared" si="728"/>
        <v>20181.961799999997</v>
      </c>
      <c r="DF122" s="59">
        <f t="shared" si="729"/>
        <v>66717.529318439992</v>
      </c>
      <c r="DG122" s="60">
        <f t="shared" si="730"/>
        <v>19596.977399999996</v>
      </c>
      <c r="DH122" s="59">
        <f t="shared" si="731"/>
        <v>64783.687888919987</v>
      </c>
      <c r="DI122" s="60">
        <f t="shared" si="732"/>
        <v>19011.992999999999</v>
      </c>
      <c r="DJ122" s="59">
        <f t="shared" si="733"/>
        <v>62849.846459399996</v>
      </c>
      <c r="DK122" s="55">
        <f t="shared" si="734"/>
        <v>18427.008599999997</v>
      </c>
      <c r="DL122" s="59">
        <f t="shared" si="735"/>
        <v>60916.005029879991</v>
      </c>
      <c r="DM122" s="60">
        <f t="shared" si="736"/>
        <v>17842.024199999996</v>
      </c>
      <c r="DN122" s="59">
        <f t="shared" si="737"/>
        <v>58982.163600359985</v>
      </c>
      <c r="DO122" s="60">
        <f t="shared" si="738"/>
        <v>17257.039799999995</v>
      </c>
      <c r="DP122" s="59">
        <f t="shared" si="739"/>
        <v>57048.322170839987</v>
      </c>
      <c r="DQ122" s="55">
        <f t="shared" si="740"/>
        <v>16672.055399999994</v>
      </c>
      <c r="DR122" s="59">
        <f t="shared" si="741"/>
        <v>55114.480741319981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50"/>
        <v>0.91</v>
      </c>
      <c r="DZ122" s="55">
        <f t="shared" si="650"/>
        <v>0.89</v>
      </c>
      <c r="EA122" s="55">
        <f t="shared" si="650"/>
        <v>0.87</v>
      </c>
      <c r="EB122" s="55">
        <f t="shared" si="650"/>
        <v>0.85</v>
      </c>
      <c r="EC122" s="55">
        <f t="shared" si="650"/>
        <v>0.83</v>
      </c>
      <c r="ED122" s="55">
        <f t="shared" si="650"/>
        <v>0.80999999999999994</v>
      </c>
      <c r="EE122" s="55">
        <f t="shared" si="650"/>
        <v>0.78999999999999992</v>
      </c>
      <c r="EF122" s="55">
        <f t="shared" si="650"/>
        <v>0.76999999999999991</v>
      </c>
      <c r="EG122" s="55">
        <f t="shared" si="650"/>
        <v>0.74999999999999989</v>
      </c>
      <c r="EH122" s="55">
        <f t="shared" si="650"/>
        <v>0.72999999999999987</v>
      </c>
      <c r="EI122" s="55">
        <f t="shared" si="650"/>
        <v>0.70999999999999985</v>
      </c>
      <c r="EJ122" s="55">
        <f t="shared" si="650"/>
        <v>0.68999999999999984</v>
      </c>
      <c r="EK122" s="55">
        <f t="shared" si="650"/>
        <v>0.66999999999999982</v>
      </c>
      <c r="EL122" s="55">
        <f t="shared" si="650"/>
        <v>0.6499999999999998</v>
      </c>
      <c r="EM122" s="55">
        <f t="shared" si="650"/>
        <v>0.62999999999999978</v>
      </c>
      <c r="EN122" s="55">
        <f t="shared" si="650"/>
        <v>0.60999999999999976</v>
      </c>
      <c r="EO122" s="55">
        <f t="shared" si="650"/>
        <v>0.58999999999999975</v>
      </c>
      <c r="EP122" s="55">
        <f t="shared" si="650"/>
        <v>0.56999999999999973</v>
      </c>
      <c r="ER122" s="55">
        <f t="shared" si="644"/>
        <v>26616.790200000007</v>
      </c>
      <c r="ES122" s="55">
        <f t="shared" si="507"/>
        <v>26616.790200000007</v>
      </c>
      <c r="ET122" s="59">
        <f t="shared" si="742"/>
        <v>87989.785043160024</v>
      </c>
      <c r="EU122" s="55">
        <f t="shared" si="743"/>
        <v>25818.286494000007</v>
      </c>
      <c r="EV122" s="59">
        <f t="shared" si="744"/>
        <v>85350.091491865227</v>
      </c>
      <c r="EW122" s="55">
        <f t="shared" si="745"/>
        <v>25285.950690000005</v>
      </c>
      <c r="EX122" s="59">
        <f t="shared" si="746"/>
        <v>83590.29579100202</v>
      </c>
      <c r="EY122" s="55">
        <f t="shared" si="747"/>
        <v>24753.614886000007</v>
      </c>
      <c r="EZ122" s="59">
        <f t="shared" si="748"/>
        <v>81830.500090138827</v>
      </c>
      <c r="FA122" s="57">
        <f t="shared" si="749"/>
        <v>24221.279082000008</v>
      </c>
      <c r="FB122" s="59">
        <f t="shared" si="750"/>
        <v>80070.704389275634</v>
      </c>
      <c r="FC122" s="55">
        <f t="shared" si="751"/>
        <v>23688.943278000006</v>
      </c>
      <c r="FD122" s="59">
        <f t="shared" si="752"/>
        <v>78310.908688412426</v>
      </c>
      <c r="FE122" s="57">
        <f t="shared" si="753"/>
        <v>23156.607474000004</v>
      </c>
      <c r="FF122" s="59">
        <f t="shared" si="754"/>
        <v>76551.112987549219</v>
      </c>
      <c r="FG122" s="60">
        <f t="shared" si="755"/>
        <v>22624.271670000006</v>
      </c>
      <c r="FH122" s="59">
        <f t="shared" si="756"/>
        <v>74791.317286686026</v>
      </c>
      <c r="FI122" s="57">
        <f t="shared" si="757"/>
        <v>22091.935866000003</v>
      </c>
      <c r="FJ122" s="59">
        <f t="shared" si="758"/>
        <v>73031.521585822818</v>
      </c>
      <c r="FK122" s="55">
        <f t="shared" si="759"/>
        <v>21559.600062000005</v>
      </c>
      <c r="FL122" s="59">
        <f t="shared" si="760"/>
        <v>71271.725884959611</v>
      </c>
      <c r="FM122" s="60">
        <f t="shared" si="761"/>
        <v>21027.264258000003</v>
      </c>
      <c r="FN122" s="59">
        <f t="shared" si="762"/>
        <v>69511.930184096418</v>
      </c>
      <c r="FO122" s="60">
        <f t="shared" si="763"/>
        <v>20494.928454000004</v>
      </c>
      <c r="FP122" s="59">
        <f t="shared" si="764"/>
        <v>67752.134483233211</v>
      </c>
      <c r="FQ122" s="60">
        <f t="shared" si="765"/>
        <v>19962.592650000002</v>
      </c>
      <c r="FR122" s="59">
        <f t="shared" si="766"/>
        <v>65992.338782370003</v>
      </c>
      <c r="FS122" s="55">
        <f t="shared" si="767"/>
        <v>19430.256846</v>
      </c>
      <c r="FT122" s="59">
        <f t="shared" si="768"/>
        <v>64232.543081506803</v>
      </c>
      <c r="FU122" s="60">
        <f t="shared" si="769"/>
        <v>18897.921042000002</v>
      </c>
      <c r="FV122" s="59">
        <f t="shared" si="770"/>
        <v>62472.74738064361</v>
      </c>
      <c r="FW122" s="60">
        <f t="shared" si="771"/>
        <v>18365.585238</v>
      </c>
      <c r="FX122" s="59">
        <f t="shared" si="772"/>
        <v>60712.951679780403</v>
      </c>
      <c r="FY122" s="60">
        <f t="shared" si="773"/>
        <v>17833.249434000001</v>
      </c>
      <c r="FZ122" s="59">
        <f t="shared" si="774"/>
        <v>58953.155978917202</v>
      </c>
      <c r="GA122" s="60">
        <f t="shared" si="775"/>
        <v>17300.913629999999</v>
      </c>
      <c r="GB122" s="59">
        <f t="shared" si="776"/>
        <v>57193.360278053995</v>
      </c>
      <c r="GC122" s="55">
        <f t="shared" si="777"/>
        <v>16768.577825999997</v>
      </c>
      <c r="GD122" s="59">
        <f t="shared" si="778"/>
        <v>55433.564577190795</v>
      </c>
      <c r="GE122" s="60">
        <f t="shared" si="779"/>
        <v>16236.242021999999</v>
      </c>
      <c r="GF122" s="59">
        <f t="shared" si="780"/>
        <v>53673.768876327595</v>
      </c>
      <c r="GG122" s="60">
        <f t="shared" si="781"/>
        <v>15703.906217999996</v>
      </c>
      <c r="GH122" s="59">
        <f t="shared" si="782"/>
        <v>51913.973175464387</v>
      </c>
      <c r="GI122" s="55">
        <f t="shared" si="783"/>
        <v>15171.570413999996</v>
      </c>
      <c r="GJ122" s="59">
        <f t="shared" si="784"/>
        <v>50154.177474601187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51"/>
        <v>0.91</v>
      </c>
      <c r="GR122" s="55">
        <f t="shared" si="651"/>
        <v>0.89</v>
      </c>
      <c r="GS122" s="55">
        <f t="shared" si="651"/>
        <v>0.87</v>
      </c>
      <c r="GT122" s="55">
        <f t="shared" si="651"/>
        <v>0.85</v>
      </c>
      <c r="GU122" s="55">
        <f t="shared" si="651"/>
        <v>0.83</v>
      </c>
      <c r="GV122" s="55">
        <f t="shared" si="651"/>
        <v>0.80999999999999994</v>
      </c>
      <c r="GW122" s="55">
        <f t="shared" si="651"/>
        <v>0.78999999999999992</v>
      </c>
      <c r="GX122" s="55">
        <f t="shared" si="651"/>
        <v>0.76999999999999991</v>
      </c>
      <c r="GY122" s="55">
        <f t="shared" si="651"/>
        <v>0.74999999999999989</v>
      </c>
      <c r="GZ122" s="55">
        <f t="shared" si="651"/>
        <v>0.72999999999999987</v>
      </c>
      <c r="HA122" s="55">
        <f t="shared" si="651"/>
        <v>0.70999999999999985</v>
      </c>
      <c r="HB122" s="55">
        <f t="shared" si="651"/>
        <v>0.68999999999999984</v>
      </c>
      <c r="HC122" s="55">
        <f t="shared" si="651"/>
        <v>0.66999999999999982</v>
      </c>
      <c r="HD122" s="55">
        <f t="shared" si="651"/>
        <v>0.6499999999999998</v>
      </c>
      <c r="HE122" s="55">
        <f t="shared" si="651"/>
        <v>0.62999999999999978</v>
      </c>
      <c r="HF122" s="55">
        <f t="shared" si="651"/>
        <v>0.60999999999999976</v>
      </c>
      <c r="HG122" s="55">
        <f t="shared" si="651"/>
        <v>0.58999999999999975</v>
      </c>
      <c r="HH122" s="55">
        <f t="shared" si="651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86">
        <f>TRUNC(+D123*3.3058,-1)</f>
        <v>0</v>
      </c>
      <c r="H123" s="55">
        <f t="shared" si="502"/>
        <v>0</v>
      </c>
      <c r="I123" s="55">
        <f t="shared" si="503"/>
        <v>0</v>
      </c>
      <c r="J123" s="59">
        <f t="shared" si="504"/>
        <v>0</v>
      </c>
      <c r="K123" s="55">
        <f t="shared" si="656"/>
        <v>0</v>
      </c>
      <c r="L123" s="59">
        <f t="shared" si="657"/>
        <v>0</v>
      </c>
      <c r="M123" s="55">
        <f t="shared" si="658"/>
        <v>0</v>
      </c>
      <c r="N123" s="59">
        <f t="shared" si="659"/>
        <v>0</v>
      </c>
      <c r="O123" s="55">
        <f t="shared" si="660"/>
        <v>0</v>
      </c>
      <c r="P123" s="59">
        <f t="shared" si="661"/>
        <v>0</v>
      </c>
      <c r="Q123" s="57">
        <f t="shared" si="662"/>
        <v>0</v>
      </c>
      <c r="R123" s="59">
        <f t="shared" si="663"/>
        <v>0</v>
      </c>
      <c r="S123" s="55">
        <f t="shared" si="664"/>
        <v>0</v>
      </c>
      <c r="T123" s="59">
        <f t="shared" si="665"/>
        <v>0</v>
      </c>
      <c r="U123" s="57">
        <f t="shared" si="666"/>
        <v>0</v>
      </c>
      <c r="V123" s="59">
        <f t="shared" si="667"/>
        <v>0</v>
      </c>
      <c r="W123" s="60">
        <f t="shared" si="668"/>
        <v>0</v>
      </c>
      <c r="X123" s="59">
        <f t="shared" si="669"/>
        <v>0</v>
      </c>
      <c r="Y123" s="57">
        <f t="shared" si="670"/>
        <v>0</v>
      </c>
      <c r="Z123" s="59">
        <f t="shared" si="671"/>
        <v>0</v>
      </c>
      <c r="AA123" s="55">
        <f t="shared" si="672"/>
        <v>0</v>
      </c>
      <c r="AB123" s="59">
        <f t="shared" si="673"/>
        <v>0</v>
      </c>
      <c r="AC123" s="60">
        <f t="shared" si="674"/>
        <v>0</v>
      </c>
      <c r="AD123" s="59">
        <f t="shared" si="675"/>
        <v>0</v>
      </c>
      <c r="AE123" s="60">
        <f t="shared" si="676"/>
        <v>0</v>
      </c>
      <c r="AF123" s="59">
        <f t="shared" si="677"/>
        <v>0</v>
      </c>
      <c r="AG123" s="60">
        <f t="shared" si="678"/>
        <v>0</v>
      </c>
      <c r="AH123" s="59">
        <f t="shared" si="679"/>
        <v>0</v>
      </c>
      <c r="AI123" s="55">
        <f t="shared" si="680"/>
        <v>0</v>
      </c>
      <c r="AJ123" s="59">
        <f t="shared" si="681"/>
        <v>0</v>
      </c>
      <c r="AK123" s="60">
        <f t="shared" si="682"/>
        <v>0</v>
      </c>
      <c r="AL123" s="59">
        <f t="shared" si="683"/>
        <v>0</v>
      </c>
      <c r="AM123" s="60">
        <f t="shared" si="684"/>
        <v>0</v>
      </c>
      <c r="AN123" s="59">
        <f t="shared" si="685"/>
        <v>0</v>
      </c>
      <c r="AO123" s="60">
        <f t="shared" si="686"/>
        <v>0</v>
      </c>
      <c r="AP123" s="59">
        <f t="shared" si="687"/>
        <v>0</v>
      </c>
      <c r="AQ123" s="60">
        <f t="shared" si="688"/>
        <v>0</v>
      </c>
      <c r="AR123" s="59">
        <f t="shared" si="689"/>
        <v>0</v>
      </c>
      <c r="AS123" s="55">
        <f t="shared" si="690"/>
        <v>0</v>
      </c>
      <c r="AT123" s="59">
        <f t="shared" si="691"/>
        <v>0</v>
      </c>
      <c r="AU123" s="60">
        <f t="shared" si="692"/>
        <v>0</v>
      </c>
      <c r="AV123" s="59">
        <f t="shared" si="693"/>
        <v>0</v>
      </c>
      <c r="AW123" s="60">
        <f t="shared" si="694"/>
        <v>0</v>
      </c>
      <c r="AX123" s="59">
        <f t="shared" si="695"/>
        <v>0</v>
      </c>
      <c r="AY123" s="55">
        <f t="shared" si="696"/>
        <v>0</v>
      </c>
      <c r="AZ123" s="59">
        <f t="shared" si="697"/>
        <v>0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698"/>
        <v>0.91</v>
      </c>
      <c r="BH123" s="55">
        <f t="shared" si="698"/>
        <v>0.89</v>
      </c>
      <c r="BI123" s="55">
        <f t="shared" si="698"/>
        <v>0.87</v>
      </c>
      <c r="BJ123" s="55">
        <f t="shared" si="698"/>
        <v>0.85</v>
      </c>
      <c r="BK123" s="55">
        <f t="shared" si="698"/>
        <v>0.83</v>
      </c>
      <c r="BL123" s="55">
        <f t="shared" si="698"/>
        <v>0.80999999999999994</v>
      </c>
      <c r="BM123" s="55">
        <f t="shared" si="698"/>
        <v>0.78999999999999992</v>
      </c>
      <c r="BN123" s="55">
        <f t="shared" si="698"/>
        <v>0.76999999999999991</v>
      </c>
      <c r="BO123" s="55">
        <f t="shared" si="698"/>
        <v>0.74999999999999989</v>
      </c>
      <c r="BP123" s="55">
        <f t="shared" si="698"/>
        <v>0.72999999999999987</v>
      </c>
      <c r="BQ123" s="55">
        <f t="shared" si="698"/>
        <v>0.70999999999999985</v>
      </c>
      <c r="BR123" s="55">
        <f t="shared" si="698"/>
        <v>0.68999999999999984</v>
      </c>
      <c r="BS123" s="55">
        <f t="shared" si="698"/>
        <v>0.66999999999999982</v>
      </c>
      <c r="BT123" s="55">
        <f t="shared" si="698"/>
        <v>0.6499999999999998</v>
      </c>
      <c r="BU123" s="55">
        <f t="shared" si="698"/>
        <v>0.62999999999999978</v>
      </c>
      <c r="BV123" s="55">
        <f t="shared" si="698"/>
        <v>0.60999999999999976</v>
      </c>
      <c r="BW123" s="55">
        <f t="shared" si="698"/>
        <v>0.58999999999999975</v>
      </c>
      <c r="BX123" s="55">
        <f t="shared" si="698"/>
        <v>0.56999999999999973</v>
      </c>
      <c r="BZ123" s="55">
        <f t="shared" si="505"/>
        <v>0</v>
      </c>
      <c r="CA123" s="55">
        <f t="shared" si="506"/>
        <v>0</v>
      </c>
      <c r="CB123" s="59">
        <f t="shared" si="699"/>
        <v>0</v>
      </c>
      <c r="CC123" s="55">
        <f t="shared" si="700"/>
        <v>0</v>
      </c>
      <c r="CD123" s="59">
        <f t="shared" si="701"/>
        <v>0</v>
      </c>
      <c r="CE123" s="55">
        <f t="shared" si="702"/>
        <v>0</v>
      </c>
      <c r="CF123" s="59">
        <f t="shared" si="703"/>
        <v>0</v>
      </c>
      <c r="CG123" s="55">
        <f t="shared" si="704"/>
        <v>0</v>
      </c>
      <c r="CH123" s="59">
        <f t="shared" si="705"/>
        <v>0</v>
      </c>
      <c r="CI123" s="57">
        <f t="shared" si="706"/>
        <v>0</v>
      </c>
      <c r="CJ123" s="59">
        <f t="shared" si="707"/>
        <v>0</v>
      </c>
      <c r="CK123" s="55">
        <f t="shared" si="708"/>
        <v>0</v>
      </c>
      <c r="CL123" s="59">
        <f t="shared" si="709"/>
        <v>0</v>
      </c>
      <c r="CM123" s="57">
        <f t="shared" si="710"/>
        <v>0</v>
      </c>
      <c r="CN123" s="59">
        <f t="shared" si="711"/>
        <v>0</v>
      </c>
      <c r="CO123" s="60">
        <f t="shared" si="712"/>
        <v>0</v>
      </c>
      <c r="CP123" s="59">
        <f t="shared" si="713"/>
        <v>0</v>
      </c>
      <c r="CQ123" s="57">
        <f t="shared" si="714"/>
        <v>0</v>
      </c>
      <c r="CR123" s="59">
        <f t="shared" si="715"/>
        <v>0</v>
      </c>
      <c r="CS123" s="55">
        <f t="shared" si="716"/>
        <v>0</v>
      </c>
      <c r="CT123" s="59">
        <f t="shared" si="717"/>
        <v>0</v>
      </c>
      <c r="CU123" s="60">
        <f t="shared" si="718"/>
        <v>0</v>
      </c>
      <c r="CV123" s="59">
        <f t="shared" si="719"/>
        <v>0</v>
      </c>
      <c r="CW123" s="60">
        <f t="shared" si="720"/>
        <v>0</v>
      </c>
      <c r="CX123" s="59">
        <f t="shared" si="721"/>
        <v>0</v>
      </c>
      <c r="CY123" s="60">
        <f t="shared" si="722"/>
        <v>0</v>
      </c>
      <c r="CZ123" s="59">
        <f t="shared" si="723"/>
        <v>0</v>
      </c>
      <c r="DA123" s="55">
        <f t="shared" si="724"/>
        <v>0</v>
      </c>
      <c r="DB123" s="59">
        <f t="shared" si="725"/>
        <v>0</v>
      </c>
      <c r="DC123" s="60">
        <f t="shared" si="726"/>
        <v>0</v>
      </c>
      <c r="DD123" s="59">
        <f t="shared" si="727"/>
        <v>0</v>
      </c>
      <c r="DE123" s="60">
        <f t="shared" si="728"/>
        <v>0</v>
      </c>
      <c r="DF123" s="59">
        <f t="shared" si="729"/>
        <v>0</v>
      </c>
      <c r="DG123" s="60">
        <f t="shared" si="730"/>
        <v>0</v>
      </c>
      <c r="DH123" s="59">
        <f t="shared" si="731"/>
        <v>0</v>
      </c>
      <c r="DI123" s="60">
        <f t="shared" si="732"/>
        <v>0</v>
      </c>
      <c r="DJ123" s="59">
        <f t="shared" si="733"/>
        <v>0</v>
      </c>
      <c r="DK123" s="55">
        <f t="shared" si="734"/>
        <v>0</v>
      </c>
      <c r="DL123" s="59">
        <f t="shared" si="735"/>
        <v>0</v>
      </c>
      <c r="DM123" s="60">
        <f t="shared" si="736"/>
        <v>0</v>
      </c>
      <c r="DN123" s="59">
        <f t="shared" si="737"/>
        <v>0</v>
      </c>
      <c r="DO123" s="60">
        <f t="shared" si="738"/>
        <v>0</v>
      </c>
      <c r="DP123" s="59">
        <f t="shared" si="739"/>
        <v>0</v>
      </c>
      <c r="DQ123" s="55">
        <f t="shared" si="740"/>
        <v>0</v>
      </c>
      <c r="DR123" s="59">
        <f t="shared" si="741"/>
        <v>0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50"/>
        <v>0.91</v>
      </c>
      <c r="DZ123" s="55">
        <f t="shared" si="650"/>
        <v>0.89</v>
      </c>
      <c r="EA123" s="55">
        <f t="shared" si="650"/>
        <v>0.87</v>
      </c>
      <c r="EB123" s="55">
        <f t="shared" ref="EB123:EP123" si="785">+EA123-0.02</f>
        <v>0.85</v>
      </c>
      <c r="EC123" s="55">
        <f t="shared" si="785"/>
        <v>0.83</v>
      </c>
      <c r="ED123" s="55">
        <f t="shared" si="785"/>
        <v>0.80999999999999994</v>
      </c>
      <c r="EE123" s="55">
        <f t="shared" si="785"/>
        <v>0.78999999999999992</v>
      </c>
      <c r="EF123" s="55">
        <f t="shared" si="785"/>
        <v>0.76999999999999991</v>
      </c>
      <c r="EG123" s="55">
        <f t="shared" si="785"/>
        <v>0.74999999999999989</v>
      </c>
      <c r="EH123" s="55">
        <f t="shared" si="785"/>
        <v>0.72999999999999987</v>
      </c>
      <c r="EI123" s="55">
        <f t="shared" si="785"/>
        <v>0.70999999999999985</v>
      </c>
      <c r="EJ123" s="55">
        <f t="shared" si="785"/>
        <v>0.68999999999999984</v>
      </c>
      <c r="EK123" s="55">
        <f t="shared" si="785"/>
        <v>0.66999999999999982</v>
      </c>
      <c r="EL123" s="55">
        <f t="shared" si="785"/>
        <v>0.6499999999999998</v>
      </c>
      <c r="EM123" s="55">
        <f t="shared" si="785"/>
        <v>0.62999999999999978</v>
      </c>
      <c r="EN123" s="55">
        <f t="shared" si="785"/>
        <v>0.60999999999999976</v>
      </c>
      <c r="EO123" s="55">
        <f t="shared" si="785"/>
        <v>0.58999999999999975</v>
      </c>
      <c r="EP123" s="55">
        <f t="shared" si="785"/>
        <v>0.56999999999999973</v>
      </c>
      <c r="ER123" s="55">
        <f t="shared" si="644"/>
        <v>0</v>
      </c>
      <c r="ES123" s="55">
        <f t="shared" si="507"/>
        <v>0</v>
      </c>
      <c r="ET123" s="59">
        <f t="shared" si="742"/>
        <v>0</v>
      </c>
      <c r="EU123" s="55">
        <f t="shared" si="743"/>
        <v>0</v>
      </c>
      <c r="EV123" s="59">
        <f t="shared" si="744"/>
        <v>0</v>
      </c>
      <c r="EW123" s="55">
        <f t="shared" si="745"/>
        <v>0</v>
      </c>
      <c r="EX123" s="59">
        <f t="shared" si="746"/>
        <v>0</v>
      </c>
      <c r="EY123" s="55">
        <f t="shared" si="747"/>
        <v>0</v>
      </c>
      <c r="EZ123" s="59">
        <f t="shared" si="748"/>
        <v>0</v>
      </c>
      <c r="FA123" s="57">
        <f t="shared" si="749"/>
        <v>0</v>
      </c>
      <c r="FB123" s="59">
        <f t="shared" si="750"/>
        <v>0</v>
      </c>
      <c r="FC123" s="55">
        <f t="shared" si="751"/>
        <v>0</v>
      </c>
      <c r="FD123" s="59">
        <f t="shared" si="752"/>
        <v>0</v>
      </c>
      <c r="FE123" s="57">
        <f t="shared" si="753"/>
        <v>0</v>
      </c>
      <c r="FF123" s="59">
        <f t="shared" si="754"/>
        <v>0</v>
      </c>
      <c r="FG123" s="60">
        <f t="shared" si="755"/>
        <v>0</v>
      </c>
      <c r="FH123" s="59">
        <f t="shared" si="756"/>
        <v>0</v>
      </c>
      <c r="FI123" s="57">
        <f t="shared" si="757"/>
        <v>0</v>
      </c>
      <c r="FJ123" s="59">
        <f t="shared" si="758"/>
        <v>0</v>
      </c>
      <c r="FK123" s="55">
        <f t="shared" si="759"/>
        <v>0</v>
      </c>
      <c r="FL123" s="59">
        <f t="shared" si="760"/>
        <v>0</v>
      </c>
      <c r="FM123" s="60">
        <f t="shared" si="761"/>
        <v>0</v>
      </c>
      <c r="FN123" s="59">
        <f t="shared" si="762"/>
        <v>0</v>
      </c>
      <c r="FO123" s="60">
        <f t="shared" si="763"/>
        <v>0</v>
      </c>
      <c r="FP123" s="59">
        <f t="shared" si="764"/>
        <v>0</v>
      </c>
      <c r="FQ123" s="60">
        <f t="shared" si="765"/>
        <v>0</v>
      </c>
      <c r="FR123" s="59">
        <f t="shared" si="766"/>
        <v>0</v>
      </c>
      <c r="FS123" s="55">
        <f t="shared" si="767"/>
        <v>0</v>
      </c>
      <c r="FT123" s="59">
        <f t="shared" si="768"/>
        <v>0</v>
      </c>
      <c r="FU123" s="60">
        <f t="shared" si="769"/>
        <v>0</v>
      </c>
      <c r="FV123" s="59">
        <f t="shared" si="770"/>
        <v>0</v>
      </c>
      <c r="FW123" s="60">
        <f t="shared" si="771"/>
        <v>0</v>
      </c>
      <c r="FX123" s="59">
        <f t="shared" si="772"/>
        <v>0</v>
      </c>
      <c r="FY123" s="60">
        <f t="shared" si="773"/>
        <v>0</v>
      </c>
      <c r="FZ123" s="59">
        <f t="shared" si="774"/>
        <v>0</v>
      </c>
      <c r="GA123" s="60">
        <f t="shared" si="775"/>
        <v>0</v>
      </c>
      <c r="GB123" s="59">
        <f t="shared" si="776"/>
        <v>0</v>
      </c>
      <c r="GC123" s="55">
        <f t="shared" si="777"/>
        <v>0</v>
      </c>
      <c r="GD123" s="59">
        <f t="shared" si="778"/>
        <v>0</v>
      </c>
      <c r="GE123" s="60">
        <f t="shared" si="779"/>
        <v>0</v>
      </c>
      <c r="GF123" s="59">
        <f t="shared" si="780"/>
        <v>0</v>
      </c>
      <c r="GG123" s="60">
        <f t="shared" si="781"/>
        <v>0</v>
      </c>
      <c r="GH123" s="59">
        <f t="shared" si="782"/>
        <v>0</v>
      </c>
      <c r="GI123" s="55">
        <f t="shared" si="783"/>
        <v>0</v>
      </c>
      <c r="GJ123" s="59">
        <f t="shared" si="784"/>
        <v>0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51"/>
        <v>0.91</v>
      </c>
      <c r="GR123" s="55">
        <f t="shared" si="651"/>
        <v>0.89</v>
      </c>
      <c r="GS123" s="55">
        <f t="shared" si="651"/>
        <v>0.87</v>
      </c>
      <c r="GT123" s="55">
        <f t="shared" ref="GT123:HH123" si="786">+GS123-0.02</f>
        <v>0.85</v>
      </c>
      <c r="GU123" s="55">
        <f t="shared" si="786"/>
        <v>0.83</v>
      </c>
      <c r="GV123" s="55">
        <f t="shared" si="786"/>
        <v>0.80999999999999994</v>
      </c>
      <c r="GW123" s="55">
        <f t="shared" si="786"/>
        <v>0.78999999999999992</v>
      </c>
      <c r="GX123" s="55">
        <f t="shared" si="786"/>
        <v>0.76999999999999991</v>
      </c>
      <c r="GY123" s="55">
        <f t="shared" si="786"/>
        <v>0.74999999999999989</v>
      </c>
      <c r="GZ123" s="55">
        <f t="shared" si="786"/>
        <v>0.72999999999999987</v>
      </c>
      <c r="HA123" s="55">
        <f t="shared" si="786"/>
        <v>0.70999999999999985</v>
      </c>
      <c r="HB123" s="55">
        <f t="shared" si="786"/>
        <v>0.68999999999999984</v>
      </c>
      <c r="HC123" s="55">
        <f t="shared" si="786"/>
        <v>0.66999999999999982</v>
      </c>
      <c r="HD123" s="55">
        <f t="shared" si="786"/>
        <v>0.6499999999999998</v>
      </c>
      <c r="HE123" s="55">
        <f t="shared" si="786"/>
        <v>0.62999999999999978</v>
      </c>
      <c r="HF123" s="55">
        <f t="shared" si="786"/>
        <v>0.60999999999999976</v>
      </c>
      <c r="HG123" s="55">
        <f t="shared" si="786"/>
        <v>0.58999999999999975</v>
      </c>
      <c r="HH123" s="55">
        <f t="shared" si="786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f>TRUNC(14367,-1)</f>
        <v>14360</v>
      </c>
      <c r="E124" s="86">
        <f>TRUNC(+D124*3.3058,-1)</f>
        <v>47470</v>
      </c>
      <c r="H124" s="55">
        <f t="shared" si="502"/>
        <v>52217.000000000007</v>
      </c>
      <c r="I124" s="55">
        <f t="shared" si="503"/>
        <v>52217.000000000007</v>
      </c>
      <c r="J124" s="59">
        <f t="shared" si="504"/>
        <v>172618.95860000004</v>
      </c>
      <c r="K124" s="55">
        <f t="shared" si="656"/>
        <v>50650.490000000005</v>
      </c>
      <c r="L124" s="59">
        <f t="shared" si="657"/>
        <v>167440.38984200003</v>
      </c>
      <c r="M124" s="55">
        <f t="shared" si="658"/>
        <v>49606.15</v>
      </c>
      <c r="N124" s="59">
        <f t="shared" si="659"/>
        <v>163988.01067000002</v>
      </c>
      <c r="O124" s="55">
        <f t="shared" si="660"/>
        <v>48561.810000000012</v>
      </c>
      <c r="P124" s="59">
        <f t="shared" si="661"/>
        <v>160535.63149800003</v>
      </c>
      <c r="Q124" s="57">
        <f t="shared" si="662"/>
        <v>47517.470000000008</v>
      </c>
      <c r="R124" s="59">
        <f t="shared" si="663"/>
        <v>157083.25232600005</v>
      </c>
      <c r="S124" s="55">
        <f t="shared" si="664"/>
        <v>46473.130000000005</v>
      </c>
      <c r="T124" s="59">
        <f t="shared" si="665"/>
        <v>153630.87315400003</v>
      </c>
      <c r="U124" s="57">
        <f t="shared" si="666"/>
        <v>45428.790000000008</v>
      </c>
      <c r="V124" s="59">
        <f t="shared" si="667"/>
        <v>150178.49398200004</v>
      </c>
      <c r="W124" s="60">
        <f t="shared" si="668"/>
        <v>44384.450000000004</v>
      </c>
      <c r="X124" s="59">
        <f t="shared" si="669"/>
        <v>146726.11481000003</v>
      </c>
      <c r="Y124" s="57">
        <f t="shared" si="670"/>
        <v>43340.11</v>
      </c>
      <c r="Z124" s="59">
        <f t="shared" si="671"/>
        <v>143273.73563800001</v>
      </c>
      <c r="AA124" s="55">
        <f t="shared" si="672"/>
        <v>42295.770000000004</v>
      </c>
      <c r="AB124" s="59">
        <f t="shared" si="673"/>
        <v>139821.35646600003</v>
      </c>
      <c r="AC124" s="60">
        <f t="shared" si="674"/>
        <v>41251.43</v>
      </c>
      <c r="AD124" s="59">
        <f t="shared" si="675"/>
        <v>136368.97729400001</v>
      </c>
      <c r="AE124" s="60">
        <f t="shared" si="676"/>
        <v>40207.090000000004</v>
      </c>
      <c r="AF124" s="59">
        <f t="shared" si="677"/>
        <v>132916.59812200002</v>
      </c>
      <c r="AG124" s="60">
        <f t="shared" si="678"/>
        <v>39162.75</v>
      </c>
      <c r="AH124" s="59">
        <f t="shared" si="679"/>
        <v>129464.21895000001</v>
      </c>
      <c r="AI124" s="55">
        <f t="shared" si="680"/>
        <v>38118.409999999996</v>
      </c>
      <c r="AJ124" s="59">
        <f t="shared" si="681"/>
        <v>126011.83977799999</v>
      </c>
      <c r="AK124" s="60">
        <f t="shared" si="682"/>
        <v>37074.07</v>
      </c>
      <c r="AL124" s="59">
        <f t="shared" si="683"/>
        <v>122559.46060600001</v>
      </c>
      <c r="AM124" s="60">
        <f t="shared" si="684"/>
        <v>36029.729999999996</v>
      </c>
      <c r="AN124" s="59">
        <f t="shared" si="685"/>
        <v>119107.08143399999</v>
      </c>
      <c r="AO124" s="60">
        <f t="shared" si="686"/>
        <v>34985.389999999992</v>
      </c>
      <c r="AP124" s="59">
        <f t="shared" si="687"/>
        <v>115654.70226199998</v>
      </c>
      <c r="AQ124" s="60">
        <f t="shared" si="688"/>
        <v>33941.049999999996</v>
      </c>
      <c r="AR124" s="59">
        <f t="shared" si="689"/>
        <v>112202.32308999999</v>
      </c>
      <c r="AS124" s="55">
        <f t="shared" si="690"/>
        <v>32896.709999999992</v>
      </c>
      <c r="AT124" s="59">
        <f t="shared" si="691"/>
        <v>108749.94391799998</v>
      </c>
      <c r="AU124" s="60">
        <f t="shared" si="692"/>
        <v>31852.369999999992</v>
      </c>
      <c r="AV124" s="59">
        <f t="shared" si="693"/>
        <v>105297.56474599997</v>
      </c>
      <c r="AW124" s="60">
        <f t="shared" si="694"/>
        <v>30808.029999999992</v>
      </c>
      <c r="AX124" s="59">
        <f t="shared" si="695"/>
        <v>101845.18557399997</v>
      </c>
      <c r="AY124" s="55">
        <f t="shared" si="696"/>
        <v>29763.689999999991</v>
      </c>
      <c r="AZ124" s="59">
        <f t="shared" si="697"/>
        <v>98392.806401999973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698"/>
        <v>0.91</v>
      </c>
      <c r="BH124" s="55">
        <f t="shared" si="698"/>
        <v>0.89</v>
      </c>
      <c r="BI124" s="55">
        <f t="shared" si="698"/>
        <v>0.87</v>
      </c>
      <c r="BJ124" s="55">
        <f t="shared" si="698"/>
        <v>0.85</v>
      </c>
      <c r="BK124" s="55">
        <f t="shared" si="698"/>
        <v>0.83</v>
      </c>
      <c r="BL124" s="55">
        <f t="shared" si="698"/>
        <v>0.80999999999999994</v>
      </c>
      <c r="BM124" s="55">
        <f t="shared" si="698"/>
        <v>0.78999999999999992</v>
      </c>
      <c r="BN124" s="55">
        <f t="shared" si="698"/>
        <v>0.76999999999999991</v>
      </c>
      <c r="BO124" s="55">
        <f t="shared" si="698"/>
        <v>0.74999999999999989</v>
      </c>
      <c r="BP124" s="55">
        <f t="shared" si="698"/>
        <v>0.72999999999999987</v>
      </c>
      <c r="BQ124" s="55">
        <f t="shared" si="698"/>
        <v>0.70999999999999985</v>
      </c>
      <c r="BR124" s="55">
        <f t="shared" si="698"/>
        <v>0.68999999999999984</v>
      </c>
      <c r="BS124" s="55">
        <f t="shared" si="698"/>
        <v>0.66999999999999982</v>
      </c>
      <c r="BT124" s="55">
        <f t="shared" si="698"/>
        <v>0.6499999999999998</v>
      </c>
      <c r="BU124" s="55">
        <f t="shared" si="698"/>
        <v>0.62999999999999978</v>
      </c>
      <c r="BV124" s="55">
        <f t="shared" si="698"/>
        <v>0.60999999999999976</v>
      </c>
      <c r="BW124" s="55">
        <f t="shared" si="698"/>
        <v>0.58999999999999975</v>
      </c>
      <c r="BX124" s="55">
        <f t="shared" si="698"/>
        <v>0.56999999999999973</v>
      </c>
      <c r="BZ124" s="55">
        <f t="shared" si="505"/>
        <v>47517.470000000008</v>
      </c>
      <c r="CA124" s="55">
        <f t="shared" si="506"/>
        <v>47517.470000000008</v>
      </c>
      <c r="CB124" s="59">
        <f t="shared" si="699"/>
        <v>157083.25232600005</v>
      </c>
      <c r="CC124" s="55">
        <f t="shared" si="700"/>
        <v>46091.945900000006</v>
      </c>
      <c r="CD124" s="59">
        <f t="shared" si="701"/>
        <v>152370.75475622003</v>
      </c>
      <c r="CE124" s="55">
        <f t="shared" si="702"/>
        <v>45141.596500000007</v>
      </c>
      <c r="CF124" s="59">
        <f t="shared" si="703"/>
        <v>149229.08970970003</v>
      </c>
      <c r="CG124" s="55">
        <f t="shared" si="704"/>
        <v>44191.247100000008</v>
      </c>
      <c r="CH124" s="59">
        <f t="shared" si="705"/>
        <v>146087.42466318002</v>
      </c>
      <c r="CI124" s="57">
        <f t="shared" si="706"/>
        <v>43240.897700000009</v>
      </c>
      <c r="CJ124" s="59">
        <f t="shared" si="707"/>
        <v>142945.75961666004</v>
      </c>
      <c r="CK124" s="55">
        <f t="shared" si="708"/>
        <v>42290.548300000009</v>
      </c>
      <c r="CL124" s="59">
        <f t="shared" si="709"/>
        <v>139804.09457014003</v>
      </c>
      <c r="CM124" s="57">
        <f t="shared" si="710"/>
        <v>41340.19890000001</v>
      </c>
      <c r="CN124" s="59">
        <f t="shared" si="711"/>
        <v>136662.42952362003</v>
      </c>
      <c r="CO124" s="60">
        <f t="shared" si="712"/>
        <v>40389.849500000004</v>
      </c>
      <c r="CP124" s="59">
        <f t="shared" si="713"/>
        <v>133520.76447710002</v>
      </c>
      <c r="CQ124" s="57">
        <f t="shared" si="714"/>
        <v>39439.500100000005</v>
      </c>
      <c r="CR124" s="59">
        <f t="shared" si="715"/>
        <v>130379.09943058001</v>
      </c>
      <c r="CS124" s="55">
        <f t="shared" si="716"/>
        <v>38489.150700000006</v>
      </c>
      <c r="CT124" s="59">
        <f t="shared" si="717"/>
        <v>127237.43438406002</v>
      </c>
      <c r="CU124" s="60">
        <f t="shared" si="718"/>
        <v>37538.801300000006</v>
      </c>
      <c r="CV124" s="59">
        <f t="shared" si="719"/>
        <v>124095.76933754003</v>
      </c>
      <c r="CW124" s="60">
        <f t="shared" si="720"/>
        <v>36588.4519</v>
      </c>
      <c r="CX124" s="59">
        <f t="shared" si="721"/>
        <v>120954.10429102</v>
      </c>
      <c r="CY124" s="60">
        <f t="shared" si="722"/>
        <v>35638.102500000001</v>
      </c>
      <c r="CZ124" s="59">
        <f t="shared" si="723"/>
        <v>117812.43924450001</v>
      </c>
      <c r="DA124" s="55">
        <f t="shared" si="724"/>
        <v>34687.753100000002</v>
      </c>
      <c r="DB124" s="59">
        <f t="shared" si="725"/>
        <v>114670.77419798</v>
      </c>
      <c r="DC124" s="60">
        <f t="shared" si="726"/>
        <v>33737.403700000003</v>
      </c>
      <c r="DD124" s="59">
        <f t="shared" si="727"/>
        <v>111529.10915146001</v>
      </c>
      <c r="DE124" s="60">
        <f t="shared" si="728"/>
        <v>32787.054299999996</v>
      </c>
      <c r="DF124" s="59">
        <f t="shared" si="729"/>
        <v>108387.44410493999</v>
      </c>
      <c r="DG124" s="60">
        <f t="shared" si="730"/>
        <v>31836.704899999997</v>
      </c>
      <c r="DH124" s="59">
        <f t="shared" si="731"/>
        <v>105245.77905842</v>
      </c>
      <c r="DI124" s="60">
        <f t="shared" si="732"/>
        <v>30886.355499999994</v>
      </c>
      <c r="DJ124" s="59">
        <f t="shared" si="733"/>
        <v>102104.11401189999</v>
      </c>
      <c r="DK124" s="55">
        <f t="shared" si="734"/>
        <v>29936.006099999995</v>
      </c>
      <c r="DL124" s="59">
        <f t="shared" si="735"/>
        <v>98962.448965379983</v>
      </c>
      <c r="DM124" s="60">
        <f t="shared" si="736"/>
        <v>28985.656699999992</v>
      </c>
      <c r="DN124" s="59">
        <f t="shared" si="737"/>
        <v>95820.783918859976</v>
      </c>
      <c r="DO124" s="60">
        <f t="shared" si="738"/>
        <v>28035.307299999993</v>
      </c>
      <c r="DP124" s="59">
        <f t="shared" si="739"/>
        <v>92679.118872339983</v>
      </c>
      <c r="DQ124" s="55">
        <f t="shared" si="740"/>
        <v>27084.95789999999</v>
      </c>
      <c r="DR124" s="59">
        <f t="shared" si="741"/>
        <v>89537.453825819975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ref="DY124:EP138" si="787">+DX124-0.02</f>
        <v>0.91</v>
      </c>
      <c r="DZ124" s="55">
        <f t="shared" si="787"/>
        <v>0.89</v>
      </c>
      <c r="EA124" s="55">
        <f t="shared" si="787"/>
        <v>0.87</v>
      </c>
      <c r="EB124" s="55">
        <f t="shared" si="787"/>
        <v>0.85</v>
      </c>
      <c r="EC124" s="55">
        <f t="shared" si="787"/>
        <v>0.83</v>
      </c>
      <c r="ED124" s="55">
        <f t="shared" si="787"/>
        <v>0.80999999999999994</v>
      </c>
      <c r="EE124" s="55">
        <f t="shared" si="787"/>
        <v>0.78999999999999992</v>
      </c>
      <c r="EF124" s="55">
        <f t="shared" si="787"/>
        <v>0.76999999999999991</v>
      </c>
      <c r="EG124" s="55">
        <f t="shared" si="787"/>
        <v>0.74999999999999989</v>
      </c>
      <c r="EH124" s="55">
        <f t="shared" si="787"/>
        <v>0.72999999999999987</v>
      </c>
      <c r="EI124" s="55">
        <f t="shared" si="787"/>
        <v>0.70999999999999985</v>
      </c>
      <c r="EJ124" s="55">
        <f t="shared" si="787"/>
        <v>0.68999999999999984</v>
      </c>
      <c r="EK124" s="55">
        <f t="shared" si="787"/>
        <v>0.66999999999999982</v>
      </c>
      <c r="EL124" s="55">
        <f t="shared" si="787"/>
        <v>0.6499999999999998</v>
      </c>
      <c r="EM124" s="55">
        <f t="shared" si="787"/>
        <v>0.62999999999999978</v>
      </c>
      <c r="EN124" s="55">
        <f t="shared" si="787"/>
        <v>0.60999999999999976</v>
      </c>
      <c r="EO124" s="55">
        <f t="shared" si="787"/>
        <v>0.58999999999999975</v>
      </c>
      <c r="EP124" s="55">
        <f t="shared" si="787"/>
        <v>0.56999999999999973</v>
      </c>
      <c r="ER124" s="55">
        <f t="shared" si="644"/>
        <v>43240.897700000009</v>
      </c>
      <c r="ES124" s="55">
        <f t="shared" si="507"/>
        <v>43240.897700000009</v>
      </c>
      <c r="ET124" s="59">
        <f t="shared" si="742"/>
        <v>142945.75961666004</v>
      </c>
      <c r="EU124" s="55">
        <f t="shared" si="743"/>
        <v>41943.670769000004</v>
      </c>
      <c r="EV124" s="59">
        <f t="shared" si="744"/>
        <v>138657.3868281602</v>
      </c>
      <c r="EW124" s="55">
        <f t="shared" si="745"/>
        <v>41078.852815000006</v>
      </c>
      <c r="EX124" s="59">
        <f t="shared" si="746"/>
        <v>135798.47163582701</v>
      </c>
      <c r="EY124" s="55">
        <f t="shared" si="747"/>
        <v>40214.034861000007</v>
      </c>
      <c r="EZ124" s="59">
        <f t="shared" si="748"/>
        <v>132939.55644349381</v>
      </c>
      <c r="FA124" s="57">
        <f t="shared" si="749"/>
        <v>39349.216907000009</v>
      </c>
      <c r="FB124" s="59">
        <f t="shared" si="750"/>
        <v>130080.64125116063</v>
      </c>
      <c r="FC124" s="55">
        <f t="shared" si="751"/>
        <v>38484.398953000011</v>
      </c>
      <c r="FD124" s="59">
        <f t="shared" si="752"/>
        <v>127221.72605882744</v>
      </c>
      <c r="FE124" s="57">
        <f t="shared" si="753"/>
        <v>37619.580999000005</v>
      </c>
      <c r="FF124" s="59">
        <f t="shared" si="754"/>
        <v>124362.81086649423</v>
      </c>
      <c r="FG124" s="60">
        <f t="shared" si="755"/>
        <v>36754.763045000007</v>
      </c>
      <c r="FH124" s="59">
        <f t="shared" si="756"/>
        <v>121503.89567416103</v>
      </c>
      <c r="FI124" s="57">
        <f t="shared" si="757"/>
        <v>35889.945091000009</v>
      </c>
      <c r="FJ124" s="59">
        <f t="shared" si="758"/>
        <v>118644.98048182784</v>
      </c>
      <c r="FK124" s="55">
        <f t="shared" si="759"/>
        <v>35025.127137000003</v>
      </c>
      <c r="FL124" s="59">
        <f t="shared" si="760"/>
        <v>115786.06528949461</v>
      </c>
      <c r="FM124" s="60">
        <f t="shared" si="761"/>
        <v>34160.309183000005</v>
      </c>
      <c r="FN124" s="59">
        <f t="shared" si="762"/>
        <v>112927.15009716142</v>
      </c>
      <c r="FO124" s="60">
        <f t="shared" si="763"/>
        <v>33295.491228999999</v>
      </c>
      <c r="FP124" s="59">
        <f t="shared" si="764"/>
        <v>110068.2349048282</v>
      </c>
      <c r="FQ124" s="60">
        <f t="shared" si="765"/>
        <v>32430.673275000001</v>
      </c>
      <c r="FR124" s="59">
        <f t="shared" si="766"/>
        <v>107209.31971249501</v>
      </c>
      <c r="FS124" s="55">
        <f t="shared" si="767"/>
        <v>31565.855320999999</v>
      </c>
      <c r="FT124" s="59">
        <f t="shared" si="768"/>
        <v>104350.4045201618</v>
      </c>
      <c r="FU124" s="60">
        <f t="shared" si="769"/>
        <v>30701.037367000001</v>
      </c>
      <c r="FV124" s="59">
        <f t="shared" si="770"/>
        <v>101491.4893278286</v>
      </c>
      <c r="FW124" s="60">
        <f t="shared" si="771"/>
        <v>29836.219412999999</v>
      </c>
      <c r="FX124" s="59">
        <f t="shared" si="772"/>
        <v>98632.574135495393</v>
      </c>
      <c r="FY124" s="60">
        <f t="shared" si="773"/>
        <v>28971.401458999997</v>
      </c>
      <c r="FZ124" s="59">
        <f t="shared" si="774"/>
        <v>95773.658943162198</v>
      </c>
      <c r="GA124" s="60">
        <f t="shared" si="775"/>
        <v>28106.583504999999</v>
      </c>
      <c r="GB124" s="59">
        <f t="shared" si="776"/>
        <v>92914.743750829002</v>
      </c>
      <c r="GC124" s="55">
        <f t="shared" si="777"/>
        <v>27241.765550999997</v>
      </c>
      <c r="GD124" s="59">
        <f t="shared" si="778"/>
        <v>90055.828558495792</v>
      </c>
      <c r="GE124" s="60">
        <f t="shared" si="779"/>
        <v>26376.947596999995</v>
      </c>
      <c r="GF124" s="59">
        <f t="shared" si="780"/>
        <v>87196.913366162582</v>
      </c>
      <c r="GG124" s="60">
        <f t="shared" si="781"/>
        <v>25512.129642999993</v>
      </c>
      <c r="GH124" s="59">
        <f t="shared" si="782"/>
        <v>84337.998173829372</v>
      </c>
      <c r="GI124" s="55">
        <f t="shared" si="783"/>
        <v>24647.311688999995</v>
      </c>
      <c r="GJ124" s="59">
        <f t="shared" si="784"/>
        <v>81479.082981496191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ref="GQ124:HH138" si="788">+GP124-0.02</f>
        <v>0.91</v>
      </c>
      <c r="GR124" s="55">
        <f t="shared" si="788"/>
        <v>0.89</v>
      </c>
      <c r="GS124" s="55">
        <f t="shared" si="788"/>
        <v>0.87</v>
      </c>
      <c r="GT124" s="55">
        <f t="shared" si="788"/>
        <v>0.85</v>
      </c>
      <c r="GU124" s="55">
        <f t="shared" si="788"/>
        <v>0.83</v>
      </c>
      <c r="GV124" s="55">
        <f t="shared" si="788"/>
        <v>0.80999999999999994</v>
      </c>
      <c r="GW124" s="55">
        <f t="shared" si="788"/>
        <v>0.78999999999999992</v>
      </c>
      <c r="GX124" s="55">
        <f t="shared" si="788"/>
        <v>0.76999999999999991</v>
      </c>
      <c r="GY124" s="55">
        <f t="shared" si="788"/>
        <v>0.74999999999999989</v>
      </c>
      <c r="GZ124" s="55">
        <f t="shared" si="788"/>
        <v>0.72999999999999987</v>
      </c>
      <c r="HA124" s="55">
        <f t="shared" si="788"/>
        <v>0.70999999999999985</v>
      </c>
      <c r="HB124" s="55">
        <f t="shared" si="788"/>
        <v>0.68999999999999984</v>
      </c>
      <c r="HC124" s="55">
        <f t="shared" si="788"/>
        <v>0.66999999999999982</v>
      </c>
      <c r="HD124" s="55">
        <f t="shared" si="788"/>
        <v>0.6499999999999998</v>
      </c>
      <c r="HE124" s="55">
        <f t="shared" si="788"/>
        <v>0.62999999999999978</v>
      </c>
      <c r="HF124" s="55">
        <f t="shared" si="788"/>
        <v>0.60999999999999976</v>
      </c>
      <c r="HG124" s="55">
        <f t="shared" si="788"/>
        <v>0.58999999999999975</v>
      </c>
      <c r="HH124" s="55">
        <f t="shared" si="788"/>
        <v>0.56999999999999973</v>
      </c>
    </row>
    <row r="125" spans="1:216" x14ac:dyDescent="0.3">
      <c r="A125" s="2">
        <v>10</v>
      </c>
      <c r="C125" s="38" t="s">
        <v>150</v>
      </c>
      <c r="D125" s="42">
        <f>TRUNC(37954,-1)</f>
        <v>37950</v>
      </c>
      <c r="E125" s="86">
        <f>TRUNC(+D125*3.3058,-1)</f>
        <v>125450</v>
      </c>
      <c r="H125" s="55">
        <f t="shared" si="502"/>
        <v>137995</v>
      </c>
      <c r="I125" s="55">
        <f t="shared" si="503"/>
        <v>137995</v>
      </c>
      <c r="J125" s="59">
        <f t="shared" si="504"/>
        <v>456183.87099999998</v>
      </c>
      <c r="K125" s="55">
        <f t="shared" si="656"/>
        <v>133855.15</v>
      </c>
      <c r="L125" s="59">
        <f t="shared" si="657"/>
        <v>442498.35486999998</v>
      </c>
      <c r="M125" s="55">
        <f t="shared" si="658"/>
        <v>131095.25</v>
      </c>
      <c r="N125" s="59">
        <f t="shared" si="659"/>
        <v>433374.67745000002</v>
      </c>
      <c r="O125" s="55">
        <f t="shared" si="660"/>
        <v>128335.35</v>
      </c>
      <c r="P125" s="59">
        <f t="shared" si="661"/>
        <v>424251.00003000005</v>
      </c>
      <c r="Q125" s="57">
        <f t="shared" si="662"/>
        <v>125575.45</v>
      </c>
      <c r="R125" s="59">
        <f t="shared" si="663"/>
        <v>415127.32260999997</v>
      </c>
      <c r="S125" s="55">
        <f t="shared" si="664"/>
        <v>122815.55</v>
      </c>
      <c r="T125" s="59">
        <f t="shared" si="665"/>
        <v>406003.64519000001</v>
      </c>
      <c r="U125" s="57">
        <f t="shared" si="666"/>
        <v>120055.65</v>
      </c>
      <c r="V125" s="59">
        <f t="shared" si="667"/>
        <v>396879.96776999999</v>
      </c>
      <c r="W125" s="60">
        <f t="shared" si="668"/>
        <v>117295.75</v>
      </c>
      <c r="X125" s="59">
        <f t="shared" si="669"/>
        <v>387756.29035000002</v>
      </c>
      <c r="Y125" s="57">
        <f t="shared" si="670"/>
        <v>114535.84999999999</v>
      </c>
      <c r="Z125" s="59">
        <f t="shared" si="671"/>
        <v>378632.61293</v>
      </c>
      <c r="AA125" s="55">
        <f t="shared" si="672"/>
        <v>111775.95</v>
      </c>
      <c r="AB125" s="59">
        <f t="shared" si="673"/>
        <v>369508.93550999998</v>
      </c>
      <c r="AC125" s="60">
        <f t="shared" si="674"/>
        <v>109016.04999999999</v>
      </c>
      <c r="AD125" s="59">
        <f t="shared" si="675"/>
        <v>360385.25808999996</v>
      </c>
      <c r="AE125" s="60">
        <f t="shared" si="676"/>
        <v>106256.15</v>
      </c>
      <c r="AF125" s="59">
        <f t="shared" si="677"/>
        <v>351261.58067</v>
      </c>
      <c r="AG125" s="60">
        <f t="shared" si="678"/>
        <v>103496.24999999999</v>
      </c>
      <c r="AH125" s="59">
        <f t="shared" si="679"/>
        <v>342137.90324999997</v>
      </c>
      <c r="AI125" s="55">
        <f t="shared" si="680"/>
        <v>100736.34999999998</v>
      </c>
      <c r="AJ125" s="59">
        <f t="shared" si="681"/>
        <v>333014.22582999995</v>
      </c>
      <c r="AK125" s="60">
        <f t="shared" si="682"/>
        <v>97976.449999999983</v>
      </c>
      <c r="AL125" s="59">
        <f t="shared" si="683"/>
        <v>323890.54840999993</v>
      </c>
      <c r="AM125" s="60">
        <f t="shared" si="684"/>
        <v>95216.549999999974</v>
      </c>
      <c r="AN125" s="59">
        <f t="shared" si="685"/>
        <v>314766.87098999991</v>
      </c>
      <c r="AO125" s="60">
        <f t="shared" si="686"/>
        <v>92456.64999999998</v>
      </c>
      <c r="AP125" s="59">
        <f t="shared" si="687"/>
        <v>305643.19356999994</v>
      </c>
      <c r="AQ125" s="60">
        <f t="shared" si="688"/>
        <v>89696.749999999971</v>
      </c>
      <c r="AR125" s="59">
        <f t="shared" si="689"/>
        <v>296519.51614999992</v>
      </c>
      <c r="AS125" s="55">
        <f t="shared" si="690"/>
        <v>86936.849999999977</v>
      </c>
      <c r="AT125" s="59">
        <f t="shared" si="691"/>
        <v>287395.8387299999</v>
      </c>
      <c r="AU125" s="60">
        <f t="shared" si="692"/>
        <v>84176.949999999968</v>
      </c>
      <c r="AV125" s="59">
        <f t="shared" si="693"/>
        <v>278272.16130999988</v>
      </c>
      <c r="AW125" s="60">
        <f t="shared" si="694"/>
        <v>81417.049999999959</v>
      </c>
      <c r="AX125" s="59">
        <f t="shared" si="695"/>
        <v>269148.48388999986</v>
      </c>
      <c r="AY125" s="55">
        <f t="shared" si="696"/>
        <v>78657.149999999965</v>
      </c>
      <c r="AZ125" s="59">
        <f t="shared" si="697"/>
        <v>260024.80646999989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698"/>
        <v>0.91</v>
      </c>
      <c r="BH125" s="55">
        <f t="shared" si="698"/>
        <v>0.89</v>
      </c>
      <c r="BI125" s="55">
        <f t="shared" si="698"/>
        <v>0.87</v>
      </c>
      <c r="BJ125" s="55">
        <f t="shared" si="698"/>
        <v>0.85</v>
      </c>
      <c r="BK125" s="55">
        <f t="shared" si="698"/>
        <v>0.83</v>
      </c>
      <c r="BL125" s="55">
        <f t="shared" si="698"/>
        <v>0.80999999999999994</v>
      </c>
      <c r="BM125" s="55">
        <f t="shared" si="698"/>
        <v>0.78999999999999992</v>
      </c>
      <c r="BN125" s="55">
        <f t="shared" si="698"/>
        <v>0.76999999999999991</v>
      </c>
      <c r="BO125" s="55">
        <f t="shared" si="698"/>
        <v>0.74999999999999989</v>
      </c>
      <c r="BP125" s="55">
        <f t="shared" si="698"/>
        <v>0.72999999999999987</v>
      </c>
      <c r="BQ125" s="55">
        <f t="shared" si="698"/>
        <v>0.70999999999999985</v>
      </c>
      <c r="BR125" s="55">
        <f t="shared" si="698"/>
        <v>0.68999999999999984</v>
      </c>
      <c r="BS125" s="55">
        <f t="shared" si="698"/>
        <v>0.66999999999999982</v>
      </c>
      <c r="BT125" s="55">
        <f t="shared" si="698"/>
        <v>0.6499999999999998</v>
      </c>
      <c r="BU125" s="55">
        <f t="shared" si="698"/>
        <v>0.62999999999999978</v>
      </c>
      <c r="BV125" s="55">
        <f t="shared" si="698"/>
        <v>0.60999999999999976</v>
      </c>
      <c r="BW125" s="55">
        <f t="shared" si="698"/>
        <v>0.58999999999999975</v>
      </c>
      <c r="BX125" s="55">
        <f t="shared" si="698"/>
        <v>0.56999999999999973</v>
      </c>
      <c r="BZ125" s="55">
        <f t="shared" si="505"/>
        <v>125575.45</v>
      </c>
      <c r="CA125" s="55">
        <f t="shared" si="506"/>
        <v>125575.45</v>
      </c>
      <c r="CB125" s="59">
        <f t="shared" si="699"/>
        <v>415127.32260999997</v>
      </c>
      <c r="CC125" s="55">
        <f t="shared" si="700"/>
        <v>121808.1865</v>
      </c>
      <c r="CD125" s="59">
        <f t="shared" si="701"/>
        <v>402673.50293169997</v>
      </c>
      <c r="CE125" s="55">
        <f t="shared" si="702"/>
        <v>119296.67749999999</v>
      </c>
      <c r="CF125" s="59">
        <f t="shared" si="703"/>
        <v>394370.95647949999</v>
      </c>
      <c r="CG125" s="55">
        <f t="shared" si="704"/>
        <v>116785.1685</v>
      </c>
      <c r="CH125" s="59">
        <f t="shared" si="705"/>
        <v>386068.41002730001</v>
      </c>
      <c r="CI125" s="57">
        <f t="shared" si="706"/>
        <v>114273.65949999999</v>
      </c>
      <c r="CJ125" s="59">
        <f t="shared" si="707"/>
        <v>377765.86357509997</v>
      </c>
      <c r="CK125" s="55">
        <f t="shared" si="708"/>
        <v>111762.1505</v>
      </c>
      <c r="CL125" s="59">
        <f t="shared" si="709"/>
        <v>369463.31712290004</v>
      </c>
      <c r="CM125" s="57">
        <f t="shared" si="710"/>
        <v>109250.6415</v>
      </c>
      <c r="CN125" s="59">
        <f t="shared" si="711"/>
        <v>361160.7706707</v>
      </c>
      <c r="CO125" s="60">
        <f t="shared" si="712"/>
        <v>106739.13249999999</v>
      </c>
      <c r="CP125" s="59">
        <f t="shared" si="713"/>
        <v>352858.22421849996</v>
      </c>
      <c r="CQ125" s="57">
        <f t="shared" si="714"/>
        <v>104227.62349999999</v>
      </c>
      <c r="CR125" s="59">
        <f t="shared" si="715"/>
        <v>344555.67776629998</v>
      </c>
      <c r="CS125" s="55">
        <f t="shared" si="716"/>
        <v>101716.1145</v>
      </c>
      <c r="CT125" s="59">
        <f t="shared" si="717"/>
        <v>336253.1313141</v>
      </c>
      <c r="CU125" s="60">
        <f t="shared" si="718"/>
        <v>99204.605499999991</v>
      </c>
      <c r="CV125" s="59">
        <f t="shared" si="719"/>
        <v>327950.58486189996</v>
      </c>
      <c r="CW125" s="60">
        <f t="shared" si="720"/>
        <v>96693.096499999985</v>
      </c>
      <c r="CX125" s="59">
        <f t="shared" si="721"/>
        <v>319648.03840969998</v>
      </c>
      <c r="CY125" s="60">
        <f t="shared" si="722"/>
        <v>94181.58749999998</v>
      </c>
      <c r="CZ125" s="59">
        <f t="shared" si="723"/>
        <v>311345.49195749994</v>
      </c>
      <c r="DA125" s="55">
        <f t="shared" si="724"/>
        <v>91670.078499999989</v>
      </c>
      <c r="DB125" s="59">
        <f t="shared" si="725"/>
        <v>303042.94550529995</v>
      </c>
      <c r="DC125" s="60">
        <f t="shared" si="726"/>
        <v>89158.569499999983</v>
      </c>
      <c r="DD125" s="59">
        <f t="shared" si="727"/>
        <v>294740.39905309997</v>
      </c>
      <c r="DE125" s="60">
        <f t="shared" si="728"/>
        <v>86647.060499999978</v>
      </c>
      <c r="DF125" s="59">
        <f t="shared" si="729"/>
        <v>286437.85260089993</v>
      </c>
      <c r="DG125" s="60">
        <f t="shared" si="730"/>
        <v>84135.551499999972</v>
      </c>
      <c r="DH125" s="59">
        <f t="shared" si="731"/>
        <v>278135.30614869989</v>
      </c>
      <c r="DI125" s="60">
        <f t="shared" si="732"/>
        <v>81624.042499999967</v>
      </c>
      <c r="DJ125" s="59">
        <f t="shared" si="733"/>
        <v>269832.75969649991</v>
      </c>
      <c r="DK125" s="55">
        <f t="shared" si="734"/>
        <v>79112.533499999976</v>
      </c>
      <c r="DL125" s="59">
        <f t="shared" si="735"/>
        <v>261530.21324429993</v>
      </c>
      <c r="DM125" s="60">
        <f t="shared" si="736"/>
        <v>76601.02449999997</v>
      </c>
      <c r="DN125" s="59">
        <f t="shared" si="737"/>
        <v>253227.66679209992</v>
      </c>
      <c r="DO125" s="60">
        <f t="shared" si="738"/>
        <v>74089.515499999965</v>
      </c>
      <c r="DP125" s="59">
        <f t="shared" si="739"/>
        <v>244925.12033989988</v>
      </c>
      <c r="DQ125" s="55">
        <f t="shared" si="740"/>
        <v>71578.006499999959</v>
      </c>
      <c r="DR125" s="59">
        <f t="shared" si="741"/>
        <v>236622.57388769987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787"/>
        <v>0.91</v>
      </c>
      <c r="DZ125" s="55">
        <f t="shared" si="787"/>
        <v>0.89</v>
      </c>
      <c r="EA125" s="55">
        <f t="shared" si="787"/>
        <v>0.87</v>
      </c>
      <c r="EB125" s="55">
        <f t="shared" si="787"/>
        <v>0.85</v>
      </c>
      <c r="EC125" s="55">
        <f t="shared" si="787"/>
        <v>0.83</v>
      </c>
      <c r="ED125" s="55">
        <f t="shared" si="787"/>
        <v>0.80999999999999994</v>
      </c>
      <c r="EE125" s="55">
        <f t="shared" si="787"/>
        <v>0.78999999999999992</v>
      </c>
      <c r="EF125" s="55">
        <f t="shared" si="787"/>
        <v>0.76999999999999991</v>
      </c>
      <c r="EG125" s="55">
        <f t="shared" si="787"/>
        <v>0.74999999999999989</v>
      </c>
      <c r="EH125" s="55">
        <f t="shared" si="787"/>
        <v>0.72999999999999987</v>
      </c>
      <c r="EI125" s="55">
        <f t="shared" si="787"/>
        <v>0.70999999999999985</v>
      </c>
      <c r="EJ125" s="55">
        <f t="shared" si="787"/>
        <v>0.68999999999999984</v>
      </c>
      <c r="EK125" s="55">
        <f t="shared" si="787"/>
        <v>0.66999999999999982</v>
      </c>
      <c r="EL125" s="55">
        <f t="shared" si="787"/>
        <v>0.6499999999999998</v>
      </c>
      <c r="EM125" s="55">
        <f t="shared" si="787"/>
        <v>0.62999999999999978</v>
      </c>
      <c r="EN125" s="55">
        <f t="shared" si="787"/>
        <v>0.60999999999999976</v>
      </c>
      <c r="EO125" s="55">
        <f t="shared" si="787"/>
        <v>0.58999999999999975</v>
      </c>
      <c r="EP125" s="55">
        <f t="shared" si="787"/>
        <v>0.56999999999999973</v>
      </c>
      <c r="ER125" s="55">
        <f t="shared" si="644"/>
        <v>114273.65949999999</v>
      </c>
      <c r="ES125" s="55">
        <f t="shared" si="507"/>
        <v>114273.65949999999</v>
      </c>
      <c r="ET125" s="59">
        <f t="shared" si="742"/>
        <v>377765.86357509997</v>
      </c>
      <c r="EU125" s="55">
        <f t="shared" si="743"/>
        <v>110845.449715</v>
      </c>
      <c r="EV125" s="59">
        <f t="shared" si="744"/>
        <v>366432.88766784698</v>
      </c>
      <c r="EW125" s="55">
        <f t="shared" si="745"/>
        <v>108559.97652499999</v>
      </c>
      <c r="EX125" s="59">
        <f t="shared" si="746"/>
        <v>358877.57039634499</v>
      </c>
      <c r="EY125" s="55">
        <f t="shared" si="747"/>
        <v>106274.503335</v>
      </c>
      <c r="EZ125" s="59">
        <f t="shared" si="748"/>
        <v>351322.253124843</v>
      </c>
      <c r="FA125" s="57">
        <f t="shared" si="749"/>
        <v>103989.030145</v>
      </c>
      <c r="FB125" s="59">
        <f t="shared" si="750"/>
        <v>343766.93585334101</v>
      </c>
      <c r="FC125" s="55">
        <f t="shared" si="751"/>
        <v>101703.55695499999</v>
      </c>
      <c r="FD125" s="59">
        <f t="shared" si="752"/>
        <v>336211.61858183896</v>
      </c>
      <c r="FE125" s="57">
        <f t="shared" si="753"/>
        <v>99418.083764999988</v>
      </c>
      <c r="FF125" s="59">
        <f t="shared" si="754"/>
        <v>328656.30131033697</v>
      </c>
      <c r="FG125" s="60">
        <f t="shared" si="755"/>
        <v>97132.610574999999</v>
      </c>
      <c r="FH125" s="59">
        <f t="shared" si="756"/>
        <v>321100.98403883498</v>
      </c>
      <c r="FI125" s="57">
        <f t="shared" si="757"/>
        <v>94847.137384999995</v>
      </c>
      <c r="FJ125" s="59">
        <f t="shared" si="758"/>
        <v>313545.66676733299</v>
      </c>
      <c r="FK125" s="55">
        <f t="shared" si="759"/>
        <v>92561.66419499999</v>
      </c>
      <c r="FL125" s="59">
        <f t="shared" si="760"/>
        <v>305990.34949583095</v>
      </c>
      <c r="FM125" s="60">
        <f t="shared" si="761"/>
        <v>90276.191004999986</v>
      </c>
      <c r="FN125" s="59">
        <f t="shared" si="762"/>
        <v>298435.03222432896</v>
      </c>
      <c r="FO125" s="60">
        <f t="shared" si="763"/>
        <v>87990.717814999982</v>
      </c>
      <c r="FP125" s="59">
        <f t="shared" si="764"/>
        <v>290879.71495282697</v>
      </c>
      <c r="FQ125" s="60">
        <f t="shared" si="765"/>
        <v>85705.244624999978</v>
      </c>
      <c r="FR125" s="59">
        <f t="shared" si="766"/>
        <v>283324.39768132492</v>
      </c>
      <c r="FS125" s="55">
        <f t="shared" si="767"/>
        <v>83419.771434999988</v>
      </c>
      <c r="FT125" s="59">
        <f t="shared" si="768"/>
        <v>275769.08040982299</v>
      </c>
      <c r="FU125" s="60">
        <f t="shared" si="769"/>
        <v>81134.298244999984</v>
      </c>
      <c r="FV125" s="59">
        <f t="shared" si="770"/>
        <v>268213.76313832094</v>
      </c>
      <c r="FW125" s="60">
        <f t="shared" si="771"/>
        <v>78848.825054999979</v>
      </c>
      <c r="FX125" s="59">
        <f t="shared" si="772"/>
        <v>260658.44586681895</v>
      </c>
      <c r="FY125" s="60">
        <f t="shared" si="773"/>
        <v>76563.351864999975</v>
      </c>
      <c r="FZ125" s="59">
        <f t="shared" si="774"/>
        <v>253103.12859531693</v>
      </c>
      <c r="GA125" s="60">
        <f t="shared" si="775"/>
        <v>74277.878674999971</v>
      </c>
      <c r="GB125" s="59">
        <f t="shared" si="776"/>
        <v>245547.81132381491</v>
      </c>
      <c r="GC125" s="55">
        <f t="shared" si="777"/>
        <v>71992.405484999967</v>
      </c>
      <c r="GD125" s="59">
        <f t="shared" si="778"/>
        <v>237992.49405231289</v>
      </c>
      <c r="GE125" s="60">
        <f t="shared" si="779"/>
        <v>69706.932294999977</v>
      </c>
      <c r="GF125" s="59">
        <f t="shared" si="780"/>
        <v>230437.17678081093</v>
      </c>
      <c r="GG125" s="60">
        <f t="shared" si="781"/>
        <v>67421.459104999973</v>
      </c>
      <c r="GH125" s="59">
        <f t="shared" si="782"/>
        <v>222881.85950930891</v>
      </c>
      <c r="GI125" s="55">
        <f t="shared" si="783"/>
        <v>65135.985914999968</v>
      </c>
      <c r="GJ125" s="59">
        <f t="shared" si="784"/>
        <v>215326.54223780689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788"/>
        <v>0.91</v>
      </c>
      <c r="GR125" s="55">
        <f t="shared" si="788"/>
        <v>0.89</v>
      </c>
      <c r="GS125" s="55">
        <f t="shared" si="788"/>
        <v>0.87</v>
      </c>
      <c r="GT125" s="55">
        <f t="shared" si="788"/>
        <v>0.85</v>
      </c>
      <c r="GU125" s="55">
        <f t="shared" si="788"/>
        <v>0.83</v>
      </c>
      <c r="GV125" s="55">
        <f t="shared" si="788"/>
        <v>0.80999999999999994</v>
      </c>
      <c r="GW125" s="55">
        <f t="shared" si="788"/>
        <v>0.78999999999999992</v>
      </c>
      <c r="GX125" s="55">
        <f t="shared" si="788"/>
        <v>0.76999999999999991</v>
      </c>
      <c r="GY125" s="55">
        <f t="shared" si="788"/>
        <v>0.74999999999999989</v>
      </c>
      <c r="GZ125" s="55">
        <f t="shared" si="788"/>
        <v>0.72999999999999987</v>
      </c>
      <c r="HA125" s="55">
        <f t="shared" si="788"/>
        <v>0.70999999999999985</v>
      </c>
      <c r="HB125" s="55">
        <f t="shared" si="788"/>
        <v>0.68999999999999984</v>
      </c>
      <c r="HC125" s="55">
        <f t="shared" si="788"/>
        <v>0.66999999999999982</v>
      </c>
      <c r="HD125" s="55">
        <f t="shared" si="788"/>
        <v>0.6499999999999998</v>
      </c>
      <c r="HE125" s="55">
        <f t="shared" si="788"/>
        <v>0.62999999999999978</v>
      </c>
      <c r="HF125" s="55">
        <f t="shared" si="788"/>
        <v>0.60999999999999976</v>
      </c>
      <c r="HG125" s="55">
        <f t="shared" si="788"/>
        <v>0.58999999999999975</v>
      </c>
      <c r="HH125" s="55">
        <f t="shared" si="788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TRUNC(4576,-1)</f>
        <v>4570</v>
      </c>
      <c r="E126" s="87">
        <f>TRUNC(+D126*3.3058,-1)</f>
        <v>15100</v>
      </c>
      <c r="F126" s="54"/>
      <c r="H126" s="55">
        <f t="shared" si="502"/>
        <v>16610</v>
      </c>
      <c r="I126" s="55">
        <f t="shared" si="503"/>
        <v>16610</v>
      </c>
      <c r="J126" s="59">
        <f t="shared" si="504"/>
        <v>54909.338000000003</v>
      </c>
      <c r="K126" s="55">
        <f t="shared" si="656"/>
        <v>16111.699999999999</v>
      </c>
      <c r="L126" s="59">
        <f t="shared" si="657"/>
        <v>53262.057860000001</v>
      </c>
      <c r="M126" s="55">
        <f t="shared" si="658"/>
        <v>15779.5</v>
      </c>
      <c r="N126" s="59">
        <f t="shared" si="659"/>
        <v>52163.871100000004</v>
      </c>
      <c r="O126" s="55">
        <f t="shared" si="660"/>
        <v>15447.300000000001</v>
      </c>
      <c r="P126" s="59">
        <f t="shared" si="661"/>
        <v>51065.684340000007</v>
      </c>
      <c r="Q126" s="57">
        <f t="shared" si="662"/>
        <v>15115.1</v>
      </c>
      <c r="R126" s="59">
        <f t="shared" si="663"/>
        <v>49967.497580000003</v>
      </c>
      <c r="S126" s="55">
        <f t="shared" si="664"/>
        <v>14782.9</v>
      </c>
      <c r="T126" s="59">
        <f t="shared" si="665"/>
        <v>48869.310819999999</v>
      </c>
      <c r="U126" s="57">
        <f t="shared" si="666"/>
        <v>14450.7</v>
      </c>
      <c r="V126" s="59">
        <f t="shared" si="667"/>
        <v>47771.124060000002</v>
      </c>
      <c r="W126" s="60">
        <f t="shared" si="668"/>
        <v>14118.5</v>
      </c>
      <c r="X126" s="59">
        <f t="shared" si="669"/>
        <v>46672.937299999998</v>
      </c>
      <c r="Y126" s="57">
        <f t="shared" si="670"/>
        <v>13786.3</v>
      </c>
      <c r="Z126" s="59">
        <f t="shared" si="671"/>
        <v>45574.750540000001</v>
      </c>
      <c r="AA126" s="55">
        <f t="shared" si="672"/>
        <v>13454.099999999999</v>
      </c>
      <c r="AB126" s="59">
        <f t="shared" si="673"/>
        <v>44476.563779999997</v>
      </c>
      <c r="AC126" s="60">
        <f t="shared" si="674"/>
        <v>13121.9</v>
      </c>
      <c r="AD126" s="59">
        <f t="shared" si="675"/>
        <v>43378.37702</v>
      </c>
      <c r="AE126" s="60">
        <f t="shared" si="676"/>
        <v>12789.699999999999</v>
      </c>
      <c r="AF126" s="59">
        <f t="shared" si="677"/>
        <v>42280.190259999996</v>
      </c>
      <c r="AG126" s="60">
        <f t="shared" si="678"/>
        <v>12457.499999999998</v>
      </c>
      <c r="AH126" s="59">
        <f t="shared" si="679"/>
        <v>41182.003499999992</v>
      </c>
      <c r="AI126" s="55">
        <f t="shared" si="680"/>
        <v>12125.299999999997</v>
      </c>
      <c r="AJ126" s="59">
        <f t="shared" si="681"/>
        <v>40083.816739999995</v>
      </c>
      <c r="AK126" s="60">
        <f t="shared" si="682"/>
        <v>11793.099999999997</v>
      </c>
      <c r="AL126" s="59">
        <f t="shared" si="683"/>
        <v>38985.629979999991</v>
      </c>
      <c r="AM126" s="60">
        <f t="shared" si="684"/>
        <v>11460.899999999998</v>
      </c>
      <c r="AN126" s="59">
        <f t="shared" si="685"/>
        <v>37887.443219999994</v>
      </c>
      <c r="AO126" s="60">
        <f t="shared" si="686"/>
        <v>11128.699999999997</v>
      </c>
      <c r="AP126" s="59">
        <f t="shared" si="687"/>
        <v>36789.25645999999</v>
      </c>
      <c r="AQ126" s="60">
        <f t="shared" si="688"/>
        <v>10796.499999999996</v>
      </c>
      <c r="AR126" s="59">
        <f t="shared" si="689"/>
        <v>35691.069699999985</v>
      </c>
      <c r="AS126" s="55">
        <f t="shared" si="690"/>
        <v>10464.299999999996</v>
      </c>
      <c r="AT126" s="59">
        <f t="shared" si="691"/>
        <v>34592.882939999989</v>
      </c>
      <c r="AU126" s="60">
        <f t="shared" si="692"/>
        <v>10132.099999999997</v>
      </c>
      <c r="AV126" s="59">
        <f t="shared" si="693"/>
        <v>33494.696179999992</v>
      </c>
      <c r="AW126" s="60">
        <f t="shared" si="694"/>
        <v>9799.899999999996</v>
      </c>
      <c r="AX126" s="59">
        <f t="shared" si="695"/>
        <v>32396.509419999988</v>
      </c>
      <c r="AY126" s="55">
        <f t="shared" si="696"/>
        <v>9467.6999999999953</v>
      </c>
      <c r="AZ126" s="59">
        <f t="shared" si="697"/>
        <v>31298.322659999983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698"/>
        <v>0.91</v>
      </c>
      <c r="BH126" s="55">
        <f t="shared" si="698"/>
        <v>0.89</v>
      </c>
      <c r="BI126" s="55">
        <f t="shared" si="698"/>
        <v>0.87</v>
      </c>
      <c r="BJ126" s="55">
        <f t="shared" si="698"/>
        <v>0.85</v>
      </c>
      <c r="BK126" s="55">
        <f t="shared" si="698"/>
        <v>0.83</v>
      </c>
      <c r="BL126" s="55">
        <f t="shared" si="698"/>
        <v>0.80999999999999994</v>
      </c>
      <c r="BM126" s="55">
        <f t="shared" si="698"/>
        <v>0.78999999999999992</v>
      </c>
      <c r="BN126" s="55">
        <f t="shared" si="698"/>
        <v>0.76999999999999991</v>
      </c>
      <c r="BO126" s="55">
        <f t="shared" si="698"/>
        <v>0.74999999999999989</v>
      </c>
      <c r="BP126" s="55">
        <f t="shared" si="698"/>
        <v>0.72999999999999987</v>
      </c>
      <c r="BQ126" s="55">
        <f t="shared" si="698"/>
        <v>0.70999999999999985</v>
      </c>
      <c r="BR126" s="55">
        <f t="shared" si="698"/>
        <v>0.68999999999999984</v>
      </c>
      <c r="BS126" s="55">
        <f t="shared" si="698"/>
        <v>0.66999999999999982</v>
      </c>
      <c r="BT126" s="55">
        <f t="shared" si="698"/>
        <v>0.6499999999999998</v>
      </c>
      <c r="BU126" s="55">
        <f t="shared" si="698"/>
        <v>0.62999999999999978</v>
      </c>
      <c r="BV126" s="55">
        <f t="shared" si="698"/>
        <v>0.60999999999999976</v>
      </c>
      <c r="BW126" s="55">
        <f t="shared" si="698"/>
        <v>0.58999999999999975</v>
      </c>
      <c r="BX126" s="55">
        <f t="shared" si="698"/>
        <v>0.56999999999999973</v>
      </c>
      <c r="BZ126" s="55">
        <f t="shared" si="505"/>
        <v>15115.1</v>
      </c>
      <c r="CA126" s="55">
        <f t="shared" si="506"/>
        <v>15115.1</v>
      </c>
      <c r="CB126" s="59">
        <f t="shared" si="699"/>
        <v>49967.497580000003</v>
      </c>
      <c r="CC126" s="55">
        <f t="shared" si="700"/>
        <v>14661.647000000001</v>
      </c>
      <c r="CD126" s="59">
        <f t="shared" si="701"/>
        <v>48468.472652600001</v>
      </c>
      <c r="CE126" s="55">
        <f t="shared" si="702"/>
        <v>14359.344999999999</v>
      </c>
      <c r="CF126" s="59">
        <f t="shared" si="703"/>
        <v>47469.122701</v>
      </c>
      <c r="CG126" s="55">
        <f t="shared" si="704"/>
        <v>14057.043000000001</v>
      </c>
      <c r="CH126" s="59">
        <f t="shared" si="705"/>
        <v>46469.772749400006</v>
      </c>
      <c r="CI126" s="57">
        <f t="shared" si="706"/>
        <v>13754.741</v>
      </c>
      <c r="CJ126" s="59">
        <f t="shared" si="707"/>
        <v>45470.422797799998</v>
      </c>
      <c r="CK126" s="55">
        <f t="shared" si="708"/>
        <v>13452.439</v>
      </c>
      <c r="CL126" s="59">
        <f t="shared" si="709"/>
        <v>44471.072846200004</v>
      </c>
      <c r="CM126" s="57">
        <f t="shared" si="710"/>
        <v>13150.137000000001</v>
      </c>
      <c r="CN126" s="59">
        <f t="shared" si="711"/>
        <v>43471.722894600003</v>
      </c>
      <c r="CO126" s="60">
        <f t="shared" si="712"/>
        <v>12847.834999999999</v>
      </c>
      <c r="CP126" s="59">
        <f t="shared" si="713"/>
        <v>42472.372942999995</v>
      </c>
      <c r="CQ126" s="57">
        <f t="shared" si="714"/>
        <v>12545.532999999999</v>
      </c>
      <c r="CR126" s="59">
        <f t="shared" si="715"/>
        <v>41473.022991400001</v>
      </c>
      <c r="CS126" s="55">
        <f t="shared" si="716"/>
        <v>12243.231</v>
      </c>
      <c r="CT126" s="59">
        <f t="shared" si="717"/>
        <v>40473.6730398</v>
      </c>
      <c r="CU126" s="60">
        <f t="shared" si="718"/>
        <v>11940.928999999998</v>
      </c>
      <c r="CV126" s="59">
        <f t="shared" si="719"/>
        <v>39474.323088199992</v>
      </c>
      <c r="CW126" s="60">
        <f t="shared" si="720"/>
        <v>11638.626999999999</v>
      </c>
      <c r="CX126" s="59">
        <f t="shared" si="721"/>
        <v>38474.973136599998</v>
      </c>
      <c r="CY126" s="60">
        <f t="shared" si="722"/>
        <v>11336.324999999999</v>
      </c>
      <c r="CZ126" s="59">
        <f t="shared" si="723"/>
        <v>37475.623184999997</v>
      </c>
      <c r="DA126" s="55">
        <f t="shared" si="724"/>
        <v>11034.022999999997</v>
      </c>
      <c r="DB126" s="59">
        <f t="shared" si="725"/>
        <v>36476.273233399996</v>
      </c>
      <c r="DC126" s="60">
        <f t="shared" si="726"/>
        <v>10731.720999999998</v>
      </c>
      <c r="DD126" s="59">
        <f t="shared" si="727"/>
        <v>35476.923281799995</v>
      </c>
      <c r="DE126" s="60">
        <f t="shared" si="728"/>
        <v>10429.418999999998</v>
      </c>
      <c r="DF126" s="59">
        <f t="shared" si="729"/>
        <v>34477.573330199994</v>
      </c>
      <c r="DG126" s="60">
        <f t="shared" si="730"/>
        <v>10127.116999999998</v>
      </c>
      <c r="DH126" s="59">
        <f t="shared" si="731"/>
        <v>33478.223378599992</v>
      </c>
      <c r="DI126" s="60">
        <f t="shared" si="732"/>
        <v>9824.8149999999969</v>
      </c>
      <c r="DJ126" s="59">
        <f t="shared" si="733"/>
        <v>32478.873426999991</v>
      </c>
      <c r="DK126" s="55">
        <f t="shared" si="734"/>
        <v>9522.5129999999972</v>
      </c>
      <c r="DL126" s="59">
        <f t="shared" si="735"/>
        <v>31479.52347539999</v>
      </c>
      <c r="DM126" s="60">
        <f t="shared" si="736"/>
        <v>9220.2109999999975</v>
      </c>
      <c r="DN126" s="59">
        <f t="shared" si="737"/>
        <v>30480.173523799993</v>
      </c>
      <c r="DO126" s="60">
        <f t="shared" si="738"/>
        <v>8917.908999999996</v>
      </c>
      <c r="DP126" s="59">
        <f t="shared" si="739"/>
        <v>29480.823572199988</v>
      </c>
      <c r="DQ126" s="55">
        <f t="shared" si="740"/>
        <v>8615.6069999999963</v>
      </c>
      <c r="DR126" s="59">
        <f t="shared" si="741"/>
        <v>28481.473620599987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787"/>
        <v>0.91</v>
      </c>
      <c r="DZ126" s="55">
        <f t="shared" si="787"/>
        <v>0.89</v>
      </c>
      <c r="EA126" s="55">
        <f t="shared" si="787"/>
        <v>0.87</v>
      </c>
      <c r="EB126" s="55">
        <f t="shared" si="787"/>
        <v>0.85</v>
      </c>
      <c r="EC126" s="55">
        <f t="shared" si="787"/>
        <v>0.83</v>
      </c>
      <c r="ED126" s="55">
        <f t="shared" si="787"/>
        <v>0.80999999999999994</v>
      </c>
      <c r="EE126" s="55">
        <f t="shared" si="787"/>
        <v>0.78999999999999992</v>
      </c>
      <c r="EF126" s="55">
        <f t="shared" si="787"/>
        <v>0.76999999999999991</v>
      </c>
      <c r="EG126" s="55">
        <f t="shared" si="787"/>
        <v>0.74999999999999989</v>
      </c>
      <c r="EH126" s="55">
        <f t="shared" si="787"/>
        <v>0.72999999999999987</v>
      </c>
      <c r="EI126" s="55">
        <f t="shared" si="787"/>
        <v>0.70999999999999985</v>
      </c>
      <c r="EJ126" s="55">
        <f t="shared" si="787"/>
        <v>0.68999999999999984</v>
      </c>
      <c r="EK126" s="55">
        <f t="shared" si="787"/>
        <v>0.66999999999999982</v>
      </c>
      <c r="EL126" s="55">
        <f t="shared" si="787"/>
        <v>0.6499999999999998</v>
      </c>
      <c r="EM126" s="55">
        <f t="shared" si="787"/>
        <v>0.62999999999999978</v>
      </c>
      <c r="EN126" s="55">
        <f t="shared" si="787"/>
        <v>0.60999999999999976</v>
      </c>
      <c r="EO126" s="55">
        <f t="shared" si="787"/>
        <v>0.58999999999999975</v>
      </c>
      <c r="EP126" s="55">
        <f t="shared" si="787"/>
        <v>0.56999999999999973</v>
      </c>
      <c r="ER126" s="55">
        <f t="shared" si="644"/>
        <v>13754.741</v>
      </c>
      <c r="ES126" s="55">
        <f t="shared" si="507"/>
        <v>13754.741</v>
      </c>
      <c r="ET126" s="59">
        <f t="shared" si="742"/>
        <v>45470.422797799998</v>
      </c>
      <c r="EU126" s="55">
        <f t="shared" si="743"/>
        <v>13342.098770000001</v>
      </c>
      <c r="EV126" s="59">
        <f t="shared" si="744"/>
        <v>44106.310113866006</v>
      </c>
      <c r="EW126" s="55">
        <f t="shared" si="745"/>
        <v>13067.00395</v>
      </c>
      <c r="EX126" s="59">
        <f t="shared" si="746"/>
        <v>43196.901657909999</v>
      </c>
      <c r="EY126" s="55">
        <f t="shared" si="747"/>
        <v>12791.90913</v>
      </c>
      <c r="EZ126" s="59">
        <f t="shared" si="748"/>
        <v>42287.493201953999</v>
      </c>
      <c r="FA126" s="57">
        <f t="shared" si="749"/>
        <v>12516.81431</v>
      </c>
      <c r="FB126" s="59">
        <f t="shared" si="750"/>
        <v>41378.084745998</v>
      </c>
      <c r="FC126" s="55">
        <f t="shared" si="751"/>
        <v>12241.719489999999</v>
      </c>
      <c r="FD126" s="59">
        <f t="shared" si="752"/>
        <v>40468.676290042</v>
      </c>
      <c r="FE126" s="57">
        <f t="shared" si="753"/>
        <v>11966.624669999999</v>
      </c>
      <c r="FF126" s="59">
        <f t="shared" si="754"/>
        <v>39559.267834086</v>
      </c>
      <c r="FG126" s="60">
        <f t="shared" si="755"/>
        <v>11691.529849999999</v>
      </c>
      <c r="FH126" s="59">
        <f t="shared" si="756"/>
        <v>38649.859378130001</v>
      </c>
      <c r="FI126" s="57">
        <f t="shared" si="757"/>
        <v>11416.435029999999</v>
      </c>
      <c r="FJ126" s="59">
        <f t="shared" si="758"/>
        <v>37740.450922173994</v>
      </c>
      <c r="FK126" s="55">
        <f t="shared" si="759"/>
        <v>11141.340209999998</v>
      </c>
      <c r="FL126" s="59">
        <f t="shared" si="760"/>
        <v>36831.042466217994</v>
      </c>
      <c r="FM126" s="60">
        <f t="shared" si="761"/>
        <v>10866.245389999998</v>
      </c>
      <c r="FN126" s="59">
        <f t="shared" si="762"/>
        <v>35921.634010261994</v>
      </c>
      <c r="FO126" s="60">
        <f t="shared" si="763"/>
        <v>10591.150569999998</v>
      </c>
      <c r="FP126" s="59">
        <f t="shared" si="764"/>
        <v>35012.225554305995</v>
      </c>
      <c r="FQ126" s="60">
        <f t="shared" si="765"/>
        <v>10316.055749999998</v>
      </c>
      <c r="FR126" s="59">
        <f t="shared" si="766"/>
        <v>34102.817098349995</v>
      </c>
      <c r="FS126" s="55">
        <f t="shared" si="767"/>
        <v>10040.960929999997</v>
      </c>
      <c r="FT126" s="59">
        <f t="shared" si="768"/>
        <v>33193.408642393995</v>
      </c>
      <c r="FU126" s="60">
        <f t="shared" si="769"/>
        <v>9765.8661099999972</v>
      </c>
      <c r="FV126" s="59">
        <f t="shared" si="770"/>
        <v>32284.000186437992</v>
      </c>
      <c r="FW126" s="60">
        <f t="shared" si="771"/>
        <v>9490.771289999997</v>
      </c>
      <c r="FX126" s="59">
        <f t="shared" si="772"/>
        <v>31374.591730481992</v>
      </c>
      <c r="FY126" s="60">
        <f t="shared" si="773"/>
        <v>9215.6764699999967</v>
      </c>
      <c r="FZ126" s="59">
        <f t="shared" si="774"/>
        <v>30465.183274525989</v>
      </c>
      <c r="GA126" s="60">
        <f t="shared" si="775"/>
        <v>8940.5816499999964</v>
      </c>
      <c r="GB126" s="59">
        <f t="shared" si="776"/>
        <v>29555.774818569989</v>
      </c>
      <c r="GC126" s="55">
        <f t="shared" si="777"/>
        <v>8665.4868299999962</v>
      </c>
      <c r="GD126" s="59">
        <f t="shared" si="778"/>
        <v>28646.36636261399</v>
      </c>
      <c r="GE126" s="60">
        <f t="shared" si="779"/>
        <v>8390.3920099999959</v>
      </c>
      <c r="GF126" s="59">
        <f t="shared" si="780"/>
        <v>27736.957906657986</v>
      </c>
      <c r="GG126" s="60">
        <f t="shared" si="781"/>
        <v>8115.2971899999966</v>
      </c>
      <c r="GH126" s="59">
        <f t="shared" si="782"/>
        <v>26827.54945070199</v>
      </c>
      <c r="GI126" s="55">
        <f t="shared" si="783"/>
        <v>7840.2023699999963</v>
      </c>
      <c r="GJ126" s="59">
        <f t="shared" si="784"/>
        <v>25918.140994745987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788"/>
        <v>0.91</v>
      </c>
      <c r="GR126" s="55">
        <f t="shared" si="788"/>
        <v>0.89</v>
      </c>
      <c r="GS126" s="55">
        <f t="shared" si="788"/>
        <v>0.87</v>
      </c>
      <c r="GT126" s="55">
        <f t="shared" si="788"/>
        <v>0.85</v>
      </c>
      <c r="GU126" s="55">
        <f t="shared" si="788"/>
        <v>0.83</v>
      </c>
      <c r="GV126" s="55">
        <f t="shared" si="788"/>
        <v>0.80999999999999994</v>
      </c>
      <c r="GW126" s="55">
        <f t="shared" si="788"/>
        <v>0.78999999999999992</v>
      </c>
      <c r="GX126" s="55">
        <f t="shared" si="788"/>
        <v>0.76999999999999991</v>
      </c>
      <c r="GY126" s="55">
        <f t="shared" si="788"/>
        <v>0.74999999999999989</v>
      </c>
      <c r="GZ126" s="55">
        <f t="shared" si="788"/>
        <v>0.72999999999999987</v>
      </c>
      <c r="HA126" s="55">
        <f t="shared" si="788"/>
        <v>0.70999999999999985</v>
      </c>
      <c r="HB126" s="55">
        <f t="shared" si="788"/>
        <v>0.68999999999999984</v>
      </c>
      <c r="HC126" s="55">
        <f t="shared" si="788"/>
        <v>0.66999999999999982</v>
      </c>
      <c r="HD126" s="55">
        <f t="shared" si="788"/>
        <v>0.6499999999999998</v>
      </c>
      <c r="HE126" s="55">
        <f t="shared" si="788"/>
        <v>0.62999999999999978</v>
      </c>
      <c r="HF126" s="55">
        <f t="shared" si="788"/>
        <v>0.60999999999999976</v>
      </c>
      <c r="HG126" s="55">
        <f t="shared" si="788"/>
        <v>0.58999999999999975</v>
      </c>
      <c r="HH126" s="55">
        <f t="shared" si="788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86660</v>
      </c>
      <c r="E127" s="39">
        <f>SUM(E116:E126)</f>
        <v>286450</v>
      </c>
      <c r="H127" s="55">
        <f t="shared" si="502"/>
        <v>315095</v>
      </c>
      <c r="I127" s="55">
        <f t="shared" si="503"/>
        <v>315095</v>
      </c>
      <c r="J127" s="59">
        <f t="shared" si="504"/>
        <v>1041641.051</v>
      </c>
      <c r="K127" s="55">
        <f t="shared" si="656"/>
        <v>305642.14999999997</v>
      </c>
      <c r="L127" s="59">
        <f t="shared" si="657"/>
        <v>1010391.8194699999</v>
      </c>
      <c r="M127" s="55">
        <f t="shared" si="658"/>
        <v>299340.25</v>
      </c>
      <c r="N127" s="59">
        <f t="shared" si="659"/>
        <v>989558.99845000007</v>
      </c>
      <c r="O127" s="55">
        <f t="shared" si="660"/>
        <v>293038.35000000003</v>
      </c>
      <c r="P127" s="59">
        <f t="shared" si="661"/>
        <v>968726.17743000016</v>
      </c>
      <c r="Q127" s="57">
        <f t="shared" si="662"/>
        <v>286736.45</v>
      </c>
      <c r="R127" s="59">
        <f t="shared" si="663"/>
        <v>947893.35641000001</v>
      </c>
      <c r="S127" s="55">
        <f t="shared" si="664"/>
        <v>280434.55</v>
      </c>
      <c r="T127" s="59">
        <f t="shared" si="665"/>
        <v>927060.53538999998</v>
      </c>
      <c r="U127" s="57">
        <f t="shared" si="666"/>
        <v>274132.65000000002</v>
      </c>
      <c r="V127" s="59">
        <f t="shared" si="667"/>
        <v>906227.71437000006</v>
      </c>
      <c r="W127" s="60">
        <f t="shared" si="668"/>
        <v>267830.75</v>
      </c>
      <c r="X127" s="59">
        <f t="shared" si="669"/>
        <v>885394.89335000003</v>
      </c>
      <c r="Y127" s="57">
        <f t="shared" si="670"/>
        <v>261528.84999999998</v>
      </c>
      <c r="Z127" s="59">
        <f t="shared" si="671"/>
        <v>864562.07233</v>
      </c>
      <c r="AA127" s="55">
        <f t="shared" si="672"/>
        <v>255226.94999999998</v>
      </c>
      <c r="AB127" s="59">
        <f t="shared" si="673"/>
        <v>843729.25130999996</v>
      </c>
      <c r="AC127" s="60">
        <f t="shared" si="674"/>
        <v>248925.05</v>
      </c>
      <c r="AD127" s="59">
        <f t="shared" si="675"/>
        <v>822896.43028999993</v>
      </c>
      <c r="AE127" s="60">
        <f t="shared" si="676"/>
        <v>242623.14999999997</v>
      </c>
      <c r="AF127" s="59">
        <f t="shared" si="677"/>
        <v>802063.6092699999</v>
      </c>
      <c r="AG127" s="60">
        <f t="shared" si="678"/>
        <v>236321.24999999997</v>
      </c>
      <c r="AH127" s="59">
        <f t="shared" si="679"/>
        <v>781230.78824999987</v>
      </c>
      <c r="AI127" s="55">
        <f t="shared" si="680"/>
        <v>230019.34999999995</v>
      </c>
      <c r="AJ127" s="59">
        <f t="shared" si="681"/>
        <v>760397.96722999983</v>
      </c>
      <c r="AK127" s="60">
        <f t="shared" si="682"/>
        <v>223717.44999999995</v>
      </c>
      <c r="AL127" s="59">
        <f t="shared" si="683"/>
        <v>739565.14620999992</v>
      </c>
      <c r="AM127" s="60">
        <f t="shared" si="684"/>
        <v>217415.54999999996</v>
      </c>
      <c r="AN127" s="59">
        <f t="shared" si="685"/>
        <v>718732.32518999989</v>
      </c>
      <c r="AO127" s="60">
        <f t="shared" si="686"/>
        <v>211113.64999999994</v>
      </c>
      <c r="AP127" s="59">
        <f t="shared" si="687"/>
        <v>697899.50416999985</v>
      </c>
      <c r="AQ127" s="60">
        <f t="shared" si="688"/>
        <v>204811.74999999994</v>
      </c>
      <c r="AR127" s="59">
        <f t="shared" si="689"/>
        <v>677066.68314999982</v>
      </c>
      <c r="AS127" s="55">
        <f t="shared" si="690"/>
        <v>198509.84999999992</v>
      </c>
      <c r="AT127" s="59">
        <f t="shared" si="691"/>
        <v>656233.86212999979</v>
      </c>
      <c r="AU127" s="60">
        <f t="shared" si="692"/>
        <v>192207.94999999992</v>
      </c>
      <c r="AV127" s="59">
        <f t="shared" si="693"/>
        <v>635401.04110999976</v>
      </c>
      <c r="AW127" s="60">
        <f t="shared" si="694"/>
        <v>185906.04999999993</v>
      </c>
      <c r="AX127" s="59">
        <f t="shared" si="695"/>
        <v>614568.22008999973</v>
      </c>
      <c r="AY127" s="55">
        <f t="shared" si="696"/>
        <v>179604.14999999991</v>
      </c>
      <c r="AZ127" s="59">
        <f t="shared" si="697"/>
        <v>593735.39906999969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698"/>
        <v>0.91</v>
      </c>
      <c r="BH127" s="55">
        <f t="shared" si="698"/>
        <v>0.89</v>
      </c>
      <c r="BI127" s="55">
        <f t="shared" si="698"/>
        <v>0.87</v>
      </c>
      <c r="BJ127" s="55">
        <f t="shared" si="698"/>
        <v>0.85</v>
      </c>
      <c r="BK127" s="55">
        <f t="shared" si="698"/>
        <v>0.83</v>
      </c>
      <c r="BL127" s="55">
        <f t="shared" si="698"/>
        <v>0.80999999999999994</v>
      </c>
      <c r="BM127" s="55">
        <f t="shared" si="698"/>
        <v>0.78999999999999992</v>
      </c>
      <c r="BN127" s="55">
        <f t="shared" si="698"/>
        <v>0.76999999999999991</v>
      </c>
      <c r="BO127" s="55">
        <f t="shared" si="698"/>
        <v>0.74999999999999989</v>
      </c>
      <c r="BP127" s="55">
        <f t="shared" si="698"/>
        <v>0.72999999999999987</v>
      </c>
      <c r="BQ127" s="55">
        <f t="shared" si="698"/>
        <v>0.70999999999999985</v>
      </c>
      <c r="BR127" s="55">
        <f t="shared" si="698"/>
        <v>0.68999999999999984</v>
      </c>
      <c r="BS127" s="55">
        <f t="shared" si="698"/>
        <v>0.66999999999999982</v>
      </c>
      <c r="BT127" s="55">
        <f t="shared" si="698"/>
        <v>0.6499999999999998</v>
      </c>
      <c r="BU127" s="55">
        <f t="shared" si="698"/>
        <v>0.62999999999999978</v>
      </c>
      <c r="BV127" s="55">
        <f t="shared" si="698"/>
        <v>0.60999999999999976</v>
      </c>
      <c r="BW127" s="55">
        <f t="shared" si="698"/>
        <v>0.58999999999999975</v>
      </c>
      <c r="BX127" s="55">
        <f t="shared" si="698"/>
        <v>0.56999999999999973</v>
      </c>
      <c r="BZ127" s="55">
        <f t="shared" si="505"/>
        <v>286736.45</v>
      </c>
      <c r="CA127" s="55">
        <f t="shared" si="506"/>
        <v>286736.45</v>
      </c>
      <c r="CB127" s="59">
        <f t="shared" si="699"/>
        <v>947893.35641000001</v>
      </c>
      <c r="CC127" s="55">
        <f t="shared" si="700"/>
        <v>278134.35649999999</v>
      </c>
      <c r="CD127" s="59">
        <f t="shared" si="701"/>
        <v>919456.55571770004</v>
      </c>
      <c r="CE127" s="55">
        <f t="shared" si="702"/>
        <v>272399.6275</v>
      </c>
      <c r="CF127" s="59">
        <f t="shared" si="703"/>
        <v>900498.68858950003</v>
      </c>
      <c r="CG127" s="55">
        <f t="shared" si="704"/>
        <v>266664.89850000001</v>
      </c>
      <c r="CH127" s="59">
        <f t="shared" si="705"/>
        <v>881540.82146130002</v>
      </c>
      <c r="CI127" s="57">
        <f t="shared" si="706"/>
        <v>260930.16950000002</v>
      </c>
      <c r="CJ127" s="59">
        <f t="shared" si="707"/>
        <v>862582.95433310012</v>
      </c>
      <c r="CK127" s="55">
        <f t="shared" si="708"/>
        <v>255195.44050000003</v>
      </c>
      <c r="CL127" s="59">
        <f t="shared" si="709"/>
        <v>843625.0872049001</v>
      </c>
      <c r="CM127" s="57">
        <f t="shared" si="710"/>
        <v>249460.7115</v>
      </c>
      <c r="CN127" s="59">
        <f t="shared" si="711"/>
        <v>824667.22007670009</v>
      </c>
      <c r="CO127" s="60">
        <f t="shared" si="712"/>
        <v>243725.98250000001</v>
      </c>
      <c r="CP127" s="59">
        <f t="shared" si="713"/>
        <v>805709.35294850008</v>
      </c>
      <c r="CQ127" s="57">
        <f t="shared" si="714"/>
        <v>237991.25349999999</v>
      </c>
      <c r="CR127" s="59">
        <f t="shared" si="715"/>
        <v>786751.48582029995</v>
      </c>
      <c r="CS127" s="55">
        <f t="shared" si="716"/>
        <v>232256.5245</v>
      </c>
      <c r="CT127" s="59">
        <f t="shared" si="717"/>
        <v>767793.61869210005</v>
      </c>
      <c r="CU127" s="60">
        <f t="shared" si="718"/>
        <v>226521.79549999998</v>
      </c>
      <c r="CV127" s="59">
        <f t="shared" si="719"/>
        <v>748835.75156389992</v>
      </c>
      <c r="CW127" s="60">
        <f t="shared" si="720"/>
        <v>220787.06649999999</v>
      </c>
      <c r="CX127" s="59">
        <f t="shared" si="721"/>
        <v>729877.88443570002</v>
      </c>
      <c r="CY127" s="60">
        <f t="shared" si="722"/>
        <v>215052.33749999997</v>
      </c>
      <c r="CZ127" s="59">
        <f t="shared" si="723"/>
        <v>710920.01730749989</v>
      </c>
      <c r="DA127" s="55">
        <f t="shared" si="724"/>
        <v>209317.60849999997</v>
      </c>
      <c r="DB127" s="59">
        <f t="shared" si="725"/>
        <v>691962.15017929988</v>
      </c>
      <c r="DC127" s="60">
        <f t="shared" si="726"/>
        <v>203582.87949999995</v>
      </c>
      <c r="DD127" s="59">
        <f t="shared" si="727"/>
        <v>673004.28305109986</v>
      </c>
      <c r="DE127" s="60">
        <f t="shared" si="728"/>
        <v>197848.15049999996</v>
      </c>
      <c r="DF127" s="59">
        <f t="shared" si="729"/>
        <v>654046.41592289985</v>
      </c>
      <c r="DG127" s="60">
        <f t="shared" si="730"/>
        <v>192113.42149999997</v>
      </c>
      <c r="DH127" s="59">
        <f t="shared" si="731"/>
        <v>635088.54879469995</v>
      </c>
      <c r="DI127" s="60">
        <f t="shared" si="732"/>
        <v>186378.69249999995</v>
      </c>
      <c r="DJ127" s="59">
        <f t="shared" si="733"/>
        <v>616130.68166649982</v>
      </c>
      <c r="DK127" s="55">
        <f t="shared" si="734"/>
        <v>180643.96349999995</v>
      </c>
      <c r="DL127" s="59">
        <f t="shared" si="735"/>
        <v>597172.8145382998</v>
      </c>
      <c r="DM127" s="60">
        <f t="shared" si="736"/>
        <v>174909.23449999993</v>
      </c>
      <c r="DN127" s="59">
        <f t="shared" si="737"/>
        <v>578214.94741009979</v>
      </c>
      <c r="DO127" s="60">
        <f t="shared" si="738"/>
        <v>169174.50549999994</v>
      </c>
      <c r="DP127" s="59">
        <f t="shared" si="739"/>
        <v>559257.08028189978</v>
      </c>
      <c r="DQ127" s="55">
        <f t="shared" si="740"/>
        <v>163439.77649999992</v>
      </c>
      <c r="DR127" s="59">
        <f t="shared" si="741"/>
        <v>540299.21315369976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787"/>
        <v>0.91</v>
      </c>
      <c r="DZ127" s="55">
        <f t="shared" si="787"/>
        <v>0.89</v>
      </c>
      <c r="EA127" s="55">
        <f t="shared" si="787"/>
        <v>0.87</v>
      </c>
      <c r="EB127" s="55">
        <f t="shared" si="787"/>
        <v>0.85</v>
      </c>
      <c r="EC127" s="55">
        <f t="shared" si="787"/>
        <v>0.83</v>
      </c>
      <c r="ED127" s="55">
        <f t="shared" si="787"/>
        <v>0.80999999999999994</v>
      </c>
      <c r="EE127" s="55">
        <f t="shared" si="787"/>
        <v>0.78999999999999992</v>
      </c>
      <c r="EF127" s="55">
        <f t="shared" si="787"/>
        <v>0.76999999999999991</v>
      </c>
      <c r="EG127" s="55">
        <f t="shared" si="787"/>
        <v>0.74999999999999989</v>
      </c>
      <c r="EH127" s="55">
        <f t="shared" si="787"/>
        <v>0.72999999999999987</v>
      </c>
      <c r="EI127" s="55">
        <f t="shared" si="787"/>
        <v>0.70999999999999985</v>
      </c>
      <c r="EJ127" s="55">
        <f t="shared" si="787"/>
        <v>0.68999999999999984</v>
      </c>
      <c r="EK127" s="55">
        <f t="shared" si="787"/>
        <v>0.66999999999999982</v>
      </c>
      <c r="EL127" s="55">
        <f t="shared" si="787"/>
        <v>0.6499999999999998</v>
      </c>
      <c r="EM127" s="55">
        <f t="shared" si="787"/>
        <v>0.62999999999999978</v>
      </c>
      <c r="EN127" s="55">
        <f t="shared" si="787"/>
        <v>0.60999999999999976</v>
      </c>
      <c r="EO127" s="55">
        <f t="shared" si="787"/>
        <v>0.58999999999999975</v>
      </c>
      <c r="EP127" s="55">
        <f t="shared" si="787"/>
        <v>0.56999999999999973</v>
      </c>
      <c r="ER127" s="55">
        <f t="shared" si="644"/>
        <v>260930.16950000002</v>
      </c>
      <c r="ES127" s="55">
        <f t="shared" si="507"/>
        <v>260930.16950000002</v>
      </c>
      <c r="ET127" s="59">
        <f t="shared" si="742"/>
        <v>862582.95433310012</v>
      </c>
      <c r="EU127" s="55">
        <f t="shared" si="743"/>
        <v>253102.26441500001</v>
      </c>
      <c r="EV127" s="59">
        <f t="shared" si="744"/>
        <v>836705.46570310707</v>
      </c>
      <c r="EW127" s="55">
        <f t="shared" si="745"/>
        <v>247883.66102500001</v>
      </c>
      <c r="EX127" s="59">
        <f t="shared" si="746"/>
        <v>819453.80661644507</v>
      </c>
      <c r="EY127" s="55">
        <f t="shared" si="747"/>
        <v>242665.05763500003</v>
      </c>
      <c r="EZ127" s="59">
        <f t="shared" si="748"/>
        <v>802202.14752978308</v>
      </c>
      <c r="FA127" s="57">
        <f t="shared" si="749"/>
        <v>237446.45424500003</v>
      </c>
      <c r="FB127" s="59">
        <f t="shared" si="750"/>
        <v>784950.48844312108</v>
      </c>
      <c r="FC127" s="55">
        <f t="shared" si="751"/>
        <v>232227.85085500003</v>
      </c>
      <c r="FD127" s="59">
        <f t="shared" si="752"/>
        <v>767698.82935645909</v>
      </c>
      <c r="FE127" s="57">
        <f t="shared" si="753"/>
        <v>227009.24746500002</v>
      </c>
      <c r="FF127" s="59">
        <f t="shared" si="754"/>
        <v>750447.17026979709</v>
      </c>
      <c r="FG127" s="60">
        <f t="shared" si="755"/>
        <v>221790.64407500002</v>
      </c>
      <c r="FH127" s="59">
        <f t="shared" si="756"/>
        <v>733195.5111831351</v>
      </c>
      <c r="FI127" s="57">
        <f t="shared" si="757"/>
        <v>216572.04068500001</v>
      </c>
      <c r="FJ127" s="59">
        <f t="shared" si="758"/>
        <v>715943.8520964731</v>
      </c>
      <c r="FK127" s="55">
        <f t="shared" si="759"/>
        <v>211353.43729500001</v>
      </c>
      <c r="FL127" s="59">
        <f t="shared" si="760"/>
        <v>698692.1930098111</v>
      </c>
      <c r="FM127" s="60">
        <f t="shared" si="761"/>
        <v>206134.83390500001</v>
      </c>
      <c r="FN127" s="59">
        <f t="shared" si="762"/>
        <v>681440.53392314899</v>
      </c>
      <c r="FO127" s="60">
        <f t="shared" si="763"/>
        <v>200916.230515</v>
      </c>
      <c r="FP127" s="59">
        <f t="shared" si="764"/>
        <v>664188.874836487</v>
      </c>
      <c r="FQ127" s="60">
        <f t="shared" si="765"/>
        <v>195697.627125</v>
      </c>
      <c r="FR127" s="59">
        <f t="shared" si="766"/>
        <v>646937.215749825</v>
      </c>
      <c r="FS127" s="55">
        <f t="shared" si="767"/>
        <v>190479.02373499997</v>
      </c>
      <c r="FT127" s="59">
        <f t="shared" si="768"/>
        <v>629685.55666316289</v>
      </c>
      <c r="FU127" s="60">
        <f t="shared" si="769"/>
        <v>185260.42034499996</v>
      </c>
      <c r="FV127" s="59">
        <f t="shared" si="770"/>
        <v>612433.89757650089</v>
      </c>
      <c r="FW127" s="60">
        <f t="shared" si="771"/>
        <v>180041.81695499996</v>
      </c>
      <c r="FX127" s="59">
        <f t="shared" si="772"/>
        <v>595182.2384898389</v>
      </c>
      <c r="FY127" s="60">
        <f t="shared" si="773"/>
        <v>174823.21356499995</v>
      </c>
      <c r="FZ127" s="59">
        <f t="shared" si="774"/>
        <v>577930.5794031769</v>
      </c>
      <c r="GA127" s="60">
        <f t="shared" si="775"/>
        <v>169604.61017499995</v>
      </c>
      <c r="GB127" s="59">
        <f t="shared" si="776"/>
        <v>560678.92031651479</v>
      </c>
      <c r="GC127" s="55">
        <f t="shared" si="777"/>
        <v>164386.00678499995</v>
      </c>
      <c r="GD127" s="59">
        <f t="shared" si="778"/>
        <v>543427.2612298528</v>
      </c>
      <c r="GE127" s="60">
        <f t="shared" si="779"/>
        <v>159167.40339499994</v>
      </c>
      <c r="GF127" s="59">
        <f t="shared" si="780"/>
        <v>526175.6021431908</v>
      </c>
      <c r="GG127" s="60">
        <f t="shared" si="781"/>
        <v>153948.80000499994</v>
      </c>
      <c r="GH127" s="59">
        <f t="shared" si="782"/>
        <v>508923.94305652881</v>
      </c>
      <c r="GI127" s="55">
        <f t="shared" si="783"/>
        <v>148730.19661499994</v>
      </c>
      <c r="GJ127" s="59">
        <f t="shared" si="784"/>
        <v>491672.28396986681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788"/>
        <v>0.91</v>
      </c>
      <c r="GR127" s="55">
        <f t="shared" si="788"/>
        <v>0.89</v>
      </c>
      <c r="GS127" s="55">
        <f t="shared" si="788"/>
        <v>0.87</v>
      </c>
      <c r="GT127" s="55">
        <f t="shared" si="788"/>
        <v>0.85</v>
      </c>
      <c r="GU127" s="55">
        <f t="shared" si="788"/>
        <v>0.83</v>
      </c>
      <c r="GV127" s="55">
        <f t="shared" si="788"/>
        <v>0.80999999999999994</v>
      </c>
      <c r="GW127" s="55">
        <f t="shared" si="788"/>
        <v>0.78999999999999992</v>
      </c>
      <c r="GX127" s="55">
        <f t="shared" si="788"/>
        <v>0.76999999999999991</v>
      </c>
      <c r="GY127" s="55">
        <f t="shared" si="788"/>
        <v>0.74999999999999989</v>
      </c>
      <c r="GZ127" s="55">
        <f t="shared" si="788"/>
        <v>0.72999999999999987</v>
      </c>
      <c r="HA127" s="55">
        <f t="shared" si="788"/>
        <v>0.70999999999999985</v>
      </c>
      <c r="HB127" s="55">
        <f t="shared" si="788"/>
        <v>0.68999999999999984</v>
      </c>
      <c r="HC127" s="55">
        <f t="shared" si="788"/>
        <v>0.66999999999999982</v>
      </c>
      <c r="HD127" s="55">
        <f t="shared" si="788"/>
        <v>0.6499999999999998</v>
      </c>
      <c r="HE127" s="55">
        <f t="shared" si="788"/>
        <v>0.62999999999999978</v>
      </c>
      <c r="HF127" s="55">
        <f t="shared" si="788"/>
        <v>0.60999999999999976</v>
      </c>
      <c r="HG127" s="55">
        <f t="shared" si="788"/>
        <v>0.58999999999999975</v>
      </c>
      <c r="HH127" s="55">
        <f t="shared" si="788"/>
        <v>0.56999999999999973</v>
      </c>
    </row>
    <row r="128" spans="1:216" s="64" customFormat="1" x14ac:dyDescent="0.3">
      <c r="C128" s="65"/>
      <c r="D128" s="65"/>
      <c r="E128" s="65"/>
      <c r="G128" s="61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2"/>
      <c r="U128" s="61"/>
      <c r="V128" s="63"/>
      <c r="W128" s="61"/>
      <c r="X128" s="62"/>
      <c r="Y128" s="61"/>
      <c r="Z128" s="61"/>
      <c r="AA128" s="61"/>
      <c r="AB128" s="63"/>
      <c r="AC128" s="61"/>
      <c r="AD128" s="63"/>
      <c r="AE128" s="61"/>
      <c r="AF128" s="63"/>
      <c r="AG128" s="61"/>
      <c r="AH128" s="61"/>
      <c r="AI128" s="61"/>
      <c r="AJ128" s="63"/>
      <c r="AK128" s="61"/>
      <c r="AL128" s="63"/>
      <c r="AM128" s="61"/>
      <c r="AN128" s="63"/>
      <c r="AO128" s="61"/>
      <c r="AP128" s="63"/>
      <c r="AQ128" s="61"/>
      <c r="AR128" s="61"/>
      <c r="AS128" s="61"/>
      <c r="AT128" s="63"/>
      <c r="AU128" s="61"/>
      <c r="AV128" s="63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>
        <f t="shared" ref="BY128:BY129" si="789">+G128*0.91</f>
        <v>0</v>
      </c>
      <c r="BZ128" s="61"/>
      <c r="CA128" s="61"/>
      <c r="CB128" s="61"/>
      <c r="CC128" s="61"/>
      <c r="CD128" s="61"/>
      <c r="CE128" s="61"/>
      <c r="CF128" s="61"/>
      <c r="CG128" s="61"/>
      <c r="CH128" s="62"/>
      <c r="CI128" s="61"/>
      <c r="CJ128" s="61"/>
      <c r="CK128" s="61"/>
      <c r="CL128" s="62"/>
      <c r="CM128" s="61"/>
      <c r="CN128" s="63"/>
      <c r="CO128" s="61"/>
      <c r="CP128" s="62"/>
      <c r="CQ128" s="61"/>
      <c r="CR128" s="61"/>
      <c r="CS128" s="61"/>
      <c r="CT128" s="63"/>
      <c r="CU128" s="61"/>
      <c r="CV128" s="63"/>
      <c r="CW128" s="61"/>
      <c r="CX128" s="63"/>
      <c r="CY128" s="61"/>
      <c r="CZ128" s="61"/>
      <c r="DA128" s="61"/>
      <c r="DB128" s="63"/>
      <c r="DC128" s="61"/>
      <c r="DD128" s="63"/>
      <c r="DE128" s="61"/>
      <c r="DF128" s="63"/>
      <c r="DG128" s="61"/>
      <c r="DH128" s="63"/>
      <c r="DI128" s="61"/>
      <c r="DJ128" s="61"/>
      <c r="DK128" s="61"/>
      <c r="DL128" s="63"/>
      <c r="DM128" s="61"/>
      <c r="DN128" s="63"/>
      <c r="DO128" s="61"/>
      <c r="DP128" s="61"/>
      <c r="DQ128" s="61"/>
      <c r="DR128" s="61"/>
      <c r="DS128" s="61"/>
      <c r="DT128" s="61">
        <v>1</v>
      </c>
      <c r="DU128" s="61">
        <v>0.97</v>
      </c>
      <c r="DV128" s="61">
        <v>0.95</v>
      </c>
      <c r="DW128" s="61">
        <v>0.93</v>
      </c>
      <c r="DX128" s="61">
        <f t="shared" ref="DX128:EO129" si="790">+DW128-0.02</f>
        <v>0.91</v>
      </c>
      <c r="DY128" s="61">
        <f t="shared" si="790"/>
        <v>0.89</v>
      </c>
      <c r="DZ128" s="61">
        <f t="shared" si="790"/>
        <v>0.87</v>
      </c>
      <c r="EA128" s="61">
        <f t="shared" si="790"/>
        <v>0.85</v>
      </c>
      <c r="EB128" s="61">
        <f t="shared" si="790"/>
        <v>0.83</v>
      </c>
      <c r="EC128" s="61">
        <f t="shared" si="790"/>
        <v>0.80999999999999994</v>
      </c>
      <c r="ED128" s="61">
        <f t="shared" si="790"/>
        <v>0.78999999999999992</v>
      </c>
      <c r="EE128" s="61">
        <f t="shared" si="790"/>
        <v>0.76999999999999991</v>
      </c>
      <c r="EF128" s="61">
        <f t="shared" si="790"/>
        <v>0.74999999999999989</v>
      </c>
      <c r="EG128" s="61">
        <f t="shared" si="790"/>
        <v>0.72999999999999987</v>
      </c>
      <c r="EH128" s="61">
        <f t="shared" si="790"/>
        <v>0.70999999999999985</v>
      </c>
      <c r="EI128" s="61">
        <f t="shared" si="790"/>
        <v>0.68999999999999984</v>
      </c>
      <c r="EJ128" s="61">
        <f t="shared" si="790"/>
        <v>0.66999999999999982</v>
      </c>
      <c r="EK128" s="61">
        <f t="shared" si="790"/>
        <v>0.6499999999999998</v>
      </c>
      <c r="EL128" s="61">
        <f t="shared" si="790"/>
        <v>0.62999999999999978</v>
      </c>
      <c r="EM128" s="61">
        <f t="shared" si="790"/>
        <v>0.60999999999999976</v>
      </c>
      <c r="EN128" s="61">
        <f t="shared" si="790"/>
        <v>0.58999999999999975</v>
      </c>
      <c r="EO128" s="61">
        <f t="shared" si="790"/>
        <v>0.56999999999999973</v>
      </c>
      <c r="EQ128" s="61">
        <f t="shared" ref="EQ128:EQ129" si="791">+BY128*0.91</f>
        <v>0</v>
      </c>
      <c r="ER128" s="61"/>
      <c r="ES128" s="61"/>
      <c r="ET128" s="61"/>
      <c r="EU128" s="61"/>
      <c r="EV128" s="61"/>
      <c r="EW128" s="61"/>
      <c r="EX128" s="61"/>
      <c r="EY128" s="61"/>
      <c r="EZ128" s="62"/>
      <c r="FA128" s="61"/>
      <c r="FB128" s="61"/>
      <c r="FC128" s="61"/>
      <c r="FD128" s="62"/>
      <c r="FE128" s="61"/>
      <c r="FF128" s="63"/>
      <c r="FG128" s="61"/>
      <c r="FH128" s="62"/>
      <c r="FI128" s="61"/>
      <c r="FJ128" s="61"/>
      <c r="FK128" s="61"/>
      <c r="FL128" s="63"/>
      <c r="FM128" s="61"/>
      <c r="FN128" s="63"/>
      <c r="FO128" s="61"/>
      <c r="FP128" s="63"/>
      <c r="FQ128" s="61"/>
      <c r="FR128" s="61"/>
      <c r="FS128" s="61"/>
      <c r="FT128" s="63"/>
      <c r="FU128" s="61"/>
      <c r="FV128" s="63"/>
      <c r="FW128" s="61"/>
      <c r="FX128" s="63"/>
      <c r="FY128" s="61"/>
      <c r="FZ128" s="63"/>
      <c r="GA128" s="61"/>
      <c r="GB128" s="61"/>
      <c r="GC128" s="61"/>
      <c r="GD128" s="63"/>
      <c r="GE128" s="61"/>
      <c r="GF128" s="63"/>
      <c r="GG128" s="61"/>
      <c r="GH128" s="61"/>
      <c r="GI128" s="61"/>
      <c r="GJ128" s="61"/>
      <c r="GK128" s="61"/>
      <c r="GL128" s="61">
        <v>1</v>
      </c>
      <c r="GM128" s="61">
        <v>0.97</v>
      </c>
      <c r="GN128" s="61">
        <v>0.95</v>
      </c>
      <c r="GO128" s="61">
        <v>0.93</v>
      </c>
      <c r="GP128" s="61">
        <f t="shared" ref="GP128:HG129" si="792">+GO128-0.02</f>
        <v>0.91</v>
      </c>
      <c r="GQ128" s="61">
        <f t="shared" si="792"/>
        <v>0.89</v>
      </c>
      <c r="GR128" s="61">
        <f t="shared" si="792"/>
        <v>0.87</v>
      </c>
      <c r="GS128" s="61">
        <f t="shared" si="792"/>
        <v>0.85</v>
      </c>
      <c r="GT128" s="61">
        <f t="shared" si="792"/>
        <v>0.83</v>
      </c>
      <c r="GU128" s="61">
        <f t="shared" si="792"/>
        <v>0.80999999999999994</v>
      </c>
      <c r="GV128" s="61">
        <f t="shared" si="792"/>
        <v>0.78999999999999992</v>
      </c>
      <c r="GW128" s="61">
        <f t="shared" si="792"/>
        <v>0.76999999999999991</v>
      </c>
      <c r="GX128" s="61">
        <f t="shared" si="792"/>
        <v>0.74999999999999989</v>
      </c>
      <c r="GY128" s="61">
        <f t="shared" si="792"/>
        <v>0.72999999999999987</v>
      </c>
      <c r="GZ128" s="61">
        <f t="shared" si="792"/>
        <v>0.70999999999999985</v>
      </c>
      <c r="HA128" s="61">
        <f t="shared" si="792"/>
        <v>0.68999999999999984</v>
      </c>
      <c r="HB128" s="61">
        <f t="shared" si="792"/>
        <v>0.66999999999999982</v>
      </c>
      <c r="HC128" s="61">
        <f t="shared" si="792"/>
        <v>0.6499999999999998</v>
      </c>
      <c r="HD128" s="61">
        <f t="shared" si="792"/>
        <v>0.62999999999999978</v>
      </c>
      <c r="HE128" s="61">
        <f t="shared" si="792"/>
        <v>0.60999999999999976</v>
      </c>
      <c r="HF128" s="61">
        <f t="shared" si="792"/>
        <v>0.58999999999999975</v>
      </c>
      <c r="HG128" s="61">
        <f t="shared" si="792"/>
        <v>0.56999999999999973</v>
      </c>
    </row>
    <row r="129" spans="1:216" s="64" customFormat="1" ht="17.25" thickBot="1" x14ac:dyDescent="0.35">
      <c r="B129" s="64" t="s">
        <v>300</v>
      </c>
      <c r="C129" s="64" t="s">
        <v>297</v>
      </c>
      <c r="D129" s="65" t="s">
        <v>271</v>
      </c>
      <c r="E129" s="65" t="s">
        <v>315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2"/>
      <c r="U129" s="61"/>
      <c r="V129" s="63"/>
      <c r="W129" s="61"/>
      <c r="X129" s="62"/>
      <c r="Y129" s="61"/>
      <c r="Z129" s="61"/>
      <c r="AA129" s="61"/>
      <c r="AB129" s="63"/>
      <c r="AC129" s="61"/>
      <c r="AD129" s="63"/>
      <c r="AE129" s="61"/>
      <c r="AF129" s="63"/>
      <c r="AG129" s="61"/>
      <c r="AH129" s="61"/>
      <c r="AI129" s="61"/>
      <c r="AJ129" s="63"/>
      <c r="AK129" s="61"/>
      <c r="AL129" s="63"/>
      <c r="AM129" s="61"/>
      <c r="AN129" s="63"/>
      <c r="AO129" s="61"/>
      <c r="AP129" s="63"/>
      <c r="AQ129" s="61"/>
      <c r="AR129" s="61"/>
      <c r="AS129" s="61"/>
      <c r="AT129" s="63"/>
      <c r="AU129" s="61"/>
      <c r="AV129" s="63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>
        <f t="shared" si="789"/>
        <v>0</v>
      </c>
      <c r="BZ129" s="61"/>
      <c r="CA129" s="61"/>
      <c r="CB129" s="61"/>
      <c r="CC129" s="61"/>
      <c r="CD129" s="61"/>
      <c r="CE129" s="61"/>
      <c r="CF129" s="61"/>
      <c r="CG129" s="61"/>
      <c r="CH129" s="62"/>
      <c r="CI129" s="61"/>
      <c r="CJ129" s="61"/>
      <c r="CK129" s="61"/>
      <c r="CL129" s="62"/>
      <c r="CM129" s="61"/>
      <c r="CN129" s="63"/>
      <c r="CO129" s="61"/>
      <c r="CP129" s="62"/>
      <c r="CQ129" s="61"/>
      <c r="CR129" s="61"/>
      <c r="CS129" s="61"/>
      <c r="CT129" s="63"/>
      <c r="CU129" s="61"/>
      <c r="CV129" s="63"/>
      <c r="CW129" s="61"/>
      <c r="CX129" s="63"/>
      <c r="CY129" s="61"/>
      <c r="CZ129" s="61"/>
      <c r="DA129" s="61"/>
      <c r="DB129" s="63"/>
      <c r="DC129" s="61"/>
      <c r="DD129" s="63"/>
      <c r="DE129" s="61"/>
      <c r="DF129" s="63"/>
      <c r="DG129" s="61"/>
      <c r="DH129" s="63"/>
      <c r="DI129" s="61"/>
      <c r="DJ129" s="61"/>
      <c r="DK129" s="61"/>
      <c r="DL129" s="63"/>
      <c r="DM129" s="61"/>
      <c r="DN129" s="63"/>
      <c r="DO129" s="61"/>
      <c r="DP129" s="61"/>
      <c r="DQ129" s="61"/>
      <c r="DR129" s="61"/>
      <c r="DS129" s="61"/>
      <c r="DT129" s="61">
        <v>1</v>
      </c>
      <c r="DU129" s="61">
        <v>0.97</v>
      </c>
      <c r="DV129" s="61">
        <v>0.95</v>
      </c>
      <c r="DW129" s="61">
        <v>0.93</v>
      </c>
      <c r="DX129" s="61">
        <f t="shared" si="790"/>
        <v>0.91</v>
      </c>
      <c r="DY129" s="61">
        <f t="shared" si="790"/>
        <v>0.89</v>
      </c>
      <c r="DZ129" s="61">
        <f t="shared" si="790"/>
        <v>0.87</v>
      </c>
      <c r="EA129" s="61">
        <f t="shared" si="790"/>
        <v>0.85</v>
      </c>
      <c r="EB129" s="61">
        <f t="shared" si="790"/>
        <v>0.83</v>
      </c>
      <c r="EC129" s="61">
        <f t="shared" si="790"/>
        <v>0.80999999999999994</v>
      </c>
      <c r="ED129" s="61">
        <f t="shared" si="790"/>
        <v>0.78999999999999992</v>
      </c>
      <c r="EE129" s="61">
        <f t="shared" si="790"/>
        <v>0.76999999999999991</v>
      </c>
      <c r="EF129" s="61">
        <f t="shared" si="790"/>
        <v>0.74999999999999989</v>
      </c>
      <c r="EG129" s="61">
        <f t="shared" si="790"/>
        <v>0.72999999999999987</v>
      </c>
      <c r="EH129" s="61">
        <f t="shared" si="790"/>
        <v>0.70999999999999985</v>
      </c>
      <c r="EI129" s="61">
        <f t="shared" si="790"/>
        <v>0.68999999999999984</v>
      </c>
      <c r="EJ129" s="61">
        <f t="shared" si="790"/>
        <v>0.66999999999999982</v>
      </c>
      <c r="EK129" s="61">
        <f t="shared" si="790"/>
        <v>0.6499999999999998</v>
      </c>
      <c r="EL129" s="61">
        <f t="shared" si="790"/>
        <v>0.62999999999999978</v>
      </c>
      <c r="EM129" s="61">
        <f t="shared" si="790"/>
        <v>0.60999999999999976</v>
      </c>
      <c r="EN129" s="61">
        <f t="shared" si="790"/>
        <v>0.58999999999999975</v>
      </c>
      <c r="EO129" s="61">
        <f t="shared" si="790"/>
        <v>0.56999999999999973</v>
      </c>
      <c r="EQ129" s="61">
        <f t="shared" si="791"/>
        <v>0</v>
      </c>
      <c r="ER129" s="61"/>
      <c r="ES129" s="61"/>
      <c r="ET129" s="61"/>
      <c r="EU129" s="61"/>
      <c r="EV129" s="61"/>
      <c r="EW129" s="61"/>
      <c r="EX129" s="61"/>
      <c r="EY129" s="61"/>
      <c r="EZ129" s="62"/>
      <c r="FA129" s="61"/>
      <c r="FB129" s="61"/>
      <c r="FC129" s="61"/>
      <c r="FD129" s="62"/>
      <c r="FE129" s="61"/>
      <c r="FF129" s="63"/>
      <c r="FG129" s="61"/>
      <c r="FH129" s="62"/>
      <c r="FI129" s="61"/>
      <c r="FJ129" s="61"/>
      <c r="FK129" s="61"/>
      <c r="FL129" s="63"/>
      <c r="FM129" s="61"/>
      <c r="FN129" s="63"/>
      <c r="FO129" s="61"/>
      <c r="FP129" s="63"/>
      <c r="FQ129" s="61"/>
      <c r="FR129" s="61"/>
      <c r="FS129" s="61"/>
      <c r="FT129" s="63"/>
      <c r="FU129" s="61"/>
      <c r="FV129" s="63"/>
      <c r="FW129" s="61"/>
      <c r="FX129" s="63"/>
      <c r="FY129" s="61"/>
      <c r="FZ129" s="63"/>
      <c r="GA129" s="61"/>
      <c r="GB129" s="61"/>
      <c r="GC129" s="61"/>
      <c r="GD129" s="63"/>
      <c r="GE129" s="61"/>
      <c r="GF129" s="63"/>
      <c r="GG129" s="61"/>
      <c r="GH129" s="61"/>
      <c r="GI129" s="61"/>
      <c r="GJ129" s="61"/>
      <c r="GK129" s="61"/>
      <c r="GL129" s="61">
        <v>1</v>
      </c>
      <c r="GM129" s="61">
        <v>0.97</v>
      </c>
      <c r="GN129" s="61">
        <v>0.95</v>
      </c>
      <c r="GO129" s="61">
        <v>0.93</v>
      </c>
      <c r="GP129" s="61">
        <f t="shared" si="792"/>
        <v>0.91</v>
      </c>
      <c r="GQ129" s="61">
        <f t="shared" si="792"/>
        <v>0.89</v>
      </c>
      <c r="GR129" s="61">
        <f t="shared" si="792"/>
        <v>0.87</v>
      </c>
      <c r="GS129" s="61">
        <f t="shared" si="792"/>
        <v>0.85</v>
      </c>
      <c r="GT129" s="61">
        <f t="shared" si="792"/>
        <v>0.83</v>
      </c>
      <c r="GU129" s="61">
        <f t="shared" si="792"/>
        <v>0.80999999999999994</v>
      </c>
      <c r="GV129" s="61">
        <f t="shared" si="792"/>
        <v>0.78999999999999992</v>
      </c>
      <c r="GW129" s="61">
        <f t="shared" si="792"/>
        <v>0.76999999999999991</v>
      </c>
      <c r="GX129" s="61">
        <f t="shared" si="792"/>
        <v>0.74999999999999989</v>
      </c>
      <c r="GY129" s="61">
        <f t="shared" si="792"/>
        <v>0.72999999999999987</v>
      </c>
      <c r="GZ129" s="61">
        <f t="shared" si="792"/>
        <v>0.70999999999999985</v>
      </c>
      <c r="HA129" s="61">
        <f t="shared" si="792"/>
        <v>0.68999999999999984</v>
      </c>
      <c r="HB129" s="61">
        <f t="shared" si="792"/>
        <v>0.66999999999999982</v>
      </c>
      <c r="HC129" s="61">
        <f t="shared" si="792"/>
        <v>0.6499999999999998</v>
      </c>
      <c r="HD129" s="61">
        <f t="shared" si="792"/>
        <v>0.62999999999999978</v>
      </c>
      <c r="HE129" s="61">
        <f t="shared" si="792"/>
        <v>0.60999999999999976</v>
      </c>
      <c r="HF129" s="61">
        <f t="shared" si="792"/>
        <v>0.58999999999999975</v>
      </c>
      <c r="HG129" s="61">
        <f t="shared" si="792"/>
        <v>0.56999999999999973</v>
      </c>
    </row>
    <row r="130" spans="1:216" x14ac:dyDescent="0.3">
      <c r="A130" s="2">
        <v>1</v>
      </c>
      <c r="C130" s="38" t="s">
        <v>132</v>
      </c>
      <c r="D130" s="40">
        <v>0</v>
      </c>
      <c r="E130" s="85">
        <f>TRUNC(+D130*3.3058,-1)</f>
        <v>0</v>
      </c>
      <c r="H130" s="55">
        <f t="shared" si="502"/>
        <v>0</v>
      </c>
      <c r="I130" s="55">
        <f t="shared" si="503"/>
        <v>0</v>
      </c>
      <c r="J130" s="59">
        <f t="shared" si="504"/>
        <v>0</v>
      </c>
      <c r="K130" s="55">
        <f t="shared" ref="K130:K140" si="793">+I130*BD130</f>
        <v>0</v>
      </c>
      <c r="L130" s="59">
        <f t="shared" ref="L130:L140" si="794">+K130*3.3058</f>
        <v>0</v>
      </c>
      <c r="M130" s="55">
        <f t="shared" ref="M130:M140" si="795">+I130*BE130</f>
        <v>0</v>
      </c>
      <c r="N130" s="59">
        <f t="shared" ref="N130:N140" si="796">+M130*3.3058</f>
        <v>0</v>
      </c>
      <c r="O130" s="55">
        <f t="shared" ref="O130:O140" si="797">+I130*BF130</f>
        <v>0</v>
      </c>
      <c r="P130" s="59">
        <f t="shared" ref="P130:P140" si="798">+O130*3.3058</f>
        <v>0</v>
      </c>
      <c r="Q130" s="57">
        <f t="shared" ref="Q130:Q140" si="799">+I130*BG130</f>
        <v>0</v>
      </c>
      <c r="R130" s="59">
        <f t="shared" ref="R130:R140" si="800">+Q130*3.3058</f>
        <v>0</v>
      </c>
      <c r="S130" s="55">
        <f t="shared" ref="S130:S140" si="801">+I130*BH130</f>
        <v>0</v>
      </c>
      <c r="T130" s="59">
        <f t="shared" ref="T130:T140" si="802">+S130*3.3058</f>
        <v>0</v>
      </c>
      <c r="U130" s="57">
        <f t="shared" ref="U130:U140" si="803">+I130*BI130</f>
        <v>0</v>
      </c>
      <c r="V130" s="59">
        <f t="shared" ref="V130:V140" si="804">+U130*3.3058</f>
        <v>0</v>
      </c>
      <c r="W130" s="60">
        <f t="shared" ref="W130:W140" si="805">+I130*BJ130</f>
        <v>0</v>
      </c>
      <c r="X130" s="59">
        <f t="shared" ref="X130:X140" si="806">+W130*3.3058</f>
        <v>0</v>
      </c>
      <c r="Y130" s="57">
        <f t="shared" ref="Y130:Y140" si="807">+I130*BK130</f>
        <v>0</v>
      </c>
      <c r="Z130" s="59">
        <f t="shared" ref="Z130:Z140" si="808">+Y130*3.3058</f>
        <v>0</v>
      </c>
      <c r="AA130" s="55">
        <f t="shared" ref="AA130:AA140" si="809">+I130*BL130</f>
        <v>0</v>
      </c>
      <c r="AB130" s="59">
        <f t="shared" ref="AB130:AB140" si="810">+AA130*3.3058</f>
        <v>0</v>
      </c>
      <c r="AC130" s="60">
        <f t="shared" ref="AC130:AC140" si="811">+I130*BM130</f>
        <v>0</v>
      </c>
      <c r="AD130" s="59">
        <f t="shared" ref="AD130:AD140" si="812">+AC130*3.3058</f>
        <v>0</v>
      </c>
      <c r="AE130" s="60">
        <f t="shared" ref="AE130:AE140" si="813">+I130*BN130</f>
        <v>0</v>
      </c>
      <c r="AF130" s="59">
        <f t="shared" ref="AF130:AF140" si="814">+AE130*3.3058</f>
        <v>0</v>
      </c>
      <c r="AG130" s="60">
        <f t="shared" ref="AG130:AG140" si="815">+I130*BO130</f>
        <v>0</v>
      </c>
      <c r="AH130" s="59">
        <f t="shared" ref="AH130:AH140" si="816">+AG130*3.3058</f>
        <v>0</v>
      </c>
      <c r="AI130" s="55">
        <f t="shared" ref="AI130:AI140" si="817">+I130*BP130</f>
        <v>0</v>
      </c>
      <c r="AJ130" s="59">
        <f t="shared" ref="AJ130:AJ140" si="818">+AI130*3.3058</f>
        <v>0</v>
      </c>
      <c r="AK130" s="60">
        <f t="shared" ref="AK130:AK140" si="819">+I130*BQ130</f>
        <v>0</v>
      </c>
      <c r="AL130" s="59">
        <f t="shared" ref="AL130:AL140" si="820">+AK130*3.3058</f>
        <v>0</v>
      </c>
      <c r="AM130" s="60">
        <f t="shared" ref="AM130:AM140" si="821">+I130*BR130</f>
        <v>0</v>
      </c>
      <c r="AN130" s="59">
        <f t="shared" ref="AN130:AN140" si="822">+AM130*3.3058</f>
        <v>0</v>
      </c>
      <c r="AO130" s="60">
        <f t="shared" ref="AO130:AO140" si="823">+I130*BS130</f>
        <v>0</v>
      </c>
      <c r="AP130" s="59">
        <f t="shared" ref="AP130:AP140" si="824">+AO130*3.3058</f>
        <v>0</v>
      </c>
      <c r="AQ130" s="60">
        <f t="shared" ref="AQ130:AQ140" si="825">+I130*BT130</f>
        <v>0</v>
      </c>
      <c r="AR130" s="59">
        <f t="shared" ref="AR130:AR140" si="826">+AQ130*3.3058</f>
        <v>0</v>
      </c>
      <c r="AS130" s="55">
        <f t="shared" ref="AS130:AS140" si="827">+I130*BU130</f>
        <v>0</v>
      </c>
      <c r="AT130" s="59">
        <f t="shared" ref="AT130:AT140" si="828">+AS130*3.3058</f>
        <v>0</v>
      </c>
      <c r="AU130" s="60">
        <f t="shared" ref="AU130:AU140" si="829">+I130*BV130</f>
        <v>0</v>
      </c>
      <c r="AV130" s="59">
        <f t="shared" ref="AV130:AV140" si="830">+AU130*3.3058</f>
        <v>0</v>
      </c>
      <c r="AW130" s="60">
        <f t="shared" ref="AW130:AW140" si="831">+I130*BW130</f>
        <v>0</v>
      </c>
      <c r="AX130" s="59">
        <f t="shared" ref="AX130:AX140" si="832">+AW130*3.3058</f>
        <v>0</v>
      </c>
      <c r="AY130" s="55">
        <f t="shared" ref="AY130:AY140" si="833">+I130*BX130</f>
        <v>0</v>
      </c>
      <c r="AZ130" s="59">
        <f t="shared" ref="AZ130:AZ140" si="834">+AY130*3.3058</f>
        <v>0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ref="BG130:BX140" si="835">+BF130-0.02</f>
        <v>0.91</v>
      </c>
      <c r="BH130" s="55">
        <f t="shared" si="835"/>
        <v>0.89</v>
      </c>
      <c r="BI130" s="55">
        <f t="shared" si="835"/>
        <v>0.87</v>
      </c>
      <c r="BJ130" s="55">
        <f t="shared" si="835"/>
        <v>0.85</v>
      </c>
      <c r="BK130" s="55">
        <f t="shared" si="835"/>
        <v>0.83</v>
      </c>
      <c r="BL130" s="55">
        <f t="shared" si="835"/>
        <v>0.80999999999999994</v>
      </c>
      <c r="BM130" s="55">
        <f t="shared" si="835"/>
        <v>0.78999999999999992</v>
      </c>
      <c r="BN130" s="55">
        <f t="shared" si="835"/>
        <v>0.76999999999999991</v>
      </c>
      <c r="BO130" s="55">
        <f t="shared" si="835"/>
        <v>0.74999999999999989</v>
      </c>
      <c r="BP130" s="55">
        <f t="shared" si="835"/>
        <v>0.72999999999999987</v>
      </c>
      <c r="BQ130" s="55">
        <f t="shared" si="835"/>
        <v>0.70999999999999985</v>
      </c>
      <c r="BR130" s="55">
        <f t="shared" si="835"/>
        <v>0.68999999999999984</v>
      </c>
      <c r="BS130" s="55">
        <f t="shared" si="835"/>
        <v>0.66999999999999982</v>
      </c>
      <c r="BT130" s="55">
        <f t="shared" si="835"/>
        <v>0.6499999999999998</v>
      </c>
      <c r="BU130" s="55">
        <f t="shared" si="835"/>
        <v>0.62999999999999978</v>
      </c>
      <c r="BV130" s="55">
        <f t="shared" si="835"/>
        <v>0.60999999999999976</v>
      </c>
      <c r="BW130" s="55">
        <f t="shared" si="835"/>
        <v>0.58999999999999975</v>
      </c>
      <c r="BX130" s="55">
        <f t="shared" si="835"/>
        <v>0.56999999999999973</v>
      </c>
      <c r="BZ130" s="55">
        <f t="shared" si="505"/>
        <v>0</v>
      </c>
      <c r="CA130" s="55">
        <f t="shared" si="506"/>
        <v>0</v>
      </c>
      <c r="CB130" s="59">
        <f t="shared" ref="CB130:CB140" si="836">+CA130*3.3058</f>
        <v>0</v>
      </c>
      <c r="CC130" s="55">
        <f t="shared" ref="CC130:CC140" si="837">+CA130*DV130</f>
        <v>0</v>
      </c>
      <c r="CD130" s="59">
        <f t="shared" ref="CD130:CD140" si="838">+CC130*3.3058</f>
        <v>0</v>
      </c>
      <c r="CE130" s="55">
        <f t="shared" ref="CE130:CE140" si="839">+CA130*DW130</f>
        <v>0</v>
      </c>
      <c r="CF130" s="59">
        <f t="shared" ref="CF130:CF140" si="840">+CE130*3.3058</f>
        <v>0</v>
      </c>
      <c r="CG130" s="55">
        <f t="shared" ref="CG130:CG140" si="841">+CA130*DX130</f>
        <v>0</v>
      </c>
      <c r="CH130" s="59">
        <f t="shared" ref="CH130:CH140" si="842">+CG130*3.3058</f>
        <v>0</v>
      </c>
      <c r="CI130" s="57">
        <f t="shared" ref="CI130:CI140" si="843">+CA130*DY130</f>
        <v>0</v>
      </c>
      <c r="CJ130" s="59">
        <f t="shared" ref="CJ130:CJ140" si="844">+CI130*3.3058</f>
        <v>0</v>
      </c>
      <c r="CK130" s="55">
        <f t="shared" ref="CK130:CK140" si="845">+CA130*DZ130</f>
        <v>0</v>
      </c>
      <c r="CL130" s="59">
        <f t="shared" ref="CL130:CL140" si="846">+CK130*3.3058</f>
        <v>0</v>
      </c>
      <c r="CM130" s="57">
        <f t="shared" ref="CM130:CM140" si="847">+CA130*EA130</f>
        <v>0</v>
      </c>
      <c r="CN130" s="59">
        <f t="shared" ref="CN130:CN140" si="848">+CM130*3.3058</f>
        <v>0</v>
      </c>
      <c r="CO130" s="60">
        <f t="shared" ref="CO130:CO140" si="849">+CA130*EB130</f>
        <v>0</v>
      </c>
      <c r="CP130" s="59">
        <f t="shared" ref="CP130:CP140" si="850">+CO130*3.3058</f>
        <v>0</v>
      </c>
      <c r="CQ130" s="57">
        <f t="shared" ref="CQ130:CQ140" si="851">+CA130*EC130</f>
        <v>0</v>
      </c>
      <c r="CR130" s="59">
        <f t="shared" ref="CR130:CR140" si="852">+CQ130*3.3058</f>
        <v>0</v>
      </c>
      <c r="CS130" s="55">
        <f t="shared" ref="CS130:CS140" si="853">+CA130*ED130</f>
        <v>0</v>
      </c>
      <c r="CT130" s="59">
        <f t="shared" ref="CT130:CT140" si="854">+CS130*3.3058</f>
        <v>0</v>
      </c>
      <c r="CU130" s="60">
        <f t="shared" ref="CU130:CU140" si="855">+CA130*EE130</f>
        <v>0</v>
      </c>
      <c r="CV130" s="59">
        <f t="shared" ref="CV130:CV140" si="856">+CU130*3.3058</f>
        <v>0</v>
      </c>
      <c r="CW130" s="60">
        <f t="shared" ref="CW130:CW140" si="857">+CA130*EF130</f>
        <v>0</v>
      </c>
      <c r="CX130" s="59">
        <f t="shared" ref="CX130:CX140" si="858">+CW130*3.3058</f>
        <v>0</v>
      </c>
      <c r="CY130" s="60">
        <f t="shared" ref="CY130:CY140" si="859">+CA130*EG130</f>
        <v>0</v>
      </c>
      <c r="CZ130" s="59">
        <f t="shared" ref="CZ130:CZ140" si="860">+CY130*3.3058</f>
        <v>0</v>
      </c>
      <c r="DA130" s="55">
        <f t="shared" ref="DA130:DA140" si="861">+CA130*EH130</f>
        <v>0</v>
      </c>
      <c r="DB130" s="59">
        <f t="shared" ref="DB130:DB140" si="862">+DA130*3.3058</f>
        <v>0</v>
      </c>
      <c r="DC130" s="60">
        <f t="shared" ref="DC130:DC140" si="863">+CA130*EI130</f>
        <v>0</v>
      </c>
      <c r="DD130" s="59">
        <f t="shared" ref="DD130:DD140" si="864">+DC130*3.3058</f>
        <v>0</v>
      </c>
      <c r="DE130" s="60">
        <f t="shared" ref="DE130:DE140" si="865">+CA130*EJ130</f>
        <v>0</v>
      </c>
      <c r="DF130" s="59">
        <f t="shared" ref="DF130:DF140" si="866">+DE130*3.3058</f>
        <v>0</v>
      </c>
      <c r="DG130" s="60">
        <f t="shared" ref="DG130:DG140" si="867">+CA130*EK130</f>
        <v>0</v>
      </c>
      <c r="DH130" s="59">
        <f t="shared" ref="DH130:DH140" si="868">+DG130*3.3058</f>
        <v>0</v>
      </c>
      <c r="DI130" s="60">
        <f t="shared" ref="DI130:DI140" si="869">+CA130*EL130</f>
        <v>0</v>
      </c>
      <c r="DJ130" s="59">
        <f t="shared" ref="DJ130:DJ140" si="870">+DI130*3.3058</f>
        <v>0</v>
      </c>
      <c r="DK130" s="55">
        <f t="shared" ref="DK130:DK140" si="871">+CA130*EM130</f>
        <v>0</v>
      </c>
      <c r="DL130" s="59">
        <f t="shared" ref="DL130:DL140" si="872">+DK130*3.3058</f>
        <v>0</v>
      </c>
      <c r="DM130" s="60">
        <f t="shared" ref="DM130:DM140" si="873">+CA130*EN130</f>
        <v>0</v>
      </c>
      <c r="DN130" s="59">
        <f t="shared" ref="DN130:DN140" si="874">+DM130*3.3058</f>
        <v>0</v>
      </c>
      <c r="DO130" s="60">
        <f t="shared" ref="DO130:DO140" si="875">+CA130*EO130</f>
        <v>0</v>
      </c>
      <c r="DP130" s="59">
        <f t="shared" ref="DP130:DP140" si="876">+DO130*3.3058</f>
        <v>0</v>
      </c>
      <c r="DQ130" s="55">
        <f t="shared" ref="DQ130:DQ140" si="877">+CA130*EP130</f>
        <v>0</v>
      </c>
      <c r="DR130" s="59">
        <f t="shared" ref="DR130:DR140" si="878">+DQ130*3.3058</f>
        <v>0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si="787"/>
        <v>0.91</v>
      </c>
      <c r="DZ130" s="55">
        <f t="shared" si="787"/>
        <v>0.89</v>
      </c>
      <c r="EA130" s="55">
        <f t="shared" si="787"/>
        <v>0.87</v>
      </c>
      <c r="EB130" s="55">
        <f t="shared" si="787"/>
        <v>0.85</v>
      </c>
      <c r="EC130" s="55">
        <f t="shared" si="787"/>
        <v>0.83</v>
      </c>
      <c r="ED130" s="55">
        <f t="shared" si="787"/>
        <v>0.80999999999999994</v>
      </c>
      <c r="EE130" s="55">
        <f t="shared" si="787"/>
        <v>0.78999999999999992</v>
      </c>
      <c r="EF130" s="55">
        <f t="shared" si="787"/>
        <v>0.76999999999999991</v>
      </c>
      <c r="EG130" s="55">
        <f t="shared" si="787"/>
        <v>0.74999999999999989</v>
      </c>
      <c r="EH130" s="55">
        <f t="shared" si="787"/>
        <v>0.72999999999999987</v>
      </c>
      <c r="EI130" s="55">
        <f t="shared" si="787"/>
        <v>0.70999999999999985</v>
      </c>
      <c r="EJ130" s="55">
        <f t="shared" si="787"/>
        <v>0.68999999999999984</v>
      </c>
      <c r="EK130" s="55">
        <f t="shared" si="787"/>
        <v>0.66999999999999982</v>
      </c>
      <c r="EL130" s="55">
        <f t="shared" si="787"/>
        <v>0.6499999999999998</v>
      </c>
      <c r="EM130" s="55">
        <f t="shared" si="787"/>
        <v>0.62999999999999978</v>
      </c>
      <c r="EN130" s="55">
        <f t="shared" si="787"/>
        <v>0.60999999999999976</v>
      </c>
      <c r="EO130" s="55">
        <f t="shared" si="787"/>
        <v>0.58999999999999975</v>
      </c>
      <c r="EP130" s="55">
        <f t="shared" si="787"/>
        <v>0.56999999999999973</v>
      </c>
      <c r="ER130" s="55">
        <f t="shared" si="644"/>
        <v>0</v>
      </c>
      <c r="ES130" s="55">
        <f t="shared" si="507"/>
        <v>0</v>
      </c>
      <c r="ET130" s="59">
        <f t="shared" ref="ET130:ET140" si="879">+ES130*3.3058</f>
        <v>0</v>
      </c>
      <c r="EU130" s="55">
        <f t="shared" ref="EU130:EU140" si="880">+ES130*GN130</f>
        <v>0</v>
      </c>
      <c r="EV130" s="59">
        <f t="shared" ref="EV130:EV140" si="881">+EU130*3.3058</f>
        <v>0</v>
      </c>
      <c r="EW130" s="55">
        <f t="shared" ref="EW130:EW140" si="882">+ES130*GO130</f>
        <v>0</v>
      </c>
      <c r="EX130" s="59">
        <f t="shared" ref="EX130:EX140" si="883">+EW130*3.3058</f>
        <v>0</v>
      </c>
      <c r="EY130" s="55">
        <f t="shared" ref="EY130:EY140" si="884">+ES130*GP130</f>
        <v>0</v>
      </c>
      <c r="EZ130" s="59">
        <f t="shared" ref="EZ130:EZ140" si="885">+EY130*3.3058</f>
        <v>0</v>
      </c>
      <c r="FA130" s="57">
        <f t="shared" ref="FA130:FA140" si="886">+ES130*GQ130</f>
        <v>0</v>
      </c>
      <c r="FB130" s="59">
        <f t="shared" ref="FB130:FB140" si="887">+FA130*3.3058</f>
        <v>0</v>
      </c>
      <c r="FC130" s="55">
        <f t="shared" ref="FC130:FC140" si="888">+ES130*GR130</f>
        <v>0</v>
      </c>
      <c r="FD130" s="59">
        <f t="shared" ref="FD130:FD140" si="889">+FC130*3.3058</f>
        <v>0</v>
      </c>
      <c r="FE130" s="57">
        <f t="shared" ref="FE130:FE140" si="890">+ES130*GS130</f>
        <v>0</v>
      </c>
      <c r="FF130" s="59">
        <f t="shared" ref="FF130:FF140" si="891">+FE130*3.3058</f>
        <v>0</v>
      </c>
      <c r="FG130" s="60">
        <f t="shared" ref="FG130:FG140" si="892">+ES130*GT130</f>
        <v>0</v>
      </c>
      <c r="FH130" s="59">
        <f t="shared" ref="FH130:FH140" si="893">+FG130*3.3058</f>
        <v>0</v>
      </c>
      <c r="FI130" s="57">
        <f t="shared" ref="FI130:FI140" si="894">+ES130*GU130</f>
        <v>0</v>
      </c>
      <c r="FJ130" s="59">
        <f t="shared" ref="FJ130:FJ140" si="895">+FI130*3.3058</f>
        <v>0</v>
      </c>
      <c r="FK130" s="55">
        <f t="shared" ref="FK130:FK140" si="896">+ES130*GV130</f>
        <v>0</v>
      </c>
      <c r="FL130" s="59">
        <f t="shared" ref="FL130:FL140" si="897">+FK130*3.3058</f>
        <v>0</v>
      </c>
      <c r="FM130" s="60">
        <f t="shared" ref="FM130:FM140" si="898">+ES130*GW130</f>
        <v>0</v>
      </c>
      <c r="FN130" s="59">
        <f t="shared" ref="FN130:FN140" si="899">+FM130*3.3058</f>
        <v>0</v>
      </c>
      <c r="FO130" s="60">
        <f t="shared" ref="FO130:FO140" si="900">+ES130*GX130</f>
        <v>0</v>
      </c>
      <c r="FP130" s="59">
        <f t="shared" ref="FP130:FP140" si="901">+FO130*3.3058</f>
        <v>0</v>
      </c>
      <c r="FQ130" s="60">
        <f t="shared" ref="FQ130:FQ140" si="902">+ES130*GY130</f>
        <v>0</v>
      </c>
      <c r="FR130" s="59">
        <f t="shared" ref="FR130:FR140" si="903">+FQ130*3.3058</f>
        <v>0</v>
      </c>
      <c r="FS130" s="55">
        <f t="shared" ref="FS130:FS140" si="904">+ES130*GZ130</f>
        <v>0</v>
      </c>
      <c r="FT130" s="59">
        <f t="shared" ref="FT130:FT140" si="905">+FS130*3.3058</f>
        <v>0</v>
      </c>
      <c r="FU130" s="60">
        <f t="shared" ref="FU130:FU140" si="906">+ES130*HA130</f>
        <v>0</v>
      </c>
      <c r="FV130" s="59">
        <f t="shared" ref="FV130:FV140" si="907">+FU130*3.3058</f>
        <v>0</v>
      </c>
      <c r="FW130" s="60">
        <f t="shared" ref="FW130:FW140" si="908">+ES130*HB130</f>
        <v>0</v>
      </c>
      <c r="FX130" s="59">
        <f t="shared" ref="FX130:FX140" si="909">+FW130*3.3058</f>
        <v>0</v>
      </c>
      <c r="FY130" s="60">
        <f t="shared" ref="FY130:FY140" si="910">+ES130*HC130</f>
        <v>0</v>
      </c>
      <c r="FZ130" s="59">
        <f t="shared" ref="FZ130:FZ140" si="911">+FY130*3.3058</f>
        <v>0</v>
      </c>
      <c r="GA130" s="60">
        <f t="shared" ref="GA130:GA140" si="912">+ES130*HD130</f>
        <v>0</v>
      </c>
      <c r="GB130" s="59">
        <f t="shared" ref="GB130:GB140" si="913">+GA130*3.3058</f>
        <v>0</v>
      </c>
      <c r="GC130" s="55">
        <f t="shared" ref="GC130:GC140" si="914">+ES130*HE130</f>
        <v>0</v>
      </c>
      <c r="GD130" s="59">
        <f t="shared" ref="GD130:GD140" si="915">+GC130*3.3058</f>
        <v>0</v>
      </c>
      <c r="GE130" s="60">
        <f t="shared" ref="GE130:GE140" si="916">+ES130*HF130</f>
        <v>0</v>
      </c>
      <c r="GF130" s="59">
        <f t="shared" ref="GF130:GF140" si="917">+GE130*3.3058</f>
        <v>0</v>
      </c>
      <c r="GG130" s="60">
        <f t="shared" ref="GG130:GG140" si="918">+ES130*HG130</f>
        <v>0</v>
      </c>
      <c r="GH130" s="59">
        <f t="shared" ref="GH130:GH140" si="919">+GG130*3.3058</f>
        <v>0</v>
      </c>
      <c r="GI130" s="55">
        <f t="shared" ref="GI130:GI140" si="920">+ES130*HH130</f>
        <v>0</v>
      </c>
      <c r="GJ130" s="59">
        <f t="shared" ref="GJ130:GJ140" si="921">+GI130*3.3058</f>
        <v>0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si="788"/>
        <v>0.91</v>
      </c>
      <c r="GR130" s="55">
        <f t="shared" si="788"/>
        <v>0.89</v>
      </c>
      <c r="GS130" s="55">
        <f t="shared" si="788"/>
        <v>0.87</v>
      </c>
      <c r="GT130" s="55">
        <f t="shared" si="788"/>
        <v>0.85</v>
      </c>
      <c r="GU130" s="55">
        <f t="shared" si="788"/>
        <v>0.83</v>
      </c>
      <c r="GV130" s="55">
        <f t="shared" si="788"/>
        <v>0.80999999999999994</v>
      </c>
      <c r="GW130" s="55">
        <f t="shared" si="788"/>
        <v>0.78999999999999992</v>
      </c>
      <c r="GX130" s="55">
        <f t="shared" si="788"/>
        <v>0.76999999999999991</v>
      </c>
      <c r="GY130" s="55">
        <f t="shared" si="788"/>
        <v>0.74999999999999989</v>
      </c>
      <c r="GZ130" s="55">
        <f t="shared" si="788"/>
        <v>0.72999999999999987</v>
      </c>
      <c r="HA130" s="55">
        <f t="shared" si="788"/>
        <v>0.70999999999999985</v>
      </c>
      <c r="HB130" s="55">
        <f t="shared" si="788"/>
        <v>0.68999999999999984</v>
      </c>
      <c r="HC130" s="55">
        <f t="shared" si="788"/>
        <v>0.66999999999999982</v>
      </c>
      <c r="HD130" s="55">
        <f t="shared" si="788"/>
        <v>0.6499999999999998</v>
      </c>
      <c r="HE130" s="55">
        <f t="shared" si="788"/>
        <v>0.62999999999999978</v>
      </c>
      <c r="HF130" s="55">
        <f t="shared" si="788"/>
        <v>0.60999999999999976</v>
      </c>
      <c r="HG130" s="55">
        <f t="shared" si="788"/>
        <v>0.58999999999999975</v>
      </c>
      <c r="HH130" s="55">
        <f t="shared" si="788"/>
        <v>0.56999999999999973</v>
      </c>
    </row>
    <row r="131" spans="1:216" x14ac:dyDescent="0.3">
      <c r="A131" s="2">
        <v>2</v>
      </c>
      <c r="C131" s="38" t="s">
        <v>47</v>
      </c>
      <c r="D131" s="42">
        <f>TRUNC(209,-1)</f>
        <v>200</v>
      </c>
      <c r="E131" s="86">
        <f>TRUNC(+D131*3.3058,-1)</f>
        <v>660</v>
      </c>
      <c r="H131" s="55">
        <f t="shared" si="502"/>
        <v>726.00000000000011</v>
      </c>
      <c r="I131" s="55">
        <f t="shared" si="503"/>
        <v>726.00000000000011</v>
      </c>
      <c r="J131" s="59">
        <f t="shared" si="504"/>
        <v>2400.0108000000005</v>
      </c>
      <c r="K131" s="55">
        <f t="shared" si="793"/>
        <v>704.22000000000014</v>
      </c>
      <c r="L131" s="59">
        <f t="shared" si="794"/>
        <v>2328.0104760000004</v>
      </c>
      <c r="M131" s="55">
        <f t="shared" si="795"/>
        <v>689.7</v>
      </c>
      <c r="N131" s="59">
        <f t="shared" si="796"/>
        <v>2280.01026</v>
      </c>
      <c r="O131" s="55">
        <f t="shared" si="797"/>
        <v>675.18000000000018</v>
      </c>
      <c r="P131" s="59">
        <f t="shared" si="798"/>
        <v>2232.0100440000006</v>
      </c>
      <c r="Q131" s="57">
        <f t="shared" si="799"/>
        <v>660.66000000000008</v>
      </c>
      <c r="R131" s="59">
        <f t="shared" si="800"/>
        <v>2184.0098280000002</v>
      </c>
      <c r="S131" s="55">
        <f t="shared" si="801"/>
        <v>646.1400000000001</v>
      </c>
      <c r="T131" s="59">
        <f t="shared" si="802"/>
        <v>2136.0096120000003</v>
      </c>
      <c r="U131" s="57">
        <f t="shared" si="803"/>
        <v>631.62000000000012</v>
      </c>
      <c r="V131" s="59">
        <f t="shared" si="804"/>
        <v>2088.0093960000004</v>
      </c>
      <c r="W131" s="60">
        <f t="shared" si="805"/>
        <v>617.10000000000014</v>
      </c>
      <c r="X131" s="59">
        <f t="shared" si="806"/>
        <v>2040.0091800000005</v>
      </c>
      <c r="Y131" s="57">
        <f t="shared" si="807"/>
        <v>602.58000000000004</v>
      </c>
      <c r="Z131" s="59">
        <f t="shared" si="808"/>
        <v>1992.0089640000001</v>
      </c>
      <c r="AA131" s="55">
        <f t="shared" si="809"/>
        <v>588.06000000000006</v>
      </c>
      <c r="AB131" s="59">
        <f t="shared" si="810"/>
        <v>1944.0087480000002</v>
      </c>
      <c r="AC131" s="60">
        <f t="shared" si="811"/>
        <v>573.54000000000008</v>
      </c>
      <c r="AD131" s="59">
        <f t="shared" si="812"/>
        <v>1896.0085320000003</v>
      </c>
      <c r="AE131" s="60">
        <f t="shared" si="813"/>
        <v>559.02</v>
      </c>
      <c r="AF131" s="59">
        <f t="shared" si="814"/>
        <v>1848.0083159999999</v>
      </c>
      <c r="AG131" s="60">
        <f t="shared" si="815"/>
        <v>544.5</v>
      </c>
      <c r="AH131" s="59">
        <f t="shared" si="816"/>
        <v>1800.0081</v>
      </c>
      <c r="AI131" s="55">
        <f t="shared" si="817"/>
        <v>529.98</v>
      </c>
      <c r="AJ131" s="59">
        <f t="shared" si="818"/>
        <v>1752.0078840000001</v>
      </c>
      <c r="AK131" s="60">
        <f t="shared" si="819"/>
        <v>515.45999999999992</v>
      </c>
      <c r="AL131" s="59">
        <f t="shared" si="820"/>
        <v>1704.0076679999997</v>
      </c>
      <c r="AM131" s="60">
        <f t="shared" si="821"/>
        <v>500.93999999999994</v>
      </c>
      <c r="AN131" s="59">
        <f t="shared" si="822"/>
        <v>1656.0074519999998</v>
      </c>
      <c r="AO131" s="60">
        <f t="shared" si="823"/>
        <v>486.41999999999996</v>
      </c>
      <c r="AP131" s="59">
        <f t="shared" si="824"/>
        <v>1608.0072359999999</v>
      </c>
      <c r="AQ131" s="60">
        <f t="shared" si="825"/>
        <v>471.89999999999992</v>
      </c>
      <c r="AR131" s="59">
        <f t="shared" si="826"/>
        <v>1560.0070199999998</v>
      </c>
      <c r="AS131" s="55">
        <f t="shared" si="827"/>
        <v>457.37999999999994</v>
      </c>
      <c r="AT131" s="59">
        <f t="shared" si="828"/>
        <v>1512.0068039999999</v>
      </c>
      <c r="AU131" s="60">
        <f t="shared" si="829"/>
        <v>442.8599999999999</v>
      </c>
      <c r="AV131" s="59">
        <f t="shared" si="830"/>
        <v>1464.0065879999997</v>
      </c>
      <c r="AW131" s="60">
        <f t="shared" si="831"/>
        <v>428.33999999999986</v>
      </c>
      <c r="AX131" s="59">
        <f t="shared" si="832"/>
        <v>1416.0063719999996</v>
      </c>
      <c r="AY131" s="55">
        <f t="shared" si="833"/>
        <v>413.81999999999988</v>
      </c>
      <c r="AZ131" s="59">
        <f t="shared" si="834"/>
        <v>1368.0061559999997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835"/>
        <v>0.91</v>
      </c>
      <c r="BH131" s="55">
        <f t="shared" si="835"/>
        <v>0.89</v>
      </c>
      <c r="BI131" s="55">
        <f t="shared" si="835"/>
        <v>0.87</v>
      </c>
      <c r="BJ131" s="55">
        <f t="shared" si="835"/>
        <v>0.85</v>
      </c>
      <c r="BK131" s="55">
        <f t="shared" si="835"/>
        <v>0.83</v>
      </c>
      <c r="BL131" s="55">
        <f t="shared" si="835"/>
        <v>0.80999999999999994</v>
      </c>
      <c r="BM131" s="55">
        <f t="shared" si="835"/>
        <v>0.78999999999999992</v>
      </c>
      <c r="BN131" s="55">
        <f t="shared" si="835"/>
        <v>0.76999999999999991</v>
      </c>
      <c r="BO131" s="55">
        <f t="shared" si="835"/>
        <v>0.74999999999999989</v>
      </c>
      <c r="BP131" s="55">
        <f t="shared" si="835"/>
        <v>0.72999999999999987</v>
      </c>
      <c r="BQ131" s="55">
        <f t="shared" si="835"/>
        <v>0.70999999999999985</v>
      </c>
      <c r="BR131" s="55">
        <f t="shared" si="835"/>
        <v>0.68999999999999984</v>
      </c>
      <c r="BS131" s="55">
        <f t="shared" si="835"/>
        <v>0.66999999999999982</v>
      </c>
      <c r="BT131" s="55">
        <f t="shared" si="835"/>
        <v>0.6499999999999998</v>
      </c>
      <c r="BU131" s="55">
        <f t="shared" si="835"/>
        <v>0.62999999999999978</v>
      </c>
      <c r="BV131" s="55">
        <f t="shared" si="835"/>
        <v>0.60999999999999976</v>
      </c>
      <c r="BW131" s="55">
        <f t="shared" si="835"/>
        <v>0.58999999999999975</v>
      </c>
      <c r="BX131" s="55">
        <f t="shared" si="835"/>
        <v>0.56999999999999973</v>
      </c>
      <c r="BZ131" s="55">
        <f t="shared" si="505"/>
        <v>660.66000000000008</v>
      </c>
      <c r="CA131" s="55">
        <f t="shared" si="506"/>
        <v>660.66000000000008</v>
      </c>
      <c r="CB131" s="59">
        <f t="shared" si="836"/>
        <v>2184.0098280000002</v>
      </c>
      <c r="CC131" s="55">
        <f t="shared" si="837"/>
        <v>640.8402000000001</v>
      </c>
      <c r="CD131" s="59">
        <f t="shared" si="838"/>
        <v>2118.4895331600005</v>
      </c>
      <c r="CE131" s="55">
        <f t="shared" si="839"/>
        <v>627.62700000000007</v>
      </c>
      <c r="CF131" s="59">
        <f t="shared" si="840"/>
        <v>2074.8093366000003</v>
      </c>
      <c r="CG131" s="55">
        <f t="shared" si="841"/>
        <v>614.41380000000015</v>
      </c>
      <c r="CH131" s="59">
        <f t="shared" si="842"/>
        <v>2031.1291400400005</v>
      </c>
      <c r="CI131" s="57">
        <f t="shared" si="843"/>
        <v>601.20060000000012</v>
      </c>
      <c r="CJ131" s="59">
        <f t="shared" si="844"/>
        <v>1987.4489434800005</v>
      </c>
      <c r="CK131" s="55">
        <f t="shared" si="845"/>
        <v>587.98740000000009</v>
      </c>
      <c r="CL131" s="59">
        <f t="shared" si="846"/>
        <v>1943.7687469200002</v>
      </c>
      <c r="CM131" s="57">
        <f t="shared" si="847"/>
        <v>574.77420000000006</v>
      </c>
      <c r="CN131" s="59">
        <f t="shared" si="848"/>
        <v>1900.0885503600002</v>
      </c>
      <c r="CO131" s="60">
        <f t="shared" si="849"/>
        <v>561.56100000000004</v>
      </c>
      <c r="CP131" s="59">
        <f t="shared" si="850"/>
        <v>1856.4083538000002</v>
      </c>
      <c r="CQ131" s="57">
        <f t="shared" si="851"/>
        <v>548.34780000000001</v>
      </c>
      <c r="CR131" s="59">
        <f t="shared" si="852"/>
        <v>1812.72815724</v>
      </c>
      <c r="CS131" s="55">
        <f t="shared" si="853"/>
        <v>535.13459999999998</v>
      </c>
      <c r="CT131" s="59">
        <f t="shared" si="854"/>
        <v>1769.04796068</v>
      </c>
      <c r="CU131" s="60">
        <f t="shared" si="855"/>
        <v>521.92140000000006</v>
      </c>
      <c r="CV131" s="59">
        <f t="shared" si="856"/>
        <v>1725.3677641200002</v>
      </c>
      <c r="CW131" s="60">
        <f t="shared" si="857"/>
        <v>508.70819999999998</v>
      </c>
      <c r="CX131" s="59">
        <f t="shared" si="858"/>
        <v>1681.6875675599999</v>
      </c>
      <c r="CY131" s="60">
        <f t="shared" si="859"/>
        <v>495.495</v>
      </c>
      <c r="CZ131" s="59">
        <f t="shared" si="860"/>
        <v>1638.0073710000001</v>
      </c>
      <c r="DA131" s="55">
        <f t="shared" si="861"/>
        <v>482.28179999999998</v>
      </c>
      <c r="DB131" s="59">
        <f t="shared" si="862"/>
        <v>1594.3271744399999</v>
      </c>
      <c r="DC131" s="60">
        <f t="shared" si="863"/>
        <v>469.06859999999995</v>
      </c>
      <c r="DD131" s="59">
        <f t="shared" si="864"/>
        <v>1550.6469778799999</v>
      </c>
      <c r="DE131" s="60">
        <f t="shared" si="865"/>
        <v>455.85539999999997</v>
      </c>
      <c r="DF131" s="59">
        <f t="shared" si="866"/>
        <v>1506.9667813199999</v>
      </c>
      <c r="DG131" s="60">
        <f t="shared" si="867"/>
        <v>442.64219999999995</v>
      </c>
      <c r="DH131" s="59">
        <f t="shared" si="868"/>
        <v>1463.2865847599999</v>
      </c>
      <c r="DI131" s="60">
        <f t="shared" si="869"/>
        <v>429.42899999999992</v>
      </c>
      <c r="DJ131" s="59">
        <f t="shared" si="870"/>
        <v>1419.6063881999999</v>
      </c>
      <c r="DK131" s="55">
        <f t="shared" si="871"/>
        <v>416.21579999999989</v>
      </c>
      <c r="DL131" s="59">
        <f t="shared" si="872"/>
        <v>1375.9261916399996</v>
      </c>
      <c r="DM131" s="60">
        <f t="shared" si="873"/>
        <v>403.00259999999992</v>
      </c>
      <c r="DN131" s="59">
        <f t="shared" si="874"/>
        <v>1332.2459950799998</v>
      </c>
      <c r="DO131" s="60">
        <f t="shared" si="875"/>
        <v>389.78939999999989</v>
      </c>
      <c r="DP131" s="59">
        <f t="shared" si="876"/>
        <v>1288.5657985199996</v>
      </c>
      <c r="DQ131" s="55">
        <f t="shared" si="877"/>
        <v>376.57619999999986</v>
      </c>
      <c r="DR131" s="59">
        <f t="shared" si="878"/>
        <v>1244.8856019599996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787"/>
        <v>0.91</v>
      </c>
      <c r="DZ131" s="55">
        <f t="shared" si="787"/>
        <v>0.89</v>
      </c>
      <c r="EA131" s="55">
        <f t="shared" si="787"/>
        <v>0.87</v>
      </c>
      <c r="EB131" s="55">
        <f t="shared" si="787"/>
        <v>0.85</v>
      </c>
      <c r="EC131" s="55">
        <f t="shared" si="787"/>
        <v>0.83</v>
      </c>
      <c r="ED131" s="55">
        <f t="shared" si="787"/>
        <v>0.80999999999999994</v>
      </c>
      <c r="EE131" s="55">
        <f t="shared" si="787"/>
        <v>0.78999999999999992</v>
      </c>
      <c r="EF131" s="55">
        <f t="shared" si="787"/>
        <v>0.76999999999999991</v>
      </c>
      <c r="EG131" s="55">
        <f t="shared" si="787"/>
        <v>0.74999999999999989</v>
      </c>
      <c r="EH131" s="55">
        <f t="shared" si="787"/>
        <v>0.72999999999999987</v>
      </c>
      <c r="EI131" s="55">
        <f t="shared" si="787"/>
        <v>0.70999999999999985</v>
      </c>
      <c r="EJ131" s="55">
        <f t="shared" si="787"/>
        <v>0.68999999999999984</v>
      </c>
      <c r="EK131" s="55">
        <f t="shared" si="787"/>
        <v>0.66999999999999982</v>
      </c>
      <c r="EL131" s="55">
        <f t="shared" si="787"/>
        <v>0.6499999999999998</v>
      </c>
      <c r="EM131" s="55">
        <f t="shared" si="787"/>
        <v>0.62999999999999978</v>
      </c>
      <c r="EN131" s="55">
        <f t="shared" si="787"/>
        <v>0.60999999999999976</v>
      </c>
      <c r="EO131" s="55">
        <f t="shared" si="787"/>
        <v>0.58999999999999975</v>
      </c>
      <c r="EP131" s="55">
        <f t="shared" si="787"/>
        <v>0.56999999999999973</v>
      </c>
      <c r="ER131" s="55">
        <f t="shared" si="644"/>
        <v>601.20060000000012</v>
      </c>
      <c r="ES131" s="55">
        <f t="shared" si="507"/>
        <v>601.20060000000012</v>
      </c>
      <c r="ET131" s="59">
        <f t="shared" si="879"/>
        <v>1987.4489434800005</v>
      </c>
      <c r="EU131" s="55">
        <f t="shared" si="880"/>
        <v>583.16458200000011</v>
      </c>
      <c r="EV131" s="59">
        <f t="shared" si="881"/>
        <v>1927.8254751756003</v>
      </c>
      <c r="EW131" s="55">
        <f t="shared" si="882"/>
        <v>571.14057000000014</v>
      </c>
      <c r="EX131" s="59">
        <f t="shared" si="883"/>
        <v>1888.0764963060005</v>
      </c>
      <c r="EY131" s="55">
        <f t="shared" si="884"/>
        <v>559.11655800000017</v>
      </c>
      <c r="EZ131" s="59">
        <f t="shared" si="885"/>
        <v>1848.3275174364005</v>
      </c>
      <c r="FA131" s="57">
        <f t="shared" si="886"/>
        <v>547.09254600000008</v>
      </c>
      <c r="FB131" s="59">
        <f t="shared" si="887"/>
        <v>1808.5785385668003</v>
      </c>
      <c r="FC131" s="55">
        <f t="shared" si="888"/>
        <v>535.06853400000011</v>
      </c>
      <c r="FD131" s="59">
        <f t="shared" si="889"/>
        <v>1768.8295596972005</v>
      </c>
      <c r="FE131" s="57">
        <f t="shared" si="890"/>
        <v>523.04452200000014</v>
      </c>
      <c r="FF131" s="59">
        <f t="shared" si="891"/>
        <v>1729.0805808276004</v>
      </c>
      <c r="FG131" s="60">
        <f t="shared" si="892"/>
        <v>511.02051000000012</v>
      </c>
      <c r="FH131" s="59">
        <f t="shared" si="893"/>
        <v>1689.3316019580004</v>
      </c>
      <c r="FI131" s="57">
        <f t="shared" si="894"/>
        <v>498.99649800000009</v>
      </c>
      <c r="FJ131" s="59">
        <f t="shared" si="895"/>
        <v>1649.5826230884004</v>
      </c>
      <c r="FK131" s="55">
        <f t="shared" si="896"/>
        <v>486.97248600000006</v>
      </c>
      <c r="FL131" s="59">
        <f t="shared" si="897"/>
        <v>1609.8336442188001</v>
      </c>
      <c r="FM131" s="60">
        <f t="shared" si="898"/>
        <v>474.94847400000003</v>
      </c>
      <c r="FN131" s="59">
        <f t="shared" si="899"/>
        <v>1570.0846653492001</v>
      </c>
      <c r="FO131" s="60">
        <f t="shared" si="900"/>
        <v>462.92446200000006</v>
      </c>
      <c r="FP131" s="59">
        <f t="shared" si="901"/>
        <v>1530.3356864796003</v>
      </c>
      <c r="FQ131" s="60">
        <f t="shared" si="902"/>
        <v>450.90045000000003</v>
      </c>
      <c r="FR131" s="59">
        <f t="shared" si="903"/>
        <v>1490.5867076100001</v>
      </c>
      <c r="FS131" s="55">
        <f t="shared" si="904"/>
        <v>438.87643800000001</v>
      </c>
      <c r="FT131" s="59">
        <f t="shared" si="905"/>
        <v>1450.8377287404001</v>
      </c>
      <c r="FU131" s="60">
        <f t="shared" si="906"/>
        <v>426.85242599999998</v>
      </c>
      <c r="FV131" s="59">
        <f t="shared" si="907"/>
        <v>1411.0887498708</v>
      </c>
      <c r="FW131" s="60">
        <f t="shared" si="908"/>
        <v>414.82841400000001</v>
      </c>
      <c r="FX131" s="59">
        <f t="shared" si="909"/>
        <v>1371.3397710012</v>
      </c>
      <c r="FY131" s="60">
        <f t="shared" si="910"/>
        <v>402.80440199999998</v>
      </c>
      <c r="FZ131" s="59">
        <f t="shared" si="911"/>
        <v>1331.5907921316</v>
      </c>
      <c r="GA131" s="60">
        <f t="shared" si="912"/>
        <v>390.78038999999995</v>
      </c>
      <c r="GB131" s="59">
        <f t="shared" si="913"/>
        <v>1291.841813262</v>
      </c>
      <c r="GC131" s="55">
        <f t="shared" si="914"/>
        <v>378.75637799999993</v>
      </c>
      <c r="GD131" s="59">
        <f t="shared" si="915"/>
        <v>1252.0928343923997</v>
      </c>
      <c r="GE131" s="60">
        <f t="shared" si="916"/>
        <v>366.73236599999996</v>
      </c>
      <c r="GF131" s="59">
        <f t="shared" si="917"/>
        <v>1212.3438555227999</v>
      </c>
      <c r="GG131" s="60">
        <f t="shared" si="918"/>
        <v>354.70835399999993</v>
      </c>
      <c r="GH131" s="59">
        <f t="shared" si="919"/>
        <v>1172.5948766531999</v>
      </c>
      <c r="GI131" s="55">
        <f t="shared" si="920"/>
        <v>342.6843419999999</v>
      </c>
      <c r="GJ131" s="59">
        <f t="shared" si="921"/>
        <v>1132.8458977835996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788"/>
        <v>0.91</v>
      </c>
      <c r="GR131" s="55">
        <f t="shared" si="788"/>
        <v>0.89</v>
      </c>
      <c r="GS131" s="55">
        <f t="shared" si="788"/>
        <v>0.87</v>
      </c>
      <c r="GT131" s="55">
        <f t="shared" si="788"/>
        <v>0.85</v>
      </c>
      <c r="GU131" s="55">
        <f t="shared" si="788"/>
        <v>0.83</v>
      </c>
      <c r="GV131" s="55">
        <f t="shared" si="788"/>
        <v>0.80999999999999994</v>
      </c>
      <c r="GW131" s="55">
        <f t="shared" si="788"/>
        <v>0.78999999999999992</v>
      </c>
      <c r="GX131" s="55">
        <f t="shared" si="788"/>
        <v>0.76999999999999991</v>
      </c>
      <c r="GY131" s="55">
        <f t="shared" si="788"/>
        <v>0.74999999999999989</v>
      </c>
      <c r="GZ131" s="55">
        <f t="shared" si="788"/>
        <v>0.72999999999999987</v>
      </c>
      <c r="HA131" s="55">
        <f t="shared" si="788"/>
        <v>0.70999999999999985</v>
      </c>
      <c r="HB131" s="55">
        <f t="shared" si="788"/>
        <v>0.68999999999999984</v>
      </c>
      <c r="HC131" s="55">
        <f t="shared" si="788"/>
        <v>0.66999999999999982</v>
      </c>
      <c r="HD131" s="55">
        <f t="shared" si="788"/>
        <v>0.6499999999999998</v>
      </c>
      <c r="HE131" s="55">
        <f t="shared" si="788"/>
        <v>0.62999999999999978</v>
      </c>
      <c r="HF131" s="55">
        <f t="shared" si="788"/>
        <v>0.60999999999999976</v>
      </c>
      <c r="HG131" s="55">
        <f t="shared" si="788"/>
        <v>0.58999999999999975</v>
      </c>
      <c r="HH131" s="55">
        <f t="shared" si="788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86">
        <f>TRUNC(+D132*3.3058,-1)</f>
        <v>0</v>
      </c>
      <c r="H132" s="55">
        <f t="shared" si="502"/>
        <v>0</v>
      </c>
      <c r="I132" s="55">
        <f t="shared" si="503"/>
        <v>0</v>
      </c>
      <c r="J132" s="59">
        <f t="shared" si="504"/>
        <v>0</v>
      </c>
      <c r="K132" s="55">
        <f t="shared" si="793"/>
        <v>0</v>
      </c>
      <c r="L132" s="59">
        <f t="shared" si="794"/>
        <v>0</v>
      </c>
      <c r="M132" s="55">
        <f t="shared" si="795"/>
        <v>0</v>
      </c>
      <c r="N132" s="59">
        <f t="shared" si="796"/>
        <v>0</v>
      </c>
      <c r="O132" s="55">
        <f t="shared" si="797"/>
        <v>0</v>
      </c>
      <c r="P132" s="59">
        <f t="shared" si="798"/>
        <v>0</v>
      </c>
      <c r="Q132" s="57">
        <f t="shared" si="799"/>
        <v>0</v>
      </c>
      <c r="R132" s="59">
        <f t="shared" si="800"/>
        <v>0</v>
      </c>
      <c r="S132" s="55">
        <f t="shared" si="801"/>
        <v>0</v>
      </c>
      <c r="T132" s="59">
        <f t="shared" si="802"/>
        <v>0</v>
      </c>
      <c r="U132" s="57">
        <f t="shared" si="803"/>
        <v>0</v>
      </c>
      <c r="V132" s="59">
        <f t="shared" si="804"/>
        <v>0</v>
      </c>
      <c r="W132" s="60">
        <f t="shared" si="805"/>
        <v>0</v>
      </c>
      <c r="X132" s="59">
        <f t="shared" si="806"/>
        <v>0</v>
      </c>
      <c r="Y132" s="57">
        <f t="shared" si="807"/>
        <v>0</v>
      </c>
      <c r="Z132" s="59">
        <f t="shared" si="808"/>
        <v>0</v>
      </c>
      <c r="AA132" s="55">
        <f t="shared" si="809"/>
        <v>0</v>
      </c>
      <c r="AB132" s="59">
        <f t="shared" si="810"/>
        <v>0</v>
      </c>
      <c r="AC132" s="60">
        <f t="shared" si="811"/>
        <v>0</v>
      </c>
      <c r="AD132" s="59">
        <f t="shared" si="812"/>
        <v>0</v>
      </c>
      <c r="AE132" s="60">
        <f t="shared" si="813"/>
        <v>0</v>
      </c>
      <c r="AF132" s="59">
        <f t="shared" si="814"/>
        <v>0</v>
      </c>
      <c r="AG132" s="60">
        <f t="shared" si="815"/>
        <v>0</v>
      </c>
      <c r="AH132" s="59">
        <f t="shared" si="816"/>
        <v>0</v>
      </c>
      <c r="AI132" s="55">
        <f t="shared" si="817"/>
        <v>0</v>
      </c>
      <c r="AJ132" s="59">
        <f t="shared" si="818"/>
        <v>0</v>
      </c>
      <c r="AK132" s="60">
        <f t="shared" si="819"/>
        <v>0</v>
      </c>
      <c r="AL132" s="59">
        <f t="shared" si="820"/>
        <v>0</v>
      </c>
      <c r="AM132" s="60">
        <f t="shared" si="821"/>
        <v>0</v>
      </c>
      <c r="AN132" s="59">
        <f t="shared" si="822"/>
        <v>0</v>
      </c>
      <c r="AO132" s="60">
        <f t="shared" si="823"/>
        <v>0</v>
      </c>
      <c r="AP132" s="59">
        <f t="shared" si="824"/>
        <v>0</v>
      </c>
      <c r="AQ132" s="60">
        <f t="shared" si="825"/>
        <v>0</v>
      </c>
      <c r="AR132" s="59">
        <f t="shared" si="826"/>
        <v>0</v>
      </c>
      <c r="AS132" s="55">
        <f t="shared" si="827"/>
        <v>0</v>
      </c>
      <c r="AT132" s="59">
        <f t="shared" si="828"/>
        <v>0</v>
      </c>
      <c r="AU132" s="60">
        <f t="shared" si="829"/>
        <v>0</v>
      </c>
      <c r="AV132" s="59">
        <f t="shared" si="830"/>
        <v>0</v>
      </c>
      <c r="AW132" s="60">
        <f t="shared" si="831"/>
        <v>0</v>
      </c>
      <c r="AX132" s="59">
        <f t="shared" si="832"/>
        <v>0</v>
      </c>
      <c r="AY132" s="55">
        <f t="shared" si="833"/>
        <v>0</v>
      </c>
      <c r="AZ132" s="59">
        <f t="shared" si="834"/>
        <v>0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835"/>
        <v>0.91</v>
      </c>
      <c r="BH132" s="55">
        <f t="shared" si="835"/>
        <v>0.89</v>
      </c>
      <c r="BI132" s="55">
        <f t="shared" si="835"/>
        <v>0.87</v>
      </c>
      <c r="BJ132" s="55">
        <f t="shared" si="835"/>
        <v>0.85</v>
      </c>
      <c r="BK132" s="55">
        <f t="shared" si="835"/>
        <v>0.83</v>
      </c>
      <c r="BL132" s="55">
        <f t="shared" si="835"/>
        <v>0.80999999999999994</v>
      </c>
      <c r="BM132" s="55">
        <f t="shared" si="835"/>
        <v>0.78999999999999992</v>
      </c>
      <c r="BN132" s="55">
        <f t="shared" si="835"/>
        <v>0.76999999999999991</v>
      </c>
      <c r="BO132" s="55">
        <f t="shared" si="835"/>
        <v>0.74999999999999989</v>
      </c>
      <c r="BP132" s="55">
        <f t="shared" si="835"/>
        <v>0.72999999999999987</v>
      </c>
      <c r="BQ132" s="55">
        <f t="shared" si="835"/>
        <v>0.70999999999999985</v>
      </c>
      <c r="BR132" s="55">
        <f t="shared" si="835"/>
        <v>0.68999999999999984</v>
      </c>
      <c r="BS132" s="55">
        <f t="shared" si="835"/>
        <v>0.66999999999999982</v>
      </c>
      <c r="BT132" s="55">
        <f t="shared" si="835"/>
        <v>0.6499999999999998</v>
      </c>
      <c r="BU132" s="55">
        <f t="shared" si="835"/>
        <v>0.62999999999999978</v>
      </c>
      <c r="BV132" s="55">
        <f t="shared" si="835"/>
        <v>0.60999999999999976</v>
      </c>
      <c r="BW132" s="55">
        <f t="shared" si="835"/>
        <v>0.58999999999999975</v>
      </c>
      <c r="BX132" s="55">
        <f t="shared" si="835"/>
        <v>0.56999999999999973</v>
      </c>
      <c r="BZ132" s="55">
        <f t="shared" si="505"/>
        <v>0</v>
      </c>
      <c r="CA132" s="55">
        <f t="shared" si="506"/>
        <v>0</v>
      </c>
      <c r="CB132" s="59">
        <f t="shared" si="836"/>
        <v>0</v>
      </c>
      <c r="CC132" s="55">
        <f t="shared" si="837"/>
        <v>0</v>
      </c>
      <c r="CD132" s="59">
        <f t="shared" si="838"/>
        <v>0</v>
      </c>
      <c r="CE132" s="55">
        <f t="shared" si="839"/>
        <v>0</v>
      </c>
      <c r="CF132" s="59">
        <f t="shared" si="840"/>
        <v>0</v>
      </c>
      <c r="CG132" s="55">
        <f t="shared" si="841"/>
        <v>0</v>
      </c>
      <c r="CH132" s="59">
        <f t="shared" si="842"/>
        <v>0</v>
      </c>
      <c r="CI132" s="57">
        <f t="shared" si="843"/>
        <v>0</v>
      </c>
      <c r="CJ132" s="59">
        <f t="shared" si="844"/>
        <v>0</v>
      </c>
      <c r="CK132" s="55">
        <f t="shared" si="845"/>
        <v>0</v>
      </c>
      <c r="CL132" s="59">
        <f t="shared" si="846"/>
        <v>0</v>
      </c>
      <c r="CM132" s="57">
        <f t="shared" si="847"/>
        <v>0</v>
      </c>
      <c r="CN132" s="59">
        <f t="shared" si="848"/>
        <v>0</v>
      </c>
      <c r="CO132" s="60">
        <f t="shared" si="849"/>
        <v>0</v>
      </c>
      <c r="CP132" s="59">
        <f t="shared" si="850"/>
        <v>0</v>
      </c>
      <c r="CQ132" s="57">
        <f t="shared" si="851"/>
        <v>0</v>
      </c>
      <c r="CR132" s="59">
        <f t="shared" si="852"/>
        <v>0</v>
      </c>
      <c r="CS132" s="55">
        <f t="shared" si="853"/>
        <v>0</v>
      </c>
      <c r="CT132" s="59">
        <f t="shared" si="854"/>
        <v>0</v>
      </c>
      <c r="CU132" s="60">
        <f t="shared" si="855"/>
        <v>0</v>
      </c>
      <c r="CV132" s="59">
        <f t="shared" si="856"/>
        <v>0</v>
      </c>
      <c r="CW132" s="60">
        <f t="shared" si="857"/>
        <v>0</v>
      </c>
      <c r="CX132" s="59">
        <f t="shared" si="858"/>
        <v>0</v>
      </c>
      <c r="CY132" s="60">
        <f t="shared" si="859"/>
        <v>0</v>
      </c>
      <c r="CZ132" s="59">
        <f t="shared" si="860"/>
        <v>0</v>
      </c>
      <c r="DA132" s="55">
        <f t="shared" si="861"/>
        <v>0</v>
      </c>
      <c r="DB132" s="59">
        <f t="shared" si="862"/>
        <v>0</v>
      </c>
      <c r="DC132" s="60">
        <f t="shared" si="863"/>
        <v>0</v>
      </c>
      <c r="DD132" s="59">
        <f t="shared" si="864"/>
        <v>0</v>
      </c>
      <c r="DE132" s="60">
        <f t="shared" si="865"/>
        <v>0</v>
      </c>
      <c r="DF132" s="59">
        <f t="shared" si="866"/>
        <v>0</v>
      </c>
      <c r="DG132" s="60">
        <f t="shared" si="867"/>
        <v>0</v>
      </c>
      <c r="DH132" s="59">
        <f t="shared" si="868"/>
        <v>0</v>
      </c>
      <c r="DI132" s="60">
        <f t="shared" si="869"/>
        <v>0</v>
      </c>
      <c r="DJ132" s="59">
        <f t="shared" si="870"/>
        <v>0</v>
      </c>
      <c r="DK132" s="55">
        <f t="shared" si="871"/>
        <v>0</v>
      </c>
      <c r="DL132" s="59">
        <f t="shared" si="872"/>
        <v>0</v>
      </c>
      <c r="DM132" s="60">
        <f t="shared" si="873"/>
        <v>0</v>
      </c>
      <c r="DN132" s="59">
        <f t="shared" si="874"/>
        <v>0</v>
      </c>
      <c r="DO132" s="60">
        <f t="shared" si="875"/>
        <v>0</v>
      </c>
      <c r="DP132" s="59">
        <f t="shared" si="876"/>
        <v>0</v>
      </c>
      <c r="DQ132" s="55">
        <f t="shared" si="877"/>
        <v>0</v>
      </c>
      <c r="DR132" s="59">
        <f t="shared" si="878"/>
        <v>0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787"/>
        <v>0.91</v>
      </c>
      <c r="DZ132" s="55">
        <f t="shared" si="787"/>
        <v>0.89</v>
      </c>
      <c r="EA132" s="55">
        <f t="shared" si="787"/>
        <v>0.87</v>
      </c>
      <c r="EB132" s="55">
        <f t="shared" si="787"/>
        <v>0.85</v>
      </c>
      <c r="EC132" s="55">
        <f t="shared" si="787"/>
        <v>0.83</v>
      </c>
      <c r="ED132" s="55">
        <f t="shared" si="787"/>
        <v>0.80999999999999994</v>
      </c>
      <c r="EE132" s="55">
        <f t="shared" si="787"/>
        <v>0.78999999999999992</v>
      </c>
      <c r="EF132" s="55">
        <f t="shared" si="787"/>
        <v>0.76999999999999991</v>
      </c>
      <c r="EG132" s="55">
        <f t="shared" si="787"/>
        <v>0.74999999999999989</v>
      </c>
      <c r="EH132" s="55">
        <f t="shared" si="787"/>
        <v>0.72999999999999987</v>
      </c>
      <c r="EI132" s="55">
        <f t="shared" si="787"/>
        <v>0.70999999999999985</v>
      </c>
      <c r="EJ132" s="55">
        <f t="shared" si="787"/>
        <v>0.68999999999999984</v>
      </c>
      <c r="EK132" s="55">
        <f t="shared" si="787"/>
        <v>0.66999999999999982</v>
      </c>
      <c r="EL132" s="55">
        <f t="shared" si="787"/>
        <v>0.6499999999999998</v>
      </c>
      <c r="EM132" s="55">
        <f t="shared" si="787"/>
        <v>0.62999999999999978</v>
      </c>
      <c r="EN132" s="55">
        <f t="shared" si="787"/>
        <v>0.60999999999999976</v>
      </c>
      <c r="EO132" s="55">
        <f t="shared" si="787"/>
        <v>0.58999999999999975</v>
      </c>
      <c r="EP132" s="55">
        <f t="shared" si="787"/>
        <v>0.56999999999999973</v>
      </c>
      <c r="ER132" s="55">
        <f t="shared" si="644"/>
        <v>0</v>
      </c>
      <c r="ES132" s="55">
        <f t="shared" si="507"/>
        <v>0</v>
      </c>
      <c r="ET132" s="59">
        <f t="shared" si="879"/>
        <v>0</v>
      </c>
      <c r="EU132" s="55">
        <f t="shared" si="880"/>
        <v>0</v>
      </c>
      <c r="EV132" s="59">
        <f t="shared" si="881"/>
        <v>0</v>
      </c>
      <c r="EW132" s="55">
        <f t="shared" si="882"/>
        <v>0</v>
      </c>
      <c r="EX132" s="59">
        <f t="shared" si="883"/>
        <v>0</v>
      </c>
      <c r="EY132" s="55">
        <f t="shared" si="884"/>
        <v>0</v>
      </c>
      <c r="EZ132" s="59">
        <f t="shared" si="885"/>
        <v>0</v>
      </c>
      <c r="FA132" s="57">
        <f t="shared" si="886"/>
        <v>0</v>
      </c>
      <c r="FB132" s="59">
        <f t="shared" si="887"/>
        <v>0</v>
      </c>
      <c r="FC132" s="55">
        <f t="shared" si="888"/>
        <v>0</v>
      </c>
      <c r="FD132" s="59">
        <f t="shared" si="889"/>
        <v>0</v>
      </c>
      <c r="FE132" s="57">
        <f t="shared" si="890"/>
        <v>0</v>
      </c>
      <c r="FF132" s="59">
        <f t="shared" si="891"/>
        <v>0</v>
      </c>
      <c r="FG132" s="60">
        <f t="shared" si="892"/>
        <v>0</v>
      </c>
      <c r="FH132" s="59">
        <f t="shared" si="893"/>
        <v>0</v>
      </c>
      <c r="FI132" s="57">
        <f t="shared" si="894"/>
        <v>0</v>
      </c>
      <c r="FJ132" s="59">
        <f t="shared" si="895"/>
        <v>0</v>
      </c>
      <c r="FK132" s="55">
        <f t="shared" si="896"/>
        <v>0</v>
      </c>
      <c r="FL132" s="59">
        <f t="shared" si="897"/>
        <v>0</v>
      </c>
      <c r="FM132" s="60">
        <f t="shared" si="898"/>
        <v>0</v>
      </c>
      <c r="FN132" s="59">
        <f t="shared" si="899"/>
        <v>0</v>
      </c>
      <c r="FO132" s="60">
        <f t="shared" si="900"/>
        <v>0</v>
      </c>
      <c r="FP132" s="59">
        <f t="shared" si="901"/>
        <v>0</v>
      </c>
      <c r="FQ132" s="60">
        <f t="shared" si="902"/>
        <v>0</v>
      </c>
      <c r="FR132" s="59">
        <f t="shared" si="903"/>
        <v>0</v>
      </c>
      <c r="FS132" s="55">
        <f t="shared" si="904"/>
        <v>0</v>
      </c>
      <c r="FT132" s="59">
        <f t="shared" si="905"/>
        <v>0</v>
      </c>
      <c r="FU132" s="60">
        <f t="shared" si="906"/>
        <v>0</v>
      </c>
      <c r="FV132" s="59">
        <f t="shared" si="907"/>
        <v>0</v>
      </c>
      <c r="FW132" s="60">
        <f t="shared" si="908"/>
        <v>0</v>
      </c>
      <c r="FX132" s="59">
        <f t="shared" si="909"/>
        <v>0</v>
      </c>
      <c r="FY132" s="60">
        <f t="shared" si="910"/>
        <v>0</v>
      </c>
      <c r="FZ132" s="59">
        <f t="shared" si="911"/>
        <v>0</v>
      </c>
      <c r="GA132" s="60">
        <f t="shared" si="912"/>
        <v>0</v>
      </c>
      <c r="GB132" s="59">
        <f t="shared" si="913"/>
        <v>0</v>
      </c>
      <c r="GC132" s="55">
        <f t="shared" si="914"/>
        <v>0</v>
      </c>
      <c r="GD132" s="59">
        <f t="shared" si="915"/>
        <v>0</v>
      </c>
      <c r="GE132" s="60">
        <f t="shared" si="916"/>
        <v>0</v>
      </c>
      <c r="GF132" s="59">
        <f t="shared" si="917"/>
        <v>0</v>
      </c>
      <c r="GG132" s="60">
        <f t="shared" si="918"/>
        <v>0</v>
      </c>
      <c r="GH132" s="59">
        <f t="shared" si="919"/>
        <v>0</v>
      </c>
      <c r="GI132" s="55">
        <f t="shared" si="920"/>
        <v>0</v>
      </c>
      <c r="GJ132" s="59">
        <f t="shared" si="921"/>
        <v>0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788"/>
        <v>0.91</v>
      </c>
      <c r="GR132" s="55">
        <f t="shared" si="788"/>
        <v>0.89</v>
      </c>
      <c r="GS132" s="55">
        <f t="shared" si="788"/>
        <v>0.87</v>
      </c>
      <c r="GT132" s="55">
        <f t="shared" si="788"/>
        <v>0.85</v>
      </c>
      <c r="GU132" s="55">
        <f t="shared" si="788"/>
        <v>0.83</v>
      </c>
      <c r="GV132" s="55">
        <f t="shared" si="788"/>
        <v>0.80999999999999994</v>
      </c>
      <c r="GW132" s="55">
        <f t="shared" si="788"/>
        <v>0.78999999999999992</v>
      </c>
      <c r="GX132" s="55">
        <f t="shared" si="788"/>
        <v>0.76999999999999991</v>
      </c>
      <c r="GY132" s="55">
        <f t="shared" si="788"/>
        <v>0.74999999999999989</v>
      </c>
      <c r="GZ132" s="55">
        <f t="shared" si="788"/>
        <v>0.72999999999999987</v>
      </c>
      <c r="HA132" s="55">
        <f t="shared" si="788"/>
        <v>0.70999999999999985</v>
      </c>
      <c r="HB132" s="55">
        <f t="shared" si="788"/>
        <v>0.68999999999999984</v>
      </c>
      <c r="HC132" s="55">
        <f t="shared" si="788"/>
        <v>0.66999999999999982</v>
      </c>
      <c r="HD132" s="55">
        <f t="shared" si="788"/>
        <v>0.6499999999999998</v>
      </c>
      <c r="HE132" s="55">
        <f t="shared" si="788"/>
        <v>0.62999999999999978</v>
      </c>
      <c r="HF132" s="55">
        <f t="shared" si="788"/>
        <v>0.60999999999999976</v>
      </c>
      <c r="HG132" s="55">
        <f t="shared" si="788"/>
        <v>0.58999999999999975</v>
      </c>
      <c r="HH132" s="55">
        <f t="shared" si="788"/>
        <v>0.56999999999999973</v>
      </c>
    </row>
    <row r="133" spans="1:216" x14ac:dyDescent="0.3">
      <c r="A133" s="2">
        <v>4</v>
      </c>
      <c r="C133" s="38" t="s">
        <v>61</v>
      </c>
      <c r="D133" s="42">
        <f>TRUNC(1349,-1)</f>
        <v>1340</v>
      </c>
      <c r="E133" s="86">
        <f>TRUNC(+D133*3.3058,-1)</f>
        <v>4420</v>
      </c>
      <c r="H133" s="55">
        <f t="shared" si="502"/>
        <v>4862</v>
      </c>
      <c r="I133" s="55">
        <f t="shared" si="503"/>
        <v>4862</v>
      </c>
      <c r="J133" s="59">
        <f t="shared" si="504"/>
        <v>16072.7996</v>
      </c>
      <c r="K133" s="55">
        <f t="shared" si="793"/>
        <v>4716.1399999999994</v>
      </c>
      <c r="L133" s="59">
        <f t="shared" si="794"/>
        <v>15590.615611999998</v>
      </c>
      <c r="M133" s="55">
        <f t="shared" si="795"/>
        <v>4618.8999999999996</v>
      </c>
      <c r="N133" s="59">
        <f t="shared" si="796"/>
        <v>15269.159619999999</v>
      </c>
      <c r="O133" s="55">
        <f t="shared" si="797"/>
        <v>4521.66</v>
      </c>
      <c r="P133" s="59">
        <f t="shared" si="798"/>
        <v>14947.703627999999</v>
      </c>
      <c r="Q133" s="57">
        <f t="shared" si="799"/>
        <v>4424.42</v>
      </c>
      <c r="R133" s="59">
        <f t="shared" si="800"/>
        <v>14626.247636</v>
      </c>
      <c r="S133" s="55">
        <f t="shared" si="801"/>
        <v>4327.18</v>
      </c>
      <c r="T133" s="59">
        <f t="shared" si="802"/>
        <v>14304.791644000001</v>
      </c>
      <c r="U133" s="57">
        <f t="shared" si="803"/>
        <v>4229.9399999999996</v>
      </c>
      <c r="V133" s="59">
        <f t="shared" si="804"/>
        <v>13983.335652</v>
      </c>
      <c r="W133" s="60">
        <f t="shared" si="805"/>
        <v>4132.7</v>
      </c>
      <c r="X133" s="59">
        <f t="shared" si="806"/>
        <v>13661.879660000001</v>
      </c>
      <c r="Y133" s="57">
        <f t="shared" si="807"/>
        <v>4035.4599999999996</v>
      </c>
      <c r="Z133" s="59">
        <f t="shared" si="808"/>
        <v>13340.423667999999</v>
      </c>
      <c r="AA133" s="55">
        <f t="shared" si="809"/>
        <v>3938.22</v>
      </c>
      <c r="AB133" s="59">
        <f t="shared" si="810"/>
        <v>13018.967676</v>
      </c>
      <c r="AC133" s="60">
        <f t="shared" si="811"/>
        <v>3840.9799999999996</v>
      </c>
      <c r="AD133" s="59">
        <f t="shared" si="812"/>
        <v>12697.511683999999</v>
      </c>
      <c r="AE133" s="60">
        <f t="shared" si="813"/>
        <v>3743.7399999999993</v>
      </c>
      <c r="AF133" s="59">
        <f t="shared" si="814"/>
        <v>12376.055691999998</v>
      </c>
      <c r="AG133" s="60">
        <f t="shared" si="815"/>
        <v>3646.4999999999995</v>
      </c>
      <c r="AH133" s="59">
        <f t="shared" si="816"/>
        <v>12054.599699999999</v>
      </c>
      <c r="AI133" s="55">
        <f t="shared" si="817"/>
        <v>3549.2599999999993</v>
      </c>
      <c r="AJ133" s="59">
        <f t="shared" si="818"/>
        <v>11733.143707999998</v>
      </c>
      <c r="AK133" s="60">
        <f t="shared" si="819"/>
        <v>3452.0199999999991</v>
      </c>
      <c r="AL133" s="59">
        <f t="shared" si="820"/>
        <v>11411.687715999997</v>
      </c>
      <c r="AM133" s="60">
        <f t="shared" si="821"/>
        <v>3354.7799999999993</v>
      </c>
      <c r="AN133" s="59">
        <f t="shared" si="822"/>
        <v>11090.231723999997</v>
      </c>
      <c r="AO133" s="60">
        <f t="shared" si="823"/>
        <v>3257.5399999999991</v>
      </c>
      <c r="AP133" s="59">
        <f t="shared" si="824"/>
        <v>10768.775731999996</v>
      </c>
      <c r="AQ133" s="60">
        <f t="shared" si="825"/>
        <v>3160.2999999999988</v>
      </c>
      <c r="AR133" s="59">
        <f t="shared" si="826"/>
        <v>10447.319739999997</v>
      </c>
      <c r="AS133" s="55">
        <f t="shared" si="827"/>
        <v>3063.059999999999</v>
      </c>
      <c r="AT133" s="59">
        <f t="shared" si="828"/>
        <v>10125.863747999998</v>
      </c>
      <c r="AU133" s="60">
        <f t="shared" si="829"/>
        <v>2965.8199999999988</v>
      </c>
      <c r="AV133" s="59">
        <f t="shared" si="830"/>
        <v>9804.4077559999969</v>
      </c>
      <c r="AW133" s="60">
        <f t="shared" si="831"/>
        <v>2868.5799999999986</v>
      </c>
      <c r="AX133" s="59">
        <f t="shared" si="832"/>
        <v>9482.9517639999958</v>
      </c>
      <c r="AY133" s="55">
        <f t="shared" si="833"/>
        <v>2771.3399999999988</v>
      </c>
      <c r="AZ133" s="59">
        <f t="shared" si="834"/>
        <v>9161.4957719999966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835"/>
        <v>0.91</v>
      </c>
      <c r="BH133" s="55">
        <f t="shared" si="835"/>
        <v>0.89</v>
      </c>
      <c r="BI133" s="55">
        <f t="shared" si="835"/>
        <v>0.87</v>
      </c>
      <c r="BJ133" s="55">
        <f t="shared" si="835"/>
        <v>0.85</v>
      </c>
      <c r="BK133" s="55">
        <f t="shared" si="835"/>
        <v>0.83</v>
      </c>
      <c r="BL133" s="55">
        <f t="shared" si="835"/>
        <v>0.80999999999999994</v>
      </c>
      <c r="BM133" s="55">
        <f t="shared" si="835"/>
        <v>0.78999999999999992</v>
      </c>
      <c r="BN133" s="55">
        <f t="shared" si="835"/>
        <v>0.76999999999999991</v>
      </c>
      <c r="BO133" s="55">
        <f t="shared" si="835"/>
        <v>0.74999999999999989</v>
      </c>
      <c r="BP133" s="55">
        <f t="shared" si="835"/>
        <v>0.72999999999999987</v>
      </c>
      <c r="BQ133" s="55">
        <f t="shared" si="835"/>
        <v>0.70999999999999985</v>
      </c>
      <c r="BR133" s="55">
        <f t="shared" si="835"/>
        <v>0.68999999999999984</v>
      </c>
      <c r="BS133" s="55">
        <f t="shared" si="835"/>
        <v>0.66999999999999982</v>
      </c>
      <c r="BT133" s="55">
        <f t="shared" si="835"/>
        <v>0.6499999999999998</v>
      </c>
      <c r="BU133" s="55">
        <f t="shared" si="835"/>
        <v>0.62999999999999978</v>
      </c>
      <c r="BV133" s="55">
        <f t="shared" si="835"/>
        <v>0.60999999999999976</v>
      </c>
      <c r="BW133" s="55">
        <f t="shared" si="835"/>
        <v>0.58999999999999975</v>
      </c>
      <c r="BX133" s="55">
        <f t="shared" si="835"/>
        <v>0.56999999999999973</v>
      </c>
      <c r="BZ133" s="55">
        <f t="shared" si="505"/>
        <v>4424.42</v>
      </c>
      <c r="CA133" s="55">
        <f t="shared" si="506"/>
        <v>4424.42</v>
      </c>
      <c r="CB133" s="59">
        <f t="shared" si="836"/>
        <v>14626.247636</v>
      </c>
      <c r="CC133" s="55">
        <f t="shared" si="837"/>
        <v>4291.6873999999998</v>
      </c>
      <c r="CD133" s="59">
        <f t="shared" si="838"/>
        <v>14187.460206919999</v>
      </c>
      <c r="CE133" s="55">
        <f t="shared" si="839"/>
        <v>4203.1989999999996</v>
      </c>
      <c r="CF133" s="59">
        <f t="shared" si="840"/>
        <v>13894.9352542</v>
      </c>
      <c r="CG133" s="55">
        <f t="shared" si="841"/>
        <v>4114.7106000000003</v>
      </c>
      <c r="CH133" s="59">
        <f t="shared" si="842"/>
        <v>13602.410301480002</v>
      </c>
      <c r="CI133" s="57">
        <f t="shared" si="843"/>
        <v>4026.2222000000002</v>
      </c>
      <c r="CJ133" s="59">
        <f t="shared" si="844"/>
        <v>13309.885348760001</v>
      </c>
      <c r="CK133" s="55">
        <f t="shared" si="845"/>
        <v>3937.7338</v>
      </c>
      <c r="CL133" s="59">
        <f t="shared" si="846"/>
        <v>13017.36039604</v>
      </c>
      <c r="CM133" s="57">
        <f t="shared" si="847"/>
        <v>3849.2454000000002</v>
      </c>
      <c r="CN133" s="59">
        <f t="shared" si="848"/>
        <v>12724.83544332</v>
      </c>
      <c r="CO133" s="60">
        <f t="shared" si="849"/>
        <v>3760.7570000000001</v>
      </c>
      <c r="CP133" s="59">
        <f t="shared" si="850"/>
        <v>12432.310490600001</v>
      </c>
      <c r="CQ133" s="57">
        <f t="shared" si="851"/>
        <v>3672.2685999999999</v>
      </c>
      <c r="CR133" s="59">
        <f t="shared" si="852"/>
        <v>12139.78553788</v>
      </c>
      <c r="CS133" s="55">
        <f t="shared" si="853"/>
        <v>3583.7801999999997</v>
      </c>
      <c r="CT133" s="59">
        <f t="shared" si="854"/>
        <v>11847.26058516</v>
      </c>
      <c r="CU133" s="60">
        <f t="shared" si="855"/>
        <v>3495.2917999999995</v>
      </c>
      <c r="CV133" s="59">
        <f t="shared" si="856"/>
        <v>11554.735632439999</v>
      </c>
      <c r="CW133" s="60">
        <f t="shared" si="857"/>
        <v>3406.8033999999998</v>
      </c>
      <c r="CX133" s="59">
        <f t="shared" si="858"/>
        <v>11262.210679719999</v>
      </c>
      <c r="CY133" s="60">
        <f t="shared" si="859"/>
        <v>3318.3149999999996</v>
      </c>
      <c r="CZ133" s="59">
        <f t="shared" si="860"/>
        <v>10969.685726999998</v>
      </c>
      <c r="DA133" s="55">
        <f t="shared" si="861"/>
        <v>3229.8265999999994</v>
      </c>
      <c r="DB133" s="59">
        <f t="shared" si="862"/>
        <v>10677.160774279999</v>
      </c>
      <c r="DC133" s="60">
        <f t="shared" si="863"/>
        <v>3141.3381999999992</v>
      </c>
      <c r="DD133" s="59">
        <f t="shared" si="864"/>
        <v>10384.635821559998</v>
      </c>
      <c r="DE133" s="60">
        <f t="shared" si="865"/>
        <v>3052.8497999999995</v>
      </c>
      <c r="DF133" s="59">
        <f t="shared" si="866"/>
        <v>10092.110868839998</v>
      </c>
      <c r="DG133" s="60">
        <f t="shared" si="867"/>
        <v>2964.3613999999993</v>
      </c>
      <c r="DH133" s="59">
        <f t="shared" si="868"/>
        <v>9799.5859161199987</v>
      </c>
      <c r="DI133" s="60">
        <f t="shared" si="869"/>
        <v>2875.8729999999991</v>
      </c>
      <c r="DJ133" s="59">
        <f t="shared" si="870"/>
        <v>9507.0609633999975</v>
      </c>
      <c r="DK133" s="55">
        <f t="shared" si="871"/>
        <v>2787.384599999999</v>
      </c>
      <c r="DL133" s="59">
        <f t="shared" si="872"/>
        <v>9214.5360106799963</v>
      </c>
      <c r="DM133" s="60">
        <f t="shared" si="873"/>
        <v>2698.8961999999992</v>
      </c>
      <c r="DN133" s="59">
        <f t="shared" si="874"/>
        <v>8922.0110579599968</v>
      </c>
      <c r="DO133" s="60">
        <f t="shared" si="875"/>
        <v>2610.407799999999</v>
      </c>
      <c r="DP133" s="59">
        <f t="shared" si="876"/>
        <v>8629.4861052399974</v>
      </c>
      <c r="DQ133" s="55">
        <f t="shared" si="877"/>
        <v>2521.9193999999989</v>
      </c>
      <c r="DR133" s="59">
        <f t="shared" si="878"/>
        <v>8336.9611525199962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787"/>
        <v>0.91</v>
      </c>
      <c r="DZ133" s="55">
        <f t="shared" si="787"/>
        <v>0.89</v>
      </c>
      <c r="EA133" s="55">
        <f t="shared" si="787"/>
        <v>0.87</v>
      </c>
      <c r="EB133" s="55">
        <f t="shared" si="787"/>
        <v>0.85</v>
      </c>
      <c r="EC133" s="55">
        <f t="shared" si="787"/>
        <v>0.83</v>
      </c>
      <c r="ED133" s="55">
        <f t="shared" si="787"/>
        <v>0.80999999999999994</v>
      </c>
      <c r="EE133" s="55">
        <f t="shared" si="787"/>
        <v>0.78999999999999992</v>
      </c>
      <c r="EF133" s="55">
        <f t="shared" si="787"/>
        <v>0.76999999999999991</v>
      </c>
      <c r="EG133" s="55">
        <f t="shared" si="787"/>
        <v>0.74999999999999989</v>
      </c>
      <c r="EH133" s="55">
        <f t="shared" si="787"/>
        <v>0.72999999999999987</v>
      </c>
      <c r="EI133" s="55">
        <f t="shared" si="787"/>
        <v>0.70999999999999985</v>
      </c>
      <c r="EJ133" s="55">
        <f t="shared" si="787"/>
        <v>0.68999999999999984</v>
      </c>
      <c r="EK133" s="55">
        <f t="shared" si="787"/>
        <v>0.66999999999999982</v>
      </c>
      <c r="EL133" s="55">
        <f t="shared" si="787"/>
        <v>0.6499999999999998</v>
      </c>
      <c r="EM133" s="55">
        <f t="shared" si="787"/>
        <v>0.62999999999999978</v>
      </c>
      <c r="EN133" s="55">
        <f t="shared" si="787"/>
        <v>0.60999999999999976</v>
      </c>
      <c r="EO133" s="55">
        <f t="shared" si="787"/>
        <v>0.58999999999999975</v>
      </c>
      <c r="EP133" s="55">
        <f t="shared" si="787"/>
        <v>0.56999999999999973</v>
      </c>
      <c r="ER133" s="55">
        <f t="shared" si="644"/>
        <v>4026.2222000000002</v>
      </c>
      <c r="ES133" s="55">
        <f t="shared" si="507"/>
        <v>4026.2222000000002</v>
      </c>
      <c r="ET133" s="59">
        <f t="shared" si="879"/>
        <v>13309.885348760001</v>
      </c>
      <c r="EU133" s="55">
        <f t="shared" si="880"/>
        <v>3905.4355340000002</v>
      </c>
      <c r="EV133" s="59">
        <f t="shared" si="881"/>
        <v>12910.5887882972</v>
      </c>
      <c r="EW133" s="55">
        <f t="shared" si="882"/>
        <v>3824.9110900000001</v>
      </c>
      <c r="EX133" s="59">
        <f t="shared" si="883"/>
        <v>12644.391081322001</v>
      </c>
      <c r="EY133" s="55">
        <f t="shared" si="884"/>
        <v>3744.3866460000004</v>
      </c>
      <c r="EZ133" s="59">
        <f t="shared" si="885"/>
        <v>12378.193374346802</v>
      </c>
      <c r="FA133" s="57">
        <f t="shared" si="886"/>
        <v>3663.8622020000003</v>
      </c>
      <c r="FB133" s="59">
        <f t="shared" si="887"/>
        <v>12111.995667371601</v>
      </c>
      <c r="FC133" s="55">
        <f t="shared" si="888"/>
        <v>3583.3377580000001</v>
      </c>
      <c r="FD133" s="59">
        <f t="shared" si="889"/>
        <v>11845.797960396401</v>
      </c>
      <c r="FE133" s="57">
        <f t="shared" si="890"/>
        <v>3502.813314</v>
      </c>
      <c r="FF133" s="59">
        <f t="shared" si="891"/>
        <v>11579.6002534212</v>
      </c>
      <c r="FG133" s="60">
        <f t="shared" si="892"/>
        <v>3422.2888699999999</v>
      </c>
      <c r="FH133" s="59">
        <f t="shared" si="893"/>
        <v>11313.402546445999</v>
      </c>
      <c r="FI133" s="57">
        <f t="shared" si="894"/>
        <v>3341.7644260000002</v>
      </c>
      <c r="FJ133" s="59">
        <f t="shared" si="895"/>
        <v>11047.204839470802</v>
      </c>
      <c r="FK133" s="55">
        <f t="shared" si="896"/>
        <v>3261.2399820000001</v>
      </c>
      <c r="FL133" s="59">
        <f t="shared" si="897"/>
        <v>10781.007132495601</v>
      </c>
      <c r="FM133" s="60">
        <f t="shared" si="898"/>
        <v>3180.7155379999999</v>
      </c>
      <c r="FN133" s="59">
        <f t="shared" si="899"/>
        <v>10514.8094255204</v>
      </c>
      <c r="FO133" s="60">
        <f t="shared" si="900"/>
        <v>3100.1910939999998</v>
      </c>
      <c r="FP133" s="59">
        <f t="shared" si="901"/>
        <v>10248.6117185452</v>
      </c>
      <c r="FQ133" s="60">
        <f t="shared" si="902"/>
        <v>3019.6666499999997</v>
      </c>
      <c r="FR133" s="59">
        <f t="shared" si="903"/>
        <v>9982.4140115699993</v>
      </c>
      <c r="FS133" s="55">
        <f t="shared" si="904"/>
        <v>2939.1422059999995</v>
      </c>
      <c r="FT133" s="59">
        <f t="shared" si="905"/>
        <v>9716.2163045947982</v>
      </c>
      <c r="FU133" s="60">
        <f t="shared" si="906"/>
        <v>2858.6177619999994</v>
      </c>
      <c r="FV133" s="59">
        <f t="shared" si="907"/>
        <v>9450.0185976195989</v>
      </c>
      <c r="FW133" s="60">
        <f t="shared" si="908"/>
        <v>2778.0933179999993</v>
      </c>
      <c r="FX133" s="59">
        <f t="shared" si="909"/>
        <v>9183.8208906443979</v>
      </c>
      <c r="FY133" s="60">
        <f t="shared" si="910"/>
        <v>2697.5688739999996</v>
      </c>
      <c r="FZ133" s="59">
        <f t="shared" si="911"/>
        <v>8917.6231836691986</v>
      </c>
      <c r="GA133" s="60">
        <f t="shared" si="912"/>
        <v>2617.0444299999995</v>
      </c>
      <c r="GB133" s="59">
        <f t="shared" si="913"/>
        <v>8651.4254766939976</v>
      </c>
      <c r="GC133" s="55">
        <f t="shared" si="914"/>
        <v>2536.5199859999993</v>
      </c>
      <c r="GD133" s="59">
        <f t="shared" si="915"/>
        <v>8385.2277697187983</v>
      </c>
      <c r="GE133" s="60">
        <f t="shared" si="916"/>
        <v>2455.9955419999992</v>
      </c>
      <c r="GF133" s="59">
        <f t="shared" si="917"/>
        <v>8119.0300627435972</v>
      </c>
      <c r="GG133" s="60">
        <f t="shared" si="918"/>
        <v>2375.4710979999991</v>
      </c>
      <c r="GH133" s="59">
        <f t="shared" si="919"/>
        <v>7852.8323557683971</v>
      </c>
      <c r="GI133" s="55">
        <f t="shared" si="920"/>
        <v>2294.9466539999989</v>
      </c>
      <c r="GJ133" s="59">
        <f t="shared" si="921"/>
        <v>7586.6346487931969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788"/>
        <v>0.91</v>
      </c>
      <c r="GR133" s="55">
        <f t="shared" si="788"/>
        <v>0.89</v>
      </c>
      <c r="GS133" s="55">
        <f t="shared" si="788"/>
        <v>0.87</v>
      </c>
      <c r="GT133" s="55">
        <f t="shared" si="788"/>
        <v>0.85</v>
      </c>
      <c r="GU133" s="55">
        <f t="shared" si="788"/>
        <v>0.83</v>
      </c>
      <c r="GV133" s="55">
        <f t="shared" si="788"/>
        <v>0.80999999999999994</v>
      </c>
      <c r="GW133" s="55">
        <f t="shared" si="788"/>
        <v>0.78999999999999992</v>
      </c>
      <c r="GX133" s="55">
        <f t="shared" si="788"/>
        <v>0.76999999999999991</v>
      </c>
      <c r="GY133" s="55">
        <f t="shared" si="788"/>
        <v>0.74999999999999989</v>
      </c>
      <c r="GZ133" s="55">
        <f t="shared" si="788"/>
        <v>0.72999999999999987</v>
      </c>
      <c r="HA133" s="55">
        <f t="shared" si="788"/>
        <v>0.70999999999999985</v>
      </c>
      <c r="HB133" s="55">
        <f t="shared" si="788"/>
        <v>0.68999999999999984</v>
      </c>
      <c r="HC133" s="55">
        <f t="shared" si="788"/>
        <v>0.66999999999999982</v>
      </c>
      <c r="HD133" s="55">
        <f t="shared" si="788"/>
        <v>0.6499999999999998</v>
      </c>
      <c r="HE133" s="55">
        <f t="shared" si="788"/>
        <v>0.62999999999999978</v>
      </c>
      <c r="HF133" s="55">
        <f t="shared" si="788"/>
        <v>0.60999999999999976</v>
      </c>
      <c r="HG133" s="55">
        <f t="shared" si="788"/>
        <v>0.58999999999999975</v>
      </c>
      <c r="HH133" s="55">
        <f t="shared" si="788"/>
        <v>0.56999999999999973</v>
      </c>
    </row>
    <row r="134" spans="1:216" x14ac:dyDescent="0.3">
      <c r="A134" s="2">
        <v>5</v>
      </c>
      <c r="C134" s="38" t="s">
        <v>57</v>
      </c>
      <c r="D134" s="42">
        <f>TRUNC(5362,-1)</f>
        <v>5360</v>
      </c>
      <c r="E134" s="86">
        <f>TRUNC(+D134*3.3058,-1)</f>
        <v>17710</v>
      </c>
      <c r="H134" s="55">
        <f t="shared" si="502"/>
        <v>19481</v>
      </c>
      <c r="I134" s="55">
        <f t="shared" si="503"/>
        <v>19481</v>
      </c>
      <c r="J134" s="59">
        <f t="shared" si="504"/>
        <v>64400.289799999999</v>
      </c>
      <c r="K134" s="55">
        <f t="shared" si="793"/>
        <v>18896.57</v>
      </c>
      <c r="L134" s="59">
        <f t="shared" si="794"/>
        <v>62468.281106000002</v>
      </c>
      <c r="M134" s="55">
        <f t="shared" si="795"/>
        <v>18506.95</v>
      </c>
      <c r="N134" s="59">
        <f t="shared" si="796"/>
        <v>61180.275310000005</v>
      </c>
      <c r="O134" s="55">
        <f t="shared" si="797"/>
        <v>18117.330000000002</v>
      </c>
      <c r="P134" s="59">
        <f t="shared" si="798"/>
        <v>59892.269514000007</v>
      </c>
      <c r="Q134" s="57">
        <f t="shared" si="799"/>
        <v>17727.71</v>
      </c>
      <c r="R134" s="59">
        <f t="shared" si="800"/>
        <v>58604.263718000002</v>
      </c>
      <c r="S134" s="55">
        <f t="shared" si="801"/>
        <v>17338.09</v>
      </c>
      <c r="T134" s="59">
        <f t="shared" si="802"/>
        <v>57316.257922000004</v>
      </c>
      <c r="U134" s="57">
        <f t="shared" si="803"/>
        <v>16948.47</v>
      </c>
      <c r="V134" s="59">
        <f t="shared" si="804"/>
        <v>56028.252126000007</v>
      </c>
      <c r="W134" s="60">
        <f t="shared" si="805"/>
        <v>16558.849999999999</v>
      </c>
      <c r="X134" s="59">
        <f t="shared" si="806"/>
        <v>54740.246329999994</v>
      </c>
      <c r="Y134" s="57">
        <f t="shared" si="807"/>
        <v>16169.23</v>
      </c>
      <c r="Z134" s="59">
        <f t="shared" si="808"/>
        <v>53452.240533999997</v>
      </c>
      <c r="AA134" s="55">
        <f t="shared" si="809"/>
        <v>15779.609999999999</v>
      </c>
      <c r="AB134" s="59">
        <f t="shared" si="810"/>
        <v>52164.234737999999</v>
      </c>
      <c r="AC134" s="60">
        <f t="shared" si="811"/>
        <v>15389.989999999998</v>
      </c>
      <c r="AD134" s="59">
        <f t="shared" si="812"/>
        <v>50876.228941999994</v>
      </c>
      <c r="AE134" s="60">
        <f t="shared" si="813"/>
        <v>15000.369999999999</v>
      </c>
      <c r="AF134" s="59">
        <f t="shared" si="814"/>
        <v>49588.223145999997</v>
      </c>
      <c r="AG134" s="60">
        <f t="shared" si="815"/>
        <v>14610.749999999998</v>
      </c>
      <c r="AH134" s="59">
        <f t="shared" si="816"/>
        <v>48300.217349999992</v>
      </c>
      <c r="AI134" s="55">
        <f t="shared" si="817"/>
        <v>14221.129999999997</v>
      </c>
      <c r="AJ134" s="59">
        <f t="shared" si="818"/>
        <v>47012.211553999994</v>
      </c>
      <c r="AK134" s="60">
        <f t="shared" si="819"/>
        <v>13831.509999999997</v>
      </c>
      <c r="AL134" s="59">
        <f t="shared" si="820"/>
        <v>45724.205757999989</v>
      </c>
      <c r="AM134" s="60">
        <f t="shared" si="821"/>
        <v>13441.889999999998</v>
      </c>
      <c r="AN134" s="59">
        <f t="shared" si="822"/>
        <v>44436.199961999992</v>
      </c>
      <c r="AO134" s="60">
        <f t="shared" si="823"/>
        <v>13052.269999999997</v>
      </c>
      <c r="AP134" s="59">
        <f t="shared" si="824"/>
        <v>43148.194165999994</v>
      </c>
      <c r="AQ134" s="60">
        <f t="shared" si="825"/>
        <v>12662.649999999996</v>
      </c>
      <c r="AR134" s="59">
        <f t="shared" si="826"/>
        <v>41860.188369999989</v>
      </c>
      <c r="AS134" s="55">
        <f t="shared" si="827"/>
        <v>12273.029999999995</v>
      </c>
      <c r="AT134" s="59">
        <f t="shared" si="828"/>
        <v>40572.182573999984</v>
      </c>
      <c r="AU134" s="60">
        <f t="shared" si="829"/>
        <v>11883.409999999996</v>
      </c>
      <c r="AV134" s="59">
        <f t="shared" si="830"/>
        <v>39284.176777999986</v>
      </c>
      <c r="AW134" s="60">
        <f t="shared" si="831"/>
        <v>11493.789999999995</v>
      </c>
      <c r="AX134" s="59">
        <f t="shared" si="832"/>
        <v>37996.170981999989</v>
      </c>
      <c r="AY134" s="55">
        <f t="shared" si="833"/>
        <v>11104.169999999995</v>
      </c>
      <c r="AZ134" s="59">
        <f t="shared" si="834"/>
        <v>36708.165185999984</v>
      </c>
      <c r="BC134" s="55">
        <v>1</v>
      </c>
      <c r="BD134" s="55">
        <v>0.97</v>
      </c>
      <c r="BE134" s="55">
        <v>0.95</v>
      </c>
      <c r="BF134" s="55">
        <v>0.93</v>
      </c>
      <c r="BG134" s="55">
        <f t="shared" si="835"/>
        <v>0.91</v>
      </c>
      <c r="BH134" s="55">
        <f t="shared" si="835"/>
        <v>0.89</v>
      </c>
      <c r="BI134" s="55">
        <f t="shared" si="835"/>
        <v>0.87</v>
      </c>
      <c r="BJ134" s="55">
        <f t="shared" si="835"/>
        <v>0.85</v>
      </c>
      <c r="BK134" s="55">
        <f t="shared" si="835"/>
        <v>0.83</v>
      </c>
      <c r="BL134" s="55">
        <f t="shared" si="835"/>
        <v>0.80999999999999994</v>
      </c>
      <c r="BM134" s="55">
        <f t="shared" si="835"/>
        <v>0.78999999999999992</v>
      </c>
      <c r="BN134" s="55">
        <f t="shared" si="835"/>
        <v>0.76999999999999991</v>
      </c>
      <c r="BO134" s="55">
        <f t="shared" si="835"/>
        <v>0.74999999999999989</v>
      </c>
      <c r="BP134" s="55">
        <f t="shared" si="835"/>
        <v>0.72999999999999987</v>
      </c>
      <c r="BQ134" s="55">
        <f t="shared" si="835"/>
        <v>0.70999999999999985</v>
      </c>
      <c r="BR134" s="55">
        <f t="shared" si="835"/>
        <v>0.68999999999999984</v>
      </c>
      <c r="BS134" s="55">
        <f t="shared" si="835"/>
        <v>0.66999999999999982</v>
      </c>
      <c r="BT134" s="55">
        <f t="shared" si="835"/>
        <v>0.6499999999999998</v>
      </c>
      <c r="BU134" s="55">
        <f t="shared" si="835"/>
        <v>0.62999999999999978</v>
      </c>
      <c r="BV134" s="55">
        <f t="shared" si="835"/>
        <v>0.60999999999999976</v>
      </c>
      <c r="BW134" s="55">
        <f t="shared" si="835"/>
        <v>0.58999999999999975</v>
      </c>
      <c r="BX134" s="55">
        <f t="shared" si="835"/>
        <v>0.56999999999999973</v>
      </c>
      <c r="BZ134" s="55">
        <f t="shared" si="505"/>
        <v>17727.71</v>
      </c>
      <c r="CA134" s="55">
        <f t="shared" si="506"/>
        <v>17727.71</v>
      </c>
      <c r="CB134" s="59">
        <f t="shared" si="836"/>
        <v>58604.263718000002</v>
      </c>
      <c r="CC134" s="55">
        <f t="shared" si="837"/>
        <v>17195.878699999997</v>
      </c>
      <c r="CD134" s="59">
        <f t="shared" si="838"/>
        <v>56846.135806459992</v>
      </c>
      <c r="CE134" s="55">
        <f t="shared" si="839"/>
        <v>16841.324499999999</v>
      </c>
      <c r="CF134" s="59">
        <f t="shared" si="840"/>
        <v>55674.050532099995</v>
      </c>
      <c r="CG134" s="55">
        <f t="shared" si="841"/>
        <v>16486.7703</v>
      </c>
      <c r="CH134" s="59">
        <f t="shared" si="842"/>
        <v>54501.965257740005</v>
      </c>
      <c r="CI134" s="57">
        <f t="shared" si="843"/>
        <v>16132.2161</v>
      </c>
      <c r="CJ134" s="59">
        <f t="shared" si="844"/>
        <v>53329.87998338</v>
      </c>
      <c r="CK134" s="55">
        <f t="shared" si="845"/>
        <v>15777.661899999999</v>
      </c>
      <c r="CL134" s="59">
        <f t="shared" si="846"/>
        <v>52157.794709019996</v>
      </c>
      <c r="CM134" s="57">
        <f t="shared" si="847"/>
        <v>15423.107699999999</v>
      </c>
      <c r="CN134" s="59">
        <f t="shared" si="848"/>
        <v>50985.709434659999</v>
      </c>
      <c r="CO134" s="60">
        <f t="shared" si="849"/>
        <v>15068.553499999998</v>
      </c>
      <c r="CP134" s="59">
        <f t="shared" si="850"/>
        <v>49813.624160299994</v>
      </c>
      <c r="CQ134" s="57">
        <f t="shared" si="851"/>
        <v>14713.999299999998</v>
      </c>
      <c r="CR134" s="59">
        <f t="shared" si="852"/>
        <v>48641.53888593999</v>
      </c>
      <c r="CS134" s="55">
        <f t="shared" si="853"/>
        <v>14359.445099999999</v>
      </c>
      <c r="CT134" s="59">
        <f t="shared" si="854"/>
        <v>47469.45361158</v>
      </c>
      <c r="CU134" s="60">
        <f t="shared" si="855"/>
        <v>14004.890899999999</v>
      </c>
      <c r="CV134" s="59">
        <f t="shared" si="856"/>
        <v>46297.368337219996</v>
      </c>
      <c r="CW134" s="60">
        <f t="shared" si="857"/>
        <v>13650.336699999998</v>
      </c>
      <c r="CX134" s="59">
        <f t="shared" si="858"/>
        <v>45125.283062859991</v>
      </c>
      <c r="CY134" s="60">
        <f t="shared" si="859"/>
        <v>13295.782499999998</v>
      </c>
      <c r="CZ134" s="59">
        <f t="shared" si="860"/>
        <v>43953.197788499994</v>
      </c>
      <c r="DA134" s="55">
        <f t="shared" si="861"/>
        <v>12941.228299999997</v>
      </c>
      <c r="DB134" s="59">
        <f t="shared" si="862"/>
        <v>42781.11251413999</v>
      </c>
      <c r="DC134" s="60">
        <f t="shared" si="863"/>
        <v>12586.674099999997</v>
      </c>
      <c r="DD134" s="59">
        <f t="shared" si="864"/>
        <v>41609.027239779993</v>
      </c>
      <c r="DE134" s="60">
        <f t="shared" si="865"/>
        <v>12232.119899999996</v>
      </c>
      <c r="DF134" s="59">
        <f t="shared" si="866"/>
        <v>40436.941965419988</v>
      </c>
      <c r="DG134" s="60">
        <f t="shared" si="867"/>
        <v>11877.565699999996</v>
      </c>
      <c r="DH134" s="59">
        <f t="shared" si="868"/>
        <v>39264.856691059984</v>
      </c>
      <c r="DI134" s="60">
        <f t="shared" si="869"/>
        <v>11523.011499999995</v>
      </c>
      <c r="DJ134" s="59">
        <f t="shared" si="870"/>
        <v>38092.771416699987</v>
      </c>
      <c r="DK134" s="55">
        <f t="shared" si="871"/>
        <v>11168.457299999996</v>
      </c>
      <c r="DL134" s="59">
        <f t="shared" si="872"/>
        <v>36920.68614233999</v>
      </c>
      <c r="DM134" s="60">
        <f t="shared" si="873"/>
        <v>10813.903099999996</v>
      </c>
      <c r="DN134" s="59">
        <f t="shared" si="874"/>
        <v>35748.600867979985</v>
      </c>
      <c r="DO134" s="60">
        <f t="shared" si="875"/>
        <v>10459.348899999995</v>
      </c>
      <c r="DP134" s="59">
        <f t="shared" si="876"/>
        <v>34576.515593619988</v>
      </c>
      <c r="DQ134" s="55">
        <f t="shared" si="877"/>
        <v>10104.794699999995</v>
      </c>
      <c r="DR134" s="59">
        <f t="shared" si="878"/>
        <v>33404.430319259984</v>
      </c>
      <c r="DU134" s="55">
        <v>1</v>
      </c>
      <c r="DV134" s="55">
        <v>0.97</v>
      </c>
      <c r="DW134" s="55">
        <v>0.95</v>
      </c>
      <c r="DX134" s="55">
        <v>0.93</v>
      </c>
      <c r="DY134" s="55">
        <f t="shared" si="787"/>
        <v>0.91</v>
      </c>
      <c r="DZ134" s="55">
        <f t="shared" si="787"/>
        <v>0.89</v>
      </c>
      <c r="EA134" s="55">
        <f t="shared" si="787"/>
        <v>0.87</v>
      </c>
      <c r="EB134" s="55">
        <f t="shared" si="787"/>
        <v>0.85</v>
      </c>
      <c r="EC134" s="55">
        <f t="shared" si="787"/>
        <v>0.83</v>
      </c>
      <c r="ED134" s="55">
        <f t="shared" si="787"/>
        <v>0.80999999999999994</v>
      </c>
      <c r="EE134" s="55">
        <f t="shared" si="787"/>
        <v>0.78999999999999992</v>
      </c>
      <c r="EF134" s="55">
        <f t="shared" si="787"/>
        <v>0.76999999999999991</v>
      </c>
      <c r="EG134" s="55">
        <f t="shared" si="787"/>
        <v>0.74999999999999989</v>
      </c>
      <c r="EH134" s="55">
        <f t="shared" si="787"/>
        <v>0.72999999999999987</v>
      </c>
      <c r="EI134" s="55">
        <f t="shared" si="787"/>
        <v>0.70999999999999985</v>
      </c>
      <c r="EJ134" s="55">
        <f t="shared" si="787"/>
        <v>0.68999999999999984</v>
      </c>
      <c r="EK134" s="55">
        <f t="shared" si="787"/>
        <v>0.66999999999999982</v>
      </c>
      <c r="EL134" s="55">
        <f t="shared" si="787"/>
        <v>0.6499999999999998</v>
      </c>
      <c r="EM134" s="55">
        <f t="shared" si="787"/>
        <v>0.62999999999999978</v>
      </c>
      <c r="EN134" s="55">
        <f t="shared" si="787"/>
        <v>0.60999999999999976</v>
      </c>
      <c r="EO134" s="55">
        <f t="shared" si="787"/>
        <v>0.58999999999999975</v>
      </c>
      <c r="EP134" s="55">
        <f t="shared" si="787"/>
        <v>0.56999999999999973</v>
      </c>
      <c r="ER134" s="55">
        <f t="shared" si="644"/>
        <v>16132.2161</v>
      </c>
      <c r="ES134" s="55">
        <f t="shared" si="507"/>
        <v>16132.2161</v>
      </c>
      <c r="ET134" s="59">
        <f t="shared" si="879"/>
        <v>53329.87998338</v>
      </c>
      <c r="EU134" s="55">
        <f t="shared" si="880"/>
        <v>15648.249616999999</v>
      </c>
      <c r="EV134" s="59">
        <f t="shared" si="881"/>
        <v>51729.983583878602</v>
      </c>
      <c r="EW134" s="55">
        <f t="shared" si="882"/>
        <v>15325.605294999999</v>
      </c>
      <c r="EX134" s="59">
        <f t="shared" si="883"/>
        <v>50663.385984210996</v>
      </c>
      <c r="EY134" s="55">
        <f t="shared" si="884"/>
        <v>15002.960973000001</v>
      </c>
      <c r="EZ134" s="59">
        <f t="shared" si="885"/>
        <v>49596.788384543404</v>
      </c>
      <c r="FA134" s="57">
        <f t="shared" si="886"/>
        <v>14680.316651000001</v>
      </c>
      <c r="FB134" s="59">
        <f t="shared" si="887"/>
        <v>48530.190784875806</v>
      </c>
      <c r="FC134" s="55">
        <f t="shared" si="888"/>
        <v>14357.672328999999</v>
      </c>
      <c r="FD134" s="59">
        <f t="shared" si="889"/>
        <v>47463.593185208199</v>
      </c>
      <c r="FE134" s="57">
        <f t="shared" si="890"/>
        <v>14035.028006999999</v>
      </c>
      <c r="FF134" s="59">
        <f t="shared" si="891"/>
        <v>46396.995585540601</v>
      </c>
      <c r="FG134" s="60">
        <f t="shared" si="892"/>
        <v>13712.383684999999</v>
      </c>
      <c r="FH134" s="59">
        <f t="shared" si="893"/>
        <v>45330.397985872994</v>
      </c>
      <c r="FI134" s="57">
        <f t="shared" si="894"/>
        <v>13389.739362999999</v>
      </c>
      <c r="FJ134" s="59">
        <f t="shared" si="895"/>
        <v>44263.800386205396</v>
      </c>
      <c r="FK134" s="55">
        <f t="shared" si="896"/>
        <v>13067.095040999999</v>
      </c>
      <c r="FL134" s="59">
        <f t="shared" si="897"/>
        <v>43197.202786537797</v>
      </c>
      <c r="FM134" s="60">
        <f t="shared" si="898"/>
        <v>12744.450718999999</v>
      </c>
      <c r="FN134" s="59">
        <f t="shared" si="899"/>
        <v>42130.605186870198</v>
      </c>
      <c r="FO134" s="60">
        <f t="shared" si="900"/>
        <v>12421.806396999998</v>
      </c>
      <c r="FP134" s="59">
        <f t="shared" si="901"/>
        <v>41064.007587202599</v>
      </c>
      <c r="FQ134" s="60">
        <f t="shared" si="902"/>
        <v>12099.162074999998</v>
      </c>
      <c r="FR134" s="59">
        <f t="shared" si="903"/>
        <v>39997.409987534993</v>
      </c>
      <c r="FS134" s="55">
        <f t="shared" si="904"/>
        <v>11776.517752999998</v>
      </c>
      <c r="FT134" s="59">
        <f t="shared" si="905"/>
        <v>38930.812387867394</v>
      </c>
      <c r="FU134" s="60">
        <f t="shared" si="906"/>
        <v>11453.873430999998</v>
      </c>
      <c r="FV134" s="59">
        <f t="shared" si="907"/>
        <v>37864.214788199795</v>
      </c>
      <c r="FW134" s="60">
        <f t="shared" si="908"/>
        <v>11131.229108999996</v>
      </c>
      <c r="FX134" s="59">
        <f t="shared" si="909"/>
        <v>36797.617188532189</v>
      </c>
      <c r="FY134" s="60">
        <f t="shared" si="910"/>
        <v>10808.584786999996</v>
      </c>
      <c r="FZ134" s="59">
        <f t="shared" si="911"/>
        <v>35731.01958886459</v>
      </c>
      <c r="GA134" s="60">
        <f t="shared" si="912"/>
        <v>10485.940464999996</v>
      </c>
      <c r="GB134" s="59">
        <f t="shared" si="913"/>
        <v>34664.421989196984</v>
      </c>
      <c r="GC134" s="55">
        <f t="shared" si="914"/>
        <v>10163.296142999996</v>
      </c>
      <c r="GD134" s="59">
        <f t="shared" si="915"/>
        <v>33597.824389529385</v>
      </c>
      <c r="GE134" s="60">
        <f t="shared" si="916"/>
        <v>9840.6518209999958</v>
      </c>
      <c r="GF134" s="59">
        <f t="shared" si="917"/>
        <v>32531.226789861787</v>
      </c>
      <c r="GG134" s="60">
        <f t="shared" si="918"/>
        <v>9518.0074989999957</v>
      </c>
      <c r="GH134" s="59">
        <f t="shared" si="919"/>
        <v>31464.629190194188</v>
      </c>
      <c r="GI134" s="55">
        <f t="shared" si="920"/>
        <v>9195.3631769999956</v>
      </c>
      <c r="GJ134" s="59">
        <f t="shared" si="921"/>
        <v>30398.031590526585</v>
      </c>
      <c r="GK134" s="55"/>
      <c r="GL134" s="55"/>
      <c r="GM134" s="55">
        <v>1</v>
      </c>
      <c r="GN134" s="55">
        <v>0.97</v>
      </c>
      <c r="GO134" s="55">
        <v>0.95</v>
      </c>
      <c r="GP134" s="55">
        <v>0.93</v>
      </c>
      <c r="GQ134" s="55">
        <f t="shared" si="788"/>
        <v>0.91</v>
      </c>
      <c r="GR134" s="55">
        <f t="shared" si="788"/>
        <v>0.89</v>
      </c>
      <c r="GS134" s="55">
        <f t="shared" si="788"/>
        <v>0.87</v>
      </c>
      <c r="GT134" s="55">
        <f t="shared" si="788"/>
        <v>0.85</v>
      </c>
      <c r="GU134" s="55">
        <f t="shared" si="788"/>
        <v>0.83</v>
      </c>
      <c r="GV134" s="55">
        <f t="shared" si="788"/>
        <v>0.80999999999999994</v>
      </c>
      <c r="GW134" s="55">
        <f t="shared" si="788"/>
        <v>0.78999999999999992</v>
      </c>
      <c r="GX134" s="55">
        <f t="shared" si="788"/>
        <v>0.76999999999999991</v>
      </c>
      <c r="GY134" s="55">
        <f t="shared" si="788"/>
        <v>0.74999999999999989</v>
      </c>
      <c r="GZ134" s="55">
        <f t="shared" si="788"/>
        <v>0.72999999999999987</v>
      </c>
      <c r="HA134" s="55">
        <f t="shared" si="788"/>
        <v>0.70999999999999985</v>
      </c>
      <c r="HB134" s="55">
        <f t="shared" si="788"/>
        <v>0.68999999999999984</v>
      </c>
      <c r="HC134" s="55">
        <f t="shared" si="788"/>
        <v>0.66999999999999982</v>
      </c>
      <c r="HD134" s="55">
        <f t="shared" si="788"/>
        <v>0.6499999999999998</v>
      </c>
      <c r="HE134" s="55">
        <f t="shared" si="788"/>
        <v>0.62999999999999978</v>
      </c>
      <c r="HF134" s="55">
        <f t="shared" si="788"/>
        <v>0.60999999999999976</v>
      </c>
      <c r="HG134" s="55">
        <f t="shared" si="788"/>
        <v>0.58999999999999975</v>
      </c>
      <c r="HH134" s="55">
        <f t="shared" si="788"/>
        <v>0.56999999999999973</v>
      </c>
    </row>
    <row r="135" spans="1:216" x14ac:dyDescent="0.3">
      <c r="A135" s="2">
        <v>6</v>
      </c>
      <c r="C135" s="38" t="s">
        <v>59</v>
      </c>
      <c r="D135" s="42">
        <f>TRUNC(6988,-1)</f>
        <v>6980</v>
      </c>
      <c r="E135" s="86">
        <f>TRUNC(+D135*3.3058,-1)</f>
        <v>23070</v>
      </c>
      <c r="H135" s="55">
        <f t="shared" si="502"/>
        <v>25377.000000000004</v>
      </c>
      <c r="I135" s="55">
        <f t="shared" si="503"/>
        <v>25377.000000000004</v>
      </c>
      <c r="J135" s="59">
        <f t="shared" si="504"/>
        <v>83891.286600000007</v>
      </c>
      <c r="K135" s="55">
        <f t="shared" si="793"/>
        <v>24615.690000000002</v>
      </c>
      <c r="L135" s="59">
        <f t="shared" si="794"/>
        <v>81374.54800200001</v>
      </c>
      <c r="M135" s="55">
        <f t="shared" si="795"/>
        <v>24108.15</v>
      </c>
      <c r="N135" s="59">
        <f t="shared" si="796"/>
        <v>79696.722270000013</v>
      </c>
      <c r="O135" s="55">
        <f t="shared" si="797"/>
        <v>23600.610000000004</v>
      </c>
      <c r="P135" s="59">
        <f t="shared" si="798"/>
        <v>78018.896538000015</v>
      </c>
      <c r="Q135" s="57">
        <f t="shared" si="799"/>
        <v>23093.070000000003</v>
      </c>
      <c r="R135" s="59">
        <f t="shared" si="800"/>
        <v>76341.070806000018</v>
      </c>
      <c r="S135" s="55">
        <f t="shared" si="801"/>
        <v>22585.530000000002</v>
      </c>
      <c r="T135" s="59">
        <f t="shared" si="802"/>
        <v>74663.245074000006</v>
      </c>
      <c r="U135" s="57">
        <f t="shared" si="803"/>
        <v>22077.99</v>
      </c>
      <c r="V135" s="59">
        <f t="shared" si="804"/>
        <v>72985.419342000008</v>
      </c>
      <c r="W135" s="60">
        <f t="shared" si="805"/>
        <v>21570.45</v>
      </c>
      <c r="X135" s="59">
        <f t="shared" si="806"/>
        <v>71307.593610000011</v>
      </c>
      <c r="Y135" s="57">
        <f t="shared" si="807"/>
        <v>21062.910000000003</v>
      </c>
      <c r="Z135" s="59">
        <f t="shared" si="808"/>
        <v>69629.767878000013</v>
      </c>
      <c r="AA135" s="55">
        <f t="shared" si="809"/>
        <v>20555.370000000003</v>
      </c>
      <c r="AB135" s="59">
        <f t="shared" si="810"/>
        <v>67951.942146000016</v>
      </c>
      <c r="AC135" s="60">
        <f t="shared" si="811"/>
        <v>20047.830000000002</v>
      </c>
      <c r="AD135" s="59">
        <f t="shared" si="812"/>
        <v>66274.116414000004</v>
      </c>
      <c r="AE135" s="60">
        <f t="shared" si="813"/>
        <v>19540.29</v>
      </c>
      <c r="AF135" s="59">
        <f t="shared" si="814"/>
        <v>64596.290682000006</v>
      </c>
      <c r="AG135" s="60">
        <f t="shared" si="815"/>
        <v>19032.75</v>
      </c>
      <c r="AH135" s="59">
        <f t="shared" si="816"/>
        <v>62918.464950000001</v>
      </c>
      <c r="AI135" s="55">
        <f t="shared" si="817"/>
        <v>18525.21</v>
      </c>
      <c r="AJ135" s="59">
        <f t="shared" si="818"/>
        <v>61240.639217999997</v>
      </c>
      <c r="AK135" s="60">
        <f t="shared" si="819"/>
        <v>18017.669999999998</v>
      </c>
      <c r="AL135" s="59">
        <f t="shared" si="820"/>
        <v>59562.813485999999</v>
      </c>
      <c r="AM135" s="60">
        <f t="shared" si="821"/>
        <v>17510.129999999997</v>
      </c>
      <c r="AN135" s="59">
        <f t="shared" si="822"/>
        <v>57884.987753999994</v>
      </c>
      <c r="AO135" s="60">
        <f t="shared" si="823"/>
        <v>17002.589999999997</v>
      </c>
      <c r="AP135" s="59">
        <f t="shared" si="824"/>
        <v>56207.16202199999</v>
      </c>
      <c r="AQ135" s="60">
        <f t="shared" si="825"/>
        <v>16495.049999999996</v>
      </c>
      <c r="AR135" s="59">
        <f t="shared" si="826"/>
        <v>54529.336289999985</v>
      </c>
      <c r="AS135" s="55">
        <f t="shared" si="827"/>
        <v>15987.509999999997</v>
      </c>
      <c r="AT135" s="59">
        <f t="shared" si="828"/>
        <v>52851.510557999987</v>
      </c>
      <c r="AU135" s="60">
        <f t="shared" si="829"/>
        <v>15479.969999999996</v>
      </c>
      <c r="AV135" s="59">
        <f t="shared" si="830"/>
        <v>51173.68482599999</v>
      </c>
      <c r="AW135" s="60">
        <f t="shared" si="831"/>
        <v>14972.429999999995</v>
      </c>
      <c r="AX135" s="59">
        <f t="shared" si="832"/>
        <v>49495.859093999985</v>
      </c>
      <c r="AY135" s="55">
        <f t="shared" si="833"/>
        <v>14464.889999999996</v>
      </c>
      <c r="AZ135" s="59">
        <f t="shared" si="834"/>
        <v>47818.033361999987</v>
      </c>
      <c r="BC135" s="55">
        <v>1</v>
      </c>
      <c r="BD135" s="55">
        <v>0.97</v>
      </c>
      <c r="BE135" s="55">
        <v>0.95</v>
      </c>
      <c r="BF135" s="55">
        <v>0.93</v>
      </c>
      <c r="BG135" s="55">
        <f t="shared" si="835"/>
        <v>0.91</v>
      </c>
      <c r="BH135" s="55">
        <f t="shared" si="835"/>
        <v>0.89</v>
      </c>
      <c r="BI135" s="55">
        <f t="shared" si="835"/>
        <v>0.87</v>
      </c>
      <c r="BJ135" s="55">
        <f t="shared" si="835"/>
        <v>0.85</v>
      </c>
      <c r="BK135" s="55">
        <f t="shared" si="835"/>
        <v>0.83</v>
      </c>
      <c r="BL135" s="55">
        <f t="shared" si="835"/>
        <v>0.80999999999999994</v>
      </c>
      <c r="BM135" s="55">
        <f t="shared" si="835"/>
        <v>0.78999999999999992</v>
      </c>
      <c r="BN135" s="55">
        <f t="shared" si="835"/>
        <v>0.76999999999999991</v>
      </c>
      <c r="BO135" s="55">
        <f t="shared" si="835"/>
        <v>0.74999999999999989</v>
      </c>
      <c r="BP135" s="55">
        <f t="shared" si="835"/>
        <v>0.72999999999999987</v>
      </c>
      <c r="BQ135" s="55">
        <f t="shared" si="835"/>
        <v>0.70999999999999985</v>
      </c>
      <c r="BR135" s="55">
        <f t="shared" si="835"/>
        <v>0.68999999999999984</v>
      </c>
      <c r="BS135" s="55">
        <f t="shared" si="835"/>
        <v>0.66999999999999982</v>
      </c>
      <c r="BT135" s="55">
        <f t="shared" si="835"/>
        <v>0.6499999999999998</v>
      </c>
      <c r="BU135" s="55">
        <f t="shared" si="835"/>
        <v>0.62999999999999978</v>
      </c>
      <c r="BV135" s="55">
        <f t="shared" si="835"/>
        <v>0.60999999999999976</v>
      </c>
      <c r="BW135" s="55">
        <f t="shared" si="835"/>
        <v>0.58999999999999975</v>
      </c>
      <c r="BX135" s="55">
        <f t="shared" si="835"/>
        <v>0.56999999999999973</v>
      </c>
      <c r="BZ135" s="55">
        <f t="shared" si="505"/>
        <v>23093.070000000003</v>
      </c>
      <c r="CA135" s="55">
        <f t="shared" si="506"/>
        <v>23093.070000000003</v>
      </c>
      <c r="CB135" s="59">
        <f t="shared" si="836"/>
        <v>76341.070806000018</v>
      </c>
      <c r="CC135" s="55">
        <f t="shared" si="837"/>
        <v>22400.277900000001</v>
      </c>
      <c r="CD135" s="59">
        <f t="shared" si="838"/>
        <v>74050.838681820009</v>
      </c>
      <c r="CE135" s="55">
        <f t="shared" si="839"/>
        <v>21938.416500000003</v>
      </c>
      <c r="CF135" s="59">
        <f t="shared" si="840"/>
        <v>72524.017265700008</v>
      </c>
      <c r="CG135" s="55">
        <f t="shared" si="841"/>
        <v>21476.555100000005</v>
      </c>
      <c r="CH135" s="59">
        <f t="shared" si="842"/>
        <v>70997.195849580021</v>
      </c>
      <c r="CI135" s="57">
        <f t="shared" si="843"/>
        <v>21014.693700000003</v>
      </c>
      <c r="CJ135" s="59">
        <f t="shared" si="844"/>
        <v>69470.37443346002</v>
      </c>
      <c r="CK135" s="55">
        <f t="shared" si="845"/>
        <v>20552.832300000002</v>
      </c>
      <c r="CL135" s="59">
        <f t="shared" si="846"/>
        <v>67943.553017340004</v>
      </c>
      <c r="CM135" s="57">
        <f t="shared" si="847"/>
        <v>20090.970900000004</v>
      </c>
      <c r="CN135" s="59">
        <f t="shared" si="848"/>
        <v>66416.731601220017</v>
      </c>
      <c r="CO135" s="60">
        <f t="shared" si="849"/>
        <v>19629.109500000002</v>
      </c>
      <c r="CP135" s="59">
        <f t="shared" si="850"/>
        <v>64889.910185100009</v>
      </c>
      <c r="CQ135" s="57">
        <f t="shared" si="851"/>
        <v>19167.248100000001</v>
      </c>
      <c r="CR135" s="59">
        <f t="shared" si="852"/>
        <v>63363.08876898</v>
      </c>
      <c r="CS135" s="55">
        <f t="shared" si="853"/>
        <v>18705.386700000003</v>
      </c>
      <c r="CT135" s="59">
        <f t="shared" si="854"/>
        <v>61836.267352860013</v>
      </c>
      <c r="CU135" s="60">
        <f t="shared" si="855"/>
        <v>18243.525300000001</v>
      </c>
      <c r="CV135" s="59">
        <f t="shared" si="856"/>
        <v>60309.445936740005</v>
      </c>
      <c r="CW135" s="60">
        <f t="shared" si="857"/>
        <v>17781.6639</v>
      </c>
      <c r="CX135" s="59">
        <f t="shared" si="858"/>
        <v>58782.624520619996</v>
      </c>
      <c r="CY135" s="60">
        <f t="shared" si="859"/>
        <v>17319.802500000002</v>
      </c>
      <c r="CZ135" s="59">
        <f t="shared" si="860"/>
        <v>57255.80310450001</v>
      </c>
      <c r="DA135" s="55">
        <f t="shared" si="861"/>
        <v>16857.9411</v>
      </c>
      <c r="DB135" s="59">
        <f t="shared" si="862"/>
        <v>55728.981688380001</v>
      </c>
      <c r="DC135" s="60">
        <f t="shared" si="863"/>
        <v>16396.079699999998</v>
      </c>
      <c r="DD135" s="59">
        <f t="shared" si="864"/>
        <v>54202.160272259993</v>
      </c>
      <c r="DE135" s="60">
        <f t="shared" si="865"/>
        <v>15934.218299999999</v>
      </c>
      <c r="DF135" s="59">
        <f t="shared" si="866"/>
        <v>52675.338856139999</v>
      </c>
      <c r="DG135" s="60">
        <f t="shared" si="867"/>
        <v>15472.356899999999</v>
      </c>
      <c r="DH135" s="59">
        <f t="shared" si="868"/>
        <v>51148.517440019998</v>
      </c>
      <c r="DI135" s="60">
        <f t="shared" si="869"/>
        <v>15010.495499999997</v>
      </c>
      <c r="DJ135" s="59">
        <f t="shared" si="870"/>
        <v>49621.696023899989</v>
      </c>
      <c r="DK135" s="55">
        <f t="shared" si="871"/>
        <v>14548.634099999997</v>
      </c>
      <c r="DL135" s="59">
        <f t="shared" si="872"/>
        <v>48094.874607779995</v>
      </c>
      <c r="DM135" s="60">
        <f t="shared" si="873"/>
        <v>14086.772699999996</v>
      </c>
      <c r="DN135" s="59">
        <f t="shared" si="874"/>
        <v>46568.053191659987</v>
      </c>
      <c r="DO135" s="60">
        <f t="shared" si="875"/>
        <v>13624.911299999996</v>
      </c>
      <c r="DP135" s="59">
        <f t="shared" si="876"/>
        <v>45041.231775539985</v>
      </c>
      <c r="DQ135" s="55">
        <f t="shared" si="877"/>
        <v>13163.049899999996</v>
      </c>
      <c r="DR135" s="59">
        <f t="shared" si="878"/>
        <v>43514.410359419991</v>
      </c>
      <c r="DU135" s="55">
        <v>1</v>
      </c>
      <c r="DV135" s="55">
        <v>0.97</v>
      </c>
      <c r="DW135" s="55">
        <v>0.95</v>
      </c>
      <c r="DX135" s="55">
        <v>0.93</v>
      </c>
      <c r="DY135" s="55">
        <f t="shared" si="787"/>
        <v>0.91</v>
      </c>
      <c r="DZ135" s="55">
        <f t="shared" si="787"/>
        <v>0.89</v>
      </c>
      <c r="EA135" s="55">
        <f t="shared" si="787"/>
        <v>0.87</v>
      </c>
      <c r="EB135" s="55">
        <f t="shared" si="787"/>
        <v>0.85</v>
      </c>
      <c r="EC135" s="55">
        <f t="shared" si="787"/>
        <v>0.83</v>
      </c>
      <c r="ED135" s="55">
        <f t="shared" si="787"/>
        <v>0.80999999999999994</v>
      </c>
      <c r="EE135" s="55">
        <f t="shared" si="787"/>
        <v>0.78999999999999992</v>
      </c>
      <c r="EF135" s="55">
        <f t="shared" si="787"/>
        <v>0.76999999999999991</v>
      </c>
      <c r="EG135" s="55">
        <f t="shared" si="787"/>
        <v>0.74999999999999989</v>
      </c>
      <c r="EH135" s="55">
        <f t="shared" si="787"/>
        <v>0.72999999999999987</v>
      </c>
      <c r="EI135" s="55">
        <f t="shared" si="787"/>
        <v>0.70999999999999985</v>
      </c>
      <c r="EJ135" s="55">
        <f t="shared" si="787"/>
        <v>0.68999999999999984</v>
      </c>
      <c r="EK135" s="55">
        <f t="shared" si="787"/>
        <v>0.66999999999999982</v>
      </c>
      <c r="EL135" s="55">
        <f t="shared" si="787"/>
        <v>0.6499999999999998</v>
      </c>
      <c r="EM135" s="55">
        <f t="shared" si="787"/>
        <v>0.62999999999999978</v>
      </c>
      <c r="EN135" s="55">
        <f t="shared" si="787"/>
        <v>0.60999999999999976</v>
      </c>
      <c r="EO135" s="55">
        <f t="shared" si="787"/>
        <v>0.58999999999999975</v>
      </c>
      <c r="EP135" s="55">
        <f t="shared" si="787"/>
        <v>0.56999999999999973</v>
      </c>
      <c r="ER135" s="55">
        <f t="shared" si="644"/>
        <v>21014.693700000003</v>
      </c>
      <c r="ES135" s="55">
        <f t="shared" si="507"/>
        <v>21014.693700000003</v>
      </c>
      <c r="ET135" s="59">
        <f t="shared" si="879"/>
        <v>69470.37443346002</v>
      </c>
      <c r="EU135" s="55">
        <f t="shared" si="880"/>
        <v>20384.252889000003</v>
      </c>
      <c r="EV135" s="59">
        <f t="shared" si="881"/>
        <v>67386.263200456218</v>
      </c>
      <c r="EW135" s="55">
        <f t="shared" si="882"/>
        <v>19963.959015000004</v>
      </c>
      <c r="EX135" s="59">
        <f t="shared" si="883"/>
        <v>65996.855711787008</v>
      </c>
      <c r="EY135" s="55">
        <f t="shared" si="884"/>
        <v>19543.665141000005</v>
      </c>
      <c r="EZ135" s="59">
        <f t="shared" si="885"/>
        <v>64607.448223117819</v>
      </c>
      <c r="FA135" s="57">
        <f t="shared" si="886"/>
        <v>19123.371267000002</v>
      </c>
      <c r="FB135" s="59">
        <f t="shared" si="887"/>
        <v>63218.040734448608</v>
      </c>
      <c r="FC135" s="55">
        <f t="shared" si="888"/>
        <v>18703.077393000003</v>
      </c>
      <c r="FD135" s="59">
        <f t="shared" si="889"/>
        <v>61828.633245779412</v>
      </c>
      <c r="FE135" s="57">
        <f t="shared" si="890"/>
        <v>18282.783519000004</v>
      </c>
      <c r="FF135" s="59">
        <f t="shared" si="891"/>
        <v>60439.225757110216</v>
      </c>
      <c r="FG135" s="60">
        <f t="shared" si="892"/>
        <v>17862.489645000001</v>
      </c>
      <c r="FH135" s="59">
        <f t="shared" si="893"/>
        <v>59049.818268441006</v>
      </c>
      <c r="FI135" s="57">
        <f t="shared" si="894"/>
        <v>17442.195771000002</v>
      </c>
      <c r="FJ135" s="59">
        <f t="shared" si="895"/>
        <v>57660.41077977181</v>
      </c>
      <c r="FK135" s="55">
        <f t="shared" si="896"/>
        <v>17021.901897000003</v>
      </c>
      <c r="FL135" s="59">
        <f t="shared" si="897"/>
        <v>56271.003291102614</v>
      </c>
      <c r="FM135" s="60">
        <f t="shared" si="898"/>
        <v>16601.608023000001</v>
      </c>
      <c r="FN135" s="59">
        <f t="shared" si="899"/>
        <v>54881.595802433403</v>
      </c>
      <c r="FO135" s="60">
        <f t="shared" si="900"/>
        <v>16181.314149</v>
      </c>
      <c r="FP135" s="59">
        <f t="shared" si="901"/>
        <v>53492.1883137642</v>
      </c>
      <c r="FQ135" s="60">
        <f t="shared" si="902"/>
        <v>15761.020275000001</v>
      </c>
      <c r="FR135" s="59">
        <f t="shared" si="903"/>
        <v>52102.780825095004</v>
      </c>
      <c r="FS135" s="55">
        <f t="shared" si="904"/>
        <v>15340.726401</v>
      </c>
      <c r="FT135" s="59">
        <f t="shared" si="905"/>
        <v>50713.373336425801</v>
      </c>
      <c r="FU135" s="60">
        <f t="shared" si="906"/>
        <v>14920.432526999999</v>
      </c>
      <c r="FV135" s="59">
        <f t="shared" si="907"/>
        <v>49323.965847756597</v>
      </c>
      <c r="FW135" s="60">
        <f t="shared" si="908"/>
        <v>14500.138652999998</v>
      </c>
      <c r="FX135" s="59">
        <f t="shared" si="909"/>
        <v>47934.558359087394</v>
      </c>
      <c r="FY135" s="60">
        <f t="shared" si="910"/>
        <v>14079.844778999999</v>
      </c>
      <c r="FZ135" s="59">
        <f t="shared" si="911"/>
        <v>46545.150870418198</v>
      </c>
      <c r="GA135" s="60">
        <f t="shared" si="912"/>
        <v>13659.550904999998</v>
      </c>
      <c r="GB135" s="59">
        <f t="shared" si="913"/>
        <v>45155.743381748995</v>
      </c>
      <c r="GC135" s="55">
        <f t="shared" si="914"/>
        <v>13239.257030999997</v>
      </c>
      <c r="GD135" s="59">
        <f t="shared" si="915"/>
        <v>43766.335893079791</v>
      </c>
      <c r="GE135" s="60">
        <f t="shared" si="916"/>
        <v>12818.963156999996</v>
      </c>
      <c r="GF135" s="59">
        <f t="shared" si="917"/>
        <v>42376.928404410588</v>
      </c>
      <c r="GG135" s="60">
        <f t="shared" si="918"/>
        <v>12398.669282999997</v>
      </c>
      <c r="GH135" s="59">
        <f t="shared" si="919"/>
        <v>40987.520915741392</v>
      </c>
      <c r="GI135" s="55">
        <f t="shared" si="920"/>
        <v>11978.375408999997</v>
      </c>
      <c r="GJ135" s="59">
        <f t="shared" si="921"/>
        <v>39598.113427072189</v>
      </c>
      <c r="GK135" s="55"/>
      <c r="GL135" s="55"/>
      <c r="GM135" s="55">
        <v>1</v>
      </c>
      <c r="GN135" s="55">
        <v>0.97</v>
      </c>
      <c r="GO135" s="55">
        <v>0.95</v>
      </c>
      <c r="GP135" s="55">
        <v>0.93</v>
      </c>
      <c r="GQ135" s="55">
        <f t="shared" si="788"/>
        <v>0.91</v>
      </c>
      <c r="GR135" s="55">
        <f t="shared" si="788"/>
        <v>0.89</v>
      </c>
      <c r="GS135" s="55">
        <f t="shared" si="788"/>
        <v>0.87</v>
      </c>
      <c r="GT135" s="55">
        <f t="shared" si="788"/>
        <v>0.85</v>
      </c>
      <c r="GU135" s="55">
        <f t="shared" si="788"/>
        <v>0.83</v>
      </c>
      <c r="GV135" s="55">
        <f t="shared" si="788"/>
        <v>0.80999999999999994</v>
      </c>
      <c r="GW135" s="55">
        <f t="shared" si="788"/>
        <v>0.78999999999999992</v>
      </c>
      <c r="GX135" s="55">
        <f t="shared" si="788"/>
        <v>0.76999999999999991</v>
      </c>
      <c r="GY135" s="55">
        <f t="shared" si="788"/>
        <v>0.74999999999999989</v>
      </c>
      <c r="GZ135" s="55">
        <f t="shared" si="788"/>
        <v>0.72999999999999987</v>
      </c>
      <c r="HA135" s="55">
        <f t="shared" si="788"/>
        <v>0.70999999999999985</v>
      </c>
      <c r="HB135" s="55">
        <f t="shared" si="788"/>
        <v>0.68999999999999984</v>
      </c>
      <c r="HC135" s="55">
        <f t="shared" si="788"/>
        <v>0.66999999999999982</v>
      </c>
      <c r="HD135" s="55">
        <f t="shared" si="788"/>
        <v>0.6499999999999998</v>
      </c>
      <c r="HE135" s="55">
        <f t="shared" si="788"/>
        <v>0.62999999999999978</v>
      </c>
      <c r="HF135" s="55">
        <f t="shared" si="788"/>
        <v>0.60999999999999976</v>
      </c>
      <c r="HG135" s="55">
        <f t="shared" si="788"/>
        <v>0.58999999999999975</v>
      </c>
      <c r="HH135" s="55">
        <f t="shared" si="788"/>
        <v>0.56999999999999973</v>
      </c>
    </row>
    <row r="136" spans="1:216" x14ac:dyDescent="0.3">
      <c r="A136" s="2">
        <v>7</v>
      </c>
      <c r="C136" s="38" t="s">
        <v>58</v>
      </c>
      <c r="D136" s="42">
        <f>TRUNC(6950,-1)</f>
        <v>6950</v>
      </c>
      <c r="E136" s="86">
        <f>TRUNC(+D136*3.3058,-1)</f>
        <v>22970</v>
      </c>
      <c r="H136" s="55">
        <f t="shared" si="502"/>
        <v>25267.000000000004</v>
      </c>
      <c r="I136" s="55">
        <f t="shared" si="503"/>
        <v>25267.000000000004</v>
      </c>
      <c r="J136" s="59">
        <f t="shared" si="504"/>
        <v>83527.648600000015</v>
      </c>
      <c r="K136" s="55">
        <f t="shared" si="793"/>
        <v>24508.99</v>
      </c>
      <c r="L136" s="59">
        <f t="shared" si="794"/>
        <v>81021.819142000008</v>
      </c>
      <c r="M136" s="55">
        <f t="shared" si="795"/>
        <v>24003.65</v>
      </c>
      <c r="N136" s="59">
        <f t="shared" si="796"/>
        <v>79351.266170000003</v>
      </c>
      <c r="O136" s="55">
        <f t="shared" si="797"/>
        <v>23498.310000000005</v>
      </c>
      <c r="P136" s="59">
        <f t="shared" si="798"/>
        <v>77680.713198000012</v>
      </c>
      <c r="Q136" s="57">
        <f t="shared" si="799"/>
        <v>22992.970000000005</v>
      </c>
      <c r="R136" s="59">
        <f t="shared" si="800"/>
        <v>76010.160226000022</v>
      </c>
      <c r="S136" s="55">
        <f t="shared" si="801"/>
        <v>22487.630000000005</v>
      </c>
      <c r="T136" s="59">
        <f t="shared" si="802"/>
        <v>74339.607254000017</v>
      </c>
      <c r="U136" s="57">
        <f t="shared" si="803"/>
        <v>21982.290000000005</v>
      </c>
      <c r="V136" s="59">
        <f t="shared" si="804"/>
        <v>72669.054282000012</v>
      </c>
      <c r="W136" s="60">
        <f t="shared" si="805"/>
        <v>21476.95</v>
      </c>
      <c r="X136" s="59">
        <f t="shared" si="806"/>
        <v>70998.501310000007</v>
      </c>
      <c r="Y136" s="57">
        <f t="shared" si="807"/>
        <v>20971.61</v>
      </c>
      <c r="Z136" s="59">
        <f t="shared" si="808"/>
        <v>69327.948338000002</v>
      </c>
      <c r="AA136" s="55">
        <f t="shared" si="809"/>
        <v>20466.27</v>
      </c>
      <c r="AB136" s="59">
        <f t="shared" si="810"/>
        <v>67657.395365999997</v>
      </c>
      <c r="AC136" s="60">
        <f t="shared" si="811"/>
        <v>19960.93</v>
      </c>
      <c r="AD136" s="59">
        <f t="shared" si="812"/>
        <v>65986.842394000007</v>
      </c>
      <c r="AE136" s="60">
        <f t="shared" si="813"/>
        <v>19455.59</v>
      </c>
      <c r="AF136" s="59">
        <f t="shared" si="814"/>
        <v>64316.289422000002</v>
      </c>
      <c r="AG136" s="60">
        <f t="shared" si="815"/>
        <v>18950.25</v>
      </c>
      <c r="AH136" s="59">
        <f t="shared" si="816"/>
        <v>62645.736450000004</v>
      </c>
      <c r="AI136" s="55">
        <f t="shared" si="817"/>
        <v>18444.91</v>
      </c>
      <c r="AJ136" s="59">
        <f t="shared" si="818"/>
        <v>60975.183477999999</v>
      </c>
      <c r="AK136" s="60">
        <f t="shared" si="819"/>
        <v>17939.57</v>
      </c>
      <c r="AL136" s="59">
        <f t="shared" si="820"/>
        <v>59304.630506000001</v>
      </c>
      <c r="AM136" s="60">
        <f t="shared" si="821"/>
        <v>17434.23</v>
      </c>
      <c r="AN136" s="59">
        <f t="shared" si="822"/>
        <v>57634.077533999996</v>
      </c>
      <c r="AO136" s="60">
        <f t="shared" si="823"/>
        <v>16928.89</v>
      </c>
      <c r="AP136" s="59">
        <f t="shared" si="824"/>
        <v>55963.524561999999</v>
      </c>
      <c r="AQ136" s="60">
        <f t="shared" si="825"/>
        <v>16423.549999999996</v>
      </c>
      <c r="AR136" s="59">
        <f t="shared" si="826"/>
        <v>54292.971589999986</v>
      </c>
      <c r="AS136" s="55">
        <f t="shared" si="827"/>
        <v>15918.209999999997</v>
      </c>
      <c r="AT136" s="59">
        <f t="shared" si="828"/>
        <v>52622.418617999989</v>
      </c>
      <c r="AU136" s="60">
        <f t="shared" si="829"/>
        <v>15412.869999999997</v>
      </c>
      <c r="AV136" s="59">
        <f t="shared" si="830"/>
        <v>50951.865645999991</v>
      </c>
      <c r="AW136" s="60">
        <f t="shared" si="831"/>
        <v>14907.529999999995</v>
      </c>
      <c r="AX136" s="59">
        <f t="shared" si="832"/>
        <v>49281.312673999986</v>
      </c>
      <c r="AY136" s="55">
        <f t="shared" si="833"/>
        <v>14402.189999999995</v>
      </c>
      <c r="AZ136" s="59">
        <f t="shared" si="834"/>
        <v>47610.759701999981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si="835"/>
        <v>0.91</v>
      </c>
      <c r="BH136" s="55">
        <f t="shared" si="835"/>
        <v>0.89</v>
      </c>
      <c r="BI136" s="55">
        <f t="shared" si="835"/>
        <v>0.87</v>
      </c>
      <c r="BJ136" s="55">
        <f t="shared" si="835"/>
        <v>0.85</v>
      </c>
      <c r="BK136" s="55">
        <f t="shared" si="835"/>
        <v>0.83</v>
      </c>
      <c r="BL136" s="55">
        <f t="shared" si="835"/>
        <v>0.80999999999999994</v>
      </c>
      <c r="BM136" s="55">
        <f t="shared" si="835"/>
        <v>0.78999999999999992</v>
      </c>
      <c r="BN136" s="55">
        <f t="shared" si="835"/>
        <v>0.76999999999999991</v>
      </c>
      <c r="BO136" s="55">
        <f t="shared" si="835"/>
        <v>0.74999999999999989</v>
      </c>
      <c r="BP136" s="55">
        <f t="shared" si="835"/>
        <v>0.72999999999999987</v>
      </c>
      <c r="BQ136" s="55">
        <f t="shared" si="835"/>
        <v>0.70999999999999985</v>
      </c>
      <c r="BR136" s="55">
        <f t="shared" si="835"/>
        <v>0.68999999999999984</v>
      </c>
      <c r="BS136" s="55">
        <f t="shared" si="835"/>
        <v>0.66999999999999982</v>
      </c>
      <c r="BT136" s="55">
        <f t="shared" si="835"/>
        <v>0.6499999999999998</v>
      </c>
      <c r="BU136" s="55">
        <f t="shared" si="835"/>
        <v>0.62999999999999978</v>
      </c>
      <c r="BV136" s="55">
        <f t="shared" si="835"/>
        <v>0.60999999999999976</v>
      </c>
      <c r="BW136" s="55">
        <f t="shared" si="835"/>
        <v>0.58999999999999975</v>
      </c>
      <c r="BX136" s="55">
        <f t="shared" si="835"/>
        <v>0.56999999999999973</v>
      </c>
      <c r="BZ136" s="55">
        <f t="shared" si="505"/>
        <v>22992.970000000005</v>
      </c>
      <c r="CA136" s="55">
        <f t="shared" si="506"/>
        <v>22992.970000000005</v>
      </c>
      <c r="CB136" s="59">
        <f t="shared" si="836"/>
        <v>76010.160226000022</v>
      </c>
      <c r="CC136" s="55">
        <f t="shared" si="837"/>
        <v>22303.180900000003</v>
      </c>
      <c r="CD136" s="59">
        <f t="shared" si="838"/>
        <v>73729.85541922001</v>
      </c>
      <c r="CE136" s="55">
        <f t="shared" si="839"/>
        <v>21843.321500000002</v>
      </c>
      <c r="CF136" s="59">
        <f t="shared" si="840"/>
        <v>72209.652214700007</v>
      </c>
      <c r="CG136" s="55">
        <f t="shared" si="841"/>
        <v>21383.462100000004</v>
      </c>
      <c r="CH136" s="59">
        <f t="shared" si="842"/>
        <v>70689.449010180018</v>
      </c>
      <c r="CI136" s="57">
        <f t="shared" si="843"/>
        <v>20923.602700000007</v>
      </c>
      <c r="CJ136" s="59">
        <f t="shared" si="844"/>
        <v>69169.24580566003</v>
      </c>
      <c r="CK136" s="55">
        <f t="shared" si="845"/>
        <v>20463.743300000006</v>
      </c>
      <c r="CL136" s="59">
        <f t="shared" si="846"/>
        <v>67649.042601140027</v>
      </c>
      <c r="CM136" s="57">
        <f t="shared" si="847"/>
        <v>20003.883900000004</v>
      </c>
      <c r="CN136" s="59">
        <f t="shared" si="848"/>
        <v>66128.839396620009</v>
      </c>
      <c r="CO136" s="60">
        <f t="shared" si="849"/>
        <v>19544.024500000003</v>
      </c>
      <c r="CP136" s="59">
        <f t="shared" si="850"/>
        <v>64608.636192100013</v>
      </c>
      <c r="CQ136" s="57">
        <f t="shared" si="851"/>
        <v>19084.165100000002</v>
      </c>
      <c r="CR136" s="59">
        <f t="shared" si="852"/>
        <v>63088.43298758001</v>
      </c>
      <c r="CS136" s="55">
        <f t="shared" si="853"/>
        <v>18624.305700000001</v>
      </c>
      <c r="CT136" s="59">
        <f t="shared" si="854"/>
        <v>61568.229783060007</v>
      </c>
      <c r="CU136" s="60">
        <f t="shared" si="855"/>
        <v>18164.446300000003</v>
      </c>
      <c r="CV136" s="59">
        <f t="shared" si="856"/>
        <v>60048.026578540012</v>
      </c>
      <c r="CW136" s="60">
        <f t="shared" si="857"/>
        <v>17704.586900000002</v>
      </c>
      <c r="CX136" s="59">
        <f t="shared" si="858"/>
        <v>58527.823374020008</v>
      </c>
      <c r="CY136" s="60">
        <f t="shared" si="859"/>
        <v>17244.727500000001</v>
      </c>
      <c r="CZ136" s="59">
        <f t="shared" si="860"/>
        <v>57007.620169500005</v>
      </c>
      <c r="DA136" s="55">
        <f t="shared" si="861"/>
        <v>16784.8681</v>
      </c>
      <c r="DB136" s="59">
        <f t="shared" si="862"/>
        <v>55487.416964980002</v>
      </c>
      <c r="DC136" s="60">
        <f t="shared" si="863"/>
        <v>16325.0087</v>
      </c>
      <c r="DD136" s="59">
        <f t="shared" si="864"/>
        <v>53967.213760459999</v>
      </c>
      <c r="DE136" s="60">
        <f t="shared" si="865"/>
        <v>15865.149299999999</v>
      </c>
      <c r="DF136" s="59">
        <f t="shared" si="866"/>
        <v>52447.010555939996</v>
      </c>
      <c r="DG136" s="60">
        <f t="shared" si="867"/>
        <v>15405.2899</v>
      </c>
      <c r="DH136" s="59">
        <f t="shared" si="868"/>
        <v>50926.80735142</v>
      </c>
      <c r="DI136" s="60">
        <f t="shared" si="869"/>
        <v>14945.430499999999</v>
      </c>
      <c r="DJ136" s="59">
        <f t="shared" si="870"/>
        <v>49406.604146899997</v>
      </c>
      <c r="DK136" s="55">
        <f t="shared" si="871"/>
        <v>14485.571099999997</v>
      </c>
      <c r="DL136" s="59">
        <f t="shared" si="872"/>
        <v>47886.400942379994</v>
      </c>
      <c r="DM136" s="60">
        <f t="shared" si="873"/>
        <v>14025.711699999998</v>
      </c>
      <c r="DN136" s="59">
        <f t="shared" si="874"/>
        <v>46366.197737859991</v>
      </c>
      <c r="DO136" s="60">
        <f t="shared" si="875"/>
        <v>13565.852299999997</v>
      </c>
      <c r="DP136" s="59">
        <f t="shared" si="876"/>
        <v>44845.994533339988</v>
      </c>
      <c r="DQ136" s="55">
        <f t="shared" si="877"/>
        <v>13105.992899999996</v>
      </c>
      <c r="DR136" s="59">
        <f t="shared" si="878"/>
        <v>43325.791328819985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787"/>
        <v>0.91</v>
      </c>
      <c r="DZ136" s="55">
        <f t="shared" si="787"/>
        <v>0.89</v>
      </c>
      <c r="EA136" s="55">
        <f t="shared" si="787"/>
        <v>0.87</v>
      </c>
      <c r="EB136" s="55">
        <f t="shared" si="787"/>
        <v>0.85</v>
      </c>
      <c r="EC136" s="55">
        <f t="shared" si="787"/>
        <v>0.83</v>
      </c>
      <c r="ED136" s="55">
        <f t="shared" si="787"/>
        <v>0.80999999999999994</v>
      </c>
      <c r="EE136" s="55">
        <f t="shared" si="787"/>
        <v>0.78999999999999992</v>
      </c>
      <c r="EF136" s="55">
        <f t="shared" si="787"/>
        <v>0.76999999999999991</v>
      </c>
      <c r="EG136" s="55">
        <f t="shared" si="787"/>
        <v>0.74999999999999989</v>
      </c>
      <c r="EH136" s="55">
        <f t="shared" si="787"/>
        <v>0.72999999999999987</v>
      </c>
      <c r="EI136" s="55">
        <f t="shared" si="787"/>
        <v>0.70999999999999985</v>
      </c>
      <c r="EJ136" s="55">
        <f t="shared" si="787"/>
        <v>0.68999999999999984</v>
      </c>
      <c r="EK136" s="55">
        <f t="shared" si="787"/>
        <v>0.66999999999999982</v>
      </c>
      <c r="EL136" s="55">
        <f t="shared" si="787"/>
        <v>0.6499999999999998</v>
      </c>
      <c r="EM136" s="55">
        <f t="shared" si="787"/>
        <v>0.62999999999999978</v>
      </c>
      <c r="EN136" s="55">
        <f t="shared" si="787"/>
        <v>0.60999999999999976</v>
      </c>
      <c r="EO136" s="55">
        <f t="shared" si="787"/>
        <v>0.58999999999999975</v>
      </c>
      <c r="EP136" s="55">
        <f t="shared" si="787"/>
        <v>0.56999999999999973</v>
      </c>
      <c r="ER136" s="55">
        <f t="shared" si="644"/>
        <v>20923.602700000007</v>
      </c>
      <c r="ES136" s="55">
        <f t="shared" si="507"/>
        <v>20923.602700000007</v>
      </c>
      <c r="ET136" s="59">
        <f t="shared" si="879"/>
        <v>69169.24580566003</v>
      </c>
      <c r="EU136" s="55">
        <f t="shared" si="880"/>
        <v>20295.894619000006</v>
      </c>
      <c r="EV136" s="59">
        <f t="shared" si="881"/>
        <v>67094.168431490223</v>
      </c>
      <c r="EW136" s="55">
        <f t="shared" si="882"/>
        <v>19877.422565000004</v>
      </c>
      <c r="EX136" s="59">
        <f t="shared" si="883"/>
        <v>65710.783515377014</v>
      </c>
      <c r="EY136" s="55">
        <f t="shared" si="884"/>
        <v>19458.950511000006</v>
      </c>
      <c r="EZ136" s="59">
        <f t="shared" si="885"/>
        <v>64327.398599263819</v>
      </c>
      <c r="FA136" s="57">
        <f t="shared" si="886"/>
        <v>19040.478457000008</v>
      </c>
      <c r="FB136" s="59">
        <f t="shared" si="887"/>
        <v>62944.013683150632</v>
      </c>
      <c r="FC136" s="55">
        <f t="shared" si="888"/>
        <v>18622.006403000007</v>
      </c>
      <c r="FD136" s="59">
        <f t="shared" si="889"/>
        <v>61560.628767037422</v>
      </c>
      <c r="FE136" s="57">
        <f t="shared" si="890"/>
        <v>18203.534349000005</v>
      </c>
      <c r="FF136" s="59">
        <f t="shared" si="891"/>
        <v>60177.24385092422</v>
      </c>
      <c r="FG136" s="60">
        <f t="shared" si="892"/>
        <v>17785.062295000007</v>
      </c>
      <c r="FH136" s="59">
        <f t="shared" si="893"/>
        <v>58793.858934811025</v>
      </c>
      <c r="FI136" s="57">
        <f t="shared" si="894"/>
        <v>17366.590241000005</v>
      </c>
      <c r="FJ136" s="59">
        <f t="shared" si="895"/>
        <v>57410.474018697816</v>
      </c>
      <c r="FK136" s="55">
        <f t="shared" si="896"/>
        <v>16948.118187000004</v>
      </c>
      <c r="FL136" s="59">
        <f t="shared" si="897"/>
        <v>56027.089102584614</v>
      </c>
      <c r="FM136" s="60">
        <f t="shared" si="898"/>
        <v>16529.646133000002</v>
      </c>
      <c r="FN136" s="59">
        <f t="shared" si="899"/>
        <v>54643.704186471405</v>
      </c>
      <c r="FO136" s="60">
        <f t="shared" si="900"/>
        <v>16111.174079000004</v>
      </c>
      <c r="FP136" s="59">
        <f t="shared" si="901"/>
        <v>53260.319270358217</v>
      </c>
      <c r="FQ136" s="60">
        <f t="shared" si="902"/>
        <v>15692.702025000002</v>
      </c>
      <c r="FR136" s="59">
        <f t="shared" si="903"/>
        <v>51876.934354245008</v>
      </c>
      <c r="FS136" s="55">
        <f t="shared" si="904"/>
        <v>15274.229971000002</v>
      </c>
      <c r="FT136" s="59">
        <f t="shared" si="905"/>
        <v>50493.549438131806</v>
      </c>
      <c r="FU136" s="60">
        <f t="shared" si="906"/>
        <v>14855.757917000001</v>
      </c>
      <c r="FV136" s="59">
        <f t="shared" si="907"/>
        <v>49110.164522018604</v>
      </c>
      <c r="FW136" s="60">
        <f t="shared" si="908"/>
        <v>14437.285863000001</v>
      </c>
      <c r="FX136" s="59">
        <f t="shared" si="909"/>
        <v>47726.779605905402</v>
      </c>
      <c r="FY136" s="60">
        <f t="shared" si="910"/>
        <v>14018.813809000001</v>
      </c>
      <c r="FZ136" s="59">
        <f t="shared" si="911"/>
        <v>46343.394689792207</v>
      </c>
      <c r="GA136" s="60">
        <f t="shared" si="912"/>
        <v>13600.341754999999</v>
      </c>
      <c r="GB136" s="59">
        <f t="shared" si="913"/>
        <v>44960.009773678998</v>
      </c>
      <c r="GC136" s="55">
        <f t="shared" si="914"/>
        <v>13181.869701</v>
      </c>
      <c r="GD136" s="59">
        <f t="shared" si="915"/>
        <v>43576.624857565803</v>
      </c>
      <c r="GE136" s="60">
        <f t="shared" si="916"/>
        <v>12763.397647</v>
      </c>
      <c r="GF136" s="59">
        <f t="shared" si="917"/>
        <v>42193.239941452601</v>
      </c>
      <c r="GG136" s="60">
        <f t="shared" si="918"/>
        <v>12344.925592999998</v>
      </c>
      <c r="GH136" s="59">
        <f t="shared" si="919"/>
        <v>40809.855025339391</v>
      </c>
      <c r="GI136" s="55">
        <f t="shared" si="920"/>
        <v>11926.453538999998</v>
      </c>
      <c r="GJ136" s="59">
        <f t="shared" si="921"/>
        <v>39426.470109226197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788"/>
        <v>0.91</v>
      </c>
      <c r="GR136" s="55">
        <f t="shared" si="788"/>
        <v>0.89</v>
      </c>
      <c r="GS136" s="55">
        <f t="shared" si="788"/>
        <v>0.87</v>
      </c>
      <c r="GT136" s="55">
        <f t="shared" si="788"/>
        <v>0.85</v>
      </c>
      <c r="GU136" s="55">
        <f t="shared" si="788"/>
        <v>0.83</v>
      </c>
      <c r="GV136" s="55">
        <f t="shared" si="788"/>
        <v>0.80999999999999994</v>
      </c>
      <c r="GW136" s="55">
        <f t="shared" si="788"/>
        <v>0.78999999999999992</v>
      </c>
      <c r="GX136" s="55">
        <f t="shared" si="788"/>
        <v>0.76999999999999991</v>
      </c>
      <c r="GY136" s="55">
        <f t="shared" si="788"/>
        <v>0.74999999999999989</v>
      </c>
      <c r="GZ136" s="55">
        <f t="shared" si="788"/>
        <v>0.72999999999999987</v>
      </c>
      <c r="HA136" s="55">
        <f t="shared" si="788"/>
        <v>0.70999999999999985</v>
      </c>
      <c r="HB136" s="55">
        <f t="shared" si="788"/>
        <v>0.68999999999999984</v>
      </c>
      <c r="HC136" s="55">
        <f t="shared" si="788"/>
        <v>0.66999999999999982</v>
      </c>
      <c r="HD136" s="55">
        <f t="shared" si="788"/>
        <v>0.6499999999999998</v>
      </c>
      <c r="HE136" s="55">
        <f t="shared" si="788"/>
        <v>0.62999999999999978</v>
      </c>
      <c r="HF136" s="55">
        <f t="shared" si="788"/>
        <v>0.60999999999999976</v>
      </c>
      <c r="HG136" s="55">
        <f t="shared" si="788"/>
        <v>0.58999999999999975</v>
      </c>
      <c r="HH136" s="55">
        <f t="shared" si="788"/>
        <v>0.56999999999999973</v>
      </c>
    </row>
    <row r="137" spans="1:216" x14ac:dyDescent="0.3">
      <c r="A137" s="2">
        <v>8</v>
      </c>
      <c r="C137" s="38" t="s">
        <v>62</v>
      </c>
      <c r="D137" s="42">
        <f>TRUNC(7926,-1)</f>
        <v>7920</v>
      </c>
      <c r="E137" s="86">
        <f>TRUNC(+D137*3.3058,-1)</f>
        <v>26180</v>
      </c>
      <c r="H137" s="55">
        <f t="shared" si="502"/>
        <v>28798.000000000004</v>
      </c>
      <c r="I137" s="55">
        <f t="shared" si="503"/>
        <v>28798.000000000004</v>
      </c>
      <c r="J137" s="59">
        <f t="shared" si="504"/>
        <v>95200.428400000019</v>
      </c>
      <c r="K137" s="55">
        <f t="shared" si="793"/>
        <v>27934.06</v>
      </c>
      <c r="L137" s="59">
        <f t="shared" si="794"/>
        <v>92344.415548000004</v>
      </c>
      <c r="M137" s="55">
        <f t="shared" si="795"/>
        <v>27358.100000000002</v>
      </c>
      <c r="N137" s="59">
        <f t="shared" si="796"/>
        <v>90440.406980000014</v>
      </c>
      <c r="O137" s="55">
        <f t="shared" si="797"/>
        <v>26782.140000000003</v>
      </c>
      <c r="P137" s="59">
        <f t="shared" si="798"/>
        <v>88536.39841200001</v>
      </c>
      <c r="Q137" s="57">
        <f t="shared" si="799"/>
        <v>26206.180000000004</v>
      </c>
      <c r="R137" s="59">
        <f t="shared" si="800"/>
        <v>86632.389844000019</v>
      </c>
      <c r="S137" s="55">
        <f t="shared" si="801"/>
        <v>25630.220000000005</v>
      </c>
      <c r="T137" s="59">
        <f t="shared" si="802"/>
        <v>84728.381276000015</v>
      </c>
      <c r="U137" s="57">
        <f t="shared" si="803"/>
        <v>25054.260000000002</v>
      </c>
      <c r="V137" s="59">
        <f t="shared" si="804"/>
        <v>82824.37270800001</v>
      </c>
      <c r="W137" s="60">
        <f t="shared" si="805"/>
        <v>24478.300000000003</v>
      </c>
      <c r="X137" s="59">
        <f t="shared" si="806"/>
        <v>80920.364140000005</v>
      </c>
      <c r="Y137" s="57">
        <f t="shared" si="807"/>
        <v>23902.34</v>
      </c>
      <c r="Z137" s="59">
        <f t="shared" si="808"/>
        <v>79016.355572</v>
      </c>
      <c r="AA137" s="55">
        <f t="shared" si="809"/>
        <v>23326.38</v>
      </c>
      <c r="AB137" s="59">
        <f t="shared" si="810"/>
        <v>77112.34700400001</v>
      </c>
      <c r="AC137" s="60">
        <f t="shared" si="811"/>
        <v>22750.420000000002</v>
      </c>
      <c r="AD137" s="59">
        <f t="shared" si="812"/>
        <v>75208.338436000005</v>
      </c>
      <c r="AE137" s="60">
        <f t="shared" si="813"/>
        <v>22174.46</v>
      </c>
      <c r="AF137" s="59">
        <f t="shared" si="814"/>
        <v>73304.329868000001</v>
      </c>
      <c r="AG137" s="60">
        <f t="shared" si="815"/>
        <v>21598.5</v>
      </c>
      <c r="AH137" s="59">
        <f t="shared" si="816"/>
        <v>71400.321299999996</v>
      </c>
      <c r="AI137" s="55">
        <f t="shared" si="817"/>
        <v>21022.539999999997</v>
      </c>
      <c r="AJ137" s="59">
        <f t="shared" si="818"/>
        <v>69496.312731999991</v>
      </c>
      <c r="AK137" s="60">
        <f t="shared" si="819"/>
        <v>20446.579999999998</v>
      </c>
      <c r="AL137" s="59">
        <f t="shared" si="820"/>
        <v>67592.304164000001</v>
      </c>
      <c r="AM137" s="60">
        <f t="shared" si="821"/>
        <v>19870.62</v>
      </c>
      <c r="AN137" s="59">
        <f t="shared" si="822"/>
        <v>65688.295595999996</v>
      </c>
      <c r="AO137" s="60">
        <f t="shared" si="823"/>
        <v>19294.659999999996</v>
      </c>
      <c r="AP137" s="59">
        <f t="shared" si="824"/>
        <v>63784.287027999992</v>
      </c>
      <c r="AQ137" s="60">
        <f t="shared" si="825"/>
        <v>18718.699999999997</v>
      </c>
      <c r="AR137" s="59">
        <f t="shared" si="826"/>
        <v>61880.278459999994</v>
      </c>
      <c r="AS137" s="55">
        <f t="shared" si="827"/>
        <v>18142.739999999994</v>
      </c>
      <c r="AT137" s="59">
        <f t="shared" si="828"/>
        <v>59976.269891999982</v>
      </c>
      <c r="AU137" s="60">
        <f t="shared" si="829"/>
        <v>17566.779999999995</v>
      </c>
      <c r="AV137" s="59">
        <f t="shared" si="830"/>
        <v>58072.261323999985</v>
      </c>
      <c r="AW137" s="60">
        <f t="shared" si="831"/>
        <v>16990.819999999996</v>
      </c>
      <c r="AX137" s="59">
        <f t="shared" si="832"/>
        <v>56168.252755999987</v>
      </c>
      <c r="AY137" s="55">
        <f t="shared" si="833"/>
        <v>16414.859999999993</v>
      </c>
      <c r="AZ137" s="59">
        <f t="shared" si="834"/>
        <v>54264.244187999982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35"/>
        <v>0.91</v>
      </c>
      <c r="BH137" s="55">
        <f t="shared" si="835"/>
        <v>0.89</v>
      </c>
      <c r="BI137" s="55">
        <f t="shared" si="835"/>
        <v>0.87</v>
      </c>
      <c r="BJ137" s="55">
        <f t="shared" si="835"/>
        <v>0.85</v>
      </c>
      <c r="BK137" s="55">
        <f t="shared" si="835"/>
        <v>0.83</v>
      </c>
      <c r="BL137" s="55">
        <f t="shared" si="835"/>
        <v>0.80999999999999994</v>
      </c>
      <c r="BM137" s="55">
        <f t="shared" si="835"/>
        <v>0.78999999999999992</v>
      </c>
      <c r="BN137" s="55">
        <f t="shared" si="835"/>
        <v>0.76999999999999991</v>
      </c>
      <c r="BO137" s="55">
        <f t="shared" si="835"/>
        <v>0.74999999999999989</v>
      </c>
      <c r="BP137" s="55">
        <f t="shared" si="835"/>
        <v>0.72999999999999987</v>
      </c>
      <c r="BQ137" s="55">
        <f t="shared" si="835"/>
        <v>0.70999999999999985</v>
      </c>
      <c r="BR137" s="55">
        <f t="shared" si="835"/>
        <v>0.68999999999999984</v>
      </c>
      <c r="BS137" s="55">
        <f t="shared" si="835"/>
        <v>0.66999999999999982</v>
      </c>
      <c r="BT137" s="55">
        <f t="shared" si="835"/>
        <v>0.6499999999999998</v>
      </c>
      <c r="BU137" s="55">
        <f t="shared" si="835"/>
        <v>0.62999999999999978</v>
      </c>
      <c r="BV137" s="55">
        <f t="shared" si="835"/>
        <v>0.60999999999999976</v>
      </c>
      <c r="BW137" s="55">
        <f t="shared" si="835"/>
        <v>0.58999999999999975</v>
      </c>
      <c r="BX137" s="55">
        <f t="shared" si="835"/>
        <v>0.56999999999999973</v>
      </c>
      <c r="BZ137" s="55">
        <f t="shared" si="505"/>
        <v>26206.180000000004</v>
      </c>
      <c r="CA137" s="55">
        <f t="shared" si="506"/>
        <v>26206.180000000004</v>
      </c>
      <c r="CB137" s="59">
        <f t="shared" si="836"/>
        <v>86632.389844000019</v>
      </c>
      <c r="CC137" s="55">
        <f t="shared" si="837"/>
        <v>25419.994600000002</v>
      </c>
      <c r="CD137" s="59">
        <f t="shared" si="838"/>
        <v>84033.418148680008</v>
      </c>
      <c r="CE137" s="55">
        <f t="shared" si="839"/>
        <v>24895.871000000003</v>
      </c>
      <c r="CF137" s="59">
        <f t="shared" si="840"/>
        <v>82300.770351800005</v>
      </c>
      <c r="CG137" s="55">
        <f t="shared" si="841"/>
        <v>24371.747400000004</v>
      </c>
      <c r="CH137" s="59">
        <f t="shared" si="842"/>
        <v>80568.122554920017</v>
      </c>
      <c r="CI137" s="57">
        <f t="shared" si="843"/>
        <v>23847.623800000005</v>
      </c>
      <c r="CJ137" s="59">
        <f t="shared" si="844"/>
        <v>78835.474758040014</v>
      </c>
      <c r="CK137" s="55">
        <f t="shared" si="845"/>
        <v>23323.500200000002</v>
      </c>
      <c r="CL137" s="59">
        <f t="shared" si="846"/>
        <v>77102.826961160012</v>
      </c>
      <c r="CM137" s="57">
        <f t="shared" si="847"/>
        <v>22799.376600000003</v>
      </c>
      <c r="CN137" s="59">
        <f t="shared" si="848"/>
        <v>75370.179164280009</v>
      </c>
      <c r="CO137" s="60">
        <f t="shared" si="849"/>
        <v>22275.253000000004</v>
      </c>
      <c r="CP137" s="59">
        <f t="shared" si="850"/>
        <v>73637.531367400021</v>
      </c>
      <c r="CQ137" s="57">
        <f t="shared" si="851"/>
        <v>21751.129400000002</v>
      </c>
      <c r="CR137" s="59">
        <f t="shared" si="852"/>
        <v>71904.883570520004</v>
      </c>
      <c r="CS137" s="55">
        <f t="shared" si="853"/>
        <v>21227.005800000003</v>
      </c>
      <c r="CT137" s="59">
        <f t="shared" si="854"/>
        <v>70172.235773640015</v>
      </c>
      <c r="CU137" s="60">
        <f t="shared" si="855"/>
        <v>20702.8822</v>
      </c>
      <c r="CV137" s="59">
        <f t="shared" si="856"/>
        <v>68439.587976759998</v>
      </c>
      <c r="CW137" s="60">
        <f t="shared" si="857"/>
        <v>20178.758600000001</v>
      </c>
      <c r="CX137" s="59">
        <f t="shared" si="858"/>
        <v>66706.94017988001</v>
      </c>
      <c r="CY137" s="60">
        <f t="shared" si="859"/>
        <v>19654.634999999998</v>
      </c>
      <c r="CZ137" s="59">
        <f t="shared" si="860"/>
        <v>64974.292382999993</v>
      </c>
      <c r="DA137" s="55">
        <f t="shared" si="861"/>
        <v>19130.511399999999</v>
      </c>
      <c r="DB137" s="59">
        <f t="shared" si="862"/>
        <v>63241.644586119997</v>
      </c>
      <c r="DC137" s="60">
        <f t="shared" si="863"/>
        <v>18606.3878</v>
      </c>
      <c r="DD137" s="59">
        <f t="shared" si="864"/>
        <v>61508.996789240002</v>
      </c>
      <c r="DE137" s="60">
        <f t="shared" si="865"/>
        <v>18082.264199999998</v>
      </c>
      <c r="DF137" s="59">
        <f t="shared" si="866"/>
        <v>59776.348992359992</v>
      </c>
      <c r="DG137" s="60">
        <f t="shared" si="867"/>
        <v>17558.140599999999</v>
      </c>
      <c r="DH137" s="59">
        <f t="shared" si="868"/>
        <v>58043.701195479996</v>
      </c>
      <c r="DI137" s="60">
        <f t="shared" si="869"/>
        <v>17034.016999999996</v>
      </c>
      <c r="DJ137" s="59">
        <f t="shared" si="870"/>
        <v>56311.053398599986</v>
      </c>
      <c r="DK137" s="55">
        <f t="shared" si="871"/>
        <v>16509.893399999997</v>
      </c>
      <c r="DL137" s="59">
        <f t="shared" si="872"/>
        <v>54578.405601719991</v>
      </c>
      <c r="DM137" s="60">
        <f t="shared" si="873"/>
        <v>15985.769799999996</v>
      </c>
      <c r="DN137" s="59">
        <f t="shared" si="874"/>
        <v>52845.757804839988</v>
      </c>
      <c r="DO137" s="60">
        <f t="shared" si="875"/>
        <v>15461.646199999996</v>
      </c>
      <c r="DP137" s="59">
        <f t="shared" si="876"/>
        <v>51113.110007959986</v>
      </c>
      <c r="DQ137" s="55">
        <f t="shared" si="877"/>
        <v>14937.522599999995</v>
      </c>
      <c r="DR137" s="59">
        <f t="shared" si="878"/>
        <v>49380.462211079983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787"/>
        <v>0.91</v>
      </c>
      <c r="DZ137" s="55">
        <f t="shared" si="787"/>
        <v>0.89</v>
      </c>
      <c r="EA137" s="55">
        <f t="shared" si="787"/>
        <v>0.87</v>
      </c>
      <c r="EB137" s="55">
        <f t="shared" si="787"/>
        <v>0.85</v>
      </c>
      <c r="EC137" s="55">
        <f t="shared" si="787"/>
        <v>0.83</v>
      </c>
      <c r="ED137" s="55">
        <f t="shared" si="787"/>
        <v>0.80999999999999994</v>
      </c>
      <c r="EE137" s="55">
        <f t="shared" si="787"/>
        <v>0.78999999999999992</v>
      </c>
      <c r="EF137" s="55">
        <f t="shared" si="787"/>
        <v>0.76999999999999991</v>
      </c>
      <c r="EG137" s="55">
        <f t="shared" si="787"/>
        <v>0.74999999999999989</v>
      </c>
      <c r="EH137" s="55">
        <f t="shared" si="787"/>
        <v>0.72999999999999987</v>
      </c>
      <c r="EI137" s="55">
        <f t="shared" si="787"/>
        <v>0.70999999999999985</v>
      </c>
      <c r="EJ137" s="55">
        <f t="shared" si="787"/>
        <v>0.68999999999999984</v>
      </c>
      <c r="EK137" s="55">
        <f t="shared" si="787"/>
        <v>0.66999999999999982</v>
      </c>
      <c r="EL137" s="55">
        <f t="shared" si="787"/>
        <v>0.6499999999999998</v>
      </c>
      <c r="EM137" s="55">
        <f t="shared" si="787"/>
        <v>0.62999999999999978</v>
      </c>
      <c r="EN137" s="55">
        <f t="shared" si="787"/>
        <v>0.60999999999999976</v>
      </c>
      <c r="EO137" s="55">
        <f t="shared" si="787"/>
        <v>0.58999999999999975</v>
      </c>
      <c r="EP137" s="55">
        <f t="shared" si="787"/>
        <v>0.56999999999999973</v>
      </c>
      <c r="ER137" s="55">
        <f t="shared" si="644"/>
        <v>23847.623800000005</v>
      </c>
      <c r="ES137" s="55">
        <f t="shared" si="507"/>
        <v>23847.623800000005</v>
      </c>
      <c r="ET137" s="59">
        <f t="shared" si="879"/>
        <v>78835.474758040014</v>
      </c>
      <c r="EU137" s="55">
        <f t="shared" si="880"/>
        <v>23132.195086000003</v>
      </c>
      <c r="EV137" s="59">
        <f t="shared" si="881"/>
        <v>76470.41051529882</v>
      </c>
      <c r="EW137" s="55">
        <f t="shared" si="882"/>
        <v>22655.242610000005</v>
      </c>
      <c r="EX137" s="59">
        <f t="shared" si="883"/>
        <v>74893.701020138018</v>
      </c>
      <c r="EY137" s="55">
        <f t="shared" si="884"/>
        <v>22178.290134000006</v>
      </c>
      <c r="EZ137" s="59">
        <f t="shared" si="885"/>
        <v>73316.991524977217</v>
      </c>
      <c r="FA137" s="57">
        <f t="shared" si="886"/>
        <v>21701.337658000004</v>
      </c>
      <c r="FB137" s="59">
        <f t="shared" si="887"/>
        <v>71740.282029816415</v>
      </c>
      <c r="FC137" s="55">
        <f t="shared" si="888"/>
        <v>21224.385182000005</v>
      </c>
      <c r="FD137" s="59">
        <f t="shared" si="889"/>
        <v>70163.572534655614</v>
      </c>
      <c r="FE137" s="57">
        <f t="shared" si="890"/>
        <v>20747.432706000003</v>
      </c>
      <c r="FF137" s="59">
        <f t="shared" si="891"/>
        <v>68586.863039494812</v>
      </c>
      <c r="FG137" s="60">
        <f t="shared" si="892"/>
        <v>20270.480230000005</v>
      </c>
      <c r="FH137" s="59">
        <f t="shared" si="893"/>
        <v>67010.153544334011</v>
      </c>
      <c r="FI137" s="57">
        <f t="shared" si="894"/>
        <v>19793.527754000002</v>
      </c>
      <c r="FJ137" s="59">
        <f t="shared" si="895"/>
        <v>65433.444049173209</v>
      </c>
      <c r="FK137" s="55">
        <f t="shared" si="896"/>
        <v>19316.575278000004</v>
      </c>
      <c r="FL137" s="59">
        <f t="shared" si="897"/>
        <v>63856.734554012415</v>
      </c>
      <c r="FM137" s="60">
        <f t="shared" si="898"/>
        <v>18839.622802000002</v>
      </c>
      <c r="FN137" s="59">
        <f t="shared" si="899"/>
        <v>62280.025058851606</v>
      </c>
      <c r="FO137" s="60">
        <f t="shared" si="900"/>
        <v>18362.670326000003</v>
      </c>
      <c r="FP137" s="59">
        <f t="shared" si="901"/>
        <v>60703.315563690812</v>
      </c>
      <c r="FQ137" s="60">
        <f t="shared" si="902"/>
        <v>17885.717850000001</v>
      </c>
      <c r="FR137" s="59">
        <f t="shared" si="903"/>
        <v>59126.606068530004</v>
      </c>
      <c r="FS137" s="55">
        <f t="shared" si="904"/>
        <v>17408.765373999999</v>
      </c>
      <c r="FT137" s="59">
        <f t="shared" si="905"/>
        <v>57549.896573369195</v>
      </c>
      <c r="FU137" s="60">
        <f t="shared" si="906"/>
        <v>16931.812898</v>
      </c>
      <c r="FV137" s="59">
        <f t="shared" si="907"/>
        <v>55973.187078208401</v>
      </c>
      <c r="FW137" s="60">
        <f t="shared" si="908"/>
        <v>16454.860421999998</v>
      </c>
      <c r="FX137" s="59">
        <f t="shared" si="909"/>
        <v>54396.477583047592</v>
      </c>
      <c r="FY137" s="60">
        <f t="shared" si="910"/>
        <v>15977.907945999999</v>
      </c>
      <c r="FZ137" s="59">
        <f t="shared" si="911"/>
        <v>52819.768087886798</v>
      </c>
      <c r="GA137" s="60">
        <f t="shared" si="912"/>
        <v>15500.955469999999</v>
      </c>
      <c r="GB137" s="59">
        <f t="shared" si="913"/>
        <v>51243.058592725996</v>
      </c>
      <c r="GC137" s="55">
        <f t="shared" si="914"/>
        <v>15024.002993999999</v>
      </c>
      <c r="GD137" s="59">
        <f t="shared" si="915"/>
        <v>49666.349097565195</v>
      </c>
      <c r="GE137" s="60">
        <f t="shared" si="916"/>
        <v>14547.050517999998</v>
      </c>
      <c r="GF137" s="59">
        <f t="shared" si="917"/>
        <v>48089.639602404393</v>
      </c>
      <c r="GG137" s="60">
        <f t="shared" si="918"/>
        <v>14070.098041999996</v>
      </c>
      <c r="GH137" s="59">
        <f t="shared" si="919"/>
        <v>46512.930107243585</v>
      </c>
      <c r="GI137" s="55">
        <f t="shared" si="920"/>
        <v>13593.145565999996</v>
      </c>
      <c r="GJ137" s="59">
        <f t="shared" si="921"/>
        <v>44936.220612082783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788"/>
        <v>0.91</v>
      </c>
      <c r="GR137" s="55">
        <f t="shared" si="788"/>
        <v>0.89</v>
      </c>
      <c r="GS137" s="55">
        <f t="shared" si="788"/>
        <v>0.87</v>
      </c>
      <c r="GT137" s="55">
        <f t="shared" si="788"/>
        <v>0.85</v>
      </c>
      <c r="GU137" s="55">
        <f t="shared" si="788"/>
        <v>0.83</v>
      </c>
      <c r="GV137" s="55">
        <f t="shared" si="788"/>
        <v>0.80999999999999994</v>
      </c>
      <c r="GW137" s="55">
        <f t="shared" si="788"/>
        <v>0.78999999999999992</v>
      </c>
      <c r="GX137" s="55">
        <f t="shared" si="788"/>
        <v>0.76999999999999991</v>
      </c>
      <c r="GY137" s="55">
        <f t="shared" si="788"/>
        <v>0.74999999999999989</v>
      </c>
      <c r="GZ137" s="55">
        <f t="shared" si="788"/>
        <v>0.72999999999999987</v>
      </c>
      <c r="HA137" s="55">
        <f t="shared" si="788"/>
        <v>0.70999999999999985</v>
      </c>
      <c r="HB137" s="55">
        <f t="shared" si="788"/>
        <v>0.68999999999999984</v>
      </c>
      <c r="HC137" s="55">
        <f t="shared" si="788"/>
        <v>0.66999999999999982</v>
      </c>
      <c r="HD137" s="55">
        <f t="shared" si="788"/>
        <v>0.6499999999999998</v>
      </c>
      <c r="HE137" s="55">
        <f t="shared" si="788"/>
        <v>0.62999999999999978</v>
      </c>
      <c r="HF137" s="55">
        <f t="shared" si="788"/>
        <v>0.60999999999999976</v>
      </c>
      <c r="HG137" s="55">
        <f t="shared" si="788"/>
        <v>0.58999999999999975</v>
      </c>
      <c r="HH137" s="55">
        <f t="shared" si="788"/>
        <v>0.56999999999999973</v>
      </c>
    </row>
    <row r="138" spans="1:216" x14ac:dyDescent="0.3">
      <c r="A138" s="2">
        <v>9</v>
      </c>
      <c r="C138" s="38" t="s">
        <v>63</v>
      </c>
      <c r="D138" s="42">
        <f>TRUNC(25685,-1)</f>
        <v>25680</v>
      </c>
      <c r="E138" s="86">
        <f>TRUNC(+D138*3.3058,-1)</f>
        <v>84890</v>
      </c>
      <c r="H138" s="55">
        <f t="shared" si="502"/>
        <v>93379.000000000015</v>
      </c>
      <c r="I138" s="55">
        <f t="shared" si="503"/>
        <v>93379.000000000015</v>
      </c>
      <c r="J138" s="59">
        <f t="shared" si="504"/>
        <v>308692.29820000008</v>
      </c>
      <c r="K138" s="55">
        <f t="shared" si="793"/>
        <v>90577.63</v>
      </c>
      <c r="L138" s="59">
        <f t="shared" si="794"/>
        <v>299431.52925399999</v>
      </c>
      <c r="M138" s="55">
        <f t="shared" si="795"/>
        <v>88710.05</v>
      </c>
      <c r="N138" s="59">
        <f t="shared" si="796"/>
        <v>293257.68329000002</v>
      </c>
      <c r="O138" s="55">
        <f t="shared" si="797"/>
        <v>86842.470000000016</v>
      </c>
      <c r="P138" s="59">
        <f t="shared" si="798"/>
        <v>287083.83732600004</v>
      </c>
      <c r="Q138" s="57">
        <f t="shared" si="799"/>
        <v>84974.890000000014</v>
      </c>
      <c r="R138" s="59">
        <f t="shared" si="800"/>
        <v>280909.99136200006</v>
      </c>
      <c r="S138" s="55">
        <f t="shared" si="801"/>
        <v>83107.310000000012</v>
      </c>
      <c r="T138" s="59">
        <f t="shared" si="802"/>
        <v>274736.14539800002</v>
      </c>
      <c r="U138" s="57">
        <f t="shared" si="803"/>
        <v>81239.73000000001</v>
      </c>
      <c r="V138" s="59">
        <f t="shared" si="804"/>
        <v>268562.29943400004</v>
      </c>
      <c r="W138" s="60">
        <f t="shared" si="805"/>
        <v>79372.150000000009</v>
      </c>
      <c r="X138" s="59">
        <f t="shared" si="806"/>
        <v>262388.45347000001</v>
      </c>
      <c r="Y138" s="57">
        <f t="shared" si="807"/>
        <v>77504.570000000007</v>
      </c>
      <c r="Z138" s="59">
        <f t="shared" si="808"/>
        <v>256214.60750600003</v>
      </c>
      <c r="AA138" s="55">
        <f t="shared" si="809"/>
        <v>75636.990000000005</v>
      </c>
      <c r="AB138" s="59">
        <f t="shared" si="810"/>
        <v>250040.76154200002</v>
      </c>
      <c r="AC138" s="60">
        <f t="shared" si="811"/>
        <v>73769.41</v>
      </c>
      <c r="AD138" s="59">
        <f t="shared" si="812"/>
        <v>243866.91557800001</v>
      </c>
      <c r="AE138" s="60">
        <f t="shared" si="813"/>
        <v>71901.83</v>
      </c>
      <c r="AF138" s="59">
        <f t="shared" si="814"/>
        <v>237693.06961400001</v>
      </c>
      <c r="AG138" s="60">
        <f t="shared" si="815"/>
        <v>70034.25</v>
      </c>
      <c r="AH138" s="59">
        <f t="shared" si="816"/>
        <v>231519.22365</v>
      </c>
      <c r="AI138" s="55">
        <f t="shared" si="817"/>
        <v>68166.67</v>
      </c>
      <c r="AJ138" s="59">
        <f t="shared" si="818"/>
        <v>225345.37768599999</v>
      </c>
      <c r="AK138" s="60">
        <f t="shared" si="819"/>
        <v>66299.09</v>
      </c>
      <c r="AL138" s="59">
        <f t="shared" si="820"/>
        <v>219171.53172199999</v>
      </c>
      <c r="AM138" s="60">
        <f t="shared" si="821"/>
        <v>64431.509999999995</v>
      </c>
      <c r="AN138" s="59">
        <f t="shared" si="822"/>
        <v>212997.68575799998</v>
      </c>
      <c r="AO138" s="60">
        <f t="shared" si="823"/>
        <v>62563.929999999993</v>
      </c>
      <c r="AP138" s="59">
        <f t="shared" si="824"/>
        <v>206823.83979399997</v>
      </c>
      <c r="AQ138" s="60">
        <f t="shared" si="825"/>
        <v>60696.349999999991</v>
      </c>
      <c r="AR138" s="59">
        <f t="shared" si="826"/>
        <v>200649.99382999996</v>
      </c>
      <c r="AS138" s="55">
        <f t="shared" si="827"/>
        <v>58828.76999999999</v>
      </c>
      <c r="AT138" s="59">
        <f t="shared" si="828"/>
        <v>194476.14786599996</v>
      </c>
      <c r="AU138" s="60">
        <f t="shared" si="829"/>
        <v>56961.189999999988</v>
      </c>
      <c r="AV138" s="59">
        <f t="shared" si="830"/>
        <v>188302.30190199998</v>
      </c>
      <c r="AW138" s="60">
        <f t="shared" si="831"/>
        <v>55093.609999999986</v>
      </c>
      <c r="AX138" s="59">
        <f t="shared" si="832"/>
        <v>182128.45593799997</v>
      </c>
      <c r="AY138" s="55">
        <f t="shared" si="833"/>
        <v>53226.029999999984</v>
      </c>
      <c r="AZ138" s="59">
        <f t="shared" si="834"/>
        <v>175954.60997399996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35"/>
        <v>0.91</v>
      </c>
      <c r="BH138" s="55">
        <f t="shared" si="835"/>
        <v>0.89</v>
      </c>
      <c r="BI138" s="55">
        <f t="shared" si="835"/>
        <v>0.87</v>
      </c>
      <c r="BJ138" s="55">
        <f t="shared" si="835"/>
        <v>0.85</v>
      </c>
      <c r="BK138" s="55">
        <f t="shared" si="835"/>
        <v>0.83</v>
      </c>
      <c r="BL138" s="55">
        <f t="shared" si="835"/>
        <v>0.80999999999999994</v>
      </c>
      <c r="BM138" s="55">
        <f t="shared" si="835"/>
        <v>0.78999999999999992</v>
      </c>
      <c r="BN138" s="55">
        <f t="shared" si="835"/>
        <v>0.76999999999999991</v>
      </c>
      <c r="BO138" s="55">
        <f t="shared" si="835"/>
        <v>0.74999999999999989</v>
      </c>
      <c r="BP138" s="55">
        <f t="shared" si="835"/>
        <v>0.72999999999999987</v>
      </c>
      <c r="BQ138" s="55">
        <f t="shared" si="835"/>
        <v>0.70999999999999985</v>
      </c>
      <c r="BR138" s="55">
        <f t="shared" si="835"/>
        <v>0.68999999999999984</v>
      </c>
      <c r="BS138" s="55">
        <f t="shared" si="835"/>
        <v>0.66999999999999982</v>
      </c>
      <c r="BT138" s="55">
        <f t="shared" si="835"/>
        <v>0.6499999999999998</v>
      </c>
      <c r="BU138" s="55">
        <f t="shared" si="835"/>
        <v>0.62999999999999978</v>
      </c>
      <c r="BV138" s="55">
        <f t="shared" si="835"/>
        <v>0.60999999999999976</v>
      </c>
      <c r="BW138" s="55">
        <f t="shared" si="835"/>
        <v>0.58999999999999975</v>
      </c>
      <c r="BX138" s="55">
        <f t="shared" si="835"/>
        <v>0.56999999999999973</v>
      </c>
      <c r="BZ138" s="55">
        <f t="shared" si="505"/>
        <v>84974.890000000014</v>
      </c>
      <c r="CA138" s="55">
        <f t="shared" si="506"/>
        <v>84974.890000000014</v>
      </c>
      <c r="CB138" s="59">
        <f t="shared" si="836"/>
        <v>280909.99136200006</v>
      </c>
      <c r="CC138" s="55">
        <f t="shared" si="837"/>
        <v>82425.643300000011</v>
      </c>
      <c r="CD138" s="59">
        <f t="shared" si="838"/>
        <v>272482.69162114005</v>
      </c>
      <c r="CE138" s="55">
        <f t="shared" si="839"/>
        <v>80726.145500000013</v>
      </c>
      <c r="CF138" s="59">
        <f t="shared" si="840"/>
        <v>266864.49179390003</v>
      </c>
      <c r="CG138" s="55">
        <f t="shared" si="841"/>
        <v>79026.647700000016</v>
      </c>
      <c r="CH138" s="59">
        <f t="shared" si="842"/>
        <v>261246.29196666006</v>
      </c>
      <c r="CI138" s="57">
        <f t="shared" si="843"/>
        <v>77327.149900000019</v>
      </c>
      <c r="CJ138" s="59">
        <f t="shared" si="844"/>
        <v>255628.09213942007</v>
      </c>
      <c r="CK138" s="55">
        <f t="shared" si="845"/>
        <v>75627.652100000007</v>
      </c>
      <c r="CL138" s="59">
        <f t="shared" si="846"/>
        <v>250009.89231218002</v>
      </c>
      <c r="CM138" s="57">
        <f t="shared" si="847"/>
        <v>73928.154300000009</v>
      </c>
      <c r="CN138" s="59">
        <f t="shared" si="848"/>
        <v>244391.69248494002</v>
      </c>
      <c r="CO138" s="60">
        <f t="shared" si="849"/>
        <v>72228.656500000012</v>
      </c>
      <c r="CP138" s="59">
        <f t="shared" si="850"/>
        <v>238773.49265770006</v>
      </c>
      <c r="CQ138" s="57">
        <f t="shared" si="851"/>
        <v>70529.158700000015</v>
      </c>
      <c r="CR138" s="59">
        <f t="shared" si="852"/>
        <v>233155.29283046006</v>
      </c>
      <c r="CS138" s="55">
        <f t="shared" si="853"/>
        <v>68829.660900000003</v>
      </c>
      <c r="CT138" s="59">
        <f t="shared" si="854"/>
        <v>227537.09300322001</v>
      </c>
      <c r="CU138" s="60">
        <f t="shared" si="855"/>
        <v>67130.163100000005</v>
      </c>
      <c r="CV138" s="59">
        <f t="shared" si="856"/>
        <v>221918.89317598002</v>
      </c>
      <c r="CW138" s="60">
        <f t="shared" si="857"/>
        <v>65430.665300000001</v>
      </c>
      <c r="CX138" s="59">
        <f t="shared" si="858"/>
        <v>216300.69334873999</v>
      </c>
      <c r="CY138" s="60">
        <f t="shared" si="859"/>
        <v>63731.167500000003</v>
      </c>
      <c r="CZ138" s="59">
        <f t="shared" si="860"/>
        <v>210682.49352150003</v>
      </c>
      <c r="DA138" s="55">
        <f t="shared" si="861"/>
        <v>62031.669699999999</v>
      </c>
      <c r="DB138" s="59">
        <f t="shared" si="862"/>
        <v>205064.29369426001</v>
      </c>
      <c r="DC138" s="60">
        <f t="shared" si="863"/>
        <v>60332.171899999994</v>
      </c>
      <c r="DD138" s="59">
        <f t="shared" si="864"/>
        <v>199446.09386701998</v>
      </c>
      <c r="DE138" s="60">
        <f t="shared" si="865"/>
        <v>58632.674099999997</v>
      </c>
      <c r="DF138" s="59">
        <f t="shared" si="866"/>
        <v>193827.89403977999</v>
      </c>
      <c r="DG138" s="60">
        <f t="shared" si="867"/>
        <v>56933.176299999992</v>
      </c>
      <c r="DH138" s="59">
        <f t="shared" si="868"/>
        <v>188209.69421253997</v>
      </c>
      <c r="DI138" s="60">
        <f t="shared" si="869"/>
        <v>55233.678499999995</v>
      </c>
      <c r="DJ138" s="59">
        <f t="shared" si="870"/>
        <v>182591.49438529997</v>
      </c>
      <c r="DK138" s="55">
        <f t="shared" si="871"/>
        <v>53534.18069999999</v>
      </c>
      <c r="DL138" s="59">
        <f t="shared" si="872"/>
        <v>176973.29455805998</v>
      </c>
      <c r="DM138" s="60">
        <f t="shared" si="873"/>
        <v>51834.682899999985</v>
      </c>
      <c r="DN138" s="59">
        <f t="shared" si="874"/>
        <v>171355.09473081995</v>
      </c>
      <c r="DO138" s="60">
        <f t="shared" si="875"/>
        <v>50135.185099999988</v>
      </c>
      <c r="DP138" s="59">
        <f t="shared" si="876"/>
        <v>165736.89490357996</v>
      </c>
      <c r="DQ138" s="55">
        <f t="shared" si="877"/>
        <v>48435.687299999983</v>
      </c>
      <c r="DR138" s="59">
        <f t="shared" si="878"/>
        <v>160118.69507633994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787"/>
        <v>0.91</v>
      </c>
      <c r="DZ138" s="55">
        <f t="shared" si="787"/>
        <v>0.89</v>
      </c>
      <c r="EA138" s="55">
        <f t="shared" si="787"/>
        <v>0.87</v>
      </c>
      <c r="EB138" s="55">
        <f t="shared" ref="EB138:EP138" si="922">+EA138-0.02</f>
        <v>0.85</v>
      </c>
      <c r="EC138" s="55">
        <f t="shared" si="922"/>
        <v>0.83</v>
      </c>
      <c r="ED138" s="55">
        <f t="shared" si="922"/>
        <v>0.80999999999999994</v>
      </c>
      <c r="EE138" s="55">
        <f t="shared" si="922"/>
        <v>0.78999999999999992</v>
      </c>
      <c r="EF138" s="55">
        <f t="shared" si="922"/>
        <v>0.76999999999999991</v>
      </c>
      <c r="EG138" s="55">
        <f t="shared" si="922"/>
        <v>0.74999999999999989</v>
      </c>
      <c r="EH138" s="55">
        <f t="shared" si="922"/>
        <v>0.72999999999999987</v>
      </c>
      <c r="EI138" s="55">
        <f t="shared" si="922"/>
        <v>0.70999999999999985</v>
      </c>
      <c r="EJ138" s="55">
        <f t="shared" si="922"/>
        <v>0.68999999999999984</v>
      </c>
      <c r="EK138" s="55">
        <f t="shared" si="922"/>
        <v>0.66999999999999982</v>
      </c>
      <c r="EL138" s="55">
        <f t="shared" si="922"/>
        <v>0.6499999999999998</v>
      </c>
      <c r="EM138" s="55">
        <f t="shared" si="922"/>
        <v>0.62999999999999978</v>
      </c>
      <c r="EN138" s="55">
        <f t="shared" si="922"/>
        <v>0.60999999999999976</v>
      </c>
      <c r="EO138" s="55">
        <f t="shared" si="922"/>
        <v>0.58999999999999975</v>
      </c>
      <c r="EP138" s="55">
        <f t="shared" si="922"/>
        <v>0.56999999999999973</v>
      </c>
      <c r="ER138" s="55">
        <f t="shared" si="644"/>
        <v>77327.149900000019</v>
      </c>
      <c r="ES138" s="55">
        <f t="shared" si="507"/>
        <v>77327.149900000019</v>
      </c>
      <c r="ET138" s="59">
        <f t="shared" si="879"/>
        <v>255628.09213942007</v>
      </c>
      <c r="EU138" s="55">
        <f t="shared" si="880"/>
        <v>75007.335403000019</v>
      </c>
      <c r="EV138" s="59">
        <f t="shared" si="881"/>
        <v>247959.24937523747</v>
      </c>
      <c r="EW138" s="55">
        <f t="shared" si="882"/>
        <v>73460.792405000015</v>
      </c>
      <c r="EX138" s="59">
        <f t="shared" si="883"/>
        <v>242846.68753244905</v>
      </c>
      <c r="EY138" s="55">
        <f t="shared" si="884"/>
        <v>71914.249407000025</v>
      </c>
      <c r="EZ138" s="59">
        <f t="shared" si="885"/>
        <v>237734.12568966069</v>
      </c>
      <c r="FA138" s="57">
        <f t="shared" si="886"/>
        <v>70367.70640900002</v>
      </c>
      <c r="FB138" s="59">
        <f t="shared" si="887"/>
        <v>232621.56384687228</v>
      </c>
      <c r="FC138" s="55">
        <f t="shared" si="888"/>
        <v>68821.163411000016</v>
      </c>
      <c r="FD138" s="59">
        <f t="shared" si="889"/>
        <v>227509.00200408386</v>
      </c>
      <c r="FE138" s="57">
        <f t="shared" si="890"/>
        <v>67274.620413000011</v>
      </c>
      <c r="FF138" s="59">
        <f t="shared" si="891"/>
        <v>222396.44016129544</v>
      </c>
      <c r="FG138" s="60">
        <f t="shared" si="892"/>
        <v>65728.077415000007</v>
      </c>
      <c r="FH138" s="59">
        <f t="shared" si="893"/>
        <v>217283.87831850702</v>
      </c>
      <c r="FI138" s="57">
        <f t="shared" si="894"/>
        <v>64181.53441700001</v>
      </c>
      <c r="FJ138" s="59">
        <f t="shared" si="895"/>
        <v>212171.31647571863</v>
      </c>
      <c r="FK138" s="55">
        <f t="shared" si="896"/>
        <v>62634.991419000013</v>
      </c>
      <c r="FL138" s="59">
        <f t="shared" si="897"/>
        <v>207058.75463293024</v>
      </c>
      <c r="FM138" s="60">
        <f t="shared" si="898"/>
        <v>61088.448421000008</v>
      </c>
      <c r="FN138" s="59">
        <f t="shared" si="899"/>
        <v>201946.19279014182</v>
      </c>
      <c r="FO138" s="60">
        <f t="shared" si="900"/>
        <v>59541.905423000004</v>
      </c>
      <c r="FP138" s="59">
        <f t="shared" si="901"/>
        <v>196833.63094735341</v>
      </c>
      <c r="FQ138" s="60">
        <f t="shared" si="902"/>
        <v>57995.362425000007</v>
      </c>
      <c r="FR138" s="59">
        <f t="shared" si="903"/>
        <v>191721.06910456502</v>
      </c>
      <c r="FS138" s="55">
        <f t="shared" si="904"/>
        <v>56448.819427000002</v>
      </c>
      <c r="FT138" s="59">
        <f t="shared" si="905"/>
        <v>186608.5072617766</v>
      </c>
      <c r="FU138" s="60">
        <f t="shared" si="906"/>
        <v>54902.276429000005</v>
      </c>
      <c r="FV138" s="59">
        <f t="shared" si="907"/>
        <v>181495.94541898821</v>
      </c>
      <c r="FW138" s="60">
        <f t="shared" si="908"/>
        <v>53355.733431000001</v>
      </c>
      <c r="FX138" s="59">
        <f t="shared" si="909"/>
        <v>176383.38357619982</v>
      </c>
      <c r="FY138" s="60">
        <f t="shared" si="910"/>
        <v>51809.190432999996</v>
      </c>
      <c r="FZ138" s="59">
        <f t="shared" si="911"/>
        <v>171270.8217334114</v>
      </c>
      <c r="GA138" s="60">
        <f t="shared" si="912"/>
        <v>50262.647434999999</v>
      </c>
      <c r="GB138" s="59">
        <f t="shared" si="913"/>
        <v>166158.25989062301</v>
      </c>
      <c r="GC138" s="55">
        <f t="shared" si="914"/>
        <v>48716.104436999995</v>
      </c>
      <c r="GD138" s="59">
        <f t="shared" si="915"/>
        <v>161045.69804783459</v>
      </c>
      <c r="GE138" s="60">
        <f t="shared" si="916"/>
        <v>47169.56143899999</v>
      </c>
      <c r="GF138" s="59">
        <f t="shared" si="917"/>
        <v>155933.13620504618</v>
      </c>
      <c r="GG138" s="60">
        <f t="shared" si="918"/>
        <v>45623.018440999993</v>
      </c>
      <c r="GH138" s="59">
        <f t="shared" si="919"/>
        <v>150820.57436225779</v>
      </c>
      <c r="GI138" s="55">
        <f t="shared" si="920"/>
        <v>44076.475442999988</v>
      </c>
      <c r="GJ138" s="59">
        <f t="shared" si="921"/>
        <v>145708.01251946937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788"/>
        <v>0.91</v>
      </c>
      <c r="GR138" s="55">
        <f t="shared" si="788"/>
        <v>0.89</v>
      </c>
      <c r="GS138" s="55">
        <f t="shared" si="788"/>
        <v>0.87</v>
      </c>
      <c r="GT138" s="55">
        <f t="shared" ref="GT138:HH138" si="923">+GS138-0.02</f>
        <v>0.85</v>
      </c>
      <c r="GU138" s="55">
        <f t="shared" si="923"/>
        <v>0.83</v>
      </c>
      <c r="GV138" s="55">
        <f t="shared" si="923"/>
        <v>0.80999999999999994</v>
      </c>
      <c r="GW138" s="55">
        <f t="shared" si="923"/>
        <v>0.78999999999999992</v>
      </c>
      <c r="GX138" s="55">
        <f t="shared" si="923"/>
        <v>0.76999999999999991</v>
      </c>
      <c r="GY138" s="55">
        <f t="shared" si="923"/>
        <v>0.74999999999999989</v>
      </c>
      <c r="GZ138" s="55">
        <f t="shared" si="923"/>
        <v>0.72999999999999987</v>
      </c>
      <c r="HA138" s="55">
        <f t="shared" si="923"/>
        <v>0.70999999999999985</v>
      </c>
      <c r="HB138" s="55">
        <f t="shared" si="923"/>
        <v>0.68999999999999984</v>
      </c>
      <c r="HC138" s="55">
        <f t="shared" si="923"/>
        <v>0.66999999999999982</v>
      </c>
      <c r="HD138" s="55">
        <f t="shared" si="923"/>
        <v>0.6499999999999998</v>
      </c>
      <c r="HE138" s="55">
        <f t="shared" si="923"/>
        <v>0.62999999999999978</v>
      </c>
      <c r="HF138" s="55">
        <f t="shared" si="923"/>
        <v>0.60999999999999976</v>
      </c>
      <c r="HG138" s="55">
        <f t="shared" si="923"/>
        <v>0.58999999999999975</v>
      </c>
      <c r="HH138" s="55">
        <f t="shared" si="923"/>
        <v>0.56999999999999973</v>
      </c>
    </row>
    <row r="139" spans="1:216" ht="17.25" thickBot="1" x14ac:dyDescent="0.35">
      <c r="A139" s="2">
        <v>10</v>
      </c>
      <c r="C139" s="38" t="s">
        <v>150</v>
      </c>
      <c r="D139" s="43">
        <v>0</v>
      </c>
      <c r="E139" s="87">
        <f>TRUNC(+D139*3.3058,-1)</f>
        <v>0</v>
      </c>
      <c r="H139" s="55">
        <f t="shared" si="502"/>
        <v>0</v>
      </c>
      <c r="I139" s="55">
        <f t="shared" si="503"/>
        <v>0</v>
      </c>
      <c r="J139" s="59">
        <f t="shared" si="504"/>
        <v>0</v>
      </c>
      <c r="K139" s="55">
        <f t="shared" si="793"/>
        <v>0</v>
      </c>
      <c r="L139" s="59">
        <f t="shared" si="794"/>
        <v>0</v>
      </c>
      <c r="M139" s="55">
        <f t="shared" si="795"/>
        <v>0</v>
      </c>
      <c r="N139" s="59">
        <f t="shared" si="796"/>
        <v>0</v>
      </c>
      <c r="O139" s="55">
        <f t="shared" si="797"/>
        <v>0</v>
      </c>
      <c r="P139" s="59">
        <f t="shared" si="798"/>
        <v>0</v>
      </c>
      <c r="Q139" s="57">
        <f t="shared" si="799"/>
        <v>0</v>
      </c>
      <c r="R139" s="59">
        <f t="shared" si="800"/>
        <v>0</v>
      </c>
      <c r="S139" s="55">
        <f t="shared" si="801"/>
        <v>0</v>
      </c>
      <c r="T139" s="59">
        <f t="shared" si="802"/>
        <v>0</v>
      </c>
      <c r="U139" s="57">
        <f t="shared" si="803"/>
        <v>0</v>
      </c>
      <c r="V139" s="59">
        <f t="shared" si="804"/>
        <v>0</v>
      </c>
      <c r="W139" s="60">
        <f t="shared" si="805"/>
        <v>0</v>
      </c>
      <c r="X139" s="59">
        <f t="shared" si="806"/>
        <v>0</v>
      </c>
      <c r="Y139" s="57">
        <f t="shared" si="807"/>
        <v>0</v>
      </c>
      <c r="Z139" s="59">
        <f t="shared" si="808"/>
        <v>0</v>
      </c>
      <c r="AA139" s="55">
        <f t="shared" si="809"/>
        <v>0</v>
      </c>
      <c r="AB139" s="59">
        <f t="shared" si="810"/>
        <v>0</v>
      </c>
      <c r="AC139" s="60">
        <f t="shared" si="811"/>
        <v>0</v>
      </c>
      <c r="AD139" s="59">
        <f t="shared" si="812"/>
        <v>0</v>
      </c>
      <c r="AE139" s="60">
        <f t="shared" si="813"/>
        <v>0</v>
      </c>
      <c r="AF139" s="59">
        <f t="shared" si="814"/>
        <v>0</v>
      </c>
      <c r="AG139" s="60">
        <f t="shared" si="815"/>
        <v>0</v>
      </c>
      <c r="AH139" s="59">
        <f t="shared" si="816"/>
        <v>0</v>
      </c>
      <c r="AI139" s="55">
        <f t="shared" si="817"/>
        <v>0</v>
      </c>
      <c r="AJ139" s="59">
        <f t="shared" si="818"/>
        <v>0</v>
      </c>
      <c r="AK139" s="60">
        <f t="shared" si="819"/>
        <v>0</v>
      </c>
      <c r="AL139" s="59">
        <f t="shared" si="820"/>
        <v>0</v>
      </c>
      <c r="AM139" s="60">
        <f t="shared" si="821"/>
        <v>0</v>
      </c>
      <c r="AN139" s="59">
        <f t="shared" si="822"/>
        <v>0</v>
      </c>
      <c r="AO139" s="60">
        <f t="shared" si="823"/>
        <v>0</v>
      </c>
      <c r="AP139" s="59">
        <f t="shared" si="824"/>
        <v>0</v>
      </c>
      <c r="AQ139" s="60">
        <f t="shared" si="825"/>
        <v>0</v>
      </c>
      <c r="AR139" s="59">
        <f t="shared" si="826"/>
        <v>0</v>
      </c>
      <c r="AS139" s="55">
        <f t="shared" si="827"/>
        <v>0</v>
      </c>
      <c r="AT139" s="59">
        <f t="shared" si="828"/>
        <v>0</v>
      </c>
      <c r="AU139" s="60">
        <f t="shared" si="829"/>
        <v>0</v>
      </c>
      <c r="AV139" s="59">
        <f t="shared" si="830"/>
        <v>0</v>
      </c>
      <c r="AW139" s="60">
        <f t="shared" si="831"/>
        <v>0</v>
      </c>
      <c r="AX139" s="59">
        <f t="shared" si="832"/>
        <v>0</v>
      </c>
      <c r="AY139" s="55">
        <f t="shared" si="833"/>
        <v>0</v>
      </c>
      <c r="AZ139" s="59">
        <f t="shared" si="834"/>
        <v>0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35"/>
        <v>0.91</v>
      </c>
      <c r="BH139" s="55">
        <f t="shared" si="835"/>
        <v>0.89</v>
      </c>
      <c r="BI139" s="55">
        <f t="shared" si="835"/>
        <v>0.87</v>
      </c>
      <c r="BJ139" s="55">
        <f t="shared" si="835"/>
        <v>0.85</v>
      </c>
      <c r="BK139" s="55">
        <f t="shared" si="835"/>
        <v>0.83</v>
      </c>
      <c r="BL139" s="55">
        <f t="shared" si="835"/>
        <v>0.80999999999999994</v>
      </c>
      <c r="BM139" s="55">
        <f t="shared" si="835"/>
        <v>0.78999999999999992</v>
      </c>
      <c r="BN139" s="55">
        <f t="shared" si="835"/>
        <v>0.76999999999999991</v>
      </c>
      <c r="BO139" s="55">
        <f t="shared" si="835"/>
        <v>0.74999999999999989</v>
      </c>
      <c r="BP139" s="55">
        <f t="shared" si="835"/>
        <v>0.72999999999999987</v>
      </c>
      <c r="BQ139" s="55">
        <f t="shared" si="835"/>
        <v>0.70999999999999985</v>
      </c>
      <c r="BR139" s="55">
        <f t="shared" si="835"/>
        <v>0.68999999999999984</v>
      </c>
      <c r="BS139" s="55">
        <f t="shared" si="835"/>
        <v>0.66999999999999982</v>
      </c>
      <c r="BT139" s="55">
        <f t="shared" si="835"/>
        <v>0.6499999999999998</v>
      </c>
      <c r="BU139" s="55">
        <f t="shared" si="835"/>
        <v>0.62999999999999978</v>
      </c>
      <c r="BV139" s="55">
        <f t="shared" si="835"/>
        <v>0.60999999999999976</v>
      </c>
      <c r="BW139" s="55">
        <f t="shared" si="835"/>
        <v>0.58999999999999975</v>
      </c>
      <c r="BX139" s="55">
        <f t="shared" si="835"/>
        <v>0.56999999999999973</v>
      </c>
      <c r="BZ139" s="55">
        <f t="shared" si="505"/>
        <v>0</v>
      </c>
      <c r="CA139" s="55">
        <f t="shared" si="506"/>
        <v>0</v>
      </c>
      <c r="CB139" s="59">
        <f t="shared" si="836"/>
        <v>0</v>
      </c>
      <c r="CC139" s="55">
        <f t="shared" si="837"/>
        <v>0</v>
      </c>
      <c r="CD139" s="59">
        <f t="shared" si="838"/>
        <v>0</v>
      </c>
      <c r="CE139" s="55">
        <f t="shared" si="839"/>
        <v>0</v>
      </c>
      <c r="CF139" s="59">
        <f t="shared" si="840"/>
        <v>0</v>
      </c>
      <c r="CG139" s="55">
        <f t="shared" si="841"/>
        <v>0</v>
      </c>
      <c r="CH139" s="59">
        <f t="shared" si="842"/>
        <v>0</v>
      </c>
      <c r="CI139" s="57">
        <f t="shared" si="843"/>
        <v>0</v>
      </c>
      <c r="CJ139" s="59">
        <f t="shared" si="844"/>
        <v>0</v>
      </c>
      <c r="CK139" s="55">
        <f t="shared" si="845"/>
        <v>0</v>
      </c>
      <c r="CL139" s="59">
        <f t="shared" si="846"/>
        <v>0</v>
      </c>
      <c r="CM139" s="57">
        <f t="shared" si="847"/>
        <v>0</v>
      </c>
      <c r="CN139" s="59">
        <f t="shared" si="848"/>
        <v>0</v>
      </c>
      <c r="CO139" s="60">
        <f t="shared" si="849"/>
        <v>0</v>
      </c>
      <c r="CP139" s="59">
        <f t="shared" si="850"/>
        <v>0</v>
      </c>
      <c r="CQ139" s="57">
        <f t="shared" si="851"/>
        <v>0</v>
      </c>
      <c r="CR139" s="59">
        <f t="shared" si="852"/>
        <v>0</v>
      </c>
      <c r="CS139" s="55">
        <f t="shared" si="853"/>
        <v>0</v>
      </c>
      <c r="CT139" s="59">
        <f t="shared" si="854"/>
        <v>0</v>
      </c>
      <c r="CU139" s="60">
        <f t="shared" si="855"/>
        <v>0</v>
      </c>
      <c r="CV139" s="59">
        <f t="shared" si="856"/>
        <v>0</v>
      </c>
      <c r="CW139" s="60">
        <f t="shared" si="857"/>
        <v>0</v>
      </c>
      <c r="CX139" s="59">
        <f t="shared" si="858"/>
        <v>0</v>
      </c>
      <c r="CY139" s="60">
        <f t="shared" si="859"/>
        <v>0</v>
      </c>
      <c r="CZ139" s="59">
        <f t="shared" si="860"/>
        <v>0</v>
      </c>
      <c r="DA139" s="55">
        <f t="shared" si="861"/>
        <v>0</v>
      </c>
      <c r="DB139" s="59">
        <f t="shared" si="862"/>
        <v>0</v>
      </c>
      <c r="DC139" s="60">
        <f t="shared" si="863"/>
        <v>0</v>
      </c>
      <c r="DD139" s="59">
        <f t="shared" si="864"/>
        <v>0</v>
      </c>
      <c r="DE139" s="60">
        <f t="shared" si="865"/>
        <v>0</v>
      </c>
      <c r="DF139" s="59">
        <f t="shared" si="866"/>
        <v>0</v>
      </c>
      <c r="DG139" s="60">
        <f t="shared" si="867"/>
        <v>0</v>
      </c>
      <c r="DH139" s="59">
        <f t="shared" si="868"/>
        <v>0</v>
      </c>
      <c r="DI139" s="60">
        <f t="shared" si="869"/>
        <v>0</v>
      </c>
      <c r="DJ139" s="59">
        <f t="shared" si="870"/>
        <v>0</v>
      </c>
      <c r="DK139" s="55">
        <f t="shared" si="871"/>
        <v>0</v>
      </c>
      <c r="DL139" s="59">
        <f t="shared" si="872"/>
        <v>0</v>
      </c>
      <c r="DM139" s="60">
        <f t="shared" si="873"/>
        <v>0</v>
      </c>
      <c r="DN139" s="59">
        <f t="shared" si="874"/>
        <v>0</v>
      </c>
      <c r="DO139" s="60">
        <f t="shared" si="875"/>
        <v>0</v>
      </c>
      <c r="DP139" s="59">
        <f t="shared" si="876"/>
        <v>0</v>
      </c>
      <c r="DQ139" s="55">
        <f t="shared" si="877"/>
        <v>0</v>
      </c>
      <c r="DR139" s="59">
        <f t="shared" si="878"/>
        <v>0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ref="DY139:EP153" si="924">+DX139-0.02</f>
        <v>0.91</v>
      </c>
      <c r="DZ139" s="55">
        <f t="shared" si="924"/>
        <v>0.89</v>
      </c>
      <c r="EA139" s="55">
        <f t="shared" si="924"/>
        <v>0.87</v>
      </c>
      <c r="EB139" s="55">
        <f t="shared" si="924"/>
        <v>0.85</v>
      </c>
      <c r="EC139" s="55">
        <f t="shared" si="924"/>
        <v>0.83</v>
      </c>
      <c r="ED139" s="55">
        <f t="shared" si="924"/>
        <v>0.80999999999999994</v>
      </c>
      <c r="EE139" s="55">
        <f t="shared" si="924"/>
        <v>0.78999999999999992</v>
      </c>
      <c r="EF139" s="55">
        <f t="shared" si="924"/>
        <v>0.76999999999999991</v>
      </c>
      <c r="EG139" s="55">
        <f t="shared" si="924"/>
        <v>0.74999999999999989</v>
      </c>
      <c r="EH139" s="55">
        <f t="shared" si="924"/>
        <v>0.72999999999999987</v>
      </c>
      <c r="EI139" s="55">
        <f t="shared" si="924"/>
        <v>0.70999999999999985</v>
      </c>
      <c r="EJ139" s="55">
        <f t="shared" si="924"/>
        <v>0.68999999999999984</v>
      </c>
      <c r="EK139" s="55">
        <f t="shared" si="924"/>
        <v>0.66999999999999982</v>
      </c>
      <c r="EL139" s="55">
        <f t="shared" si="924"/>
        <v>0.6499999999999998</v>
      </c>
      <c r="EM139" s="55">
        <f t="shared" si="924"/>
        <v>0.62999999999999978</v>
      </c>
      <c r="EN139" s="55">
        <f t="shared" si="924"/>
        <v>0.60999999999999976</v>
      </c>
      <c r="EO139" s="55">
        <f t="shared" si="924"/>
        <v>0.58999999999999975</v>
      </c>
      <c r="EP139" s="55">
        <f t="shared" si="924"/>
        <v>0.56999999999999973</v>
      </c>
      <c r="ER139" s="55">
        <f t="shared" si="644"/>
        <v>0</v>
      </c>
      <c r="ES139" s="55">
        <f t="shared" si="507"/>
        <v>0</v>
      </c>
      <c r="ET139" s="59">
        <f t="shared" si="879"/>
        <v>0</v>
      </c>
      <c r="EU139" s="55">
        <f t="shared" si="880"/>
        <v>0</v>
      </c>
      <c r="EV139" s="59">
        <f t="shared" si="881"/>
        <v>0</v>
      </c>
      <c r="EW139" s="55">
        <f t="shared" si="882"/>
        <v>0</v>
      </c>
      <c r="EX139" s="59">
        <f t="shared" si="883"/>
        <v>0</v>
      </c>
      <c r="EY139" s="55">
        <f t="shared" si="884"/>
        <v>0</v>
      </c>
      <c r="EZ139" s="59">
        <f t="shared" si="885"/>
        <v>0</v>
      </c>
      <c r="FA139" s="57">
        <f t="shared" si="886"/>
        <v>0</v>
      </c>
      <c r="FB139" s="59">
        <f t="shared" si="887"/>
        <v>0</v>
      </c>
      <c r="FC139" s="55">
        <f t="shared" si="888"/>
        <v>0</v>
      </c>
      <c r="FD139" s="59">
        <f t="shared" si="889"/>
        <v>0</v>
      </c>
      <c r="FE139" s="57">
        <f t="shared" si="890"/>
        <v>0</v>
      </c>
      <c r="FF139" s="59">
        <f t="shared" si="891"/>
        <v>0</v>
      </c>
      <c r="FG139" s="60">
        <f t="shared" si="892"/>
        <v>0</v>
      </c>
      <c r="FH139" s="59">
        <f t="shared" si="893"/>
        <v>0</v>
      </c>
      <c r="FI139" s="57">
        <f t="shared" si="894"/>
        <v>0</v>
      </c>
      <c r="FJ139" s="59">
        <f t="shared" si="895"/>
        <v>0</v>
      </c>
      <c r="FK139" s="55">
        <f t="shared" si="896"/>
        <v>0</v>
      </c>
      <c r="FL139" s="59">
        <f t="shared" si="897"/>
        <v>0</v>
      </c>
      <c r="FM139" s="60">
        <f t="shared" si="898"/>
        <v>0</v>
      </c>
      <c r="FN139" s="59">
        <f t="shared" si="899"/>
        <v>0</v>
      </c>
      <c r="FO139" s="60">
        <f t="shared" si="900"/>
        <v>0</v>
      </c>
      <c r="FP139" s="59">
        <f t="shared" si="901"/>
        <v>0</v>
      </c>
      <c r="FQ139" s="60">
        <f t="shared" si="902"/>
        <v>0</v>
      </c>
      <c r="FR139" s="59">
        <f t="shared" si="903"/>
        <v>0</v>
      </c>
      <c r="FS139" s="55">
        <f t="shared" si="904"/>
        <v>0</v>
      </c>
      <c r="FT139" s="59">
        <f t="shared" si="905"/>
        <v>0</v>
      </c>
      <c r="FU139" s="60">
        <f t="shared" si="906"/>
        <v>0</v>
      </c>
      <c r="FV139" s="59">
        <f t="shared" si="907"/>
        <v>0</v>
      </c>
      <c r="FW139" s="60">
        <f t="shared" si="908"/>
        <v>0</v>
      </c>
      <c r="FX139" s="59">
        <f t="shared" si="909"/>
        <v>0</v>
      </c>
      <c r="FY139" s="60">
        <f t="shared" si="910"/>
        <v>0</v>
      </c>
      <c r="FZ139" s="59">
        <f t="shared" si="911"/>
        <v>0</v>
      </c>
      <c r="GA139" s="60">
        <f t="shared" si="912"/>
        <v>0</v>
      </c>
      <c r="GB139" s="59">
        <f t="shared" si="913"/>
        <v>0</v>
      </c>
      <c r="GC139" s="55">
        <f t="shared" si="914"/>
        <v>0</v>
      </c>
      <c r="GD139" s="59">
        <f t="shared" si="915"/>
        <v>0</v>
      </c>
      <c r="GE139" s="60">
        <f t="shared" si="916"/>
        <v>0</v>
      </c>
      <c r="GF139" s="59">
        <f t="shared" si="917"/>
        <v>0</v>
      </c>
      <c r="GG139" s="60">
        <f t="shared" si="918"/>
        <v>0</v>
      </c>
      <c r="GH139" s="59">
        <f t="shared" si="919"/>
        <v>0</v>
      </c>
      <c r="GI139" s="55">
        <f t="shared" si="920"/>
        <v>0</v>
      </c>
      <c r="GJ139" s="59">
        <f t="shared" si="921"/>
        <v>0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ref="GQ139:HH153" si="925">+GP139-0.02</f>
        <v>0.91</v>
      </c>
      <c r="GR139" s="55">
        <f t="shared" si="925"/>
        <v>0.89</v>
      </c>
      <c r="GS139" s="55">
        <f t="shared" si="925"/>
        <v>0.87</v>
      </c>
      <c r="GT139" s="55">
        <f t="shared" si="925"/>
        <v>0.85</v>
      </c>
      <c r="GU139" s="55">
        <f t="shared" si="925"/>
        <v>0.83</v>
      </c>
      <c r="GV139" s="55">
        <f t="shared" si="925"/>
        <v>0.80999999999999994</v>
      </c>
      <c r="GW139" s="55">
        <f t="shared" si="925"/>
        <v>0.78999999999999992</v>
      </c>
      <c r="GX139" s="55">
        <f t="shared" si="925"/>
        <v>0.76999999999999991</v>
      </c>
      <c r="GY139" s="55">
        <f t="shared" si="925"/>
        <v>0.74999999999999989</v>
      </c>
      <c r="GZ139" s="55">
        <f t="shared" si="925"/>
        <v>0.72999999999999987</v>
      </c>
      <c r="HA139" s="55">
        <f t="shared" si="925"/>
        <v>0.70999999999999985</v>
      </c>
      <c r="HB139" s="55">
        <f t="shared" si="925"/>
        <v>0.68999999999999984</v>
      </c>
      <c r="HC139" s="55">
        <f t="shared" si="925"/>
        <v>0.66999999999999982</v>
      </c>
      <c r="HD139" s="55">
        <f t="shared" si="925"/>
        <v>0.6499999999999998</v>
      </c>
      <c r="HE139" s="55">
        <f t="shared" si="925"/>
        <v>0.62999999999999978</v>
      </c>
      <c r="HF139" s="55">
        <f t="shared" si="925"/>
        <v>0.60999999999999976</v>
      </c>
      <c r="HG139" s="55">
        <f t="shared" si="925"/>
        <v>0.58999999999999975</v>
      </c>
      <c r="HH139" s="55">
        <f t="shared" si="925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54430</v>
      </c>
      <c r="E140" s="39">
        <f>SUM(E130:E139)</f>
        <v>179900</v>
      </c>
      <c r="H140" s="55">
        <f t="shared" si="502"/>
        <v>197890.00000000003</v>
      </c>
      <c r="I140" s="55">
        <f t="shared" si="503"/>
        <v>197890.00000000003</v>
      </c>
      <c r="J140" s="59">
        <f t="shared" si="504"/>
        <v>654184.7620000001</v>
      </c>
      <c r="K140" s="55">
        <f t="shared" si="793"/>
        <v>191953.30000000002</v>
      </c>
      <c r="L140" s="59">
        <f t="shared" si="794"/>
        <v>634559.21914000006</v>
      </c>
      <c r="M140" s="55">
        <f t="shared" si="795"/>
        <v>187995.50000000003</v>
      </c>
      <c r="N140" s="59">
        <f t="shared" si="796"/>
        <v>621475.52390000015</v>
      </c>
      <c r="O140" s="55">
        <f t="shared" si="797"/>
        <v>184037.70000000004</v>
      </c>
      <c r="P140" s="59">
        <f t="shared" si="798"/>
        <v>608391.82866000012</v>
      </c>
      <c r="Q140" s="57">
        <f t="shared" si="799"/>
        <v>180079.90000000002</v>
      </c>
      <c r="R140" s="59">
        <f t="shared" si="800"/>
        <v>595308.13342000009</v>
      </c>
      <c r="S140" s="55">
        <f t="shared" si="801"/>
        <v>176122.10000000003</v>
      </c>
      <c r="T140" s="59">
        <f t="shared" si="802"/>
        <v>582224.43818000017</v>
      </c>
      <c r="U140" s="57">
        <f t="shared" si="803"/>
        <v>172164.30000000002</v>
      </c>
      <c r="V140" s="59">
        <f t="shared" si="804"/>
        <v>569140.74294000003</v>
      </c>
      <c r="W140" s="60">
        <f t="shared" si="805"/>
        <v>168206.50000000003</v>
      </c>
      <c r="X140" s="59">
        <f t="shared" si="806"/>
        <v>556057.04770000011</v>
      </c>
      <c r="Y140" s="57">
        <f t="shared" si="807"/>
        <v>164248.70000000001</v>
      </c>
      <c r="Z140" s="59">
        <f t="shared" si="808"/>
        <v>542973.35246000008</v>
      </c>
      <c r="AA140" s="55">
        <f t="shared" si="809"/>
        <v>160290.90000000002</v>
      </c>
      <c r="AB140" s="59">
        <f t="shared" si="810"/>
        <v>529889.65722000005</v>
      </c>
      <c r="AC140" s="60">
        <f t="shared" si="811"/>
        <v>156333.1</v>
      </c>
      <c r="AD140" s="59">
        <f t="shared" si="812"/>
        <v>516805.96198000002</v>
      </c>
      <c r="AE140" s="60">
        <f t="shared" si="813"/>
        <v>152375.30000000002</v>
      </c>
      <c r="AF140" s="59">
        <f t="shared" si="814"/>
        <v>503722.26674000005</v>
      </c>
      <c r="AG140" s="60">
        <f t="shared" si="815"/>
        <v>148417.5</v>
      </c>
      <c r="AH140" s="59">
        <f t="shared" si="816"/>
        <v>490638.57150000002</v>
      </c>
      <c r="AI140" s="55">
        <f t="shared" si="817"/>
        <v>144459.69999999998</v>
      </c>
      <c r="AJ140" s="59">
        <f t="shared" si="818"/>
        <v>477554.87625999993</v>
      </c>
      <c r="AK140" s="60">
        <f t="shared" si="819"/>
        <v>140501.9</v>
      </c>
      <c r="AL140" s="59">
        <f t="shared" si="820"/>
        <v>464471.18102000002</v>
      </c>
      <c r="AM140" s="60">
        <f t="shared" si="821"/>
        <v>136544.09999999998</v>
      </c>
      <c r="AN140" s="59">
        <f t="shared" si="822"/>
        <v>451387.48577999993</v>
      </c>
      <c r="AO140" s="60">
        <f t="shared" si="823"/>
        <v>132586.29999999999</v>
      </c>
      <c r="AP140" s="59">
        <f t="shared" si="824"/>
        <v>438303.79053999996</v>
      </c>
      <c r="AQ140" s="60">
        <f t="shared" si="825"/>
        <v>128628.49999999999</v>
      </c>
      <c r="AR140" s="59">
        <f t="shared" si="826"/>
        <v>425220.09529999999</v>
      </c>
      <c r="AS140" s="55">
        <f t="shared" si="827"/>
        <v>124670.69999999998</v>
      </c>
      <c r="AT140" s="59">
        <f t="shared" si="828"/>
        <v>412136.40005999996</v>
      </c>
      <c r="AU140" s="60">
        <f t="shared" si="829"/>
        <v>120712.89999999997</v>
      </c>
      <c r="AV140" s="59">
        <f t="shared" si="830"/>
        <v>399052.70481999987</v>
      </c>
      <c r="AW140" s="60">
        <f t="shared" si="831"/>
        <v>116755.09999999996</v>
      </c>
      <c r="AX140" s="59">
        <f t="shared" si="832"/>
        <v>385969.0095799999</v>
      </c>
      <c r="AY140" s="55">
        <f t="shared" si="833"/>
        <v>112797.29999999996</v>
      </c>
      <c r="AZ140" s="59">
        <f t="shared" si="834"/>
        <v>372885.31433999987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35"/>
        <v>0.91</v>
      </c>
      <c r="BH140" s="55">
        <f t="shared" si="835"/>
        <v>0.89</v>
      </c>
      <c r="BI140" s="55">
        <f t="shared" si="835"/>
        <v>0.87</v>
      </c>
      <c r="BJ140" s="55">
        <f t="shared" si="835"/>
        <v>0.85</v>
      </c>
      <c r="BK140" s="55">
        <f t="shared" si="835"/>
        <v>0.83</v>
      </c>
      <c r="BL140" s="55">
        <f t="shared" si="835"/>
        <v>0.80999999999999994</v>
      </c>
      <c r="BM140" s="55">
        <f t="shared" si="835"/>
        <v>0.78999999999999992</v>
      </c>
      <c r="BN140" s="55">
        <f t="shared" si="835"/>
        <v>0.76999999999999991</v>
      </c>
      <c r="BO140" s="55">
        <f t="shared" si="835"/>
        <v>0.74999999999999989</v>
      </c>
      <c r="BP140" s="55">
        <f t="shared" si="835"/>
        <v>0.72999999999999987</v>
      </c>
      <c r="BQ140" s="55">
        <f t="shared" si="835"/>
        <v>0.70999999999999985</v>
      </c>
      <c r="BR140" s="55">
        <f t="shared" si="835"/>
        <v>0.68999999999999984</v>
      </c>
      <c r="BS140" s="55">
        <f t="shared" si="835"/>
        <v>0.66999999999999982</v>
      </c>
      <c r="BT140" s="55">
        <f t="shared" si="835"/>
        <v>0.6499999999999998</v>
      </c>
      <c r="BU140" s="55">
        <f t="shared" si="835"/>
        <v>0.62999999999999978</v>
      </c>
      <c r="BV140" s="55">
        <f t="shared" si="835"/>
        <v>0.60999999999999976</v>
      </c>
      <c r="BW140" s="55">
        <f t="shared" si="835"/>
        <v>0.58999999999999975</v>
      </c>
      <c r="BX140" s="55">
        <f t="shared" si="835"/>
        <v>0.56999999999999973</v>
      </c>
      <c r="BZ140" s="55">
        <f t="shared" si="505"/>
        <v>180079.90000000002</v>
      </c>
      <c r="CA140" s="55">
        <f t="shared" si="506"/>
        <v>180079.90000000002</v>
      </c>
      <c r="CB140" s="59">
        <f t="shared" si="836"/>
        <v>595308.13342000009</v>
      </c>
      <c r="CC140" s="55">
        <f t="shared" si="837"/>
        <v>174677.50300000003</v>
      </c>
      <c r="CD140" s="59">
        <f t="shared" si="838"/>
        <v>577448.88941740012</v>
      </c>
      <c r="CE140" s="55">
        <f t="shared" si="839"/>
        <v>171075.90500000003</v>
      </c>
      <c r="CF140" s="59">
        <f t="shared" si="840"/>
        <v>565542.72674900014</v>
      </c>
      <c r="CG140" s="55">
        <f t="shared" si="841"/>
        <v>167474.30700000003</v>
      </c>
      <c r="CH140" s="59">
        <f t="shared" si="842"/>
        <v>553636.56408060016</v>
      </c>
      <c r="CI140" s="57">
        <f t="shared" si="843"/>
        <v>163872.70900000003</v>
      </c>
      <c r="CJ140" s="59">
        <f t="shared" si="844"/>
        <v>541730.40141220007</v>
      </c>
      <c r="CK140" s="55">
        <f t="shared" si="845"/>
        <v>160271.11100000003</v>
      </c>
      <c r="CL140" s="59">
        <f t="shared" si="846"/>
        <v>529824.23874380009</v>
      </c>
      <c r="CM140" s="57">
        <f t="shared" si="847"/>
        <v>156669.51300000001</v>
      </c>
      <c r="CN140" s="59">
        <f t="shared" si="848"/>
        <v>517918.07607540005</v>
      </c>
      <c r="CO140" s="60">
        <f t="shared" si="849"/>
        <v>153067.91500000001</v>
      </c>
      <c r="CP140" s="59">
        <f t="shared" si="850"/>
        <v>506011.91340700001</v>
      </c>
      <c r="CQ140" s="57">
        <f t="shared" si="851"/>
        <v>149466.31700000001</v>
      </c>
      <c r="CR140" s="59">
        <f t="shared" si="852"/>
        <v>494105.75073860004</v>
      </c>
      <c r="CS140" s="55">
        <f t="shared" si="853"/>
        <v>145864.71900000001</v>
      </c>
      <c r="CT140" s="59">
        <f t="shared" si="854"/>
        <v>482199.58807020006</v>
      </c>
      <c r="CU140" s="60">
        <f t="shared" si="855"/>
        <v>142263.12100000001</v>
      </c>
      <c r="CV140" s="59">
        <f t="shared" si="856"/>
        <v>470293.42540180008</v>
      </c>
      <c r="CW140" s="60">
        <f t="shared" si="857"/>
        <v>138661.52300000002</v>
      </c>
      <c r="CX140" s="59">
        <f t="shared" si="858"/>
        <v>458387.26273340004</v>
      </c>
      <c r="CY140" s="60">
        <f t="shared" si="859"/>
        <v>135059.92499999999</v>
      </c>
      <c r="CZ140" s="59">
        <f t="shared" si="860"/>
        <v>446481.10006499995</v>
      </c>
      <c r="DA140" s="55">
        <f t="shared" si="861"/>
        <v>131458.32699999999</v>
      </c>
      <c r="DB140" s="59">
        <f t="shared" si="862"/>
        <v>434574.93739659997</v>
      </c>
      <c r="DC140" s="60">
        <f t="shared" si="863"/>
        <v>127856.72899999999</v>
      </c>
      <c r="DD140" s="59">
        <f t="shared" si="864"/>
        <v>422668.77472819999</v>
      </c>
      <c r="DE140" s="60">
        <f t="shared" si="865"/>
        <v>124255.13099999998</v>
      </c>
      <c r="DF140" s="59">
        <f t="shared" si="866"/>
        <v>410762.61205979995</v>
      </c>
      <c r="DG140" s="60">
        <f t="shared" si="867"/>
        <v>120653.53299999998</v>
      </c>
      <c r="DH140" s="59">
        <f t="shared" si="868"/>
        <v>398856.44939139992</v>
      </c>
      <c r="DI140" s="60">
        <f t="shared" si="869"/>
        <v>117051.93499999998</v>
      </c>
      <c r="DJ140" s="59">
        <f t="shared" si="870"/>
        <v>386950.28672299994</v>
      </c>
      <c r="DK140" s="55">
        <f t="shared" si="871"/>
        <v>113450.33699999997</v>
      </c>
      <c r="DL140" s="59">
        <f t="shared" si="872"/>
        <v>375044.1240545999</v>
      </c>
      <c r="DM140" s="60">
        <f t="shared" si="873"/>
        <v>109848.73899999997</v>
      </c>
      <c r="DN140" s="59">
        <f t="shared" si="874"/>
        <v>363137.96138619992</v>
      </c>
      <c r="DO140" s="60">
        <f t="shared" si="875"/>
        <v>106247.14099999997</v>
      </c>
      <c r="DP140" s="59">
        <f t="shared" si="876"/>
        <v>351231.79871779995</v>
      </c>
      <c r="DQ140" s="55">
        <f t="shared" si="877"/>
        <v>102645.54299999996</v>
      </c>
      <c r="DR140" s="59">
        <f t="shared" si="878"/>
        <v>339325.63604939985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924"/>
        <v>0.91</v>
      </c>
      <c r="DZ140" s="55">
        <f t="shared" si="924"/>
        <v>0.89</v>
      </c>
      <c r="EA140" s="55">
        <f t="shared" si="924"/>
        <v>0.87</v>
      </c>
      <c r="EB140" s="55">
        <f t="shared" si="924"/>
        <v>0.85</v>
      </c>
      <c r="EC140" s="55">
        <f t="shared" si="924"/>
        <v>0.83</v>
      </c>
      <c r="ED140" s="55">
        <f t="shared" si="924"/>
        <v>0.80999999999999994</v>
      </c>
      <c r="EE140" s="55">
        <f t="shared" si="924"/>
        <v>0.78999999999999992</v>
      </c>
      <c r="EF140" s="55">
        <f t="shared" si="924"/>
        <v>0.76999999999999991</v>
      </c>
      <c r="EG140" s="55">
        <f t="shared" si="924"/>
        <v>0.74999999999999989</v>
      </c>
      <c r="EH140" s="55">
        <f t="shared" si="924"/>
        <v>0.72999999999999987</v>
      </c>
      <c r="EI140" s="55">
        <f t="shared" si="924"/>
        <v>0.70999999999999985</v>
      </c>
      <c r="EJ140" s="55">
        <f t="shared" si="924"/>
        <v>0.68999999999999984</v>
      </c>
      <c r="EK140" s="55">
        <f t="shared" si="924"/>
        <v>0.66999999999999982</v>
      </c>
      <c r="EL140" s="55">
        <f t="shared" si="924"/>
        <v>0.6499999999999998</v>
      </c>
      <c r="EM140" s="55">
        <f t="shared" si="924"/>
        <v>0.62999999999999978</v>
      </c>
      <c r="EN140" s="55">
        <f t="shared" si="924"/>
        <v>0.60999999999999976</v>
      </c>
      <c r="EO140" s="55">
        <f t="shared" si="924"/>
        <v>0.58999999999999975</v>
      </c>
      <c r="EP140" s="55">
        <f t="shared" si="924"/>
        <v>0.56999999999999973</v>
      </c>
      <c r="ER140" s="55">
        <f t="shared" si="644"/>
        <v>163872.70900000003</v>
      </c>
      <c r="ES140" s="55">
        <f t="shared" si="507"/>
        <v>163872.70900000003</v>
      </c>
      <c r="ET140" s="59">
        <f t="shared" si="879"/>
        <v>541730.40141220007</v>
      </c>
      <c r="EU140" s="55">
        <f t="shared" si="880"/>
        <v>158956.52773000003</v>
      </c>
      <c r="EV140" s="59">
        <f t="shared" si="881"/>
        <v>525478.48936983407</v>
      </c>
      <c r="EW140" s="55">
        <f t="shared" si="882"/>
        <v>155679.07355000003</v>
      </c>
      <c r="EX140" s="59">
        <f t="shared" si="883"/>
        <v>514643.88134159014</v>
      </c>
      <c r="EY140" s="55">
        <f t="shared" si="884"/>
        <v>152401.61937000003</v>
      </c>
      <c r="EZ140" s="59">
        <f t="shared" si="885"/>
        <v>503809.27331334609</v>
      </c>
      <c r="FA140" s="57">
        <f t="shared" si="886"/>
        <v>149124.16519000003</v>
      </c>
      <c r="FB140" s="59">
        <f t="shared" si="887"/>
        <v>492974.66528510209</v>
      </c>
      <c r="FC140" s="55">
        <f t="shared" si="888"/>
        <v>145846.71101000003</v>
      </c>
      <c r="FD140" s="59">
        <f t="shared" si="889"/>
        <v>482140.0572568581</v>
      </c>
      <c r="FE140" s="57">
        <f t="shared" si="890"/>
        <v>142569.25683000003</v>
      </c>
      <c r="FF140" s="59">
        <f t="shared" si="891"/>
        <v>471305.4492286141</v>
      </c>
      <c r="FG140" s="60">
        <f t="shared" si="892"/>
        <v>139291.80265000003</v>
      </c>
      <c r="FH140" s="59">
        <f t="shared" si="893"/>
        <v>460470.84120037011</v>
      </c>
      <c r="FI140" s="57">
        <f t="shared" si="894"/>
        <v>136014.34847000003</v>
      </c>
      <c r="FJ140" s="59">
        <f t="shared" si="895"/>
        <v>449636.23317212611</v>
      </c>
      <c r="FK140" s="55">
        <f t="shared" si="896"/>
        <v>132736.89429000003</v>
      </c>
      <c r="FL140" s="59">
        <f t="shared" si="897"/>
        <v>438801.62514388212</v>
      </c>
      <c r="FM140" s="60">
        <f t="shared" si="898"/>
        <v>129459.44011000001</v>
      </c>
      <c r="FN140" s="59">
        <f t="shared" si="899"/>
        <v>427967.01711563807</v>
      </c>
      <c r="FO140" s="60">
        <f t="shared" si="900"/>
        <v>126181.98593000001</v>
      </c>
      <c r="FP140" s="59">
        <f t="shared" si="901"/>
        <v>417132.40908739401</v>
      </c>
      <c r="FQ140" s="60">
        <f t="shared" si="902"/>
        <v>122904.53175000001</v>
      </c>
      <c r="FR140" s="59">
        <f t="shared" si="903"/>
        <v>406297.80105915002</v>
      </c>
      <c r="FS140" s="55">
        <f t="shared" si="904"/>
        <v>119627.07757000001</v>
      </c>
      <c r="FT140" s="59">
        <f t="shared" si="905"/>
        <v>395463.19303090603</v>
      </c>
      <c r="FU140" s="60">
        <f t="shared" si="906"/>
        <v>116349.62338999999</v>
      </c>
      <c r="FV140" s="59">
        <f t="shared" si="907"/>
        <v>384628.58500266197</v>
      </c>
      <c r="FW140" s="60">
        <f t="shared" si="908"/>
        <v>113072.16920999999</v>
      </c>
      <c r="FX140" s="59">
        <f t="shared" si="909"/>
        <v>373793.97697441798</v>
      </c>
      <c r="FY140" s="60">
        <f t="shared" si="910"/>
        <v>109794.71502999999</v>
      </c>
      <c r="FZ140" s="59">
        <f t="shared" si="911"/>
        <v>362959.36894617399</v>
      </c>
      <c r="GA140" s="60">
        <f t="shared" si="912"/>
        <v>106517.26084999999</v>
      </c>
      <c r="GB140" s="59">
        <f t="shared" si="913"/>
        <v>352124.76091792999</v>
      </c>
      <c r="GC140" s="55">
        <f t="shared" si="914"/>
        <v>103239.80666999999</v>
      </c>
      <c r="GD140" s="59">
        <f t="shared" si="915"/>
        <v>341290.152889686</v>
      </c>
      <c r="GE140" s="60">
        <f t="shared" si="916"/>
        <v>99962.352489999976</v>
      </c>
      <c r="GF140" s="59">
        <f t="shared" si="917"/>
        <v>330455.54486144194</v>
      </c>
      <c r="GG140" s="60">
        <f t="shared" si="918"/>
        <v>96684.898309999975</v>
      </c>
      <c r="GH140" s="59">
        <f t="shared" si="919"/>
        <v>319620.93683319795</v>
      </c>
      <c r="GI140" s="55">
        <f t="shared" si="920"/>
        <v>93407.444129999974</v>
      </c>
      <c r="GJ140" s="59">
        <f t="shared" si="921"/>
        <v>308786.3288049539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925"/>
        <v>0.91</v>
      </c>
      <c r="GR140" s="55">
        <f t="shared" si="925"/>
        <v>0.89</v>
      </c>
      <c r="GS140" s="55">
        <f t="shared" si="925"/>
        <v>0.87</v>
      </c>
      <c r="GT140" s="55">
        <f t="shared" si="925"/>
        <v>0.85</v>
      </c>
      <c r="GU140" s="55">
        <f t="shared" si="925"/>
        <v>0.83</v>
      </c>
      <c r="GV140" s="55">
        <f t="shared" si="925"/>
        <v>0.80999999999999994</v>
      </c>
      <c r="GW140" s="55">
        <f t="shared" si="925"/>
        <v>0.78999999999999992</v>
      </c>
      <c r="GX140" s="55">
        <f t="shared" si="925"/>
        <v>0.76999999999999991</v>
      </c>
      <c r="GY140" s="55">
        <f t="shared" si="925"/>
        <v>0.74999999999999989</v>
      </c>
      <c r="GZ140" s="55">
        <f t="shared" si="925"/>
        <v>0.72999999999999987</v>
      </c>
      <c r="HA140" s="55">
        <f t="shared" si="925"/>
        <v>0.70999999999999985</v>
      </c>
      <c r="HB140" s="55">
        <f t="shared" si="925"/>
        <v>0.68999999999999984</v>
      </c>
      <c r="HC140" s="55">
        <f t="shared" si="925"/>
        <v>0.66999999999999982</v>
      </c>
      <c r="HD140" s="55">
        <f t="shared" si="925"/>
        <v>0.6499999999999998</v>
      </c>
      <c r="HE140" s="55">
        <f t="shared" si="925"/>
        <v>0.62999999999999978</v>
      </c>
      <c r="HF140" s="55">
        <f t="shared" si="925"/>
        <v>0.60999999999999976</v>
      </c>
      <c r="HG140" s="55">
        <f t="shared" si="925"/>
        <v>0.58999999999999975</v>
      </c>
      <c r="HH140" s="55">
        <f t="shared" si="925"/>
        <v>0.56999999999999973</v>
      </c>
    </row>
    <row r="141" spans="1:216" s="64" customFormat="1" x14ac:dyDescent="0.3">
      <c r="C141" s="65"/>
      <c r="D141" s="65"/>
      <c r="E141" s="65"/>
      <c r="G141" s="61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2"/>
      <c r="U141" s="61"/>
      <c r="V141" s="63"/>
      <c r="W141" s="61"/>
      <c r="X141" s="62"/>
      <c r="Y141" s="61"/>
      <c r="Z141" s="61"/>
      <c r="AA141" s="61"/>
      <c r="AB141" s="63"/>
      <c r="AC141" s="61"/>
      <c r="AD141" s="63"/>
      <c r="AE141" s="61"/>
      <c r="AF141" s="63"/>
      <c r="AG141" s="61"/>
      <c r="AH141" s="61"/>
      <c r="AI141" s="61"/>
      <c r="AJ141" s="63"/>
      <c r="AK141" s="61"/>
      <c r="AL141" s="63"/>
      <c r="AM141" s="61"/>
      <c r="AN141" s="63"/>
      <c r="AO141" s="61"/>
      <c r="AP141" s="63"/>
      <c r="AQ141" s="61"/>
      <c r="AR141" s="61"/>
      <c r="AS141" s="61"/>
      <c r="AT141" s="63"/>
      <c r="AU141" s="61"/>
      <c r="AV141" s="63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>
        <f t="shared" ref="BY141:BY142" si="926">+G141*0.91</f>
        <v>0</v>
      </c>
      <c r="BZ141" s="61"/>
      <c r="CA141" s="61"/>
      <c r="CB141" s="61"/>
      <c r="CC141" s="61"/>
      <c r="CD141" s="61"/>
      <c r="CE141" s="61"/>
      <c r="CF141" s="61"/>
      <c r="CG141" s="61"/>
      <c r="CH141" s="62"/>
      <c r="CI141" s="61"/>
      <c r="CJ141" s="61"/>
      <c r="CK141" s="61"/>
      <c r="CL141" s="62"/>
      <c r="CM141" s="61"/>
      <c r="CN141" s="63"/>
      <c r="CO141" s="61"/>
      <c r="CP141" s="62"/>
      <c r="CQ141" s="61"/>
      <c r="CR141" s="61"/>
      <c r="CS141" s="61"/>
      <c r="CT141" s="63"/>
      <c r="CU141" s="61"/>
      <c r="CV141" s="63"/>
      <c r="CW141" s="61"/>
      <c r="CX141" s="63"/>
      <c r="CY141" s="61"/>
      <c r="CZ141" s="61"/>
      <c r="DA141" s="61"/>
      <c r="DB141" s="63"/>
      <c r="DC141" s="61"/>
      <c r="DD141" s="63"/>
      <c r="DE141" s="61"/>
      <c r="DF141" s="63"/>
      <c r="DG141" s="61"/>
      <c r="DH141" s="63"/>
      <c r="DI141" s="61"/>
      <c r="DJ141" s="61"/>
      <c r="DK141" s="61"/>
      <c r="DL141" s="63"/>
      <c r="DM141" s="61"/>
      <c r="DN141" s="63"/>
      <c r="DO141" s="61"/>
      <c r="DP141" s="61"/>
      <c r="DQ141" s="61"/>
      <c r="DR141" s="61"/>
      <c r="DS141" s="61"/>
      <c r="DT141" s="61">
        <v>1</v>
      </c>
      <c r="DU141" s="61">
        <v>0.97</v>
      </c>
      <c r="DV141" s="61">
        <v>0.95</v>
      </c>
      <c r="DW141" s="61">
        <v>0.93</v>
      </c>
      <c r="DX141" s="61">
        <f t="shared" ref="DX141:EO142" si="927">+DW141-0.02</f>
        <v>0.91</v>
      </c>
      <c r="DY141" s="61">
        <f t="shared" si="927"/>
        <v>0.89</v>
      </c>
      <c r="DZ141" s="61">
        <f t="shared" si="927"/>
        <v>0.87</v>
      </c>
      <c r="EA141" s="61">
        <f t="shared" si="927"/>
        <v>0.85</v>
      </c>
      <c r="EB141" s="61">
        <f t="shared" si="927"/>
        <v>0.83</v>
      </c>
      <c r="EC141" s="61">
        <f t="shared" si="927"/>
        <v>0.80999999999999994</v>
      </c>
      <c r="ED141" s="61">
        <f t="shared" si="927"/>
        <v>0.78999999999999992</v>
      </c>
      <c r="EE141" s="61">
        <f t="shared" si="927"/>
        <v>0.76999999999999991</v>
      </c>
      <c r="EF141" s="61">
        <f t="shared" si="927"/>
        <v>0.74999999999999989</v>
      </c>
      <c r="EG141" s="61">
        <f t="shared" si="927"/>
        <v>0.72999999999999987</v>
      </c>
      <c r="EH141" s="61">
        <f t="shared" si="927"/>
        <v>0.70999999999999985</v>
      </c>
      <c r="EI141" s="61">
        <f t="shared" si="927"/>
        <v>0.68999999999999984</v>
      </c>
      <c r="EJ141" s="61">
        <f t="shared" si="927"/>
        <v>0.66999999999999982</v>
      </c>
      <c r="EK141" s="61">
        <f t="shared" si="927"/>
        <v>0.6499999999999998</v>
      </c>
      <c r="EL141" s="61">
        <f t="shared" si="927"/>
        <v>0.62999999999999978</v>
      </c>
      <c r="EM141" s="61">
        <f t="shared" si="927"/>
        <v>0.60999999999999976</v>
      </c>
      <c r="EN141" s="61">
        <f t="shared" si="927"/>
        <v>0.58999999999999975</v>
      </c>
      <c r="EO141" s="61">
        <f t="shared" si="927"/>
        <v>0.56999999999999973</v>
      </c>
      <c r="EQ141" s="61">
        <f t="shared" ref="EQ141:EQ142" si="928">+BY141*0.91</f>
        <v>0</v>
      </c>
      <c r="ER141" s="61"/>
      <c r="ES141" s="61"/>
      <c r="ET141" s="61"/>
      <c r="EU141" s="61"/>
      <c r="EV141" s="61"/>
      <c r="EW141" s="61"/>
      <c r="EX141" s="61"/>
      <c r="EY141" s="61"/>
      <c r="EZ141" s="62"/>
      <c r="FA141" s="61"/>
      <c r="FB141" s="61"/>
      <c r="FC141" s="61"/>
      <c r="FD141" s="62"/>
      <c r="FE141" s="61"/>
      <c r="FF141" s="63"/>
      <c r="FG141" s="61"/>
      <c r="FH141" s="62"/>
      <c r="FI141" s="61"/>
      <c r="FJ141" s="61"/>
      <c r="FK141" s="61"/>
      <c r="FL141" s="63"/>
      <c r="FM141" s="61"/>
      <c r="FN141" s="63"/>
      <c r="FO141" s="61"/>
      <c r="FP141" s="63"/>
      <c r="FQ141" s="61"/>
      <c r="FR141" s="61"/>
      <c r="FS141" s="61"/>
      <c r="FT141" s="63"/>
      <c r="FU141" s="61"/>
      <c r="FV141" s="63"/>
      <c r="FW141" s="61"/>
      <c r="FX141" s="63"/>
      <c r="FY141" s="61"/>
      <c r="FZ141" s="63"/>
      <c r="GA141" s="61"/>
      <c r="GB141" s="61"/>
      <c r="GC141" s="61"/>
      <c r="GD141" s="63"/>
      <c r="GE141" s="61"/>
      <c r="GF141" s="63"/>
      <c r="GG141" s="61"/>
      <c r="GH141" s="61"/>
      <c r="GI141" s="61"/>
      <c r="GJ141" s="61"/>
      <c r="GK141" s="61"/>
      <c r="GL141" s="61">
        <v>1</v>
      </c>
      <c r="GM141" s="61">
        <v>0.97</v>
      </c>
      <c r="GN141" s="61">
        <v>0.95</v>
      </c>
      <c r="GO141" s="61">
        <v>0.93</v>
      </c>
      <c r="GP141" s="61">
        <f t="shared" ref="GP141:HG142" si="929">+GO141-0.02</f>
        <v>0.91</v>
      </c>
      <c r="GQ141" s="61">
        <f t="shared" si="929"/>
        <v>0.89</v>
      </c>
      <c r="GR141" s="61">
        <f t="shared" si="929"/>
        <v>0.87</v>
      </c>
      <c r="GS141" s="61">
        <f t="shared" si="929"/>
        <v>0.85</v>
      </c>
      <c r="GT141" s="61">
        <f t="shared" si="929"/>
        <v>0.83</v>
      </c>
      <c r="GU141" s="61">
        <f t="shared" si="929"/>
        <v>0.80999999999999994</v>
      </c>
      <c r="GV141" s="61">
        <f t="shared" si="929"/>
        <v>0.78999999999999992</v>
      </c>
      <c r="GW141" s="61">
        <f t="shared" si="929"/>
        <v>0.76999999999999991</v>
      </c>
      <c r="GX141" s="61">
        <f t="shared" si="929"/>
        <v>0.74999999999999989</v>
      </c>
      <c r="GY141" s="61">
        <f t="shared" si="929"/>
        <v>0.72999999999999987</v>
      </c>
      <c r="GZ141" s="61">
        <f t="shared" si="929"/>
        <v>0.70999999999999985</v>
      </c>
      <c r="HA141" s="61">
        <f t="shared" si="929"/>
        <v>0.68999999999999984</v>
      </c>
      <c r="HB141" s="61">
        <f t="shared" si="929"/>
        <v>0.66999999999999982</v>
      </c>
      <c r="HC141" s="61">
        <f t="shared" si="929"/>
        <v>0.6499999999999998</v>
      </c>
      <c r="HD141" s="61">
        <f t="shared" si="929"/>
        <v>0.62999999999999978</v>
      </c>
      <c r="HE141" s="61">
        <f t="shared" si="929"/>
        <v>0.60999999999999976</v>
      </c>
      <c r="HF141" s="61">
        <f t="shared" si="929"/>
        <v>0.58999999999999975</v>
      </c>
      <c r="HG141" s="61">
        <f t="shared" si="929"/>
        <v>0.56999999999999973</v>
      </c>
    </row>
    <row r="142" spans="1:216" s="64" customFormat="1" ht="17.25" thickBot="1" x14ac:dyDescent="0.35">
      <c r="B142" s="64" t="s">
        <v>301</v>
      </c>
      <c r="C142" s="64" t="s">
        <v>297</v>
      </c>
      <c r="D142" s="65" t="s">
        <v>271</v>
      </c>
      <c r="E142" s="65" t="s">
        <v>315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2"/>
      <c r="U142" s="61"/>
      <c r="V142" s="63"/>
      <c r="W142" s="61"/>
      <c r="X142" s="62"/>
      <c r="Y142" s="61"/>
      <c r="Z142" s="61"/>
      <c r="AA142" s="61"/>
      <c r="AB142" s="63"/>
      <c r="AC142" s="61"/>
      <c r="AD142" s="63"/>
      <c r="AE142" s="61"/>
      <c r="AF142" s="63"/>
      <c r="AG142" s="61"/>
      <c r="AH142" s="61"/>
      <c r="AI142" s="61"/>
      <c r="AJ142" s="63"/>
      <c r="AK142" s="61"/>
      <c r="AL142" s="63"/>
      <c r="AM142" s="61"/>
      <c r="AN142" s="63"/>
      <c r="AO142" s="61"/>
      <c r="AP142" s="63"/>
      <c r="AQ142" s="61"/>
      <c r="AR142" s="61"/>
      <c r="AS142" s="61"/>
      <c r="AT142" s="63"/>
      <c r="AU142" s="61"/>
      <c r="AV142" s="63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>
        <f t="shared" si="926"/>
        <v>0</v>
      </c>
      <c r="BZ142" s="61"/>
      <c r="CA142" s="61"/>
      <c r="CB142" s="61"/>
      <c r="CC142" s="61"/>
      <c r="CD142" s="61"/>
      <c r="CE142" s="61"/>
      <c r="CF142" s="61"/>
      <c r="CG142" s="61"/>
      <c r="CH142" s="62"/>
      <c r="CI142" s="61"/>
      <c r="CJ142" s="61"/>
      <c r="CK142" s="61"/>
      <c r="CL142" s="62"/>
      <c r="CM142" s="61"/>
      <c r="CN142" s="63"/>
      <c r="CO142" s="61"/>
      <c r="CP142" s="62"/>
      <c r="CQ142" s="61"/>
      <c r="CR142" s="61"/>
      <c r="CS142" s="61"/>
      <c r="CT142" s="63"/>
      <c r="CU142" s="61"/>
      <c r="CV142" s="63"/>
      <c r="CW142" s="61"/>
      <c r="CX142" s="63"/>
      <c r="CY142" s="61"/>
      <c r="CZ142" s="61"/>
      <c r="DA142" s="61"/>
      <c r="DB142" s="63"/>
      <c r="DC142" s="61"/>
      <c r="DD142" s="63"/>
      <c r="DE142" s="61"/>
      <c r="DF142" s="63"/>
      <c r="DG142" s="61"/>
      <c r="DH142" s="63"/>
      <c r="DI142" s="61"/>
      <c r="DJ142" s="61"/>
      <c r="DK142" s="61"/>
      <c r="DL142" s="63"/>
      <c r="DM142" s="61"/>
      <c r="DN142" s="63"/>
      <c r="DO142" s="61"/>
      <c r="DP142" s="61"/>
      <c r="DQ142" s="61"/>
      <c r="DR142" s="61"/>
      <c r="DS142" s="61"/>
      <c r="DT142" s="61">
        <v>1</v>
      </c>
      <c r="DU142" s="61">
        <v>0.97</v>
      </c>
      <c r="DV142" s="61">
        <v>0.95</v>
      </c>
      <c r="DW142" s="61">
        <v>0.93</v>
      </c>
      <c r="DX142" s="61">
        <f t="shared" si="927"/>
        <v>0.91</v>
      </c>
      <c r="DY142" s="61">
        <f t="shared" si="927"/>
        <v>0.89</v>
      </c>
      <c r="DZ142" s="61">
        <f t="shared" si="927"/>
        <v>0.87</v>
      </c>
      <c r="EA142" s="61">
        <f t="shared" si="927"/>
        <v>0.85</v>
      </c>
      <c r="EB142" s="61">
        <f t="shared" si="927"/>
        <v>0.83</v>
      </c>
      <c r="EC142" s="61">
        <f t="shared" si="927"/>
        <v>0.80999999999999994</v>
      </c>
      <c r="ED142" s="61">
        <f t="shared" si="927"/>
        <v>0.78999999999999992</v>
      </c>
      <c r="EE142" s="61">
        <f t="shared" si="927"/>
        <v>0.76999999999999991</v>
      </c>
      <c r="EF142" s="61">
        <f t="shared" si="927"/>
        <v>0.74999999999999989</v>
      </c>
      <c r="EG142" s="61">
        <f t="shared" si="927"/>
        <v>0.72999999999999987</v>
      </c>
      <c r="EH142" s="61">
        <f t="shared" si="927"/>
        <v>0.70999999999999985</v>
      </c>
      <c r="EI142" s="61">
        <f t="shared" si="927"/>
        <v>0.68999999999999984</v>
      </c>
      <c r="EJ142" s="61">
        <f t="shared" si="927"/>
        <v>0.66999999999999982</v>
      </c>
      <c r="EK142" s="61">
        <f t="shared" si="927"/>
        <v>0.6499999999999998</v>
      </c>
      <c r="EL142" s="61">
        <f t="shared" si="927"/>
        <v>0.62999999999999978</v>
      </c>
      <c r="EM142" s="61">
        <f t="shared" si="927"/>
        <v>0.60999999999999976</v>
      </c>
      <c r="EN142" s="61">
        <f t="shared" si="927"/>
        <v>0.58999999999999975</v>
      </c>
      <c r="EO142" s="61">
        <f t="shared" si="927"/>
        <v>0.56999999999999973</v>
      </c>
      <c r="EQ142" s="61">
        <f t="shared" si="928"/>
        <v>0</v>
      </c>
      <c r="ER142" s="61"/>
      <c r="ES142" s="61"/>
      <c r="ET142" s="61"/>
      <c r="EU142" s="61"/>
      <c r="EV142" s="61"/>
      <c r="EW142" s="61"/>
      <c r="EX142" s="61"/>
      <c r="EY142" s="61"/>
      <c r="EZ142" s="62"/>
      <c r="FA142" s="61"/>
      <c r="FB142" s="61"/>
      <c r="FC142" s="61"/>
      <c r="FD142" s="62"/>
      <c r="FE142" s="61"/>
      <c r="FF142" s="63"/>
      <c r="FG142" s="61"/>
      <c r="FH142" s="62"/>
      <c r="FI142" s="61"/>
      <c r="FJ142" s="61"/>
      <c r="FK142" s="61"/>
      <c r="FL142" s="63"/>
      <c r="FM142" s="61"/>
      <c r="FN142" s="63"/>
      <c r="FO142" s="61"/>
      <c r="FP142" s="63"/>
      <c r="FQ142" s="61"/>
      <c r="FR142" s="61"/>
      <c r="FS142" s="61"/>
      <c r="FT142" s="63"/>
      <c r="FU142" s="61"/>
      <c r="FV142" s="63"/>
      <c r="FW142" s="61"/>
      <c r="FX142" s="63"/>
      <c r="FY142" s="61"/>
      <c r="FZ142" s="63"/>
      <c r="GA142" s="61"/>
      <c r="GB142" s="61"/>
      <c r="GC142" s="61"/>
      <c r="GD142" s="63"/>
      <c r="GE142" s="61"/>
      <c r="GF142" s="63"/>
      <c r="GG142" s="61"/>
      <c r="GH142" s="61"/>
      <c r="GI142" s="61"/>
      <c r="GJ142" s="61"/>
      <c r="GK142" s="61"/>
      <c r="GL142" s="61">
        <v>1</v>
      </c>
      <c r="GM142" s="61">
        <v>0.97</v>
      </c>
      <c r="GN142" s="61">
        <v>0.95</v>
      </c>
      <c r="GO142" s="61">
        <v>0.93</v>
      </c>
      <c r="GP142" s="61">
        <f t="shared" si="929"/>
        <v>0.91</v>
      </c>
      <c r="GQ142" s="61">
        <f t="shared" si="929"/>
        <v>0.89</v>
      </c>
      <c r="GR142" s="61">
        <f t="shared" si="929"/>
        <v>0.87</v>
      </c>
      <c r="GS142" s="61">
        <f t="shared" si="929"/>
        <v>0.85</v>
      </c>
      <c r="GT142" s="61">
        <f t="shared" si="929"/>
        <v>0.83</v>
      </c>
      <c r="GU142" s="61">
        <f t="shared" si="929"/>
        <v>0.80999999999999994</v>
      </c>
      <c r="GV142" s="61">
        <f t="shared" si="929"/>
        <v>0.78999999999999992</v>
      </c>
      <c r="GW142" s="61">
        <f t="shared" si="929"/>
        <v>0.76999999999999991</v>
      </c>
      <c r="GX142" s="61">
        <f t="shared" si="929"/>
        <v>0.74999999999999989</v>
      </c>
      <c r="GY142" s="61">
        <f t="shared" si="929"/>
        <v>0.72999999999999987</v>
      </c>
      <c r="GZ142" s="61">
        <f t="shared" si="929"/>
        <v>0.70999999999999985</v>
      </c>
      <c r="HA142" s="61">
        <f t="shared" si="929"/>
        <v>0.68999999999999984</v>
      </c>
      <c r="HB142" s="61">
        <f t="shared" si="929"/>
        <v>0.66999999999999982</v>
      </c>
      <c r="HC142" s="61">
        <f t="shared" si="929"/>
        <v>0.6499999999999998</v>
      </c>
      <c r="HD142" s="61">
        <f t="shared" si="929"/>
        <v>0.62999999999999978</v>
      </c>
      <c r="HE142" s="61">
        <f t="shared" si="929"/>
        <v>0.60999999999999976</v>
      </c>
      <c r="HF142" s="61">
        <f t="shared" si="929"/>
        <v>0.58999999999999975</v>
      </c>
      <c r="HG142" s="61">
        <f t="shared" si="929"/>
        <v>0.56999999999999973</v>
      </c>
    </row>
    <row r="143" spans="1:216" x14ac:dyDescent="0.3">
      <c r="A143" s="2">
        <v>1</v>
      </c>
      <c r="C143" s="38" t="s">
        <v>48</v>
      </c>
      <c r="D143" s="40">
        <f>TRUNC(8829+2300,-1)</f>
        <v>11120</v>
      </c>
      <c r="E143" s="85">
        <f>TRUNC(+D143*3.3058,-1)</f>
        <v>36760</v>
      </c>
      <c r="H143" s="55">
        <f t="shared" si="502"/>
        <v>40436</v>
      </c>
      <c r="I143" s="55">
        <f t="shared" si="503"/>
        <v>40436</v>
      </c>
      <c r="J143" s="59">
        <f t="shared" si="504"/>
        <v>133673.32879999999</v>
      </c>
      <c r="K143" s="55">
        <f t="shared" ref="K143:K148" si="930">+I143*BD143</f>
        <v>39222.92</v>
      </c>
      <c r="L143" s="59">
        <f t="shared" ref="L143:L148" si="931">+K143*3.3058</f>
        <v>129663.12893599999</v>
      </c>
      <c r="M143" s="55">
        <f t="shared" ref="M143:M148" si="932">+I143*BE143</f>
        <v>38414.199999999997</v>
      </c>
      <c r="N143" s="59">
        <f t="shared" ref="N143:N148" si="933">+M143*3.3058</f>
        <v>126989.66235999999</v>
      </c>
      <c r="O143" s="55">
        <f t="shared" ref="O143:O148" si="934">+I143*BF143</f>
        <v>37605.480000000003</v>
      </c>
      <c r="P143" s="59">
        <f t="shared" ref="P143:P148" si="935">+O143*3.3058</f>
        <v>124316.19578400001</v>
      </c>
      <c r="Q143" s="57">
        <f t="shared" ref="Q143:Q148" si="936">+I143*BG143</f>
        <v>36796.76</v>
      </c>
      <c r="R143" s="59">
        <f t="shared" ref="R143:R148" si="937">+Q143*3.3058</f>
        <v>121642.729208</v>
      </c>
      <c r="S143" s="55">
        <f t="shared" ref="S143:S148" si="938">+I143*BH143</f>
        <v>35988.04</v>
      </c>
      <c r="T143" s="59">
        <f t="shared" ref="T143:T148" si="939">+S143*3.3058</f>
        <v>118969.26263200001</v>
      </c>
      <c r="U143" s="57">
        <f t="shared" ref="U143:U148" si="940">+I143*BI143</f>
        <v>35179.32</v>
      </c>
      <c r="V143" s="59">
        <f t="shared" ref="V143:V148" si="941">+U143*3.3058</f>
        <v>116295.79605600001</v>
      </c>
      <c r="W143" s="60">
        <f t="shared" ref="W143:W148" si="942">+I143*BJ143</f>
        <v>34370.6</v>
      </c>
      <c r="X143" s="59">
        <f t="shared" ref="X143:X148" si="943">+W143*3.3058</f>
        <v>113622.32948</v>
      </c>
      <c r="Y143" s="57">
        <f t="shared" ref="Y143:Y148" si="944">+I143*BK143</f>
        <v>33561.879999999997</v>
      </c>
      <c r="Z143" s="59">
        <f t="shared" ref="Z143:Z148" si="945">+Y143*3.3058</f>
        <v>110948.86290399999</v>
      </c>
      <c r="AA143" s="55">
        <f t="shared" ref="AA143:AA148" si="946">+I143*BL143</f>
        <v>32753.159999999996</v>
      </c>
      <c r="AB143" s="59">
        <f t="shared" ref="AB143:AB148" si="947">+AA143*3.3058</f>
        <v>108275.39632799999</v>
      </c>
      <c r="AC143" s="60">
        <f t="shared" ref="AC143:AC148" si="948">+I143*BM143</f>
        <v>31944.44</v>
      </c>
      <c r="AD143" s="59">
        <f t="shared" ref="AD143:AD148" si="949">+AC143*3.3058</f>
        <v>105601.929752</v>
      </c>
      <c r="AE143" s="60">
        <f t="shared" ref="AE143:AE148" si="950">+I143*BN143</f>
        <v>31135.719999999998</v>
      </c>
      <c r="AF143" s="59">
        <f t="shared" ref="AF143:AF148" si="951">+AE143*3.3058</f>
        <v>102928.46317599999</v>
      </c>
      <c r="AG143" s="60">
        <f t="shared" ref="AG143:AG148" si="952">+I143*BO143</f>
        <v>30326.999999999996</v>
      </c>
      <c r="AH143" s="59">
        <f t="shared" ref="AH143:AH148" si="953">+AG143*3.3058</f>
        <v>100254.99659999998</v>
      </c>
      <c r="AI143" s="55">
        <f t="shared" ref="AI143:AI148" si="954">+I143*BP143</f>
        <v>29518.279999999995</v>
      </c>
      <c r="AJ143" s="59">
        <f t="shared" ref="AJ143:AJ148" si="955">+AI143*3.3058</f>
        <v>97581.530023999992</v>
      </c>
      <c r="AK143" s="60">
        <f t="shared" ref="AK143:AK148" si="956">+I143*BQ143</f>
        <v>28709.559999999994</v>
      </c>
      <c r="AL143" s="59">
        <f t="shared" ref="AL143:AL148" si="957">+AK143*3.3058</f>
        <v>94908.063447999986</v>
      </c>
      <c r="AM143" s="60">
        <f t="shared" ref="AM143:AM148" si="958">+I143*BR143</f>
        <v>27900.839999999993</v>
      </c>
      <c r="AN143" s="59">
        <f t="shared" ref="AN143:AN148" si="959">+AM143*3.3058</f>
        <v>92234.59687199998</v>
      </c>
      <c r="AO143" s="60">
        <f t="shared" ref="AO143:AO148" si="960">+I143*BS143</f>
        <v>27092.119999999992</v>
      </c>
      <c r="AP143" s="59">
        <f t="shared" ref="AP143:AP148" si="961">+AO143*3.3058</f>
        <v>89561.130295999974</v>
      </c>
      <c r="AQ143" s="60">
        <f t="shared" ref="AQ143:AQ148" si="962">+I143*BT143</f>
        <v>26283.399999999991</v>
      </c>
      <c r="AR143" s="59">
        <f t="shared" ref="AR143:AR148" si="963">+AQ143*3.3058</f>
        <v>86887.663719999968</v>
      </c>
      <c r="AS143" s="55">
        <f t="shared" ref="AS143:AS148" si="964">+I143*BU143</f>
        <v>25474.679999999993</v>
      </c>
      <c r="AT143" s="59">
        <f t="shared" ref="AT143:AT148" si="965">+AS143*3.3058</f>
        <v>84214.197143999976</v>
      </c>
      <c r="AU143" s="60">
        <f t="shared" ref="AU143:AU148" si="966">+I143*BV143</f>
        <v>24665.959999999992</v>
      </c>
      <c r="AV143" s="59">
        <f t="shared" ref="AV143:AV148" si="967">+AU143*3.3058</f>
        <v>81540.73056799997</v>
      </c>
      <c r="AW143" s="60">
        <f t="shared" ref="AW143:AW148" si="968">+I143*BW143</f>
        <v>23857.239999999991</v>
      </c>
      <c r="AX143" s="59">
        <f t="shared" ref="AX143:AX148" si="969">+AW143*3.3058</f>
        <v>78867.263991999964</v>
      </c>
      <c r="AY143" s="55">
        <f t="shared" ref="AY143:AY148" si="970">+I143*BX143</f>
        <v>23048.51999999999</v>
      </c>
      <c r="AZ143" s="59">
        <f t="shared" ref="AZ143:AZ148" si="971">+AY143*3.3058</f>
        <v>76193.797415999972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ref="BG143:BX148" si="972">+BF143-0.02</f>
        <v>0.91</v>
      </c>
      <c r="BH143" s="55">
        <f t="shared" si="972"/>
        <v>0.89</v>
      </c>
      <c r="BI143" s="55">
        <f t="shared" si="972"/>
        <v>0.87</v>
      </c>
      <c r="BJ143" s="55">
        <f t="shared" si="972"/>
        <v>0.85</v>
      </c>
      <c r="BK143" s="55">
        <f t="shared" si="972"/>
        <v>0.83</v>
      </c>
      <c r="BL143" s="55">
        <f t="shared" si="972"/>
        <v>0.80999999999999994</v>
      </c>
      <c r="BM143" s="55">
        <f t="shared" si="972"/>
        <v>0.78999999999999992</v>
      </c>
      <c r="BN143" s="55">
        <f t="shared" si="972"/>
        <v>0.76999999999999991</v>
      </c>
      <c r="BO143" s="55">
        <f t="shared" si="972"/>
        <v>0.74999999999999989</v>
      </c>
      <c r="BP143" s="55">
        <f t="shared" si="972"/>
        <v>0.72999999999999987</v>
      </c>
      <c r="BQ143" s="55">
        <f t="shared" si="972"/>
        <v>0.70999999999999985</v>
      </c>
      <c r="BR143" s="55">
        <f t="shared" si="972"/>
        <v>0.68999999999999984</v>
      </c>
      <c r="BS143" s="55">
        <f t="shared" si="972"/>
        <v>0.66999999999999982</v>
      </c>
      <c r="BT143" s="55">
        <f t="shared" si="972"/>
        <v>0.6499999999999998</v>
      </c>
      <c r="BU143" s="55">
        <f t="shared" si="972"/>
        <v>0.62999999999999978</v>
      </c>
      <c r="BV143" s="55">
        <f t="shared" si="972"/>
        <v>0.60999999999999976</v>
      </c>
      <c r="BW143" s="55">
        <f t="shared" si="972"/>
        <v>0.58999999999999975</v>
      </c>
      <c r="BX143" s="55">
        <f t="shared" si="972"/>
        <v>0.56999999999999973</v>
      </c>
      <c r="BZ143" s="55">
        <f t="shared" si="505"/>
        <v>36796.76</v>
      </c>
      <c r="CA143" s="55">
        <f t="shared" si="506"/>
        <v>36796.76</v>
      </c>
      <c r="CB143" s="59">
        <f t="shared" ref="CB143:CB148" si="973">+CA143*3.3058</f>
        <v>121642.729208</v>
      </c>
      <c r="CC143" s="55">
        <f t="shared" ref="CC143:CC148" si="974">+CA143*DV143</f>
        <v>35692.857199999999</v>
      </c>
      <c r="CD143" s="59">
        <f t="shared" ref="CD143:CD148" si="975">+CC143*3.3058</f>
        <v>117993.44733175999</v>
      </c>
      <c r="CE143" s="55">
        <f t="shared" ref="CE143:CE148" si="976">+CA143*DW143</f>
        <v>34956.921999999999</v>
      </c>
      <c r="CF143" s="59">
        <f t="shared" ref="CF143:CF148" si="977">+CE143*3.3058</f>
        <v>115560.59274759999</v>
      </c>
      <c r="CG143" s="55">
        <f t="shared" ref="CG143:CG148" si="978">+CA143*DX143</f>
        <v>34220.986800000006</v>
      </c>
      <c r="CH143" s="59">
        <f t="shared" ref="CH143:CH148" si="979">+CG143*3.3058</f>
        <v>113127.73816344002</v>
      </c>
      <c r="CI143" s="57">
        <f t="shared" ref="CI143:CI148" si="980">+CA143*DY143</f>
        <v>33485.051600000006</v>
      </c>
      <c r="CJ143" s="59">
        <f t="shared" ref="CJ143:CJ148" si="981">+CI143*3.3058</f>
        <v>110694.88357928002</v>
      </c>
      <c r="CK143" s="55">
        <f t="shared" ref="CK143:CK148" si="982">+CA143*DZ143</f>
        <v>32749.116400000003</v>
      </c>
      <c r="CL143" s="59">
        <f t="shared" ref="CL143:CL148" si="983">+CK143*3.3058</f>
        <v>108262.02899512001</v>
      </c>
      <c r="CM143" s="57">
        <f t="shared" ref="CM143:CM148" si="984">+CA143*EA143</f>
        <v>32013.181200000003</v>
      </c>
      <c r="CN143" s="59">
        <f t="shared" ref="CN143:CN148" si="985">+CM143*3.3058</f>
        <v>105829.17441096001</v>
      </c>
      <c r="CO143" s="60">
        <f t="shared" ref="CO143:CO148" si="986">+CA143*EB143</f>
        <v>31277.245999999999</v>
      </c>
      <c r="CP143" s="59">
        <f t="shared" ref="CP143:CP148" si="987">+CO143*3.3058</f>
        <v>103396.3198268</v>
      </c>
      <c r="CQ143" s="57">
        <f t="shared" ref="CQ143:CQ148" si="988">+CA143*EC143</f>
        <v>30541.310799999999</v>
      </c>
      <c r="CR143" s="59">
        <f t="shared" ref="CR143:CR148" si="989">+CQ143*3.3058</f>
        <v>100963.46524264</v>
      </c>
      <c r="CS143" s="55">
        <f t="shared" ref="CS143:CS148" si="990">+CA143*ED143</f>
        <v>29805.375599999999</v>
      </c>
      <c r="CT143" s="59">
        <f t="shared" ref="CT143:CT148" si="991">+CS143*3.3058</f>
        <v>98530.61065848</v>
      </c>
      <c r="CU143" s="60">
        <f t="shared" ref="CU143:CU148" si="992">+CA143*EE143</f>
        <v>29069.440399999999</v>
      </c>
      <c r="CV143" s="59">
        <f t="shared" ref="CV143:CV148" si="993">+CU143*3.3058</f>
        <v>96097.756074320001</v>
      </c>
      <c r="CW143" s="60">
        <f t="shared" ref="CW143:CW148" si="994">+CA143*EF143</f>
        <v>28333.5052</v>
      </c>
      <c r="CX143" s="59">
        <f t="shared" ref="CX143:CX148" si="995">+CW143*3.3058</f>
        <v>93664.901490160002</v>
      </c>
      <c r="CY143" s="60">
        <f t="shared" ref="CY143:CY148" si="996">+CA143*EG143</f>
        <v>27597.569999999996</v>
      </c>
      <c r="CZ143" s="59">
        <f t="shared" ref="CZ143:CZ148" si="997">+CY143*3.3058</f>
        <v>91232.046905999989</v>
      </c>
      <c r="DA143" s="55">
        <f t="shared" ref="DA143:DA148" si="998">+CA143*EH143</f>
        <v>26861.634799999996</v>
      </c>
      <c r="DB143" s="59">
        <f t="shared" ref="DB143:DB148" si="999">+DA143*3.3058</f>
        <v>88799.19232183999</v>
      </c>
      <c r="DC143" s="60">
        <f t="shared" ref="DC143:DC148" si="1000">+CA143*EI143</f>
        <v>26125.699599999996</v>
      </c>
      <c r="DD143" s="59">
        <f t="shared" ref="DD143:DD148" si="1001">+DC143*3.3058</f>
        <v>86366.337737679991</v>
      </c>
      <c r="DE143" s="60">
        <f t="shared" ref="DE143:DE148" si="1002">+CA143*EJ143</f>
        <v>25389.764399999996</v>
      </c>
      <c r="DF143" s="59">
        <f t="shared" ref="DF143:DF148" si="1003">+DE143*3.3058</f>
        <v>83933.483153519992</v>
      </c>
      <c r="DG143" s="60">
        <f t="shared" ref="DG143:DG148" si="1004">+CA143*EK143</f>
        <v>24653.829199999993</v>
      </c>
      <c r="DH143" s="59">
        <f t="shared" ref="DH143:DH148" si="1005">+DG143*3.3058</f>
        <v>81500.628569359978</v>
      </c>
      <c r="DI143" s="60">
        <f t="shared" ref="DI143:DI148" si="1006">+CA143*EL143</f>
        <v>23917.893999999993</v>
      </c>
      <c r="DJ143" s="59">
        <f t="shared" ref="DJ143:DJ148" si="1007">+DI143*3.3058</f>
        <v>79067.77398519998</v>
      </c>
      <c r="DK143" s="55">
        <f t="shared" ref="DK143:DK148" si="1008">+CA143*EM143</f>
        <v>23181.958799999993</v>
      </c>
      <c r="DL143" s="59">
        <f t="shared" ref="DL143:DL148" si="1009">+DK143*3.3058</f>
        <v>76634.919401039981</v>
      </c>
      <c r="DM143" s="60">
        <f t="shared" ref="DM143:DM148" si="1010">+CA143*EN143</f>
        <v>22446.023599999993</v>
      </c>
      <c r="DN143" s="59">
        <f t="shared" ref="DN143:DN148" si="1011">+DM143*3.3058</f>
        <v>74202.064816879982</v>
      </c>
      <c r="DO143" s="60">
        <f t="shared" ref="DO143:DO148" si="1012">+CA143*EO143</f>
        <v>21710.088399999993</v>
      </c>
      <c r="DP143" s="59">
        <f t="shared" ref="DP143:DP148" si="1013">+DO143*3.3058</f>
        <v>71769.210232719983</v>
      </c>
      <c r="DQ143" s="55">
        <f t="shared" ref="DQ143:DQ148" si="1014">+CA143*EP143</f>
        <v>20974.15319999999</v>
      </c>
      <c r="DR143" s="59">
        <f t="shared" ref="DR143:DR148" si="1015">+DQ143*3.3058</f>
        <v>69336.355648559969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924"/>
        <v>0.91</v>
      </c>
      <c r="DZ143" s="55">
        <f t="shared" si="924"/>
        <v>0.89</v>
      </c>
      <c r="EA143" s="55">
        <f t="shared" si="924"/>
        <v>0.87</v>
      </c>
      <c r="EB143" s="55">
        <f t="shared" si="924"/>
        <v>0.85</v>
      </c>
      <c r="EC143" s="55">
        <f t="shared" si="924"/>
        <v>0.83</v>
      </c>
      <c r="ED143" s="55">
        <f t="shared" si="924"/>
        <v>0.80999999999999994</v>
      </c>
      <c r="EE143" s="55">
        <f t="shared" si="924"/>
        <v>0.78999999999999992</v>
      </c>
      <c r="EF143" s="55">
        <f t="shared" si="924"/>
        <v>0.76999999999999991</v>
      </c>
      <c r="EG143" s="55">
        <f t="shared" si="924"/>
        <v>0.74999999999999989</v>
      </c>
      <c r="EH143" s="55">
        <f t="shared" si="924"/>
        <v>0.72999999999999987</v>
      </c>
      <c r="EI143" s="55">
        <f t="shared" si="924"/>
        <v>0.70999999999999985</v>
      </c>
      <c r="EJ143" s="55">
        <f t="shared" si="924"/>
        <v>0.68999999999999984</v>
      </c>
      <c r="EK143" s="55">
        <f t="shared" si="924"/>
        <v>0.66999999999999982</v>
      </c>
      <c r="EL143" s="55">
        <f t="shared" si="924"/>
        <v>0.6499999999999998</v>
      </c>
      <c r="EM143" s="55">
        <f t="shared" si="924"/>
        <v>0.62999999999999978</v>
      </c>
      <c r="EN143" s="55">
        <f t="shared" si="924"/>
        <v>0.60999999999999976</v>
      </c>
      <c r="EO143" s="55">
        <f t="shared" si="924"/>
        <v>0.58999999999999975</v>
      </c>
      <c r="EP143" s="55">
        <f t="shared" si="924"/>
        <v>0.56999999999999973</v>
      </c>
      <c r="ER143" s="55">
        <f t="shared" si="644"/>
        <v>33485.051600000006</v>
      </c>
      <c r="ES143" s="55">
        <f t="shared" si="507"/>
        <v>33485.051600000006</v>
      </c>
      <c r="ET143" s="59">
        <f t="shared" ref="ET143:ET148" si="1016">+ES143*3.3058</f>
        <v>110694.88357928002</v>
      </c>
      <c r="EU143" s="55">
        <f t="shared" ref="EU143:EU148" si="1017">+ES143*GN143</f>
        <v>32480.500052000007</v>
      </c>
      <c r="EV143" s="59">
        <f t="shared" ref="EV143:EV148" si="1018">+EU143*3.3058</f>
        <v>107374.03707190162</v>
      </c>
      <c r="EW143" s="55">
        <f t="shared" ref="EW143:EW148" si="1019">+ES143*GO143</f>
        <v>31810.799020000006</v>
      </c>
      <c r="EX143" s="59">
        <f t="shared" ref="EX143:EX148" si="1020">+EW143*3.3058</f>
        <v>105160.13940031602</v>
      </c>
      <c r="EY143" s="55">
        <f t="shared" ref="EY143:EY148" si="1021">+ES143*GP143</f>
        <v>31141.097988000009</v>
      </c>
      <c r="EZ143" s="59">
        <f t="shared" ref="EZ143:EZ148" si="1022">+EY143*3.3058</f>
        <v>102946.24172873043</v>
      </c>
      <c r="FA143" s="57">
        <f t="shared" ref="FA143:FA148" si="1023">+ES143*GQ143</f>
        <v>30471.396956000008</v>
      </c>
      <c r="FB143" s="59">
        <f t="shared" ref="FB143:FB148" si="1024">+FA143*3.3058</f>
        <v>100732.34405714483</v>
      </c>
      <c r="FC143" s="55">
        <f t="shared" ref="FC143:FC148" si="1025">+ES143*GR143</f>
        <v>29801.695924000007</v>
      </c>
      <c r="FD143" s="59">
        <f t="shared" ref="FD143:FD148" si="1026">+FC143*3.3058</f>
        <v>98518.446385559218</v>
      </c>
      <c r="FE143" s="57">
        <f t="shared" ref="FE143:FE148" si="1027">+ES143*GS143</f>
        <v>29131.994892000006</v>
      </c>
      <c r="FF143" s="59">
        <f t="shared" ref="FF143:FF148" si="1028">+FE143*3.3058</f>
        <v>96304.548713973621</v>
      </c>
      <c r="FG143" s="60">
        <f t="shared" ref="FG143:FG148" si="1029">+ES143*GT143</f>
        <v>28462.293860000005</v>
      </c>
      <c r="FH143" s="59">
        <f t="shared" ref="FH143:FH148" si="1030">+FG143*3.3058</f>
        <v>94090.651042388025</v>
      </c>
      <c r="FI143" s="57">
        <f t="shared" ref="FI143:FI148" si="1031">+ES143*GU143</f>
        <v>27792.592828000004</v>
      </c>
      <c r="FJ143" s="59">
        <f t="shared" ref="FJ143:FJ148" si="1032">+FI143*3.3058</f>
        <v>91876.753370802413</v>
      </c>
      <c r="FK143" s="55">
        <f t="shared" ref="FK143:FK148" si="1033">+ES143*GV143</f>
        <v>27122.891796000004</v>
      </c>
      <c r="FL143" s="59">
        <f t="shared" ref="FL143:FL148" si="1034">+FK143*3.3058</f>
        <v>89662.855699216816</v>
      </c>
      <c r="FM143" s="60">
        <f t="shared" ref="FM143:FM148" si="1035">+ES143*GW143</f>
        <v>26453.190764000003</v>
      </c>
      <c r="FN143" s="59">
        <f t="shared" ref="FN143:FN148" si="1036">+FM143*3.3058</f>
        <v>87448.958027631204</v>
      </c>
      <c r="FO143" s="60">
        <f t="shared" ref="FO143:FO148" si="1037">+ES143*GX143</f>
        <v>25783.489732000002</v>
      </c>
      <c r="FP143" s="59">
        <f t="shared" ref="FP143:FP148" si="1038">+FO143*3.3058</f>
        <v>85235.060356045607</v>
      </c>
      <c r="FQ143" s="60">
        <f t="shared" ref="FQ143:FQ148" si="1039">+ES143*GY143</f>
        <v>25113.788700000001</v>
      </c>
      <c r="FR143" s="59">
        <f t="shared" ref="FR143:FR148" si="1040">+FQ143*3.3058</f>
        <v>83021.16268446001</v>
      </c>
      <c r="FS143" s="55">
        <f t="shared" ref="FS143:FS148" si="1041">+ES143*GZ143</f>
        <v>24444.087668</v>
      </c>
      <c r="FT143" s="59">
        <f t="shared" ref="FT143:FT148" si="1042">+FS143*3.3058</f>
        <v>80807.265012874399</v>
      </c>
      <c r="FU143" s="60">
        <f t="shared" ref="FU143:FU148" si="1043">+ES143*HA143</f>
        <v>23774.386635999999</v>
      </c>
      <c r="FV143" s="59">
        <f t="shared" ref="FV143:FV148" si="1044">+FU143*3.3058</f>
        <v>78593.367341288802</v>
      </c>
      <c r="FW143" s="60">
        <f t="shared" ref="FW143:FW148" si="1045">+ES143*HB143</f>
        <v>23104.685603999998</v>
      </c>
      <c r="FX143" s="59">
        <f t="shared" ref="FX143:FX148" si="1046">+FW143*3.3058</f>
        <v>76379.46966970319</v>
      </c>
      <c r="FY143" s="60">
        <f t="shared" ref="FY143:FY148" si="1047">+ES143*HC143</f>
        <v>22434.984571999998</v>
      </c>
      <c r="FZ143" s="59">
        <f t="shared" ref="FZ143:FZ148" si="1048">+FY143*3.3058</f>
        <v>74165.571998117593</v>
      </c>
      <c r="GA143" s="60">
        <f t="shared" ref="GA143:GA148" si="1049">+ES143*HD143</f>
        <v>21765.283539999997</v>
      </c>
      <c r="GB143" s="59">
        <f t="shared" ref="GB143:GB148" si="1050">+GA143*3.3058</f>
        <v>71951.674326531996</v>
      </c>
      <c r="GC143" s="55">
        <f t="shared" ref="GC143:GC148" si="1051">+ES143*HE143</f>
        <v>21095.582507999996</v>
      </c>
      <c r="GD143" s="59">
        <f t="shared" ref="GD143:GD148" si="1052">+GC143*3.3058</f>
        <v>69737.776654946385</v>
      </c>
      <c r="GE143" s="60">
        <f t="shared" ref="GE143:GE148" si="1053">+ES143*HF143</f>
        <v>20425.881475999995</v>
      </c>
      <c r="GF143" s="59">
        <f t="shared" ref="GF143:GF148" si="1054">+GE143*3.3058</f>
        <v>67523.878983360788</v>
      </c>
      <c r="GG143" s="60">
        <f t="shared" ref="GG143:GG148" si="1055">+ES143*HG143</f>
        <v>19756.180443999994</v>
      </c>
      <c r="GH143" s="59">
        <f t="shared" ref="GH143:GH148" si="1056">+GG143*3.3058</f>
        <v>65309.981311775184</v>
      </c>
      <c r="GI143" s="55">
        <f t="shared" ref="GI143:GI148" si="1057">+ES143*HH143</f>
        <v>19086.479411999993</v>
      </c>
      <c r="GJ143" s="59">
        <f t="shared" ref="GJ143:GJ148" si="1058">+GI143*3.3058</f>
        <v>63096.083640189579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925"/>
        <v>0.91</v>
      </c>
      <c r="GR143" s="55">
        <f t="shared" si="925"/>
        <v>0.89</v>
      </c>
      <c r="GS143" s="55">
        <f t="shared" si="925"/>
        <v>0.87</v>
      </c>
      <c r="GT143" s="55">
        <f t="shared" si="925"/>
        <v>0.85</v>
      </c>
      <c r="GU143" s="55">
        <f t="shared" si="925"/>
        <v>0.83</v>
      </c>
      <c r="GV143" s="55">
        <f t="shared" si="925"/>
        <v>0.80999999999999994</v>
      </c>
      <c r="GW143" s="55">
        <f t="shared" si="925"/>
        <v>0.78999999999999992</v>
      </c>
      <c r="GX143" s="55">
        <f t="shared" si="925"/>
        <v>0.76999999999999991</v>
      </c>
      <c r="GY143" s="55">
        <f t="shared" si="925"/>
        <v>0.74999999999999989</v>
      </c>
      <c r="GZ143" s="55">
        <f t="shared" si="925"/>
        <v>0.72999999999999987</v>
      </c>
      <c r="HA143" s="55">
        <f t="shared" si="925"/>
        <v>0.70999999999999985</v>
      </c>
      <c r="HB143" s="55">
        <f t="shared" si="925"/>
        <v>0.68999999999999984</v>
      </c>
      <c r="HC143" s="55">
        <f t="shared" si="925"/>
        <v>0.66999999999999982</v>
      </c>
      <c r="HD143" s="55">
        <f t="shared" si="925"/>
        <v>0.6499999999999998</v>
      </c>
      <c r="HE143" s="55">
        <f t="shared" si="925"/>
        <v>0.62999999999999978</v>
      </c>
      <c r="HF143" s="55">
        <f t="shared" si="925"/>
        <v>0.60999999999999976</v>
      </c>
      <c r="HG143" s="55">
        <f t="shared" si="925"/>
        <v>0.58999999999999975</v>
      </c>
      <c r="HH143" s="55">
        <f t="shared" si="925"/>
        <v>0.56999999999999973</v>
      </c>
    </row>
    <row r="144" spans="1:216" x14ac:dyDescent="0.3">
      <c r="A144" s="2">
        <v>2</v>
      </c>
      <c r="C144" s="38" t="s">
        <v>49</v>
      </c>
      <c r="D144" s="42">
        <f>TRUNC(9243,-1)</f>
        <v>9240</v>
      </c>
      <c r="E144" s="86">
        <f>TRUNC(+D144*3.3058,-1)</f>
        <v>30540</v>
      </c>
      <c r="H144" s="55">
        <f t="shared" si="502"/>
        <v>33594</v>
      </c>
      <c r="I144" s="55">
        <f t="shared" si="503"/>
        <v>33594</v>
      </c>
      <c r="J144" s="59">
        <f t="shared" si="504"/>
        <v>111055.04520000001</v>
      </c>
      <c r="K144" s="55">
        <f t="shared" si="930"/>
        <v>32586.18</v>
      </c>
      <c r="L144" s="59">
        <f t="shared" si="931"/>
        <v>107723.39384400001</v>
      </c>
      <c r="M144" s="55">
        <f t="shared" si="932"/>
        <v>31914.3</v>
      </c>
      <c r="N144" s="59">
        <f t="shared" si="933"/>
        <v>105502.29294</v>
      </c>
      <c r="O144" s="55">
        <f t="shared" si="934"/>
        <v>31242.420000000002</v>
      </c>
      <c r="P144" s="59">
        <f t="shared" si="935"/>
        <v>103281.19203600001</v>
      </c>
      <c r="Q144" s="57">
        <f t="shared" si="936"/>
        <v>30570.54</v>
      </c>
      <c r="R144" s="59">
        <f t="shared" si="937"/>
        <v>101060.091132</v>
      </c>
      <c r="S144" s="55">
        <f t="shared" si="938"/>
        <v>29898.66</v>
      </c>
      <c r="T144" s="59">
        <f t="shared" si="939"/>
        <v>98838.990227999995</v>
      </c>
      <c r="U144" s="57">
        <f t="shared" si="940"/>
        <v>29226.78</v>
      </c>
      <c r="V144" s="59">
        <f t="shared" si="941"/>
        <v>96617.889324000003</v>
      </c>
      <c r="W144" s="60">
        <f t="shared" si="942"/>
        <v>28554.899999999998</v>
      </c>
      <c r="X144" s="59">
        <f t="shared" si="943"/>
        <v>94396.788419999997</v>
      </c>
      <c r="Y144" s="57">
        <f t="shared" si="944"/>
        <v>27883.02</v>
      </c>
      <c r="Z144" s="59">
        <f t="shared" si="945"/>
        <v>92175.687516000005</v>
      </c>
      <c r="AA144" s="55">
        <f t="shared" si="946"/>
        <v>27211.14</v>
      </c>
      <c r="AB144" s="59">
        <f t="shared" si="947"/>
        <v>89954.586611999999</v>
      </c>
      <c r="AC144" s="60">
        <f t="shared" si="948"/>
        <v>26539.26</v>
      </c>
      <c r="AD144" s="59">
        <f t="shared" si="949"/>
        <v>87733.485707999993</v>
      </c>
      <c r="AE144" s="60">
        <f t="shared" si="950"/>
        <v>25867.379999999997</v>
      </c>
      <c r="AF144" s="59">
        <f t="shared" si="951"/>
        <v>85512.384803999987</v>
      </c>
      <c r="AG144" s="60">
        <f t="shared" si="952"/>
        <v>25195.499999999996</v>
      </c>
      <c r="AH144" s="59">
        <f t="shared" si="953"/>
        <v>83291.283899999995</v>
      </c>
      <c r="AI144" s="55">
        <f t="shared" si="954"/>
        <v>24523.619999999995</v>
      </c>
      <c r="AJ144" s="59">
        <f t="shared" si="955"/>
        <v>81070.182995999989</v>
      </c>
      <c r="AK144" s="60">
        <f t="shared" si="956"/>
        <v>23851.739999999994</v>
      </c>
      <c r="AL144" s="59">
        <f t="shared" si="957"/>
        <v>78849.082091999982</v>
      </c>
      <c r="AM144" s="60">
        <f t="shared" si="958"/>
        <v>23179.859999999993</v>
      </c>
      <c r="AN144" s="59">
        <f t="shared" si="959"/>
        <v>76627.981187999976</v>
      </c>
      <c r="AO144" s="60">
        <f t="shared" si="960"/>
        <v>22507.979999999992</v>
      </c>
      <c r="AP144" s="59">
        <f t="shared" si="961"/>
        <v>74406.88028399997</v>
      </c>
      <c r="AQ144" s="60">
        <f t="shared" si="962"/>
        <v>21836.099999999995</v>
      </c>
      <c r="AR144" s="59">
        <f t="shared" si="963"/>
        <v>72185.779379999978</v>
      </c>
      <c r="AS144" s="55">
        <f t="shared" si="964"/>
        <v>21164.219999999994</v>
      </c>
      <c r="AT144" s="59">
        <f t="shared" si="965"/>
        <v>69964.678475999986</v>
      </c>
      <c r="AU144" s="60">
        <f t="shared" si="966"/>
        <v>20492.339999999993</v>
      </c>
      <c r="AV144" s="59">
        <f t="shared" si="967"/>
        <v>67743.57757199998</v>
      </c>
      <c r="AW144" s="60">
        <f t="shared" si="968"/>
        <v>19820.459999999992</v>
      </c>
      <c r="AX144" s="59">
        <f t="shared" si="969"/>
        <v>65522.476667999974</v>
      </c>
      <c r="AY144" s="55">
        <f t="shared" si="970"/>
        <v>19148.579999999991</v>
      </c>
      <c r="AZ144" s="59">
        <f t="shared" si="971"/>
        <v>63301.375763999968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972"/>
        <v>0.91</v>
      </c>
      <c r="BH144" s="55">
        <f t="shared" si="972"/>
        <v>0.89</v>
      </c>
      <c r="BI144" s="55">
        <f t="shared" si="972"/>
        <v>0.87</v>
      </c>
      <c r="BJ144" s="55">
        <f t="shared" si="972"/>
        <v>0.85</v>
      </c>
      <c r="BK144" s="55">
        <f t="shared" si="972"/>
        <v>0.83</v>
      </c>
      <c r="BL144" s="55">
        <f t="shared" si="972"/>
        <v>0.80999999999999994</v>
      </c>
      <c r="BM144" s="55">
        <f t="shared" si="972"/>
        <v>0.78999999999999992</v>
      </c>
      <c r="BN144" s="55">
        <f t="shared" si="972"/>
        <v>0.76999999999999991</v>
      </c>
      <c r="BO144" s="55">
        <f t="shared" si="972"/>
        <v>0.74999999999999989</v>
      </c>
      <c r="BP144" s="55">
        <f t="shared" si="972"/>
        <v>0.72999999999999987</v>
      </c>
      <c r="BQ144" s="55">
        <f t="shared" si="972"/>
        <v>0.70999999999999985</v>
      </c>
      <c r="BR144" s="55">
        <f t="shared" si="972"/>
        <v>0.68999999999999984</v>
      </c>
      <c r="BS144" s="55">
        <f t="shared" si="972"/>
        <v>0.66999999999999982</v>
      </c>
      <c r="BT144" s="55">
        <f t="shared" si="972"/>
        <v>0.6499999999999998</v>
      </c>
      <c r="BU144" s="55">
        <f t="shared" si="972"/>
        <v>0.62999999999999978</v>
      </c>
      <c r="BV144" s="55">
        <f t="shared" si="972"/>
        <v>0.60999999999999976</v>
      </c>
      <c r="BW144" s="55">
        <f t="shared" si="972"/>
        <v>0.58999999999999975</v>
      </c>
      <c r="BX144" s="55">
        <f t="shared" si="972"/>
        <v>0.56999999999999973</v>
      </c>
      <c r="BZ144" s="55">
        <f t="shared" si="505"/>
        <v>30570.54</v>
      </c>
      <c r="CA144" s="55">
        <f t="shared" si="506"/>
        <v>30570.54</v>
      </c>
      <c r="CB144" s="59">
        <f t="shared" si="973"/>
        <v>101060.091132</v>
      </c>
      <c r="CC144" s="55">
        <f t="shared" si="974"/>
        <v>29653.4238</v>
      </c>
      <c r="CD144" s="59">
        <f t="shared" si="975"/>
        <v>98028.288398040007</v>
      </c>
      <c r="CE144" s="55">
        <f t="shared" si="976"/>
        <v>29042.012999999999</v>
      </c>
      <c r="CF144" s="59">
        <f t="shared" si="977"/>
        <v>96007.086575399997</v>
      </c>
      <c r="CG144" s="55">
        <f t="shared" si="978"/>
        <v>28430.602200000001</v>
      </c>
      <c r="CH144" s="59">
        <f t="shared" si="979"/>
        <v>93985.884752760001</v>
      </c>
      <c r="CI144" s="57">
        <f t="shared" si="980"/>
        <v>27819.191400000003</v>
      </c>
      <c r="CJ144" s="59">
        <f t="shared" si="981"/>
        <v>91964.68293012002</v>
      </c>
      <c r="CK144" s="55">
        <f t="shared" si="982"/>
        <v>27207.780600000002</v>
      </c>
      <c r="CL144" s="59">
        <f t="shared" si="983"/>
        <v>89943.481107480009</v>
      </c>
      <c r="CM144" s="57">
        <f t="shared" si="984"/>
        <v>26596.3698</v>
      </c>
      <c r="CN144" s="59">
        <f t="shared" si="985"/>
        <v>87922.279284839999</v>
      </c>
      <c r="CO144" s="60">
        <f t="shared" si="986"/>
        <v>25984.958999999999</v>
      </c>
      <c r="CP144" s="59">
        <f t="shared" si="987"/>
        <v>85901.077462200003</v>
      </c>
      <c r="CQ144" s="57">
        <f t="shared" si="988"/>
        <v>25373.548200000001</v>
      </c>
      <c r="CR144" s="59">
        <f t="shared" si="989"/>
        <v>83879.875639560007</v>
      </c>
      <c r="CS144" s="55">
        <f t="shared" si="990"/>
        <v>24762.1374</v>
      </c>
      <c r="CT144" s="59">
        <f t="shared" si="991"/>
        <v>81858.673816919996</v>
      </c>
      <c r="CU144" s="60">
        <f t="shared" si="992"/>
        <v>24150.726599999998</v>
      </c>
      <c r="CV144" s="59">
        <f t="shared" si="993"/>
        <v>79837.47199428</v>
      </c>
      <c r="CW144" s="60">
        <f t="shared" si="994"/>
        <v>23539.315799999997</v>
      </c>
      <c r="CX144" s="59">
        <f t="shared" si="995"/>
        <v>77816.27017163999</v>
      </c>
      <c r="CY144" s="60">
        <f t="shared" si="996"/>
        <v>22927.904999999999</v>
      </c>
      <c r="CZ144" s="59">
        <f t="shared" si="997"/>
        <v>75795.068348999994</v>
      </c>
      <c r="DA144" s="55">
        <f t="shared" si="998"/>
        <v>22316.494199999997</v>
      </c>
      <c r="DB144" s="59">
        <f t="shared" si="999"/>
        <v>73773.866526359998</v>
      </c>
      <c r="DC144" s="60">
        <f t="shared" si="1000"/>
        <v>21705.083399999996</v>
      </c>
      <c r="DD144" s="59">
        <f t="shared" si="1001"/>
        <v>71752.664703719987</v>
      </c>
      <c r="DE144" s="60">
        <f t="shared" si="1002"/>
        <v>21093.672599999994</v>
      </c>
      <c r="DF144" s="59">
        <f t="shared" si="1003"/>
        <v>69731.462881079977</v>
      </c>
      <c r="DG144" s="60">
        <f t="shared" si="1004"/>
        <v>20482.261799999997</v>
      </c>
      <c r="DH144" s="59">
        <f t="shared" si="1005"/>
        <v>67710.261058439995</v>
      </c>
      <c r="DI144" s="60">
        <f t="shared" si="1006"/>
        <v>19870.850999999995</v>
      </c>
      <c r="DJ144" s="59">
        <f t="shared" si="1007"/>
        <v>65689.059235799985</v>
      </c>
      <c r="DK144" s="55">
        <f t="shared" si="1008"/>
        <v>19259.440199999994</v>
      </c>
      <c r="DL144" s="59">
        <f t="shared" si="1009"/>
        <v>63667.857413159982</v>
      </c>
      <c r="DM144" s="60">
        <f t="shared" si="1010"/>
        <v>18648.029399999992</v>
      </c>
      <c r="DN144" s="59">
        <f t="shared" si="1011"/>
        <v>61646.655590519978</v>
      </c>
      <c r="DO144" s="60">
        <f t="shared" si="1012"/>
        <v>18036.618599999994</v>
      </c>
      <c r="DP144" s="59">
        <f t="shared" si="1013"/>
        <v>59625.453767879982</v>
      </c>
      <c r="DQ144" s="55">
        <f t="shared" si="1014"/>
        <v>17425.207799999993</v>
      </c>
      <c r="DR144" s="59">
        <f t="shared" si="1015"/>
        <v>57604.251945239979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924"/>
        <v>0.91</v>
      </c>
      <c r="DZ144" s="55">
        <f t="shared" si="924"/>
        <v>0.89</v>
      </c>
      <c r="EA144" s="55">
        <f t="shared" si="924"/>
        <v>0.87</v>
      </c>
      <c r="EB144" s="55">
        <f t="shared" si="924"/>
        <v>0.85</v>
      </c>
      <c r="EC144" s="55">
        <f t="shared" si="924"/>
        <v>0.83</v>
      </c>
      <c r="ED144" s="55">
        <f t="shared" si="924"/>
        <v>0.80999999999999994</v>
      </c>
      <c r="EE144" s="55">
        <f t="shared" si="924"/>
        <v>0.78999999999999992</v>
      </c>
      <c r="EF144" s="55">
        <f t="shared" si="924"/>
        <v>0.76999999999999991</v>
      </c>
      <c r="EG144" s="55">
        <f t="shared" si="924"/>
        <v>0.74999999999999989</v>
      </c>
      <c r="EH144" s="55">
        <f t="shared" si="924"/>
        <v>0.72999999999999987</v>
      </c>
      <c r="EI144" s="55">
        <f t="shared" si="924"/>
        <v>0.70999999999999985</v>
      </c>
      <c r="EJ144" s="55">
        <f t="shared" si="924"/>
        <v>0.68999999999999984</v>
      </c>
      <c r="EK144" s="55">
        <f t="shared" si="924"/>
        <v>0.66999999999999982</v>
      </c>
      <c r="EL144" s="55">
        <f t="shared" si="924"/>
        <v>0.6499999999999998</v>
      </c>
      <c r="EM144" s="55">
        <f t="shared" si="924"/>
        <v>0.62999999999999978</v>
      </c>
      <c r="EN144" s="55">
        <f t="shared" si="924"/>
        <v>0.60999999999999976</v>
      </c>
      <c r="EO144" s="55">
        <f t="shared" si="924"/>
        <v>0.58999999999999975</v>
      </c>
      <c r="EP144" s="55">
        <f t="shared" si="924"/>
        <v>0.56999999999999973</v>
      </c>
      <c r="ER144" s="55">
        <f t="shared" si="644"/>
        <v>27819.191400000003</v>
      </c>
      <c r="ES144" s="55">
        <f t="shared" si="507"/>
        <v>27819.191400000003</v>
      </c>
      <c r="ET144" s="59">
        <f t="shared" si="1016"/>
        <v>91964.68293012002</v>
      </c>
      <c r="EU144" s="55">
        <f t="shared" si="1017"/>
        <v>26984.615658000002</v>
      </c>
      <c r="EV144" s="59">
        <f t="shared" si="1018"/>
        <v>89205.742442216404</v>
      </c>
      <c r="EW144" s="55">
        <f t="shared" si="1019"/>
        <v>26428.231830000001</v>
      </c>
      <c r="EX144" s="59">
        <f t="shared" si="1020"/>
        <v>87366.448783614003</v>
      </c>
      <c r="EY144" s="55">
        <f t="shared" si="1021"/>
        <v>25871.848002000006</v>
      </c>
      <c r="EZ144" s="59">
        <f t="shared" si="1022"/>
        <v>85527.155125011617</v>
      </c>
      <c r="FA144" s="57">
        <f t="shared" si="1023"/>
        <v>25315.464174000004</v>
      </c>
      <c r="FB144" s="59">
        <f t="shared" si="1024"/>
        <v>83687.861466409217</v>
      </c>
      <c r="FC144" s="55">
        <f t="shared" si="1025"/>
        <v>24759.080346000002</v>
      </c>
      <c r="FD144" s="59">
        <f t="shared" si="1026"/>
        <v>81848.567807806816</v>
      </c>
      <c r="FE144" s="57">
        <f t="shared" si="1027"/>
        <v>24202.696518000004</v>
      </c>
      <c r="FF144" s="59">
        <f t="shared" si="1028"/>
        <v>80009.274149204415</v>
      </c>
      <c r="FG144" s="60">
        <f t="shared" si="1029"/>
        <v>23646.312690000002</v>
      </c>
      <c r="FH144" s="59">
        <f t="shared" si="1030"/>
        <v>78169.980490602014</v>
      </c>
      <c r="FI144" s="57">
        <f t="shared" si="1031"/>
        <v>23089.928862000001</v>
      </c>
      <c r="FJ144" s="59">
        <f t="shared" si="1032"/>
        <v>76330.686831999599</v>
      </c>
      <c r="FK144" s="55">
        <f t="shared" si="1033"/>
        <v>22533.545034000002</v>
      </c>
      <c r="FL144" s="59">
        <f t="shared" si="1034"/>
        <v>74491.393173397213</v>
      </c>
      <c r="FM144" s="60">
        <f t="shared" si="1035"/>
        <v>21977.161206000001</v>
      </c>
      <c r="FN144" s="59">
        <f t="shared" si="1036"/>
        <v>72652.099514794798</v>
      </c>
      <c r="FO144" s="60">
        <f t="shared" si="1037"/>
        <v>21420.777377999999</v>
      </c>
      <c r="FP144" s="59">
        <f t="shared" si="1038"/>
        <v>70812.805856192397</v>
      </c>
      <c r="FQ144" s="60">
        <f t="shared" si="1039"/>
        <v>20864.393550000001</v>
      </c>
      <c r="FR144" s="59">
        <f t="shared" si="1040"/>
        <v>68973.512197589997</v>
      </c>
      <c r="FS144" s="55">
        <f t="shared" si="1041"/>
        <v>20308.009721999999</v>
      </c>
      <c r="FT144" s="59">
        <f t="shared" si="1042"/>
        <v>67134.218538987596</v>
      </c>
      <c r="FU144" s="60">
        <f t="shared" si="1043"/>
        <v>19751.625893999997</v>
      </c>
      <c r="FV144" s="59">
        <f t="shared" si="1044"/>
        <v>65294.924880385195</v>
      </c>
      <c r="FW144" s="60">
        <f t="shared" si="1045"/>
        <v>19195.242065999999</v>
      </c>
      <c r="FX144" s="59">
        <f t="shared" si="1046"/>
        <v>63455.631221782794</v>
      </c>
      <c r="FY144" s="60">
        <f t="shared" si="1047"/>
        <v>18638.858237999997</v>
      </c>
      <c r="FZ144" s="59">
        <f t="shared" si="1048"/>
        <v>61616.337563180394</v>
      </c>
      <c r="GA144" s="60">
        <f t="shared" si="1049"/>
        <v>18082.474409999995</v>
      </c>
      <c r="GB144" s="59">
        <f t="shared" si="1050"/>
        <v>59777.043904577986</v>
      </c>
      <c r="GC144" s="55">
        <f t="shared" si="1051"/>
        <v>17526.090581999997</v>
      </c>
      <c r="GD144" s="59">
        <f t="shared" si="1052"/>
        <v>57937.750245975592</v>
      </c>
      <c r="GE144" s="60">
        <f t="shared" si="1053"/>
        <v>16969.706753999995</v>
      </c>
      <c r="GF144" s="59">
        <f t="shared" si="1054"/>
        <v>56098.456587373184</v>
      </c>
      <c r="GG144" s="60">
        <f t="shared" si="1055"/>
        <v>16413.322925999993</v>
      </c>
      <c r="GH144" s="59">
        <f t="shared" si="1056"/>
        <v>54259.162928770776</v>
      </c>
      <c r="GI144" s="55">
        <f t="shared" si="1057"/>
        <v>15856.939097999993</v>
      </c>
      <c r="GJ144" s="59">
        <f t="shared" si="1058"/>
        <v>52419.869270168383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925"/>
        <v>0.91</v>
      </c>
      <c r="GR144" s="55">
        <f t="shared" si="925"/>
        <v>0.89</v>
      </c>
      <c r="GS144" s="55">
        <f t="shared" si="925"/>
        <v>0.87</v>
      </c>
      <c r="GT144" s="55">
        <f t="shared" si="925"/>
        <v>0.85</v>
      </c>
      <c r="GU144" s="55">
        <f t="shared" si="925"/>
        <v>0.83</v>
      </c>
      <c r="GV144" s="55">
        <f t="shared" si="925"/>
        <v>0.80999999999999994</v>
      </c>
      <c r="GW144" s="55">
        <f t="shared" si="925"/>
        <v>0.78999999999999992</v>
      </c>
      <c r="GX144" s="55">
        <f t="shared" si="925"/>
        <v>0.76999999999999991</v>
      </c>
      <c r="GY144" s="55">
        <f t="shared" si="925"/>
        <v>0.74999999999999989</v>
      </c>
      <c r="GZ144" s="55">
        <f t="shared" si="925"/>
        <v>0.72999999999999987</v>
      </c>
      <c r="HA144" s="55">
        <f t="shared" si="925"/>
        <v>0.70999999999999985</v>
      </c>
      <c r="HB144" s="55">
        <f t="shared" si="925"/>
        <v>0.68999999999999984</v>
      </c>
      <c r="HC144" s="55">
        <f t="shared" si="925"/>
        <v>0.66999999999999982</v>
      </c>
      <c r="HD144" s="55">
        <f t="shared" si="925"/>
        <v>0.6499999999999998</v>
      </c>
      <c r="HE144" s="55">
        <f t="shared" si="925"/>
        <v>0.62999999999999978</v>
      </c>
      <c r="HF144" s="55">
        <f t="shared" si="925"/>
        <v>0.60999999999999976</v>
      </c>
      <c r="HG144" s="55">
        <f t="shared" si="925"/>
        <v>0.58999999999999975</v>
      </c>
      <c r="HH144" s="55">
        <f t="shared" si="925"/>
        <v>0.56999999999999973</v>
      </c>
    </row>
    <row r="145" spans="1:216" x14ac:dyDescent="0.3">
      <c r="A145" s="2">
        <v>3</v>
      </c>
      <c r="C145" s="38" t="s">
        <v>50</v>
      </c>
      <c r="D145" s="42">
        <f>TRUNC(8105,-1)</f>
        <v>8100</v>
      </c>
      <c r="E145" s="86">
        <f>TRUNC(+D145*3.3058,-1)</f>
        <v>26770</v>
      </c>
      <c r="H145" s="55">
        <f t="shared" si="502"/>
        <v>29447.000000000004</v>
      </c>
      <c r="I145" s="55">
        <f t="shared" si="503"/>
        <v>29447.000000000004</v>
      </c>
      <c r="J145" s="59">
        <f t="shared" si="504"/>
        <v>97345.892600000021</v>
      </c>
      <c r="K145" s="55">
        <f t="shared" si="930"/>
        <v>28563.590000000004</v>
      </c>
      <c r="L145" s="59">
        <f t="shared" si="931"/>
        <v>94425.515822000016</v>
      </c>
      <c r="M145" s="55">
        <f t="shared" si="932"/>
        <v>27974.65</v>
      </c>
      <c r="N145" s="59">
        <f t="shared" si="933"/>
        <v>92478.597970000003</v>
      </c>
      <c r="O145" s="55">
        <f t="shared" si="934"/>
        <v>27385.710000000006</v>
      </c>
      <c r="P145" s="59">
        <f t="shared" si="935"/>
        <v>90531.680118000018</v>
      </c>
      <c r="Q145" s="57">
        <f t="shared" si="936"/>
        <v>26796.770000000004</v>
      </c>
      <c r="R145" s="59">
        <f t="shared" si="937"/>
        <v>88584.76226600002</v>
      </c>
      <c r="S145" s="55">
        <f t="shared" si="938"/>
        <v>26207.830000000005</v>
      </c>
      <c r="T145" s="59">
        <f t="shared" si="939"/>
        <v>86637.844414000021</v>
      </c>
      <c r="U145" s="57">
        <f t="shared" si="940"/>
        <v>25618.890000000003</v>
      </c>
      <c r="V145" s="59">
        <f t="shared" si="941"/>
        <v>84690.926562000008</v>
      </c>
      <c r="W145" s="60">
        <f t="shared" si="942"/>
        <v>25029.95</v>
      </c>
      <c r="X145" s="59">
        <f t="shared" si="943"/>
        <v>82744.008710000009</v>
      </c>
      <c r="Y145" s="57">
        <f t="shared" si="944"/>
        <v>24441.010000000002</v>
      </c>
      <c r="Z145" s="59">
        <f t="shared" si="945"/>
        <v>80797.09085800001</v>
      </c>
      <c r="AA145" s="55">
        <f t="shared" si="946"/>
        <v>23852.07</v>
      </c>
      <c r="AB145" s="59">
        <f t="shared" si="947"/>
        <v>78850.173005999997</v>
      </c>
      <c r="AC145" s="60">
        <f t="shared" si="948"/>
        <v>23263.13</v>
      </c>
      <c r="AD145" s="59">
        <f t="shared" si="949"/>
        <v>76903.255153999999</v>
      </c>
      <c r="AE145" s="60">
        <f t="shared" si="950"/>
        <v>22674.19</v>
      </c>
      <c r="AF145" s="59">
        <f t="shared" si="951"/>
        <v>74956.337302</v>
      </c>
      <c r="AG145" s="60">
        <f t="shared" si="952"/>
        <v>22085.25</v>
      </c>
      <c r="AH145" s="59">
        <f t="shared" si="953"/>
        <v>73009.419450000001</v>
      </c>
      <c r="AI145" s="55">
        <f t="shared" si="954"/>
        <v>21496.309999999998</v>
      </c>
      <c r="AJ145" s="59">
        <f t="shared" si="955"/>
        <v>71062.501597999988</v>
      </c>
      <c r="AK145" s="60">
        <f t="shared" si="956"/>
        <v>20907.37</v>
      </c>
      <c r="AL145" s="59">
        <f t="shared" si="957"/>
        <v>69115.583746000004</v>
      </c>
      <c r="AM145" s="60">
        <f t="shared" si="958"/>
        <v>20318.429999999997</v>
      </c>
      <c r="AN145" s="59">
        <f t="shared" si="959"/>
        <v>67168.665893999991</v>
      </c>
      <c r="AO145" s="60">
        <f t="shared" si="960"/>
        <v>19729.489999999998</v>
      </c>
      <c r="AP145" s="59">
        <f t="shared" si="961"/>
        <v>65221.748041999992</v>
      </c>
      <c r="AQ145" s="60">
        <f t="shared" si="962"/>
        <v>19140.549999999996</v>
      </c>
      <c r="AR145" s="59">
        <f t="shared" si="963"/>
        <v>63274.830189999986</v>
      </c>
      <c r="AS145" s="55">
        <f t="shared" si="964"/>
        <v>18551.609999999997</v>
      </c>
      <c r="AT145" s="59">
        <f t="shared" si="965"/>
        <v>61327.912337999995</v>
      </c>
      <c r="AU145" s="60">
        <f t="shared" si="966"/>
        <v>17962.669999999995</v>
      </c>
      <c r="AV145" s="59">
        <f t="shared" si="967"/>
        <v>59380.994485999981</v>
      </c>
      <c r="AW145" s="60">
        <f t="shared" si="968"/>
        <v>17373.729999999996</v>
      </c>
      <c r="AX145" s="59">
        <f t="shared" si="969"/>
        <v>57434.07663399999</v>
      </c>
      <c r="AY145" s="55">
        <f t="shared" si="970"/>
        <v>16784.789999999994</v>
      </c>
      <c r="AZ145" s="59">
        <f t="shared" si="971"/>
        <v>55487.158781999977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972"/>
        <v>0.91</v>
      </c>
      <c r="BH145" s="55">
        <f t="shared" si="972"/>
        <v>0.89</v>
      </c>
      <c r="BI145" s="55">
        <f t="shared" si="972"/>
        <v>0.87</v>
      </c>
      <c r="BJ145" s="55">
        <f t="shared" si="972"/>
        <v>0.85</v>
      </c>
      <c r="BK145" s="55">
        <f t="shared" si="972"/>
        <v>0.83</v>
      </c>
      <c r="BL145" s="55">
        <f t="shared" si="972"/>
        <v>0.80999999999999994</v>
      </c>
      <c r="BM145" s="55">
        <f t="shared" si="972"/>
        <v>0.78999999999999992</v>
      </c>
      <c r="BN145" s="55">
        <f t="shared" si="972"/>
        <v>0.76999999999999991</v>
      </c>
      <c r="BO145" s="55">
        <f t="shared" si="972"/>
        <v>0.74999999999999989</v>
      </c>
      <c r="BP145" s="55">
        <f t="shared" si="972"/>
        <v>0.72999999999999987</v>
      </c>
      <c r="BQ145" s="55">
        <f t="shared" si="972"/>
        <v>0.70999999999999985</v>
      </c>
      <c r="BR145" s="55">
        <f t="shared" si="972"/>
        <v>0.68999999999999984</v>
      </c>
      <c r="BS145" s="55">
        <f t="shared" si="972"/>
        <v>0.66999999999999982</v>
      </c>
      <c r="BT145" s="55">
        <f t="shared" si="972"/>
        <v>0.6499999999999998</v>
      </c>
      <c r="BU145" s="55">
        <f t="shared" si="972"/>
        <v>0.62999999999999978</v>
      </c>
      <c r="BV145" s="55">
        <f t="shared" si="972"/>
        <v>0.60999999999999976</v>
      </c>
      <c r="BW145" s="55">
        <f t="shared" si="972"/>
        <v>0.58999999999999975</v>
      </c>
      <c r="BX145" s="55">
        <f t="shared" si="972"/>
        <v>0.56999999999999973</v>
      </c>
      <c r="BZ145" s="55">
        <f t="shared" si="505"/>
        <v>26796.770000000004</v>
      </c>
      <c r="CA145" s="55">
        <f t="shared" si="506"/>
        <v>26796.770000000004</v>
      </c>
      <c r="CB145" s="59">
        <f t="shared" si="973"/>
        <v>88584.76226600002</v>
      </c>
      <c r="CC145" s="55">
        <f t="shared" si="974"/>
        <v>25992.866900000005</v>
      </c>
      <c r="CD145" s="59">
        <f t="shared" si="975"/>
        <v>85927.21939802001</v>
      </c>
      <c r="CE145" s="55">
        <f t="shared" si="976"/>
        <v>25456.931500000002</v>
      </c>
      <c r="CF145" s="59">
        <f t="shared" si="977"/>
        <v>84155.524152700003</v>
      </c>
      <c r="CG145" s="55">
        <f t="shared" si="978"/>
        <v>24920.996100000004</v>
      </c>
      <c r="CH145" s="59">
        <f t="shared" si="979"/>
        <v>82383.828907380012</v>
      </c>
      <c r="CI145" s="57">
        <f t="shared" si="980"/>
        <v>24385.060700000005</v>
      </c>
      <c r="CJ145" s="59">
        <f t="shared" si="981"/>
        <v>80612.13366206002</v>
      </c>
      <c r="CK145" s="55">
        <f t="shared" si="982"/>
        <v>23849.125300000003</v>
      </c>
      <c r="CL145" s="59">
        <f t="shared" si="983"/>
        <v>78840.438416740013</v>
      </c>
      <c r="CM145" s="57">
        <f t="shared" si="984"/>
        <v>23313.189900000005</v>
      </c>
      <c r="CN145" s="59">
        <f t="shared" si="985"/>
        <v>77068.743171420021</v>
      </c>
      <c r="CO145" s="60">
        <f t="shared" si="986"/>
        <v>22777.254500000003</v>
      </c>
      <c r="CP145" s="59">
        <f t="shared" si="987"/>
        <v>75297.047926100015</v>
      </c>
      <c r="CQ145" s="57">
        <f t="shared" si="988"/>
        <v>22241.319100000001</v>
      </c>
      <c r="CR145" s="59">
        <f t="shared" si="989"/>
        <v>73525.352680780008</v>
      </c>
      <c r="CS145" s="55">
        <f t="shared" si="990"/>
        <v>21705.383700000002</v>
      </c>
      <c r="CT145" s="59">
        <f t="shared" si="991"/>
        <v>71753.657435460002</v>
      </c>
      <c r="CU145" s="60">
        <f t="shared" si="992"/>
        <v>21169.4483</v>
      </c>
      <c r="CV145" s="59">
        <f t="shared" si="993"/>
        <v>69981.962190139995</v>
      </c>
      <c r="CW145" s="60">
        <f t="shared" si="994"/>
        <v>20633.512900000002</v>
      </c>
      <c r="CX145" s="59">
        <f t="shared" si="995"/>
        <v>68210.266944820003</v>
      </c>
      <c r="CY145" s="60">
        <f t="shared" si="996"/>
        <v>20097.577499999999</v>
      </c>
      <c r="CZ145" s="59">
        <f t="shared" si="997"/>
        <v>66438.571699499997</v>
      </c>
      <c r="DA145" s="55">
        <f t="shared" si="998"/>
        <v>19561.642100000001</v>
      </c>
      <c r="DB145" s="59">
        <f t="shared" si="999"/>
        <v>64666.876454180005</v>
      </c>
      <c r="DC145" s="60">
        <f t="shared" si="1000"/>
        <v>19025.706699999999</v>
      </c>
      <c r="DD145" s="59">
        <f t="shared" si="1001"/>
        <v>62895.181208859998</v>
      </c>
      <c r="DE145" s="60">
        <f t="shared" si="1002"/>
        <v>18489.771299999997</v>
      </c>
      <c r="DF145" s="59">
        <f t="shared" si="1003"/>
        <v>61123.485963539992</v>
      </c>
      <c r="DG145" s="60">
        <f t="shared" si="1004"/>
        <v>17953.835899999998</v>
      </c>
      <c r="DH145" s="59">
        <f t="shared" si="1005"/>
        <v>59351.790718219992</v>
      </c>
      <c r="DI145" s="60">
        <f t="shared" si="1006"/>
        <v>17417.900499999996</v>
      </c>
      <c r="DJ145" s="59">
        <f t="shared" si="1007"/>
        <v>57580.095472899986</v>
      </c>
      <c r="DK145" s="55">
        <f t="shared" si="1008"/>
        <v>16881.965099999998</v>
      </c>
      <c r="DL145" s="59">
        <f t="shared" si="1009"/>
        <v>55808.400227579994</v>
      </c>
      <c r="DM145" s="60">
        <f t="shared" si="1010"/>
        <v>16346.029699999996</v>
      </c>
      <c r="DN145" s="59">
        <f t="shared" si="1011"/>
        <v>54036.704982259987</v>
      </c>
      <c r="DO145" s="60">
        <f t="shared" si="1012"/>
        <v>15810.094299999995</v>
      </c>
      <c r="DP145" s="59">
        <f t="shared" si="1013"/>
        <v>52265.009736939988</v>
      </c>
      <c r="DQ145" s="55">
        <f t="shared" si="1014"/>
        <v>15274.158899999995</v>
      </c>
      <c r="DR145" s="59">
        <f t="shared" si="1015"/>
        <v>50493.314491619982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si="924"/>
        <v>0.91</v>
      </c>
      <c r="DZ145" s="55">
        <f t="shared" si="924"/>
        <v>0.89</v>
      </c>
      <c r="EA145" s="55">
        <f t="shared" si="924"/>
        <v>0.87</v>
      </c>
      <c r="EB145" s="55">
        <f t="shared" si="924"/>
        <v>0.85</v>
      </c>
      <c r="EC145" s="55">
        <f t="shared" si="924"/>
        <v>0.83</v>
      </c>
      <c r="ED145" s="55">
        <f t="shared" si="924"/>
        <v>0.80999999999999994</v>
      </c>
      <c r="EE145" s="55">
        <f t="shared" si="924"/>
        <v>0.78999999999999992</v>
      </c>
      <c r="EF145" s="55">
        <f t="shared" si="924"/>
        <v>0.76999999999999991</v>
      </c>
      <c r="EG145" s="55">
        <f t="shared" si="924"/>
        <v>0.74999999999999989</v>
      </c>
      <c r="EH145" s="55">
        <f t="shared" si="924"/>
        <v>0.72999999999999987</v>
      </c>
      <c r="EI145" s="55">
        <f t="shared" si="924"/>
        <v>0.70999999999999985</v>
      </c>
      <c r="EJ145" s="55">
        <f t="shared" si="924"/>
        <v>0.68999999999999984</v>
      </c>
      <c r="EK145" s="55">
        <f t="shared" si="924"/>
        <v>0.66999999999999982</v>
      </c>
      <c r="EL145" s="55">
        <f t="shared" si="924"/>
        <v>0.6499999999999998</v>
      </c>
      <c r="EM145" s="55">
        <f t="shared" si="924"/>
        <v>0.62999999999999978</v>
      </c>
      <c r="EN145" s="55">
        <f t="shared" si="924"/>
        <v>0.60999999999999976</v>
      </c>
      <c r="EO145" s="55">
        <f t="shared" si="924"/>
        <v>0.58999999999999975</v>
      </c>
      <c r="EP145" s="55">
        <f t="shared" si="924"/>
        <v>0.56999999999999973</v>
      </c>
      <c r="ER145" s="55">
        <f t="shared" si="644"/>
        <v>24385.060700000005</v>
      </c>
      <c r="ES145" s="55">
        <f t="shared" si="507"/>
        <v>24385.060700000005</v>
      </c>
      <c r="ET145" s="59">
        <f t="shared" si="1016"/>
        <v>80612.13366206002</v>
      </c>
      <c r="EU145" s="55">
        <f t="shared" si="1017"/>
        <v>23653.508879000005</v>
      </c>
      <c r="EV145" s="59">
        <f t="shared" si="1018"/>
        <v>78193.769652198214</v>
      </c>
      <c r="EW145" s="55">
        <f t="shared" si="1019"/>
        <v>23165.807665000004</v>
      </c>
      <c r="EX145" s="59">
        <f t="shared" si="1020"/>
        <v>76581.526978957016</v>
      </c>
      <c r="EY145" s="55">
        <f t="shared" si="1021"/>
        <v>22678.106451000007</v>
      </c>
      <c r="EZ145" s="59">
        <f t="shared" si="1022"/>
        <v>74969.284305715832</v>
      </c>
      <c r="FA145" s="57">
        <f t="shared" si="1023"/>
        <v>22190.405237000006</v>
      </c>
      <c r="FB145" s="59">
        <f t="shared" si="1024"/>
        <v>73357.041632474618</v>
      </c>
      <c r="FC145" s="55">
        <f t="shared" si="1025"/>
        <v>21702.704023000006</v>
      </c>
      <c r="FD145" s="59">
        <f t="shared" si="1026"/>
        <v>71744.79895923342</v>
      </c>
      <c r="FE145" s="57">
        <f t="shared" si="1027"/>
        <v>21215.002809000005</v>
      </c>
      <c r="FF145" s="59">
        <f t="shared" si="1028"/>
        <v>70132.556285992221</v>
      </c>
      <c r="FG145" s="60">
        <f t="shared" si="1029"/>
        <v>20727.301595000004</v>
      </c>
      <c r="FH145" s="59">
        <f t="shared" si="1030"/>
        <v>68520.313612751022</v>
      </c>
      <c r="FI145" s="57">
        <f t="shared" si="1031"/>
        <v>20239.600381000004</v>
      </c>
      <c r="FJ145" s="59">
        <f t="shared" si="1032"/>
        <v>66908.070939509809</v>
      </c>
      <c r="FK145" s="55">
        <f t="shared" si="1033"/>
        <v>19751.899167000003</v>
      </c>
      <c r="FL145" s="59">
        <f t="shared" si="1034"/>
        <v>65295.828266268611</v>
      </c>
      <c r="FM145" s="60">
        <f t="shared" si="1035"/>
        <v>19264.197953000003</v>
      </c>
      <c r="FN145" s="59">
        <f t="shared" si="1036"/>
        <v>63683.585593027412</v>
      </c>
      <c r="FO145" s="60">
        <f t="shared" si="1037"/>
        <v>18776.496739000002</v>
      </c>
      <c r="FP145" s="59">
        <f t="shared" si="1038"/>
        <v>62071.342919786206</v>
      </c>
      <c r="FQ145" s="60">
        <f t="shared" si="1039"/>
        <v>18288.795525000001</v>
      </c>
      <c r="FR145" s="59">
        <f t="shared" si="1040"/>
        <v>60459.100246545007</v>
      </c>
      <c r="FS145" s="55">
        <f t="shared" si="1041"/>
        <v>17801.094311000001</v>
      </c>
      <c r="FT145" s="59">
        <f t="shared" si="1042"/>
        <v>58846.857573303801</v>
      </c>
      <c r="FU145" s="60">
        <f t="shared" si="1043"/>
        <v>17313.393097</v>
      </c>
      <c r="FV145" s="59">
        <f t="shared" si="1044"/>
        <v>57234.614900062603</v>
      </c>
      <c r="FW145" s="60">
        <f t="shared" si="1045"/>
        <v>16825.691883</v>
      </c>
      <c r="FX145" s="59">
        <f t="shared" si="1046"/>
        <v>55622.372226821397</v>
      </c>
      <c r="FY145" s="60">
        <f t="shared" si="1047"/>
        <v>16337.990668999999</v>
      </c>
      <c r="FZ145" s="59">
        <f t="shared" si="1048"/>
        <v>54010.129553580198</v>
      </c>
      <c r="GA145" s="60">
        <f t="shared" si="1049"/>
        <v>15850.289454999998</v>
      </c>
      <c r="GB145" s="59">
        <f t="shared" si="1050"/>
        <v>52397.886880338992</v>
      </c>
      <c r="GC145" s="55">
        <f t="shared" si="1051"/>
        <v>15362.588240999998</v>
      </c>
      <c r="GD145" s="59">
        <f t="shared" si="1052"/>
        <v>50785.644207097794</v>
      </c>
      <c r="GE145" s="60">
        <f t="shared" si="1053"/>
        <v>14874.887026999997</v>
      </c>
      <c r="GF145" s="59">
        <f t="shared" si="1054"/>
        <v>49173.401533856588</v>
      </c>
      <c r="GG145" s="60">
        <f t="shared" si="1055"/>
        <v>14387.185812999996</v>
      </c>
      <c r="GH145" s="59">
        <f t="shared" si="1056"/>
        <v>47561.158860615389</v>
      </c>
      <c r="GI145" s="55">
        <f t="shared" si="1057"/>
        <v>13899.484598999996</v>
      </c>
      <c r="GJ145" s="59">
        <f t="shared" si="1058"/>
        <v>45948.91618737419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si="925"/>
        <v>0.91</v>
      </c>
      <c r="GR145" s="55">
        <f t="shared" si="925"/>
        <v>0.89</v>
      </c>
      <c r="GS145" s="55">
        <f t="shared" si="925"/>
        <v>0.87</v>
      </c>
      <c r="GT145" s="55">
        <f t="shared" si="925"/>
        <v>0.85</v>
      </c>
      <c r="GU145" s="55">
        <f t="shared" si="925"/>
        <v>0.83</v>
      </c>
      <c r="GV145" s="55">
        <f t="shared" si="925"/>
        <v>0.80999999999999994</v>
      </c>
      <c r="GW145" s="55">
        <f t="shared" si="925"/>
        <v>0.78999999999999992</v>
      </c>
      <c r="GX145" s="55">
        <f t="shared" si="925"/>
        <v>0.76999999999999991</v>
      </c>
      <c r="GY145" s="55">
        <f t="shared" si="925"/>
        <v>0.74999999999999989</v>
      </c>
      <c r="GZ145" s="55">
        <f t="shared" si="925"/>
        <v>0.72999999999999987</v>
      </c>
      <c r="HA145" s="55">
        <f t="shared" si="925"/>
        <v>0.70999999999999985</v>
      </c>
      <c r="HB145" s="55">
        <f t="shared" si="925"/>
        <v>0.68999999999999984</v>
      </c>
      <c r="HC145" s="55">
        <f t="shared" si="925"/>
        <v>0.66999999999999982</v>
      </c>
      <c r="HD145" s="55">
        <f t="shared" si="925"/>
        <v>0.6499999999999998</v>
      </c>
      <c r="HE145" s="55">
        <f t="shared" si="925"/>
        <v>0.62999999999999978</v>
      </c>
      <c r="HF145" s="55">
        <f t="shared" si="925"/>
        <v>0.60999999999999976</v>
      </c>
      <c r="HG145" s="55">
        <f t="shared" si="925"/>
        <v>0.58999999999999975</v>
      </c>
      <c r="HH145" s="55">
        <f t="shared" si="925"/>
        <v>0.56999999999999973</v>
      </c>
    </row>
    <row r="146" spans="1:216" x14ac:dyDescent="0.3">
      <c r="A146" s="2">
        <v>4</v>
      </c>
      <c r="C146" s="38" t="s">
        <v>47</v>
      </c>
      <c r="D146" s="42">
        <f>TRUNC(7715+71+7084,-1)</f>
        <v>14870</v>
      </c>
      <c r="E146" s="86">
        <f>TRUNC(+D146*3.3058,-1)</f>
        <v>49150</v>
      </c>
      <c r="F146" s="2" t="s">
        <v>312</v>
      </c>
      <c r="H146" s="55">
        <f t="shared" si="502"/>
        <v>54065.000000000007</v>
      </c>
      <c r="I146" s="55">
        <f t="shared" si="503"/>
        <v>54065.000000000007</v>
      </c>
      <c r="J146" s="59">
        <f t="shared" si="504"/>
        <v>178728.07700000002</v>
      </c>
      <c r="K146" s="55">
        <f t="shared" si="930"/>
        <v>52443.05</v>
      </c>
      <c r="L146" s="59">
        <f t="shared" si="931"/>
        <v>173366.23469000001</v>
      </c>
      <c r="M146" s="55">
        <f t="shared" si="932"/>
        <v>51361.750000000007</v>
      </c>
      <c r="N146" s="59">
        <f t="shared" si="933"/>
        <v>169791.67315000002</v>
      </c>
      <c r="O146" s="55">
        <f t="shared" si="934"/>
        <v>50280.450000000012</v>
      </c>
      <c r="P146" s="59">
        <f t="shared" si="935"/>
        <v>166217.11161000005</v>
      </c>
      <c r="Q146" s="57">
        <f t="shared" si="936"/>
        <v>49199.150000000009</v>
      </c>
      <c r="R146" s="59">
        <f t="shared" si="937"/>
        <v>162642.55007000003</v>
      </c>
      <c r="S146" s="55">
        <f t="shared" si="938"/>
        <v>48117.850000000006</v>
      </c>
      <c r="T146" s="59">
        <f t="shared" si="939"/>
        <v>159067.98853000003</v>
      </c>
      <c r="U146" s="57">
        <f t="shared" si="940"/>
        <v>47036.55</v>
      </c>
      <c r="V146" s="59">
        <f t="shared" si="941"/>
        <v>155493.42699000001</v>
      </c>
      <c r="W146" s="60">
        <f t="shared" si="942"/>
        <v>45955.250000000007</v>
      </c>
      <c r="X146" s="59">
        <f t="shared" si="943"/>
        <v>151918.86545000004</v>
      </c>
      <c r="Y146" s="57">
        <f t="shared" si="944"/>
        <v>44873.950000000004</v>
      </c>
      <c r="Z146" s="59">
        <f t="shared" si="945"/>
        <v>148344.30391000002</v>
      </c>
      <c r="AA146" s="55">
        <f t="shared" si="946"/>
        <v>43792.65</v>
      </c>
      <c r="AB146" s="59">
        <f t="shared" si="947"/>
        <v>144769.74237000002</v>
      </c>
      <c r="AC146" s="60">
        <f t="shared" si="948"/>
        <v>42711.35</v>
      </c>
      <c r="AD146" s="59">
        <f t="shared" si="949"/>
        <v>141195.18083</v>
      </c>
      <c r="AE146" s="60">
        <f t="shared" si="950"/>
        <v>41630.050000000003</v>
      </c>
      <c r="AF146" s="59">
        <f t="shared" si="951"/>
        <v>137620.61929</v>
      </c>
      <c r="AG146" s="60">
        <f t="shared" si="952"/>
        <v>40548.75</v>
      </c>
      <c r="AH146" s="59">
        <f t="shared" si="953"/>
        <v>134046.05775000001</v>
      </c>
      <c r="AI146" s="55">
        <f t="shared" si="954"/>
        <v>39467.449999999997</v>
      </c>
      <c r="AJ146" s="59">
        <f t="shared" si="955"/>
        <v>130471.49621</v>
      </c>
      <c r="AK146" s="60">
        <f t="shared" si="956"/>
        <v>38386.149999999994</v>
      </c>
      <c r="AL146" s="59">
        <f t="shared" si="957"/>
        <v>126896.93466999999</v>
      </c>
      <c r="AM146" s="60">
        <f t="shared" si="958"/>
        <v>37304.85</v>
      </c>
      <c r="AN146" s="59">
        <f t="shared" si="959"/>
        <v>123322.37312999999</v>
      </c>
      <c r="AO146" s="60">
        <f t="shared" si="960"/>
        <v>36223.549999999996</v>
      </c>
      <c r="AP146" s="59">
        <f t="shared" si="961"/>
        <v>119747.81158999998</v>
      </c>
      <c r="AQ146" s="60">
        <f t="shared" si="962"/>
        <v>35142.249999999993</v>
      </c>
      <c r="AR146" s="59">
        <f t="shared" si="963"/>
        <v>116173.25004999997</v>
      </c>
      <c r="AS146" s="55">
        <f t="shared" si="964"/>
        <v>34060.94999999999</v>
      </c>
      <c r="AT146" s="59">
        <f t="shared" si="965"/>
        <v>112598.68850999996</v>
      </c>
      <c r="AU146" s="60">
        <f t="shared" si="966"/>
        <v>32979.649999999994</v>
      </c>
      <c r="AV146" s="59">
        <f t="shared" si="967"/>
        <v>109024.12696999998</v>
      </c>
      <c r="AW146" s="60">
        <f t="shared" si="968"/>
        <v>31898.349999999991</v>
      </c>
      <c r="AX146" s="59">
        <f t="shared" si="969"/>
        <v>105449.56542999997</v>
      </c>
      <c r="AY146" s="55">
        <f t="shared" si="970"/>
        <v>30817.049999999988</v>
      </c>
      <c r="AZ146" s="59">
        <f t="shared" si="971"/>
        <v>101875.00388999996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972"/>
        <v>0.91</v>
      </c>
      <c r="BH146" s="55">
        <f t="shared" si="972"/>
        <v>0.89</v>
      </c>
      <c r="BI146" s="55">
        <f t="shared" si="972"/>
        <v>0.87</v>
      </c>
      <c r="BJ146" s="55">
        <f t="shared" si="972"/>
        <v>0.85</v>
      </c>
      <c r="BK146" s="55">
        <f t="shared" si="972"/>
        <v>0.83</v>
      </c>
      <c r="BL146" s="55">
        <f t="shared" si="972"/>
        <v>0.80999999999999994</v>
      </c>
      <c r="BM146" s="55">
        <f t="shared" si="972"/>
        <v>0.78999999999999992</v>
      </c>
      <c r="BN146" s="55">
        <f t="shared" si="972"/>
        <v>0.76999999999999991</v>
      </c>
      <c r="BO146" s="55">
        <f t="shared" si="972"/>
        <v>0.74999999999999989</v>
      </c>
      <c r="BP146" s="55">
        <f t="shared" si="972"/>
        <v>0.72999999999999987</v>
      </c>
      <c r="BQ146" s="55">
        <f t="shared" si="972"/>
        <v>0.70999999999999985</v>
      </c>
      <c r="BR146" s="55">
        <f t="shared" si="972"/>
        <v>0.68999999999999984</v>
      </c>
      <c r="BS146" s="55">
        <f t="shared" si="972"/>
        <v>0.66999999999999982</v>
      </c>
      <c r="BT146" s="55">
        <f t="shared" si="972"/>
        <v>0.6499999999999998</v>
      </c>
      <c r="BU146" s="55">
        <f t="shared" si="972"/>
        <v>0.62999999999999978</v>
      </c>
      <c r="BV146" s="55">
        <f t="shared" si="972"/>
        <v>0.60999999999999976</v>
      </c>
      <c r="BW146" s="55">
        <f t="shared" si="972"/>
        <v>0.58999999999999975</v>
      </c>
      <c r="BX146" s="55">
        <f t="shared" si="972"/>
        <v>0.56999999999999973</v>
      </c>
      <c r="BZ146" s="55">
        <f t="shared" si="505"/>
        <v>49199.150000000009</v>
      </c>
      <c r="CA146" s="55">
        <f t="shared" si="506"/>
        <v>49199.150000000009</v>
      </c>
      <c r="CB146" s="59">
        <f t="shared" si="973"/>
        <v>162642.55007000003</v>
      </c>
      <c r="CC146" s="55">
        <f t="shared" si="974"/>
        <v>47723.175500000005</v>
      </c>
      <c r="CD146" s="59">
        <f t="shared" si="975"/>
        <v>157763.27356790003</v>
      </c>
      <c r="CE146" s="55">
        <f t="shared" si="976"/>
        <v>46739.192500000005</v>
      </c>
      <c r="CF146" s="59">
        <f t="shared" si="977"/>
        <v>154510.42256650003</v>
      </c>
      <c r="CG146" s="55">
        <f t="shared" si="978"/>
        <v>45755.209500000012</v>
      </c>
      <c r="CH146" s="59">
        <f t="shared" si="979"/>
        <v>151257.57156510005</v>
      </c>
      <c r="CI146" s="57">
        <f t="shared" si="980"/>
        <v>44771.226500000012</v>
      </c>
      <c r="CJ146" s="59">
        <f t="shared" si="981"/>
        <v>148004.72056370004</v>
      </c>
      <c r="CK146" s="55">
        <f t="shared" si="982"/>
        <v>43787.243500000011</v>
      </c>
      <c r="CL146" s="59">
        <f t="shared" si="983"/>
        <v>144751.86956230004</v>
      </c>
      <c r="CM146" s="57">
        <f t="shared" si="984"/>
        <v>42803.260500000004</v>
      </c>
      <c r="CN146" s="59">
        <f t="shared" si="985"/>
        <v>141499.0185609</v>
      </c>
      <c r="CO146" s="60">
        <f t="shared" si="986"/>
        <v>41819.277500000004</v>
      </c>
      <c r="CP146" s="59">
        <f t="shared" si="987"/>
        <v>138246.16755950003</v>
      </c>
      <c r="CQ146" s="57">
        <f t="shared" si="988"/>
        <v>40835.294500000004</v>
      </c>
      <c r="CR146" s="59">
        <f t="shared" si="989"/>
        <v>134993.31655810002</v>
      </c>
      <c r="CS146" s="55">
        <f t="shared" si="990"/>
        <v>39851.311500000003</v>
      </c>
      <c r="CT146" s="59">
        <f t="shared" si="991"/>
        <v>131740.46555670002</v>
      </c>
      <c r="CU146" s="60">
        <f t="shared" si="992"/>
        <v>38867.328500000003</v>
      </c>
      <c r="CV146" s="59">
        <f t="shared" si="993"/>
        <v>128487.61455530001</v>
      </c>
      <c r="CW146" s="60">
        <f t="shared" si="994"/>
        <v>37883.345500000003</v>
      </c>
      <c r="CX146" s="59">
        <f t="shared" si="995"/>
        <v>125234.76355390002</v>
      </c>
      <c r="CY146" s="60">
        <f t="shared" si="996"/>
        <v>36899.362500000003</v>
      </c>
      <c r="CZ146" s="59">
        <f t="shared" si="997"/>
        <v>121981.91255250001</v>
      </c>
      <c r="DA146" s="55">
        <f t="shared" si="998"/>
        <v>35915.379500000003</v>
      </c>
      <c r="DB146" s="59">
        <f t="shared" si="999"/>
        <v>118729.06155110001</v>
      </c>
      <c r="DC146" s="60">
        <f t="shared" si="1000"/>
        <v>34931.396500000003</v>
      </c>
      <c r="DD146" s="59">
        <f t="shared" si="1001"/>
        <v>115476.21054970002</v>
      </c>
      <c r="DE146" s="60">
        <f t="shared" si="1002"/>
        <v>33947.413499999995</v>
      </c>
      <c r="DF146" s="59">
        <f t="shared" si="1003"/>
        <v>112223.35954829998</v>
      </c>
      <c r="DG146" s="60">
        <f t="shared" si="1004"/>
        <v>32963.430499999995</v>
      </c>
      <c r="DH146" s="59">
        <f t="shared" si="1005"/>
        <v>108970.50854689999</v>
      </c>
      <c r="DI146" s="60">
        <f t="shared" si="1006"/>
        <v>31979.447499999995</v>
      </c>
      <c r="DJ146" s="59">
        <f t="shared" si="1007"/>
        <v>105717.65754549998</v>
      </c>
      <c r="DK146" s="55">
        <f t="shared" si="1008"/>
        <v>30995.464499999995</v>
      </c>
      <c r="DL146" s="59">
        <f t="shared" si="1009"/>
        <v>102464.80654409998</v>
      </c>
      <c r="DM146" s="60">
        <f t="shared" si="1010"/>
        <v>30011.481499999994</v>
      </c>
      <c r="DN146" s="59">
        <f t="shared" si="1011"/>
        <v>99211.955542699987</v>
      </c>
      <c r="DO146" s="60">
        <f t="shared" si="1012"/>
        <v>29027.498499999994</v>
      </c>
      <c r="DP146" s="59">
        <f t="shared" si="1013"/>
        <v>95959.104541299981</v>
      </c>
      <c r="DQ146" s="55">
        <f t="shared" si="1014"/>
        <v>28043.51549999999</v>
      </c>
      <c r="DR146" s="59">
        <f t="shared" si="1015"/>
        <v>92706.253539899975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24"/>
        <v>0.91</v>
      </c>
      <c r="DZ146" s="55">
        <f t="shared" si="924"/>
        <v>0.89</v>
      </c>
      <c r="EA146" s="55">
        <f t="shared" si="924"/>
        <v>0.87</v>
      </c>
      <c r="EB146" s="55">
        <f t="shared" si="924"/>
        <v>0.85</v>
      </c>
      <c r="EC146" s="55">
        <f t="shared" si="924"/>
        <v>0.83</v>
      </c>
      <c r="ED146" s="55">
        <f t="shared" si="924"/>
        <v>0.80999999999999994</v>
      </c>
      <c r="EE146" s="55">
        <f t="shared" si="924"/>
        <v>0.78999999999999992</v>
      </c>
      <c r="EF146" s="55">
        <f t="shared" si="924"/>
        <v>0.76999999999999991</v>
      </c>
      <c r="EG146" s="55">
        <f t="shared" si="924"/>
        <v>0.74999999999999989</v>
      </c>
      <c r="EH146" s="55">
        <f t="shared" si="924"/>
        <v>0.72999999999999987</v>
      </c>
      <c r="EI146" s="55">
        <f t="shared" si="924"/>
        <v>0.70999999999999985</v>
      </c>
      <c r="EJ146" s="55">
        <f t="shared" si="924"/>
        <v>0.68999999999999984</v>
      </c>
      <c r="EK146" s="55">
        <f t="shared" si="924"/>
        <v>0.66999999999999982</v>
      </c>
      <c r="EL146" s="55">
        <f t="shared" si="924"/>
        <v>0.6499999999999998</v>
      </c>
      <c r="EM146" s="55">
        <f t="shared" si="924"/>
        <v>0.62999999999999978</v>
      </c>
      <c r="EN146" s="55">
        <f t="shared" si="924"/>
        <v>0.60999999999999976</v>
      </c>
      <c r="EO146" s="55">
        <f t="shared" si="924"/>
        <v>0.58999999999999975</v>
      </c>
      <c r="EP146" s="55">
        <f t="shared" si="924"/>
        <v>0.56999999999999973</v>
      </c>
      <c r="ER146" s="55">
        <f t="shared" si="644"/>
        <v>44771.226500000012</v>
      </c>
      <c r="ES146" s="55">
        <f t="shared" si="507"/>
        <v>44771.226500000012</v>
      </c>
      <c r="ET146" s="59">
        <f t="shared" si="1016"/>
        <v>148004.72056370004</v>
      </c>
      <c r="EU146" s="55">
        <f t="shared" si="1017"/>
        <v>43428.089705000013</v>
      </c>
      <c r="EV146" s="59">
        <f t="shared" si="1018"/>
        <v>143564.57894678906</v>
      </c>
      <c r="EW146" s="55">
        <f t="shared" si="1019"/>
        <v>42532.665175000009</v>
      </c>
      <c r="EX146" s="59">
        <f t="shared" si="1020"/>
        <v>140604.48453551505</v>
      </c>
      <c r="EY146" s="55">
        <f t="shared" si="1021"/>
        <v>41637.240645000013</v>
      </c>
      <c r="EZ146" s="59">
        <f t="shared" si="1022"/>
        <v>137644.39012424104</v>
      </c>
      <c r="FA146" s="57">
        <f t="shared" si="1023"/>
        <v>40741.816115000009</v>
      </c>
      <c r="FB146" s="59">
        <f t="shared" si="1024"/>
        <v>134684.29571296702</v>
      </c>
      <c r="FC146" s="55">
        <f t="shared" si="1025"/>
        <v>39846.391585000012</v>
      </c>
      <c r="FD146" s="59">
        <f t="shared" si="1026"/>
        <v>131724.20130169304</v>
      </c>
      <c r="FE146" s="57">
        <f t="shared" si="1027"/>
        <v>38950.967055000008</v>
      </c>
      <c r="FF146" s="59">
        <f t="shared" si="1028"/>
        <v>128764.10689041903</v>
      </c>
      <c r="FG146" s="60">
        <f t="shared" si="1029"/>
        <v>38055.542525000012</v>
      </c>
      <c r="FH146" s="59">
        <f t="shared" si="1030"/>
        <v>125804.01247914504</v>
      </c>
      <c r="FI146" s="57">
        <f t="shared" si="1031"/>
        <v>37160.117995000008</v>
      </c>
      <c r="FJ146" s="59">
        <f t="shared" si="1032"/>
        <v>122843.91806787103</v>
      </c>
      <c r="FK146" s="55">
        <f t="shared" si="1033"/>
        <v>36264.693465000004</v>
      </c>
      <c r="FL146" s="59">
        <f t="shared" si="1034"/>
        <v>119883.82365659701</v>
      </c>
      <c r="FM146" s="60">
        <f t="shared" si="1035"/>
        <v>35369.268935000007</v>
      </c>
      <c r="FN146" s="59">
        <f t="shared" si="1036"/>
        <v>116923.72924532303</v>
      </c>
      <c r="FO146" s="60">
        <f t="shared" si="1037"/>
        <v>34473.844405000003</v>
      </c>
      <c r="FP146" s="59">
        <f t="shared" si="1038"/>
        <v>113963.63483404901</v>
      </c>
      <c r="FQ146" s="60">
        <f t="shared" si="1039"/>
        <v>33578.419875000007</v>
      </c>
      <c r="FR146" s="59">
        <f t="shared" si="1040"/>
        <v>111003.54042277503</v>
      </c>
      <c r="FS146" s="55">
        <f t="shared" si="1041"/>
        <v>32682.995345000003</v>
      </c>
      <c r="FT146" s="59">
        <f t="shared" si="1042"/>
        <v>108043.44601150102</v>
      </c>
      <c r="FU146" s="60">
        <f t="shared" si="1043"/>
        <v>31787.570815000003</v>
      </c>
      <c r="FV146" s="59">
        <f t="shared" si="1044"/>
        <v>105083.351600227</v>
      </c>
      <c r="FW146" s="60">
        <f t="shared" si="1045"/>
        <v>30892.146284999999</v>
      </c>
      <c r="FX146" s="59">
        <f t="shared" si="1046"/>
        <v>102123.25718895299</v>
      </c>
      <c r="FY146" s="60">
        <f t="shared" si="1047"/>
        <v>29996.721754999999</v>
      </c>
      <c r="FZ146" s="59">
        <f t="shared" si="1048"/>
        <v>99163.162777678997</v>
      </c>
      <c r="GA146" s="60">
        <f t="shared" si="1049"/>
        <v>29101.297224999998</v>
      </c>
      <c r="GB146" s="59">
        <f t="shared" si="1050"/>
        <v>96203.068366405001</v>
      </c>
      <c r="GC146" s="55">
        <f t="shared" si="1051"/>
        <v>28205.872694999998</v>
      </c>
      <c r="GD146" s="59">
        <f t="shared" si="1052"/>
        <v>93242.97395513099</v>
      </c>
      <c r="GE146" s="60">
        <f t="shared" si="1053"/>
        <v>27310.448164999998</v>
      </c>
      <c r="GF146" s="59">
        <f t="shared" si="1054"/>
        <v>90282.879543856994</v>
      </c>
      <c r="GG146" s="60">
        <f t="shared" si="1055"/>
        <v>26415.023634999994</v>
      </c>
      <c r="GH146" s="59">
        <f t="shared" si="1056"/>
        <v>87322.785132582983</v>
      </c>
      <c r="GI146" s="55">
        <f t="shared" si="1057"/>
        <v>25519.599104999994</v>
      </c>
      <c r="GJ146" s="59">
        <f t="shared" si="1058"/>
        <v>84362.690721308987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25"/>
        <v>0.91</v>
      </c>
      <c r="GR146" s="55">
        <f t="shared" si="925"/>
        <v>0.89</v>
      </c>
      <c r="GS146" s="55">
        <f t="shared" si="925"/>
        <v>0.87</v>
      </c>
      <c r="GT146" s="55">
        <f t="shared" si="925"/>
        <v>0.85</v>
      </c>
      <c r="GU146" s="55">
        <f t="shared" si="925"/>
        <v>0.83</v>
      </c>
      <c r="GV146" s="55">
        <f t="shared" si="925"/>
        <v>0.80999999999999994</v>
      </c>
      <c r="GW146" s="55">
        <f t="shared" si="925"/>
        <v>0.78999999999999992</v>
      </c>
      <c r="GX146" s="55">
        <f t="shared" si="925"/>
        <v>0.76999999999999991</v>
      </c>
      <c r="GY146" s="55">
        <f t="shared" si="925"/>
        <v>0.74999999999999989</v>
      </c>
      <c r="GZ146" s="55">
        <f t="shared" si="925"/>
        <v>0.72999999999999987</v>
      </c>
      <c r="HA146" s="55">
        <f t="shared" si="925"/>
        <v>0.70999999999999985</v>
      </c>
      <c r="HB146" s="55">
        <f t="shared" si="925"/>
        <v>0.68999999999999984</v>
      </c>
      <c r="HC146" s="55">
        <f t="shared" si="925"/>
        <v>0.66999999999999982</v>
      </c>
      <c r="HD146" s="55">
        <f t="shared" si="925"/>
        <v>0.6499999999999998</v>
      </c>
      <c r="HE146" s="55">
        <f t="shared" si="925"/>
        <v>0.62999999999999978</v>
      </c>
      <c r="HF146" s="55">
        <f t="shared" si="925"/>
        <v>0.60999999999999976</v>
      </c>
      <c r="HG146" s="55">
        <f t="shared" si="925"/>
        <v>0.58999999999999975</v>
      </c>
      <c r="HH146" s="55">
        <f t="shared" si="925"/>
        <v>0.56999999999999973</v>
      </c>
    </row>
    <row r="147" spans="1:216" ht="17.25" thickBot="1" x14ac:dyDescent="0.35">
      <c r="A147" s="2">
        <v>5</v>
      </c>
      <c r="C147" s="38" t="s">
        <v>150</v>
      </c>
      <c r="D147" s="43">
        <f>TRUNC(46445,-1)</f>
        <v>46440</v>
      </c>
      <c r="E147" s="87">
        <f>TRUNC(+D147*3.3058,-1)</f>
        <v>153520</v>
      </c>
      <c r="H147" s="55">
        <f t="shared" si="502"/>
        <v>168872</v>
      </c>
      <c r="I147" s="55">
        <f t="shared" si="503"/>
        <v>168872</v>
      </c>
      <c r="J147" s="59">
        <f t="shared" si="504"/>
        <v>558257.05760000006</v>
      </c>
      <c r="K147" s="55">
        <f t="shared" si="930"/>
        <v>163805.84</v>
      </c>
      <c r="L147" s="59">
        <f t="shared" si="931"/>
        <v>541509.34587199998</v>
      </c>
      <c r="M147" s="55">
        <f t="shared" si="932"/>
        <v>160428.4</v>
      </c>
      <c r="N147" s="59">
        <f t="shared" si="933"/>
        <v>530344.20472000004</v>
      </c>
      <c r="O147" s="55">
        <f t="shared" si="934"/>
        <v>157050.96000000002</v>
      </c>
      <c r="P147" s="59">
        <f t="shared" si="935"/>
        <v>519179.0635680001</v>
      </c>
      <c r="Q147" s="57">
        <f t="shared" si="936"/>
        <v>153673.52000000002</v>
      </c>
      <c r="R147" s="59">
        <f t="shared" si="937"/>
        <v>508013.92241600004</v>
      </c>
      <c r="S147" s="55">
        <f t="shared" si="938"/>
        <v>150296.08000000002</v>
      </c>
      <c r="T147" s="59">
        <f t="shared" si="939"/>
        <v>496848.78126400005</v>
      </c>
      <c r="U147" s="57">
        <f t="shared" si="940"/>
        <v>146918.63999999998</v>
      </c>
      <c r="V147" s="59">
        <f t="shared" si="941"/>
        <v>485683.64011199994</v>
      </c>
      <c r="W147" s="60">
        <f t="shared" si="942"/>
        <v>143541.19999999998</v>
      </c>
      <c r="X147" s="59">
        <f t="shared" si="943"/>
        <v>474518.49895999994</v>
      </c>
      <c r="Y147" s="57">
        <f t="shared" si="944"/>
        <v>140163.75999999998</v>
      </c>
      <c r="Z147" s="59">
        <f t="shared" si="945"/>
        <v>463353.35780799994</v>
      </c>
      <c r="AA147" s="55">
        <f t="shared" si="946"/>
        <v>136786.31999999998</v>
      </c>
      <c r="AB147" s="59">
        <f t="shared" si="947"/>
        <v>452188.21665599995</v>
      </c>
      <c r="AC147" s="60">
        <f t="shared" si="948"/>
        <v>133408.87999999998</v>
      </c>
      <c r="AD147" s="59">
        <f t="shared" si="949"/>
        <v>441023.07550399995</v>
      </c>
      <c r="AE147" s="60">
        <f t="shared" si="950"/>
        <v>130031.43999999999</v>
      </c>
      <c r="AF147" s="59">
        <f t="shared" si="951"/>
        <v>429857.93435199995</v>
      </c>
      <c r="AG147" s="60">
        <f t="shared" si="952"/>
        <v>126653.99999999999</v>
      </c>
      <c r="AH147" s="59">
        <f t="shared" si="953"/>
        <v>418692.79319999996</v>
      </c>
      <c r="AI147" s="55">
        <f t="shared" si="954"/>
        <v>123276.55999999998</v>
      </c>
      <c r="AJ147" s="59">
        <f t="shared" si="955"/>
        <v>407527.65204799996</v>
      </c>
      <c r="AK147" s="60">
        <f t="shared" si="956"/>
        <v>119899.11999999998</v>
      </c>
      <c r="AL147" s="59">
        <f t="shared" si="957"/>
        <v>396362.51089599996</v>
      </c>
      <c r="AM147" s="60">
        <f t="shared" si="958"/>
        <v>116521.67999999998</v>
      </c>
      <c r="AN147" s="59">
        <f t="shared" si="959"/>
        <v>385197.36974399991</v>
      </c>
      <c r="AO147" s="60">
        <f t="shared" si="960"/>
        <v>113144.23999999998</v>
      </c>
      <c r="AP147" s="59">
        <f t="shared" si="961"/>
        <v>374032.22859199991</v>
      </c>
      <c r="AQ147" s="60">
        <f t="shared" si="962"/>
        <v>109766.79999999996</v>
      </c>
      <c r="AR147" s="59">
        <f t="shared" si="963"/>
        <v>362867.08743999986</v>
      </c>
      <c r="AS147" s="55">
        <f t="shared" si="964"/>
        <v>106389.35999999996</v>
      </c>
      <c r="AT147" s="59">
        <f t="shared" si="965"/>
        <v>351701.94628799986</v>
      </c>
      <c r="AU147" s="60">
        <f t="shared" si="966"/>
        <v>103011.91999999995</v>
      </c>
      <c r="AV147" s="59">
        <f t="shared" si="967"/>
        <v>340536.80513599986</v>
      </c>
      <c r="AW147" s="60">
        <f t="shared" si="968"/>
        <v>99634.479999999952</v>
      </c>
      <c r="AX147" s="59">
        <f t="shared" si="969"/>
        <v>329371.66398399987</v>
      </c>
      <c r="AY147" s="55">
        <f t="shared" si="970"/>
        <v>96257.03999999995</v>
      </c>
      <c r="AZ147" s="59">
        <f t="shared" si="971"/>
        <v>318206.52283199981</v>
      </c>
      <c r="BC147" s="55">
        <v>1</v>
      </c>
      <c r="BD147" s="55">
        <v>0.97</v>
      </c>
      <c r="BE147" s="55">
        <v>0.95</v>
      </c>
      <c r="BF147" s="55">
        <v>0.93</v>
      </c>
      <c r="BG147" s="55">
        <f t="shared" si="972"/>
        <v>0.91</v>
      </c>
      <c r="BH147" s="55">
        <f t="shared" si="972"/>
        <v>0.89</v>
      </c>
      <c r="BI147" s="55">
        <f t="shared" si="972"/>
        <v>0.87</v>
      </c>
      <c r="BJ147" s="55">
        <f t="shared" si="972"/>
        <v>0.85</v>
      </c>
      <c r="BK147" s="55">
        <f t="shared" si="972"/>
        <v>0.83</v>
      </c>
      <c r="BL147" s="55">
        <f t="shared" si="972"/>
        <v>0.80999999999999994</v>
      </c>
      <c r="BM147" s="55">
        <f t="shared" si="972"/>
        <v>0.78999999999999992</v>
      </c>
      <c r="BN147" s="55">
        <f t="shared" si="972"/>
        <v>0.76999999999999991</v>
      </c>
      <c r="BO147" s="55">
        <f t="shared" si="972"/>
        <v>0.74999999999999989</v>
      </c>
      <c r="BP147" s="55">
        <f t="shared" si="972"/>
        <v>0.72999999999999987</v>
      </c>
      <c r="BQ147" s="55">
        <f t="shared" si="972"/>
        <v>0.70999999999999985</v>
      </c>
      <c r="BR147" s="55">
        <f t="shared" si="972"/>
        <v>0.68999999999999984</v>
      </c>
      <c r="BS147" s="55">
        <f t="shared" si="972"/>
        <v>0.66999999999999982</v>
      </c>
      <c r="BT147" s="55">
        <f t="shared" si="972"/>
        <v>0.6499999999999998</v>
      </c>
      <c r="BU147" s="55">
        <f t="shared" si="972"/>
        <v>0.62999999999999978</v>
      </c>
      <c r="BV147" s="55">
        <f t="shared" si="972"/>
        <v>0.60999999999999976</v>
      </c>
      <c r="BW147" s="55">
        <f t="shared" si="972"/>
        <v>0.58999999999999975</v>
      </c>
      <c r="BX147" s="55">
        <f t="shared" si="972"/>
        <v>0.56999999999999973</v>
      </c>
      <c r="BZ147" s="55">
        <f t="shared" si="505"/>
        <v>153673.52000000002</v>
      </c>
      <c r="CA147" s="55">
        <f t="shared" si="506"/>
        <v>153673.52000000002</v>
      </c>
      <c r="CB147" s="59">
        <f t="shared" si="973"/>
        <v>508013.92241600004</v>
      </c>
      <c r="CC147" s="55">
        <f t="shared" si="974"/>
        <v>149063.3144</v>
      </c>
      <c r="CD147" s="59">
        <f t="shared" si="975"/>
        <v>492773.50474352</v>
      </c>
      <c r="CE147" s="55">
        <f t="shared" si="976"/>
        <v>145989.84400000001</v>
      </c>
      <c r="CF147" s="59">
        <f t="shared" si="977"/>
        <v>482613.22629520006</v>
      </c>
      <c r="CG147" s="55">
        <f t="shared" si="978"/>
        <v>142916.37360000002</v>
      </c>
      <c r="CH147" s="59">
        <f t="shared" si="979"/>
        <v>472452.94784688007</v>
      </c>
      <c r="CI147" s="57">
        <f t="shared" si="980"/>
        <v>139842.90320000003</v>
      </c>
      <c r="CJ147" s="59">
        <f t="shared" si="981"/>
        <v>462292.66939856013</v>
      </c>
      <c r="CK147" s="55">
        <f t="shared" si="982"/>
        <v>136769.43280000001</v>
      </c>
      <c r="CL147" s="59">
        <f t="shared" si="983"/>
        <v>452132.39095024002</v>
      </c>
      <c r="CM147" s="57">
        <f t="shared" si="984"/>
        <v>133695.96240000002</v>
      </c>
      <c r="CN147" s="59">
        <f t="shared" si="985"/>
        <v>441972.11250192008</v>
      </c>
      <c r="CO147" s="60">
        <f t="shared" si="986"/>
        <v>130622.49200000001</v>
      </c>
      <c r="CP147" s="59">
        <f t="shared" si="987"/>
        <v>431811.83405360003</v>
      </c>
      <c r="CQ147" s="57">
        <f t="shared" si="988"/>
        <v>127549.02160000001</v>
      </c>
      <c r="CR147" s="59">
        <f t="shared" si="989"/>
        <v>421651.55560528004</v>
      </c>
      <c r="CS147" s="55">
        <f t="shared" si="990"/>
        <v>124475.5512</v>
      </c>
      <c r="CT147" s="59">
        <f t="shared" si="991"/>
        <v>411491.27715695999</v>
      </c>
      <c r="CU147" s="60">
        <f t="shared" si="992"/>
        <v>121402.0808</v>
      </c>
      <c r="CV147" s="59">
        <f t="shared" si="993"/>
        <v>401330.99870863999</v>
      </c>
      <c r="CW147" s="60">
        <f t="shared" si="994"/>
        <v>118328.61040000001</v>
      </c>
      <c r="CX147" s="59">
        <f t="shared" si="995"/>
        <v>391170.72026032</v>
      </c>
      <c r="CY147" s="60">
        <f t="shared" si="996"/>
        <v>115255.14</v>
      </c>
      <c r="CZ147" s="59">
        <f t="shared" si="997"/>
        <v>381010.441812</v>
      </c>
      <c r="DA147" s="55">
        <f t="shared" si="998"/>
        <v>112181.66959999999</v>
      </c>
      <c r="DB147" s="59">
        <f t="shared" si="999"/>
        <v>370850.16336368001</v>
      </c>
      <c r="DC147" s="60">
        <f t="shared" si="1000"/>
        <v>109108.19919999999</v>
      </c>
      <c r="DD147" s="59">
        <f t="shared" si="1001"/>
        <v>360689.88491535996</v>
      </c>
      <c r="DE147" s="60">
        <f t="shared" si="1002"/>
        <v>106034.72879999998</v>
      </c>
      <c r="DF147" s="59">
        <f t="shared" si="1003"/>
        <v>350529.60646703996</v>
      </c>
      <c r="DG147" s="60">
        <f t="shared" si="1004"/>
        <v>102961.25839999999</v>
      </c>
      <c r="DH147" s="59">
        <f t="shared" si="1005"/>
        <v>340369.32801871997</v>
      </c>
      <c r="DI147" s="60">
        <f t="shared" si="1006"/>
        <v>99887.787999999986</v>
      </c>
      <c r="DJ147" s="59">
        <f t="shared" si="1007"/>
        <v>330209.04957039998</v>
      </c>
      <c r="DK147" s="55">
        <f t="shared" si="1008"/>
        <v>96814.31759999998</v>
      </c>
      <c r="DL147" s="59">
        <f t="shared" si="1009"/>
        <v>320048.77112207992</v>
      </c>
      <c r="DM147" s="60">
        <f t="shared" si="1010"/>
        <v>93740.847199999975</v>
      </c>
      <c r="DN147" s="59">
        <f t="shared" si="1011"/>
        <v>309888.49267375993</v>
      </c>
      <c r="DO147" s="60">
        <f t="shared" si="1012"/>
        <v>90667.376799999969</v>
      </c>
      <c r="DP147" s="59">
        <f t="shared" si="1013"/>
        <v>299728.21422543988</v>
      </c>
      <c r="DQ147" s="55">
        <f t="shared" si="1014"/>
        <v>87593.906399999963</v>
      </c>
      <c r="DR147" s="59">
        <f t="shared" si="1015"/>
        <v>289567.93577711988</v>
      </c>
      <c r="DU147" s="55">
        <v>1</v>
      </c>
      <c r="DV147" s="55">
        <v>0.97</v>
      </c>
      <c r="DW147" s="55">
        <v>0.95</v>
      </c>
      <c r="DX147" s="55">
        <v>0.93</v>
      </c>
      <c r="DY147" s="55">
        <f t="shared" si="924"/>
        <v>0.91</v>
      </c>
      <c r="DZ147" s="55">
        <f t="shared" si="924"/>
        <v>0.89</v>
      </c>
      <c r="EA147" s="55">
        <f t="shared" si="924"/>
        <v>0.87</v>
      </c>
      <c r="EB147" s="55">
        <f t="shared" si="924"/>
        <v>0.85</v>
      </c>
      <c r="EC147" s="55">
        <f t="shared" si="924"/>
        <v>0.83</v>
      </c>
      <c r="ED147" s="55">
        <f t="shared" si="924"/>
        <v>0.80999999999999994</v>
      </c>
      <c r="EE147" s="55">
        <f t="shared" si="924"/>
        <v>0.78999999999999992</v>
      </c>
      <c r="EF147" s="55">
        <f t="shared" si="924"/>
        <v>0.76999999999999991</v>
      </c>
      <c r="EG147" s="55">
        <f t="shared" si="924"/>
        <v>0.74999999999999989</v>
      </c>
      <c r="EH147" s="55">
        <f t="shared" si="924"/>
        <v>0.72999999999999987</v>
      </c>
      <c r="EI147" s="55">
        <f t="shared" si="924"/>
        <v>0.70999999999999985</v>
      </c>
      <c r="EJ147" s="55">
        <f t="shared" si="924"/>
        <v>0.68999999999999984</v>
      </c>
      <c r="EK147" s="55">
        <f t="shared" si="924"/>
        <v>0.66999999999999982</v>
      </c>
      <c r="EL147" s="55">
        <f t="shared" si="924"/>
        <v>0.6499999999999998</v>
      </c>
      <c r="EM147" s="55">
        <f t="shared" si="924"/>
        <v>0.62999999999999978</v>
      </c>
      <c r="EN147" s="55">
        <f t="shared" si="924"/>
        <v>0.60999999999999976</v>
      </c>
      <c r="EO147" s="55">
        <f t="shared" si="924"/>
        <v>0.58999999999999975</v>
      </c>
      <c r="EP147" s="55">
        <f t="shared" si="924"/>
        <v>0.56999999999999973</v>
      </c>
      <c r="ER147" s="55">
        <f t="shared" si="644"/>
        <v>139842.90320000003</v>
      </c>
      <c r="ES147" s="55">
        <f t="shared" si="507"/>
        <v>139842.90320000003</v>
      </c>
      <c r="ET147" s="59">
        <f t="shared" si="1016"/>
        <v>462292.66939856013</v>
      </c>
      <c r="EU147" s="55">
        <f t="shared" si="1017"/>
        <v>135647.61610400002</v>
      </c>
      <c r="EV147" s="59">
        <f t="shared" si="1018"/>
        <v>448423.88931660325</v>
      </c>
      <c r="EW147" s="55">
        <f t="shared" si="1019"/>
        <v>132850.75804000002</v>
      </c>
      <c r="EX147" s="59">
        <f t="shared" si="1020"/>
        <v>439178.03592863207</v>
      </c>
      <c r="EY147" s="55">
        <f t="shared" si="1021"/>
        <v>130053.89997600003</v>
      </c>
      <c r="EZ147" s="59">
        <f t="shared" si="1022"/>
        <v>429932.1825406609</v>
      </c>
      <c r="FA147" s="57">
        <f t="shared" si="1023"/>
        <v>127257.04191200003</v>
      </c>
      <c r="FB147" s="59">
        <f t="shared" si="1024"/>
        <v>420686.32915268972</v>
      </c>
      <c r="FC147" s="55">
        <f t="shared" si="1025"/>
        <v>124460.18384800003</v>
      </c>
      <c r="FD147" s="59">
        <f t="shared" si="1026"/>
        <v>411440.47576471849</v>
      </c>
      <c r="FE147" s="57">
        <f t="shared" si="1027"/>
        <v>121663.32578400003</v>
      </c>
      <c r="FF147" s="59">
        <f t="shared" si="1028"/>
        <v>402194.62237674731</v>
      </c>
      <c r="FG147" s="60">
        <f t="shared" si="1029"/>
        <v>118866.46772000002</v>
      </c>
      <c r="FH147" s="59">
        <f t="shared" si="1030"/>
        <v>392948.76898877608</v>
      </c>
      <c r="FI147" s="57">
        <f t="shared" si="1031"/>
        <v>116069.60965600002</v>
      </c>
      <c r="FJ147" s="59">
        <f t="shared" si="1032"/>
        <v>383702.91560080484</v>
      </c>
      <c r="FK147" s="55">
        <f t="shared" si="1033"/>
        <v>113272.75159200002</v>
      </c>
      <c r="FL147" s="59">
        <f t="shared" si="1034"/>
        <v>374457.06221283367</v>
      </c>
      <c r="FM147" s="60">
        <f t="shared" si="1035"/>
        <v>110475.89352800002</v>
      </c>
      <c r="FN147" s="59">
        <f t="shared" si="1036"/>
        <v>365211.20882486243</v>
      </c>
      <c r="FO147" s="60">
        <f t="shared" si="1037"/>
        <v>107679.03546400002</v>
      </c>
      <c r="FP147" s="59">
        <f t="shared" si="1038"/>
        <v>355965.35543689126</v>
      </c>
      <c r="FQ147" s="60">
        <f t="shared" si="1039"/>
        <v>104882.1774</v>
      </c>
      <c r="FR147" s="59">
        <f t="shared" si="1040"/>
        <v>346719.50204892003</v>
      </c>
      <c r="FS147" s="55">
        <f t="shared" si="1041"/>
        <v>102085.319336</v>
      </c>
      <c r="FT147" s="59">
        <f t="shared" si="1042"/>
        <v>337473.64866094879</v>
      </c>
      <c r="FU147" s="60">
        <f t="shared" si="1043"/>
        <v>99288.461272</v>
      </c>
      <c r="FV147" s="59">
        <f t="shared" si="1044"/>
        <v>328227.79527297762</v>
      </c>
      <c r="FW147" s="60">
        <f t="shared" si="1045"/>
        <v>96491.603208</v>
      </c>
      <c r="FX147" s="59">
        <f t="shared" si="1046"/>
        <v>318981.94188500638</v>
      </c>
      <c r="FY147" s="60">
        <f t="shared" si="1047"/>
        <v>93694.745144</v>
      </c>
      <c r="FZ147" s="59">
        <f t="shared" si="1048"/>
        <v>309736.08849703521</v>
      </c>
      <c r="GA147" s="60">
        <f t="shared" si="1049"/>
        <v>90897.887079999986</v>
      </c>
      <c r="GB147" s="59">
        <f t="shared" si="1050"/>
        <v>300490.23510906397</v>
      </c>
      <c r="GC147" s="55">
        <f t="shared" si="1051"/>
        <v>88101.029015999986</v>
      </c>
      <c r="GD147" s="59">
        <f t="shared" si="1052"/>
        <v>291244.38172109274</v>
      </c>
      <c r="GE147" s="60">
        <f t="shared" si="1053"/>
        <v>85304.170951999986</v>
      </c>
      <c r="GF147" s="59">
        <f t="shared" si="1054"/>
        <v>281998.52833312156</v>
      </c>
      <c r="GG147" s="60">
        <f t="shared" si="1055"/>
        <v>82507.312887999986</v>
      </c>
      <c r="GH147" s="59">
        <f t="shared" si="1056"/>
        <v>272752.67494515039</v>
      </c>
      <c r="GI147" s="55">
        <f t="shared" si="1057"/>
        <v>79710.454823999986</v>
      </c>
      <c r="GJ147" s="59">
        <f t="shared" si="1058"/>
        <v>263506.82155717915</v>
      </c>
      <c r="GK147" s="55"/>
      <c r="GL147" s="55"/>
      <c r="GM147" s="55">
        <v>1</v>
      </c>
      <c r="GN147" s="55">
        <v>0.97</v>
      </c>
      <c r="GO147" s="55">
        <v>0.95</v>
      </c>
      <c r="GP147" s="55">
        <v>0.93</v>
      </c>
      <c r="GQ147" s="55">
        <f t="shared" si="925"/>
        <v>0.91</v>
      </c>
      <c r="GR147" s="55">
        <f t="shared" si="925"/>
        <v>0.89</v>
      </c>
      <c r="GS147" s="55">
        <f t="shared" si="925"/>
        <v>0.87</v>
      </c>
      <c r="GT147" s="55">
        <f t="shared" si="925"/>
        <v>0.85</v>
      </c>
      <c r="GU147" s="55">
        <f t="shared" si="925"/>
        <v>0.83</v>
      </c>
      <c r="GV147" s="55">
        <f t="shared" si="925"/>
        <v>0.80999999999999994</v>
      </c>
      <c r="GW147" s="55">
        <f t="shared" si="925"/>
        <v>0.78999999999999992</v>
      </c>
      <c r="GX147" s="55">
        <f t="shared" si="925"/>
        <v>0.76999999999999991</v>
      </c>
      <c r="GY147" s="55">
        <f t="shared" si="925"/>
        <v>0.74999999999999989</v>
      </c>
      <c r="GZ147" s="55">
        <f t="shared" si="925"/>
        <v>0.72999999999999987</v>
      </c>
      <c r="HA147" s="55">
        <f t="shared" si="925"/>
        <v>0.70999999999999985</v>
      </c>
      <c r="HB147" s="55">
        <f t="shared" si="925"/>
        <v>0.68999999999999984</v>
      </c>
      <c r="HC147" s="55">
        <f t="shared" si="925"/>
        <v>0.66999999999999982</v>
      </c>
      <c r="HD147" s="55">
        <f t="shared" si="925"/>
        <v>0.6499999999999998</v>
      </c>
      <c r="HE147" s="55">
        <f t="shared" si="925"/>
        <v>0.62999999999999978</v>
      </c>
      <c r="HF147" s="55">
        <f t="shared" si="925"/>
        <v>0.60999999999999976</v>
      </c>
      <c r="HG147" s="55">
        <f t="shared" si="925"/>
        <v>0.58999999999999975</v>
      </c>
      <c r="HH147" s="55">
        <f t="shared" si="925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89770</v>
      </c>
      <c r="E148" s="39">
        <f>SUM(E143:E147)</f>
        <v>296740</v>
      </c>
      <c r="H148" s="55">
        <f t="shared" ref="H148:H155" si="1059">+E148*1.1</f>
        <v>326414</v>
      </c>
      <c r="I148" s="55">
        <f t="shared" ref="I148:I155" si="1060">+H148</f>
        <v>326414</v>
      </c>
      <c r="J148" s="59">
        <f t="shared" ref="J148:J155" si="1061">+I148*3.3058</f>
        <v>1079059.4012</v>
      </c>
      <c r="K148" s="55">
        <f t="shared" si="930"/>
        <v>316621.58</v>
      </c>
      <c r="L148" s="59">
        <f t="shared" si="931"/>
        <v>1046687.619164</v>
      </c>
      <c r="M148" s="55">
        <f t="shared" si="932"/>
        <v>310093.3</v>
      </c>
      <c r="N148" s="59">
        <f t="shared" si="933"/>
        <v>1025106.43114</v>
      </c>
      <c r="O148" s="55">
        <f t="shared" si="934"/>
        <v>303565.02</v>
      </c>
      <c r="P148" s="59">
        <f t="shared" si="935"/>
        <v>1003525.2431160001</v>
      </c>
      <c r="Q148" s="57">
        <f t="shared" si="936"/>
        <v>297036.74</v>
      </c>
      <c r="R148" s="59">
        <f t="shared" si="937"/>
        <v>981944.05509199994</v>
      </c>
      <c r="S148" s="55">
        <f t="shared" si="938"/>
        <v>290508.46000000002</v>
      </c>
      <c r="T148" s="59">
        <f t="shared" si="939"/>
        <v>960362.86706800014</v>
      </c>
      <c r="U148" s="57">
        <f t="shared" si="940"/>
        <v>283980.18</v>
      </c>
      <c r="V148" s="59">
        <f t="shared" si="941"/>
        <v>938781.67904399999</v>
      </c>
      <c r="W148" s="60">
        <f t="shared" si="942"/>
        <v>277451.89999999997</v>
      </c>
      <c r="X148" s="59">
        <f t="shared" si="943"/>
        <v>917200.49101999996</v>
      </c>
      <c r="Y148" s="57">
        <f t="shared" si="944"/>
        <v>270923.62</v>
      </c>
      <c r="Z148" s="59">
        <f t="shared" si="945"/>
        <v>895619.30299600004</v>
      </c>
      <c r="AA148" s="55">
        <f t="shared" si="946"/>
        <v>264395.33999999997</v>
      </c>
      <c r="AB148" s="59">
        <f t="shared" si="947"/>
        <v>874038.11497199989</v>
      </c>
      <c r="AC148" s="60">
        <f t="shared" si="948"/>
        <v>257867.05999999997</v>
      </c>
      <c r="AD148" s="59">
        <f t="shared" si="949"/>
        <v>852456.92694799986</v>
      </c>
      <c r="AE148" s="60">
        <f t="shared" si="950"/>
        <v>251338.77999999997</v>
      </c>
      <c r="AF148" s="59">
        <f t="shared" si="951"/>
        <v>830875.73892399995</v>
      </c>
      <c r="AG148" s="60">
        <f t="shared" si="952"/>
        <v>244810.49999999997</v>
      </c>
      <c r="AH148" s="59">
        <f t="shared" si="953"/>
        <v>809294.55089999991</v>
      </c>
      <c r="AI148" s="55">
        <f t="shared" si="954"/>
        <v>238282.21999999997</v>
      </c>
      <c r="AJ148" s="59">
        <f t="shared" si="955"/>
        <v>787713.36287599988</v>
      </c>
      <c r="AK148" s="60">
        <f t="shared" si="956"/>
        <v>231753.93999999994</v>
      </c>
      <c r="AL148" s="59">
        <f t="shared" si="957"/>
        <v>766132.17485199985</v>
      </c>
      <c r="AM148" s="60">
        <f t="shared" si="958"/>
        <v>225225.65999999995</v>
      </c>
      <c r="AN148" s="59">
        <f t="shared" si="959"/>
        <v>744550.98682799982</v>
      </c>
      <c r="AO148" s="60">
        <f t="shared" si="960"/>
        <v>218697.37999999995</v>
      </c>
      <c r="AP148" s="59">
        <f t="shared" si="961"/>
        <v>722969.79880399979</v>
      </c>
      <c r="AQ148" s="60">
        <f t="shared" si="962"/>
        <v>212169.09999999995</v>
      </c>
      <c r="AR148" s="59">
        <f t="shared" si="963"/>
        <v>701388.61077999987</v>
      </c>
      <c r="AS148" s="55">
        <f t="shared" si="964"/>
        <v>205640.81999999992</v>
      </c>
      <c r="AT148" s="59">
        <f t="shared" si="965"/>
        <v>679807.42275599972</v>
      </c>
      <c r="AU148" s="60">
        <f t="shared" si="966"/>
        <v>199112.53999999992</v>
      </c>
      <c r="AV148" s="59">
        <f t="shared" si="967"/>
        <v>658226.23473199981</v>
      </c>
      <c r="AW148" s="60">
        <f t="shared" si="968"/>
        <v>192584.25999999992</v>
      </c>
      <c r="AX148" s="59">
        <f t="shared" si="969"/>
        <v>636645.04670799978</v>
      </c>
      <c r="AY148" s="55">
        <f t="shared" si="970"/>
        <v>186055.97999999992</v>
      </c>
      <c r="AZ148" s="59">
        <f t="shared" si="971"/>
        <v>615063.85868399974</v>
      </c>
      <c r="BC148" s="55">
        <v>1</v>
      </c>
      <c r="BD148" s="55">
        <v>0.97</v>
      </c>
      <c r="BE148" s="55">
        <v>0.95</v>
      </c>
      <c r="BF148" s="55">
        <v>0.93</v>
      </c>
      <c r="BG148" s="55">
        <f t="shared" si="972"/>
        <v>0.91</v>
      </c>
      <c r="BH148" s="55">
        <f t="shared" si="972"/>
        <v>0.89</v>
      </c>
      <c r="BI148" s="55">
        <f t="shared" si="972"/>
        <v>0.87</v>
      </c>
      <c r="BJ148" s="55">
        <f t="shared" si="972"/>
        <v>0.85</v>
      </c>
      <c r="BK148" s="55">
        <f t="shared" si="972"/>
        <v>0.83</v>
      </c>
      <c r="BL148" s="55">
        <f t="shared" si="972"/>
        <v>0.80999999999999994</v>
      </c>
      <c r="BM148" s="55">
        <f t="shared" si="972"/>
        <v>0.78999999999999992</v>
      </c>
      <c r="BN148" s="55">
        <f t="shared" si="972"/>
        <v>0.76999999999999991</v>
      </c>
      <c r="BO148" s="55">
        <f t="shared" si="972"/>
        <v>0.74999999999999989</v>
      </c>
      <c r="BP148" s="55">
        <f t="shared" si="972"/>
        <v>0.72999999999999987</v>
      </c>
      <c r="BQ148" s="55">
        <f t="shared" si="972"/>
        <v>0.70999999999999985</v>
      </c>
      <c r="BR148" s="55">
        <f t="shared" si="972"/>
        <v>0.68999999999999984</v>
      </c>
      <c r="BS148" s="55">
        <f t="shared" si="972"/>
        <v>0.66999999999999982</v>
      </c>
      <c r="BT148" s="55">
        <f t="shared" si="972"/>
        <v>0.6499999999999998</v>
      </c>
      <c r="BU148" s="55">
        <f t="shared" si="972"/>
        <v>0.62999999999999978</v>
      </c>
      <c r="BV148" s="55">
        <f t="shared" si="972"/>
        <v>0.60999999999999976</v>
      </c>
      <c r="BW148" s="55">
        <f t="shared" si="972"/>
        <v>0.58999999999999975</v>
      </c>
      <c r="BX148" s="55">
        <f t="shared" si="972"/>
        <v>0.56999999999999973</v>
      </c>
      <c r="BZ148" s="55">
        <f t="shared" ref="BZ148:BZ155" si="1062">+H148*0.91</f>
        <v>297036.74</v>
      </c>
      <c r="CA148" s="55">
        <f t="shared" ref="CA148:CA155" si="1063">+BZ148</f>
        <v>297036.74</v>
      </c>
      <c r="CB148" s="59">
        <f t="shared" si="973"/>
        <v>981944.05509199994</v>
      </c>
      <c r="CC148" s="55">
        <f t="shared" si="974"/>
        <v>288125.63779999997</v>
      </c>
      <c r="CD148" s="59">
        <f t="shared" si="975"/>
        <v>952485.73343923991</v>
      </c>
      <c r="CE148" s="55">
        <f t="shared" si="976"/>
        <v>282184.90299999999</v>
      </c>
      <c r="CF148" s="59">
        <f t="shared" si="977"/>
        <v>932846.85233739996</v>
      </c>
      <c r="CG148" s="55">
        <f t="shared" si="978"/>
        <v>276244.16820000001</v>
      </c>
      <c r="CH148" s="59">
        <f t="shared" si="979"/>
        <v>913207.97123556002</v>
      </c>
      <c r="CI148" s="57">
        <f t="shared" si="980"/>
        <v>270303.43339999998</v>
      </c>
      <c r="CJ148" s="59">
        <f t="shared" si="981"/>
        <v>893569.09013371996</v>
      </c>
      <c r="CK148" s="55">
        <f t="shared" si="982"/>
        <v>264362.6986</v>
      </c>
      <c r="CL148" s="59">
        <f t="shared" si="983"/>
        <v>873930.20903188002</v>
      </c>
      <c r="CM148" s="57">
        <f t="shared" si="984"/>
        <v>258421.9638</v>
      </c>
      <c r="CN148" s="59">
        <f t="shared" si="985"/>
        <v>854291.32793003996</v>
      </c>
      <c r="CO148" s="60">
        <f t="shared" si="986"/>
        <v>252481.22899999999</v>
      </c>
      <c r="CP148" s="59">
        <f t="shared" si="987"/>
        <v>834652.44682820002</v>
      </c>
      <c r="CQ148" s="57">
        <f t="shared" si="988"/>
        <v>246540.49419999999</v>
      </c>
      <c r="CR148" s="59">
        <f t="shared" si="989"/>
        <v>815013.56572635996</v>
      </c>
      <c r="CS148" s="55">
        <f t="shared" si="990"/>
        <v>240599.75939999998</v>
      </c>
      <c r="CT148" s="59">
        <f t="shared" si="991"/>
        <v>795374.6846245199</v>
      </c>
      <c r="CU148" s="60">
        <f t="shared" si="992"/>
        <v>234659.02459999998</v>
      </c>
      <c r="CV148" s="59">
        <f t="shared" si="993"/>
        <v>775735.80352267995</v>
      </c>
      <c r="CW148" s="60">
        <f t="shared" si="994"/>
        <v>228718.28979999997</v>
      </c>
      <c r="CX148" s="59">
        <f t="shared" si="995"/>
        <v>756096.9224208399</v>
      </c>
      <c r="CY148" s="60">
        <f t="shared" si="996"/>
        <v>222777.55499999996</v>
      </c>
      <c r="CZ148" s="59">
        <f t="shared" si="997"/>
        <v>736458.04131899995</v>
      </c>
      <c r="DA148" s="55">
        <f t="shared" si="998"/>
        <v>216836.82019999996</v>
      </c>
      <c r="DB148" s="59">
        <f t="shared" si="999"/>
        <v>716819.16021715989</v>
      </c>
      <c r="DC148" s="60">
        <f t="shared" si="1000"/>
        <v>210896.08539999995</v>
      </c>
      <c r="DD148" s="59">
        <f t="shared" si="1001"/>
        <v>697180.27911531983</v>
      </c>
      <c r="DE148" s="60">
        <f t="shared" si="1002"/>
        <v>204955.35059999995</v>
      </c>
      <c r="DF148" s="59">
        <f t="shared" si="1003"/>
        <v>677541.39801347989</v>
      </c>
      <c r="DG148" s="60">
        <f t="shared" si="1004"/>
        <v>199014.61579999994</v>
      </c>
      <c r="DH148" s="59">
        <f t="shared" si="1005"/>
        <v>657902.51691163983</v>
      </c>
      <c r="DI148" s="60">
        <f t="shared" si="1006"/>
        <v>193073.88099999994</v>
      </c>
      <c r="DJ148" s="59">
        <f t="shared" si="1007"/>
        <v>638263.63580979977</v>
      </c>
      <c r="DK148" s="55">
        <f t="shared" si="1008"/>
        <v>187133.14619999993</v>
      </c>
      <c r="DL148" s="59">
        <f t="shared" si="1009"/>
        <v>618624.75470795983</v>
      </c>
      <c r="DM148" s="60">
        <f t="shared" si="1010"/>
        <v>181192.41139999992</v>
      </c>
      <c r="DN148" s="59">
        <f t="shared" si="1011"/>
        <v>598985.87360611977</v>
      </c>
      <c r="DO148" s="60">
        <f t="shared" si="1012"/>
        <v>175251.67659999992</v>
      </c>
      <c r="DP148" s="59">
        <f t="shared" si="1013"/>
        <v>579346.99250427971</v>
      </c>
      <c r="DQ148" s="55">
        <f t="shared" si="1014"/>
        <v>169310.94179999991</v>
      </c>
      <c r="DR148" s="59">
        <f t="shared" si="1015"/>
        <v>559708.11140243977</v>
      </c>
      <c r="DU148" s="55">
        <v>1</v>
      </c>
      <c r="DV148" s="55">
        <v>0.97</v>
      </c>
      <c r="DW148" s="55">
        <v>0.95</v>
      </c>
      <c r="DX148" s="55">
        <v>0.93</v>
      </c>
      <c r="DY148" s="55">
        <f t="shared" si="924"/>
        <v>0.91</v>
      </c>
      <c r="DZ148" s="55">
        <f t="shared" si="924"/>
        <v>0.89</v>
      </c>
      <c r="EA148" s="55">
        <f t="shared" si="924"/>
        <v>0.87</v>
      </c>
      <c r="EB148" s="55">
        <f t="shared" si="924"/>
        <v>0.85</v>
      </c>
      <c r="EC148" s="55">
        <f t="shared" si="924"/>
        <v>0.83</v>
      </c>
      <c r="ED148" s="55">
        <f t="shared" si="924"/>
        <v>0.80999999999999994</v>
      </c>
      <c r="EE148" s="55">
        <f t="shared" si="924"/>
        <v>0.78999999999999992</v>
      </c>
      <c r="EF148" s="55">
        <f t="shared" si="924"/>
        <v>0.76999999999999991</v>
      </c>
      <c r="EG148" s="55">
        <f t="shared" si="924"/>
        <v>0.74999999999999989</v>
      </c>
      <c r="EH148" s="55">
        <f t="shared" si="924"/>
        <v>0.72999999999999987</v>
      </c>
      <c r="EI148" s="55">
        <f t="shared" si="924"/>
        <v>0.70999999999999985</v>
      </c>
      <c r="EJ148" s="55">
        <f t="shared" si="924"/>
        <v>0.68999999999999984</v>
      </c>
      <c r="EK148" s="55">
        <f t="shared" si="924"/>
        <v>0.66999999999999982</v>
      </c>
      <c r="EL148" s="55">
        <f t="shared" si="924"/>
        <v>0.6499999999999998</v>
      </c>
      <c r="EM148" s="55">
        <f t="shared" si="924"/>
        <v>0.62999999999999978</v>
      </c>
      <c r="EN148" s="55">
        <f t="shared" si="924"/>
        <v>0.60999999999999976</v>
      </c>
      <c r="EO148" s="55">
        <f t="shared" si="924"/>
        <v>0.58999999999999975</v>
      </c>
      <c r="EP148" s="55">
        <f t="shared" si="924"/>
        <v>0.56999999999999973</v>
      </c>
      <c r="ER148" s="55">
        <f t="shared" si="644"/>
        <v>270303.43339999998</v>
      </c>
      <c r="ES148" s="55">
        <f t="shared" ref="ES148:ES155" si="1064">+ER148</f>
        <v>270303.43339999998</v>
      </c>
      <c r="ET148" s="59">
        <f t="shared" si="1016"/>
        <v>893569.09013371996</v>
      </c>
      <c r="EU148" s="55">
        <f t="shared" si="1017"/>
        <v>262194.33039799996</v>
      </c>
      <c r="EV148" s="59">
        <f t="shared" si="1018"/>
        <v>866762.01742970827</v>
      </c>
      <c r="EW148" s="55">
        <f t="shared" si="1019"/>
        <v>256788.26172999997</v>
      </c>
      <c r="EX148" s="59">
        <f t="shared" si="1020"/>
        <v>848890.63562703389</v>
      </c>
      <c r="EY148" s="55">
        <f t="shared" si="1021"/>
        <v>251382.19306200001</v>
      </c>
      <c r="EZ148" s="59">
        <f t="shared" si="1022"/>
        <v>831019.25382435962</v>
      </c>
      <c r="FA148" s="57">
        <f t="shared" si="1023"/>
        <v>245976.12439399998</v>
      </c>
      <c r="FB148" s="59">
        <f t="shared" si="1024"/>
        <v>813147.87202168512</v>
      </c>
      <c r="FC148" s="55">
        <f t="shared" si="1025"/>
        <v>240570.05572599999</v>
      </c>
      <c r="FD148" s="59">
        <f t="shared" si="1026"/>
        <v>795276.49021901074</v>
      </c>
      <c r="FE148" s="57">
        <f t="shared" si="1027"/>
        <v>235163.98705799997</v>
      </c>
      <c r="FF148" s="59">
        <f t="shared" si="1028"/>
        <v>777405.10841633636</v>
      </c>
      <c r="FG148" s="60">
        <f t="shared" si="1029"/>
        <v>229757.91838999998</v>
      </c>
      <c r="FH148" s="59">
        <f t="shared" si="1030"/>
        <v>759533.72661366197</v>
      </c>
      <c r="FI148" s="57">
        <f t="shared" si="1031"/>
        <v>224351.84972199998</v>
      </c>
      <c r="FJ148" s="59">
        <f t="shared" si="1032"/>
        <v>741662.34481098759</v>
      </c>
      <c r="FK148" s="55">
        <f t="shared" si="1033"/>
        <v>218945.78105399996</v>
      </c>
      <c r="FL148" s="59">
        <f t="shared" si="1034"/>
        <v>723790.96300831309</v>
      </c>
      <c r="FM148" s="60">
        <f t="shared" si="1035"/>
        <v>213539.71238599997</v>
      </c>
      <c r="FN148" s="59">
        <f t="shared" si="1036"/>
        <v>705919.58120563871</v>
      </c>
      <c r="FO148" s="60">
        <f t="shared" si="1037"/>
        <v>208133.64371799995</v>
      </c>
      <c r="FP148" s="59">
        <f t="shared" si="1038"/>
        <v>688048.19940296421</v>
      </c>
      <c r="FQ148" s="60">
        <f t="shared" si="1039"/>
        <v>202727.57504999996</v>
      </c>
      <c r="FR148" s="59">
        <f t="shared" si="1040"/>
        <v>670176.81760028983</v>
      </c>
      <c r="FS148" s="55">
        <f t="shared" si="1041"/>
        <v>197321.50638199996</v>
      </c>
      <c r="FT148" s="59">
        <f t="shared" si="1042"/>
        <v>652305.43579761544</v>
      </c>
      <c r="FU148" s="60">
        <f t="shared" si="1043"/>
        <v>191915.43771399994</v>
      </c>
      <c r="FV148" s="59">
        <f t="shared" si="1044"/>
        <v>634434.05399494106</v>
      </c>
      <c r="FW148" s="60">
        <f t="shared" si="1045"/>
        <v>186509.36904599995</v>
      </c>
      <c r="FX148" s="59">
        <f t="shared" si="1046"/>
        <v>616562.67219226668</v>
      </c>
      <c r="FY148" s="60">
        <f t="shared" si="1047"/>
        <v>181103.30037799993</v>
      </c>
      <c r="FZ148" s="59">
        <f t="shared" si="1048"/>
        <v>598691.29038959218</v>
      </c>
      <c r="GA148" s="60">
        <f t="shared" si="1049"/>
        <v>175697.23170999993</v>
      </c>
      <c r="GB148" s="59">
        <f t="shared" si="1050"/>
        <v>580819.90858691779</v>
      </c>
      <c r="GC148" s="55">
        <f t="shared" si="1051"/>
        <v>170291.16304199994</v>
      </c>
      <c r="GD148" s="59">
        <f t="shared" si="1052"/>
        <v>562948.52678424341</v>
      </c>
      <c r="GE148" s="60">
        <f t="shared" si="1053"/>
        <v>164885.09437399992</v>
      </c>
      <c r="GF148" s="59">
        <f t="shared" si="1054"/>
        <v>545077.14498156891</v>
      </c>
      <c r="GG148" s="60">
        <f t="shared" si="1055"/>
        <v>159479.02570599993</v>
      </c>
      <c r="GH148" s="59">
        <f t="shared" si="1056"/>
        <v>527205.76317889453</v>
      </c>
      <c r="GI148" s="55">
        <f t="shared" si="1057"/>
        <v>154072.95703799991</v>
      </c>
      <c r="GJ148" s="59">
        <f t="shared" si="1058"/>
        <v>509334.38137622009</v>
      </c>
      <c r="GK148" s="55"/>
      <c r="GL148" s="55"/>
      <c r="GM148" s="55">
        <v>1</v>
      </c>
      <c r="GN148" s="55">
        <v>0.97</v>
      </c>
      <c r="GO148" s="55">
        <v>0.95</v>
      </c>
      <c r="GP148" s="55">
        <v>0.93</v>
      </c>
      <c r="GQ148" s="55">
        <f t="shared" si="925"/>
        <v>0.91</v>
      </c>
      <c r="GR148" s="55">
        <f t="shared" si="925"/>
        <v>0.89</v>
      </c>
      <c r="GS148" s="55">
        <f t="shared" si="925"/>
        <v>0.87</v>
      </c>
      <c r="GT148" s="55">
        <f t="shared" si="925"/>
        <v>0.85</v>
      </c>
      <c r="GU148" s="55">
        <f t="shared" si="925"/>
        <v>0.83</v>
      </c>
      <c r="GV148" s="55">
        <f t="shared" si="925"/>
        <v>0.80999999999999994</v>
      </c>
      <c r="GW148" s="55">
        <f t="shared" si="925"/>
        <v>0.78999999999999992</v>
      </c>
      <c r="GX148" s="55">
        <f t="shared" si="925"/>
        <v>0.76999999999999991</v>
      </c>
      <c r="GY148" s="55">
        <f t="shared" si="925"/>
        <v>0.74999999999999989</v>
      </c>
      <c r="GZ148" s="55">
        <f t="shared" si="925"/>
        <v>0.72999999999999987</v>
      </c>
      <c r="HA148" s="55">
        <f t="shared" si="925"/>
        <v>0.70999999999999985</v>
      </c>
      <c r="HB148" s="55">
        <f t="shared" si="925"/>
        <v>0.68999999999999984</v>
      </c>
      <c r="HC148" s="55">
        <f t="shared" si="925"/>
        <v>0.66999999999999982</v>
      </c>
      <c r="HD148" s="55">
        <f t="shared" si="925"/>
        <v>0.6499999999999998</v>
      </c>
      <c r="HE148" s="55">
        <f t="shared" si="925"/>
        <v>0.62999999999999978</v>
      </c>
      <c r="HF148" s="55">
        <f t="shared" si="925"/>
        <v>0.60999999999999976</v>
      </c>
      <c r="HG148" s="55">
        <f t="shared" si="925"/>
        <v>0.58999999999999975</v>
      </c>
      <c r="HH148" s="55">
        <f t="shared" si="925"/>
        <v>0.56999999999999973</v>
      </c>
    </row>
    <row r="149" spans="1:216" s="64" customFormat="1" x14ac:dyDescent="0.3">
      <c r="C149" s="65"/>
      <c r="D149" s="65"/>
      <c r="E149" s="65"/>
      <c r="G149" s="61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2"/>
      <c r="U149" s="61"/>
      <c r="V149" s="63"/>
      <c r="W149" s="61"/>
      <c r="X149" s="62"/>
      <c r="Y149" s="61"/>
      <c r="Z149" s="61"/>
      <c r="AA149" s="61"/>
      <c r="AB149" s="63"/>
      <c r="AC149" s="61"/>
      <c r="AD149" s="63"/>
      <c r="AE149" s="61"/>
      <c r="AF149" s="63"/>
      <c r="AG149" s="61"/>
      <c r="AH149" s="61"/>
      <c r="AI149" s="61"/>
      <c r="AJ149" s="63"/>
      <c r="AK149" s="61"/>
      <c r="AL149" s="63"/>
      <c r="AM149" s="61"/>
      <c r="AN149" s="63"/>
      <c r="AO149" s="61"/>
      <c r="AP149" s="63"/>
      <c r="AQ149" s="61"/>
      <c r="AR149" s="61"/>
      <c r="AS149" s="61"/>
      <c r="AT149" s="63"/>
      <c r="AU149" s="61"/>
      <c r="AV149" s="63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>
        <f t="shared" ref="BY149:BY150" si="1065">+G149*0.91</f>
        <v>0</v>
      </c>
      <c r="BZ149" s="61"/>
      <c r="CA149" s="61"/>
      <c r="CB149" s="61"/>
      <c r="CC149" s="61"/>
      <c r="CD149" s="61"/>
      <c r="CE149" s="61"/>
      <c r="CF149" s="61"/>
      <c r="CG149" s="61"/>
      <c r="CH149" s="62"/>
      <c r="CI149" s="61"/>
      <c r="CJ149" s="61"/>
      <c r="CK149" s="61"/>
      <c r="CL149" s="62"/>
      <c r="CM149" s="61"/>
      <c r="CN149" s="63"/>
      <c r="CO149" s="61"/>
      <c r="CP149" s="62"/>
      <c r="CQ149" s="61"/>
      <c r="CR149" s="61"/>
      <c r="CS149" s="61"/>
      <c r="CT149" s="63"/>
      <c r="CU149" s="61"/>
      <c r="CV149" s="63"/>
      <c r="CW149" s="61"/>
      <c r="CX149" s="63"/>
      <c r="CY149" s="61"/>
      <c r="CZ149" s="61"/>
      <c r="DA149" s="61"/>
      <c r="DB149" s="63"/>
      <c r="DC149" s="61"/>
      <c r="DD149" s="63"/>
      <c r="DE149" s="61"/>
      <c r="DF149" s="63"/>
      <c r="DG149" s="61"/>
      <c r="DH149" s="63"/>
      <c r="DI149" s="61"/>
      <c r="DJ149" s="61"/>
      <c r="DK149" s="61"/>
      <c r="DL149" s="63"/>
      <c r="DM149" s="61"/>
      <c r="DN149" s="63"/>
      <c r="DO149" s="61"/>
      <c r="DP149" s="61"/>
      <c r="DQ149" s="61"/>
      <c r="DR149" s="61"/>
      <c r="DS149" s="61"/>
      <c r="DT149" s="61">
        <v>1</v>
      </c>
      <c r="DU149" s="61">
        <v>0.97</v>
      </c>
      <c r="DV149" s="61">
        <v>0.95</v>
      </c>
      <c r="DW149" s="61">
        <v>0.93</v>
      </c>
      <c r="DX149" s="61">
        <f t="shared" ref="DX149:EO150" si="1066">+DW149-0.02</f>
        <v>0.91</v>
      </c>
      <c r="DY149" s="61">
        <f t="shared" si="1066"/>
        <v>0.89</v>
      </c>
      <c r="DZ149" s="61">
        <f t="shared" si="1066"/>
        <v>0.87</v>
      </c>
      <c r="EA149" s="61">
        <f t="shared" si="1066"/>
        <v>0.85</v>
      </c>
      <c r="EB149" s="61">
        <f t="shared" si="1066"/>
        <v>0.83</v>
      </c>
      <c r="EC149" s="61">
        <f t="shared" si="1066"/>
        <v>0.80999999999999994</v>
      </c>
      <c r="ED149" s="61">
        <f t="shared" si="1066"/>
        <v>0.78999999999999992</v>
      </c>
      <c r="EE149" s="61">
        <f t="shared" si="1066"/>
        <v>0.76999999999999991</v>
      </c>
      <c r="EF149" s="61">
        <f t="shared" si="1066"/>
        <v>0.74999999999999989</v>
      </c>
      <c r="EG149" s="61">
        <f t="shared" si="1066"/>
        <v>0.72999999999999987</v>
      </c>
      <c r="EH149" s="61">
        <f t="shared" si="1066"/>
        <v>0.70999999999999985</v>
      </c>
      <c r="EI149" s="61">
        <f t="shared" si="1066"/>
        <v>0.68999999999999984</v>
      </c>
      <c r="EJ149" s="61">
        <f t="shared" si="1066"/>
        <v>0.66999999999999982</v>
      </c>
      <c r="EK149" s="61">
        <f t="shared" si="1066"/>
        <v>0.6499999999999998</v>
      </c>
      <c r="EL149" s="61">
        <f t="shared" si="1066"/>
        <v>0.62999999999999978</v>
      </c>
      <c r="EM149" s="61">
        <f t="shared" si="1066"/>
        <v>0.60999999999999976</v>
      </c>
      <c r="EN149" s="61">
        <f t="shared" si="1066"/>
        <v>0.58999999999999975</v>
      </c>
      <c r="EO149" s="61">
        <f t="shared" si="1066"/>
        <v>0.56999999999999973</v>
      </c>
      <c r="EQ149" s="61">
        <f t="shared" ref="EQ149:EQ150" si="1067">+BY149*0.91</f>
        <v>0</v>
      </c>
      <c r="ER149" s="61"/>
      <c r="ES149" s="61"/>
      <c r="ET149" s="61"/>
      <c r="EU149" s="61"/>
      <c r="EV149" s="61"/>
      <c r="EW149" s="61"/>
      <c r="EX149" s="61"/>
      <c r="EY149" s="61"/>
      <c r="EZ149" s="62"/>
      <c r="FA149" s="61"/>
      <c r="FB149" s="61"/>
      <c r="FC149" s="61"/>
      <c r="FD149" s="62"/>
      <c r="FE149" s="61"/>
      <c r="FF149" s="63"/>
      <c r="FG149" s="61"/>
      <c r="FH149" s="62"/>
      <c r="FI149" s="61"/>
      <c r="FJ149" s="61"/>
      <c r="FK149" s="61"/>
      <c r="FL149" s="63"/>
      <c r="FM149" s="61"/>
      <c r="FN149" s="63"/>
      <c r="FO149" s="61"/>
      <c r="FP149" s="63"/>
      <c r="FQ149" s="61"/>
      <c r="FR149" s="61"/>
      <c r="FS149" s="61"/>
      <c r="FT149" s="63"/>
      <c r="FU149" s="61"/>
      <c r="FV149" s="63"/>
      <c r="FW149" s="61"/>
      <c r="FX149" s="63"/>
      <c r="FY149" s="61"/>
      <c r="FZ149" s="63"/>
      <c r="GA149" s="61"/>
      <c r="GB149" s="61"/>
      <c r="GC149" s="61"/>
      <c r="GD149" s="63"/>
      <c r="GE149" s="61"/>
      <c r="GF149" s="63"/>
      <c r="GG149" s="61"/>
      <c r="GH149" s="61"/>
      <c r="GI149" s="61"/>
      <c r="GJ149" s="61"/>
      <c r="GK149" s="61"/>
      <c r="GL149" s="61">
        <v>1</v>
      </c>
      <c r="GM149" s="61">
        <v>0.97</v>
      </c>
      <c r="GN149" s="61">
        <v>0.95</v>
      </c>
      <c r="GO149" s="61">
        <v>0.93</v>
      </c>
      <c r="GP149" s="61">
        <f t="shared" ref="GP149:HG150" si="1068">+GO149-0.02</f>
        <v>0.91</v>
      </c>
      <c r="GQ149" s="61">
        <f t="shared" si="1068"/>
        <v>0.89</v>
      </c>
      <c r="GR149" s="61">
        <f t="shared" si="1068"/>
        <v>0.87</v>
      </c>
      <c r="GS149" s="61">
        <f t="shared" si="1068"/>
        <v>0.85</v>
      </c>
      <c r="GT149" s="61">
        <f t="shared" si="1068"/>
        <v>0.83</v>
      </c>
      <c r="GU149" s="61">
        <f t="shared" si="1068"/>
        <v>0.80999999999999994</v>
      </c>
      <c r="GV149" s="61">
        <f t="shared" si="1068"/>
        <v>0.78999999999999992</v>
      </c>
      <c r="GW149" s="61">
        <f t="shared" si="1068"/>
        <v>0.76999999999999991</v>
      </c>
      <c r="GX149" s="61">
        <f t="shared" si="1068"/>
        <v>0.74999999999999989</v>
      </c>
      <c r="GY149" s="61">
        <f t="shared" si="1068"/>
        <v>0.72999999999999987</v>
      </c>
      <c r="GZ149" s="61">
        <f t="shared" si="1068"/>
        <v>0.70999999999999985</v>
      </c>
      <c r="HA149" s="61">
        <f t="shared" si="1068"/>
        <v>0.68999999999999984</v>
      </c>
      <c r="HB149" s="61">
        <f t="shared" si="1068"/>
        <v>0.66999999999999982</v>
      </c>
      <c r="HC149" s="61">
        <f t="shared" si="1068"/>
        <v>0.6499999999999998</v>
      </c>
      <c r="HD149" s="61">
        <f t="shared" si="1068"/>
        <v>0.62999999999999978</v>
      </c>
      <c r="HE149" s="61">
        <f t="shared" si="1068"/>
        <v>0.60999999999999976</v>
      </c>
      <c r="HF149" s="61">
        <f t="shared" si="1068"/>
        <v>0.58999999999999975</v>
      </c>
      <c r="HG149" s="61">
        <f t="shared" si="1068"/>
        <v>0.56999999999999973</v>
      </c>
    </row>
    <row r="150" spans="1:216" s="64" customFormat="1" ht="17.25" thickBot="1" x14ac:dyDescent="0.35">
      <c r="B150" s="64" t="s">
        <v>302</v>
      </c>
      <c r="C150" s="64" t="s">
        <v>297</v>
      </c>
      <c r="D150" s="65" t="s">
        <v>271</v>
      </c>
      <c r="E150" s="65" t="s">
        <v>315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2"/>
      <c r="U150" s="61"/>
      <c r="V150" s="63"/>
      <c r="W150" s="61"/>
      <c r="X150" s="62"/>
      <c r="Y150" s="61"/>
      <c r="Z150" s="61"/>
      <c r="AA150" s="61"/>
      <c r="AB150" s="63"/>
      <c r="AC150" s="61"/>
      <c r="AD150" s="63"/>
      <c r="AE150" s="61"/>
      <c r="AF150" s="63"/>
      <c r="AG150" s="61"/>
      <c r="AH150" s="61"/>
      <c r="AI150" s="61"/>
      <c r="AJ150" s="63"/>
      <c r="AK150" s="61"/>
      <c r="AL150" s="63"/>
      <c r="AM150" s="61"/>
      <c r="AN150" s="63"/>
      <c r="AO150" s="61"/>
      <c r="AP150" s="63"/>
      <c r="AQ150" s="61"/>
      <c r="AR150" s="61"/>
      <c r="AS150" s="61"/>
      <c r="AT150" s="63"/>
      <c r="AU150" s="61"/>
      <c r="AV150" s="63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>
        <f t="shared" si="1065"/>
        <v>0</v>
      </c>
      <c r="BZ150" s="61"/>
      <c r="CA150" s="61"/>
      <c r="CB150" s="61"/>
      <c r="CC150" s="61"/>
      <c r="CD150" s="61"/>
      <c r="CE150" s="61"/>
      <c r="CF150" s="61"/>
      <c r="CG150" s="61"/>
      <c r="CH150" s="62"/>
      <c r="CI150" s="61"/>
      <c r="CJ150" s="61"/>
      <c r="CK150" s="61"/>
      <c r="CL150" s="62"/>
      <c r="CM150" s="61"/>
      <c r="CN150" s="63"/>
      <c r="CO150" s="61"/>
      <c r="CP150" s="62"/>
      <c r="CQ150" s="61"/>
      <c r="CR150" s="61"/>
      <c r="CS150" s="61"/>
      <c r="CT150" s="63"/>
      <c r="CU150" s="61"/>
      <c r="CV150" s="63"/>
      <c r="CW150" s="61"/>
      <c r="CX150" s="63"/>
      <c r="CY150" s="61"/>
      <c r="CZ150" s="61"/>
      <c r="DA150" s="61"/>
      <c r="DB150" s="63"/>
      <c r="DC150" s="61"/>
      <c r="DD150" s="63"/>
      <c r="DE150" s="61"/>
      <c r="DF150" s="63"/>
      <c r="DG150" s="61"/>
      <c r="DH150" s="63"/>
      <c r="DI150" s="61"/>
      <c r="DJ150" s="61"/>
      <c r="DK150" s="61"/>
      <c r="DL150" s="63"/>
      <c r="DM150" s="61"/>
      <c r="DN150" s="63"/>
      <c r="DO150" s="61"/>
      <c r="DP150" s="61"/>
      <c r="DQ150" s="61"/>
      <c r="DR150" s="61"/>
      <c r="DS150" s="61"/>
      <c r="DT150" s="61">
        <v>1</v>
      </c>
      <c r="DU150" s="61">
        <v>0.97</v>
      </c>
      <c r="DV150" s="61">
        <v>0.95</v>
      </c>
      <c r="DW150" s="61">
        <v>0.93</v>
      </c>
      <c r="DX150" s="61">
        <f t="shared" si="1066"/>
        <v>0.91</v>
      </c>
      <c r="DY150" s="61">
        <f t="shared" si="1066"/>
        <v>0.89</v>
      </c>
      <c r="DZ150" s="61">
        <f t="shared" si="1066"/>
        <v>0.87</v>
      </c>
      <c r="EA150" s="61">
        <f t="shared" si="1066"/>
        <v>0.85</v>
      </c>
      <c r="EB150" s="61">
        <f t="shared" si="1066"/>
        <v>0.83</v>
      </c>
      <c r="EC150" s="61">
        <f t="shared" si="1066"/>
        <v>0.80999999999999994</v>
      </c>
      <c r="ED150" s="61">
        <f t="shared" si="1066"/>
        <v>0.78999999999999992</v>
      </c>
      <c r="EE150" s="61">
        <f t="shared" si="1066"/>
        <v>0.76999999999999991</v>
      </c>
      <c r="EF150" s="61">
        <f t="shared" si="1066"/>
        <v>0.74999999999999989</v>
      </c>
      <c r="EG150" s="61">
        <f t="shared" si="1066"/>
        <v>0.72999999999999987</v>
      </c>
      <c r="EH150" s="61">
        <f t="shared" si="1066"/>
        <v>0.70999999999999985</v>
      </c>
      <c r="EI150" s="61">
        <f t="shared" si="1066"/>
        <v>0.68999999999999984</v>
      </c>
      <c r="EJ150" s="61">
        <f t="shared" si="1066"/>
        <v>0.66999999999999982</v>
      </c>
      <c r="EK150" s="61">
        <f t="shared" si="1066"/>
        <v>0.6499999999999998</v>
      </c>
      <c r="EL150" s="61">
        <f t="shared" si="1066"/>
        <v>0.62999999999999978</v>
      </c>
      <c r="EM150" s="61">
        <f t="shared" si="1066"/>
        <v>0.60999999999999976</v>
      </c>
      <c r="EN150" s="61">
        <f t="shared" si="1066"/>
        <v>0.58999999999999975</v>
      </c>
      <c r="EO150" s="61">
        <f t="shared" si="1066"/>
        <v>0.56999999999999973</v>
      </c>
      <c r="EQ150" s="61">
        <f t="shared" si="1067"/>
        <v>0</v>
      </c>
      <c r="ER150" s="61"/>
      <c r="ES150" s="61"/>
      <c r="ET150" s="61"/>
      <c r="EU150" s="61"/>
      <c r="EV150" s="61"/>
      <c r="EW150" s="61"/>
      <c r="EX150" s="61"/>
      <c r="EY150" s="61"/>
      <c r="EZ150" s="62"/>
      <c r="FA150" s="61"/>
      <c r="FB150" s="61"/>
      <c r="FC150" s="61"/>
      <c r="FD150" s="62"/>
      <c r="FE150" s="61"/>
      <c r="FF150" s="63"/>
      <c r="FG150" s="61"/>
      <c r="FH150" s="62"/>
      <c r="FI150" s="61"/>
      <c r="FJ150" s="61"/>
      <c r="FK150" s="61"/>
      <c r="FL150" s="63"/>
      <c r="FM150" s="61"/>
      <c r="FN150" s="63"/>
      <c r="FO150" s="61"/>
      <c r="FP150" s="63"/>
      <c r="FQ150" s="61"/>
      <c r="FR150" s="61"/>
      <c r="FS150" s="61"/>
      <c r="FT150" s="63"/>
      <c r="FU150" s="61"/>
      <c r="FV150" s="63"/>
      <c r="FW150" s="61"/>
      <c r="FX150" s="63"/>
      <c r="FY150" s="61"/>
      <c r="FZ150" s="63"/>
      <c r="GA150" s="61"/>
      <c r="GB150" s="61"/>
      <c r="GC150" s="61"/>
      <c r="GD150" s="63"/>
      <c r="GE150" s="61"/>
      <c r="GF150" s="63"/>
      <c r="GG150" s="61"/>
      <c r="GH150" s="61"/>
      <c r="GI150" s="61"/>
      <c r="GJ150" s="61"/>
      <c r="GK150" s="61"/>
      <c r="GL150" s="61">
        <v>1</v>
      </c>
      <c r="GM150" s="61">
        <v>0.97</v>
      </c>
      <c r="GN150" s="61">
        <v>0.95</v>
      </c>
      <c r="GO150" s="61">
        <v>0.93</v>
      </c>
      <c r="GP150" s="61">
        <f t="shared" si="1068"/>
        <v>0.91</v>
      </c>
      <c r="GQ150" s="61">
        <f t="shared" si="1068"/>
        <v>0.89</v>
      </c>
      <c r="GR150" s="61">
        <f t="shared" si="1068"/>
        <v>0.87</v>
      </c>
      <c r="GS150" s="61">
        <f t="shared" si="1068"/>
        <v>0.85</v>
      </c>
      <c r="GT150" s="61">
        <f t="shared" si="1068"/>
        <v>0.83</v>
      </c>
      <c r="GU150" s="61">
        <f t="shared" si="1068"/>
        <v>0.80999999999999994</v>
      </c>
      <c r="GV150" s="61">
        <f t="shared" si="1068"/>
        <v>0.78999999999999992</v>
      </c>
      <c r="GW150" s="61">
        <f t="shared" si="1068"/>
        <v>0.76999999999999991</v>
      </c>
      <c r="GX150" s="61">
        <f t="shared" si="1068"/>
        <v>0.74999999999999989</v>
      </c>
      <c r="GY150" s="61">
        <f t="shared" si="1068"/>
        <v>0.72999999999999987</v>
      </c>
      <c r="GZ150" s="61">
        <f t="shared" si="1068"/>
        <v>0.70999999999999985</v>
      </c>
      <c r="HA150" s="61">
        <f t="shared" si="1068"/>
        <v>0.68999999999999984</v>
      </c>
      <c r="HB150" s="61">
        <f t="shared" si="1068"/>
        <v>0.66999999999999982</v>
      </c>
      <c r="HC150" s="61">
        <f t="shared" si="1068"/>
        <v>0.6499999999999998</v>
      </c>
      <c r="HD150" s="61">
        <f t="shared" si="1068"/>
        <v>0.62999999999999978</v>
      </c>
      <c r="HE150" s="61">
        <f t="shared" si="1068"/>
        <v>0.60999999999999976</v>
      </c>
      <c r="HF150" s="61">
        <f t="shared" si="1068"/>
        <v>0.58999999999999975</v>
      </c>
      <c r="HG150" s="61">
        <f t="shared" si="1068"/>
        <v>0.56999999999999973</v>
      </c>
    </row>
    <row r="151" spans="1:216" x14ac:dyDescent="0.3">
      <c r="A151" s="2">
        <v>1</v>
      </c>
      <c r="C151" s="38" t="s">
        <v>51</v>
      </c>
      <c r="D151" s="40">
        <f>TRUNC(26898,-1)</f>
        <v>26890</v>
      </c>
      <c r="E151" s="85">
        <f>TRUNC(+D151*3.3058,-1)</f>
        <v>88890</v>
      </c>
      <c r="H151" s="55">
        <f t="shared" si="1059"/>
        <v>97779.000000000015</v>
      </c>
      <c r="I151" s="55">
        <f t="shared" si="1060"/>
        <v>97779.000000000015</v>
      </c>
      <c r="J151" s="59">
        <f t="shared" si="1061"/>
        <v>323237.81820000004</v>
      </c>
      <c r="K151" s="55">
        <f t="shared" ref="K151:K155" si="1069">+I151*BD151</f>
        <v>94845.63</v>
      </c>
      <c r="L151" s="59">
        <f t="shared" ref="L151:L155" si="1070">+K151*3.3058</f>
        <v>313540.68365399999</v>
      </c>
      <c r="M151" s="55">
        <f t="shared" ref="M151:M155" si="1071">+I151*BE151</f>
        <v>92890.05</v>
      </c>
      <c r="N151" s="59">
        <f t="shared" ref="N151:N155" si="1072">+M151*3.3058</f>
        <v>307075.92729000002</v>
      </c>
      <c r="O151" s="55">
        <f>+I151*BF151</f>
        <v>90934.470000000016</v>
      </c>
      <c r="P151" s="59">
        <f t="shared" ref="P151:P155" si="1073">+O151*3.3058</f>
        <v>300611.17092600005</v>
      </c>
      <c r="Q151" s="57">
        <f>+I151*BG151</f>
        <v>88978.890000000014</v>
      </c>
      <c r="R151" s="59">
        <f t="shared" ref="R151:R155" si="1074">+Q151*3.3058</f>
        <v>294146.41456200008</v>
      </c>
      <c r="S151" s="55">
        <f>+I151*BH151</f>
        <v>87023.310000000012</v>
      </c>
      <c r="T151" s="59">
        <f t="shared" ref="T151:T155" si="1075">+S151*3.3058</f>
        <v>287681.65819800005</v>
      </c>
      <c r="U151" s="57">
        <f>+I151*BI151</f>
        <v>85067.73000000001</v>
      </c>
      <c r="V151" s="59">
        <f t="shared" ref="V151:V155" si="1076">+U151*3.3058</f>
        <v>281216.90183400002</v>
      </c>
      <c r="W151" s="60">
        <f>+I151*BJ151</f>
        <v>83112.150000000009</v>
      </c>
      <c r="X151" s="59">
        <f t="shared" ref="X151:X155" si="1077">+W151*3.3058</f>
        <v>274752.14547000005</v>
      </c>
      <c r="Y151" s="57">
        <f>+I151*BK151</f>
        <v>81156.570000000007</v>
      </c>
      <c r="Z151" s="59">
        <f t="shared" ref="Z151:Z155" si="1078">+Y151*3.3058</f>
        <v>268287.38910600002</v>
      </c>
      <c r="AA151" s="55">
        <f>+I151*BL151</f>
        <v>79200.990000000005</v>
      </c>
      <c r="AB151" s="59">
        <f t="shared" ref="AB151:AB155" si="1079">+AA151*3.3058</f>
        <v>261822.63274200002</v>
      </c>
      <c r="AC151" s="60">
        <f>+I151*BM151</f>
        <v>77245.41</v>
      </c>
      <c r="AD151" s="59">
        <f t="shared" ref="AD151:AD155" si="1080">+AC151*3.3058</f>
        <v>255357.87637800002</v>
      </c>
      <c r="AE151" s="60">
        <f>+I151*BN151</f>
        <v>75289.83</v>
      </c>
      <c r="AF151" s="59">
        <f t="shared" ref="AF151:AF155" si="1081">+AE151*3.3058</f>
        <v>248893.12001400001</v>
      </c>
      <c r="AG151" s="60">
        <f>+I151*BO151</f>
        <v>73334.25</v>
      </c>
      <c r="AH151" s="59">
        <f t="shared" ref="AH151:AH155" si="1082">+AG151*3.3058</f>
        <v>242428.36365000001</v>
      </c>
      <c r="AI151" s="55">
        <f>+I151*BP151</f>
        <v>71378.67</v>
      </c>
      <c r="AJ151" s="59">
        <f t="shared" ref="AJ151:AJ155" si="1083">+AI151*3.3058</f>
        <v>235963.60728600001</v>
      </c>
      <c r="AK151" s="60">
        <f>+I151*BQ151</f>
        <v>69423.09</v>
      </c>
      <c r="AL151" s="59">
        <f t="shared" ref="AL151:AL155" si="1084">+AK151*3.3058</f>
        <v>229498.85092199998</v>
      </c>
      <c r="AM151" s="60">
        <f>+I151*BR151</f>
        <v>67467.509999999995</v>
      </c>
      <c r="AN151" s="59">
        <f t="shared" ref="AN151:AN155" si="1085">+AM151*3.3058</f>
        <v>223034.09455799998</v>
      </c>
      <c r="AO151" s="60">
        <f>+I151*BS151</f>
        <v>65511.929999999993</v>
      </c>
      <c r="AP151" s="59">
        <f t="shared" ref="AP151:AP155" si="1086">+AO151*3.3058</f>
        <v>216569.33819399998</v>
      </c>
      <c r="AQ151" s="60">
        <f>+I151*BT151</f>
        <v>63556.349999999991</v>
      </c>
      <c r="AR151" s="59">
        <f t="shared" ref="AR151:AR155" si="1087">+AQ151*3.3058</f>
        <v>210104.58182999998</v>
      </c>
      <c r="AS151" s="55">
        <f>+I151*BU151</f>
        <v>61600.76999999999</v>
      </c>
      <c r="AT151" s="59">
        <f t="shared" ref="AT151:AT155" si="1088">+AS151*3.3058</f>
        <v>203639.82546599998</v>
      </c>
      <c r="AU151" s="60">
        <f>+I151*BV151</f>
        <v>59645.189999999988</v>
      </c>
      <c r="AV151" s="59">
        <f t="shared" ref="AV151:AV155" si="1089">+AU151*3.3058</f>
        <v>197175.06910199995</v>
      </c>
      <c r="AW151" s="60">
        <f>+I151*BW151</f>
        <v>57689.609999999986</v>
      </c>
      <c r="AX151" s="59">
        <f t="shared" ref="AX151:AX155" si="1090">+AW151*3.3058</f>
        <v>190710.31273799995</v>
      </c>
      <c r="AY151" s="55">
        <f>+I151*BX151</f>
        <v>55734.029999999984</v>
      </c>
      <c r="AZ151" s="59">
        <f t="shared" ref="AZ151:AZ155" si="1091">+AY151*3.3058</f>
        <v>184245.55637399995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ref="BG151:BX155" si="1092">+BF151-0.02</f>
        <v>0.91</v>
      </c>
      <c r="BH151" s="55">
        <f t="shared" si="1092"/>
        <v>0.89</v>
      </c>
      <c r="BI151" s="55">
        <f t="shared" si="1092"/>
        <v>0.87</v>
      </c>
      <c r="BJ151" s="55">
        <f t="shared" si="1092"/>
        <v>0.85</v>
      </c>
      <c r="BK151" s="55">
        <f t="shared" si="1092"/>
        <v>0.83</v>
      </c>
      <c r="BL151" s="55">
        <f t="shared" si="1092"/>
        <v>0.80999999999999994</v>
      </c>
      <c r="BM151" s="55">
        <f t="shared" si="1092"/>
        <v>0.78999999999999992</v>
      </c>
      <c r="BN151" s="55">
        <f t="shared" si="1092"/>
        <v>0.76999999999999991</v>
      </c>
      <c r="BO151" s="55">
        <f t="shared" si="1092"/>
        <v>0.74999999999999989</v>
      </c>
      <c r="BP151" s="55">
        <f t="shared" si="1092"/>
        <v>0.72999999999999987</v>
      </c>
      <c r="BQ151" s="55">
        <f t="shared" si="1092"/>
        <v>0.70999999999999985</v>
      </c>
      <c r="BR151" s="55">
        <f t="shared" si="1092"/>
        <v>0.68999999999999984</v>
      </c>
      <c r="BS151" s="55">
        <f t="shared" si="1092"/>
        <v>0.66999999999999982</v>
      </c>
      <c r="BT151" s="55">
        <f t="shared" si="1092"/>
        <v>0.6499999999999998</v>
      </c>
      <c r="BU151" s="55">
        <f t="shared" si="1092"/>
        <v>0.62999999999999978</v>
      </c>
      <c r="BV151" s="55">
        <f t="shared" si="1092"/>
        <v>0.60999999999999976</v>
      </c>
      <c r="BW151" s="55">
        <f t="shared" si="1092"/>
        <v>0.58999999999999975</v>
      </c>
      <c r="BX151" s="55">
        <f t="shared" si="1092"/>
        <v>0.56999999999999973</v>
      </c>
      <c r="BZ151" s="55">
        <f t="shared" si="1062"/>
        <v>88978.890000000014</v>
      </c>
      <c r="CA151" s="55">
        <f t="shared" si="1063"/>
        <v>88978.890000000014</v>
      </c>
      <c r="CB151" s="59">
        <f t="shared" ref="CB151:CB155" si="1093">+CA151*3.3058</f>
        <v>294146.41456200008</v>
      </c>
      <c r="CC151" s="55">
        <f t="shared" ref="CC151:CC155" si="1094">+CA151*DV151</f>
        <v>86309.523300000015</v>
      </c>
      <c r="CD151" s="59">
        <f t="shared" ref="CD151:CD155" si="1095">+CC151*3.3058</f>
        <v>285322.02212514007</v>
      </c>
      <c r="CE151" s="55">
        <f t="shared" ref="CE151:CE155" si="1096">+CA151*DW151</f>
        <v>84529.945500000016</v>
      </c>
      <c r="CF151" s="59">
        <f t="shared" ref="CF151:CF155" si="1097">+CE151*3.3058</f>
        <v>279439.09383390006</v>
      </c>
      <c r="CG151" s="55">
        <f>+CA151*DX151</f>
        <v>82750.367700000017</v>
      </c>
      <c r="CH151" s="59">
        <f t="shared" ref="CH151:CH155" si="1098">+CG151*3.3058</f>
        <v>273556.16554266005</v>
      </c>
      <c r="CI151" s="57">
        <f>+CA151*DY151</f>
        <v>80970.789900000018</v>
      </c>
      <c r="CJ151" s="59">
        <f t="shared" ref="CJ151:CJ155" si="1099">+CI151*3.3058</f>
        <v>267673.23725142004</v>
      </c>
      <c r="CK151" s="55">
        <f>+CA151*DZ151</f>
        <v>79191.212100000019</v>
      </c>
      <c r="CL151" s="59">
        <f t="shared" ref="CL151:CL155" si="1100">+CK151*3.3058</f>
        <v>261790.30896018006</v>
      </c>
      <c r="CM151" s="57">
        <f>+CA151*EA151</f>
        <v>77411.634300000005</v>
      </c>
      <c r="CN151" s="59">
        <f t="shared" ref="CN151:CN155" si="1101">+CM151*3.3058</f>
        <v>255907.38066894002</v>
      </c>
      <c r="CO151" s="60">
        <f>+CA151*EB151</f>
        <v>75632.056500000006</v>
      </c>
      <c r="CP151" s="59">
        <f t="shared" ref="CP151:CP155" si="1102">+CO151*3.3058</f>
        <v>250024.45237770001</v>
      </c>
      <c r="CQ151" s="57">
        <f>+CA151*EC151</f>
        <v>73852.478700000007</v>
      </c>
      <c r="CR151" s="59">
        <f t="shared" ref="CR151:CR155" si="1103">+CQ151*3.3058</f>
        <v>244141.52408646003</v>
      </c>
      <c r="CS151" s="55">
        <f>+CA151*ED151</f>
        <v>72072.900900000008</v>
      </c>
      <c r="CT151" s="59">
        <f t="shared" ref="CT151:CT155" si="1104">+CS151*3.3058</f>
        <v>238258.59579522003</v>
      </c>
      <c r="CU151" s="60">
        <f>+CA151*EE151</f>
        <v>70293.323100000009</v>
      </c>
      <c r="CV151" s="59">
        <f t="shared" ref="CV151:CV155" si="1105">+CU151*3.3058</f>
        <v>232375.66750398005</v>
      </c>
      <c r="CW151" s="60">
        <f>+CA151*EF151</f>
        <v>68513.74530000001</v>
      </c>
      <c r="CX151" s="59">
        <f t="shared" ref="CX151:CX155" si="1106">+CW151*3.3058</f>
        <v>226492.73921274004</v>
      </c>
      <c r="CY151" s="60">
        <f>+CA151*EG151</f>
        <v>66734.167499999996</v>
      </c>
      <c r="CZ151" s="59">
        <f t="shared" ref="CZ151:CZ155" si="1107">+CY151*3.3058</f>
        <v>220609.8109215</v>
      </c>
      <c r="DA151" s="55">
        <f>+CA151*EH151</f>
        <v>64954.589699999997</v>
      </c>
      <c r="DB151" s="59">
        <f t="shared" ref="DB151:DB155" si="1108">+DA151*3.3058</f>
        <v>214726.88263025999</v>
      </c>
      <c r="DC151" s="60">
        <f>+CA151*EI151</f>
        <v>63175.011899999998</v>
      </c>
      <c r="DD151" s="59">
        <f t="shared" ref="DD151:DD155" si="1109">+DC151*3.3058</f>
        <v>208843.95433901998</v>
      </c>
      <c r="DE151" s="60">
        <f>+CA151*EJ151</f>
        <v>61395.434099999999</v>
      </c>
      <c r="DF151" s="59">
        <f t="shared" ref="DF151:DF155" si="1110">+DE151*3.3058</f>
        <v>202961.02604778</v>
      </c>
      <c r="DG151" s="60">
        <f>+CA151*EK151</f>
        <v>59615.856299999992</v>
      </c>
      <c r="DH151" s="59">
        <f t="shared" ref="DH151:DH155" si="1111">+DG151*3.3058</f>
        <v>197078.09775653997</v>
      </c>
      <c r="DI151" s="60">
        <f>+CA151*EL151</f>
        <v>57836.278499999993</v>
      </c>
      <c r="DJ151" s="59">
        <f t="shared" ref="DJ151:DJ155" si="1112">+DI151*3.3058</f>
        <v>191195.16946529999</v>
      </c>
      <c r="DK151" s="55">
        <f>+CA151*EM151</f>
        <v>56056.700699999987</v>
      </c>
      <c r="DL151" s="59">
        <f t="shared" ref="DL151:DL155" si="1113">+DK151*3.3058</f>
        <v>185312.24117405995</v>
      </c>
      <c r="DM151" s="60">
        <f>+CA151*EN151</f>
        <v>54277.122899999988</v>
      </c>
      <c r="DN151" s="59">
        <f t="shared" ref="DN151:DN155" si="1114">+DM151*3.3058</f>
        <v>179429.31288281997</v>
      </c>
      <c r="DO151" s="60">
        <f>+CA151*EO151</f>
        <v>52497.545099999988</v>
      </c>
      <c r="DP151" s="59">
        <f t="shared" ref="DP151:DP155" si="1115">+DO151*3.3058</f>
        <v>173546.38459157996</v>
      </c>
      <c r="DQ151" s="55">
        <f>+CA151*EP151</f>
        <v>50717.967299999982</v>
      </c>
      <c r="DR151" s="59">
        <f t="shared" ref="DR151:DR155" si="1116">+DQ151*3.3058</f>
        <v>167663.45630033995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24"/>
        <v>0.91</v>
      </c>
      <c r="DZ151" s="55">
        <f t="shared" si="924"/>
        <v>0.89</v>
      </c>
      <c r="EA151" s="55">
        <f t="shared" si="924"/>
        <v>0.87</v>
      </c>
      <c r="EB151" s="55">
        <f t="shared" si="924"/>
        <v>0.85</v>
      </c>
      <c r="EC151" s="55">
        <f t="shared" si="924"/>
        <v>0.83</v>
      </c>
      <c r="ED151" s="55">
        <f t="shared" si="924"/>
        <v>0.80999999999999994</v>
      </c>
      <c r="EE151" s="55">
        <f t="shared" si="924"/>
        <v>0.78999999999999992</v>
      </c>
      <c r="EF151" s="55">
        <f t="shared" si="924"/>
        <v>0.76999999999999991</v>
      </c>
      <c r="EG151" s="55">
        <f t="shared" si="924"/>
        <v>0.74999999999999989</v>
      </c>
      <c r="EH151" s="55">
        <f t="shared" si="924"/>
        <v>0.72999999999999987</v>
      </c>
      <c r="EI151" s="55">
        <f t="shared" si="924"/>
        <v>0.70999999999999985</v>
      </c>
      <c r="EJ151" s="55">
        <f t="shared" si="924"/>
        <v>0.68999999999999984</v>
      </c>
      <c r="EK151" s="55">
        <f t="shared" si="924"/>
        <v>0.66999999999999982</v>
      </c>
      <c r="EL151" s="55">
        <f t="shared" si="924"/>
        <v>0.6499999999999998</v>
      </c>
      <c r="EM151" s="55">
        <f t="shared" si="924"/>
        <v>0.62999999999999978</v>
      </c>
      <c r="EN151" s="55">
        <f t="shared" si="924"/>
        <v>0.60999999999999976</v>
      </c>
      <c r="EO151" s="55">
        <f t="shared" si="924"/>
        <v>0.58999999999999975</v>
      </c>
      <c r="EP151" s="55">
        <f t="shared" si="924"/>
        <v>0.56999999999999973</v>
      </c>
      <c r="ER151" s="55">
        <f t="shared" si="644"/>
        <v>80970.789900000018</v>
      </c>
      <c r="ES151" s="55">
        <f t="shared" si="1064"/>
        <v>80970.789900000018</v>
      </c>
      <c r="ET151" s="59">
        <f t="shared" ref="ET151:ET155" si="1117">+ES151*3.3058</f>
        <v>267673.23725142004</v>
      </c>
      <c r="EU151" s="55">
        <f t="shared" ref="EU151:EU155" si="1118">+ES151*GN151</f>
        <v>78541.666203000015</v>
      </c>
      <c r="EV151" s="59">
        <f t="shared" ref="EV151:EV155" si="1119">+EU151*3.3058</f>
        <v>259643.04013387745</v>
      </c>
      <c r="EW151" s="55">
        <f t="shared" ref="EW151:EW155" si="1120">+ES151*GO151</f>
        <v>76922.250405000013</v>
      </c>
      <c r="EX151" s="59">
        <f t="shared" ref="EX151:EX155" si="1121">+EW151*3.3058</f>
        <v>254289.57538884904</v>
      </c>
      <c r="EY151" s="55">
        <f>+ES151*GP151</f>
        <v>75302.834607000026</v>
      </c>
      <c r="EZ151" s="59">
        <f t="shared" ref="EZ151:EZ155" si="1122">+EY151*3.3058</f>
        <v>248936.11064382069</v>
      </c>
      <c r="FA151" s="57">
        <f>+ES151*GQ151</f>
        <v>73683.418809000024</v>
      </c>
      <c r="FB151" s="59">
        <f t="shared" ref="FB151:FB155" si="1123">+FA151*3.3058</f>
        <v>243582.64589879228</v>
      </c>
      <c r="FC151" s="55">
        <f>+ES151*GR151</f>
        <v>72064.003011000023</v>
      </c>
      <c r="FD151" s="59">
        <f t="shared" ref="FD151:FD155" si="1124">+FC151*3.3058</f>
        <v>238229.18115376387</v>
      </c>
      <c r="FE151" s="57">
        <f>+ES151*GS151</f>
        <v>70444.587213000021</v>
      </c>
      <c r="FF151" s="59">
        <f t="shared" ref="FF151:FF155" si="1125">+FE151*3.3058</f>
        <v>232875.71640873546</v>
      </c>
      <c r="FG151" s="60">
        <f>+ES151*GT151</f>
        <v>68825.171415000019</v>
      </c>
      <c r="FH151" s="59">
        <f t="shared" ref="FH151:FH155" si="1126">+FG151*3.3058</f>
        <v>227522.25166370708</v>
      </c>
      <c r="FI151" s="57">
        <f>+ES151*GU151</f>
        <v>67205.755617000017</v>
      </c>
      <c r="FJ151" s="59">
        <f t="shared" ref="FJ151:FJ155" si="1127">+FI151*3.3058</f>
        <v>222168.78691867867</v>
      </c>
      <c r="FK151" s="55">
        <f>+ES151*GV151</f>
        <v>65586.339819000015</v>
      </c>
      <c r="FL151" s="59">
        <f t="shared" ref="FL151:FL155" si="1128">+FK151*3.3058</f>
        <v>216815.32217365026</v>
      </c>
      <c r="FM151" s="60">
        <f>+ES151*GW151</f>
        <v>63966.924021000006</v>
      </c>
      <c r="FN151" s="59">
        <f t="shared" ref="FN151:FN155" si="1129">+FM151*3.3058</f>
        <v>211461.85742862182</v>
      </c>
      <c r="FO151" s="60">
        <f>+ES151*GX151</f>
        <v>62347.508223000004</v>
      </c>
      <c r="FP151" s="59">
        <f t="shared" ref="FP151:FP155" si="1130">+FO151*3.3058</f>
        <v>206108.39268359341</v>
      </c>
      <c r="FQ151" s="60">
        <f>+ES151*GY151</f>
        <v>60728.092425000003</v>
      </c>
      <c r="FR151" s="59">
        <f t="shared" ref="FR151:FR155" si="1131">+FQ151*3.3058</f>
        <v>200754.927938565</v>
      </c>
      <c r="FS151" s="55">
        <f>+ES151*GZ151</f>
        <v>59108.676627000001</v>
      </c>
      <c r="FT151" s="59">
        <f t="shared" ref="FT151:FT155" si="1132">+FS151*3.3058</f>
        <v>195401.46319353662</v>
      </c>
      <c r="FU151" s="60">
        <f>+ES151*HA151</f>
        <v>57489.260828999999</v>
      </c>
      <c r="FV151" s="59">
        <f t="shared" ref="FV151:FV155" si="1133">+FU151*3.3058</f>
        <v>190047.99844850821</v>
      </c>
      <c r="FW151" s="60">
        <f>+ES151*HB151</f>
        <v>55869.845030999997</v>
      </c>
      <c r="FX151" s="59">
        <f t="shared" ref="FX151:FX155" si="1134">+FW151*3.3058</f>
        <v>184694.5337034798</v>
      </c>
      <c r="FY151" s="60">
        <f>+ES151*HC151</f>
        <v>54250.429232999995</v>
      </c>
      <c r="FZ151" s="59">
        <f t="shared" ref="FZ151:FZ155" si="1135">+FY151*3.3058</f>
        <v>179341.06895845139</v>
      </c>
      <c r="GA151" s="60">
        <f>+ES151*HD151</f>
        <v>52631.013434999993</v>
      </c>
      <c r="GB151" s="59">
        <f t="shared" ref="GB151:GB155" si="1136">+GA151*3.3058</f>
        <v>173987.60421342298</v>
      </c>
      <c r="GC151" s="55">
        <f>+ES151*HE151</f>
        <v>51011.597636999992</v>
      </c>
      <c r="GD151" s="59">
        <f t="shared" ref="GD151:GD155" si="1137">+GC151*3.3058</f>
        <v>168634.13946839457</v>
      </c>
      <c r="GE151" s="60">
        <f>+ES151*HF151</f>
        <v>49392.18183899999</v>
      </c>
      <c r="GF151" s="59">
        <f t="shared" ref="GF151:GF155" si="1138">+GE151*3.3058</f>
        <v>163280.67472336616</v>
      </c>
      <c r="GG151" s="60">
        <f>+ES151*HG151</f>
        <v>47772.766040999988</v>
      </c>
      <c r="GH151" s="59">
        <f t="shared" ref="GH151:GH155" si="1139">+GG151*3.3058</f>
        <v>157927.20997833778</v>
      </c>
      <c r="GI151" s="55">
        <f>+ES151*HH151</f>
        <v>46153.350242999986</v>
      </c>
      <c r="GJ151" s="59">
        <f t="shared" ref="GJ151:GJ155" si="1140">+GI151*3.3058</f>
        <v>152573.74523330937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25"/>
        <v>0.91</v>
      </c>
      <c r="GR151" s="55">
        <f t="shared" si="925"/>
        <v>0.89</v>
      </c>
      <c r="GS151" s="55">
        <f t="shared" si="925"/>
        <v>0.87</v>
      </c>
      <c r="GT151" s="55">
        <f t="shared" si="925"/>
        <v>0.85</v>
      </c>
      <c r="GU151" s="55">
        <f t="shared" si="925"/>
        <v>0.83</v>
      </c>
      <c r="GV151" s="55">
        <f t="shared" si="925"/>
        <v>0.80999999999999994</v>
      </c>
      <c r="GW151" s="55">
        <f t="shared" si="925"/>
        <v>0.78999999999999992</v>
      </c>
      <c r="GX151" s="55">
        <f t="shared" si="925"/>
        <v>0.76999999999999991</v>
      </c>
      <c r="GY151" s="55">
        <f t="shared" si="925"/>
        <v>0.74999999999999989</v>
      </c>
      <c r="GZ151" s="55">
        <f t="shared" si="925"/>
        <v>0.72999999999999987</v>
      </c>
      <c r="HA151" s="55">
        <f t="shared" si="925"/>
        <v>0.70999999999999985</v>
      </c>
      <c r="HB151" s="55">
        <f t="shared" si="925"/>
        <v>0.68999999999999984</v>
      </c>
      <c r="HC151" s="55">
        <f t="shared" si="925"/>
        <v>0.66999999999999982</v>
      </c>
      <c r="HD151" s="55">
        <f t="shared" si="925"/>
        <v>0.6499999999999998</v>
      </c>
      <c r="HE151" s="55">
        <f t="shared" si="925"/>
        <v>0.62999999999999978</v>
      </c>
      <c r="HF151" s="55">
        <f t="shared" si="925"/>
        <v>0.60999999999999976</v>
      </c>
      <c r="HG151" s="55">
        <f t="shared" si="925"/>
        <v>0.58999999999999975</v>
      </c>
      <c r="HH151" s="55">
        <f t="shared" si="925"/>
        <v>0.56999999999999973</v>
      </c>
    </row>
    <row r="152" spans="1:216" x14ac:dyDescent="0.3">
      <c r="A152" s="2">
        <v>2</v>
      </c>
      <c r="C152" s="38" t="s">
        <v>52</v>
      </c>
      <c r="D152" s="42">
        <v>0</v>
      </c>
      <c r="E152" s="86">
        <f>TRUNC(+D152*3.3058,-1)</f>
        <v>0</v>
      </c>
      <c r="H152" s="55">
        <f t="shared" si="1059"/>
        <v>0</v>
      </c>
      <c r="I152" s="55">
        <f t="shared" si="1060"/>
        <v>0</v>
      </c>
      <c r="J152" s="59">
        <f t="shared" si="1061"/>
        <v>0</v>
      </c>
      <c r="K152" s="55">
        <f t="shared" si="1069"/>
        <v>0</v>
      </c>
      <c r="L152" s="59">
        <f t="shared" si="1070"/>
        <v>0</v>
      </c>
      <c r="M152" s="55">
        <f t="shared" si="1071"/>
        <v>0</v>
      </c>
      <c r="N152" s="59">
        <f t="shared" si="1072"/>
        <v>0</v>
      </c>
      <c r="O152" s="55">
        <f>+I152*BF152</f>
        <v>0</v>
      </c>
      <c r="P152" s="59">
        <f t="shared" si="1073"/>
        <v>0</v>
      </c>
      <c r="Q152" s="57">
        <f>+I152*BG152</f>
        <v>0</v>
      </c>
      <c r="R152" s="59">
        <f t="shared" si="1074"/>
        <v>0</v>
      </c>
      <c r="S152" s="55">
        <f>+I152*BH152</f>
        <v>0</v>
      </c>
      <c r="T152" s="59">
        <f t="shared" si="1075"/>
        <v>0</v>
      </c>
      <c r="U152" s="57">
        <f>+I152*BI152</f>
        <v>0</v>
      </c>
      <c r="V152" s="59">
        <f t="shared" si="1076"/>
        <v>0</v>
      </c>
      <c r="W152" s="60">
        <f>+I152*BJ152</f>
        <v>0</v>
      </c>
      <c r="X152" s="59">
        <f t="shared" si="1077"/>
        <v>0</v>
      </c>
      <c r="Y152" s="57">
        <f>+I152*BK152</f>
        <v>0</v>
      </c>
      <c r="Z152" s="59">
        <f t="shared" si="1078"/>
        <v>0</v>
      </c>
      <c r="AA152" s="55">
        <f>+I152*BL152</f>
        <v>0</v>
      </c>
      <c r="AB152" s="59">
        <f t="shared" si="1079"/>
        <v>0</v>
      </c>
      <c r="AC152" s="60">
        <f>+I152*BM152</f>
        <v>0</v>
      </c>
      <c r="AD152" s="59">
        <f t="shared" si="1080"/>
        <v>0</v>
      </c>
      <c r="AE152" s="60">
        <f>+I152*BN152</f>
        <v>0</v>
      </c>
      <c r="AF152" s="59">
        <f t="shared" si="1081"/>
        <v>0</v>
      </c>
      <c r="AG152" s="60">
        <f>+I152*BO152</f>
        <v>0</v>
      </c>
      <c r="AH152" s="59">
        <f t="shared" si="1082"/>
        <v>0</v>
      </c>
      <c r="AI152" s="55">
        <f>+I152*BP152</f>
        <v>0</v>
      </c>
      <c r="AJ152" s="59">
        <f t="shared" si="1083"/>
        <v>0</v>
      </c>
      <c r="AK152" s="60">
        <f>+I152*BQ152</f>
        <v>0</v>
      </c>
      <c r="AL152" s="59">
        <f t="shared" si="1084"/>
        <v>0</v>
      </c>
      <c r="AM152" s="60">
        <f>+I152*BR152</f>
        <v>0</v>
      </c>
      <c r="AN152" s="59">
        <f t="shared" si="1085"/>
        <v>0</v>
      </c>
      <c r="AO152" s="60">
        <f>+I152*BS152</f>
        <v>0</v>
      </c>
      <c r="AP152" s="59">
        <f t="shared" si="1086"/>
        <v>0</v>
      </c>
      <c r="AQ152" s="60">
        <f>+I152*BT152</f>
        <v>0</v>
      </c>
      <c r="AR152" s="59">
        <f t="shared" si="1087"/>
        <v>0</v>
      </c>
      <c r="AS152" s="55">
        <f>+I152*BU152</f>
        <v>0</v>
      </c>
      <c r="AT152" s="59">
        <f t="shared" si="1088"/>
        <v>0</v>
      </c>
      <c r="AU152" s="60">
        <f>+I152*BV152</f>
        <v>0</v>
      </c>
      <c r="AV152" s="59">
        <f t="shared" si="1089"/>
        <v>0</v>
      </c>
      <c r="AW152" s="60">
        <f>+I152*BW152</f>
        <v>0</v>
      </c>
      <c r="AX152" s="59">
        <f t="shared" si="1090"/>
        <v>0</v>
      </c>
      <c r="AY152" s="55">
        <f>+I152*BX152</f>
        <v>0</v>
      </c>
      <c r="AZ152" s="59">
        <f t="shared" si="1091"/>
        <v>0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1092"/>
        <v>0.91</v>
      </c>
      <c r="BH152" s="55">
        <f t="shared" si="1092"/>
        <v>0.89</v>
      </c>
      <c r="BI152" s="55">
        <f t="shared" si="1092"/>
        <v>0.87</v>
      </c>
      <c r="BJ152" s="55">
        <f t="shared" si="1092"/>
        <v>0.85</v>
      </c>
      <c r="BK152" s="55">
        <f t="shared" si="1092"/>
        <v>0.83</v>
      </c>
      <c r="BL152" s="55">
        <f t="shared" si="1092"/>
        <v>0.80999999999999994</v>
      </c>
      <c r="BM152" s="55">
        <f t="shared" si="1092"/>
        <v>0.78999999999999992</v>
      </c>
      <c r="BN152" s="55">
        <f t="shared" si="1092"/>
        <v>0.76999999999999991</v>
      </c>
      <c r="BO152" s="55">
        <f t="shared" si="1092"/>
        <v>0.74999999999999989</v>
      </c>
      <c r="BP152" s="55">
        <f t="shared" si="1092"/>
        <v>0.72999999999999987</v>
      </c>
      <c r="BQ152" s="55">
        <f t="shared" si="1092"/>
        <v>0.70999999999999985</v>
      </c>
      <c r="BR152" s="55">
        <f t="shared" si="1092"/>
        <v>0.68999999999999984</v>
      </c>
      <c r="BS152" s="55">
        <f t="shared" si="1092"/>
        <v>0.66999999999999982</v>
      </c>
      <c r="BT152" s="55">
        <f t="shared" si="1092"/>
        <v>0.6499999999999998</v>
      </c>
      <c r="BU152" s="55">
        <f t="shared" si="1092"/>
        <v>0.62999999999999978</v>
      </c>
      <c r="BV152" s="55">
        <f t="shared" si="1092"/>
        <v>0.60999999999999976</v>
      </c>
      <c r="BW152" s="55">
        <f t="shared" si="1092"/>
        <v>0.58999999999999975</v>
      </c>
      <c r="BX152" s="55">
        <f t="shared" si="1092"/>
        <v>0.56999999999999973</v>
      </c>
      <c r="BZ152" s="55">
        <f t="shared" si="1062"/>
        <v>0</v>
      </c>
      <c r="CA152" s="55">
        <f t="shared" si="1063"/>
        <v>0</v>
      </c>
      <c r="CB152" s="59">
        <f t="shared" si="1093"/>
        <v>0</v>
      </c>
      <c r="CC152" s="55">
        <f t="shared" si="1094"/>
        <v>0</v>
      </c>
      <c r="CD152" s="59">
        <f t="shared" si="1095"/>
        <v>0</v>
      </c>
      <c r="CE152" s="55">
        <f t="shared" si="1096"/>
        <v>0</v>
      </c>
      <c r="CF152" s="59">
        <f t="shared" si="1097"/>
        <v>0</v>
      </c>
      <c r="CG152" s="55">
        <f>+CA152*DX152</f>
        <v>0</v>
      </c>
      <c r="CH152" s="59">
        <f t="shared" si="1098"/>
        <v>0</v>
      </c>
      <c r="CI152" s="57">
        <f>+CA152*DY152</f>
        <v>0</v>
      </c>
      <c r="CJ152" s="59">
        <f t="shared" si="1099"/>
        <v>0</v>
      </c>
      <c r="CK152" s="55">
        <f>+CA152*DZ152</f>
        <v>0</v>
      </c>
      <c r="CL152" s="59">
        <f t="shared" si="1100"/>
        <v>0</v>
      </c>
      <c r="CM152" s="57">
        <f>+CA152*EA152</f>
        <v>0</v>
      </c>
      <c r="CN152" s="59">
        <f t="shared" si="1101"/>
        <v>0</v>
      </c>
      <c r="CO152" s="60">
        <f>+CA152*EB152</f>
        <v>0</v>
      </c>
      <c r="CP152" s="59">
        <f t="shared" si="1102"/>
        <v>0</v>
      </c>
      <c r="CQ152" s="57">
        <f>+CA152*EC152</f>
        <v>0</v>
      </c>
      <c r="CR152" s="59">
        <f t="shared" si="1103"/>
        <v>0</v>
      </c>
      <c r="CS152" s="55">
        <f>+CA152*ED152</f>
        <v>0</v>
      </c>
      <c r="CT152" s="59">
        <f t="shared" si="1104"/>
        <v>0</v>
      </c>
      <c r="CU152" s="60">
        <f>+CA152*EE152</f>
        <v>0</v>
      </c>
      <c r="CV152" s="59">
        <f t="shared" si="1105"/>
        <v>0</v>
      </c>
      <c r="CW152" s="60">
        <f>+CA152*EF152</f>
        <v>0</v>
      </c>
      <c r="CX152" s="59">
        <f t="shared" si="1106"/>
        <v>0</v>
      </c>
      <c r="CY152" s="60">
        <f>+CA152*EG152</f>
        <v>0</v>
      </c>
      <c r="CZ152" s="59">
        <f t="shared" si="1107"/>
        <v>0</v>
      </c>
      <c r="DA152" s="55">
        <f>+CA152*EH152</f>
        <v>0</v>
      </c>
      <c r="DB152" s="59">
        <f t="shared" si="1108"/>
        <v>0</v>
      </c>
      <c r="DC152" s="60">
        <f>+CA152*EI152</f>
        <v>0</v>
      </c>
      <c r="DD152" s="59">
        <f t="shared" si="1109"/>
        <v>0</v>
      </c>
      <c r="DE152" s="60">
        <f>+CA152*EJ152</f>
        <v>0</v>
      </c>
      <c r="DF152" s="59">
        <f t="shared" si="1110"/>
        <v>0</v>
      </c>
      <c r="DG152" s="60">
        <f>+CA152*EK152</f>
        <v>0</v>
      </c>
      <c r="DH152" s="59">
        <f t="shared" si="1111"/>
        <v>0</v>
      </c>
      <c r="DI152" s="60">
        <f>+CA152*EL152</f>
        <v>0</v>
      </c>
      <c r="DJ152" s="59">
        <f t="shared" si="1112"/>
        <v>0</v>
      </c>
      <c r="DK152" s="55">
        <f>+CA152*EM152</f>
        <v>0</v>
      </c>
      <c r="DL152" s="59">
        <f t="shared" si="1113"/>
        <v>0</v>
      </c>
      <c r="DM152" s="60">
        <f>+CA152*EN152</f>
        <v>0</v>
      </c>
      <c r="DN152" s="59">
        <f t="shared" si="1114"/>
        <v>0</v>
      </c>
      <c r="DO152" s="60">
        <f>+CA152*EO152</f>
        <v>0</v>
      </c>
      <c r="DP152" s="59">
        <f t="shared" si="1115"/>
        <v>0</v>
      </c>
      <c r="DQ152" s="55">
        <f>+CA152*EP152</f>
        <v>0</v>
      </c>
      <c r="DR152" s="59">
        <f t="shared" si="1116"/>
        <v>0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24"/>
        <v>0.91</v>
      </c>
      <c r="DZ152" s="55">
        <f t="shared" si="924"/>
        <v>0.89</v>
      </c>
      <c r="EA152" s="55">
        <f t="shared" si="924"/>
        <v>0.87</v>
      </c>
      <c r="EB152" s="55">
        <f t="shared" si="924"/>
        <v>0.85</v>
      </c>
      <c r="EC152" s="55">
        <f t="shared" si="924"/>
        <v>0.83</v>
      </c>
      <c r="ED152" s="55">
        <f t="shared" si="924"/>
        <v>0.80999999999999994</v>
      </c>
      <c r="EE152" s="55">
        <f t="shared" si="924"/>
        <v>0.78999999999999992</v>
      </c>
      <c r="EF152" s="55">
        <f t="shared" si="924"/>
        <v>0.76999999999999991</v>
      </c>
      <c r="EG152" s="55">
        <f t="shared" si="924"/>
        <v>0.74999999999999989</v>
      </c>
      <c r="EH152" s="55">
        <f t="shared" si="924"/>
        <v>0.72999999999999987</v>
      </c>
      <c r="EI152" s="55">
        <f t="shared" si="924"/>
        <v>0.70999999999999985</v>
      </c>
      <c r="EJ152" s="55">
        <f t="shared" si="924"/>
        <v>0.68999999999999984</v>
      </c>
      <c r="EK152" s="55">
        <f t="shared" si="924"/>
        <v>0.66999999999999982</v>
      </c>
      <c r="EL152" s="55">
        <f t="shared" si="924"/>
        <v>0.6499999999999998</v>
      </c>
      <c r="EM152" s="55">
        <f t="shared" si="924"/>
        <v>0.62999999999999978</v>
      </c>
      <c r="EN152" s="55">
        <f t="shared" si="924"/>
        <v>0.60999999999999976</v>
      </c>
      <c r="EO152" s="55">
        <f t="shared" si="924"/>
        <v>0.58999999999999975</v>
      </c>
      <c r="EP152" s="55">
        <f t="shared" si="924"/>
        <v>0.56999999999999973</v>
      </c>
      <c r="ER152" s="55">
        <f t="shared" si="644"/>
        <v>0</v>
      </c>
      <c r="ES152" s="55">
        <f t="shared" si="1064"/>
        <v>0</v>
      </c>
      <c r="ET152" s="59">
        <f t="shared" si="1117"/>
        <v>0</v>
      </c>
      <c r="EU152" s="55">
        <f t="shared" si="1118"/>
        <v>0</v>
      </c>
      <c r="EV152" s="59">
        <f t="shared" si="1119"/>
        <v>0</v>
      </c>
      <c r="EW152" s="55">
        <f t="shared" si="1120"/>
        <v>0</v>
      </c>
      <c r="EX152" s="59">
        <f t="shared" si="1121"/>
        <v>0</v>
      </c>
      <c r="EY152" s="55">
        <f>+ES152*GP152</f>
        <v>0</v>
      </c>
      <c r="EZ152" s="59">
        <f t="shared" si="1122"/>
        <v>0</v>
      </c>
      <c r="FA152" s="57">
        <f>+ES152*GQ152</f>
        <v>0</v>
      </c>
      <c r="FB152" s="59">
        <f t="shared" si="1123"/>
        <v>0</v>
      </c>
      <c r="FC152" s="55">
        <f>+ES152*GR152</f>
        <v>0</v>
      </c>
      <c r="FD152" s="59">
        <f t="shared" si="1124"/>
        <v>0</v>
      </c>
      <c r="FE152" s="57">
        <f>+ES152*GS152</f>
        <v>0</v>
      </c>
      <c r="FF152" s="59">
        <f t="shared" si="1125"/>
        <v>0</v>
      </c>
      <c r="FG152" s="60">
        <f>+ES152*GT152</f>
        <v>0</v>
      </c>
      <c r="FH152" s="59">
        <f t="shared" si="1126"/>
        <v>0</v>
      </c>
      <c r="FI152" s="57">
        <f>+ES152*GU152</f>
        <v>0</v>
      </c>
      <c r="FJ152" s="59">
        <f t="shared" si="1127"/>
        <v>0</v>
      </c>
      <c r="FK152" s="55">
        <f>+ES152*GV152</f>
        <v>0</v>
      </c>
      <c r="FL152" s="59">
        <f t="shared" si="1128"/>
        <v>0</v>
      </c>
      <c r="FM152" s="60">
        <f>+ES152*GW152</f>
        <v>0</v>
      </c>
      <c r="FN152" s="59">
        <f t="shared" si="1129"/>
        <v>0</v>
      </c>
      <c r="FO152" s="60">
        <f>+ES152*GX152</f>
        <v>0</v>
      </c>
      <c r="FP152" s="59">
        <f t="shared" si="1130"/>
        <v>0</v>
      </c>
      <c r="FQ152" s="60">
        <f>+ES152*GY152</f>
        <v>0</v>
      </c>
      <c r="FR152" s="59">
        <f t="shared" si="1131"/>
        <v>0</v>
      </c>
      <c r="FS152" s="55">
        <f>+ES152*GZ152</f>
        <v>0</v>
      </c>
      <c r="FT152" s="59">
        <f t="shared" si="1132"/>
        <v>0</v>
      </c>
      <c r="FU152" s="60">
        <f>+ES152*HA152</f>
        <v>0</v>
      </c>
      <c r="FV152" s="59">
        <f t="shared" si="1133"/>
        <v>0</v>
      </c>
      <c r="FW152" s="60">
        <f>+ES152*HB152</f>
        <v>0</v>
      </c>
      <c r="FX152" s="59">
        <f t="shared" si="1134"/>
        <v>0</v>
      </c>
      <c r="FY152" s="60">
        <f>+ES152*HC152</f>
        <v>0</v>
      </c>
      <c r="FZ152" s="59">
        <f t="shared" si="1135"/>
        <v>0</v>
      </c>
      <c r="GA152" s="60">
        <f>+ES152*HD152</f>
        <v>0</v>
      </c>
      <c r="GB152" s="59">
        <f t="shared" si="1136"/>
        <v>0</v>
      </c>
      <c r="GC152" s="55">
        <f>+ES152*HE152</f>
        <v>0</v>
      </c>
      <c r="GD152" s="59">
        <f t="shared" si="1137"/>
        <v>0</v>
      </c>
      <c r="GE152" s="60">
        <f>+ES152*HF152</f>
        <v>0</v>
      </c>
      <c r="GF152" s="59">
        <f t="shared" si="1138"/>
        <v>0</v>
      </c>
      <c r="GG152" s="60">
        <f>+ES152*HG152</f>
        <v>0</v>
      </c>
      <c r="GH152" s="59">
        <f t="shared" si="1139"/>
        <v>0</v>
      </c>
      <c r="GI152" s="55">
        <f>+ES152*HH152</f>
        <v>0</v>
      </c>
      <c r="GJ152" s="59">
        <f t="shared" si="1140"/>
        <v>0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25"/>
        <v>0.91</v>
      </c>
      <c r="GR152" s="55">
        <f t="shared" si="925"/>
        <v>0.89</v>
      </c>
      <c r="GS152" s="55">
        <f t="shared" si="925"/>
        <v>0.87</v>
      </c>
      <c r="GT152" s="55">
        <f t="shared" si="925"/>
        <v>0.85</v>
      </c>
      <c r="GU152" s="55">
        <f t="shared" si="925"/>
        <v>0.83</v>
      </c>
      <c r="GV152" s="55">
        <f t="shared" si="925"/>
        <v>0.80999999999999994</v>
      </c>
      <c r="GW152" s="55">
        <f t="shared" si="925"/>
        <v>0.78999999999999992</v>
      </c>
      <c r="GX152" s="55">
        <f t="shared" si="925"/>
        <v>0.76999999999999991</v>
      </c>
      <c r="GY152" s="55">
        <f t="shared" si="925"/>
        <v>0.74999999999999989</v>
      </c>
      <c r="GZ152" s="55">
        <f t="shared" si="925"/>
        <v>0.72999999999999987</v>
      </c>
      <c r="HA152" s="55">
        <f t="shared" si="925"/>
        <v>0.70999999999999985</v>
      </c>
      <c r="HB152" s="55">
        <f t="shared" si="925"/>
        <v>0.68999999999999984</v>
      </c>
      <c r="HC152" s="55">
        <f t="shared" si="925"/>
        <v>0.66999999999999982</v>
      </c>
      <c r="HD152" s="55">
        <f t="shared" si="925"/>
        <v>0.6499999999999998</v>
      </c>
      <c r="HE152" s="55">
        <f t="shared" si="925"/>
        <v>0.62999999999999978</v>
      </c>
      <c r="HF152" s="55">
        <f t="shared" si="925"/>
        <v>0.60999999999999976</v>
      </c>
      <c r="HG152" s="55">
        <f t="shared" si="925"/>
        <v>0.58999999999999975</v>
      </c>
      <c r="HH152" s="55">
        <f t="shared" si="925"/>
        <v>0.56999999999999973</v>
      </c>
    </row>
    <row r="153" spans="1:216" x14ac:dyDescent="0.3">
      <c r="A153" s="2">
        <v>3</v>
      </c>
      <c r="C153" s="38" t="s">
        <v>47</v>
      </c>
      <c r="D153" s="42">
        <f>TRUNC(4692,-1)</f>
        <v>4690</v>
      </c>
      <c r="E153" s="86">
        <f>TRUNC(+D153*3.3058,-1)</f>
        <v>15500</v>
      </c>
      <c r="F153" s="2" t="s">
        <v>313</v>
      </c>
      <c r="H153" s="55">
        <f t="shared" si="1059"/>
        <v>17050</v>
      </c>
      <c r="I153" s="55">
        <f t="shared" si="1060"/>
        <v>17050</v>
      </c>
      <c r="J153" s="59">
        <f t="shared" si="1061"/>
        <v>56363.89</v>
      </c>
      <c r="K153" s="55">
        <f t="shared" si="1069"/>
        <v>16538.5</v>
      </c>
      <c r="L153" s="59">
        <f t="shared" si="1070"/>
        <v>54672.973299999998</v>
      </c>
      <c r="M153" s="55">
        <f t="shared" si="1071"/>
        <v>16197.5</v>
      </c>
      <c r="N153" s="59">
        <f t="shared" si="1072"/>
        <v>53545.695500000002</v>
      </c>
      <c r="O153" s="55">
        <f>+I153*BF153</f>
        <v>15856.5</v>
      </c>
      <c r="P153" s="59">
        <f t="shared" si="1073"/>
        <v>52418.417699999998</v>
      </c>
      <c r="Q153" s="57">
        <f>+I153*BG153</f>
        <v>15515.5</v>
      </c>
      <c r="R153" s="59">
        <f t="shared" si="1074"/>
        <v>51291.139900000002</v>
      </c>
      <c r="S153" s="55">
        <f>+I153*BH153</f>
        <v>15174.5</v>
      </c>
      <c r="T153" s="59">
        <f t="shared" si="1075"/>
        <v>50163.862099999998</v>
      </c>
      <c r="U153" s="57">
        <f>+I153*BI153</f>
        <v>14833.5</v>
      </c>
      <c r="V153" s="59">
        <f t="shared" si="1076"/>
        <v>49036.584300000002</v>
      </c>
      <c r="W153" s="60">
        <f>+I153*BJ153</f>
        <v>14492.5</v>
      </c>
      <c r="X153" s="59">
        <f t="shared" si="1077"/>
        <v>47909.306499999999</v>
      </c>
      <c r="Y153" s="57">
        <f>+I153*BK153</f>
        <v>14151.5</v>
      </c>
      <c r="Z153" s="59">
        <f t="shared" si="1078"/>
        <v>46782.028700000003</v>
      </c>
      <c r="AA153" s="55">
        <f>+I153*BL153</f>
        <v>13810.499999999998</v>
      </c>
      <c r="AB153" s="59">
        <f t="shared" si="1079"/>
        <v>45654.750899999992</v>
      </c>
      <c r="AC153" s="60">
        <f>+I153*BM153</f>
        <v>13469.499999999998</v>
      </c>
      <c r="AD153" s="59">
        <f t="shared" si="1080"/>
        <v>44527.473099999996</v>
      </c>
      <c r="AE153" s="60">
        <f>+I153*BN153</f>
        <v>13128.499999999998</v>
      </c>
      <c r="AF153" s="59">
        <f t="shared" si="1081"/>
        <v>43400.195299999992</v>
      </c>
      <c r="AG153" s="60">
        <f>+I153*BO153</f>
        <v>12787.499999999998</v>
      </c>
      <c r="AH153" s="59">
        <f t="shared" si="1082"/>
        <v>42272.917499999996</v>
      </c>
      <c r="AI153" s="55">
        <f>+I153*BP153</f>
        <v>12446.499999999998</v>
      </c>
      <c r="AJ153" s="59">
        <f t="shared" si="1083"/>
        <v>41145.639699999992</v>
      </c>
      <c r="AK153" s="60">
        <f>+I153*BQ153</f>
        <v>12105.499999999998</v>
      </c>
      <c r="AL153" s="59">
        <f t="shared" si="1084"/>
        <v>40018.361899999996</v>
      </c>
      <c r="AM153" s="60">
        <f>+I153*BR153</f>
        <v>11764.499999999996</v>
      </c>
      <c r="AN153" s="59">
        <f t="shared" si="1085"/>
        <v>38891.084099999985</v>
      </c>
      <c r="AO153" s="60">
        <f>+I153*BS153</f>
        <v>11423.499999999996</v>
      </c>
      <c r="AP153" s="59">
        <f t="shared" si="1086"/>
        <v>37763.806299999989</v>
      </c>
      <c r="AQ153" s="60">
        <f>+I153*BT153</f>
        <v>11082.499999999996</v>
      </c>
      <c r="AR153" s="59">
        <f t="shared" si="1087"/>
        <v>36636.528499999986</v>
      </c>
      <c r="AS153" s="55">
        <f>+I153*BU153</f>
        <v>10741.499999999996</v>
      </c>
      <c r="AT153" s="59">
        <f t="shared" si="1088"/>
        <v>35509.25069999999</v>
      </c>
      <c r="AU153" s="60">
        <f>+I153*BV153</f>
        <v>10400.499999999996</v>
      </c>
      <c r="AV153" s="59">
        <f t="shared" si="1089"/>
        <v>34381.972899999986</v>
      </c>
      <c r="AW153" s="60">
        <f>+I153*BW153</f>
        <v>10059.499999999996</v>
      </c>
      <c r="AX153" s="59">
        <f t="shared" si="1090"/>
        <v>33254.69509999999</v>
      </c>
      <c r="AY153" s="55">
        <f>+I153*BX153</f>
        <v>9718.4999999999945</v>
      </c>
      <c r="AZ153" s="59">
        <f t="shared" si="1091"/>
        <v>32127.417299999983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1092"/>
        <v>0.91</v>
      </c>
      <c r="BH153" s="55">
        <f t="shared" si="1092"/>
        <v>0.89</v>
      </c>
      <c r="BI153" s="55">
        <f t="shared" si="1092"/>
        <v>0.87</v>
      </c>
      <c r="BJ153" s="55">
        <f t="shared" si="1092"/>
        <v>0.85</v>
      </c>
      <c r="BK153" s="55">
        <f t="shared" si="1092"/>
        <v>0.83</v>
      </c>
      <c r="BL153" s="55">
        <f t="shared" si="1092"/>
        <v>0.80999999999999994</v>
      </c>
      <c r="BM153" s="55">
        <f t="shared" si="1092"/>
        <v>0.78999999999999992</v>
      </c>
      <c r="BN153" s="55">
        <f t="shared" si="1092"/>
        <v>0.76999999999999991</v>
      </c>
      <c r="BO153" s="55">
        <f t="shared" si="1092"/>
        <v>0.74999999999999989</v>
      </c>
      <c r="BP153" s="55">
        <f t="shared" si="1092"/>
        <v>0.72999999999999987</v>
      </c>
      <c r="BQ153" s="55">
        <f t="shared" si="1092"/>
        <v>0.70999999999999985</v>
      </c>
      <c r="BR153" s="55">
        <f t="shared" si="1092"/>
        <v>0.68999999999999984</v>
      </c>
      <c r="BS153" s="55">
        <f t="shared" si="1092"/>
        <v>0.66999999999999982</v>
      </c>
      <c r="BT153" s="55">
        <f t="shared" si="1092"/>
        <v>0.6499999999999998</v>
      </c>
      <c r="BU153" s="55">
        <f t="shared" si="1092"/>
        <v>0.62999999999999978</v>
      </c>
      <c r="BV153" s="55">
        <f t="shared" si="1092"/>
        <v>0.60999999999999976</v>
      </c>
      <c r="BW153" s="55">
        <f t="shared" si="1092"/>
        <v>0.58999999999999975</v>
      </c>
      <c r="BX153" s="55">
        <f t="shared" si="1092"/>
        <v>0.56999999999999973</v>
      </c>
      <c r="BZ153" s="55">
        <f t="shared" si="1062"/>
        <v>15515.5</v>
      </c>
      <c r="CA153" s="55">
        <f t="shared" si="1063"/>
        <v>15515.5</v>
      </c>
      <c r="CB153" s="59">
        <f t="shared" si="1093"/>
        <v>51291.139900000002</v>
      </c>
      <c r="CC153" s="55">
        <f t="shared" si="1094"/>
        <v>15050.035</v>
      </c>
      <c r="CD153" s="59">
        <f t="shared" si="1095"/>
        <v>49752.405703000004</v>
      </c>
      <c r="CE153" s="55">
        <f t="shared" si="1096"/>
        <v>14739.724999999999</v>
      </c>
      <c r="CF153" s="59">
        <f t="shared" si="1097"/>
        <v>48726.582904999996</v>
      </c>
      <c r="CG153" s="55">
        <f>+CA153*DX153</f>
        <v>14429.415000000001</v>
      </c>
      <c r="CH153" s="59">
        <f t="shared" si="1098"/>
        <v>47700.760107000002</v>
      </c>
      <c r="CI153" s="57">
        <f>+CA153*DY153</f>
        <v>14119.105000000001</v>
      </c>
      <c r="CJ153" s="59">
        <f t="shared" si="1099"/>
        <v>46674.937309000008</v>
      </c>
      <c r="CK153" s="55">
        <f>+CA153*DZ153</f>
        <v>13808.795</v>
      </c>
      <c r="CL153" s="59">
        <f t="shared" si="1100"/>
        <v>45649.114511</v>
      </c>
      <c r="CM153" s="57">
        <f>+CA153*EA153</f>
        <v>13498.485000000001</v>
      </c>
      <c r="CN153" s="59">
        <f t="shared" si="1101"/>
        <v>44623.291713000006</v>
      </c>
      <c r="CO153" s="60">
        <f>+CA153*EB153</f>
        <v>13188.174999999999</v>
      </c>
      <c r="CP153" s="59">
        <f t="shared" si="1102"/>
        <v>43597.468914999998</v>
      </c>
      <c r="CQ153" s="57">
        <f>+CA153*EC153</f>
        <v>12877.865</v>
      </c>
      <c r="CR153" s="59">
        <f t="shared" si="1103"/>
        <v>42571.646116999997</v>
      </c>
      <c r="CS153" s="55">
        <f>+CA153*ED153</f>
        <v>12567.554999999998</v>
      </c>
      <c r="CT153" s="59">
        <f t="shared" si="1104"/>
        <v>41545.823318999996</v>
      </c>
      <c r="CU153" s="60">
        <f>+CA153*EE153</f>
        <v>12257.244999999999</v>
      </c>
      <c r="CV153" s="59">
        <f t="shared" si="1105"/>
        <v>40520.000520999994</v>
      </c>
      <c r="CW153" s="60">
        <f>+CA153*EF153</f>
        <v>11946.934999999998</v>
      </c>
      <c r="CX153" s="59">
        <f t="shared" si="1106"/>
        <v>39494.177722999993</v>
      </c>
      <c r="CY153" s="60">
        <f>+CA153*EG153</f>
        <v>11636.624999999998</v>
      </c>
      <c r="CZ153" s="59">
        <f t="shared" si="1107"/>
        <v>38468.354924999992</v>
      </c>
      <c r="DA153" s="55">
        <f>+CA153*EH153</f>
        <v>11326.314999999999</v>
      </c>
      <c r="DB153" s="59">
        <f t="shared" si="1108"/>
        <v>37442.532126999999</v>
      </c>
      <c r="DC153" s="60">
        <f>+CA153*EI153</f>
        <v>11016.004999999997</v>
      </c>
      <c r="DD153" s="59">
        <f t="shared" si="1109"/>
        <v>36416.70932899999</v>
      </c>
      <c r="DE153" s="60">
        <f>+CA153*EJ153</f>
        <v>10705.694999999998</v>
      </c>
      <c r="DF153" s="59">
        <f t="shared" si="1110"/>
        <v>35390.886530999996</v>
      </c>
      <c r="DG153" s="60">
        <f>+CA153*EK153</f>
        <v>10395.384999999997</v>
      </c>
      <c r="DH153" s="59">
        <f t="shared" si="1111"/>
        <v>34365.063732999988</v>
      </c>
      <c r="DI153" s="60">
        <f>+CA153*EL153</f>
        <v>10085.074999999997</v>
      </c>
      <c r="DJ153" s="59">
        <f t="shared" si="1112"/>
        <v>33339.240934999994</v>
      </c>
      <c r="DK153" s="55">
        <f>+CA153*EM153</f>
        <v>9774.7649999999958</v>
      </c>
      <c r="DL153" s="59">
        <f t="shared" si="1113"/>
        <v>32313.418136999986</v>
      </c>
      <c r="DM153" s="60">
        <f>+CA153*EN153</f>
        <v>9464.4549999999963</v>
      </c>
      <c r="DN153" s="59">
        <f t="shared" si="1114"/>
        <v>31287.595338999989</v>
      </c>
      <c r="DO153" s="60">
        <f>+CA153*EO153</f>
        <v>9154.1449999999968</v>
      </c>
      <c r="DP153" s="59">
        <f t="shared" si="1115"/>
        <v>30261.772540999991</v>
      </c>
      <c r="DQ153" s="55">
        <f>+CA153*EP153</f>
        <v>8843.8349999999955</v>
      </c>
      <c r="DR153" s="59">
        <f t="shared" si="1116"/>
        <v>29235.949742999986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24"/>
        <v>0.91</v>
      </c>
      <c r="DZ153" s="55">
        <f t="shared" si="924"/>
        <v>0.89</v>
      </c>
      <c r="EA153" s="55">
        <f t="shared" si="924"/>
        <v>0.87</v>
      </c>
      <c r="EB153" s="55">
        <f t="shared" ref="EB153:EP153" si="1141">+EA153-0.02</f>
        <v>0.85</v>
      </c>
      <c r="EC153" s="55">
        <f t="shared" si="1141"/>
        <v>0.83</v>
      </c>
      <c r="ED153" s="55">
        <f t="shared" si="1141"/>
        <v>0.80999999999999994</v>
      </c>
      <c r="EE153" s="55">
        <f t="shared" si="1141"/>
        <v>0.78999999999999992</v>
      </c>
      <c r="EF153" s="55">
        <f t="shared" si="1141"/>
        <v>0.76999999999999991</v>
      </c>
      <c r="EG153" s="55">
        <f t="shared" si="1141"/>
        <v>0.74999999999999989</v>
      </c>
      <c r="EH153" s="55">
        <f t="shared" si="1141"/>
        <v>0.72999999999999987</v>
      </c>
      <c r="EI153" s="55">
        <f t="shared" si="1141"/>
        <v>0.70999999999999985</v>
      </c>
      <c r="EJ153" s="55">
        <f t="shared" si="1141"/>
        <v>0.68999999999999984</v>
      </c>
      <c r="EK153" s="55">
        <f t="shared" si="1141"/>
        <v>0.66999999999999982</v>
      </c>
      <c r="EL153" s="55">
        <f t="shared" si="1141"/>
        <v>0.6499999999999998</v>
      </c>
      <c r="EM153" s="55">
        <f t="shared" si="1141"/>
        <v>0.62999999999999978</v>
      </c>
      <c r="EN153" s="55">
        <f t="shared" si="1141"/>
        <v>0.60999999999999976</v>
      </c>
      <c r="EO153" s="55">
        <f t="shared" si="1141"/>
        <v>0.58999999999999975</v>
      </c>
      <c r="EP153" s="55">
        <f t="shared" si="1141"/>
        <v>0.56999999999999973</v>
      </c>
      <c r="ER153" s="55">
        <f t="shared" si="644"/>
        <v>14119.105000000001</v>
      </c>
      <c r="ES153" s="55">
        <f t="shared" si="1064"/>
        <v>14119.105000000001</v>
      </c>
      <c r="ET153" s="59">
        <f t="shared" si="1117"/>
        <v>46674.937309000008</v>
      </c>
      <c r="EU153" s="55">
        <f t="shared" si="1118"/>
        <v>13695.531850000001</v>
      </c>
      <c r="EV153" s="59">
        <f t="shared" si="1119"/>
        <v>45274.689189730008</v>
      </c>
      <c r="EW153" s="55">
        <f t="shared" si="1120"/>
        <v>13413.14975</v>
      </c>
      <c r="EX153" s="59">
        <f t="shared" si="1121"/>
        <v>44341.190443550004</v>
      </c>
      <c r="EY153" s="55">
        <f>+ES153*GP153</f>
        <v>13130.767650000002</v>
      </c>
      <c r="EZ153" s="59">
        <f t="shared" si="1122"/>
        <v>43407.691697370006</v>
      </c>
      <c r="FA153" s="57">
        <f>+ES153*GQ153</f>
        <v>12848.385550000001</v>
      </c>
      <c r="FB153" s="59">
        <f t="shared" si="1123"/>
        <v>42474.192951190002</v>
      </c>
      <c r="FC153" s="55">
        <f>+ES153*GR153</f>
        <v>12566.003450000002</v>
      </c>
      <c r="FD153" s="59">
        <f t="shared" si="1124"/>
        <v>41540.694205010004</v>
      </c>
      <c r="FE153" s="57">
        <f>+ES153*GS153</f>
        <v>12283.621350000001</v>
      </c>
      <c r="FF153" s="59">
        <f t="shared" si="1125"/>
        <v>40607.195458830007</v>
      </c>
      <c r="FG153" s="60">
        <f>+ES153*GT153</f>
        <v>12001.239250000001</v>
      </c>
      <c r="FH153" s="59">
        <f t="shared" si="1126"/>
        <v>39673.696712650002</v>
      </c>
      <c r="FI153" s="57">
        <f>+ES153*GU153</f>
        <v>11718.85715</v>
      </c>
      <c r="FJ153" s="59">
        <f t="shared" si="1127"/>
        <v>38740.197966469997</v>
      </c>
      <c r="FK153" s="55">
        <f>+ES153*GV153</f>
        <v>11436.475050000001</v>
      </c>
      <c r="FL153" s="59">
        <f t="shared" si="1128"/>
        <v>37806.699220290007</v>
      </c>
      <c r="FM153" s="60">
        <f>+ES153*GW153</f>
        <v>11154.09295</v>
      </c>
      <c r="FN153" s="59">
        <f t="shared" si="1129"/>
        <v>36873.200474110003</v>
      </c>
      <c r="FO153" s="60">
        <f>+ES153*GX153</f>
        <v>10871.710849999999</v>
      </c>
      <c r="FP153" s="59">
        <f t="shared" si="1130"/>
        <v>35939.701727929998</v>
      </c>
      <c r="FQ153" s="60">
        <f>+ES153*GY153</f>
        <v>10589.328749999999</v>
      </c>
      <c r="FR153" s="59">
        <f t="shared" si="1131"/>
        <v>35006.202981749993</v>
      </c>
      <c r="FS153" s="55">
        <f>+ES153*GZ153</f>
        <v>10306.94665</v>
      </c>
      <c r="FT153" s="59">
        <f t="shared" si="1132"/>
        <v>34072.704235570003</v>
      </c>
      <c r="FU153" s="60">
        <f>+ES153*HA153</f>
        <v>10024.564549999999</v>
      </c>
      <c r="FV153" s="59">
        <f t="shared" si="1133"/>
        <v>33139.205489389999</v>
      </c>
      <c r="FW153" s="60">
        <f>+ES153*HB153</f>
        <v>9742.1824499999984</v>
      </c>
      <c r="FX153" s="59">
        <f t="shared" si="1134"/>
        <v>32205.706743209994</v>
      </c>
      <c r="FY153" s="60">
        <f>+ES153*HC153</f>
        <v>9459.8003499999977</v>
      </c>
      <c r="FZ153" s="59">
        <f t="shared" si="1135"/>
        <v>31272.207997029993</v>
      </c>
      <c r="GA153" s="60">
        <f>+ES153*HD153</f>
        <v>9177.4182499999988</v>
      </c>
      <c r="GB153" s="59">
        <f t="shared" si="1136"/>
        <v>30338.709250849995</v>
      </c>
      <c r="GC153" s="55">
        <f>+ES153*HE153</f>
        <v>8895.0361499999981</v>
      </c>
      <c r="GD153" s="59">
        <f t="shared" si="1137"/>
        <v>29405.210504669994</v>
      </c>
      <c r="GE153" s="60">
        <f>+ES153*HF153</f>
        <v>8612.6540499999974</v>
      </c>
      <c r="GF153" s="59">
        <f t="shared" si="1138"/>
        <v>28471.711758489993</v>
      </c>
      <c r="GG153" s="60">
        <f>+ES153*HG153</f>
        <v>8330.2719499999967</v>
      </c>
      <c r="GH153" s="59">
        <f t="shared" si="1139"/>
        <v>27538.213012309989</v>
      </c>
      <c r="GI153" s="55">
        <f>+ES153*HH153</f>
        <v>8047.8898499999968</v>
      </c>
      <c r="GJ153" s="59">
        <f t="shared" si="1140"/>
        <v>26604.714266129991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25"/>
        <v>0.91</v>
      </c>
      <c r="GR153" s="55">
        <f t="shared" si="925"/>
        <v>0.89</v>
      </c>
      <c r="GS153" s="55">
        <f t="shared" si="925"/>
        <v>0.87</v>
      </c>
      <c r="GT153" s="55">
        <f t="shared" ref="GT153:HH153" si="1142">+GS153-0.02</f>
        <v>0.85</v>
      </c>
      <c r="GU153" s="55">
        <f t="shared" si="1142"/>
        <v>0.83</v>
      </c>
      <c r="GV153" s="55">
        <f t="shared" si="1142"/>
        <v>0.80999999999999994</v>
      </c>
      <c r="GW153" s="55">
        <f t="shared" si="1142"/>
        <v>0.78999999999999992</v>
      </c>
      <c r="GX153" s="55">
        <f t="shared" si="1142"/>
        <v>0.76999999999999991</v>
      </c>
      <c r="GY153" s="55">
        <f t="shared" si="1142"/>
        <v>0.74999999999999989</v>
      </c>
      <c r="GZ153" s="55">
        <f t="shared" si="1142"/>
        <v>0.72999999999999987</v>
      </c>
      <c r="HA153" s="55">
        <f t="shared" si="1142"/>
        <v>0.70999999999999985</v>
      </c>
      <c r="HB153" s="55">
        <f t="shared" si="1142"/>
        <v>0.68999999999999984</v>
      </c>
      <c r="HC153" s="55">
        <f t="shared" si="1142"/>
        <v>0.66999999999999982</v>
      </c>
      <c r="HD153" s="55">
        <f t="shared" si="1142"/>
        <v>0.6499999999999998</v>
      </c>
      <c r="HE153" s="55">
        <f t="shared" si="1142"/>
        <v>0.62999999999999978</v>
      </c>
      <c r="HF153" s="55">
        <f t="shared" si="1142"/>
        <v>0.60999999999999976</v>
      </c>
      <c r="HG153" s="55">
        <f t="shared" si="1142"/>
        <v>0.58999999999999975</v>
      </c>
      <c r="HH153" s="55">
        <f t="shared" si="1142"/>
        <v>0.56999999999999973</v>
      </c>
    </row>
    <row r="154" spans="1:216" ht="17.25" thickBot="1" x14ac:dyDescent="0.35">
      <c r="A154" s="2">
        <v>4</v>
      </c>
      <c r="C154" s="38" t="s">
        <v>150</v>
      </c>
      <c r="D154" s="43">
        <f>TRUNC(2486,-1)</f>
        <v>2480</v>
      </c>
      <c r="E154" s="87">
        <f>TRUNC(+D154*3.3058,-1)</f>
        <v>8190</v>
      </c>
      <c r="H154" s="55">
        <f t="shared" si="1059"/>
        <v>9009</v>
      </c>
      <c r="I154" s="55">
        <f t="shared" si="1060"/>
        <v>9009</v>
      </c>
      <c r="J154" s="59">
        <f t="shared" si="1061"/>
        <v>29781.9522</v>
      </c>
      <c r="K154" s="55">
        <f t="shared" si="1069"/>
        <v>8738.73</v>
      </c>
      <c r="L154" s="59">
        <f t="shared" si="1070"/>
        <v>28888.493633999999</v>
      </c>
      <c r="M154" s="55">
        <f t="shared" si="1071"/>
        <v>8558.5499999999993</v>
      </c>
      <c r="N154" s="59">
        <f t="shared" si="1072"/>
        <v>28292.854589999999</v>
      </c>
      <c r="O154" s="55">
        <f>+I154*BF154</f>
        <v>8378.3700000000008</v>
      </c>
      <c r="P154" s="59">
        <f t="shared" si="1073"/>
        <v>27697.215546000003</v>
      </c>
      <c r="Q154" s="57">
        <f>+I154*BG154</f>
        <v>8198.19</v>
      </c>
      <c r="R154" s="59">
        <f t="shared" si="1074"/>
        <v>27101.576502000004</v>
      </c>
      <c r="S154" s="55">
        <f>+I154*BH154</f>
        <v>8018.01</v>
      </c>
      <c r="T154" s="59">
        <f t="shared" si="1075"/>
        <v>26505.937458</v>
      </c>
      <c r="U154" s="57">
        <f>+I154*BI154</f>
        <v>7837.83</v>
      </c>
      <c r="V154" s="59">
        <f t="shared" si="1076"/>
        <v>25910.298414000001</v>
      </c>
      <c r="W154" s="60">
        <f>+I154*BJ154</f>
        <v>7657.65</v>
      </c>
      <c r="X154" s="59">
        <f t="shared" si="1077"/>
        <v>25314.659369999998</v>
      </c>
      <c r="Y154" s="57">
        <f>+I154*BK154</f>
        <v>7477.4699999999993</v>
      </c>
      <c r="Z154" s="59">
        <f t="shared" si="1078"/>
        <v>24719.020325999998</v>
      </c>
      <c r="AA154" s="55">
        <f>+I154*BL154</f>
        <v>7297.2899999999991</v>
      </c>
      <c r="AB154" s="59">
        <f t="shared" si="1079"/>
        <v>24123.381281999998</v>
      </c>
      <c r="AC154" s="60">
        <f>+I154*BM154</f>
        <v>7117.11</v>
      </c>
      <c r="AD154" s="59">
        <f t="shared" si="1080"/>
        <v>23527.742237999999</v>
      </c>
      <c r="AE154" s="60">
        <f>+I154*BN154</f>
        <v>6936.9299999999994</v>
      </c>
      <c r="AF154" s="59">
        <f t="shared" si="1081"/>
        <v>22932.103193999999</v>
      </c>
      <c r="AG154" s="60">
        <f>+I154*BO154</f>
        <v>6756.7499999999991</v>
      </c>
      <c r="AH154" s="59">
        <f t="shared" si="1082"/>
        <v>22336.464149999996</v>
      </c>
      <c r="AI154" s="55">
        <f>+I154*BP154</f>
        <v>6576.5699999999988</v>
      </c>
      <c r="AJ154" s="59">
        <f t="shared" si="1083"/>
        <v>21740.825105999997</v>
      </c>
      <c r="AK154" s="60">
        <f>+I154*BQ154</f>
        <v>6396.3899999999985</v>
      </c>
      <c r="AL154" s="59">
        <f t="shared" si="1084"/>
        <v>21145.186061999997</v>
      </c>
      <c r="AM154" s="60">
        <f>+I154*BR154</f>
        <v>6216.2099999999982</v>
      </c>
      <c r="AN154" s="59">
        <f t="shared" si="1085"/>
        <v>20549.547017999994</v>
      </c>
      <c r="AO154" s="60">
        <f>+I154*BS154</f>
        <v>6036.0299999999979</v>
      </c>
      <c r="AP154" s="59">
        <f t="shared" si="1086"/>
        <v>19953.907973999994</v>
      </c>
      <c r="AQ154" s="60">
        <f>+I154*BT154</f>
        <v>5855.8499999999985</v>
      </c>
      <c r="AR154" s="59">
        <f t="shared" si="1087"/>
        <v>19358.268929999995</v>
      </c>
      <c r="AS154" s="55">
        <f>+I154*BU154</f>
        <v>5675.6699999999983</v>
      </c>
      <c r="AT154" s="59">
        <f t="shared" si="1088"/>
        <v>18762.629885999995</v>
      </c>
      <c r="AU154" s="60">
        <f>+I154*BV154</f>
        <v>5495.489999999998</v>
      </c>
      <c r="AV154" s="59">
        <f t="shared" si="1089"/>
        <v>18166.990841999992</v>
      </c>
      <c r="AW154" s="60">
        <f>+I154*BW154</f>
        <v>5315.3099999999977</v>
      </c>
      <c r="AX154" s="59">
        <f t="shared" si="1090"/>
        <v>17571.351797999992</v>
      </c>
      <c r="AY154" s="55">
        <f>+I154*BX154</f>
        <v>5135.1299999999974</v>
      </c>
      <c r="AZ154" s="59">
        <f t="shared" si="1091"/>
        <v>16975.712753999993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1092"/>
        <v>0.91</v>
      </c>
      <c r="BH154" s="55">
        <f t="shared" si="1092"/>
        <v>0.89</v>
      </c>
      <c r="BI154" s="55">
        <f t="shared" si="1092"/>
        <v>0.87</v>
      </c>
      <c r="BJ154" s="55">
        <f t="shared" si="1092"/>
        <v>0.85</v>
      </c>
      <c r="BK154" s="55">
        <f t="shared" si="1092"/>
        <v>0.83</v>
      </c>
      <c r="BL154" s="55">
        <f t="shared" si="1092"/>
        <v>0.80999999999999994</v>
      </c>
      <c r="BM154" s="55">
        <f t="shared" si="1092"/>
        <v>0.78999999999999992</v>
      </c>
      <c r="BN154" s="55">
        <f t="shared" si="1092"/>
        <v>0.76999999999999991</v>
      </c>
      <c r="BO154" s="55">
        <f t="shared" si="1092"/>
        <v>0.74999999999999989</v>
      </c>
      <c r="BP154" s="55">
        <f t="shared" si="1092"/>
        <v>0.72999999999999987</v>
      </c>
      <c r="BQ154" s="55">
        <f t="shared" si="1092"/>
        <v>0.70999999999999985</v>
      </c>
      <c r="BR154" s="55">
        <f t="shared" si="1092"/>
        <v>0.68999999999999984</v>
      </c>
      <c r="BS154" s="55">
        <f t="shared" si="1092"/>
        <v>0.66999999999999982</v>
      </c>
      <c r="BT154" s="55">
        <f t="shared" si="1092"/>
        <v>0.6499999999999998</v>
      </c>
      <c r="BU154" s="55">
        <f t="shared" si="1092"/>
        <v>0.62999999999999978</v>
      </c>
      <c r="BV154" s="55">
        <f t="shared" si="1092"/>
        <v>0.60999999999999976</v>
      </c>
      <c r="BW154" s="55">
        <f t="shared" si="1092"/>
        <v>0.58999999999999975</v>
      </c>
      <c r="BX154" s="55">
        <f t="shared" si="1092"/>
        <v>0.56999999999999973</v>
      </c>
      <c r="BZ154" s="55">
        <f t="shared" si="1062"/>
        <v>8198.19</v>
      </c>
      <c r="CA154" s="55">
        <f t="shared" si="1063"/>
        <v>8198.19</v>
      </c>
      <c r="CB154" s="59">
        <f t="shared" si="1093"/>
        <v>27101.576502000004</v>
      </c>
      <c r="CC154" s="55">
        <f t="shared" si="1094"/>
        <v>7952.2443000000003</v>
      </c>
      <c r="CD154" s="59">
        <f t="shared" si="1095"/>
        <v>26288.529206940002</v>
      </c>
      <c r="CE154" s="55">
        <f t="shared" si="1096"/>
        <v>7788.2804999999998</v>
      </c>
      <c r="CF154" s="59">
        <f t="shared" si="1097"/>
        <v>25746.497676899999</v>
      </c>
      <c r="CG154" s="55">
        <f>+CA154*DX154</f>
        <v>7624.3167000000012</v>
      </c>
      <c r="CH154" s="59">
        <f t="shared" si="1098"/>
        <v>25204.466146860006</v>
      </c>
      <c r="CI154" s="57">
        <f>+CA154*DY154</f>
        <v>7460.3529000000008</v>
      </c>
      <c r="CJ154" s="59">
        <f t="shared" si="1099"/>
        <v>24662.434616820003</v>
      </c>
      <c r="CK154" s="55">
        <f>+CA154*DZ154</f>
        <v>7296.3891000000003</v>
      </c>
      <c r="CL154" s="59">
        <f t="shared" si="1100"/>
        <v>24120.403086780003</v>
      </c>
      <c r="CM154" s="57">
        <f>+CA154*EA154</f>
        <v>7132.4253000000008</v>
      </c>
      <c r="CN154" s="59">
        <f t="shared" si="1101"/>
        <v>23578.371556740003</v>
      </c>
      <c r="CO154" s="60">
        <f>+CA154*EB154</f>
        <v>6968.4615000000003</v>
      </c>
      <c r="CP154" s="59">
        <f t="shared" si="1102"/>
        <v>23036.340026700003</v>
      </c>
      <c r="CQ154" s="57">
        <f>+CA154*EC154</f>
        <v>6804.4976999999999</v>
      </c>
      <c r="CR154" s="59">
        <f t="shared" si="1103"/>
        <v>22494.30849666</v>
      </c>
      <c r="CS154" s="55">
        <f>+CA154*ED154</f>
        <v>6640.5339000000004</v>
      </c>
      <c r="CT154" s="59">
        <f t="shared" si="1104"/>
        <v>21952.27696662</v>
      </c>
      <c r="CU154" s="60">
        <f>+CA154*EE154</f>
        <v>6476.5700999999999</v>
      </c>
      <c r="CV154" s="59">
        <f t="shared" si="1105"/>
        <v>21410.24543658</v>
      </c>
      <c r="CW154" s="60">
        <f>+CA154*EF154</f>
        <v>6312.6062999999995</v>
      </c>
      <c r="CX154" s="59">
        <f t="shared" si="1106"/>
        <v>20868.213906539997</v>
      </c>
      <c r="CY154" s="60">
        <f>+CA154*EG154</f>
        <v>6148.642499999999</v>
      </c>
      <c r="CZ154" s="59">
        <f t="shared" si="1107"/>
        <v>20326.182376499997</v>
      </c>
      <c r="DA154" s="55">
        <f>+CA154*EH154</f>
        <v>5984.6786999999995</v>
      </c>
      <c r="DB154" s="59">
        <f t="shared" si="1108"/>
        <v>19784.150846459997</v>
      </c>
      <c r="DC154" s="60">
        <f>+CA154*EI154</f>
        <v>5820.714899999999</v>
      </c>
      <c r="DD154" s="59">
        <f t="shared" si="1109"/>
        <v>19242.119316419998</v>
      </c>
      <c r="DE154" s="60">
        <f>+CA154*EJ154</f>
        <v>5656.7510999999986</v>
      </c>
      <c r="DF154" s="59">
        <f t="shared" si="1110"/>
        <v>18700.087786379994</v>
      </c>
      <c r="DG154" s="60">
        <f>+CA154*EK154</f>
        <v>5492.787299999999</v>
      </c>
      <c r="DH154" s="59">
        <f t="shared" si="1111"/>
        <v>18158.056256339998</v>
      </c>
      <c r="DI154" s="60">
        <f>+CA154*EL154</f>
        <v>5328.8234999999986</v>
      </c>
      <c r="DJ154" s="59">
        <f t="shared" si="1112"/>
        <v>17616.024726299995</v>
      </c>
      <c r="DK154" s="55">
        <f>+CA154*EM154</f>
        <v>5164.8596999999982</v>
      </c>
      <c r="DL154" s="59">
        <f t="shared" si="1113"/>
        <v>17073.993196259995</v>
      </c>
      <c r="DM154" s="60">
        <f>+CA154*EN154</f>
        <v>5000.8958999999986</v>
      </c>
      <c r="DN154" s="59">
        <f t="shared" si="1114"/>
        <v>16531.961666219995</v>
      </c>
      <c r="DO154" s="60">
        <f>+CA154*EO154</f>
        <v>4836.9320999999982</v>
      </c>
      <c r="DP154" s="59">
        <f t="shared" si="1115"/>
        <v>15989.930136179993</v>
      </c>
      <c r="DQ154" s="55">
        <f>+CA154*EP154</f>
        <v>4672.9682999999977</v>
      </c>
      <c r="DR154" s="59">
        <f t="shared" si="1116"/>
        <v>15447.898606139994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ref="DY154:EP155" si="1143">+DX154-0.02</f>
        <v>0.91</v>
      </c>
      <c r="DZ154" s="55">
        <f t="shared" si="1143"/>
        <v>0.89</v>
      </c>
      <c r="EA154" s="55">
        <f t="shared" si="1143"/>
        <v>0.87</v>
      </c>
      <c r="EB154" s="55">
        <f t="shared" si="1143"/>
        <v>0.85</v>
      </c>
      <c r="EC154" s="55">
        <f t="shared" si="1143"/>
        <v>0.83</v>
      </c>
      <c r="ED154" s="55">
        <f t="shared" si="1143"/>
        <v>0.80999999999999994</v>
      </c>
      <c r="EE154" s="55">
        <f t="shared" si="1143"/>
        <v>0.78999999999999992</v>
      </c>
      <c r="EF154" s="55">
        <f t="shared" si="1143"/>
        <v>0.76999999999999991</v>
      </c>
      <c r="EG154" s="55">
        <f t="shared" si="1143"/>
        <v>0.74999999999999989</v>
      </c>
      <c r="EH154" s="55">
        <f t="shared" si="1143"/>
        <v>0.72999999999999987</v>
      </c>
      <c r="EI154" s="55">
        <f t="shared" si="1143"/>
        <v>0.70999999999999985</v>
      </c>
      <c r="EJ154" s="55">
        <f t="shared" si="1143"/>
        <v>0.68999999999999984</v>
      </c>
      <c r="EK154" s="55">
        <f t="shared" si="1143"/>
        <v>0.66999999999999982</v>
      </c>
      <c r="EL154" s="55">
        <f t="shared" si="1143"/>
        <v>0.6499999999999998</v>
      </c>
      <c r="EM154" s="55">
        <f t="shared" si="1143"/>
        <v>0.62999999999999978</v>
      </c>
      <c r="EN154" s="55">
        <f t="shared" si="1143"/>
        <v>0.60999999999999976</v>
      </c>
      <c r="EO154" s="55">
        <f t="shared" si="1143"/>
        <v>0.58999999999999975</v>
      </c>
      <c r="EP154" s="55">
        <f t="shared" si="1143"/>
        <v>0.56999999999999973</v>
      </c>
      <c r="ER154" s="55">
        <f t="shared" si="644"/>
        <v>7460.3529000000008</v>
      </c>
      <c r="ES154" s="55">
        <f t="shared" si="1064"/>
        <v>7460.3529000000008</v>
      </c>
      <c r="ET154" s="59">
        <f t="shared" si="1117"/>
        <v>24662.434616820003</v>
      </c>
      <c r="EU154" s="55">
        <f t="shared" si="1118"/>
        <v>7236.5423130000008</v>
      </c>
      <c r="EV154" s="59">
        <f t="shared" si="1119"/>
        <v>23922.561578315403</v>
      </c>
      <c r="EW154" s="55">
        <f t="shared" si="1120"/>
        <v>7087.335255</v>
      </c>
      <c r="EX154" s="59">
        <f t="shared" si="1121"/>
        <v>23429.312885979001</v>
      </c>
      <c r="EY154" s="55">
        <f>+ES154*GP154</f>
        <v>6938.1281970000009</v>
      </c>
      <c r="EZ154" s="59">
        <f t="shared" si="1122"/>
        <v>22936.064193642604</v>
      </c>
      <c r="FA154" s="57">
        <f>+ES154*GQ154</f>
        <v>6788.9211390000009</v>
      </c>
      <c r="FB154" s="59">
        <f t="shared" si="1123"/>
        <v>22442.815501306202</v>
      </c>
      <c r="FC154" s="55">
        <f>+ES154*GR154</f>
        <v>6639.714081000001</v>
      </c>
      <c r="FD154" s="59">
        <f t="shared" si="1124"/>
        <v>21949.566808969805</v>
      </c>
      <c r="FE154" s="57">
        <f>+ES154*GS154</f>
        <v>6490.507023000001</v>
      </c>
      <c r="FF154" s="59">
        <f t="shared" si="1125"/>
        <v>21456.318116633403</v>
      </c>
      <c r="FG154" s="60">
        <f>+ES154*GT154</f>
        <v>6341.2999650000002</v>
      </c>
      <c r="FH154" s="59">
        <f t="shared" si="1126"/>
        <v>20963.069424297002</v>
      </c>
      <c r="FI154" s="57">
        <f>+ES154*GU154</f>
        <v>6192.0929070000002</v>
      </c>
      <c r="FJ154" s="59">
        <f t="shared" si="1127"/>
        <v>20469.820731960601</v>
      </c>
      <c r="FK154" s="55">
        <f>+ES154*GV154</f>
        <v>6042.8858490000002</v>
      </c>
      <c r="FL154" s="59">
        <f t="shared" si="1128"/>
        <v>19976.5720396242</v>
      </c>
      <c r="FM154" s="60">
        <f>+ES154*GW154</f>
        <v>5893.6787910000003</v>
      </c>
      <c r="FN154" s="59">
        <f t="shared" si="1129"/>
        <v>19483.323347287802</v>
      </c>
      <c r="FO154" s="60">
        <f>+ES154*GX154</f>
        <v>5744.4717330000003</v>
      </c>
      <c r="FP154" s="59">
        <f t="shared" si="1130"/>
        <v>18990.074654951401</v>
      </c>
      <c r="FQ154" s="60">
        <f>+ES154*GY154</f>
        <v>5595.2646749999994</v>
      </c>
      <c r="FR154" s="59">
        <f t="shared" si="1131"/>
        <v>18496.825962614999</v>
      </c>
      <c r="FS154" s="55">
        <f>+ES154*GZ154</f>
        <v>5446.0576169999995</v>
      </c>
      <c r="FT154" s="59">
        <f t="shared" si="1132"/>
        <v>18003.577270278598</v>
      </c>
      <c r="FU154" s="60">
        <f>+ES154*HA154</f>
        <v>5296.8505589999995</v>
      </c>
      <c r="FV154" s="59">
        <f t="shared" si="1133"/>
        <v>17510.3285779422</v>
      </c>
      <c r="FW154" s="60">
        <f>+ES154*HB154</f>
        <v>5147.6435009999996</v>
      </c>
      <c r="FX154" s="59">
        <f t="shared" si="1134"/>
        <v>17017.079885605799</v>
      </c>
      <c r="FY154" s="60">
        <f>+ES154*HC154</f>
        <v>4998.4364429999996</v>
      </c>
      <c r="FZ154" s="59">
        <f t="shared" si="1135"/>
        <v>16523.831193269398</v>
      </c>
      <c r="GA154" s="60">
        <f>+ES154*HD154</f>
        <v>4849.2293849999987</v>
      </c>
      <c r="GB154" s="59">
        <f t="shared" si="1136"/>
        <v>16030.582500932996</v>
      </c>
      <c r="GC154" s="55">
        <f>+ES154*HE154</f>
        <v>4700.0223269999988</v>
      </c>
      <c r="GD154" s="59">
        <f t="shared" si="1137"/>
        <v>15537.333808596597</v>
      </c>
      <c r="GE154" s="60">
        <f>+ES154*HF154</f>
        <v>4550.8152689999988</v>
      </c>
      <c r="GF154" s="59">
        <f t="shared" si="1138"/>
        <v>15044.085116260196</v>
      </c>
      <c r="GG154" s="60">
        <f>+ES154*HG154</f>
        <v>4401.6082109999988</v>
      </c>
      <c r="GH154" s="59">
        <f t="shared" si="1139"/>
        <v>14550.836423923796</v>
      </c>
      <c r="GI154" s="55">
        <f>+ES154*HH154</f>
        <v>4252.401152999998</v>
      </c>
      <c r="GJ154" s="59">
        <f t="shared" si="1140"/>
        <v>14057.587731587393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ref="GQ154:HH155" si="1144">+GP154-0.02</f>
        <v>0.91</v>
      </c>
      <c r="GR154" s="55">
        <f t="shared" si="1144"/>
        <v>0.89</v>
      </c>
      <c r="GS154" s="55">
        <f t="shared" si="1144"/>
        <v>0.87</v>
      </c>
      <c r="GT154" s="55">
        <f t="shared" si="1144"/>
        <v>0.85</v>
      </c>
      <c r="GU154" s="55">
        <f t="shared" si="1144"/>
        <v>0.83</v>
      </c>
      <c r="GV154" s="55">
        <f t="shared" si="1144"/>
        <v>0.80999999999999994</v>
      </c>
      <c r="GW154" s="55">
        <f t="shared" si="1144"/>
        <v>0.78999999999999992</v>
      </c>
      <c r="GX154" s="55">
        <f t="shared" si="1144"/>
        <v>0.76999999999999991</v>
      </c>
      <c r="GY154" s="55">
        <f t="shared" si="1144"/>
        <v>0.74999999999999989</v>
      </c>
      <c r="GZ154" s="55">
        <f t="shared" si="1144"/>
        <v>0.72999999999999987</v>
      </c>
      <c r="HA154" s="55">
        <f t="shared" si="1144"/>
        <v>0.70999999999999985</v>
      </c>
      <c r="HB154" s="55">
        <f t="shared" si="1144"/>
        <v>0.68999999999999984</v>
      </c>
      <c r="HC154" s="55">
        <f t="shared" si="1144"/>
        <v>0.66999999999999982</v>
      </c>
      <c r="HD154" s="55">
        <f t="shared" si="1144"/>
        <v>0.6499999999999998</v>
      </c>
      <c r="HE154" s="55">
        <f t="shared" si="1144"/>
        <v>0.62999999999999978</v>
      </c>
      <c r="HF154" s="55">
        <f t="shared" si="1144"/>
        <v>0.60999999999999976</v>
      </c>
      <c r="HG154" s="55">
        <f t="shared" si="1144"/>
        <v>0.58999999999999975</v>
      </c>
      <c r="HH154" s="55">
        <f t="shared" si="1144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34060</v>
      </c>
      <c r="E155" s="39">
        <f>SUM(E150:E154)</f>
        <v>112580</v>
      </c>
      <c r="H155" s="55">
        <f t="shared" si="1059"/>
        <v>123838.00000000001</v>
      </c>
      <c r="I155" s="55">
        <f t="shared" si="1060"/>
        <v>123838.00000000001</v>
      </c>
      <c r="J155" s="59">
        <f t="shared" si="1061"/>
        <v>409383.66040000005</v>
      </c>
      <c r="K155" s="55">
        <f t="shared" si="1069"/>
        <v>120122.86000000002</v>
      </c>
      <c r="L155" s="59">
        <f t="shared" si="1070"/>
        <v>397102.15058800008</v>
      </c>
      <c r="M155" s="55">
        <f t="shared" si="1071"/>
        <v>117646.1</v>
      </c>
      <c r="N155" s="59">
        <f t="shared" si="1072"/>
        <v>388914.47738000005</v>
      </c>
      <c r="O155" s="55">
        <f>+I155*BF155</f>
        <v>115169.34000000003</v>
      </c>
      <c r="P155" s="59">
        <f t="shared" si="1073"/>
        <v>380726.80417200009</v>
      </c>
      <c r="Q155" s="57">
        <f>+I155*BG155</f>
        <v>112692.58000000002</v>
      </c>
      <c r="R155" s="59">
        <f t="shared" si="1074"/>
        <v>372539.13096400007</v>
      </c>
      <c r="S155" s="55">
        <f>+I155*BH155</f>
        <v>110215.82000000002</v>
      </c>
      <c r="T155" s="59">
        <f t="shared" si="1075"/>
        <v>364351.45775600011</v>
      </c>
      <c r="U155" s="57">
        <f>+I155*BI155</f>
        <v>107739.06000000001</v>
      </c>
      <c r="V155" s="59">
        <f t="shared" si="1076"/>
        <v>356163.78454800003</v>
      </c>
      <c r="W155" s="60">
        <f>+I155*BJ155</f>
        <v>105262.3</v>
      </c>
      <c r="X155" s="59">
        <f t="shared" si="1077"/>
        <v>347976.11134</v>
      </c>
      <c r="Y155" s="57">
        <f>+I155*BK155</f>
        <v>102785.54000000001</v>
      </c>
      <c r="Z155" s="59">
        <f t="shared" si="1078"/>
        <v>339788.43813200004</v>
      </c>
      <c r="AA155" s="55">
        <f>+I155*BL155</f>
        <v>100308.78</v>
      </c>
      <c r="AB155" s="59">
        <f t="shared" si="1079"/>
        <v>331600.76492400002</v>
      </c>
      <c r="AC155" s="60">
        <f>+I155*BM155</f>
        <v>97832.02</v>
      </c>
      <c r="AD155" s="59">
        <f t="shared" si="1080"/>
        <v>323413.091716</v>
      </c>
      <c r="AE155" s="60">
        <f>+I155*BN155</f>
        <v>95355.26</v>
      </c>
      <c r="AF155" s="59">
        <f t="shared" si="1081"/>
        <v>315225.41850799997</v>
      </c>
      <c r="AG155" s="60">
        <f>+I155*BO155</f>
        <v>92878.5</v>
      </c>
      <c r="AH155" s="59">
        <f t="shared" si="1082"/>
        <v>307037.74530000001</v>
      </c>
      <c r="AI155" s="55">
        <f>+I155*BP155</f>
        <v>90401.739999999991</v>
      </c>
      <c r="AJ155" s="59">
        <f t="shared" si="1083"/>
        <v>298850.07209199999</v>
      </c>
      <c r="AK155" s="60">
        <f>+I155*BQ155</f>
        <v>87924.98</v>
      </c>
      <c r="AL155" s="59">
        <f t="shared" si="1084"/>
        <v>290662.39888399997</v>
      </c>
      <c r="AM155" s="60">
        <f>+I155*BR155</f>
        <v>85448.219999999987</v>
      </c>
      <c r="AN155" s="59">
        <f t="shared" si="1085"/>
        <v>282474.72567599994</v>
      </c>
      <c r="AO155" s="60">
        <f>+I155*BS155</f>
        <v>82971.459999999992</v>
      </c>
      <c r="AP155" s="59">
        <f t="shared" si="1086"/>
        <v>274287.05246799998</v>
      </c>
      <c r="AQ155" s="60">
        <f>+I155*BT155</f>
        <v>80494.699999999983</v>
      </c>
      <c r="AR155" s="59">
        <f t="shared" si="1087"/>
        <v>266099.37925999996</v>
      </c>
      <c r="AS155" s="55">
        <f>+I155*BU155</f>
        <v>78017.939999999988</v>
      </c>
      <c r="AT155" s="59">
        <f t="shared" si="1088"/>
        <v>257911.70605199996</v>
      </c>
      <c r="AU155" s="60">
        <f>+I155*BV155</f>
        <v>75541.179999999978</v>
      </c>
      <c r="AV155" s="59">
        <f t="shared" si="1089"/>
        <v>249724.03284399994</v>
      </c>
      <c r="AW155" s="60">
        <f>+I155*BW155</f>
        <v>73064.419999999984</v>
      </c>
      <c r="AX155" s="59">
        <f t="shared" si="1090"/>
        <v>241536.35963599995</v>
      </c>
      <c r="AY155" s="55">
        <f>+I155*BX155</f>
        <v>70587.659999999974</v>
      </c>
      <c r="AZ155" s="59">
        <f t="shared" si="1091"/>
        <v>233348.68642799993</v>
      </c>
      <c r="BC155" s="55">
        <v>1</v>
      </c>
      <c r="BD155" s="55">
        <v>0.97</v>
      </c>
      <c r="BE155" s="55">
        <v>0.95</v>
      </c>
      <c r="BF155" s="55">
        <v>0.93</v>
      </c>
      <c r="BG155" s="55">
        <f t="shared" si="1092"/>
        <v>0.91</v>
      </c>
      <c r="BH155" s="55">
        <f t="shared" si="1092"/>
        <v>0.89</v>
      </c>
      <c r="BI155" s="55">
        <f t="shared" si="1092"/>
        <v>0.87</v>
      </c>
      <c r="BJ155" s="55">
        <f t="shared" si="1092"/>
        <v>0.85</v>
      </c>
      <c r="BK155" s="55">
        <f t="shared" si="1092"/>
        <v>0.83</v>
      </c>
      <c r="BL155" s="55">
        <f t="shared" si="1092"/>
        <v>0.80999999999999994</v>
      </c>
      <c r="BM155" s="55">
        <f t="shared" si="1092"/>
        <v>0.78999999999999992</v>
      </c>
      <c r="BN155" s="55">
        <f t="shared" si="1092"/>
        <v>0.76999999999999991</v>
      </c>
      <c r="BO155" s="55">
        <f t="shared" si="1092"/>
        <v>0.74999999999999989</v>
      </c>
      <c r="BP155" s="55">
        <f t="shared" si="1092"/>
        <v>0.72999999999999987</v>
      </c>
      <c r="BQ155" s="55">
        <f t="shared" si="1092"/>
        <v>0.70999999999999985</v>
      </c>
      <c r="BR155" s="55">
        <f t="shared" si="1092"/>
        <v>0.68999999999999984</v>
      </c>
      <c r="BS155" s="55">
        <f t="shared" si="1092"/>
        <v>0.66999999999999982</v>
      </c>
      <c r="BT155" s="55">
        <f t="shared" si="1092"/>
        <v>0.6499999999999998</v>
      </c>
      <c r="BU155" s="55">
        <f t="shared" si="1092"/>
        <v>0.62999999999999978</v>
      </c>
      <c r="BV155" s="55">
        <f t="shared" si="1092"/>
        <v>0.60999999999999976</v>
      </c>
      <c r="BW155" s="55">
        <f t="shared" si="1092"/>
        <v>0.58999999999999975</v>
      </c>
      <c r="BX155" s="55">
        <f t="shared" si="1092"/>
        <v>0.56999999999999973</v>
      </c>
      <c r="BZ155" s="55">
        <f t="shared" si="1062"/>
        <v>112692.58000000002</v>
      </c>
      <c r="CA155" s="55">
        <f t="shared" si="1063"/>
        <v>112692.58000000002</v>
      </c>
      <c r="CB155" s="59">
        <f t="shared" si="1093"/>
        <v>372539.13096400007</v>
      </c>
      <c r="CC155" s="55">
        <f t="shared" si="1094"/>
        <v>109311.80260000001</v>
      </c>
      <c r="CD155" s="59">
        <f t="shared" si="1095"/>
        <v>361362.95703508006</v>
      </c>
      <c r="CE155" s="55">
        <f t="shared" si="1096"/>
        <v>107057.95100000002</v>
      </c>
      <c r="CF155" s="59">
        <f t="shared" si="1097"/>
        <v>353912.17441580008</v>
      </c>
      <c r="CG155" s="55">
        <f>+CA155*DX155</f>
        <v>104804.09940000002</v>
      </c>
      <c r="CH155" s="59">
        <f t="shared" si="1098"/>
        <v>346461.3917965201</v>
      </c>
      <c r="CI155" s="57">
        <f>+CA155*DY155</f>
        <v>102550.24780000001</v>
      </c>
      <c r="CJ155" s="59">
        <f t="shared" si="1099"/>
        <v>339010.60917724005</v>
      </c>
      <c r="CK155" s="55">
        <f>+CA155*DZ155</f>
        <v>100296.39620000002</v>
      </c>
      <c r="CL155" s="59">
        <f t="shared" si="1100"/>
        <v>331559.82655796007</v>
      </c>
      <c r="CM155" s="57">
        <f>+CA155*EA155</f>
        <v>98042.544600000008</v>
      </c>
      <c r="CN155" s="59">
        <f t="shared" si="1101"/>
        <v>324109.04393868003</v>
      </c>
      <c r="CO155" s="60">
        <f>+CA155*EB155</f>
        <v>95788.693000000014</v>
      </c>
      <c r="CP155" s="59">
        <f t="shared" si="1102"/>
        <v>316658.26131940004</v>
      </c>
      <c r="CQ155" s="57">
        <f>+CA155*EC155</f>
        <v>93534.841400000005</v>
      </c>
      <c r="CR155" s="59">
        <f t="shared" si="1103"/>
        <v>309207.47870012</v>
      </c>
      <c r="CS155" s="55">
        <f>+CA155*ED155</f>
        <v>91280.98980000001</v>
      </c>
      <c r="CT155" s="59">
        <f t="shared" si="1104"/>
        <v>301756.69608084002</v>
      </c>
      <c r="CU155" s="60">
        <f>+CA155*EE155</f>
        <v>89027.138200000001</v>
      </c>
      <c r="CV155" s="59">
        <f t="shared" si="1105"/>
        <v>294305.91346156003</v>
      </c>
      <c r="CW155" s="60">
        <f>+CA155*EF155</f>
        <v>86773.286600000007</v>
      </c>
      <c r="CX155" s="59">
        <f t="shared" si="1106"/>
        <v>286855.13084228005</v>
      </c>
      <c r="CY155" s="60">
        <f>+CA155*EG155</f>
        <v>84519.434999999998</v>
      </c>
      <c r="CZ155" s="59">
        <f t="shared" si="1107"/>
        <v>279404.34822300001</v>
      </c>
      <c r="DA155" s="55">
        <f>+CA155*EH155</f>
        <v>82265.583400000003</v>
      </c>
      <c r="DB155" s="59">
        <f t="shared" si="1108"/>
        <v>271953.56560372002</v>
      </c>
      <c r="DC155" s="60">
        <f>+CA155*EI155</f>
        <v>80011.731799999994</v>
      </c>
      <c r="DD155" s="59">
        <f t="shared" si="1109"/>
        <v>264502.78298443998</v>
      </c>
      <c r="DE155" s="60">
        <f>+CA155*EJ155</f>
        <v>77757.8802</v>
      </c>
      <c r="DF155" s="59">
        <f t="shared" si="1110"/>
        <v>257052.00036516</v>
      </c>
      <c r="DG155" s="60">
        <f>+CA155*EK155</f>
        <v>75504.028599999991</v>
      </c>
      <c r="DH155" s="59">
        <f t="shared" si="1111"/>
        <v>249601.21774587999</v>
      </c>
      <c r="DI155" s="60">
        <f>+CA155*EL155</f>
        <v>73250.176999999981</v>
      </c>
      <c r="DJ155" s="59">
        <f t="shared" si="1112"/>
        <v>242150.43512659994</v>
      </c>
      <c r="DK155" s="55">
        <f>+CA155*EM155</f>
        <v>70996.325399999987</v>
      </c>
      <c r="DL155" s="59">
        <f t="shared" si="1113"/>
        <v>234699.65250731996</v>
      </c>
      <c r="DM155" s="60">
        <f>+CA155*EN155</f>
        <v>68742.473799999978</v>
      </c>
      <c r="DN155" s="59">
        <f t="shared" si="1114"/>
        <v>227248.86988803995</v>
      </c>
      <c r="DO155" s="60">
        <f>+CA155*EO155</f>
        <v>66488.622199999983</v>
      </c>
      <c r="DP155" s="59">
        <f t="shared" si="1115"/>
        <v>219798.08726875996</v>
      </c>
      <c r="DQ155" s="55">
        <f>+CA155*EP155</f>
        <v>64234.770599999982</v>
      </c>
      <c r="DR155" s="59">
        <f t="shared" si="1116"/>
        <v>212347.30464947995</v>
      </c>
      <c r="DU155" s="55">
        <v>1</v>
      </c>
      <c r="DV155" s="55">
        <v>0.97</v>
      </c>
      <c r="DW155" s="55">
        <v>0.95</v>
      </c>
      <c r="DX155" s="55">
        <v>0.93</v>
      </c>
      <c r="DY155" s="55">
        <f t="shared" si="1143"/>
        <v>0.91</v>
      </c>
      <c r="DZ155" s="55">
        <f t="shared" si="1143"/>
        <v>0.89</v>
      </c>
      <c r="EA155" s="55">
        <f t="shared" si="1143"/>
        <v>0.87</v>
      </c>
      <c r="EB155" s="55">
        <f t="shared" si="1143"/>
        <v>0.85</v>
      </c>
      <c r="EC155" s="55">
        <f t="shared" si="1143"/>
        <v>0.83</v>
      </c>
      <c r="ED155" s="55">
        <f t="shared" si="1143"/>
        <v>0.80999999999999994</v>
      </c>
      <c r="EE155" s="55">
        <f t="shared" si="1143"/>
        <v>0.78999999999999992</v>
      </c>
      <c r="EF155" s="55">
        <f t="shared" si="1143"/>
        <v>0.76999999999999991</v>
      </c>
      <c r="EG155" s="55">
        <f t="shared" si="1143"/>
        <v>0.74999999999999989</v>
      </c>
      <c r="EH155" s="55">
        <f t="shared" si="1143"/>
        <v>0.72999999999999987</v>
      </c>
      <c r="EI155" s="55">
        <f t="shared" si="1143"/>
        <v>0.70999999999999985</v>
      </c>
      <c r="EJ155" s="55">
        <f t="shared" si="1143"/>
        <v>0.68999999999999984</v>
      </c>
      <c r="EK155" s="55">
        <f t="shared" si="1143"/>
        <v>0.66999999999999982</v>
      </c>
      <c r="EL155" s="55">
        <f t="shared" si="1143"/>
        <v>0.6499999999999998</v>
      </c>
      <c r="EM155" s="55">
        <f t="shared" si="1143"/>
        <v>0.62999999999999978</v>
      </c>
      <c r="EN155" s="55">
        <f t="shared" si="1143"/>
        <v>0.60999999999999976</v>
      </c>
      <c r="EO155" s="55">
        <f t="shared" si="1143"/>
        <v>0.58999999999999975</v>
      </c>
      <c r="EP155" s="55">
        <f t="shared" si="1143"/>
        <v>0.56999999999999973</v>
      </c>
      <c r="ER155" s="55">
        <f t="shared" si="644"/>
        <v>102550.24780000001</v>
      </c>
      <c r="ES155" s="55">
        <f t="shared" si="1064"/>
        <v>102550.24780000001</v>
      </c>
      <c r="ET155" s="59">
        <f t="shared" si="1117"/>
        <v>339010.60917724005</v>
      </c>
      <c r="EU155" s="55">
        <f t="shared" si="1118"/>
        <v>99473.740366000013</v>
      </c>
      <c r="EV155" s="59">
        <f t="shared" si="1119"/>
        <v>328840.29090192285</v>
      </c>
      <c r="EW155" s="55">
        <f t="shared" si="1120"/>
        <v>97422.735410000008</v>
      </c>
      <c r="EX155" s="59">
        <f t="shared" si="1121"/>
        <v>322060.07871837803</v>
      </c>
      <c r="EY155" s="55">
        <f>+ES155*GP155</f>
        <v>95371.730454000019</v>
      </c>
      <c r="EZ155" s="59">
        <f t="shared" si="1122"/>
        <v>315279.86653483327</v>
      </c>
      <c r="FA155" s="57">
        <f>+ES155*GQ155</f>
        <v>93320.725498000014</v>
      </c>
      <c r="FB155" s="59">
        <f t="shared" si="1123"/>
        <v>308499.65435128845</v>
      </c>
      <c r="FC155" s="55">
        <f>+ES155*GR155</f>
        <v>91269.72054200001</v>
      </c>
      <c r="FD155" s="59">
        <f t="shared" si="1124"/>
        <v>301719.44216774363</v>
      </c>
      <c r="FE155" s="57">
        <f>+ES155*GS155</f>
        <v>89218.715586000006</v>
      </c>
      <c r="FF155" s="59">
        <f t="shared" si="1125"/>
        <v>294939.22998419881</v>
      </c>
      <c r="FG155" s="60">
        <f>+ES155*GT155</f>
        <v>87167.710630000001</v>
      </c>
      <c r="FH155" s="59">
        <f t="shared" si="1126"/>
        <v>288159.01780065399</v>
      </c>
      <c r="FI155" s="57">
        <f>+ES155*GU155</f>
        <v>85116.705674000012</v>
      </c>
      <c r="FJ155" s="59">
        <f t="shared" si="1127"/>
        <v>281378.80561710923</v>
      </c>
      <c r="FK155" s="55">
        <f>+ES155*GV155</f>
        <v>83065.700718000007</v>
      </c>
      <c r="FL155" s="59">
        <f t="shared" si="1128"/>
        <v>274598.59343356441</v>
      </c>
      <c r="FM155" s="60">
        <f>+ES155*GW155</f>
        <v>81014.695762000003</v>
      </c>
      <c r="FN155" s="59">
        <f t="shared" si="1129"/>
        <v>267818.38125001959</v>
      </c>
      <c r="FO155" s="60">
        <f>+ES155*GX155</f>
        <v>78963.690805999999</v>
      </c>
      <c r="FP155" s="59">
        <f t="shared" si="1130"/>
        <v>261038.1690664748</v>
      </c>
      <c r="FQ155" s="60">
        <f>+ES155*GY155</f>
        <v>76912.685849999994</v>
      </c>
      <c r="FR155" s="59">
        <f t="shared" si="1131"/>
        <v>254257.95688292998</v>
      </c>
      <c r="FS155" s="55">
        <f>+ES155*GZ155</f>
        <v>74861.68089399999</v>
      </c>
      <c r="FT155" s="59">
        <f t="shared" si="1132"/>
        <v>247477.74469938516</v>
      </c>
      <c r="FU155" s="60">
        <f>+ES155*HA155</f>
        <v>72810.675938</v>
      </c>
      <c r="FV155" s="59">
        <f t="shared" si="1133"/>
        <v>240697.5325158404</v>
      </c>
      <c r="FW155" s="60">
        <f>+ES155*HB155</f>
        <v>70759.670981999996</v>
      </c>
      <c r="FX155" s="59">
        <f t="shared" si="1134"/>
        <v>233917.32033229558</v>
      </c>
      <c r="FY155" s="60">
        <f>+ES155*HC155</f>
        <v>68708.666025999992</v>
      </c>
      <c r="FZ155" s="59">
        <f t="shared" si="1135"/>
        <v>227137.10814875079</v>
      </c>
      <c r="GA155" s="60">
        <f>+ES155*HD155</f>
        <v>66657.661069999987</v>
      </c>
      <c r="GB155" s="59">
        <f t="shared" si="1136"/>
        <v>220356.89596520597</v>
      </c>
      <c r="GC155" s="55">
        <f>+ES155*HE155</f>
        <v>64606.656113999983</v>
      </c>
      <c r="GD155" s="59">
        <f t="shared" si="1137"/>
        <v>213576.68378166115</v>
      </c>
      <c r="GE155" s="60">
        <f>+ES155*HF155</f>
        <v>62555.651157999986</v>
      </c>
      <c r="GF155" s="59">
        <f t="shared" si="1138"/>
        <v>206796.47159811636</v>
      </c>
      <c r="GG155" s="60">
        <f>+ES155*HG155</f>
        <v>60504.646201999982</v>
      </c>
      <c r="GH155" s="59">
        <f t="shared" si="1139"/>
        <v>200016.25941457154</v>
      </c>
      <c r="GI155" s="55">
        <f>+ES155*HH155</f>
        <v>58453.641245999977</v>
      </c>
      <c r="GJ155" s="59">
        <f t="shared" si="1140"/>
        <v>193236.04723102672</v>
      </c>
      <c r="GK155" s="55"/>
      <c r="GL155" s="55"/>
      <c r="GM155" s="55">
        <v>1</v>
      </c>
      <c r="GN155" s="55">
        <v>0.97</v>
      </c>
      <c r="GO155" s="55">
        <v>0.95</v>
      </c>
      <c r="GP155" s="55">
        <v>0.93</v>
      </c>
      <c r="GQ155" s="55">
        <f t="shared" si="1144"/>
        <v>0.91</v>
      </c>
      <c r="GR155" s="55">
        <f t="shared" si="1144"/>
        <v>0.89</v>
      </c>
      <c r="GS155" s="55">
        <f t="shared" si="1144"/>
        <v>0.87</v>
      </c>
      <c r="GT155" s="55">
        <f t="shared" si="1144"/>
        <v>0.85</v>
      </c>
      <c r="GU155" s="55">
        <f t="shared" si="1144"/>
        <v>0.83</v>
      </c>
      <c r="GV155" s="55">
        <f t="shared" si="1144"/>
        <v>0.80999999999999994</v>
      </c>
      <c r="GW155" s="55">
        <f t="shared" si="1144"/>
        <v>0.78999999999999992</v>
      </c>
      <c r="GX155" s="55">
        <f t="shared" si="1144"/>
        <v>0.76999999999999991</v>
      </c>
      <c r="GY155" s="55">
        <f t="shared" si="1144"/>
        <v>0.74999999999999989</v>
      </c>
      <c r="GZ155" s="55">
        <f t="shared" si="1144"/>
        <v>0.72999999999999987</v>
      </c>
      <c r="HA155" s="55">
        <f t="shared" si="1144"/>
        <v>0.70999999999999985</v>
      </c>
      <c r="HB155" s="55">
        <f t="shared" si="1144"/>
        <v>0.68999999999999984</v>
      </c>
      <c r="HC155" s="55">
        <f t="shared" si="1144"/>
        <v>0.66999999999999982</v>
      </c>
      <c r="HD155" s="55">
        <f t="shared" si="1144"/>
        <v>0.6499999999999998</v>
      </c>
      <c r="HE155" s="55">
        <f t="shared" si="1144"/>
        <v>0.62999999999999978</v>
      </c>
      <c r="HF155" s="55">
        <f t="shared" si="1144"/>
        <v>0.60999999999999976</v>
      </c>
      <c r="HG155" s="55">
        <f t="shared" si="1144"/>
        <v>0.58999999999999975</v>
      </c>
      <c r="HH155" s="55">
        <f t="shared" si="1144"/>
        <v>0.56999999999999973</v>
      </c>
    </row>
    <row r="156" spans="1:216" x14ac:dyDescent="0.3">
      <c r="L156" s="56"/>
      <c r="N156" s="56"/>
      <c r="P156" s="56"/>
      <c r="R156" s="56"/>
      <c r="T156" s="56"/>
      <c r="V156" s="56"/>
      <c r="W156" s="60"/>
      <c r="X156" s="56"/>
      <c r="Z156" s="56"/>
      <c r="AB156" s="56"/>
      <c r="AC156" s="60"/>
      <c r="AD156" s="56"/>
      <c r="AE156" s="60"/>
      <c r="AF156" s="56"/>
      <c r="AG156" s="60"/>
      <c r="AH156" s="56"/>
      <c r="AJ156" s="56"/>
      <c r="AK156" s="60"/>
      <c r="AL156" s="56"/>
      <c r="AM156" s="60"/>
      <c r="AN156" s="56"/>
      <c r="AO156" s="60"/>
      <c r="AP156" s="56"/>
      <c r="AQ156" s="60"/>
      <c r="AR156" s="56"/>
      <c r="AT156" s="56"/>
      <c r="AU156" s="60"/>
      <c r="AV156" s="56"/>
      <c r="AW156" s="60"/>
      <c r="AX156" s="56"/>
      <c r="AZ156" s="56"/>
      <c r="CB156" s="56"/>
      <c r="CD156" s="56"/>
      <c r="CF156" s="56"/>
      <c r="CH156" s="56"/>
      <c r="CI156" s="57"/>
      <c r="CJ156" s="56"/>
      <c r="CL156" s="56"/>
      <c r="CM156" s="57"/>
      <c r="CN156" s="56"/>
      <c r="CO156" s="60"/>
      <c r="CP156" s="56"/>
      <c r="CQ156" s="57"/>
      <c r="CR156" s="56"/>
      <c r="CT156" s="56"/>
      <c r="CU156" s="60"/>
      <c r="CV156" s="56"/>
      <c r="CW156" s="60"/>
      <c r="CX156" s="56"/>
      <c r="CY156" s="60"/>
      <c r="CZ156" s="56"/>
      <c r="DB156" s="56"/>
      <c r="DC156" s="60"/>
      <c r="DD156" s="56"/>
      <c r="DE156" s="60"/>
      <c r="DF156" s="56"/>
      <c r="DG156" s="60"/>
      <c r="DH156" s="56"/>
      <c r="DI156" s="60"/>
      <c r="DJ156" s="56"/>
      <c r="DL156" s="56"/>
      <c r="DM156" s="60"/>
      <c r="DN156" s="56"/>
      <c r="DO156" s="60"/>
      <c r="DP156" s="56"/>
      <c r="DR156" s="56"/>
      <c r="ER156" s="55"/>
      <c r="ES156" s="55"/>
      <c r="ET156" s="56"/>
      <c r="EU156" s="55"/>
      <c r="EV156" s="56"/>
      <c r="EW156" s="55"/>
      <c r="EX156" s="56"/>
      <c r="EY156" s="55"/>
      <c r="EZ156" s="56"/>
      <c r="FA156" s="57"/>
      <c r="FB156" s="56"/>
      <c r="FC156" s="55"/>
      <c r="FD156" s="56"/>
      <c r="FE156" s="57"/>
      <c r="FF156" s="56"/>
      <c r="FG156" s="60"/>
      <c r="FH156" s="56"/>
      <c r="FI156" s="57"/>
      <c r="FJ156" s="56"/>
      <c r="FK156" s="55"/>
      <c r="FL156" s="56"/>
      <c r="FM156" s="60"/>
      <c r="FN156" s="56"/>
      <c r="FO156" s="60"/>
      <c r="FP156" s="56"/>
      <c r="FQ156" s="60"/>
      <c r="FR156" s="56"/>
      <c r="FS156" s="55"/>
      <c r="FT156" s="56"/>
      <c r="FU156" s="60"/>
      <c r="FV156" s="56"/>
      <c r="FW156" s="60"/>
      <c r="FX156" s="56"/>
      <c r="FY156" s="60"/>
      <c r="FZ156" s="56"/>
      <c r="GA156" s="60"/>
      <c r="GB156" s="56"/>
      <c r="GC156" s="55"/>
      <c r="GD156" s="56"/>
      <c r="GE156" s="60"/>
      <c r="GF156" s="56"/>
      <c r="GG156" s="60"/>
      <c r="GH156" s="56"/>
      <c r="GI156" s="55"/>
      <c r="GJ156" s="56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</row>
    <row r="157" spans="1:216" x14ac:dyDescent="0.3">
      <c r="L157" s="56"/>
      <c r="N157" s="56"/>
      <c r="P157" s="56"/>
      <c r="R157" s="56"/>
      <c r="T157" s="56"/>
      <c r="V157" s="56"/>
      <c r="W157" s="60"/>
      <c r="X157" s="56"/>
      <c r="Z157" s="56"/>
      <c r="AB157" s="56"/>
      <c r="AC157" s="60"/>
      <c r="AD157" s="56"/>
      <c r="AE157" s="60"/>
      <c r="AF157" s="56"/>
      <c r="AG157" s="60"/>
      <c r="AH157" s="56"/>
      <c r="AJ157" s="56"/>
      <c r="AK157" s="60"/>
      <c r="AL157" s="56"/>
      <c r="AM157" s="60"/>
      <c r="AN157" s="56"/>
      <c r="AO157" s="60"/>
      <c r="AP157" s="56"/>
      <c r="AQ157" s="60"/>
      <c r="AR157" s="56"/>
      <c r="AT157" s="56"/>
      <c r="AU157" s="60"/>
      <c r="AV157" s="56"/>
      <c r="AW157" s="60"/>
      <c r="AX157" s="56"/>
      <c r="AZ157" s="56"/>
      <c r="CB157" s="56"/>
      <c r="CD157" s="56"/>
      <c r="CF157" s="56"/>
      <c r="CH157" s="56"/>
      <c r="CI157" s="57"/>
      <c r="CJ157" s="56"/>
      <c r="CL157" s="56"/>
      <c r="CM157" s="57"/>
      <c r="CN157" s="56"/>
      <c r="CO157" s="60"/>
      <c r="CP157" s="56"/>
      <c r="CQ157" s="57"/>
      <c r="CR157" s="56"/>
      <c r="CT157" s="56"/>
      <c r="CU157" s="60"/>
      <c r="CV157" s="56"/>
      <c r="CW157" s="60"/>
      <c r="CX157" s="56"/>
      <c r="CY157" s="60"/>
      <c r="CZ157" s="56"/>
      <c r="DB157" s="56"/>
      <c r="DC157" s="60"/>
      <c r="DD157" s="56"/>
      <c r="DE157" s="60"/>
      <c r="DF157" s="56"/>
      <c r="DG157" s="60"/>
      <c r="DH157" s="56"/>
      <c r="DI157" s="60"/>
      <c r="DJ157" s="56"/>
      <c r="DL157" s="56"/>
      <c r="DM157" s="60"/>
      <c r="DN157" s="56"/>
      <c r="DO157" s="60"/>
      <c r="DP157" s="56"/>
      <c r="DR157" s="56"/>
      <c r="ER157" s="55"/>
      <c r="ES157" s="55"/>
      <c r="ET157" s="56"/>
      <c r="EU157" s="55"/>
      <c r="EV157" s="56"/>
      <c r="EW157" s="55"/>
      <c r="EX157" s="56"/>
      <c r="EY157" s="55"/>
      <c r="EZ157" s="56"/>
      <c r="FA157" s="57"/>
      <c r="FB157" s="56"/>
      <c r="FC157" s="55"/>
      <c r="FD157" s="56"/>
      <c r="FE157" s="57"/>
      <c r="FF157" s="56"/>
      <c r="FG157" s="60"/>
      <c r="FH157" s="56"/>
      <c r="FI157" s="57"/>
      <c r="FJ157" s="56"/>
      <c r="FK157" s="55"/>
      <c r="FL157" s="56"/>
      <c r="FM157" s="60"/>
      <c r="FN157" s="56"/>
      <c r="FO157" s="60"/>
      <c r="FP157" s="56"/>
      <c r="FQ157" s="60"/>
      <c r="FR157" s="56"/>
      <c r="FS157" s="55"/>
      <c r="FT157" s="56"/>
      <c r="FU157" s="60"/>
      <c r="FV157" s="56"/>
      <c r="FW157" s="60"/>
      <c r="FX157" s="56"/>
      <c r="FY157" s="60"/>
      <c r="FZ157" s="56"/>
      <c r="GA157" s="60"/>
      <c r="GB157" s="56"/>
      <c r="GC157" s="55"/>
      <c r="GD157" s="56"/>
      <c r="GE157" s="60"/>
      <c r="GF157" s="56"/>
      <c r="GG157" s="60"/>
      <c r="GH157" s="56"/>
      <c r="GI157" s="55"/>
      <c r="GJ157" s="56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5"/>
      <c r="HA157" s="55"/>
      <c r="HB157" s="55"/>
      <c r="HC157" s="55"/>
      <c r="HD157" s="55"/>
      <c r="HE157" s="55"/>
      <c r="HF157" s="55"/>
      <c r="HG157" s="55"/>
      <c r="HH157" s="55"/>
    </row>
    <row r="158" spans="1:216" x14ac:dyDescent="0.3">
      <c r="L158" s="56"/>
      <c r="N158" s="56"/>
      <c r="P158" s="56"/>
      <c r="R158" s="56"/>
      <c r="T158" s="56"/>
      <c r="V158" s="56"/>
      <c r="W158" s="60"/>
      <c r="X158" s="56"/>
      <c r="Z158" s="56"/>
      <c r="AB158" s="56"/>
      <c r="AC158" s="60"/>
      <c r="AD158" s="56"/>
      <c r="AE158" s="60"/>
      <c r="AF158" s="56"/>
      <c r="AG158" s="60"/>
      <c r="AH158" s="56"/>
      <c r="AJ158" s="56"/>
      <c r="AK158" s="60"/>
      <c r="AL158" s="56"/>
      <c r="AM158" s="60"/>
      <c r="AN158" s="56"/>
      <c r="AO158" s="60"/>
      <c r="AP158" s="56"/>
      <c r="AQ158" s="60"/>
      <c r="AR158" s="56"/>
      <c r="AT158" s="56"/>
      <c r="AU158" s="60"/>
      <c r="AV158" s="56"/>
      <c r="AW158" s="60"/>
      <c r="AX158" s="56"/>
      <c r="AZ158" s="56"/>
      <c r="CB158" s="56"/>
      <c r="CD158" s="56"/>
      <c r="CF158" s="56"/>
      <c r="CH158" s="56"/>
      <c r="CI158" s="57"/>
      <c r="CJ158" s="56"/>
      <c r="CL158" s="56"/>
      <c r="CM158" s="57"/>
      <c r="CN158" s="56"/>
      <c r="CO158" s="60"/>
      <c r="CP158" s="56"/>
      <c r="CQ158" s="57"/>
      <c r="CR158" s="56"/>
      <c r="CT158" s="56"/>
      <c r="CU158" s="60"/>
      <c r="CV158" s="56"/>
      <c r="CW158" s="60"/>
      <c r="CX158" s="56"/>
      <c r="CY158" s="60"/>
      <c r="CZ158" s="56"/>
      <c r="DB158" s="56"/>
      <c r="DC158" s="60"/>
      <c r="DD158" s="56"/>
      <c r="DE158" s="60"/>
      <c r="DF158" s="56"/>
      <c r="DG158" s="60"/>
      <c r="DH158" s="56"/>
      <c r="DI158" s="60"/>
      <c r="DJ158" s="56"/>
      <c r="DL158" s="56"/>
      <c r="DM158" s="60"/>
      <c r="DN158" s="56"/>
      <c r="DO158" s="60"/>
      <c r="DP158" s="56"/>
      <c r="DR158" s="56"/>
      <c r="ER158" s="55"/>
      <c r="ES158" s="55"/>
      <c r="ET158" s="56"/>
      <c r="EU158" s="55"/>
      <c r="EV158" s="56"/>
      <c r="EW158" s="55"/>
      <c r="EX158" s="56"/>
      <c r="EY158" s="55"/>
      <c r="EZ158" s="56"/>
      <c r="FA158" s="57"/>
      <c r="FB158" s="56"/>
      <c r="FC158" s="55"/>
      <c r="FD158" s="56"/>
      <c r="FE158" s="57"/>
      <c r="FF158" s="56"/>
      <c r="FG158" s="60"/>
      <c r="FH158" s="56"/>
      <c r="FI158" s="57"/>
      <c r="FJ158" s="56"/>
      <c r="FK158" s="55"/>
      <c r="FL158" s="56"/>
      <c r="FM158" s="60"/>
      <c r="FN158" s="56"/>
      <c r="FO158" s="60"/>
      <c r="FP158" s="56"/>
      <c r="FQ158" s="60"/>
      <c r="FR158" s="56"/>
      <c r="FS158" s="55"/>
      <c r="FT158" s="56"/>
      <c r="FU158" s="60"/>
      <c r="FV158" s="56"/>
      <c r="FW158" s="60"/>
      <c r="FX158" s="56"/>
      <c r="FY158" s="60"/>
      <c r="FZ158" s="56"/>
      <c r="GA158" s="60"/>
      <c r="GB158" s="56"/>
      <c r="GC158" s="55"/>
      <c r="GD158" s="56"/>
      <c r="GE158" s="60"/>
      <c r="GF158" s="56"/>
      <c r="GG158" s="60"/>
      <c r="GH158" s="56"/>
      <c r="GI158" s="55"/>
      <c r="GJ158" s="56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</row>
    <row r="159" spans="1:216" x14ac:dyDescent="0.3">
      <c r="L159" s="56"/>
      <c r="N159" s="56"/>
      <c r="P159" s="56"/>
      <c r="R159" s="56"/>
      <c r="T159" s="56"/>
      <c r="V159" s="56"/>
      <c r="W159" s="60"/>
      <c r="X159" s="56"/>
      <c r="Z159" s="56"/>
      <c r="AB159" s="56"/>
      <c r="AC159" s="60"/>
      <c r="AD159" s="56"/>
      <c r="AE159" s="60"/>
      <c r="AF159" s="56"/>
      <c r="AG159" s="60"/>
      <c r="AH159" s="56"/>
      <c r="AJ159" s="56"/>
      <c r="AK159" s="60"/>
      <c r="AL159" s="56"/>
      <c r="AM159" s="60"/>
      <c r="AN159" s="56"/>
      <c r="AO159" s="60"/>
      <c r="AP159" s="56"/>
      <c r="AQ159" s="60"/>
      <c r="AR159" s="56"/>
      <c r="AT159" s="56"/>
      <c r="AU159" s="60"/>
      <c r="AV159" s="56"/>
      <c r="AW159" s="60"/>
      <c r="AX159" s="56"/>
      <c r="AZ159" s="56"/>
      <c r="CB159" s="56"/>
      <c r="CD159" s="56"/>
      <c r="CF159" s="56"/>
      <c r="CH159" s="56"/>
      <c r="CI159" s="57"/>
      <c r="CJ159" s="56"/>
      <c r="CL159" s="56"/>
      <c r="CM159" s="57"/>
      <c r="CN159" s="56"/>
      <c r="CO159" s="60"/>
      <c r="CP159" s="56"/>
      <c r="CQ159" s="57"/>
      <c r="CR159" s="56"/>
      <c r="CT159" s="56"/>
      <c r="CU159" s="60"/>
      <c r="CV159" s="56"/>
      <c r="CW159" s="60"/>
      <c r="CX159" s="56"/>
      <c r="CY159" s="60"/>
      <c r="CZ159" s="56"/>
      <c r="DB159" s="56"/>
      <c r="DC159" s="60"/>
      <c r="DD159" s="56"/>
      <c r="DE159" s="60"/>
      <c r="DF159" s="56"/>
      <c r="DG159" s="60"/>
      <c r="DH159" s="56"/>
      <c r="DI159" s="60"/>
      <c r="DJ159" s="56"/>
      <c r="DL159" s="56"/>
      <c r="DM159" s="60"/>
      <c r="DN159" s="56"/>
      <c r="DO159" s="60"/>
      <c r="DP159" s="56"/>
      <c r="DR159" s="56"/>
      <c r="ER159" s="55"/>
      <c r="ES159" s="55"/>
      <c r="ET159" s="56"/>
      <c r="EU159" s="55"/>
      <c r="EV159" s="56"/>
      <c r="EW159" s="55"/>
      <c r="EX159" s="56"/>
      <c r="EY159" s="55"/>
      <c r="EZ159" s="56"/>
      <c r="FA159" s="57"/>
      <c r="FB159" s="56"/>
      <c r="FC159" s="55"/>
      <c r="FD159" s="56"/>
      <c r="FE159" s="57"/>
      <c r="FF159" s="56"/>
      <c r="FG159" s="60"/>
      <c r="FH159" s="56"/>
      <c r="FI159" s="57"/>
      <c r="FJ159" s="56"/>
      <c r="FK159" s="55"/>
      <c r="FL159" s="56"/>
      <c r="FM159" s="60"/>
      <c r="FN159" s="56"/>
      <c r="FO159" s="60"/>
      <c r="FP159" s="56"/>
      <c r="FQ159" s="60"/>
      <c r="FR159" s="56"/>
      <c r="FS159" s="55"/>
      <c r="FT159" s="56"/>
      <c r="FU159" s="60"/>
      <c r="FV159" s="56"/>
      <c r="FW159" s="60"/>
      <c r="FX159" s="56"/>
      <c r="FY159" s="60"/>
      <c r="FZ159" s="56"/>
      <c r="GA159" s="60"/>
      <c r="GB159" s="56"/>
      <c r="GC159" s="55"/>
      <c r="GD159" s="56"/>
      <c r="GE159" s="60"/>
      <c r="GF159" s="56"/>
      <c r="GG159" s="60"/>
      <c r="GH159" s="56"/>
      <c r="GI159" s="55"/>
      <c r="GJ159" s="56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5"/>
      <c r="HA159" s="55"/>
      <c r="HB159" s="55"/>
      <c r="HC159" s="55"/>
      <c r="HD159" s="55"/>
      <c r="HE159" s="55"/>
      <c r="HF159" s="55"/>
      <c r="HG159" s="55"/>
      <c r="HH159" s="55"/>
    </row>
    <row r="160" spans="1:216" x14ac:dyDescent="0.3">
      <c r="L160" s="56"/>
      <c r="N160" s="56"/>
      <c r="P160" s="56"/>
      <c r="R160" s="56"/>
      <c r="T160" s="56"/>
      <c r="V160" s="56"/>
      <c r="W160" s="60"/>
      <c r="X160" s="56"/>
      <c r="Z160" s="56"/>
      <c r="AB160" s="56"/>
      <c r="AC160" s="60"/>
      <c r="AD160" s="56"/>
      <c r="AE160" s="60"/>
      <c r="AF160" s="56"/>
      <c r="AG160" s="60"/>
      <c r="AH160" s="56"/>
      <c r="AJ160" s="56"/>
      <c r="AK160" s="60"/>
      <c r="AL160" s="56"/>
      <c r="AM160" s="60"/>
      <c r="AN160" s="56"/>
      <c r="AO160" s="60"/>
      <c r="AP160" s="56"/>
      <c r="AQ160" s="60"/>
      <c r="AR160" s="56"/>
      <c r="AT160" s="56"/>
      <c r="AU160" s="60"/>
      <c r="AV160" s="56"/>
      <c r="AW160" s="60"/>
      <c r="AX160" s="56"/>
      <c r="AZ160" s="56"/>
      <c r="CB160" s="56"/>
      <c r="CD160" s="56"/>
      <c r="CF160" s="56"/>
      <c r="CH160" s="56"/>
      <c r="CI160" s="57"/>
      <c r="CJ160" s="56"/>
      <c r="CL160" s="56"/>
      <c r="CM160" s="57"/>
      <c r="CN160" s="56"/>
      <c r="CO160" s="60"/>
      <c r="CP160" s="56"/>
      <c r="CQ160" s="57"/>
      <c r="CR160" s="56"/>
      <c r="CT160" s="56"/>
      <c r="CU160" s="60"/>
      <c r="CV160" s="56"/>
      <c r="CW160" s="60"/>
      <c r="CX160" s="56"/>
      <c r="CY160" s="60"/>
      <c r="CZ160" s="56"/>
      <c r="DB160" s="56"/>
      <c r="DC160" s="60"/>
      <c r="DD160" s="56"/>
      <c r="DE160" s="60"/>
      <c r="DF160" s="56"/>
      <c r="DG160" s="60"/>
      <c r="DH160" s="56"/>
      <c r="DI160" s="60"/>
      <c r="DJ160" s="56"/>
      <c r="DL160" s="56"/>
      <c r="DM160" s="60"/>
      <c r="DN160" s="56"/>
      <c r="DO160" s="60"/>
      <c r="DP160" s="56"/>
      <c r="DR160" s="56"/>
      <c r="ER160" s="55"/>
      <c r="ES160" s="55"/>
      <c r="ET160" s="56"/>
      <c r="EU160" s="55"/>
      <c r="EV160" s="56"/>
      <c r="EW160" s="55"/>
      <c r="EX160" s="56"/>
      <c r="EY160" s="55"/>
      <c r="EZ160" s="56"/>
      <c r="FA160" s="57"/>
      <c r="FB160" s="56"/>
      <c r="FC160" s="55"/>
      <c r="FD160" s="56"/>
      <c r="FE160" s="57"/>
      <c r="FF160" s="56"/>
      <c r="FG160" s="60"/>
      <c r="FH160" s="56"/>
      <c r="FI160" s="57"/>
      <c r="FJ160" s="56"/>
      <c r="FK160" s="55"/>
      <c r="FL160" s="56"/>
      <c r="FM160" s="60"/>
      <c r="FN160" s="56"/>
      <c r="FO160" s="60"/>
      <c r="FP160" s="56"/>
      <c r="FQ160" s="60"/>
      <c r="FR160" s="56"/>
      <c r="FS160" s="55"/>
      <c r="FT160" s="56"/>
      <c r="FU160" s="60"/>
      <c r="FV160" s="56"/>
      <c r="FW160" s="60"/>
      <c r="FX160" s="56"/>
      <c r="FY160" s="60"/>
      <c r="FZ160" s="56"/>
      <c r="GA160" s="60"/>
      <c r="GB160" s="56"/>
      <c r="GC160" s="55"/>
      <c r="GD160" s="56"/>
      <c r="GE160" s="60"/>
      <c r="GF160" s="56"/>
      <c r="GG160" s="60"/>
      <c r="GH160" s="56"/>
      <c r="GI160" s="55"/>
      <c r="GJ160" s="56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</row>
    <row r="161" spans="12:216" x14ac:dyDescent="0.3">
      <c r="L161" s="56"/>
      <c r="N161" s="56"/>
      <c r="P161" s="56"/>
      <c r="R161" s="56"/>
      <c r="T161" s="56"/>
      <c r="V161" s="56"/>
      <c r="W161" s="60"/>
      <c r="X161" s="56"/>
      <c r="Z161" s="56"/>
      <c r="AB161" s="56"/>
      <c r="AC161" s="60"/>
      <c r="AD161" s="56"/>
      <c r="AE161" s="60"/>
      <c r="AF161" s="56"/>
      <c r="AG161" s="60"/>
      <c r="AH161" s="56"/>
      <c r="AJ161" s="56"/>
      <c r="AK161" s="60"/>
      <c r="AL161" s="56"/>
      <c r="AM161" s="60"/>
      <c r="AN161" s="56"/>
      <c r="AO161" s="60"/>
      <c r="AP161" s="56"/>
      <c r="AQ161" s="60"/>
      <c r="AR161" s="56"/>
      <c r="AT161" s="56"/>
      <c r="AU161" s="60"/>
      <c r="AV161" s="56"/>
      <c r="AW161" s="60"/>
      <c r="AX161" s="56"/>
      <c r="AZ161" s="56"/>
      <c r="CB161" s="56"/>
      <c r="CD161" s="56"/>
      <c r="CF161" s="56"/>
      <c r="CH161" s="56"/>
      <c r="CI161" s="57"/>
      <c r="CJ161" s="56"/>
      <c r="CL161" s="56"/>
      <c r="CM161" s="57"/>
      <c r="CN161" s="56"/>
      <c r="CO161" s="60"/>
      <c r="CP161" s="56"/>
      <c r="CQ161" s="57"/>
      <c r="CR161" s="56"/>
      <c r="CT161" s="56"/>
      <c r="CU161" s="60"/>
      <c r="CV161" s="56"/>
      <c r="CW161" s="60"/>
      <c r="CX161" s="56"/>
      <c r="CY161" s="60"/>
      <c r="CZ161" s="56"/>
      <c r="DB161" s="56"/>
      <c r="DC161" s="60"/>
      <c r="DD161" s="56"/>
      <c r="DE161" s="60"/>
      <c r="DF161" s="56"/>
      <c r="DG161" s="60"/>
      <c r="DH161" s="56"/>
      <c r="DI161" s="60"/>
      <c r="DJ161" s="56"/>
      <c r="DL161" s="56"/>
      <c r="DM161" s="60"/>
      <c r="DN161" s="56"/>
      <c r="DO161" s="60"/>
      <c r="DP161" s="56"/>
      <c r="DR161" s="56"/>
      <c r="ER161" s="55"/>
      <c r="ES161" s="55"/>
      <c r="ET161" s="56"/>
      <c r="EU161" s="55"/>
      <c r="EV161" s="56"/>
      <c r="EW161" s="55"/>
      <c r="EX161" s="56"/>
      <c r="EY161" s="55"/>
      <c r="EZ161" s="56"/>
      <c r="FA161" s="57"/>
      <c r="FB161" s="56"/>
      <c r="FC161" s="55"/>
      <c r="FD161" s="56"/>
      <c r="FE161" s="57"/>
      <c r="FF161" s="56"/>
      <c r="FG161" s="60"/>
      <c r="FH161" s="56"/>
      <c r="FI161" s="57"/>
      <c r="FJ161" s="56"/>
      <c r="FK161" s="55"/>
      <c r="FL161" s="56"/>
      <c r="FM161" s="60"/>
      <c r="FN161" s="56"/>
      <c r="FO161" s="60"/>
      <c r="FP161" s="56"/>
      <c r="FQ161" s="60"/>
      <c r="FR161" s="56"/>
      <c r="FS161" s="55"/>
      <c r="FT161" s="56"/>
      <c r="FU161" s="60"/>
      <c r="FV161" s="56"/>
      <c r="FW161" s="60"/>
      <c r="FX161" s="56"/>
      <c r="FY161" s="60"/>
      <c r="FZ161" s="56"/>
      <c r="GA161" s="60"/>
      <c r="GB161" s="56"/>
      <c r="GC161" s="55"/>
      <c r="GD161" s="56"/>
      <c r="GE161" s="60"/>
      <c r="GF161" s="56"/>
      <c r="GG161" s="60"/>
      <c r="GH161" s="56"/>
      <c r="GI161" s="55"/>
      <c r="GJ161" s="56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</row>
    <row r="162" spans="12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2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2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2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2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2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2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55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2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55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2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55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2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55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2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55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2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55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2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2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2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H186" s="56"/>
      <c r="DI186" s="60"/>
      <c r="DJ186" s="56"/>
      <c r="DL186" s="56"/>
      <c r="DM186" s="60"/>
      <c r="DN186" s="56"/>
      <c r="DO186" s="60"/>
      <c r="DP186" s="56"/>
      <c r="DR186" s="56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H187" s="56"/>
      <c r="DI187" s="60"/>
      <c r="DJ187" s="56"/>
      <c r="DL187" s="56"/>
      <c r="DM187" s="60"/>
      <c r="DN187" s="56"/>
      <c r="DO187" s="60"/>
      <c r="DP187" s="56"/>
      <c r="DR187" s="56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H188" s="56"/>
      <c r="DI188" s="60"/>
      <c r="DJ188" s="56"/>
      <c r="DL188" s="56"/>
      <c r="DM188" s="60"/>
      <c r="DN188" s="56"/>
      <c r="DO188" s="60"/>
      <c r="DP188" s="56"/>
      <c r="DR188" s="56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J189" s="56"/>
      <c r="CL189" s="56"/>
      <c r="CN189" s="56"/>
      <c r="CP189" s="56"/>
      <c r="CR189" s="56"/>
      <c r="CT189" s="56"/>
      <c r="CV189" s="56"/>
      <c r="CX189" s="56"/>
      <c r="CZ189" s="56"/>
      <c r="DB189" s="56"/>
      <c r="DD189" s="56"/>
      <c r="DF189" s="56"/>
      <c r="DH189" s="56"/>
      <c r="DJ189" s="56"/>
      <c r="DL189" s="56"/>
      <c r="DN189" s="56"/>
      <c r="DP189" s="56"/>
      <c r="DR189" s="56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H190" s="56"/>
      <c r="AJ190" s="56"/>
      <c r="AL190" s="56"/>
      <c r="AM190" s="60"/>
      <c r="AN190" s="56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J190" s="56"/>
      <c r="CL190" s="56"/>
      <c r="CN190" s="56"/>
      <c r="CP190" s="56"/>
      <c r="CR190" s="56"/>
      <c r="CT190" s="56"/>
      <c r="CV190" s="56"/>
      <c r="CX190" s="56"/>
      <c r="CZ190" s="56"/>
      <c r="DB190" s="56"/>
      <c r="DD190" s="56"/>
      <c r="DF190" s="56"/>
      <c r="DH190" s="56"/>
      <c r="DJ190" s="56"/>
      <c r="DL190" s="56"/>
      <c r="DN190" s="56"/>
      <c r="DP190" s="56"/>
      <c r="DR190" s="56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H191" s="56"/>
      <c r="AJ191" s="56"/>
      <c r="AL191" s="56"/>
      <c r="AM191" s="60"/>
      <c r="AN191" s="56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J191" s="56"/>
      <c r="CL191" s="56"/>
      <c r="CN191" s="56"/>
      <c r="CP191" s="56"/>
      <c r="CR191" s="56"/>
      <c r="CT191" s="56"/>
      <c r="CV191" s="56"/>
      <c r="CX191" s="56"/>
      <c r="CZ191" s="56"/>
      <c r="DB191" s="56"/>
      <c r="DD191" s="56"/>
      <c r="DF191" s="56"/>
      <c r="DH191" s="56"/>
      <c r="DJ191" s="56"/>
      <c r="DL191" s="56"/>
      <c r="DN191" s="56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J192" s="56"/>
      <c r="CL192" s="56"/>
      <c r="CN192" s="56"/>
      <c r="CP192" s="56"/>
      <c r="CR192" s="56"/>
      <c r="CT192" s="56"/>
      <c r="CV192" s="56"/>
      <c r="CX192" s="56"/>
      <c r="CZ192" s="56"/>
      <c r="DB192" s="56"/>
      <c r="DD192" s="56"/>
      <c r="DF192" s="56"/>
      <c r="DH192" s="56"/>
      <c r="DJ192" s="56"/>
      <c r="DL192" s="56"/>
      <c r="DN192" s="56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J193" s="56"/>
      <c r="CL193" s="56"/>
      <c r="CN193" s="56"/>
      <c r="CP193" s="56"/>
      <c r="CR193" s="56"/>
      <c r="CT193" s="56"/>
      <c r="CV193" s="56"/>
      <c r="CX193" s="56"/>
      <c r="CZ193" s="56"/>
      <c r="DB193" s="56"/>
      <c r="DD193" s="56"/>
      <c r="DF193" s="56"/>
      <c r="DH193" s="56"/>
      <c r="DJ193" s="56"/>
      <c r="DL193" s="56"/>
      <c r="DN193" s="56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J194" s="56"/>
      <c r="CL194" s="56"/>
      <c r="CN194" s="56"/>
      <c r="CP194" s="56"/>
      <c r="CR194" s="56"/>
      <c r="CT194" s="56"/>
      <c r="CV194" s="56"/>
      <c r="CX194" s="56"/>
      <c r="CZ194" s="56"/>
      <c r="DB194" s="56"/>
      <c r="DD194" s="56"/>
      <c r="DF194" s="56"/>
      <c r="DH194" s="56"/>
      <c r="DJ194" s="56"/>
      <c r="DL194" s="56"/>
      <c r="DN194" s="56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E283" s="60"/>
      <c r="AQ283" s="60"/>
      <c r="AU283" s="60"/>
      <c r="AW283" s="60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E284" s="60"/>
      <c r="AQ284" s="60"/>
      <c r="AU284" s="60"/>
      <c r="AW284" s="60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E285" s="60"/>
      <c r="AQ285" s="60"/>
      <c r="AU285" s="60"/>
      <c r="AW285" s="60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E286" s="60"/>
      <c r="AQ286" s="60"/>
      <c r="AU286" s="60"/>
      <c r="AW286" s="60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E287" s="60"/>
      <c r="AQ287" s="60"/>
      <c r="AU287" s="60"/>
      <c r="AW287" s="60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E288" s="60"/>
      <c r="AU288" s="60"/>
      <c r="AW288" s="60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X292" s="56"/>
      <c r="Z292" s="56"/>
      <c r="AB292" s="56"/>
      <c r="AC292" s="60"/>
      <c r="AE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X293" s="56"/>
      <c r="Z293" s="56"/>
      <c r="AB293" s="56"/>
      <c r="AC293" s="60"/>
      <c r="AE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X294" s="56"/>
      <c r="Z294" s="56"/>
      <c r="AB294" s="56"/>
      <c r="AC294" s="60"/>
      <c r="AE294" s="60"/>
    </row>
    <row r="295" spans="12:49" x14ac:dyDescent="0.3">
      <c r="L295" s="56"/>
      <c r="N295" s="56"/>
      <c r="P295" s="56"/>
      <c r="R295" s="56"/>
      <c r="T295" s="56"/>
      <c r="V295" s="56"/>
      <c r="X295" s="56"/>
      <c r="Z295" s="56"/>
      <c r="AB295" s="56"/>
      <c r="AC295" s="60"/>
      <c r="AE295" s="60"/>
    </row>
    <row r="296" spans="12:49" x14ac:dyDescent="0.3">
      <c r="L296" s="56"/>
      <c r="N296" s="56"/>
      <c r="P296" s="56"/>
      <c r="R296" s="56"/>
      <c r="T296" s="56"/>
      <c r="V296" s="56"/>
      <c r="X296" s="56"/>
      <c r="Z296" s="56"/>
      <c r="AB296" s="56"/>
      <c r="AE296" s="60"/>
    </row>
    <row r="297" spans="12:49" x14ac:dyDescent="0.3">
      <c r="L297" s="56"/>
      <c r="N297" s="56"/>
      <c r="P297" s="56"/>
      <c r="R297" s="56"/>
      <c r="T297" s="56"/>
      <c r="V297" s="56"/>
      <c r="X297" s="56"/>
      <c r="Z297" s="56"/>
      <c r="AB297" s="56"/>
      <c r="AE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2020-05-12T07:33:44Z</dcterms:modified>
</cp:coreProperties>
</file>